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5729000</v>
      </c>
      <c r="E5" s="265" t="n">
        <v>6130000</v>
      </c>
      <c r="F5" s="265" t="n">
        <v>6559000</v>
      </c>
      <c r="G5" s="265" t="n">
        <v>7059000</v>
      </c>
      <c r="I5" s="265" t="n">
        <v>7189000</v>
      </c>
      <c r="J5" s="265" t="n">
        <v>7275000</v>
      </c>
      <c r="K5" s="265" t="n">
        <v>7787000</v>
      </c>
      <c r="L5" s="265" t="n">
        <v>7936000</v>
      </c>
      <c r="N5" s="265" t="n">
        <v>7985000</v>
      </c>
      <c r="O5" s="265" t="n">
        <v>8123000</v>
      </c>
      <c r="P5" s="265" t="n">
        <v>8609000</v>
      </c>
      <c r="Q5" s="265" t="n">
        <v>8634000</v>
      </c>
      <c r="S5" s="265" t="n">
        <v>8775000</v>
      </c>
      <c r="T5" s="265" t="n">
        <v>8900000</v>
      </c>
      <c r="U5" s="265" t="n">
        <v>9617000</v>
      </c>
      <c r="V5" s="265" t="n">
        <v>9510000</v>
      </c>
      <c r="X5" s="265" t="n">
        <v>9594000</v>
      </c>
      <c r="Y5" s="265" t="n">
        <v>10172000</v>
      </c>
      <c r="Z5" s="265" t="n">
        <v>10724000</v>
      </c>
      <c r="AA5" s="265" t="n">
        <v>10901000</v>
      </c>
      <c r="AC5" s="265" t="n">
        <v>11230000</v>
      </c>
      <c r="AD5" s="265" t="n">
        <v>11633000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0</v>
      </c>
      <c r="E6" s="265" t="n">
        <v>0</v>
      </c>
      <c r="F6" s="265" t="n">
        <v>0</v>
      </c>
      <c r="G6" s="265" t="n">
        <v>0</v>
      </c>
      <c r="I6" s="265" t="n">
        <v>0</v>
      </c>
      <c r="J6" s="265" t="n">
        <v>0</v>
      </c>
      <c r="K6" s="265" t="n">
        <v>0</v>
      </c>
      <c r="L6" s="265" t="n">
        <v>0</v>
      </c>
      <c r="N6" s="265" t="n">
        <v>0</v>
      </c>
      <c r="O6" s="265" t="n">
        <v>0</v>
      </c>
      <c r="P6" s="265" t="n">
        <v>0</v>
      </c>
      <c r="Q6" s="265" t="n">
        <v>0</v>
      </c>
      <c r="S6" s="265" t="n">
        <v>0</v>
      </c>
      <c r="T6" s="265" t="n">
        <v>0</v>
      </c>
      <c r="U6" s="265" t="n">
        <v>0</v>
      </c>
      <c r="V6" s="265" t="n">
        <v>0</v>
      </c>
      <c r="X6" s="265" t="n">
        <v>0</v>
      </c>
      <c r="Y6" s="265" t="n">
        <v>0</v>
      </c>
      <c r="Z6" s="265" t="n">
        <v>0</v>
      </c>
      <c r="AA6" s="265" t="n">
        <v>0</v>
      </c>
      <c r="AC6" s="265" t="n">
        <v>0</v>
      </c>
      <c r="AD6" s="265" t="n">
        <v>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0</v>
      </c>
      <c r="E7" s="265">
        <f>IF(E6="","",-1*E6)</f>
        <v>0</v>
      </c>
      <c r="F7" s="265">
        <f>IF(F6="","",-1*F6)</f>
        <v>0</v>
      </c>
      <c r="G7" s="265">
        <f>IF(G6="","",-1*G6)</f>
        <v>0</v>
      </c>
      <c r="I7" s="265">
        <f>IF(I6="","",-1*I6)</f>
        <v>0</v>
      </c>
      <c r="J7" s="265">
        <f>IF(J6="","",-1*J6)</f>
        <v>0</v>
      </c>
      <c r="K7" s="265">
        <f>IF(K6="","",-1*K6)</f>
        <v>0</v>
      </c>
      <c r="L7" s="265">
        <f>IF(L6="","",-1*L6)</f>
        <v>0</v>
      </c>
      <c r="N7" s="265">
        <f>IF(N6="","",-1*N6)</f>
        <v>0</v>
      </c>
      <c r="O7" s="265">
        <f>IF(O6="","",-1*O6)</f>
        <v>0</v>
      </c>
      <c r="P7" s="265">
        <f>IF(P6="","",-1*P6)</f>
        <v>0</v>
      </c>
      <c r="Q7" s="265">
        <f>IF(Q6="","",-1*Q6)</f>
        <v>0</v>
      </c>
      <c r="S7" s="265">
        <f>IF(S6="","",-1*S6)</f>
        <v>0</v>
      </c>
      <c r="T7" s="265">
        <f>IF(T6="","",-1*T6)</f>
        <v>0</v>
      </c>
      <c r="U7" s="265">
        <f>IF(U6="","",-1*U6)</f>
        <v>0</v>
      </c>
      <c r="V7" s="265">
        <f>IF(V6="","",-1*V6)</f>
        <v>0</v>
      </c>
      <c r="X7" s="265">
        <f>IF(X6="","",-1*X6)</f>
        <v>0</v>
      </c>
      <c r="Y7" s="265">
        <f>IF(Y6="","",-1*Y6)</f>
        <v>0</v>
      </c>
      <c r="Z7" s="265">
        <f>IF(Z6="","",-1*Z6)</f>
        <v>0</v>
      </c>
      <c r="AA7" s="265">
        <f>IF(AA6="","",-1*AA6)</f>
        <v>0</v>
      </c>
      <c r="AC7" s="265">
        <f>IF(AC6="","",-1*AC6)</f>
        <v>0</v>
      </c>
      <c r="AD7" s="265">
        <f>IF(AD6="","",-1*AD6)</f>
        <v>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3581000</v>
      </c>
      <c r="E8" s="265" t="n">
        <v>4064000</v>
      </c>
      <c r="F8" s="265" t="n">
        <v>4315000</v>
      </c>
      <c r="G8" s="265" t="n">
        <v>4776000</v>
      </c>
      <c r="I8" s="265" t="n">
        <v>4802000</v>
      </c>
      <c r="J8" s="265" t="n">
        <v>4148000</v>
      </c>
      <c r="K8" s="265" t="n">
        <v>5087000</v>
      </c>
      <c r="L8" s="265" t="n">
        <v>5090000</v>
      </c>
      <c r="N8" s="265" t="n">
        <v>5336000</v>
      </c>
      <c r="O8" s="265" t="n">
        <v>5024000</v>
      </c>
      <c r="P8" s="265" t="n">
        <v>5550000</v>
      </c>
      <c r="Q8" s="265" t="n">
        <v>5954000</v>
      </c>
      <c r="S8" s="265" t="n">
        <v>5354000</v>
      </c>
      <c r="T8" s="265" t="n">
        <v>5938000</v>
      </c>
      <c r="U8" s="265" t="n">
        <v>6349000</v>
      </c>
      <c r="V8" s="265" t="n">
        <v>6234000</v>
      </c>
      <c r="X8" s="265" t="n">
        <v>5435000</v>
      </c>
      <c r="Y8" s="265" t="n">
        <v>6177000</v>
      </c>
      <c r="Z8" s="265" t="n">
        <v>6148000</v>
      </c>
      <c r="AA8" s="265" t="n">
        <v>6737000</v>
      </c>
      <c r="AC8" s="265" t="n">
        <v>7234000</v>
      </c>
      <c r="AD8" s="265" t="n">
        <v>6877000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2148000</v>
      </c>
      <c r="E9" s="265">
        <f>N(E5)-N(E6)-N(E8)</f>
        <v>2066000</v>
      </c>
      <c r="F9" s="265">
        <f>N(F5)-N(F6)-N(F8)</f>
        <v>2244000</v>
      </c>
      <c r="G9" s="265">
        <f>N(G5)-N(G6)-N(G8)</f>
        <v>2283000</v>
      </c>
      <c r="I9" s="265">
        <f>N(I5)-N(I6)-N(I8)</f>
        <v>2387000</v>
      </c>
      <c r="J9" s="265">
        <f>N(J5)-N(J6)-N(J8)</f>
        <v>3127000</v>
      </c>
      <c r="K9" s="265">
        <f>N(K5)-N(K6)-N(K8)</f>
        <v>2700000</v>
      </c>
      <c r="L9" s="265">
        <f>N(L5)-N(L6)-N(L8)</f>
        <v>2846000</v>
      </c>
      <c r="N9" s="265">
        <f>N(N5)-N(N6)-N(N8)</f>
        <v>2649000</v>
      </c>
      <c r="O9" s="265">
        <f>N(O5)-N(O6)-N(O8)</f>
        <v>3099000</v>
      </c>
      <c r="P9" s="265">
        <f>N(P5)-N(P6)-N(P8)</f>
        <v>3059000</v>
      </c>
      <c r="Q9" s="265">
        <f>N(Q5)-N(Q6)-N(Q8)</f>
        <v>2680000</v>
      </c>
      <c r="S9" s="265">
        <f>N(S5)-N(S6)-N(S8)</f>
        <v>3421000</v>
      </c>
      <c r="T9" s="265">
        <f>N(T5)-N(T6)-N(T8)</f>
        <v>2962000</v>
      </c>
      <c r="U9" s="265">
        <f>N(U5)-N(U6)-N(U8)</f>
        <v>3268000</v>
      </c>
      <c r="V9" s="265">
        <f>N(V5)-N(V6)-N(V8)</f>
        <v>3276000</v>
      </c>
      <c r="X9" s="265">
        <f>N(X5)-N(X6)-N(X8)</f>
        <v>4159000</v>
      </c>
      <c r="Y9" s="265">
        <f>N(Y5)-N(Y6)-N(Y8)</f>
        <v>3995000</v>
      </c>
      <c r="Z9" s="265">
        <f>N(Z5)-N(Z6)-N(Z8)</f>
        <v>4576000</v>
      </c>
      <c r="AA9" s="265">
        <f>N(AA5)-N(AA6)-N(AA8)</f>
        <v>4164000</v>
      </c>
      <c r="AC9" s="265">
        <f>N(AC5)-N(AC6)-N(AC8)</f>
        <v>3996000</v>
      </c>
      <c r="AD9" s="265">
        <f>N(AD5)-N(AD6)-N(AD8)</f>
        <v>4756000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-2148000</v>
      </c>
      <c r="E10" s="265">
        <f>IF(E9="","",-1*E9)</f>
        <v>-2066000</v>
      </c>
      <c r="F10" s="265">
        <f>IF(F9="","",-1*F9)</f>
        <v>-2244000</v>
      </c>
      <c r="G10" s="265">
        <f>IF(G9="","",-1*G9)</f>
        <v>-2283000</v>
      </c>
      <c r="I10" s="265">
        <f>IF(I9="","",-1*I9)</f>
        <v>-2387000</v>
      </c>
      <c r="J10" s="265">
        <f>IF(J9="","",-1*J9)</f>
        <v>-3127000</v>
      </c>
      <c r="K10" s="265">
        <f>IF(K9="","",-1*K9)</f>
        <v>-2700000</v>
      </c>
      <c r="L10" s="265">
        <f>IF(L9="","",-1*L9)</f>
        <v>-2846000</v>
      </c>
      <c r="N10" s="265">
        <f>IF(N9="","",-1*N9)</f>
        <v>-2649000</v>
      </c>
      <c r="O10" s="265">
        <f>IF(O9="","",-1*O9)</f>
        <v>-3099000</v>
      </c>
      <c r="P10" s="265">
        <f>IF(P9="","",-1*P9)</f>
        <v>-3059000</v>
      </c>
      <c r="Q10" s="265">
        <f>IF(Q9="","",-1*Q9)</f>
        <v>-2680000</v>
      </c>
      <c r="S10" s="265">
        <f>IF(S9="","",-1*S9)</f>
        <v>-3421000</v>
      </c>
      <c r="T10" s="265">
        <f>IF(T9="","",-1*T9)</f>
        <v>-2962000</v>
      </c>
      <c r="U10" s="265">
        <f>IF(U9="","",-1*U9)</f>
        <v>-3268000</v>
      </c>
      <c r="V10" s="265">
        <f>IF(V9="","",-1*V9)</f>
        <v>-3276000</v>
      </c>
      <c r="X10" s="265">
        <f>IF(X9="","",-1*X9)</f>
        <v>-4159000</v>
      </c>
      <c r="Y10" s="265">
        <f>IF(Y9="","",-1*Y9)</f>
        <v>-3995000</v>
      </c>
      <c r="Z10" s="265">
        <f>IF(Z9="","",-1*Z9)</f>
        <v>-4576000</v>
      </c>
      <c r="AA10" s="265">
        <f>IF(AA9="","",-1*AA9)</f>
        <v>-4164000</v>
      </c>
      <c r="AC10" s="265">
        <f>IF(AC9="","",-1*AC9)</f>
        <v>-3996000</v>
      </c>
      <c r="AD10" s="265">
        <f>IF(AD9="","",-1*AD9)</f>
        <v>-4756000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3628000</v>
      </c>
      <c r="E11" s="265" t="n">
        <v>4389000</v>
      </c>
      <c r="F11" s="265" t="n">
        <v>4298000</v>
      </c>
      <c r="G11" s="265" t="n">
        <v>4897000</v>
      </c>
      <c r="I11" s="265" t="n">
        <v>4542000</v>
      </c>
      <c r="J11" s="265" t="n">
        <v>3829000</v>
      </c>
      <c r="K11" s="265" t="n">
        <v>4868000</v>
      </c>
      <c r="L11" s="265" t="n">
        <v>4977000</v>
      </c>
      <c r="N11" s="265" t="n">
        <v>5278000</v>
      </c>
      <c r="O11" s="265" t="n">
        <v>5146000</v>
      </c>
      <c r="P11" s="265" t="n">
        <v>5636000</v>
      </c>
      <c r="Q11" s="265" t="n">
        <v>6042000</v>
      </c>
      <c r="S11" s="265" t="n">
        <v>5513000</v>
      </c>
      <c r="T11" s="265" t="n">
        <v>5989000</v>
      </c>
      <c r="U11" s="265" t="n">
        <v>6372000</v>
      </c>
      <c r="V11" s="265" t="n">
        <v>6200000</v>
      </c>
      <c r="X11" s="265" t="n">
        <v>5438000</v>
      </c>
      <c r="Y11" s="265" t="n">
        <v>6333000</v>
      </c>
      <c r="Z11" s="265" t="n">
        <v>6223000</v>
      </c>
      <c r="AA11" s="265" t="n">
        <v>6726000</v>
      </c>
      <c r="AC11" s="265" t="n">
        <v>7174000</v>
      </c>
      <c r="AD11" s="265" t="n">
        <v>6833000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47000</v>
      </c>
      <c r="E12" s="265">
        <f>N(E11)-N(E8)</f>
        <v>325000</v>
      </c>
      <c r="F12" s="265">
        <f>N(F11)-N(F8)</f>
        <v>-17000</v>
      </c>
      <c r="G12" s="265">
        <f>N(G11)-N(G8)</f>
        <v>121000</v>
      </c>
      <c r="I12" s="265">
        <f>N(I11)-N(I8)</f>
        <v>-260000</v>
      </c>
      <c r="J12" s="265">
        <f>N(J11)-N(J8)</f>
        <v>-319000</v>
      </c>
      <c r="K12" s="265">
        <f>N(K11)-N(K8)</f>
        <v>-219000</v>
      </c>
      <c r="L12" s="265">
        <f>N(L11)-N(L8)</f>
        <v>-113000</v>
      </c>
      <c r="N12" s="265">
        <f>N(N11)-N(N8)</f>
        <v>-58000</v>
      </c>
      <c r="O12" s="265">
        <f>N(O11)-N(O8)</f>
        <v>122000</v>
      </c>
      <c r="P12" s="265">
        <f>N(P11)-N(P8)</f>
        <v>86000</v>
      </c>
      <c r="Q12" s="265">
        <f>N(Q11)-N(Q8)</f>
        <v>88000</v>
      </c>
      <c r="S12" s="265">
        <f>N(S11)-N(S8)</f>
        <v>159000</v>
      </c>
      <c r="T12" s="265">
        <f>N(T11)-N(T8)</f>
        <v>51000</v>
      </c>
      <c r="U12" s="265">
        <f>N(U11)-N(U8)</f>
        <v>23000</v>
      </c>
      <c r="V12" s="265">
        <f>N(V11)-N(V8)</f>
        <v>-34000</v>
      </c>
      <c r="X12" s="265">
        <f>N(X11)-N(X8)</f>
        <v>3000</v>
      </c>
      <c r="Y12" s="265">
        <f>N(Y11)-N(Y8)</f>
        <v>156000</v>
      </c>
      <c r="Z12" s="265">
        <f>N(Z11)-N(Z8)</f>
        <v>75000</v>
      </c>
      <c r="AA12" s="265">
        <f>N(AA11)-N(AA8)</f>
        <v>-11000</v>
      </c>
      <c r="AC12" s="265">
        <f>N(AC11)-N(AC8)</f>
        <v>-60000</v>
      </c>
      <c r="AD12" s="265">
        <f>N(AD11)-N(AD8)</f>
        <v>-44000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0</v>
      </c>
      <c r="E13" s="265" t="n">
        <v>0</v>
      </c>
      <c r="F13" s="265" t="n">
        <v>0</v>
      </c>
      <c r="G13" s="265" t="n">
        <v>0</v>
      </c>
      <c r="I13" s="265" t="n">
        <v>0</v>
      </c>
      <c r="J13" s="265" t="n">
        <v>0</v>
      </c>
      <c r="K13" s="265" t="n">
        <v>0</v>
      </c>
      <c r="L13" s="265" t="n">
        <v>0</v>
      </c>
      <c r="N13" s="265" t="n">
        <v>0</v>
      </c>
      <c r="O13" s="265" t="n">
        <v>182000</v>
      </c>
      <c r="P13" s="265" t="n">
        <v>183000</v>
      </c>
      <c r="Q13" s="265" t="n">
        <v>187000</v>
      </c>
      <c r="S13" s="265" t="n">
        <v>82000</v>
      </c>
      <c r="T13" s="265" t="n">
        <v>196000</v>
      </c>
      <c r="U13" s="265" t="n">
        <v>176000</v>
      </c>
      <c r="V13" s="265" t="n">
        <v>182000</v>
      </c>
      <c r="X13" s="265" t="n">
        <v>158000</v>
      </c>
      <c r="Y13" s="265" t="n">
        <v>39000</v>
      </c>
      <c r="Z13" s="265" t="n">
        <v>210000</v>
      </c>
      <c r="AA13" s="265" t="n">
        <v>194000</v>
      </c>
      <c r="AC13" s="265" t="n">
        <v>178000</v>
      </c>
      <c r="AD13" s="265" t="n">
        <v>194000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0</v>
      </c>
      <c r="E14" s="265">
        <f>IF(E13="","",-1*E13)</f>
        <v>0</v>
      </c>
      <c r="F14" s="265">
        <f>IF(F13="","",-1*F13)</f>
        <v>0</v>
      </c>
      <c r="G14" s="265">
        <f>IF(G13="","",-1*G13)</f>
        <v>0</v>
      </c>
      <c r="I14" s="265">
        <f>IF(I13="","",-1*I13)</f>
        <v>0</v>
      </c>
      <c r="J14" s="265">
        <f>IF(J13="","",-1*J13)</f>
        <v>0</v>
      </c>
      <c r="K14" s="265">
        <f>IF(K13="","",-1*K13)</f>
        <v>0</v>
      </c>
      <c r="L14" s="265">
        <f>IF(L13="","",-1*L13)</f>
        <v>0</v>
      </c>
      <c r="N14" s="265">
        <f>IF(N13="","",-1*N13)</f>
        <v>0</v>
      </c>
      <c r="O14" s="265">
        <f>IF(O13="","",-1*O13)</f>
        <v>-182000</v>
      </c>
      <c r="P14" s="265">
        <f>IF(P13="","",-1*P13)</f>
        <v>-183000</v>
      </c>
      <c r="Q14" s="265">
        <f>IF(Q13="","",-1*Q13)</f>
        <v>-187000</v>
      </c>
      <c r="S14" s="265">
        <f>IF(S13="","",-1*S13)</f>
        <v>-82000</v>
      </c>
      <c r="T14" s="265">
        <f>IF(T13="","",-1*T13)</f>
        <v>-196000</v>
      </c>
      <c r="U14" s="265">
        <f>IF(U13="","",-1*U13)</f>
        <v>-176000</v>
      </c>
      <c r="V14" s="265">
        <f>IF(V13="","",-1*V13)</f>
        <v>-182000</v>
      </c>
      <c r="X14" s="265">
        <f>IF(X13="","",-1*X13)</f>
        <v>-158000</v>
      </c>
      <c r="Y14" s="265">
        <f>IF(Y13="","",-1*Y13)</f>
        <v>-39000</v>
      </c>
      <c r="Z14" s="265">
        <f>IF(Z13="","",-1*Z13)</f>
        <v>-210000</v>
      </c>
      <c r="AA14" s="265">
        <f>IF(AA13="","",-1*AA13)</f>
        <v>-194000</v>
      </c>
      <c r="AC14" s="265">
        <f>IF(AC13="","",-1*AC13)</f>
        <v>-178000</v>
      </c>
      <c r="AD14" s="265">
        <f>IF(AD13="","",-1*AD13)</f>
        <v>-194000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0</v>
      </c>
      <c r="E15" s="265">
        <f>IF(E13="","",E13)</f>
        <v>0</v>
      </c>
      <c r="F15" s="265">
        <f>IF(F13="","",F13)</f>
        <v>0</v>
      </c>
      <c r="G15" s="265">
        <f>IF(G13="","",G13)</f>
        <v>0</v>
      </c>
      <c r="I15" s="265">
        <f>IF(I13="","",I13)</f>
        <v>0</v>
      </c>
      <c r="J15" s="265">
        <f>IF(J13="","",J13)</f>
        <v>0</v>
      </c>
      <c r="K15" s="265">
        <f>IF(K13="","",K13)</f>
        <v>0</v>
      </c>
      <c r="L15" s="265">
        <f>IF(L13="","",L13)</f>
        <v>0</v>
      </c>
      <c r="N15" s="265">
        <f>IF(N13="","",N13)</f>
        <v>0</v>
      </c>
      <c r="O15" s="265">
        <f>IF(O13="","",O13)</f>
        <v>182000</v>
      </c>
      <c r="P15" s="265">
        <f>IF(P13="","",P13)</f>
        <v>183000</v>
      </c>
      <c r="Q15" s="265">
        <f>IF(Q13="","",Q13)</f>
        <v>187000</v>
      </c>
      <c r="S15" s="265">
        <f>IF(S13="","",S13)</f>
        <v>82000</v>
      </c>
      <c r="T15" s="265">
        <f>IF(T13="","",T13)</f>
        <v>196000</v>
      </c>
      <c r="U15" s="265">
        <f>IF(U13="","",U13)</f>
        <v>176000</v>
      </c>
      <c r="V15" s="265">
        <f>IF(V13="","",V13)</f>
        <v>182000</v>
      </c>
      <c r="X15" s="265">
        <f>IF(X13="","",X13)</f>
        <v>158000</v>
      </c>
      <c r="Y15" s="265">
        <f>IF(Y13="","",Y13)</f>
        <v>39000</v>
      </c>
      <c r="Z15" s="265">
        <f>IF(Z13="","",Z13)</f>
        <v>210000</v>
      </c>
      <c r="AA15" s="265">
        <f>IF(AA13="","",AA13)</f>
        <v>194000</v>
      </c>
      <c r="AC15" s="265">
        <f>IF(AC13="","",AC13)</f>
        <v>178000</v>
      </c>
      <c r="AD15" s="265">
        <f>IF(AD13="","",AD13)</f>
        <v>194000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602000</v>
      </c>
      <c r="E16" s="265" t="n">
        <v>1814000</v>
      </c>
      <c r="F16" s="265" t="n">
        <v>714000</v>
      </c>
      <c r="G16" s="265" t="n">
        <v>938000</v>
      </c>
      <c r="I16" s="265" t="n">
        <v>895000</v>
      </c>
      <c r="J16" s="265" t="n">
        <v>418000</v>
      </c>
      <c r="K16" s="265" t="n">
        <v>928000</v>
      </c>
      <c r="L16" s="265" t="n">
        <v>798000</v>
      </c>
      <c r="N16" s="265" t="n">
        <v>1021000</v>
      </c>
      <c r="O16" s="265" t="n">
        <v>990000</v>
      </c>
      <c r="P16" s="265" t="n">
        <v>955000</v>
      </c>
      <c r="Q16" s="265" t="n">
        <v>1152000</v>
      </c>
      <c r="S16" s="265" t="n">
        <v>850000</v>
      </c>
      <c r="T16" s="265" t="n">
        <v>1117000</v>
      </c>
      <c r="U16" s="265" t="n">
        <v>1054000</v>
      </c>
      <c r="V16" s="265" t="n">
        <v>1081000</v>
      </c>
      <c r="X16" s="265" t="n">
        <v>861000</v>
      </c>
      <c r="Y16" s="265" t="n">
        <v>1061000</v>
      </c>
      <c r="Z16" s="265" t="n">
        <v>1133000</v>
      </c>
      <c r="AA16" s="265" t="n">
        <v>873000</v>
      </c>
      <c r="AC16" s="265" t="n">
        <v>1153000</v>
      </c>
      <c r="AD16" s="265" t="n">
        <v>1205000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-602000</v>
      </c>
      <c r="E17" s="265">
        <f>IF(E16="","",-1*E16)</f>
        <v>-1814000</v>
      </c>
      <c r="F17" s="265">
        <f>IF(F16="","",-1*F16)</f>
        <v>-714000</v>
      </c>
      <c r="G17" s="265">
        <f>IF(G16="","",-1*G16)</f>
        <v>-938000</v>
      </c>
      <c r="I17" s="265">
        <f>IF(I16="","",-1*I16)</f>
        <v>-895000</v>
      </c>
      <c r="J17" s="265">
        <f>IF(J16="","",-1*J16)</f>
        <v>-418000</v>
      </c>
      <c r="K17" s="265">
        <f>IF(K16="","",-1*K16)</f>
        <v>-928000</v>
      </c>
      <c r="L17" s="265">
        <f>IF(L16="","",-1*L16)</f>
        <v>-798000</v>
      </c>
      <c r="N17" s="265">
        <f>IF(N16="","",-1*N16)</f>
        <v>-1021000</v>
      </c>
      <c r="O17" s="265">
        <f>IF(O16="","",-1*O16)</f>
        <v>-990000</v>
      </c>
      <c r="P17" s="265">
        <f>IF(P16="","",-1*P16)</f>
        <v>-955000</v>
      </c>
      <c r="Q17" s="265">
        <f>IF(Q16="","",-1*Q16)</f>
        <v>-1152000</v>
      </c>
      <c r="S17" s="265">
        <f>IF(S16="","",-1*S16)</f>
        <v>-850000</v>
      </c>
      <c r="T17" s="265">
        <f>IF(T16="","",-1*T16)</f>
        <v>-1117000</v>
      </c>
      <c r="U17" s="265">
        <f>IF(U16="","",-1*U16)</f>
        <v>-1054000</v>
      </c>
      <c r="V17" s="265">
        <f>IF(V16="","",-1*V16)</f>
        <v>-1081000</v>
      </c>
      <c r="X17" s="265">
        <f>IF(X16="","",-1*X16)</f>
        <v>-861000</v>
      </c>
      <c r="Y17" s="265">
        <f>IF(Y16="","",-1*Y16)</f>
        <v>-1061000</v>
      </c>
      <c r="Z17" s="265">
        <f>IF(Z16="","",-1*Z16)</f>
        <v>-1133000</v>
      </c>
      <c r="AA17" s="265">
        <f>IF(AA16="","",-1*AA16)</f>
        <v>-873000</v>
      </c>
      <c r="AC17" s="265">
        <f>IF(AC16="","",-1*AC16)</f>
        <v>-1153000</v>
      </c>
      <c r="AD17" s="265">
        <f>IF(AD16="","",-1*AD16)</f>
        <v>-1205000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3026000</v>
      </c>
      <c r="E18" s="265" t="n">
        <v>2575000</v>
      </c>
      <c r="F18" s="265" t="n">
        <v>3584000</v>
      </c>
      <c r="G18" s="265" t="n">
        <v>3959000</v>
      </c>
      <c r="I18" s="265" t="n">
        <v>3647000</v>
      </c>
      <c r="J18" s="265" t="n">
        <v>3411000</v>
      </c>
      <c r="K18" s="265" t="n">
        <v>3940000</v>
      </c>
      <c r="L18" s="265" t="n">
        <v>4179000</v>
      </c>
      <c r="N18" s="265" t="n">
        <v>4257000</v>
      </c>
      <c r="O18" s="265" t="n">
        <v>4156000</v>
      </c>
      <c r="P18" s="265" t="n">
        <v>4681000</v>
      </c>
      <c r="Q18" s="265" t="n">
        <v>4890000</v>
      </c>
      <c r="S18" s="265" t="n">
        <v>4663000</v>
      </c>
      <c r="T18" s="265" t="n">
        <v>4872000</v>
      </c>
      <c r="U18" s="265" t="n">
        <v>5318000</v>
      </c>
      <c r="V18" s="265" t="n">
        <v>5119000</v>
      </c>
      <c r="X18" s="265" t="n">
        <v>4577000</v>
      </c>
      <c r="Y18" s="265" t="n">
        <v>5272000</v>
      </c>
      <c r="Z18" s="265" t="n">
        <v>5090000</v>
      </c>
      <c r="AA18" s="265" t="n">
        <v>5853000</v>
      </c>
      <c r="AC18" s="265" t="n">
        <v>6021000</v>
      </c>
      <c r="AD18" s="265" t="n">
        <v>5628000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0</v>
      </c>
      <c r="E19" s="265">
        <f>N(E18)-(N(E11)-N(E16)-0)</f>
        <v>0</v>
      </c>
      <c r="F19" s="265">
        <f>N(F18)-(N(F11)-N(F16)-0)</f>
        <v>0</v>
      </c>
      <c r="G19" s="265">
        <f>N(G18)-(N(G11)-N(G16)-0)</f>
        <v>0</v>
      </c>
      <c r="I19" s="265">
        <f>N(I18)-(N(I11)-N(I16)-0)</f>
        <v>0</v>
      </c>
      <c r="J19" s="265">
        <f>N(J18)-(N(J11)-N(J16)-0)</f>
        <v>0</v>
      </c>
      <c r="K19" s="265">
        <f>N(K18)-(N(K11)-N(K16)-0)</f>
        <v>0</v>
      </c>
      <c r="L19" s="265">
        <f>N(L18)-(N(L11)-N(L16)-0)</f>
        <v>0</v>
      </c>
      <c r="N19" s="265">
        <f>N(N18)-(N(N11)-N(N16)-0)</f>
        <v>0</v>
      </c>
      <c r="O19" s="265">
        <f>N(O18)-(N(O11)-N(O16)-0)</f>
        <v>0</v>
      </c>
      <c r="P19" s="265">
        <f>N(P18)-(N(P11)-N(P16)-0)</f>
        <v>0</v>
      </c>
      <c r="Q19" s="265">
        <f>N(Q18)-(N(Q11)-N(Q16)-0)</f>
        <v>0</v>
      </c>
      <c r="S19" s="265">
        <f>N(S18)-(N(S11)-N(S16)-0)</f>
        <v>0</v>
      </c>
      <c r="T19" s="265">
        <f>N(T18)-(N(T11)-N(T16)-0)</f>
        <v>0</v>
      </c>
      <c r="U19" s="265">
        <f>N(U18)-(N(U11)-N(U16)-0)</f>
        <v>0</v>
      </c>
      <c r="V19" s="265">
        <f>N(V18)-(N(V11)-N(V16)-0)</f>
        <v>0</v>
      </c>
      <c r="X19" s="265">
        <f>N(X18)-(N(X11)-N(X16)-0)</f>
        <v>0</v>
      </c>
      <c r="Y19" s="265">
        <f>N(Y18)-(N(Y11)-N(Y16)-0)</f>
        <v>0</v>
      </c>
      <c r="Z19" s="265">
        <f>N(Z18)-(N(Z11)-N(Z16)-0)</f>
        <v>0</v>
      </c>
      <c r="AA19" s="265">
        <f>N(AA18)-(N(AA11)-N(AA16)-0)</f>
        <v>0</v>
      </c>
      <c r="AC19" s="265">
        <f>N(AC18)-(N(AC11)-N(AC16)-0)</f>
        <v>0</v>
      </c>
      <c r="AD19" s="265">
        <f>N(AD18)-(N(AD11)-N(AD16)-0)</f>
        <v>0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3026000</v>
      </c>
      <c r="E20" s="265">
        <f>N(E18)</f>
        <v>2575000</v>
      </c>
      <c r="F20" s="265">
        <f>N(F18)</f>
        <v>3584000</v>
      </c>
      <c r="G20" s="265">
        <f>N(G18)</f>
        <v>3959000</v>
      </c>
      <c r="I20" s="265">
        <f>N(I18)</f>
        <v>3647000</v>
      </c>
      <c r="J20" s="265">
        <f>N(J18)</f>
        <v>3411000</v>
      </c>
      <c r="K20" s="265">
        <f>N(K18)</f>
        <v>3940000</v>
      </c>
      <c r="L20" s="265">
        <f>N(L18)</f>
        <v>4179000</v>
      </c>
      <c r="N20" s="265">
        <f>N(N18)</f>
        <v>4257000</v>
      </c>
      <c r="O20" s="265">
        <f>N(O18)</f>
        <v>4156000</v>
      </c>
      <c r="P20" s="265">
        <f>N(P18)</f>
        <v>4681000</v>
      </c>
      <c r="Q20" s="265">
        <f>N(Q18)</f>
        <v>4890000</v>
      </c>
      <c r="S20" s="265">
        <f>N(S18)</f>
        <v>4663000</v>
      </c>
      <c r="T20" s="265">
        <f>N(T18)</f>
        <v>4872000</v>
      </c>
      <c r="U20" s="265">
        <f>N(U18)</f>
        <v>5318000</v>
      </c>
      <c r="V20" s="265">
        <f>N(V18)</f>
        <v>5119000</v>
      </c>
      <c r="X20" s="265">
        <f>N(X18)</f>
        <v>4577000</v>
      </c>
      <c r="Y20" s="265">
        <f>N(Y18)</f>
        <v>5272000</v>
      </c>
      <c r="Z20" s="265">
        <f>N(Z18)</f>
        <v>5090000</v>
      </c>
      <c r="AA20" s="265">
        <f>N(AA18)</f>
        <v>5853000</v>
      </c>
      <c r="AC20" s="265">
        <f>N(AC18)</f>
        <v>6021000</v>
      </c>
      <c r="AD20" s="265">
        <f>N(AD18)</f>
        <v>5628000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2" t="inlineStr">
        <is>
          <t>[linha bruta, sem código; lançada nas linhas abaixo]</t>
        </is>
      </c>
      <c r="D22" s="265" t="n">
        <v>201000</v>
      </c>
      <c r="E22" s="265" t="n">
        <v>204000</v>
      </c>
      <c r="F22" s="265" t="n">
        <v>202000</v>
      </c>
      <c r="G22" s="265" t="n">
        <v>198000</v>
      </c>
      <c r="I22" s="265" t="n">
        <v>207000</v>
      </c>
      <c r="J22" s="265" t="n">
        <v>230000</v>
      </c>
      <c r="K22" s="265" t="n">
        <v>226000</v>
      </c>
      <c r="L22" s="265" t="n">
        <v>227000</v>
      </c>
      <c r="N22" s="265" t="n">
        <v>234000</v>
      </c>
      <c r="O22" s="265" t="n">
        <v>235000</v>
      </c>
      <c r="P22" s="265" t="n">
        <v>247000</v>
      </c>
      <c r="Q22" s="265" t="n">
        <v>247000</v>
      </c>
      <c r="S22" s="265" t="n">
        <v>249000</v>
      </c>
      <c r="T22" s="265" t="n">
        <v>264000</v>
      </c>
      <c r="U22" s="265" t="n">
        <v>274000</v>
      </c>
      <c r="V22" s="265" t="n">
        <v>282000</v>
      </c>
      <c r="X22" s="265" t="n">
        <v>305000</v>
      </c>
      <c r="Y22" s="265" t="n">
        <v>317000</v>
      </c>
      <c r="Z22" s="265" t="n">
        <v>316000</v>
      </c>
      <c r="AA22" s="265" t="n">
        <v>326000</v>
      </c>
      <c r="AC22" s="265" t="n">
        <v>333000</v>
      </c>
      <c r="AD22" s="265" t="n">
        <v>367000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-201000</v>
      </c>
      <c r="E23" s="265">
        <f>IF(E22="","",-1*E22)</f>
        <v>-204000</v>
      </c>
      <c r="F23" s="265">
        <f>IF(F22="","",-1*F22)</f>
        <v>-202000</v>
      </c>
      <c r="G23" s="265">
        <f>IF(G22="","",-1*G22)</f>
        <v>-198000</v>
      </c>
      <c r="I23" s="265">
        <f>IF(I22="","",-1*I22)</f>
        <v>-207000</v>
      </c>
      <c r="J23" s="265">
        <f>IF(J22="","",-1*J22)</f>
        <v>-230000</v>
      </c>
      <c r="K23" s="265">
        <f>IF(K22="","",-1*K22)</f>
        <v>-226000</v>
      </c>
      <c r="L23" s="265">
        <f>IF(L22="","",-1*L22)</f>
        <v>-227000</v>
      </c>
      <c r="N23" s="265">
        <f>IF(N22="","",-1*N22)</f>
        <v>-234000</v>
      </c>
      <c r="O23" s="265">
        <f>IF(O22="","",-1*O22)</f>
        <v>-235000</v>
      </c>
      <c r="P23" s="265">
        <f>IF(P22="","",-1*P22)</f>
        <v>-247000</v>
      </c>
      <c r="Q23" s="265">
        <f>IF(Q22="","",-1*Q22)</f>
        <v>-247000</v>
      </c>
      <c r="S23" s="265">
        <f>IF(S22="","",-1*S22)</f>
        <v>-249000</v>
      </c>
      <c r="T23" s="265">
        <f>IF(T22="","",-1*T22)</f>
        <v>-264000</v>
      </c>
      <c r="U23" s="265">
        <f>IF(U22="","",-1*U22)</f>
        <v>-274000</v>
      </c>
      <c r="V23" s="265">
        <f>IF(V22="","",-1*V22)</f>
        <v>-282000</v>
      </c>
      <c r="X23" s="265">
        <f>IF(X22="","",-1*X22)</f>
        <v>-305000</v>
      </c>
      <c r="Y23" s="265">
        <f>IF(Y22="","",-1*Y22)</f>
        <v>-317000</v>
      </c>
      <c r="Z23" s="265">
        <f>IF(Z22="","",-1*Z22)</f>
        <v>-316000</v>
      </c>
      <c r="AA23" s="265">
        <f>IF(AA22="","",-1*AA22)</f>
        <v>-326000</v>
      </c>
      <c r="AC23" s="265">
        <f>IF(AC22="","",-1*AC22)</f>
        <v>-333000</v>
      </c>
      <c r="AD23" s="265">
        <f>IF(AD22="","",-1*AD22)</f>
        <v>-367000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201000</v>
      </c>
      <c r="E24" s="265">
        <f>IF(E22="","",E22)</f>
        <v>204000</v>
      </c>
      <c r="F24" s="265">
        <f>IF(F22="","",F22)</f>
        <v>202000</v>
      </c>
      <c r="G24" s="265">
        <f>IF(G22="","",G22)</f>
        <v>198000</v>
      </c>
      <c r="I24" s="265">
        <f>IF(I22="","",I22)</f>
        <v>207000</v>
      </c>
      <c r="J24" s="265">
        <f>IF(J22="","",J22)</f>
        <v>230000</v>
      </c>
      <c r="K24" s="265">
        <f>IF(K22="","",K22)</f>
        <v>226000</v>
      </c>
      <c r="L24" s="265">
        <f>IF(L22="","",L22)</f>
        <v>227000</v>
      </c>
      <c r="N24" s="265">
        <f>IF(N22="","",N22)</f>
        <v>234000</v>
      </c>
      <c r="O24" s="265">
        <f>IF(O22="","",O22)</f>
        <v>235000</v>
      </c>
      <c r="P24" s="265">
        <f>IF(P22="","",P22)</f>
        <v>247000</v>
      </c>
      <c r="Q24" s="265">
        <f>IF(Q22="","",Q22)</f>
        <v>247000</v>
      </c>
      <c r="S24" s="265">
        <f>IF(S22="","",S22)</f>
        <v>249000</v>
      </c>
      <c r="T24" s="265">
        <f>IF(T22="","",T22)</f>
        <v>264000</v>
      </c>
      <c r="U24" s="265">
        <f>IF(U22="","",U22)</f>
        <v>274000</v>
      </c>
      <c r="V24" s="265">
        <f>IF(V22="","",V22)</f>
        <v>282000</v>
      </c>
      <c r="X24" s="265">
        <f>IF(X22="","",X22)</f>
        <v>305000</v>
      </c>
      <c r="Y24" s="265">
        <f>IF(Y22="","",Y22)</f>
        <v>317000</v>
      </c>
      <c r="Z24" s="265">
        <f>IF(Z22="","",Z22)</f>
        <v>316000</v>
      </c>
      <c r="AA24" s="265">
        <f>IF(AA22="","",AA22)</f>
        <v>326000</v>
      </c>
      <c r="AC24" s="265">
        <f>IF(AC22="","",AC22)</f>
        <v>333000</v>
      </c>
      <c r="AD24" s="265">
        <f>IF(AD22="","",AD22)</f>
        <v>367000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701000</v>
      </c>
      <c r="E25" s="265" t="n">
        <v>698000</v>
      </c>
      <c r="F25" s="265" t="n">
        <v>696000</v>
      </c>
      <c r="G25" s="265" t="n">
        <v>809000</v>
      </c>
      <c r="I25" s="265" t="n">
        <v>802000</v>
      </c>
      <c r="J25" s="265" t="n">
        <v>798000</v>
      </c>
      <c r="K25" s="265" t="n">
        <v>794000</v>
      </c>
      <c r="L25" s="265" t="n">
        <v>945000</v>
      </c>
      <c r="N25" s="265" t="n">
        <v>941000</v>
      </c>
      <c r="O25" s="265" t="n">
        <v>937000</v>
      </c>
      <c r="P25" s="265" t="n">
        <v>928000</v>
      </c>
      <c r="Q25" s="265" t="n">
        <v>1060000</v>
      </c>
      <c r="S25" s="265" t="n">
        <v>1060000</v>
      </c>
      <c r="T25" s="265" t="n">
        <v>1056000</v>
      </c>
      <c r="U25" s="265" t="n">
        <v>1041000</v>
      </c>
      <c r="V25" s="265" t="n">
        <v>1170000</v>
      </c>
      <c r="X25" s="265" t="n">
        <v>1164000</v>
      </c>
      <c r="Y25" s="265" t="n">
        <v>1154000</v>
      </c>
      <c r="Z25" s="265" t="n">
        <v>1146000</v>
      </c>
      <c r="AA25" s="265" t="n">
        <v>1293000</v>
      </c>
      <c r="AC25" s="265" t="n">
        <v>1286000</v>
      </c>
      <c r="AD25" s="265" t="n">
        <v>1273000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-701000</v>
      </c>
      <c r="E26" s="265">
        <f>IF(E25="","",-1*E25)</f>
        <v>-698000</v>
      </c>
      <c r="F26" s="265">
        <f>IF(F25="","",-1*F25)</f>
        <v>-696000</v>
      </c>
      <c r="G26" s="265">
        <f>IF(G25="","",-1*G25)</f>
        <v>-809000</v>
      </c>
      <c r="I26" s="265">
        <f>IF(I25="","",-1*I25)</f>
        <v>-802000</v>
      </c>
      <c r="J26" s="265">
        <f>IF(J25="","",-1*J25)</f>
        <v>-798000</v>
      </c>
      <c r="K26" s="265">
        <f>IF(K25="","",-1*K25)</f>
        <v>-794000</v>
      </c>
      <c r="L26" s="265">
        <f>IF(L25="","",-1*L25)</f>
        <v>-945000</v>
      </c>
      <c r="N26" s="265">
        <f>IF(N25="","",-1*N25)</f>
        <v>-941000</v>
      </c>
      <c r="O26" s="265">
        <f>IF(O25="","",-1*O25)</f>
        <v>-937000</v>
      </c>
      <c r="P26" s="265">
        <f>IF(P25="","",-1*P25)</f>
        <v>-928000</v>
      </c>
      <c r="Q26" s="265">
        <f>IF(Q25="","",-1*Q25)</f>
        <v>-1060000</v>
      </c>
      <c r="S26" s="265">
        <f>IF(S25="","",-1*S25)</f>
        <v>-1060000</v>
      </c>
      <c r="T26" s="265">
        <f>IF(T25="","",-1*T25)</f>
        <v>-1056000</v>
      </c>
      <c r="U26" s="265">
        <f>IF(U25="","",-1*U25)</f>
        <v>-1041000</v>
      </c>
      <c r="V26" s="265">
        <f>IF(V25="","",-1*V25)</f>
        <v>-1170000</v>
      </c>
      <c r="X26" s="265">
        <f>IF(X25="","",-1*X25)</f>
        <v>-1164000</v>
      </c>
      <c r="Y26" s="265">
        <f>IF(Y25="","",-1*Y25)</f>
        <v>-1154000</v>
      </c>
      <c r="Z26" s="265">
        <f>IF(Z25="","",-1*Z25)</f>
        <v>-1146000</v>
      </c>
      <c r="AA26" s="265">
        <f>IF(AA25="","",-1*AA25)</f>
        <v>-1293000</v>
      </c>
      <c r="AC26" s="265">
        <f>IF(AC25="","",-1*AC25)</f>
        <v>-1286000</v>
      </c>
      <c r="AD26" s="265">
        <f>IF(AD25="","",-1*AD25)</f>
        <v>-1273000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16494000</v>
      </c>
      <c r="E28" s="265" t="n">
        <v>18034000</v>
      </c>
      <c r="F28" s="265" t="n">
        <v>16487000</v>
      </c>
      <c r="G28" s="265" t="n">
        <v>14720000</v>
      </c>
      <c r="I28" s="265" t="n">
        <v>12299000</v>
      </c>
      <c r="J28" s="265" t="n">
        <v>14047000</v>
      </c>
      <c r="K28" s="265" t="n">
        <v>15689000</v>
      </c>
      <c r="L28" s="265" t="n">
        <v>13334000</v>
      </c>
      <c r="N28" s="265" t="n">
        <v>13842000</v>
      </c>
      <c r="O28" s="265" t="n">
        <v>15590000</v>
      </c>
      <c r="P28" s="265" t="n">
        <v>16286000</v>
      </c>
      <c r="Q28" s="265" t="n">
        <v>13591000</v>
      </c>
      <c r="S28" s="265" t="n">
        <v>12993000</v>
      </c>
      <c r="T28" s="265" t="n">
        <v>12947000</v>
      </c>
      <c r="U28" s="265" t="n">
        <v>11975000</v>
      </c>
      <c r="V28" s="265" t="n">
        <v>12367000</v>
      </c>
      <c r="X28" s="265" t="n">
        <v>11734000</v>
      </c>
      <c r="Y28" s="265" t="n">
        <v>17092000</v>
      </c>
      <c r="Z28" s="265" t="n">
        <v>17164000</v>
      </c>
      <c r="AA28" s="265" t="n">
        <v>14756000</v>
      </c>
      <c r="AC28" s="265" t="n">
        <v>12404000</v>
      </c>
      <c r="AD28" s="265" t="n">
        <v>12359000</v>
      </c>
    </row>
    <row r="29">
      <c r="A29" t="inlineStr">
        <is>
          <t>AccountsReceivableNetCurrent · fonte · unid. moeda</t>
        </is>
      </c>
      <c r="B29" t="n">
        <v>12</v>
      </c>
      <c r="C29" t="inlineStr">
        <is>
          <t>Accounts receivable</t>
        </is>
      </c>
      <c r="D29" s="265" t="n">
        <v>1791000</v>
      </c>
      <c r="E29" s="265" t="n">
        <v>1852000</v>
      </c>
      <c r="F29" s="265" t="n">
        <v>1968000</v>
      </c>
      <c r="G29" s="265" t="n">
        <v>2168000</v>
      </c>
      <c r="I29" s="265" t="n">
        <v>2135000</v>
      </c>
      <c r="J29" s="265" t="n">
        <v>2021000</v>
      </c>
      <c r="K29" s="265" t="n">
        <v>2020000</v>
      </c>
      <c r="L29" s="265" t="n">
        <v>2113000</v>
      </c>
      <c r="N29" s="265" t="n">
        <v>2122000</v>
      </c>
      <c r="O29" s="265" t="n">
        <v>2282000</v>
      </c>
      <c r="P29" s="265" t="n">
        <v>2291000</v>
      </c>
      <c r="Q29" s="265" t="n">
        <v>2506000</v>
      </c>
      <c r="S29" s="265" t="n">
        <v>2272000</v>
      </c>
      <c r="T29" s="265" t="n">
        <v>2521000</v>
      </c>
      <c r="U29" s="265" t="n">
        <v>2561000</v>
      </c>
      <c r="V29" s="265" t="n">
        <v>2590000</v>
      </c>
      <c r="X29" s="265" t="n">
        <v>2719000</v>
      </c>
      <c r="Y29" s="265" t="n">
        <v>2920000</v>
      </c>
      <c r="Z29" s="265" t="n">
        <v>3126000</v>
      </c>
      <c r="AA29" s="265" t="n">
        <v>3231000</v>
      </c>
      <c r="AC29" s="265" t="n">
        <v>3405000</v>
      </c>
      <c r="AD29" s="265" t="n">
        <v>3527000</v>
      </c>
    </row>
    <row r="30">
      <c r="A30" t="inlineStr">
        <is>
          <t>RestrictedCashAndCashEquivalentsU.S.LitigationEscrow · fonte · unid. moeda</t>
        </is>
      </c>
      <c r="B30" t="n">
        <v>16</v>
      </c>
      <c r="C30" t="inlineStr">
        <is>
          <t>Other current assets</t>
        </is>
      </c>
      <c r="D30" s="265" t="n">
        <v>894000</v>
      </c>
      <c r="E30" s="265" t="n">
        <v>894000</v>
      </c>
      <c r="F30" s="265" t="n">
        <v>894000</v>
      </c>
      <c r="G30" s="265" t="n">
        <v>1144000</v>
      </c>
      <c r="I30" s="265" t="n">
        <v>882000</v>
      </c>
      <c r="J30" s="265" t="n">
        <v>1483000</v>
      </c>
      <c r="K30" s="265" t="n">
        <v>1449000</v>
      </c>
      <c r="L30" s="265" t="n">
        <v>1705000</v>
      </c>
      <c r="N30" s="265" t="n">
        <v>1616000</v>
      </c>
      <c r="O30" s="265" t="n">
        <v>1627000</v>
      </c>
      <c r="P30" s="265" t="n">
        <v>1764000</v>
      </c>
      <c r="Q30" s="265" t="n">
        <v>1616000</v>
      </c>
      <c r="S30" s="265" t="n">
        <v>1584000</v>
      </c>
      <c r="T30" s="265" t="n">
        <v>1596000</v>
      </c>
      <c r="U30" s="265" t="n">
        <v>3089000</v>
      </c>
      <c r="V30" s="265" t="n">
        <v>3112000</v>
      </c>
      <c r="X30" s="265" t="n">
        <v>2926000</v>
      </c>
      <c r="Y30" s="265" t="n">
        <v>2696000</v>
      </c>
      <c r="Z30" s="265" t="n">
        <v>2990000</v>
      </c>
      <c r="AA30" s="265" t="n">
        <v>3300000</v>
      </c>
      <c r="AC30" s="265" t="n">
        <v>665000</v>
      </c>
      <c r="AD30" s="265" t="n">
        <v>888000</v>
      </c>
    </row>
    <row r="31">
      <c r="A31" t="inlineStr">
        <is>
          <t>Investments · fonte · unid. moeda</t>
        </is>
      </c>
      <c r="B31" t="n">
        <v>16</v>
      </c>
      <c r="C31" t="inlineStr">
        <is>
          <t>Other current assets</t>
        </is>
      </c>
      <c r="D31" s="265" t="n">
        <v>2058000</v>
      </c>
      <c r="E31" s="265" t="n">
        <v>1206000</v>
      </c>
      <c r="F31" s="265" t="n">
        <v>2025000</v>
      </c>
      <c r="G31" s="265" t="n">
        <v>1201000</v>
      </c>
      <c r="I31" s="265" t="n">
        <v>1230000</v>
      </c>
      <c r="J31" s="265" t="n">
        <v>3309000</v>
      </c>
      <c r="K31" s="265" t="n">
        <v>2833000</v>
      </c>
      <c r="L31" s="265" t="n">
        <v>2785000</v>
      </c>
      <c r="N31" s="265" t="n">
        <v>2752000</v>
      </c>
      <c r="O31" s="265" t="n">
        <v>3166000</v>
      </c>
      <c r="P31" s="265" t="n">
        <v>3842000</v>
      </c>
      <c r="Q31" s="265" t="n">
        <v>5005000</v>
      </c>
      <c r="S31" s="265" t="n">
        <v>4710000</v>
      </c>
      <c r="T31" s="265" t="n">
        <v>3697000</v>
      </c>
      <c r="U31" s="265" t="n">
        <v>3200000</v>
      </c>
      <c r="V31" s="265" t="n">
        <v>1967000</v>
      </c>
      <c r="X31" s="265" t="n">
        <v>2017000</v>
      </c>
      <c r="Y31" s="265" t="n">
        <v>2088000</v>
      </c>
      <c r="Z31" s="265" t="n">
        <v>1833000</v>
      </c>
      <c r="AA31" s="265" t="n">
        <v>1641000</v>
      </c>
      <c r="AC31" s="265" t="n">
        <v>1509000</v>
      </c>
      <c r="AD31" s="265" t="n">
        <v>1433000</v>
      </c>
    </row>
    <row r="32">
      <c r="A32" t="inlineStr">
        <is>
          <t>SettlementReceivable · fonte · unid. moeda</t>
        </is>
      </c>
      <c r="B32" t="n">
        <v>16</v>
      </c>
      <c r="C32" t="inlineStr">
        <is>
          <t>Other current assets</t>
        </is>
      </c>
      <c r="D32" s="265" t="n">
        <v>1434000</v>
      </c>
      <c r="E32" s="265" t="n">
        <v>1663000</v>
      </c>
      <c r="F32" s="265" t="n">
        <v>1758000</v>
      </c>
      <c r="G32" s="265" t="n">
        <v>1788000</v>
      </c>
      <c r="I32" s="265" t="n">
        <v>1632000</v>
      </c>
      <c r="J32" s="265" t="n">
        <v>1860000</v>
      </c>
      <c r="K32" s="265" t="n">
        <v>1932000</v>
      </c>
      <c r="L32" s="265" t="n">
        <v>2127000</v>
      </c>
      <c r="N32" s="265" t="n">
        <v>1942000</v>
      </c>
      <c r="O32" s="265" t="n">
        <v>2454000</v>
      </c>
      <c r="P32" s="265" t="n">
        <v>2183000</v>
      </c>
      <c r="Q32" s="265" t="n">
        <v>2525000</v>
      </c>
      <c r="S32" s="265" t="n">
        <v>3558000</v>
      </c>
      <c r="T32" s="265" t="n">
        <v>2128000</v>
      </c>
      <c r="U32" s="265" t="n">
        <v>4454000</v>
      </c>
      <c r="V32" s="265" t="n">
        <v>3683000</v>
      </c>
      <c r="X32" s="265" t="n">
        <v>4244000</v>
      </c>
      <c r="Y32" s="265" t="n">
        <v>4778000</v>
      </c>
      <c r="Z32" s="265" t="n">
        <v>4191000</v>
      </c>
      <c r="AA32" s="265" t="n">
        <v>3212000</v>
      </c>
      <c r="AC32" s="265" t="n">
        <v>2136000</v>
      </c>
      <c r="AD32" s="265" t="n">
        <v>2400000</v>
      </c>
    </row>
    <row r="33">
      <c r="A33" t="inlineStr">
        <is>
          <t>CustomerCollateralAssets · fonte · unid. moeda</t>
        </is>
      </c>
      <c r="B33" t="n">
        <v>16</v>
      </c>
      <c r="C33" t="inlineStr">
        <is>
          <t>Other current assets</t>
        </is>
      </c>
      <c r="D33" s="265" t="n">
        <v>2057000</v>
      </c>
      <c r="E33" s="265" t="n">
        <v>2221000</v>
      </c>
      <c r="F33" s="265" t="n">
        <v>2260000</v>
      </c>
      <c r="G33" s="265" t="n">
        <v>2284000</v>
      </c>
      <c r="I33" s="265" t="n">
        <v>2309000</v>
      </c>
      <c r="J33" s="265" t="n">
        <v>2261000</v>
      </c>
      <c r="K33" s="265" t="n">
        <v>2342000</v>
      </c>
      <c r="L33" s="265" t="n">
        <v>2591000</v>
      </c>
      <c r="N33" s="265" t="n">
        <v>2739000</v>
      </c>
      <c r="O33" s="265" t="n">
        <v>2907000</v>
      </c>
      <c r="P33" s="265" t="n">
        <v>3005000</v>
      </c>
      <c r="Q33" s="265" t="n">
        <v>3164000</v>
      </c>
      <c r="S33" s="265" t="n">
        <v>3367000</v>
      </c>
      <c r="T33" s="265" t="n">
        <v>3472000</v>
      </c>
      <c r="U33" s="265" t="n">
        <v>3524000</v>
      </c>
      <c r="V33" s="265" t="n">
        <v>3518000</v>
      </c>
      <c r="X33" s="265" t="n">
        <v>3543000</v>
      </c>
      <c r="Y33" s="265" t="n">
        <v>3614000</v>
      </c>
      <c r="Z33" s="265" t="n">
        <v>3625000</v>
      </c>
      <c r="AA33" s="265" t="n">
        <v>3712000</v>
      </c>
      <c r="AC33" s="265" t="n">
        <v>4292000</v>
      </c>
      <c r="AD33" s="265" t="n">
        <v>4310000</v>
      </c>
    </row>
    <row r="34">
      <c r="A34" t="inlineStr">
        <is>
          <t>ClientIncentivesAssetsCurrent · fonte · unid. moeda</t>
        </is>
      </c>
      <c r="B34" t="n">
        <v>16</v>
      </c>
      <c r="C34" t="inlineStr">
        <is>
          <t>Other current assets</t>
        </is>
      </c>
      <c r="D34" s="265" t="n">
        <v>1324000</v>
      </c>
      <c r="E34" s="265" t="n">
        <v>1321000</v>
      </c>
      <c r="F34" s="265" t="n">
        <v>1359000</v>
      </c>
      <c r="G34" s="265" t="n">
        <v>1334000</v>
      </c>
      <c r="I34" s="265" t="n">
        <v>1309000</v>
      </c>
      <c r="J34" s="265" t="n">
        <v>1323000</v>
      </c>
      <c r="K34" s="265" t="n">
        <v>1272000</v>
      </c>
      <c r="L34" s="265" t="n">
        <v>1402000</v>
      </c>
      <c r="N34" s="265" t="n">
        <v>1477000</v>
      </c>
      <c r="O34" s="265" t="n">
        <v>1525000</v>
      </c>
      <c r="P34" s="265" t="n">
        <v>1577000</v>
      </c>
      <c r="Q34" s="265" t="n">
        <v>1572000</v>
      </c>
      <c r="S34" s="265" t="n">
        <v>1740000</v>
      </c>
      <c r="T34" s="265" t="n">
        <v>1821000</v>
      </c>
      <c r="U34" s="265" t="n">
        <v>1918000</v>
      </c>
      <c r="V34" s="265" t="n">
        <v>1992000</v>
      </c>
      <c r="X34" s="265" t="n">
        <v>2175000</v>
      </c>
      <c r="Y34" s="265" t="n">
        <v>2198000</v>
      </c>
      <c r="Z34" s="265" t="n">
        <v>2158000</v>
      </c>
      <c r="AA34" s="265" t="n">
        <v>2280000</v>
      </c>
      <c r="AC34" s="265" t="n">
        <v>2473000</v>
      </c>
      <c r="AD34" s="265" t="n">
        <v>2523000</v>
      </c>
    </row>
    <row r="35">
      <c r="A35" t="inlineStr">
        <is>
          <t>PrepaidExpenseAndOtherAssetsCurrent · fonte · unid. moeda</t>
        </is>
      </c>
      <c r="B35" t="n">
        <v>16</v>
      </c>
      <c r="C35" t="inlineStr">
        <is>
          <t>Other current assets</t>
        </is>
      </c>
      <c r="D35" s="265" t="n">
        <v>849000</v>
      </c>
      <c r="E35" s="265" t="n">
        <v>851000</v>
      </c>
      <c r="F35" s="265" t="n">
        <v>856000</v>
      </c>
      <c r="G35" s="265" t="n">
        <v>1267000</v>
      </c>
      <c r="I35" s="265" t="n">
        <v>2295000</v>
      </c>
      <c r="J35" s="265" t="n">
        <v>2667000</v>
      </c>
      <c r="K35" s="265" t="n">
        <v>2668000</v>
      </c>
      <c r="L35" s="265" t="n">
        <v>1802000</v>
      </c>
      <c r="N35" s="265" t="n">
        <v>2167000</v>
      </c>
      <c r="O35" s="265" t="n">
        <v>2119000</v>
      </c>
      <c r="P35" s="265" t="n">
        <v>2584000</v>
      </c>
      <c r="Q35" s="265" t="n">
        <v>2753000</v>
      </c>
      <c r="S35" s="265" t="n">
        <v>2551000</v>
      </c>
      <c r="T35" s="265" t="n">
        <v>2857000</v>
      </c>
      <c r="U35" s="265" t="n">
        <v>3312000</v>
      </c>
      <c r="V35" s="265" t="n">
        <v>3393000</v>
      </c>
      <c r="X35" s="265" t="n">
        <v>3576000</v>
      </c>
      <c r="Y35" s="265" t="n">
        <v>3012000</v>
      </c>
      <c r="Z35" s="265" t="n">
        <v>2679000</v>
      </c>
      <c r="AA35" s="265" t="n">
        <v>2865000</v>
      </c>
      <c r="AC35" s="265" t="n">
        <v>4741000</v>
      </c>
      <c r="AD35" s="265" t="n">
        <v>3562000</v>
      </c>
    </row>
    <row r="36">
      <c r="A36" t="inlineStr">
        <is>
          <t>PropertyPlantAndEquipmentNet · fonte · unid. moeda</t>
        </is>
      </c>
      <c r="B36" t="n">
        <v>18</v>
      </c>
      <c r="C36" t="inlineStr">
        <is>
          <t>PP&amp;E</t>
        </is>
      </c>
      <c r="D36" s="265" t="n">
        <v>2684000</v>
      </c>
      <c r="E36" s="265" t="n">
        <v>2707000</v>
      </c>
      <c r="F36" s="265" t="n">
        <v>2715000</v>
      </c>
      <c r="G36" s="265" t="n">
        <v>2908000</v>
      </c>
      <c r="I36" s="265" t="n">
        <v>3120000</v>
      </c>
      <c r="J36" s="265" t="n">
        <v>3146000</v>
      </c>
      <c r="K36" s="265" t="n">
        <v>3223000</v>
      </c>
      <c r="L36" s="265" t="n">
        <v>3236000</v>
      </c>
      <c r="N36" s="265" t="n">
        <v>3359000</v>
      </c>
      <c r="O36" s="265" t="n">
        <v>3370000</v>
      </c>
      <c r="P36" s="265" t="n">
        <v>3425000</v>
      </c>
      <c r="Q36" s="265" t="n">
        <v>3472000</v>
      </c>
      <c r="S36" s="265" t="n">
        <v>3630000</v>
      </c>
      <c r="T36" s="265" t="n">
        <v>3766000</v>
      </c>
      <c r="U36" s="265" t="n">
        <v>3824000</v>
      </c>
      <c r="V36" s="265" t="n">
        <v>3974000</v>
      </c>
      <c r="X36" s="265" t="n">
        <v>4023000</v>
      </c>
      <c r="Y36" s="265" t="n">
        <v>4143000</v>
      </c>
      <c r="Z36" s="265" t="n">
        <v>4236000</v>
      </c>
      <c r="AA36" s="265" t="n">
        <v>4276000</v>
      </c>
      <c r="AC36" s="265" t="n">
        <v>4778000</v>
      </c>
      <c r="AD36" s="265" t="n">
        <v>4858000</v>
      </c>
    </row>
    <row r="37">
      <c r="A37" t="inlineStr">
        <is>
          <t>Goodwill · fonte · unid. moeda</t>
        </is>
      </c>
      <c r="B37" t="n">
        <v>20</v>
      </c>
      <c r="C37" t="inlineStr">
        <is>
          <t>Goodwill</t>
        </is>
      </c>
      <c r="D37" s="265" t="n">
        <v>15980000</v>
      </c>
      <c r="E37" s="265" t="n">
        <v>16021000</v>
      </c>
      <c r="F37" s="265" t="n">
        <v>15958000</v>
      </c>
      <c r="G37" s="265" t="n">
        <v>16555000</v>
      </c>
      <c r="I37" s="265" t="n">
        <v>18143000</v>
      </c>
      <c r="J37" s="265" t="n">
        <v>17977000</v>
      </c>
      <c r="K37" s="265" t="n">
        <v>17787000</v>
      </c>
      <c r="L37" s="265" t="n">
        <v>18024000</v>
      </c>
      <c r="N37" s="265" t="n">
        <v>18078000</v>
      </c>
      <c r="O37" s="265" t="n">
        <v>18082000</v>
      </c>
      <c r="P37" s="265" t="n">
        <v>17997000</v>
      </c>
      <c r="Q37" s="265" t="n">
        <v>18120000</v>
      </c>
      <c r="S37" s="265" t="n">
        <v>18837000</v>
      </c>
      <c r="T37" s="265" t="n">
        <v>18816000</v>
      </c>
      <c r="U37" s="265" t="n">
        <v>18941000</v>
      </c>
      <c r="V37" s="265" t="n">
        <v>19548000</v>
      </c>
      <c r="X37" s="265" t="n">
        <v>19641000</v>
      </c>
      <c r="Y37" s="265" t="n">
        <v>19880000</v>
      </c>
      <c r="Z37" s="265" t="n">
        <v>19879000</v>
      </c>
      <c r="AA37" s="265" t="n">
        <v>19885000</v>
      </c>
      <c r="AC37" s="265" t="n">
        <v>20891000</v>
      </c>
      <c r="AD37" s="265" t="n">
        <v>20825000</v>
      </c>
    </row>
    <row r="38">
      <c r="A38" t="inlineStr">
        <is>
          <t>IntangibleAssetsNetExcludingGoodwill · fonte · unid. moeda</t>
        </is>
      </c>
      <c r="B38" t="n">
        <v>21</v>
      </c>
      <c r="C38" t="inlineStr">
        <is>
          <t>Intangibles</t>
        </is>
      </c>
      <c r="D38" s="265" t="n">
        <v>27823000</v>
      </c>
      <c r="E38" s="265" t="n">
        <v>28023000</v>
      </c>
      <c r="F38" s="265" t="n">
        <v>27664000</v>
      </c>
      <c r="G38" s="265" t="n">
        <v>27272000</v>
      </c>
      <c r="I38" s="265" t="n">
        <v>27006000</v>
      </c>
      <c r="J38" s="265" t="n">
        <v>26093000</v>
      </c>
      <c r="K38" s="265" t="n">
        <v>25065000</v>
      </c>
      <c r="L38" s="265" t="n">
        <v>26307000</v>
      </c>
      <c r="N38" s="265" t="n">
        <v>26574000</v>
      </c>
      <c r="O38" s="265" t="n">
        <v>26576000</v>
      </c>
      <c r="P38" s="265" t="n">
        <v>26104000</v>
      </c>
      <c r="Q38" s="265" t="n">
        <v>26739000</v>
      </c>
      <c r="S38" s="265" t="n">
        <v>26375000</v>
      </c>
      <c r="T38" s="265" t="n">
        <v>26243000</v>
      </c>
      <c r="U38" s="265" t="n">
        <v>26889000</v>
      </c>
      <c r="V38" s="265" t="n">
        <v>25889000</v>
      </c>
      <c r="X38" s="265" t="n">
        <v>26408000</v>
      </c>
      <c r="Y38" s="265" t="n">
        <v>27660000</v>
      </c>
      <c r="Z38" s="265" t="n">
        <v>27646000</v>
      </c>
      <c r="AA38" s="265" t="n">
        <v>27664000</v>
      </c>
      <c r="AC38" s="265" t="n">
        <v>27750000</v>
      </c>
      <c r="AD38" s="265" t="n">
        <v>27532000</v>
      </c>
    </row>
    <row r="39">
      <c r="A39" t="inlineStr">
        <is>
          <t>LongTermInvestments · fonte · unid. moeda</t>
        </is>
      </c>
      <c r="B39" t="n">
        <v>22</v>
      </c>
      <c r="C39" t="inlineStr">
        <is>
          <t>Other non-current assets</t>
        </is>
      </c>
      <c r="D39" s="265" t="n">
        <v>110000</v>
      </c>
      <c r="E39" s="265" t="n">
        <v>1111000</v>
      </c>
      <c r="F39" s="265" t="n">
        <v>1705000</v>
      </c>
      <c r="G39" s="265" t="n">
        <v>2087000</v>
      </c>
      <c r="I39" s="265" t="n">
        <v>2296000</v>
      </c>
      <c r="J39" s="265" t="n">
        <v>2240000</v>
      </c>
      <c r="K39" s="265" t="n">
        <v>2136000</v>
      </c>
      <c r="L39" s="265" t="n">
        <v>2735000</v>
      </c>
      <c r="N39" s="265" t="n">
        <v>2840000</v>
      </c>
      <c r="O39" s="265" t="n">
        <v>2122000</v>
      </c>
      <c r="P39" s="265" t="n">
        <v>1921000</v>
      </c>
      <c r="Q39" s="265" t="n">
        <v>2809000</v>
      </c>
      <c r="S39" s="265" t="n">
        <v>3092000</v>
      </c>
      <c r="T39" s="265" t="n">
        <v>3037000</v>
      </c>
      <c r="U39" s="265" t="n">
        <v>2545000</v>
      </c>
      <c r="V39" s="265" t="n">
        <v>1757000</v>
      </c>
      <c r="X39" s="265" t="n">
        <v>1470000</v>
      </c>
      <c r="Y39" s="265" t="n">
        <v>1203000</v>
      </c>
      <c r="Z39" s="265" t="n">
        <v>999000</v>
      </c>
      <c r="AA39" s="265" t="n">
        <v>484000</v>
      </c>
      <c r="AC39" s="265" t="n">
        <v>308000</v>
      </c>
      <c r="AD39" s="265" t="n">
        <v>150000</v>
      </c>
    </row>
    <row r="40">
      <c r="A40" t="inlineStr">
        <is>
          <t>ClientIncentivesAssetsNoncurrent · fonte · unid. moeda</t>
        </is>
      </c>
      <c r="B40" t="n">
        <v>22</v>
      </c>
      <c r="C40" t="inlineStr">
        <is>
          <t>Other non-current assets</t>
        </is>
      </c>
      <c r="D40" s="265" t="n">
        <v>3252000</v>
      </c>
      <c r="E40" s="265" t="n">
        <v>3219000</v>
      </c>
      <c r="F40" s="265" t="n">
        <v>3245000</v>
      </c>
      <c r="G40" s="265" t="n">
        <v>3290000</v>
      </c>
      <c r="I40" s="265" t="n">
        <v>3256000</v>
      </c>
      <c r="J40" s="265" t="n">
        <v>3321000</v>
      </c>
      <c r="K40" s="265" t="n">
        <v>3348000</v>
      </c>
      <c r="L40" s="265" t="n">
        <v>3657000</v>
      </c>
      <c r="N40" s="265" t="n">
        <v>3737000</v>
      </c>
      <c r="O40" s="265" t="n">
        <v>3811000</v>
      </c>
      <c r="P40" s="265" t="n">
        <v>3789000</v>
      </c>
      <c r="Q40" s="265" t="n">
        <v>3941000</v>
      </c>
      <c r="S40" s="265" t="n">
        <v>3998000</v>
      </c>
      <c r="T40" s="265" t="n">
        <v>4133000</v>
      </c>
      <c r="U40" s="265" t="n">
        <v>4628000</v>
      </c>
      <c r="V40" s="265" t="n">
        <v>4631000</v>
      </c>
      <c r="X40" s="265" t="n">
        <v>4760000</v>
      </c>
      <c r="Y40" s="265" t="n">
        <v>5005000</v>
      </c>
      <c r="Z40" s="265" t="n">
        <v>5157000</v>
      </c>
      <c r="AA40" s="265" t="n">
        <v>5541000</v>
      </c>
      <c r="AC40" s="265" t="n">
        <v>5514000</v>
      </c>
      <c r="AD40" s="265" t="n">
        <v>5884000</v>
      </c>
    </row>
    <row r="41">
      <c r="A41" t="inlineStr">
        <is>
          <t>OtherAssetsNoncurrent · fonte · unid. moeda</t>
        </is>
      </c>
      <c r="B41" t="n">
        <v>22</v>
      </c>
      <c r="C41" t="inlineStr">
        <is>
          <t>Other non-current assets</t>
        </is>
      </c>
      <c r="D41" s="265" t="n">
        <v>3445000</v>
      </c>
      <c r="E41" s="265" t="n">
        <v>3548000</v>
      </c>
      <c r="F41" s="265" t="n">
        <v>4002000</v>
      </c>
      <c r="G41" s="265" t="n">
        <v>3911000</v>
      </c>
      <c r="I41" s="265" t="n">
        <v>3896000</v>
      </c>
      <c r="J41" s="265" t="n">
        <v>3662000</v>
      </c>
      <c r="K41" s="265" t="n">
        <v>3737000</v>
      </c>
      <c r="L41" s="265" t="n">
        <v>3569000</v>
      </c>
      <c r="N41" s="265" t="n">
        <v>3510000</v>
      </c>
      <c r="O41" s="265" t="n">
        <v>3603000</v>
      </c>
      <c r="P41" s="265" t="n">
        <v>3731000</v>
      </c>
      <c r="Q41" s="265" t="n">
        <v>3596000</v>
      </c>
      <c r="S41" s="265" t="n">
        <v>3692000</v>
      </c>
      <c r="T41" s="265" t="n">
        <v>4006000</v>
      </c>
      <c r="U41" s="265" t="n">
        <v>3651000</v>
      </c>
      <c r="V41" s="265" t="n">
        <v>3467000</v>
      </c>
      <c r="X41" s="265" t="n">
        <v>3617000</v>
      </c>
      <c r="Y41" s="265" t="n">
        <v>3735000</v>
      </c>
      <c r="Z41" s="265" t="n">
        <v>3944000</v>
      </c>
      <c r="AA41" s="265" t="n">
        <v>3967000</v>
      </c>
      <c r="AC41" s="265" t="n">
        <v>4183000</v>
      </c>
      <c r="AD41" s="265" t="n">
        <v>4339000</v>
      </c>
    </row>
    <row r="42">
      <c r="A42" t="inlineStr">
        <is>
          <t>AvailableForSaleSecuritiesDebtSecuritiesNoncurrent · fonte · unid. moeda</t>
        </is>
      </c>
      <c r="B42" t="n">
        <v>22</v>
      </c>
      <c r="C42" t="inlineStr">
        <is>
          <t>Other non-current assets</t>
        </is>
      </c>
      <c r="D42" s="265" t="n">
        <v>0</v>
      </c>
      <c r="E42" s="265" t="n">
        <v>0</v>
      </c>
      <c r="F42" s="265" t="n">
        <v>0</v>
      </c>
      <c r="G42" s="265" t="n">
        <v>0</v>
      </c>
      <c r="I42" s="265" t="n">
        <v>0</v>
      </c>
      <c r="J42" s="265" t="n">
        <v>0</v>
      </c>
      <c r="K42" s="265" t="n">
        <v>0</v>
      </c>
      <c r="L42" s="265" t="n">
        <v>0</v>
      </c>
      <c r="N42" s="265" t="n">
        <v>0</v>
      </c>
      <c r="O42" s="265" t="n">
        <v>0</v>
      </c>
      <c r="P42" s="265" t="n">
        <v>0</v>
      </c>
      <c r="Q42" s="265" t="n">
        <v>0</v>
      </c>
      <c r="S42" s="265" t="n">
        <v>0</v>
      </c>
      <c r="T42" s="265" t="n">
        <v>0</v>
      </c>
      <c r="U42" s="265" t="n">
        <v>0</v>
      </c>
      <c r="V42" s="265" t="n">
        <v>0</v>
      </c>
      <c r="X42" s="265" t="n">
        <v>0</v>
      </c>
      <c r="Y42" s="265" t="n">
        <v>0</v>
      </c>
      <c r="Z42" s="265" t="n">
        <v>0</v>
      </c>
      <c r="AA42" s="265" t="n">
        <v>0</v>
      </c>
      <c r="AC42" s="265" t="n">
        <v>0</v>
      </c>
      <c r="AD42" s="265" t="n">
        <v>0</v>
      </c>
    </row>
    <row r="43">
      <c r="A43" t="inlineStr">
        <is>
          <t>AccountsPayableCurrent · fonte · unid. moeda</t>
        </is>
      </c>
      <c r="B43" t="n">
        <v>23</v>
      </c>
      <c r="C43" t="inlineStr">
        <is>
          <t>Accounts payable</t>
        </is>
      </c>
      <c r="D43" s="265" t="n">
        <v>126000</v>
      </c>
      <c r="E43" s="265" t="n">
        <v>172000</v>
      </c>
      <c r="F43" s="265" t="n">
        <v>266000</v>
      </c>
      <c r="G43" s="265" t="n">
        <v>252000</v>
      </c>
      <c r="I43" s="265" t="n">
        <v>182000</v>
      </c>
      <c r="J43" s="265" t="n">
        <v>228000</v>
      </c>
      <c r="K43" s="265" t="n">
        <v>340000</v>
      </c>
      <c r="L43" s="265" t="n">
        <v>258000</v>
      </c>
      <c r="N43" s="265" t="n">
        <v>280000</v>
      </c>
      <c r="O43" s="265" t="n">
        <v>281000</v>
      </c>
      <c r="P43" s="265" t="n">
        <v>375000</v>
      </c>
      <c r="Q43" s="265" t="n">
        <v>348000</v>
      </c>
      <c r="S43" s="265" t="n">
        <v>338000</v>
      </c>
      <c r="T43" s="265" t="n">
        <v>331000</v>
      </c>
      <c r="U43" s="265" t="n">
        <v>479000</v>
      </c>
      <c r="V43" s="265" t="n">
        <v>405000</v>
      </c>
      <c r="X43" s="265" t="n">
        <v>421000</v>
      </c>
      <c r="Y43" s="265" t="n">
        <v>462000</v>
      </c>
      <c r="Z43" s="265" t="n">
        <v>555000</v>
      </c>
      <c r="AA43" s="265" t="n">
        <v>433000</v>
      </c>
      <c r="AC43" s="265" t="n">
        <v>557000</v>
      </c>
      <c r="AD43" s="265" t="n">
        <v>553000</v>
      </c>
    </row>
    <row r="44">
      <c r="A44" t="inlineStr">
        <is>
          <t>EmployeeRelatedLiabilitiesCurrent · fonte · unid. moeda</t>
        </is>
      </c>
      <c r="B44" t="n">
        <v>24</v>
      </c>
      <c r="C44" t="inlineStr">
        <is>
          <t>Accrued expenses</t>
        </is>
      </c>
      <c r="D44" s="265" t="n">
        <v>794000</v>
      </c>
      <c r="E44" s="265" t="n">
        <v>1044000</v>
      </c>
      <c r="F44" s="265" t="n">
        <v>1211000</v>
      </c>
      <c r="G44" s="265" t="n">
        <v>725000</v>
      </c>
      <c r="I44" s="265" t="n">
        <v>877000</v>
      </c>
      <c r="J44" s="265" t="n">
        <v>1106000</v>
      </c>
      <c r="K44" s="265" t="n">
        <v>1359000</v>
      </c>
      <c r="L44" s="265" t="n">
        <v>736000</v>
      </c>
      <c r="N44" s="265" t="n">
        <v>998000</v>
      </c>
      <c r="O44" s="265" t="n">
        <v>1215000</v>
      </c>
      <c r="P44" s="265" t="n">
        <v>1506000</v>
      </c>
      <c r="Q44" s="265" t="n">
        <v>816000</v>
      </c>
      <c r="S44" s="265" t="n">
        <v>1065000</v>
      </c>
      <c r="T44" s="265" t="n">
        <v>1251000</v>
      </c>
      <c r="U44" s="265" t="n">
        <v>1538000</v>
      </c>
      <c r="V44" s="265" t="n">
        <v>1226000</v>
      </c>
      <c r="X44" s="265" t="n">
        <v>1225000</v>
      </c>
      <c r="Y44" s="265" t="n">
        <v>1474000</v>
      </c>
      <c r="Z44" s="265" t="n">
        <v>1863000</v>
      </c>
      <c r="AA44" s="265" t="n">
        <v>1158000</v>
      </c>
      <c r="AC44" s="265" t="n">
        <v>1392000</v>
      </c>
      <c r="AD44" s="265" t="n">
        <v>2219000</v>
      </c>
    </row>
    <row r="45">
      <c r="A45" t="inlineStr">
        <is>
          <t>AccruedLiabilitiesCurrent · fonte · unid. moeda</t>
        </is>
      </c>
      <c r="B45" t="n">
        <v>24</v>
      </c>
      <c r="C45" t="inlineStr">
        <is>
          <t>Accrued expenses</t>
        </is>
      </c>
      <c r="D45" s="265" t="n">
        <v>2088000</v>
      </c>
      <c r="E45" s="265" t="n">
        <v>2196000</v>
      </c>
      <c r="F45" s="265" t="n">
        <v>2334000</v>
      </c>
      <c r="G45" s="265" t="n">
        <v>2965000</v>
      </c>
      <c r="I45" s="265" t="n">
        <v>3172000</v>
      </c>
      <c r="J45" s="265" t="n">
        <v>3303000</v>
      </c>
      <c r="K45" s="265" t="n">
        <v>3726000</v>
      </c>
      <c r="L45" s="265" t="n">
        <v>3940000</v>
      </c>
      <c r="N45" s="265" t="n">
        <v>3626000</v>
      </c>
      <c r="O45" s="265" t="n">
        <v>4075000</v>
      </c>
      <c r="P45" s="265" t="n">
        <v>5015000</v>
      </c>
      <c r="Q45" s="265" t="n">
        <v>5077000</v>
      </c>
      <c r="S45" s="265" t="n">
        <v>4386000</v>
      </c>
      <c r="T45" s="265" t="n">
        <v>4732000</v>
      </c>
      <c r="U45" s="265" t="n">
        <v>4909000</v>
      </c>
      <c r="V45" s="265" t="n">
        <v>4690000</v>
      </c>
      <c r="X45" s="265" t="n">
        <v>4507000</v>
      </c>
      <c r="Y45" s="265" t="n">
        <v>4907000</v>
      </c>
      <c r="Z45" s="265" t="n">
        <v>5466000</v>
      </c>
      <c r="AA45" s="265" t="n">
        <v>5576000</v>
      </c>
      <c r="AC45" s="265" t="n">
        <v>5670000</v>
      </c>
      <c r="AD45" s="265" t="n">
        <v>5409000</v>
      </c>
    </row>
    <row r="46">
      <c r="A46" t="inlineStr">
        <is>
          <t>SettlementPayable · fonte · unid. moeda</t>
        </is>
      </c>
      <c r="B46" t="n">
        <v>26</v>
      </c>
      <c r="C46" t="inlineStr">
        <is>
          <t>Other current liabilities (non-debt)</t>
        </is>
      </c>
      <c r="D46" s="265" t="n">
        <v>2000000</v>
      </c>
      <c r="E46" s="265" t="n">
        <v>2376000</v>
      </c>
      <c r="F46" s="265" t="n">
        <v>2443000</v>
      </c>
      <c r="G46" s="265" t="n">
        <v>2774000</v>
      </c>
      <c r="I46" s="265" t="n">
        <v>2409000</v>
      </c>
      <c r="J46" s="265" t="n">
        <v>3068000</v>
      </c>
      <c r="K46" s="265" t="n">
        <v>3281000</v>
      </c>
      <c r="L46" s="265" t="n">
        <v>3573000</v>
      </c>
      <c r="N46" s="265" t="n">
        <v>3069000</v>
      </c>
      <c r="O46" s="265" t="n">
        <v>3675000</v>
      </c>
      <c r="P46" s="265" t="n">
        <v>3269000</v>
      </c>
      <c r="Q46" s="265" t="n">
        <v>3724000</v>
      </c>
      <c r="S46" s="265" t="n">
        <v>4485000</v>
      </c>
      <c r="T46" s="265" t="n">
        <v>2576000</v>
      </c>
      <c r="U46" s="265" t="n">
        <v>5265000</v>
      </c>
      <c r="V46" s="265" t="n">
        <v>4425000</v>
      </c>
      <c r="X46" s="265" t="n">
        <v>4996000</v>
      </c>
      <c r="Y46" s="265" t="n">
        <v>6038000</v>
      </c>
      <c r="Z46" s="265" t="n">
        <v>4568000</v>
      </c>
      <c r="AA46" s="265" t="n">
        <v>4337000</v>
      </c>
      <c r="AC46" s="265" t="n">
        <v>3048000</v>
      </c>
      <c r="AD46" s="265" t="n">
        <v>3277000</v>
      </c>
    </row>
    <row r="47">
      <c r="A47" t="inlineStr">
        <is>
          <t>CustomerCollateralLiabilities · fonte · unid. moeda</t>
        </is>
      </c>
      <c r="B47" t="n">
        <v>26</v>
      </c>
      <c r="C47" t="inlineStr">
        <is>
          <t>Other current liabilities (non-debt)</t>
        </is>
      </c>
      <c r="D47" s="265" t="n">
        <v>2057000</v>
      </c>
      <c r="E47" s="265" t="n">
        <v>2221000</v>
      </c>
      <c r="F47" s="265" t="n">
        <v>2260000</v>
      </c>
      <c r="G47" s="265" t="n">
        <v>2284000</v>
      </c>
      <c r="I47" s="265" t="n">
        <v>2309000</v>
      </c>
      <c r="J47" s="265" t="n">
        <v>2261000</v>
      </c>
      <c r="K47" s="265" t="n">
        <v>2342000</v>
      </c>
      <c r="L47" s="265" t="n">
        <v>2591000</v>
      </c>
      <c r="N47" s="265" t="n">
        <v>2739000</v>
      </c>
      <c r="O47" s="265" t="n">
        <v>2907000</v>
      </c>
      <c r="P47" s="265" t="n">
        <v>3005000</v>
      </c>
      <c r="Q47" s="265" t="n">
        <v>3164000</v>
      </c>
      <c r="S47" s="265" t="n">
        <v>3367000</v>
      </c>
      <c r="T47" s="265" t="n">
        <v>3472000</v>
      </c>
      <c r="U47" s="265" t="n">
        <v>3524000</v>
      </c>
      <c r="V47" s="265" t="n">
        <v>3518000</v>
      </c>
      <c r="X47" s="265" t="n">
        <v>3543000</v>
      </c>
      <c r="Y47" s="265" t="n">
        <v>3614000</v>
      </c>
      <c r="Z47" s="265" t="n">
        <v>3625000</v>
      </c>
      <c r="AA47" s="265" t="n">
        <v>3712000</v>
      </c>
      <c r="AC47" s="265" t="n">
        <v>4292000</v>
      </c>
      <c r="AD47" s="265" t="n">
        <v>4310000</v>
      </c>
    </row>
    <row r="48">
      <c r="A48" t="inlineStr">
        <is>
          <t>ClientIncentivesLiabilitiesCurrent · fonte · unid. moeda</t>
        </is>
      </c>
      <c r="B48" t="n">
        <v>26</v>
      </c>
      <c r="C48" t="inlineStr">
        <is>
          <t>Other current liabilities (non-debt)</t>
        </is>
      </c>
      <c r="D48" s="265" t="n">
        <v>4760000</v>
      </c>
      <c r="E48" s="265" t="n">
        <v>5114000</v>
      </c>
      <c r="F48" s="265" t="n">
        <v>5243000</v>
      </c>
      <c r="G48" s="265" t="n">
        <v>5294000</v>
      </c>
      <c r="I48" s="265" t="n">
        <v>5436000</v>
      </c>
      <c r="J48" s="265" t="n">
        <v>5608000</v>
      </c>
      <c r="K48" s="265" t="n">
        <v>6099000</v>
      </c>
      <c r="L48" s="265" t="n">
        <v>6553000</v>
      </c>
      <c r="N48" s="265" t="n">
        <v>6783000</v>
      </c>
      <c r="O48" s="265" t="n">
        <v>7532000</v>
      </c>
      <c r="P48" s="265" t="n">
        <v>8177000</v>
      </c>
      <c r="Q48" s="265" t="n">
        <v>8034000</v>
      </c>
      <c r="S48" s="265" t="n">
        <v>7949000</v>
      </c>
      <c r="T48" s="265" t="n">
        <v>8562000</v>
      </c>
      <c r="U48" s="265" t="n">
        <v>9075000</v>
      </c>
      <c r="V48" s="265" t="n">
        <v>9249000</v>
      </c>
      <c r="X48" s="265" t="n">
        <v>9665000</v>
      </c>
      <c r="Y48" s="265" t="n">
        <v>10032000</v>
      </c>
      <c r="Z48" s="265" t="n">
        <v>10369000</v>
      </c>
      <c r="AA48" s="265" t="n">
        <v>11280000</v>
      </c>
      <c r="AC48" s="265" t="n">
        <v>11577000</v>
      </c>
      <c r="AD48" s="265" t="n">
        <v>11429000</v>
      </c>
    </row>
    <row r="49">
      <c r="A49" t="inlineStr">
        <is>
          <t>LitigationReserveCurrent · fonte · unid. moeda</t>
        </is>
      </c>
      <c r="B49" t="n">
        <v>26</v>
      </c>
      <c r="C49" t="inlineStr">
        <is>
          <t>Other current liabilities (non-debt)</t>
        </is>
      </c>
      <c r="D49" s="265" t="n">
        <v>886000</v>
      </c>
      <c r="E49" s="265" t="n">
        <v>900000</v>
      </c>
      <c r="F49" s="265" t="n">
        <v>983000</v>
      </c>
      <c r="G49" s="265" t="n">
        <v>1027000</v>
      </c>
      <c r="I49" s="265" t="n">
        <v>769000</v>
      </c>
      <c r="J49" s="265" t="n">
        <v>1486000</v>
      </c>
      <c r="K49" s="265" t="n">
        <v>1456000</v>
      </c>
      <c r="L49" s="265" t="n">
        <v>1702000</v>
      </c>
      <c r="N49" s="265" t="n">
        <v>1602000</v>
      </c>
      <c r="O49" s="265" t="n">
        <v>1545000</v>
      </c>
      <c r="P49" s="265" t="n">
        <v>1751000</v>
      </c>
      <c r="Q49" s="265" t="n">
        <v>1471000</v>
      </c>
      <c r="S49" s="265" t="n">
        <v>1853000</v>
      </c>
      <c r="T49" s="265" t="n">
        <v>1688000</v>
      </c>
      <c r="U49" s="265" t="n">
        <v>1727000</v>
      </c>
      <c r="V49" s="265" t="n">
        <v>1649000</v>
      </c>
      <c r="X49" s="265" t="n">
        <v>2076000</v>
      </c>
      <c r="Y49" s="265" t="n">
        <v>2352000</v>
      </c>
      <c r="Z49" s="265" t="n">
        <v>3033000</v>
      </c>
      <c r="AA49" s="265" t="n">
        <v>3406000</v>
      </c>
      <c r="AC49" s="265" t="n">
        <v>981000</v>
      </c>
      <c r="AD49" s="265" t="n">
        <v>1274000</v>
      </c>
    </row>
    <row r="50">
      <c r="A50" t="inlineStr">
        <is>
          <t>AccruedLitigationCurrent · fonte · unid. moeda</t>
        </is>
      </c>
      <c r="B50" t="n">
        <v>26</v>
      </c>
      <c r="C50" t="inlineStr">
        <is>
          <t>Other current liabilities (non-debt)</t>
        </is>
      </c>
      <c r="D50" s="265" t="n">
        <v>0</v>
      </c>
      <c r="E50" s="265" t="n">
        <v>0</v>
      </c>
      <c r="F50" s="265" t="n">
        <v>0</v>
      </c>
      <c r="G50" s="265" t="n">
        <v>0</v>
      </c>
      <c r="I50" s="265" t="n">
        <v>0</v>
      </c>
      <c r="J50" s="265" t="n">
        <v>0</v>
      </c>
      <c r="K50" s="265" t="n">
        <v>0</v>
      </c>
      <c r="L50" s="265" t="n">
        <v>0</v>
      </c>
      <c r="N50" s="265" t="n">
        <v>0</v>
      </c>
      <c r="O50" s="265" t="n">
        <v>0</v>
      </c>
      <c r="P50" s="265" t="n">
        <v>0</v>
      </c>
      <c r="Q50" s="265" t="n">
        <v>0</v>
      </c>
      <c r="S50" s="265" t="n">
        <v>0</v>
      </c>
      <c r="T50" s="265" t="n">
        <v>0</v>
      </c>
      <c r="U50" s="265" t="n">
        <v>0</v>
      </c>
      <c r="V50" s="265" t="n">
        <v>0</v>
      </c>
      <c r="X50" s="265" t="n">
        <v>0</v>
      </c>
      <c r="Y50" s="265" t="n">
        <v>0</v>
      </c>
      <c r="Z50" s="265" t="n">
        <v>0</v>
      </c>
      <c r="AA50" s="265" t="n">
        <v>0</v>
      </c>
      <c r="AC50" s="265" t="n">
        <v>0</v>
      </c>
      <c r="AD50" s="265" t="n">
        <v>0</v>
      </c>
    </row>
    <row r="51">
      <c r="A51" t="inlineStr">
        <is>
          <t>LongTermDebtCurrent · fonte · unid. moeda</t>
        </is>
      </c>
      <c r="B51" t="n">
        <v>27</v>
      </c>
      <c r="C51" t="inlineStr">
        <is>
          <t>Current portion of long-term debt</t>
        </is>
      </c>
      <c r="D51" s="265" t="n">
        <v>0</v>
      </c>
      <c r="E51" s="265" t="n">
        <v>0</v>
      </c>
      <c r="F51" s="265" t="n">
        <v>999000</v>
      </c>
      <c r="G51" s="265" t="n">
        <v>3247000</v>
      </c>
      <c r="I51" s="265" t="n">
        <v>3548000</v>
      </c>
      <c r="J51" s="265" t="n">
        <v>3249000</v>
      </c>
      <c r="K51" s="265" t="n">
        <v>2250000</v>
      </c>
      <c r="L51" s="265" t="n">
        <v>0</v>
      </c>
      <c r="N51" s="265" t="n">
        <v>0</v>
      </c>
      <c r="O51" s="265" t="n">
        <v>0</v>
      </c>
      <c r="P51" s="265" t="n">
        <v>0</v>
      </c>
      <c r="Q51" s="265" t="n">
        <v>0</v>
      </c>
      <c r="S51" s="265" t="n">
        <v>0</v>
      </c>
      <c r="T51" s="265" t="n">
        <v>0</v>
      </c>
      <c r="U51" s="265" t="n">
        <v>0</v>
      </c>
      <c r="V51" s="265" t="n">
        <v>3929000</v>
      </c>
      <c r="X51" s="265" t="n">
        <v>3948000</v>
      </c>
      <c r="Y51" s="265" t="n">
        <v>5548000</v>
      </c>
      <c r="Z51" s="265" t="n">
        <v>5569000</v>
      </c>
      <c r="AA51" s="265" t="n">
        <v>1589000</v>
      </c>
      <c r="AC51" s="265" t="n">
        <v>1559000</v>
      </c>
      <c r="AD51" s="265" t="n">
        <v>2996000</v>
      </c>
    </row>
    <row r="52">
      <c r="A52" t="inlineStr">
        <is>
          <t>LongTermDebtNoncurrent · fonte · unid. moeda</t>
        </is>
      </c>
      <c r="B52" t="n">
        <v>30</v>
      </c>
      <c r="C52" t="inlineStr">
        <is>
          <t>Long term debt</t>
        </is>
      </c>
      <c r="D52" s="265" t="n">
        <v>20974000</v>
      </c>
      <c r="E52" s="265" t="n">
        <v>20996000</v>
      </c>
      <c r="F52" s="265" t="n">
        <v>19978000</v>
      </c>
      <c r="G52" s="265" t="n">
        <v>17673000</v>
      </c>
      <c r="I52" s="265" t="n">
        <v>17479000</v>
      </c>
      <c r="J52" s="265" t="n">
        <v>20546000</v>
      </c>
      <c r="K52" s="265" t="n">
        <v>20200000</v>
      </c>
      <c r="L52" s="265" t="n">
        <v>20487000</v>
      </c>
      <c r="N52" s="265" t="n">
        <v>20606000</v>
      </c>
      <c r="O52" s="265" t="n">
        <v>20560000</v>
      </c>
      <c r="P52" s="265" t="n">
        <v>20463000</v>
      </c>
      <c r="Q52" s="265" t="n">
        <v>20703000</v>
      </c>
      <c r="S52" s="265" t="n">
        <v>20603000</v>
      </c>
      <c r="T52" s="265" t="n">
        <v>20602000</v>
      </c>
      <c r="U52" s="265" t="n">
        <v>20836000</v>
      </c>
      <c r="V52" s="265" t="n">
        <v>16680000</v>
      </c>
      <c r="X52" s="265" t="n">
        <v>16814000</v>
      </c>
      <c r="Y52" s="265" t="n">
        <v>19590000</v>
      </c>
      <c r="Z52" s="265" t="n">
        <v>19602000</v>
      </c>
      <c r="AA52" s="265" t="n">
        <v>19588000</v>
      </c>
      <c r="AC52" s="265" t="n">
        <v>22417000</v>
      </c>
      <c r="AD52" s="265" t="n">
        <v>20862000</v>
      </c>
    </row>
    <row r="53">
      <c r="A53" t="inlineStr">
        <is>
          <t>DeferredIncomeTaxLiabilitiesNet · fonte · unid. moeda</t>
        </is>
      </c>
      <c r="B53" t="n">
        <v>33</v>
      </c>
      <c r="C53" t="inlineStr">
        <is>
          <t>Deferred income taxes</t>
        </is>
      </c>
      <c r="D53" s="265" t="n">
        <v>5212000</v>
      </c>
      <c r="E53" s="265" t="n">
        <v>6240000</v>
      </c>
      <c r="F53" s="265" t="n">
        <v>6128000</v>
      </c>
      <c r="G53" s="265" t="n">
        <v>6078000</v>
      </c>
      <c r="I53" s="265" t="n">
        <v>6081000</v>
      </c>
      <c r="J53" s="265" t="n">
        <v>5685000</v>
      </c>
      <c r="K53" s="265" t="n">
        <v>5332000</v>
      </c>
      <c r="L53" s="265" t="n">
        <v>5443000</v>
      </c>
      <c r="N53" s="265" t="n">
        <v>5462000</v>
      </c>
      <c r="O53" s="265" t="n">
        <v>5380000</v>
      </c>
      <c r="P53" s="265" t="n">
        <v>5114000</v>
      </c>
      <c r="Q53" s="265" t="n">
        <v>5275000</v>
      </c>
      <c r="S53" s="265" t="n">
        <v>5145000</v>
      </c>
      <c r="T53" s="265" t="n">
        <v>5119000</v>
      </c>
      <c r="U53" s="265" t="n">
        <v>5301000</v>
      </c>
      <c r="V53" s="265" t="n">
        <v>5192000</v>
      </c>
      <c r="X53" s="265" t="n">
        <v>5160000</v>
      </c>
      <c r="Y53" s="265" t="n">
        <v>5755000</v>
      </c>
      <c r="Z53" s="265" t="n">
        <v>5549000</v>
      </c>
      <c r="AA53" s="265" t="n">
        <v>5241000</v>
      </c>
      <c r="AC53" s="265" t="n">
        <v>5893000</v>
      </c>
      <c r="AD53" s="265" t="n">
        <v>5219000</v>
      </c>
    </row>
    <row r="54">
      <c r="A54" t="inlineStr">
        <is>
          <t>OtherLiabilitiesNoncurrent · fonte · unid. moeda</t>
        </is>
      </c>
      <c r="B54" t="n">
        <v>34</v>
      </c>
      <c r="C54" t="inlineStr">
        <is>
          <t>Other non-current liabilities</t>
        </is>
      </c>
      <c r="D54" s="265" t="n">
        <v>3602000</v>
      </c>
      <c r="E54" s="265" t="n">
        <v>3622000</v>
      </c>
      <c r="F54" s="265" t="n">
        <v>3462000</v>
      </c>
      <c r="G54" s="265" t="n">
        <v>3416000</v>
      </c>
      <c r="I54" s="265" t="n">
        <v>3557000</v>
      </c>
      <c r="J54" s="265" t="n">
        <v>3387000</v>
      </c>
      <c r="K54" s="265" t="n">
        <v>3535000</v>
      </c>
      <c r="L54" s="265" t="n">
        <v>3180000</v>
      </c>
      <c r="N54" s="265" t="n">
        <v>3025000</v>
      </c>
      <c r="O54" s="265" t="n">
        <v>3083000</v>
      </c>
      <c r="P54" s="265" t="n">
        <v>3091000</v>
      </c>
      <c r="Q54" s="265" t="n">
        <v>3064000</v>
      </c>
      <c r="S54" s="265" t="n">
        <v>2723000</v>
      </c>
      <c r="T54" s="265" t="n">
        <v>2978000</v>
      </c>
      <c r="U54" s="265" t="n">
        <v>2720000</v>
      </c>
      <c r="V54" s="265" t="n">
        <v>2629000</v>
      </c>
      <c r="X54" s="265" t="n">
        <v>2468000</v>
      </c>
      <c r="Y54" s="265" t="n">
        <v>1588000</v>
      </c>
      <c r="Z54" s="265" t="n">
        <v>1519000</v>
      </c>
      <c r="AA54" s="265" t="n">
        <v>1717000</v>
      </c>
      <c r="AC54" s="265" t="n">
        <v>2002000</v>
      </c>
      <c r="AD54" s="265" t="n">
        <v>1864000</v>
      </c>
    </row>
    <row r="55">
      <c r="A55" t="inlineStr">
        <is>
          <t>CommonStockValue[CommonClassAMember] · fonte · unid. moeda</t>
        </is>
      </c>
      <c r="B55" t="n">
        <v>37</v>
      </c>
      <c r="C55" t="inlineStr">
        <is>
          <t>Common Stock and APIC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AdditionalPaidInCapital · fonte · unid. moeda</t>
        </is>
      </c>
      <c r="B56" t="n">
        <v>37</v>
      </c>
      <c r="C56" t="inlineStr">
        <is>
          <t>Common Stock and APIC</t>
        </is>
      </c>
      <c r="D56" s="265" t="n">
        <v>18505000</v>
      </c>
      <c r="E56" s="265" t="n">
        <v>18787000</v>
      </c>
      <c r="F56" s="265" t="n">
        <v>18855000</v>
      </c>
      <c r="G56" s="265" t="n">
        <v>18776000</v>
      </c>
      <c r="I56" s="265" t="n">
        <v>18876000</v>
      </c>
      <c r="J56" s="265" t="n">
        <v>18962000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20709000</v>
      </c>
      <c r="T56" s="265" t="n">
        <v>20832000</v>
      </c>
      <c r="U56" s="265" t="n">
        <v>21229000</v>
      </c>
      <c r="V56" s="265" t="n">
        <v>21324000</v>
      </c>
      <c r="X56" s="265" t="n">
        <v>21579000</v>
      </c>
      <c r="Y56" s="265" t="n">
        <v>21746000</v>
      </c>
      <c r="Z56" s="265" t="n">
        <v>21934000</v>
      </c>
      <c r="AA56" s="265" t="n">
        <v>21980000</v>
      </c>
      <c r="AC56" s="265" t="n">
        <v>22033000</v>
      </c>
      <c r="AD56" s="265" t="n">
        <v>22168000</v>
      </c>
    </row>
    <row r="57">
      <c r="A57" t="inlineStr">
        <is>
          <t>CommonStocksIncludingAdditionalPaidInCapital · fonte · unid. moeda</t>
        </is>
      </c>
      <c r="B57" t="n">
        <v>37</v>
      </c>
      <c r="C57" t="inlineStr">
        <is>
          <t>Common Stock and APIC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19545000</v>
      </c>
      <c r="L57" s="265" t="n">
        <v>19827000</v>
      </c>
      <c r="N57" s="265" t="n">
        <v>20095000</v>
      </c>
      <c r="O57" s="265" t="n">
        <v>20290000</v>
      </c>
      <c r="P57" s="265" t="n">
        <v>20452000</v>
      </c>
      <c r="Q57" s="265" t="n">
        <v>20490000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AccumulatedOtherComprehensiveIncomeLossNetOfTax · fonte · unid. moeda</t>
        </is>
      </c>
      <c r="B58" t="n">
        <v>39</v>
      </c>
      <c r="C58" t="inlineStr">
        <is>
          <t>Comprehensive (accumulated) loss</t>
        </is>
      </c>
      <c r="D58" s="265" t="n">
        <v>372000</v>
      </c>
      <c r="E58" s="265" t="n">
        <v>601000</v>
      </c>
      <c r="F58" s="265" t="n">
        <v>436000</v>
      </c>
      <c r="G58" s="265" t="n">
        <v>-72000</v>
      </c>
      <c r="I58" s="265" t="n">
        <v>-405000</v>
      </c>
      <c r="J58" s="265" t="n">
        <v>-1267000</v>
      </c>
      <c r="K58" s="265" t="n">
        <v>-2369000</v>
      </c>
      <c r="L58" s="265" t="n">
        <v>-1259000</v>
      </c>
      <c r="N58" s="265" t="n">
        <v>-990000</v>
      </c>
      <c r="O58" s="265" t="n">
        <v>-978000</v>
      </c>
      <c r="P58" s="265" t="n">
        <v>-1317000</v>
      </c>
      <c r="Q58" s="265" t="n">
        <v>-655000</v>
      </c>
      <c r="S58" s="265" t="n">
        <v>-998000</v>
      </c>
      <c r="T58" s="265" t="n">
        <v>-1060000</v>
      </c>
      <c r="U58" s="265" t="n">
        <v>-308000</v>
      </c>
      <c r="V58" s="265" t="n">
        <v>-1247000</v>
      </c>
      <c r="X58" s="265" t="n">
        <v>-827000</v>
      </c>
      <c r="Y58" s="265" t="n">
        <v>209000</v>
      </c>
      <c r="Z58" s="265" t="n">
        <v>0</v>
      </c>
      <c r="AA58" s="265" t="n">
        <v>247000</v>
      </c>
      <c r="AC58" s="265" t="n">
        <v>22000</v>
      </c>
      <c r="AD58" s="265" t="n">
        <v>-146000</v>
      </c>
    </row>
    <row r="59">
      <c r="A59" t="inlineStr">
        <is>
          <t>PreferredStockValue[SeriesCPreferredStockMember] · fonte · unid. moeda</t>
        </is>
      </c>
      <c r="B59" t="n">
        <v>40</v>
      </c>
      <c r="C59" t="inlineStr">
        <is>
          <t>Other equity account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RighttoRecoverforCoveredLosses · fonte · unid. moeda</t>
        </is>
      </c>
      <c r="B60" t="n">
        <v>40</v>
      </c>
      <c r="C60" t="inlineStr">
        <is>
          <t>Other equity account</t>
        </is>
      </c>
      <c r="D60" s="265" t="n">
        <v>-41000</v>
      </c>
      <c r="E60" s="265" t="n">
        <v>-24000</v>
      </c>
      <c r="F60" s="265" t="n">
        <v>-133000</v>
      </c>
      <c r="G60" s="265" t="n">
        <v>-111000</v>
      </c>
      <c r="I60" s="265" t="n">
        <v>-120000</v>
      </c>
      <c r="J60" s="265" t="n">
        <v>-23000</v>
      </c>
      <c r="K60" s="265" t="n">
        <v>0</v>
      </c>
      <c r="L60" s="265" t="n">
        <v>-28000</v>
      </c>
      <c r="N60" s="265" t="n">
        <v>-35000</v>
      </c>
      <c r="O60" s="265" t="n">
        <v>-25000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VECoveredLossProtectionfromthePlanRelatingtoLiabilitieswheretheClaimRelatestoInterregionalMultilateralInterchangeFeeRates · fonte · unid. moeda</t>
        </is>
      </c>
      <c r="B61" t="n">
        <v>40</v>
      </c>
      <c r="C61" t="inlineStr">
        <is>
          <t>Other equity account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PreferredStockValueOutstanding · fonte · unid. moeda</t>
        </is>
      </c>
      <c r="B62" t="n">
        <v>40</v>
      </c>
      <c r="C62" t="inlineStr">
        <is>
          <t>Other equity account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2324000</v>
      </c>
      <c r="L62" s="265" t="n">
        <v>1981000</v>
      </c>
      <c r="N62" s="265" t="n">
        <v>1885000</v>
      </c>
      <c r="O62" s="265" t="n">
        <v>1786000</v>
      </c>
      <c r="P62" s="265" t="n">
        <v>1698000</v>
      </c>
      <c r="Q62" s="265" t="n">
        <v>1615000</v>
      </c>
      <c r="S62" s="265" t="n">
        <v>1602000</v>
      </c>
      <c r="T62" s="265" t="n">
        <v>1425000</v>
      </c>
      <c r="U62" s="265" t="n">
        <v>1031000</v>
      </c>
      <c r="V62" s="265" t="n">
        <v>904000</v>
      </c>
      <c r="X62" s="265" t="n">
        <v>880000</v>
      </c>
      <c r="Y62" s="265" t="n">
        <v>871000</v>
      </c>
      <c r="Z62" s="265" t="n">
        <v>745000</v>
      </c>
      <c r="AA62" s="265" t="n">
        <v>551000</v>
      </c>
      <c r="AC62" s="265" t="n">
        <v>528000</v>
      </c>
      <c r="AD62" s="265" t="n">
        <v>514000</v>
      </c>
    </row>
    <row r="63">
      <c r="A63" t="inlineStr">
        <is>
          <t>RightToRecoverForCoveredLosses (divulgado positivo, lançado negativo) · fonte · unid. moeda</t>
        </is>
      </c>
      <c r="B63" t="n">
        <v>40</v>
      </c>
      <c r="C63" t="inlineStr">
        <is>
          <t>Other equity account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-35000</v>
      </c>
      <c r="L63" s="265" t="n">
        <v>0</v>
      </c>
      <c r="N63" s="265" t="n">
        <v>0</v>
      </c>
      <c r="O63" s="265" t="n">
        <v>0</v>
      </c>
      <c r="P63" s="265" t="n">
        <v>-140000</v>
      </c>
      <c r="Q63" s="265" t="n">
        <v>-139000</v>
      </c>
      <c r="S63" s="265" t="n">
        <v>-175000</v>
      </c>
      <c r="T63" s="265" t="n">
        <v>-46000</v>
      </c>
      <c r="U63" s="265" t="n">
        <v>-104000</v>
      </c>
      <c r="V63" s="265" t="n">
        <v>-123000</v>
      </c>
      <c r="X63" s="265" t="n">
        <v>-120000</v>
      </c>
      <c r="Y63" s="265" t="n">
        <v>-118000</v>
      </c>
      <c r="Z63" s="265" t="n">
        <v>-124000</v>
      </c>
      <c r="AA63" s="265" t="n">
        <v>-19000</v>
      </c>
      <c r="AC63" s="265" t="n">
        <v>-44000</v>
      </c>
      <c r="AD63" s="265" t="n">
        <v>-111000</v>
      </c>
    </row>
    <row r="64">
      <c r="A64" t="inlineStr">
        <is>
          <t>RetainedEarningsAccumulatedDeficit · fonte · unid. moeda</t>
        </is>
      </c>
      <c r="B64" t="n">
        <v>41</v>
      </c>
      <c r="C64" t="inlineStr">
        <is>
          <t>Retained earnings</t>
        </is>
      </c>
      <c r="D64" s="265" t="n">
        <v>15513000</v>
      </c>
      <c r="E64" s="265" t="n">
        <v>15294000</v>
      </c>
      <c r="F64" s="265" t="n">
        <v>15351000</v>
      </c>
      <c r="G64" s="265" t="n">
        <v>14606000</v>
      </c>
      <c r="I64" s="265" t="n">
        <v>14651000</v>
      </c>
      <c r="J64" s="265" t="n">
        <v>14960000</v>
      </c>
      <c r="K64" s="265" t="n">
        <v>16116000</v>
      </c>
      <c r="L64" s="265" t="n">
        <v>16403000</v>
      </c>
      <c r="N64" s="265" t="n">
        <v>17610000</v>
      </c>
      <c r="O64" s="265" t="n">
        <v>17908000</v>
      </c>
      <c r="P64" s="265" t="n">
        <v>18040000</v>
      </c>
      <c r="Q64" s="265" t="n">
        <v>18422000</v>
      </c>
      <c r="S64" s="265" t="n">
        <v>19347000</v>
      </c>
      <c r="T64" s="265" t="n">
        <v>18578000</v>
      </c>
      <c r="U64" s="265" t="n">
        <v>17289000</v>
      </c>
      <c r="V64" s="265" t="n">
        <v>17438000</v>
      </c>
      <c r="X64" s="265" t="n">
        <v>16518000</v>
      </c>
      <c r="Y64" s="265" t="n">
        <v>15956000</v>
      </c>
      <c r="Z64" s="265" t="n">
        <v>15106000</v>
      </c>
      <c r="AA64" s="265" t="n">
        <v>16018000</v>
      </c>
      <c r="AC64" s="265" t="n">
        <v>13122000</v>
      </c>
      <c r="AD64" s="265" t="n">
        <v>12753000</v>
      </c>
    </row>
    <row r="65">
      <c r="A65" t="inlineStr">
        <is>
          <t>[vazio] Minoritários (DRE): não aparece como linha própria nas demonstrações (zero) · derivada · unid. moeda</t>
        </is>
      </c>
      <c r="B65" t="n">
        <v>9</v>
      </c>
      <c r="C65" t="inlineStr">
        <is>
          <t>Minority Interest Expense, after tax (enter as - )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Estoques: não aparece como linha própria nas demonstrações (zero) · derivada · unid. moeda</t>
        </is>
      </c>
      <c r="B66" t="n">
        <v>13</v>
      </c>
      <c r="C66" t="inlineStr">
        <is>
          <t>Inventories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IR diferido ativo: não aparece como linha própria nas demonstrações (zero) · derivada · unid. moeda</t>
        </is>
      </c>
      <c r="B67" t="n">
        <v>14</v>
      </c>
      <c r="C67" t="inlineStr">
        <is>
          <t>Deferred income taxes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Despesas antecipadas: não aparece como linha própria nas demonstrações (zero) · derivada · unid. moeda</t>
        </is>
      </c>
      <c r="B68" t="n">
        <v>15</v>
      </c>
      <c r="C68" t="inlineStr">
        <is>
          <t>Prepaid expenses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Investimentos em coligadas: não aparece como linha própria nas demonstrações (zero) · derivada · unid. moeda</t>
        </is>
      </c>
      <c r="B69" t="n">
        <v>17</v>
      </c>
      <c r="C69" t="inlineStr">
        <is>
          <t>Equity in affiliates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Direito de uso: não aparece como linha própria nas demonstrações (zero) · derivada · unid. moeda</t>
        </is>
      </c>
      <c r="B70" t="n">
        <v>19</v>
      </c>
      <c r="C70" t="inlineStr">
        <is>
          <t>Right-of-use-assets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[vazio] Impostos a pagar: não aparece como linha própria nas demonstrações (zero) · derivada · unid. moeda</t>
        </is>
      </c>
      <c r="B71" t="n">
        <v>25</v>
      </c>
      <c r="C71" t="inlineStr">
        <is>
          <t>Taxes payable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[vazio] Revolving: não aparece como linha própria nas demonstrações (zero) · derivada · unid. moeda</t>
        </is>
      </c>
      <c r="B72" t="n">
        <v>28</v>
      </c>
      <c r="C72" t="inlineStr">
        <is>
          <t>Short term debt (Revolving credit facility)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[vazio] Arrendamento CP: não aparece como linha própria nas demonstrações (zero) · derivada · unid. moeda</t>
        </is>
      </c>
      <c r="B73" t="n">
        <v>29</v>
      </c>
      <c r="C73" t="inlineStr">
        <is>
          <t>Short term operating leases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0</v>
      </c>
      <c r="O73" s="265" t="n">
        <v>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[vazio] Arrendamento LP: não aparece como linha própria nas demonstrações (zero) · derivada · unid. moeda</t>
        </is>
      </c>
      <c r="B74" t="n">
        <v>31</v>
      </c>
      <c r="C74" t="inlineStr">
        <is>
          <t>Long term operating leases</t>
        </is>
      </c>
      <c r="D74" s="265" t="n">
        <v>0</v>
      </c>
      <c r="E74" s="265" t="n">
        <v>0</v>
      </c>
      <c r="F74" s="265" t="n">
        <v>0</v>
      </c>
      <c r="G74" s="265" t="n">
        <v>0</v>
      </c>
      <c r="I74" s="265" t="n">
        <v>0</v>
      </c>
      <c r="J74" s="265" t="n">
        <v>0</v>
      </c>
      <c r="K74" s="265" t="n">
        <v>0</v>
      </c>
      <c r="L74" s="265" t="n">
        <v>0</v>
      </c>
      <c r="N74" s="265" t="n">
        <v>0</v>
      </c>
      <c r="O74" s="265" t="n">
        <v>0</v>
      </c>
      <c r="P74" s="265" t="n">
        <v>0</v>
      </c>
      <c r="Q74" s="265" t="n">
        <v>0</v>
      </c>
      <c r="S74" s="265" t="n">
        <v>0</v>
      </c>
      <c r="T74" s="265" t="n">
        <v>0</v>
      </c>
      <c r="U74" s="265" t="n">
        <v>0</v>
      </c>
      <c r="V74" s="265" t="n">
        <v>0</v>
      </c>
      <c r="X74" s="265" t="n">
        <v>0</v>
      </c>
      <c r="Y74" s="265" t="n">
        <v>0</v>
      </c>
      <c r="Z74" s="265" t="n">
        <v>0</v>
      </c>
      <c r="AA74" s="265" t="n">
        <v>0</v>
      </c>
      <c r="AC74" s="265" t="n">
        <v>0</v>
      </c>
      <c r="AD74" s="265" t="n">
        <v>0</v>
      </c>
    </row>
    <row r="75">
      <c r="A75" t="inlineStr">
        <is>
          <t>[vazio] Dívida conversível: não aparece como linha própria nas demonstrações (zero) · derivada · unid. moeda</t>
        </is>
      </c>
      <c r="B75" t="n">
        <v>32</v>
      </c>
      <c r="C75" t="inlineStr">
        <is>
          <t>Convertible debt</t>
        </is>
      </c>
      <c r="D75" s="265" t="n">
        <v>0</v>
      </c>
      <c r="E75" s="265" t="n">
        <v>0</v>
      </c>
      <c r="F75" s="265" t="n">
        <v>0</v>
      </c>
      <c r="G75" s="265" t="n">
        <v>0</v>
      </c>
      <c r="I75" s="265" t="n">
        <v>0</v>
      </c>
      <c r="J75" s="265" t="n">
        <v>0</v>
      </c>
      <c r="K75" s="265" t="n">
        <v>0</v>
      </c>
      <c r="L75" s="265" t="n">
        <v>0</v>
      </c>
      <c r="N75" s="265" t="n">
        <v>0</v>
      </c>
      <c r="O75" s="265" t="n">
        <v>0</v>
      </c>
      <c r="P75" s="265" t="n">
        <v>0</v>
      </c>
      <c r="Q75" s="265" t="n">
        <v>0</v>
      </c>
      <c r="S75" s="265" t="n">
        <v>0</v>
      </c>
      <c r="T75" s="265" t="n">
        <v>0</v>
      </c>
      <c r="U75" s="265" t="n">
        <v>0</v>
      </c>
      <c r="V75" s="265" t="n">
        <v>0</v>
      </c>
      <c r="X75" s="265" t="n">
        <v>0</v>
      </c>
      <c r="Y75" s="265" t="n">
        <v>0</v>
      </c>
      <c r="Z75" s="265" t="n">
        <v>0</v>
      </c>
      <c r="AA75" s="265" t="n">
        <v>0</v>
      </c>
      <c r="AC75" s="265" t="n">
        <v>0</v>
      </c>
      <c r="AD75" s="265" t="n">
        <v>0</v>
      </c>
    </row>
    <row r="76">
      <c r="A76" t="inlineStr">
        <is>
          <t>[vazio] Participação de minoritários (balanço): não aparece como linha própria nas demonstrações (zero) · derivada · unid. moeda</t>
        </is>
      </c>
      <c r="B76" t="n">
        <v>35</v>
      </c>
      <c r="C76" t="inlineStr">
        <is>
          <t>Minority interest</t>
        </is>
      </c>
      <c r="D76" s="265" t="n">
        <v>0</v>
      </c>
      <c r="E76" s="265" t="n">
        <v>0</v>
      </c>
      <c r="F76" s="265" t="n">
        <v>0</v>
      </c>
      <c r="G76" s="265" t="n">
        <v>0</v>
      </c>
      <c r="I76" s="265" t="n">
        <v>0</v>
      </c>
      <c r="J76" s="265" t="n">
        <v>0</v>
      </c>
      <c r="K76" s="265" t="n">
        <v>0</v>
      </c>
      <c r="L76" s="265" t="n">
        <v>0</v>
      </c>
      <c r="N76" s="265" t="n">
        <v>0</v>
      </c>
      <c r="O76" s="265" t="n">
        <v>0</v>
      </c>
      <c r="P76" s="265" t="n">
        <v>0</v>
      </c>
      <c r="Q76" s="265" t="n">
        <v>0</v>
      </c>
      <c r="S76" s="265" t="n">
        <v>0</v>
      </c>
      <c r="T76" s="265" t="n">
        <v>0</v>
      </c>
      <c r="U76" s="265" t="n">
        <v>0</v>
      </c>
      <c r="V76" s="265" t="n">
        <v>0</v>
      </c>
      <c r="X76" s="265" t="n">
        <v>0</v>
      </c>
      <c r="Y76" s="265" t="n">
        <v>0</v>
      </c>
      <c r="Z76" s="265" t="n">
        <v>0</v>
      </c>
      <c r="AA76" s="265" t="n">
        <v>0</v>
      </c>
      <c r="AC76" s="265" t="n">
        <v>0</v>
      </c>
      <c r="AD76" s="265" t="n">
        <v>0</v>
      </c>
    </row>
    <row r="77">
      <c r="A77" t="inlineStr">
        <is>
          <t>[vazio] Tesouraria: não aparece como linha própria nas demonstrações (zero) · derivada · unid. moeda</t>
        </is>
      </c>
      <c r="B77" t="n">
        <v>38</v>
      </c>
      <c r="C77" t="inlineStr">
        <is>
          <t>Treasury stock (contra account)</t>
        </is>
      </c>
      <c r="D77" s="265" t="n">
        <v>0</v>
      </c>
      <c r="E77" s="265" t="n">
        <v>0</v>
      </c>
      <c r="F77" s="265" t="n">
        <v>0</v>
      </c>
      <c r="G77" s="265" t="n">
        <v>0</v>
      </c>
      <c r="I77" s="265" t="n">
        <v>0</v>
      </c>
      <c r="J77" s="265" t="n">
        <v>0</v>
      </c>
      <c r="K77" s="265" t="n">
        <v>0</v>
      </c>
      <c r="L77" s="265" t="n">
        <v>0</v>
      </c>
      <c r="N77" s="265" t="n">
        <v>0</v>
      </c>
      <c r="O77" s="265" t="n">
        <v>0</v>
      </c>
      <c r="P77" s="265" t="n">
        <v>0</v>
      </c>
      <c r="Q77" s="265" t="n">
        <v>0</v>
      </c>
      <c r="S77" s="265" t="n">
        <v>0</v>
      </c>
      <c r="T77" s="265" t="n">
        <v>0</v>
      </c>
      <c r="U77" s="265" t="n">
        <v>0</v>
      </c>
      <c r="V77" s="265" t="n">
        <v>0</v>
      </c>
      <c r="X77" s="265" t="n">
        <v>0</v>
      </c>
      <c r="Y77" s="265" t="n">
        <v>0</v>
      </c>
      <c r="Z77" s="265" t="n">
        <v>0</v>
      </c>
      <c r="AA77" s="265" t="n">
        <v>0</v>
      </c>
      <c r="AC77" s="265" t="n">
        <v>0</v>
      </c>
      <c r="AD77" s="265" t="n">
        <v>0</v>
      </c>
    </row>
    <row r="78">
      <c r="A78" t="inlineStr">
        <is>
          <t>Linhas de face do patrimônio líquido sem tag própria (subtotal divulgado - soma das linhas) · derivada · unid. moeda</t>
        </is>
      </c>
      <c r="B78" t="n">
        <v>40</v>
      </c>
      <c r="C78" t="inlineStr">
        <is>
          <t>Other equity account</t>
        </is>
      </c>
      <c r="D78" s="265" t="n">
        <v>3347000</v>
      </c>
      <c r="E78" s="265" t="n">
        <v>3132000</v>
      </c>
      <c r="F78" s="265" t="n">
        <v>3080000</v>
      </c>
      <c r="G78" s="265" t="n">
        <v>2995000</v>
      </c>
      <c r="I78" s="265" t="n">
        <v>2987000</v>
      </c>
      <c r="J78" s="265" t="n">
        <v>2851000</v>
      </c>
      <c r="K78" s="265" t="n">
        <v>0</v>
      </c>
      <c r="L78" s="265" t="n">
        <v>0</v>
      </c>
      <c r="N78" s="265" t="n">
        <v>0</v>
      </c>
      <c r="O78" s="265" t="n">
        <v>0</v>
      </c>
      <c r="P78" s="265" t="n">
        <v>0</v>
      </c>
      <c r="Q78" s="265" t="n">
        <v>0</v>
      </c>
      <c r="S78" s="265" t="n">
        <v>0</v>
      </c>
      <c r="T78" s="265" t="n">
        <v>0</v>
      </c>
      <c r="U78" s="265" t="n">
        <v>0</v>
      </c>
      <c r="V78" s="265" t="n">
        <v>0</v>
      </c>
      <c r="X78" s="265" t="n">
        <v>0</v>
      </c>
      <c r="Y78" s="265" t="n">
        <v>0</v>
      </c>
      <c r="Z78" s="265" t="n">
        <v>248000</v>
      </c>
      <c r="AA78" s="265" t="n">
        <v>0</v>
      </c>
      <c r="AC78" s="265" t="n">
        <v>0</v>
      </c>
      <c r="AD78" s="265" t="n">
        <v>0</v>
      </c>
    </row>
    <row r="79">
      <c r="A79" t="inlineStr">
        <is>
          <t>BALANÇO - totais divulgados (memória)</t>
        </is>
      </c>
      <c r="C79" t="inlineStr">
        <is>
          <t>[linha bruta, sem código; lançada nas linhas abaixo]</t>
        </is>
      </c>
      <c r="D79" s="265" t="n"/>
      <c r="E79" s="265" t="n"/>
      <c r="F79" s="265" t="n"/>
      <c r="G79" s="265" t="n"/>
      <c r="I79" s="265" t="n"/>
      <c r="J79" s="265" t="n"/>
      <c r="K79" s="265" t="n"/>
      <c r="L79" s="265" t="n"/>
      <c r="N79" s="265" t="n"/>
      <c r="O79" s="265" t="n"/>
      <c r="P79" s="265" t="n"/>
      <c r="Q79" s="265" t="n"/>
      <c r="S79" s="265" t="n"/>
      <c r="T79" s="265" t="n"/>
      <c r="U79" s="265" t="n"/>
      <c r="V79" s="265" t="n"/>
      <c r="X79" s="265" t="n"/>
      <c r="Y79" s="265" t="n"/>
      <c r="Z79" s="265" t="n"/>
      <c r="AA79" s="265" t="n"/>
      <c r="AC79" s="265" t="n"/>
      <c r="AD79" s="265" t="n"/>
    </row>
    <row r="80">
      <c r="A80" t="inlineStr">
        <is>
          <t>Total do ativo [us-gaap:Assets] · memoria · unid. moeda</t>
        </is>
      </c>
      <c r="C80" t="inlineStr">
        <is>
          <t>[linha bruta, sem código; lançada nas linhas abaixo]</t>
        </is>
      </c>
      <c r="D80" s="265" t="n">
        <v>80195000</v>
      </c>
      <c r="E80" s="265" t="n">
        <v>82671000</v>
      </c>
      <c r="F80" s="265" t="n">
        <v>82896000</v>
      </c>
      <c r="G80" s="265" t="n">
        <v>81929000</v>
      </c>
      <c r="I80" s="265" t="n">
        <v>81808000</v>
      </c>
      <c r="J80" s="265" t="n">
        <v>85410000</v>
      </c>
      <c r="K80" s="265" t="n">
        <v>85501000</v>
      </c>
      <c r="L80" s="265" t="n">
        <v>85387000</v>
      </c>
      <c r="N80" s="265" t="n">
        <v>86755000</v>
      </c>
      <c r="O80" s="265" t="n">
        <v>89234000</v>
      </c>
      <c r="P80" s="265" t="n">
        <v>90499000</v>
      </c>
      <c r="Q80" s="265" t="n">
        <v>91409000</v>
      </c>
      <c r="S80" s="265" t="n">
        <v>92399000</v>
      </c>
      <c r="T80" s="265" t="n">
        <v>91040000</v>
      </c>
      <c r="U80" s="265" t="n">
        <v>94511000</v>
      </c>
      <c r="V80" s="265" t="n">
        <v>91888000</v>
      </c>
      <c r="X80" s="265" t="n">
        <v>92853000</v>
      </c>
      <c r="Y80" s="265" t="n">
        <v>100024000</v>
      </c>
      <c r="Z80" s="265" t="n">
        <v>99627000</v>
      </c>
      <c r="AA80" s="265" t="n">
        <v>96814000</v>
      </c>
      <c r="AC80" s="265" t="n">
        <v>95049000</v>
      </c>
      <c r="AD80" s="265" t="n">
        <v>94590000</v>
      </c>
    </row>
    <row r="81">
      <c r="A81" t="inlineStr">
        <is>
          <t>Total do passivo + PL [us-gaap:LiabilitiesAndStockholdersEquity] · memoria · unid. moeda</t>
        </is>
      </c>
      <c r="C81" t="inlineStr">
        <is>
          <t>[linha bruta, sem código; lançada nas linhas abaixo]</t>
        </is>
      </c>
      <c r="D81" s="265" t="n">
        <v>80195000</v>
      </c>
      <c r="E81" s="265" t="n">
        <v>82671000</v>
      </c>
      <c r="F81" s="265" t="n">
        <v>82896000</v>
      </c>
      <c r="G81" s="265" t="n">
        <v>81929000</v>
      </c>
      <c r="I81" s="265" t="n">
        <v>81808000</v>
      </c>
      <c r="J81" s="265" t="n">
        <v>85410000</v>
      </c>
      <c r="K81" s="265" t="n">
        <v>85501000</v>
      </c>
      <c r="L81" s="265" t="n">
        <v>85387000</v>
      </c>
      <c r="N81" s="265" t="n">
        <v>86755000</v>
      </c>
      <c r="O81" s="265" t="n">
        <v>89234000</v>
      </c>
      <c r="P81" s="265" t="n">
        <v>90499000</v>
      </c>
      <c r="Q81" s="265" t="n">
        <v>91409000</v>
      </c>
      <c r="S81" s="265" t="n">
        <v>92399000</v>
      </c>
      <c r="T81" s="265" t="n">
        <v>91040000</v>
      </c>
      <c r="U81" s="265" t="n">
        <v>94511000</v>
      </c>
      <c r="V81" s="265" t="n">
        <v>91888000</v>
      </c>
      <c r="X81" s="265" t="n">
        <v>92853000</v>
      </c>
      <c r="Y81" s="265" t="n">
        <v>100024000</v>
      </c>
      <c r="Z81" s="265" t="n">
        <v>99627000</v>
      </c>
      <c r="AA81" s="265" t="n">
        <v>96814000</v>
      </c>
      <c r="AC81" s="265" t="n">
        <v>95049000</v>
      </c>
      <c r="AD81" s="265" t="n">
        <v>94590000</v>
      </c>
    </row>
    <row r="82">
      <c r="A82" t="inlineStr">
        <is>
          <t>CHECKS (devem ser 0)</t>
        </is>
      </c>
      <c r="C82" t="inlineStr">
        <is>
          <t>[linha bruta, sem código; lançada nas linhas abaixo]</t>
        </is>
      </c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/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CHECK: contas de ativo - ativo total (USD, arredondado a 100 mil) · derivada · unid. moeda</t>
        </is>
      </c>
      <c r="C83" t="inlineStr">
        <is>
          <t>[linha bruta, sem código; lançada nas linhas abaixo]</t>
        </is>
      </c>
      <c r="D83" s="265">
        <f>ROUND(N(D28)+N(D29)+N(D30)+N(D31)+N(D32)+N(D33)+N(D34)+N(D35)+N(D36)+N(D37)+N(D38)+N(D39)+N(D40)+N(D41)+N(D42)-N(D80),-2)</f>
        <v>0</v>
      </c>
      <c r="E83" s="265">
        <f>ROUND(N(E28)+N(E29)+N(E30)+N(E31)+N(E32)+N(E33)+N(E34)+N(E35)+N(E36)+N(E37)+N(E38)+N(E39)+N(E40)+N(E41)+N(E42)-N(E80),-2)</f>
        <v>0</v>
      </c>
      <c r="F83" s="265">
        <f>ROUND(N(F28)+N(F29)+N(F30)+N(F31)+N(F32)+N(F33)+N(F34)+N(F35)+N(F36)+N(F37)+N(F38)+N(F39)+N(F40)+N(F41)+N(F42)-N(F80),-2)</f>
        <v>0</v>
      </c>
      <c r="G83" s="265">
        <f>ROUND(N(G28)+N(G29)+N(G30)+N(G31)+N(G32)+N(G33)+N(G34)+N(G35)+N(G36)+N(G37)+N(G38)+N(G39)+N(G40)+N(G41)+N(G42)-N(G80),-2)</f>
        <v>0</v>
      </c>
      <c r="I83" s="265">
        <f>ROUND(N(I28)+N(I29)+N(I30)+N(I31)+N(I32)+N(I33)+N(I34)+N(I35)+N(I36)+N(I37)+N(I38)+N(I39)+N(I40)+N(I41)+N(I42)-N(I80),-2)</f>
        <v>0</v>
      </c>
      <c r="J83" s="265">
        <f>ROUND(N(J28)+N(J29)+N(J30)+N(J31)+N(J32)+N(J33)+N(J34)+N(J35)+N(J36)+N(J37)+N(J38)+N(J39)+N(J40)+N(J41)+N(J42)-N(J80),-2)</f>
        <v>0</v>
      </c>
      <c r="K83" s="265">
        <f>ROUND(N(K28)+N(K29)+N(K30)+N(K31)+N(K32)+N(K33)+N(K34)+N(K35)+N(K36)+N(K37)+N(K38)+N(K39)+N(K40)+N(K41)+N(K42)-N(K80),-2)</f>
        <v>0</v>
      </c>
      <c r="L83" s="265">
        <f>ROUND(N(L28)+N(L29)+N(L30)+N(L31)+N(L32)+N(L33)+N(L34)+N(L35)+N(L36)+N(L37)+N(L38)+N(L39)+N(L40)+N(L41)+N(L42)-N(L80),-2)</f>
        <v>0</v>
      </c>
      <c r="N83" s="265">
        <f>ROUND(N(N28)+N(N29)+N(N30)+N(N31)+N(N32)+N(N33)+N(N34)+N(N35)+N(N36)+N(N37)+N(N38)+N(N39)+N(N40)+N(N41)+N(N42)-N(N80),-2)</f>
        <v>0</v>
      </c>
      <c r="O83" s="265">
        <f>ROUND(N(O28)+N(O29)+N(O30)+N(O31)+N(O32)+N(O33)+N(O34)+N(O35)+N(O36)+N(O37)+N(O38)+N(O39)+N(O40)+N(O41)+N(O42)-N(O80),-2)</f>
        <v>0</v>
      </c>
      <c r="P83" s="265">
        <f>ROUND(N(P28)+N(P29)+N(P30)+N(P31)+N(P32)+N(P33)+N(P34)+N(P35)+N(P36)+N(P37)+N(P38)+N(P39)+N(P40)+N(P41)+N(P42)-N(P80),-2)</f>
        <v>0</v>
      </c>
      <c r="Q83" s="265">
        <f>ROUND(N(Q28)+N(Q29)+N(Q30)+N(Q31)+N(Q32)+N(Q33)+N(Q34)+N(Q35)+N(Q36)+N(Q37)+N(Q38)+N(Q39)+N(Q40)+N(Q41)+N(Q42)-N(Q80),-2)</f>
        <v>0</v>
      </c>
      <c r="S83" s="265">
        <f>ROUND(N(S28)+N(S29)+N(S30)+N(S31)+N(S32)+N(S33)+N(S34)+N(S35)+N(S36)+N(S37)+N(S38)+N(S39)+N(S40)+N(S41)+N(S42)-N(S80),-2)</f>
        <v>0</v>
      </c>
      <c r="T83" s="265">
        <f>ROUND(N(T28)+N(T29)+N(T30)+N(T31)+N(T32)+N(T33)+N(T34)+N(T35)+N(T36)+N(T37)+N(T38)+N(T39)+N(T40)+N(T41)+N(T42)-N(T80),-2)</f>
        <v>0</v>
      </c>
      <c r="U83" s="265">
        <f>ROUND(N(U28)+N(U29)+N(U30)+N(U31)+N(U32)+N(U33)+N(U34)+N(U35)+N(U36)+N(U37)+N(U38)+N(U39)+N(U40)+N(U41)+N(U42)-N(U80),-2)</f>
        <v>0</v>
      </c>
      <c r="V83" s="265">
        <f>ROUND(N(V28)+N(V29)+N(V30)+N(V31)+N(V32)+N(V33)+N(V34)+N(V35)+N(V36)+N(V37)+N(V38)+N(V39)+N(V40)+N(V41)+N(V42)-N(V80),-2)</f>
        <v>0</v>
      </c>
      <c r="X83" s="265">
        <f>ROUND(N(X28)+N(X29)+N(X30)+N(X31)+N(X32)+N(X33)+N(X34)+N(X35)+N(X36)+N(X37)+N(X38)+N(X39)+N(X40)+N(X41)+N(X42)-N(X80),-2)</f>
        <v>0</v>
      </c>
      <c r="Y83" s="265">
        <f>ROUND(N(Y28)+N(Y29)+N(Y30)+N(Y31)+N(Y32)+N(Y33)+N(Y34)+N(Y35)+N(Y36)+N(Y37)+N(Y38)+N(Y39)+N(Y40)+N(Y41)+N(Y42)-N(Y80),-2)</f>
        <v>0</v>
      </c>
      <c r="Z83" s="265">
        <f>ROUND(N(Z28)+N(Z29)+N(Z30)+N(Z31)+N(Z32)+N(Z33)+N(Z34)+N(Z35)+N(Z36)+N(Z37)+N(Z38)+N(Z39)+N(Z40)+N(Z41)+N(Z42)-N(Z80),-2)</f>
        <v>0</v>
      </c>
      <c r="AA83" s="265">
        <f>ROUND(N(AA28)+N(AA29)+N(AA30)+N(AA31)+N(AA32)+N(AA33)+N(AA34)+N(AA35)+N(AA36)+N(AA37)+N(AA38)+N(AA39)+N(AA40)+N(AA41)+N(AA42)-N(AA80),-2)</f>
        <v>0</v>
      </c>
      <c r="AC83" s="265">
        <f>ROUND(N(AC28)+N(AC29)+N(AC30)+N(AC31)+N(AC32)+N(AC33)+N(AC34)+N(AC35)+N(AC36)+N(AC37)+N(AC38)+N(AC39)+N(AC40)+N(AC41)+N(AC42)-N(AC80),-2)</f>
        <v>0</v>
      </c>
      <c r="AD83" s="265">
        <f>ROUND(N(AD28)+N(AD29)+N(AD30)+N(AD31)+N(AD32)+N(AD33)+N(AD34)+N(AD35)+N(AD36)+N(AD37)+N(AD38)+N(AD39)+N(AD40)+N(AD41)+N(AD42)-N(AD80),-2)</f>
        <v>0</v>
      </c>
    </row>
    <row r="84">
      <c r="A84" t="inlineStr">
        <is>
          <t>CHECK: passivo + PL (contas) - passivo + PL total · derivada · unid. moeda</t>
        </is>
      </c>
      <c r="C84" t="inlineStr">
        <is>
          <t>[linha bruta, sem código; lançada nas linhas abaixo]</t>
        </is>
      </c>
      <c r="D84" s="265">
        <f>ROUND(N(D43)+N(D44)+N(D45)+N(D46)+N(D47)+N(D48)+N(D49)+N(D50)+N(D51)+N(D52)+N(D53)+N(D54)+N(D55)+N(D56)+N(D57)+N(D58)+N(D59)+N(D60)+N(D61)+N(D62)+N(D63)+N(D64)+N(D78)-N(D81),-2)</f>
        <v>0</v>
      </c>
      <c r="E84" s="265">
        <f>ROUND(N(E43)+N(E44)+N(E45)+N(E46)+N(E47)+N(E48)+N(E49)+N(E50)+N(E51)+N(E52)+N(E53)+N(E54)+N(E55)+N(E56)+N(E57)+N(E58)+N(E59)+N(E60)+N(E61)+N(E62)+N(E63)+N(E64)+N(E78)-N(E81),-2)</f>
        <v>0</v>
      </c>
      <c r="F84" s="265">
        <f>ROUND(N(F43)+N(F44)+N(F45)+N(F46)+N(F47)+N(F48)+N(F49)+N(F50)+N(F51)+N(F52)+N(F53)+N(F54)+N(F55)+N(F56)+N(F57)+N(F58)+N(F59)+N(F60)+N(F61)+N(F62)+N(F63)+N(F64)+N(F78)-N(F81),-2)</f>
        <v>0</v>
      </c>
      <c r="G84" s="265">
        <f>ROUND(N(G43)+N(G44)+N(G45)+N(G46)+N(G47)+N(G48)+N(G49)+N(G50)+N(G51)+N(G52)+N(G53)+N(G54)+N(G55)+N(G56)+N(G57)+N(G58)+N(G59)+N(G60)+N(G61)+N(G62)+N(G63)+N(G64)+N(G78)-N(G81),-2)</f>
        <v>0</v>
      </c>
      <c r="I84" s="265">
        <f>ROUND(N(I43)+N(I44)+N(I45)+N(I46)+N(I47)+N(I48)+N(I49)+N(I50)+N(I51)+N(I52)+N(I53)+N(I54)+N(I55)+N(I56)+N(I57)+N(I58)+N(I59)+N(I60)+N(I61)+N(I62)+N(I63)+N(I64)+N(I78)-N(I81),-2)</f>
        <v>0</v>
      </c>
      <c r="J84" s="265">
        <f>ROUND(N(J43)+N(J44)+N(J45)+N(J46)+N(J47)+N(J48)+N(J49)+N(J50)+N(J51)+N(J52)+N(J53)+N(J54)+N(J55)+N(J56)+N(J57)+N(J58)+N(J59)+N(J60)+N(J61)+N(J62)+N(J63)+N(J64)+N(J78)-N(J81),-2)</f>
        <v>0</v>
      </c>
      <c r="K84" s="265">
        <f>ROUND(N(K43)+N(K44)+N(K45)+N(K46)+N(K47)+N(K48)+N(K49)+N(K50)+N(K51)+N(K52)+N(K53)+N(K54)+N(K55)+N(K56)+N(K57)+N(K58)+N(K59)+N(K60)+N(K61)+N(K62)+N(K63)+N(K64)+N(K78)-N(K81),-2)</f>
        <v>0</v>
      </c>
      <c r="L84" s="265">
        <f>ROUND(N(L43)+N(L44)+N(L45)+N(L46)+N(L47)+N(L48)+N(L49)+N(L50)+N(L51)+N(L52)+N(L53)+N(L54)+N(L55)+N(L56)+N(L57)+N(L58)+N(L59)+N(L60)+N(L61)+N(L62)+N(L63)+N(L64)+N(L78)-N(L81),-2)</f>
        <v>0</v>
      </c>
      <c r="N84" s="265">
        <f>ROUND(N(N43)+N(N44)+N(N45)+N(N46)+N(N47)+N(N48)+N(N49)+N(N50)+N(N51)+N(N52)+N(N53)+N(N54)+N(N55)+N(N56)+N(N57)+N(N58)+N(N59)+N(N60)+N(N61)+N(N62)+N(N63)+N(N64)+N(N78)-N(N81),-2)</f>
        <v>0</v>
      </c>
      <c r="O84" s="265">
        <f>ROUND(N(O43)+N(O44)+N(O45)+N(O46)+N(O47)+N(O48)+N(O49)+N(O50)+N(O51)+N(O52)+N(O53)+N(O54)+N(O55)+N(O56)+N(O57)+N(O58)+N(O59)+N(O60)+N(O61)+N(O62)+N(O63)+N(O64)+N(O78)-N(O81),-2)</f>
        <v>0</v>
      </c>
      <c r="P84" s="265">
        <f>ROUND(N(P43)+N(P44)+N(P45)+N(P46)+N(P47)+N(P48)+N(P49)+N(P50)+N(P51)+N(P52)+N(P53)+N(P54)+N(P55)+N(P56)+N(P57)+N(P58)+N(P59)+N(P60)+N(P61)+N(P62)+N(P63)+N(P64)+N(P78)-N(P81),-2)</f>
        <v>0</v>
      </c>
      <c r="Q84" s="265">
        <f>ROUND(N(Q43)+N(Q44)+N(Q45)+N(Q46)+N(Q47)+N(Q48)+N(Q49)+N(Q50)+N(Q51)+N(Q52)+N(Q53)+N(Q54)+N(Q55)+N(Q56)+N(Q57)+N(Q58)+N(Q59)+N(Q60)+N(Q61)+N(Q62)+N(Q63)+N(Q64)+N(Q78)-N(Q81),-2)</f>
        <v>0</v>
      </c>
      <c r="S84" s="265">
        <f>ROUND(N(S43)+N(S44)+N(S45)+N(S46)+N(S47)+N(S48)+N(S49)+N(S50)+N(S51)+N(S52)+N(S53)+N(S54)+N(S55)+N(S56)+N(S57)+N(S58)+N(S59)+N(S60)+N(S61)+N(S62)+N(S63)+N(S64)+N(S78)-N(S81),-2)</f>
        <v>0</v>
      </c>
      <c r="T84" s="265">
        <f>ROUND(N(T43)+N(T44)+N(T45)+N(T46)+N(T47)+N(T48)+N(T49)+N(T50)+N(T51)+N(T52)+N(T53)+N(T54)+N(T55)+N(T56)+N(T57)+N(T58)+N(T59)+N(T60)+N(T61)+N(T62)+N(T63)+N(T64)+N(T78)-N(T81),-2)</f>
        <v>0</v>
      </c>
      <c r="U84" s="265">
        <f>ROUND(N(U43)+N(U44)+N(U45)+N(U46)+N(U47)+N(U48)+N(U49)+N(U50)+N(U51)+N(U52)+N(U53)+N(U54)+N(U55)+N(U56)+N(U57)+N(U58)+N(U59)+N(U60)+N(U61)+N(U62)+N(U63)+N(U64)+N(U78)-N(U81),-2)</f>
        <v>0</v>
      </c>
      <c r="V84" s="265">
        <f>ROUND(N(V43)+N(V44)+N(V45)+N(V46)+N(V47)+N(V48)+N(V49)+N(V50)+N(V51)+N(V52)+N(V53)+N(V54)+N(V55)+N(V56)+N(V57)+N(V58)+N(V59)+N(V60)+N(V61)+N(V62)+N(V63)+N(V64)+N(V78)-N(V81),-2)</f>
        <v>0</v>
      </c>
      <c r="X84" s="265">
        <f>ROUND(N(X43)+N(X44)+N(X45)+N(X46)+N(X47)+N(X48)+N(X49)+N(X50)+N(X51)+N(X52)+N(X53)+N(X54)+N(X55)+N(X56)+N(X57)+N(X58)+N(X59)+N(X60)+N(X61)+N(X62)+N(X63)+N(X64)+N(X78)-N(X81),-2)</f>
        <v>0</v>
      </c>
      <c r="Y84" s="265">
        <f>ROUND(N(Y43)+N(Y44)+N(Y45)+N(Y46)+N(Y47)+N(Y48)+N(Y49)+N(Y50)+N(Y51)+N(Y52)+N(Y53)+N(Y54)+N(Y55)+N(Y56)+N(Y57)+N(Y58)+N(Y59)+N(Y60)+N(Y61)+N(Y62)+N(Y63)+N(Y64)+N(Y78)-N(Y81),-2)</f>
        <v>0</v>
      </c>
      <c r="Z84" s="265">
        <f>ROUND(N(Z43)+N(Z44)+N(Z45)+N(Z46)+N(Z47)+N(Z48)+N(Z49)+N(Z50)+N(Z51)+N(Z52)+N(Z53)+N(Z54)+N(Z55)+N(Z56)+N(Z57)+N(Z58)+N(Z59)+N(Z60)+N(Z61)+N(Z62)+N(Z63)+N(Z64)+N(Z78)-N(Z81),-2)</f>
        <v>0</v>
      </c>
      <c r="AA84" s="265">
        <f>ROUND(N(AA43)+N(AA44)+N(AA45)+N(AA46)+N(AA47)+N(AA48)+N(AA49)+N(AA50)+N(AA51)+N(AA52)+N(AA53)+N(AA54)+N(AA55)+N(AA56)+N(AA57)+N(AA58)+N(AA59)+N(AA60)+N(AA61)+N(AA62)+N(AA63)+N(AA64)+N(AA78)-N(AA81),-2)</f>
        <v>0</v>
      </c>
      <c r="AC84" s="265">
        <f>ROUND(N(AC43)+N(AC44)+N(AC45)+N(AC46)+N(AC47)+N(AC48)+N(AC49)+N(AC50)+N(AC51)+N(AC52)+N(AC53)+N(AC54)+N(AC55)+N(AC56)+N(AC57)+N(AC58)+N(AC59)+N(AC60)+N(AC61)+N(AC62)+N(AC63)+N(AC64)+N(AC78)-N(AC81),-2)</f>
        <v>0</v>
      </c>
      <c r="AD84" s="265">
        <f>ROUND(N(AD43)+N(AD44)+N(AD45)+N(AD46)+N(AD47)+N(AD48)+N(AD49)+N(AD50)+N(AD51)+N(AD52)+N(AD53)+N(AD54)+N(AD55)+N(AD56)+N(AD57)+N(AD58)+N(AD59)+N(AD60)+N(AD61)+N(AD62)+N(AD63)+N(AD64)+N(AD78)-N(AD81),-2)</f>
        <v>0</v>
      </c>
    </row>
    <row r="85">
      <c r="A85" t="inlineStr">
        <is>
          <t>CHECK: receita - custo - despesas + não operacional - IR - minoritários + outros após IR - lucro (deve ser 0) · derivada</t>
        </is>
      </c>
      <c r="C85" t="inlineStr">
        <is>
          <t>[linha bruta, sem código; lançada nas linhas abaixo]</t>
        </is>
      </c>
      <c r="D85" s="265">
        <f>ROUND(N(D5)-N(D6)-N(D9)+N(D12)-N(D16)+N(D19)-N(D20),-2)</f>
        <v>0</v>
      </c>
      <c r="E85" s="265">
        <f>ROUND(N(E5)-N(E6)-N(E9)+N(E12)-N(E16)+N(E19)-N(E20),-2)</f>
        <v>0</v>
      </c>
      <c r="F85" s="265">
        <f>ROUND(N(F5)-N(F6)-N(F9)+N(F12)-N(F16)+N(F19)-N(F20),-2)</f>
        <v>0</v>
      </c>
      <c r="G85" s="265">
        <f>ROUND(N(G5)-N(G6)-N(G9)+N(G12)-N(G16)+N(G19)-N(G20),-2)</f>
        <v>0</v>
      </c>
      <c r="I85" s="265">
        <f>ROUND(N(I5)-N(I6)-N(I9)+N(I12)-N(I16)+N(I19)-N(I20),-2)</f>
        <v>0</v>
      </c>
      <c r="J85" s="265">
        <f>ROUND(N(J5)-N(J6)-N(J9)+N(J12)-N(J16)+N(J19)-N(J20),-2)</f>
        <v>0</v>
      </c>
      <c r="K85" s="265">
        <f>ROUND(N(K5)-N(K6)-N(K9)+N(K12)-N(K16)+N(K19)-N(K20),-2)</f>
        <v>0</v>
      </c>
      <c r="L85" s="265">
        <f>ROUND(N(L5)-N(L6)-N(L9)+N(L12)-N(L16)+N(L19)-N(L20),-2)</f>
        <v>0</v>
      </c>
      <c r="N85" s="265">
        <f>ROUND(N(N5)-N(N6)-N(N9)+N(N12)-N(N16)+N(N19)-N(N20),-2)</f>
        <v>0</v>
      </c>
      <c r="O85" s="265">
        <f>ROUND(N(O5)-N(O6)-N(O9)+N(O12)-N(O16)+N(O19)-N(O20),-2)</f>
        <v>0</v>
      </c>
      <c r="P85" s="265">
        <f>ROUND(N(P5)-N(P6)-N(P9)+N(P12)-N(P16)+N(P19)-N(P20),-2)</f>
        <v>0</v>
      </c>
      <c r="Q85" s="265">
        <f>ROUND(N(Q5)-N(Q6)-N(Q9)+N(Q12)-N(Q16)+N(Q19)-N(Q20),-2)</f>
        <v>0</v>
      </c>
      <c r="S85" s="265">
        <f>ROUND(N(S5)-N(S6)-N(S9)+N(S12)-N(S16)+N(S19)-N(S20),-2)</f>
        <v>0</v>
      </c>
      <c r="T85" s="265">
        <f>ROUND(N(T5)-N(T6)-N(T9)+N(T12)-N(T16)+N(T19)-N(T20),-2)</f>
        <v>0</v>
      </c>
      <c r="U85" s="265">
        <f>ROUND(N(U5)-N(U6)-N(U9)+N(U12)-N(U16)+N(U19)-N(U20),-2)</f>
        <v>0</v>
      </c>
      <c r="V85" s="265">
        <f>ROUND(N(V5)-N(V6)-N(V9)+N(V12)-N(V16)+N(V19)-N(V20),-2)</f>
        <v>0</v>
      </c>
      <c r="X85" s="265">
        <f>ROUND(N(X5)-N(X6)-N(X9)+N(X12)-N(X16)+N(X19)-N(X20),-2)</f>
        <v>0</v>
      </c>
      <c r="Y85" s="265">
        <f>ROUND(N(Y5)-N(Y6)-N(Y9)+N(Y12)-N(Y16)+N(Y19)-N(Y20),-2)</f>
        <v>0</v>
      </c>
      <c r="Z85" s="265">
        <f>ROUND(N(Z5)-N(Z6)-N(Z9)+N(Z12)-N(Z16)+N(Z19)-N(Z20),-2)</f>
        <v>0</v>
      </c>
      <c r="AA85" s="265">
        <f>ROUND(N(AA5)-N(AA6)-N(AA9)+N(AA12)-N(AA16)+N(AA19)-N(AA20),-2)</f>
        <v>0</v>
      </c>
      <c r="AC85" s="265">
        <f>ROUND(N(AC5)-N(AC6)-N(AC9)+N(AC12)-N(AC16)+N(AC19)-N(AC20),-2)</f>
        <v>0</v>
      </c>
      <c r="AD85" s="265">
        <f>ROUND(N(AD5)-N(AD6)-N(AD9)+N(AD12)-N(AD16)+N(AD19)-N(AD20),-2)</f>
        <v>0</v>
      </c>
    </row>
    <row r="86">
      <c r="D86" s="265" t="n"/>
      <c r="E86" s="265" t="n"/>
      <c r="F86" s="265" t="n"/>
      <c r="G86" s="265" t="n"/>
      <c r="I86" s="265" t="n"/>
      <c r="J86" s="265" t="n"/>
      <c r="K86" s="265" t="n"/>
      <c r="L86" s="265" t="n"/>
      <c r="N86" s="265" t="n"/>
      <c r="O86" s="265" t="n"/>
      <c r="P86" s="265" t="n"/>
      <c r="Q86" s="265" t="n"/>
      <c r="S86" s="265" t="n"/>
      <c r="T86" s="265" t="n"/>
      <c r="U86" s="265" t="n"/>
      <c r="V86" s="265" t="n"/>
      <c r="X86" s="265" t="n"/>
      <c r="Y86" s="265" t="n"/>
      <c r="Z86" s="265" t="n"/>
      <c r="AA86" s="265" t="n"/>
      <c r="AC86" s="265" t="n"/>
      <c r="AD86" s="265" t="n"/>
    </row>
    <row r="87">
      <c r="A87" t="inlineStr">
        <is>
          <t>DRIVERS DE RECEITA (codigos 45+): linhas de receita da Visa (serviço, processamento de dados, transações internacionais, outras, incentivos a clientes) e EUA x exterior - SEC XBRL (USD, fator 0,000001).</t>
        </is>
      </c>
      <c r="C87" t="inlineStr">
        <is>
          <t>[linha bruta, sem código; lançada nas linhas abaixo]</t>
        </is>
      </c>
      <c r="D87" s="265" t="n"/>
      <c r="E87" s="265" t="n"/>
      <c r="F87" s="265" t="n"/>
      <c r="G87" s="265" t="n"/>
      <c r="I87" s="265" t="n"/>
      <c r="J87" s="265" t="n"/>
      <c r="K87" s="265" t="n"/>
      <c r="L87" s="265" t="n"/>
      <c r="N87" s="265" t="n"/>
      <c r="O87" s="265" t="n"/>
      <c r="P87" s="265" t="n"/>
      <c r="Q87" s="265" t="n"/>
      <c r="S87" s="265" t="n"/>
      <c r="T87" s="265" t="n"/>
      <c r="U87" s="265" t="n"/>
      <c r="V87" s="265" t="n"/>
      <c r="X87" s="265" t="n"/>
      <c r="Y87" s="265" t="n"/>
      <c r="Z87" s="265" t="n"/>
      <c r="AA87" s="265" t="n"/>
      <c r="AC87" s="265" t="n"/>
      <c r="AD87" s="265" t="n"/>
    </row>
    <row r="88">
      <c r="A88" t="inlineStr">
        <is>
          <t>Receita de serviços (USD) · fonte · unid. moeda</t>
        </is>
      </c>
      <c r="B88" t="n">
        <v>45</v>
      </c>
      <c r="C88" t="inlineStr">
        <is>
          <t>Receita de serviços (USD)</t>
        </is>
      </c>
      <c r="D88" s="265" t="n">
        <v>2845000</v>
      </c>
      <c r="E88" s="265" t="n">
        <v>2828000</v>
      </c>
      <c r="F88" s="265" t="n">
        <v>3125000</v>
      </c>
      <c r="G88" s="265" t="n">
        <v>3193000</v>
      </c>
      <c r="I88" s="265" t="n">
        <v>3521000</v>
      </c>
      <c r="J88" s="265" t="n">
        <v>3189000</v>
      </c>
      <c r="K88" s="265" t="n">
        <v>3458000</v>
      </c>
      <c r="L88" s="265" t="n">
        <v>3511000</v>
      </c>
      <c r="N88" s="265" t="n">
        <v>3771000</v>
      </c>
      <c r="O88" s="265" t="n">
        <v>3668000</v>
      </c>
      <c r="P88" s="265" t="n">
        <v>3876000</v>
      </c>
      <c r="Q88" s="265" t="n">
        <v>3915000</v>
      </c>
      <c r="S88" s="265" t="n">
        <v>4033000</v>
      </c>
      <c r="T88" s="265" t="n">
        <v>3967000</v>
      </c>
      <c r="U88" s="265" t="n">
        <v>4199000</v>
      </c>
      <c r="V88" s="265" t="n">
        <v>4208000</v>
      </c>
      <c r="X88" s="265" t="n">
        <v>4399000</v>
      </c>
      <c r="Y88" s="265" t="n">
        <v>4330000</v>
      </c>
      <c r="Z88" s="265" t="n">
        <v>4602000</v>
      </c>
      <c r="AA88" s="265" t="n">
        <v>4760000</v>
      </c>
      <c r="AC88" s="265" t="n">
        <v>4981000</v>
      </c>
      <c r="AD88" s="265" t="n">
        <v>4922000</v>
      </c>
    </row>
    <row r="89">
      <c r="A89" t="inlineStr">
        <is>
          <t>Receita de processamento de dados (USD) · fonte · unid. moeda</t>
        </is>
      </c>
      <c r="B89" t="n">
        <v>46</v>
      </c>
      <c r="C89" t="inlineStr">
        <is>
          <t>Receita de processamento de dados (USD)</t>
        </is>
      </c>
      <c r="D89" s="265" t="n">
        <v>2996000</v>
      </c>
      <c r="E89" s="265" t="n">
        <v>3327000</v>
      </c>
      <c r="F89" s="265" t="n">
        <v>3436000</v>
      </c>
      <c r="G89" s="265" t="n">
        <v>3614000</v>
      </c>
      <c r="I89" s="265" t="n">
        <v>3480000</v>
      </c>
      <c r="J89" s="265" t="n">
        <v>3579000</v>
      </c>
      <c r="K89" s="265" t="n">
        <v>3765000</v>
      </c>
      <c r="L89" s="265" t="n">
        <v>3827000</v>
      </c>
      <c r="N89" s="265" t="n">
        <v>3819000</v>
      </c>
      <c r="O89" s="265" t="n">
        <v>4105000</v>
      </c>
      <c r="P89" s="265" t="n">
        <v>4256000</v>
      </c>
      <c r="Q89" s="265" t="n">
        <v>4356000</v>
      </c>
      <c r="S89" s="265" t="n">
        <v>4259000</v>
      </c>
      <c r="T89" s="265" t="n">
        <v>4489000</v>
      </c>
      <c r="U89" s="265" t="n">
        <v>4610000</v>
      </c>
      <c r="V89" s="265" t="n">
        <v>4745000</v>
      </c>
      <c r="X89" s="265" t="n">
        <v>4701000</v>
      </c>
      <c r="Y89" s="265" t="n">
        <v>5153000</v>
      </c>
      <c r="Z89" s="265" t="n">
        <v>5394000</v>
      </c>
      <c r="AA89" s="265" t="n">
        <v>5544000</v>
      </c>
      <c r="AC89" s="265" t="n">
        <v>5543000</v>
      </c>
      <c r="AD89" s="265" t="n">
        <v>6042000</v>
      </c>
    </row>
    <row r="90">
      <c r="A90" t="inlineStr">
        <is>
          <t>Receita de transações internacionais (USD) · fonte · unid. moeda</t>
        </is>
      </c>
      <c r="B90" t="n">
        <v>47</v>
      </c>
      <c r="C90" t="inlineStr">
        <is>
          <t>Receita de transações internacionais (USD)</t>
        </is>
      </c>
      <c r="D90" s="265" t="n">
        <v>1488000</v>
      </c>
      <c r="E90" s="265" t="n">
        <v>1696000</v>
      </c>
      <c r="F90" s="265" t="n">
        <v>1895000</v>
      </c>
      <c r="G90" s="265" t="n">
        <v>2174000</v>
      </c>
      <c r="I90" s="265" t="n">
        <v>2208000</v>
      </c>
      <c r="J90" s="265" t="n">
        <v>2560000</v>
      </c>
      <c r="K90" s="265" t="n">
        <v>2873000</v>
      </c>
      <c r="L90" s="265" t="n">
        <v>2797000</v>
      </c>
      <c r="N90" s="265" t="n">
        <v>2749000</v>
      </c>
      <c r="O90" s="265" t="n">
        <v>2920000</v>
      </c>
      <c r="P90" s="265" t="n">
        <v>3172000</v>
      </c>
      <c r="Q90" s="265" t="n">
        <v>3019000</v>
      </c>
      <c r="S90" s="265" t="n">
        <v>2984000</v>
      </c>
      <c r="T90" s="265" t="n">
        <v>3194000</v>
      </c>
      <c r="U90" s="265" t="n">
        <v>3468000</v>
      </c>
      <c r="V90" s="265" t="n">
        <v>3442000</v>
      </c>
      <c r="X90" s="265" t="n">
        <v>3291000</v>
      </c>
      <c r="Y90" s="265" t="n">
        <v>3633000</v>
      </c>
      <c r="Z90" s="265" t="n">
        <v>3800000</v>
      </c>
      <c r="AA90" s="265" t="n">
        <v>3652000</v>
      </c>
      <c r="AC90" s="265" t="n">
        <v>3631000</v>
      </c>
      <c r="AD90" s="265" t="n">
        <v>3853000</v>
      </c>
    </row>
    <row r="91">
      <c r="A91" t="inlineStr">
        <is>
          <t>Outras receitas (USD) · fonte · unid. moeda</t>
        </is>
      </c>
      <c r="B91" t="n">
        <v>48</v>
      </c>
      <c r="C91" t="inlineStr">
        <is>
          <t>Outras receitas (USD)</t>
        </is>
      </c>
      <c r="D91" s="265" t="n">
        <v>392000</v>
      </c>
      <c r="E91" s="265" t="n">
        <v>409000</v>
      </c>
      <c r="F91" s="265" t="n">
        <v>490000</v>
      </c>
      <c r="G91" s="265" t="n">
        <v>449000</v>
      </c>
      <c r="I91" s="265" t="n">
        <v>474000</v>
      </c>
      <c r="J91" s="265" t="n">
        <v>517000</v>
      </c>
      <c r="K91" s="265" t="n">
        <v>551000</v>
      </c>
      <c r="L91" s="265" t="n">
        <v>587000</v>
      </c>
      <c r="N91" s="265" t="n">
        <v>551000</v>
      </c>
      <c r="O91" s="265" t="n">
        <v>597000</v>
      </c>
      <c r="P91" s="265" t="n">
        <v>744000</v>
      </c>
      <c r="Q91" s="265" t="n">
        <v>692000</v>
      </c>
      <c r="S91" s="265" t="n">
        <v>756000</v>
      </c>
      <c r="T91" s="265" t="n">
        <v>780000</v>
      </c>
      <c r="U91" s="265" t="n">
        <v>969000</v>
      </c>
      <c r="V91" s="265" t="n">
        <v>912000</v>
      </c>
      <c r="X91" s="265" t="n">
        <v>937000</v>
      </c>
      <c r="Y91" s="265" t="n">
        <v>1028000</v>
      </c>
      <c r="Z91" s="265" t="n">
        <v>1176000</v>
      </c>
      <c r="AA91" s="265" t="n">
        <v>1214000</v>
      </c>
      <c r="AC91" s="265" t="n">
        <v>1320000</v>
      </c>
      <c r="AD91" s="265" t="n">
        <v>1496000</v>
      </c>
    </row>
    <row r="92">
      <c r="A92" t="inlineStr">
        <is>
          <t>Incentivos a clientes (USD, negativo) · fonte · unid. moeda</t>
        </is>
      </c>
      <c r="B92" t="n">
        <v>49</v>
      </c>
      <c r="C92" t="inlineStr">
        <is>
          <t>Incentivos a clientes (USD, negativo)</t>
        </is>
      </c>
      <c r="D92" s="265" t="n">
        <v>-1992000</v>
      </c>
      <c r="E92" s="265" t="n">
        <v>-2130000</v>
      </c>
      <c r="F92" s="265" t="n">
        <v>-2387000</v>
      </c>
      <c r="G92" s="265" t="n">
        <v>-2371000</v>
      </c>
      <c r="I92" s="265" t="n">
        <v>-2494000</v>
      </c>
      <c r="J92" s="265" t="n">
        <v>-2570000</v>
      </c>
      <c r="K92" s="265" t="n">
        <v>-2860000</v>
      </c>
      <c r="L92" s="265" t="n">
        <v>-2786000</v>
      </c>
      <c r="N92" s="265" t="n">
        <v>-2905000</v>
      </c>
      <c r="O92" s="265" t="n">
        <v>-3167000</v>
      </c>
      <c r="P92" s="265" t="n">
        <v>-3439000</v>
      </c>
      <c r="Q92" s="265" t="n">
        <v>-3348000</v>
      </c>
      <c r="S92" s="265" t="n">
        <v>-3257000</v>
      </c>
      <c r="T92" s="265" t="n">
        <v>-3530000</v>
      </c>
      <c r="U92" s="265" t="n">
        <v>-3629000</v>
      </c>
      <c r="V92" s="265" t="n">
        <v>-3797000</v>
      </c>
      <c r="X92" s="265" t="n">
        <v>-3734000</v>
      </c>
      <c r="Y92" s="265" t="n">
        <v>-3972000</v>
      </c>
      <c r="Z92" s="265" t="n">
        <v>-4248000</v>
      </c>
      <c r="AA92" s="265" t="n">
        <v>-4269000</v>
      </c>
      <c r="AC92" s="265" t="n">
        <v>-4245000</v>
      </c>
      <c r="AD92" s="265" t="n">
        <v>-4680000</v>
      </c>
    </row>
    <row r="93">
      <c r="A93" t="inlineStr">
        <is>
          <t>Receita EUA (USD) · fonte · unid. moeda</t>
        </is>
      </c>
      <c r="B93" t="n">
        <v>50</v>
      </c>
      <c r="C93" t="inlineStr">
        <is>
          <t>Receita EUA (USD)</t>
        </is>
      </c>
      <c r="D93" s="265" t="n">
        <v>2683000</v>
      </c>
      <c r="E93" s="265" t="n">
        <v>2806000</v>
      </c>
      <c r="F93" s="265" t="n">
        <v>3004000</v>
      </c>
      <c r="G93" s="265" t="n">
        <v>3178000</v>
      </c>
      <c r="I93" s="265" t="n">
        <v>3079000</v>
      </c>
      <c r="J93" s="265" t="n">
        <v>3170000</v>
      </c>
      <c r="K93" s="265" t="n">
        <v>3424000</v>
      </c>
      <c r="L93" s="265" t="n">
        <v>3567000</v>
      </c>
      <c r="N93" s="265" t="n">
        <v>3540000</v>
      </c>
      <c r="O93" s="265" t="n">
        <v>3443000</v>
      </c>
      <c r="P93" s="265" t="n">
        <v>3588000</v>
      </c>
      <c r="Q93" s="265" t="n">
        <v>3645000</v>
      </c>
      <c r="S93" s="265" t="n">
        <v>3643000</v>
      </c>
      <c r="T93" s="265" t="n">
        <v>3621000</v>
      </c>
      <c r="U93" s="265" t="n">
        <v>3871000</v>
      </c>
      <c r="V93" s="265" t="n">
        <v>3738000</v>
      </c>
      <c r="X93" s="265" t="n">
        <v>3811000</v>
      </c>
      <c r="Y93" s="265" t="n">
        <v>3927000</v>
      </c>
      <c r="Z93" s="265" t="n">
        <v>4157000</v>
      </c>
      <c r="AA93" s="265" t="n">
        <v>4163000</v>
      </c>
      <c r="AC93" s="265" t="n">
        <v>4319000</v>
      </c>
      <c r="AD93" s="265" t="n">
        <v>4410000</v>
      </c>
    </row>
    <row r="94">
      <c r="A94" t="inlineStr">
        <is>
          <t>Receita fora dos EUA (USD) · fonte · unid. moeda</t>
        </is>
      </c>
      <c r="B94" t="n">
        <v>51</v>
      </c>
      <c r="C94" t="inlineStr">
        <is>
          <t>Receita fora dos EUA (USD)</t>
        </is>
      </c>
      <c r="D94" s="265" t="n">
        <v>3046000</v>
      </c>
      <c r="E94" s="265" t="n">
        <v>3324000</v>
      </c>
      <c r="F94" s="265" t="n">
        <v>3555000</v>
      </c>
      <c r="G94" s="265" t="n">
        <v>3881000</v>
      </c>
      <c r="I94" s="265" t="n">
        <v>4110000</v>
      </c>
      <c r="J94" s="265" t="n">
        <v>4105000</v>
      </c>
      <c r="K94" s="265" t="n">
        <v>4363000</v>
      </c>
      <c r="L94" s="265" t="n">
        <v>4369000</v>
      </c>
      <c r="N94" s="265" t="n">
        <v>4445000</v>
      </c>
      <c r="O94" s="265" t="n">
        <v>4680000</v>
      </c>
      <c r="P94" s="265" t="n">
        <v>5021000</v>
      </c>
      <c r="Q94" s="265" t="n">
        <v>4989000</v>
      </c>
      <c r="S94" s="265" t="n">
        <v>5132000</v>
      </c>
      <c r="T94" s="265" t="n">
        <v>5279000</v>
      </c>
      <c r="U94" s="265" t="n">
        <v>5746000</v>
      </c>
      <c r="V94" s="265" t="n">
        <v>5772000</v>
      </c>
      <c r="X94" s="265" t="n">
        <v>5783000</v>
      </c>
      <c r="Y94" s="265" t="n">
        <v>6245000</v>
      </c>
      <c r="Z94" s="265" t="n">
        <v>6567000</v>
      </c>
      <c r="AA94" s="265" t="n">
        <v>6738000</v>
      </c>
      <c r="AC94" s="265" t="n">
        <v>6911000</v>
      </c>
      <c r="AD94" s="265" t="n">
        <v>7223000</v>
      </c>
    </row>
    <row r="95">
      <c r="A95" t="inlineStr">
        <is>
          <t>Notas: valores dimensionais das instâncias XBRL; ano fiscal termina em setembro. Incentivos a clientes entram negativos. No balanço, a linha "PL sem tag própria" de 2020-22 são as ações preferenciais séries A/B (etiquetadas por série).</t>
        </is>
      </c>
      <c r="C95" t="inlineStr">
        <is>
          <t>[linha bruta, sem código; lançada nas linhas abaixo]</t>
        </is>
      </c>
      <c r="D95" s="265" t="n"/>
      <c r="E95" s="265" t="n"/>
      <c r="F95" s="265" t="n"/>
      <c r="G95" s="265" t="n"/>
      <c r="I95" s="265" t="n"/>
      <c r="J95" s="265" t="n"/>
      <c r="K95" s="265" t="n"/>
      <c r="L95" s="265" t="n"/>
      <c r="N95" s="265" t="n"/>
      <c r="O95" s="265" t="n"/>
      <c r="P95" s="265" t="n"/>
      <c r="Q95" s="265" t="n"/>
      <c r="S95" s="265" t="n"/>
      <c r="T95" s="265" t="n"/>
      <c r="U95" s="265" t="n"/>
      <c r="V95" s="265" t="n"/>
      <c r="X95" s="265" t="n"/>
      <c r="Y95" s="265" t="n"/>
      <c r="Z95" s="265" t="n"/>
      <c r="AA95" s="265" t="n"/>
      <c r="AC95" s="265" t="n"/>
      <c r="AD95" s="265" t="n"/>
    </row>
    <row r="97">
      <c r="A97" t="inlineStr">
        <is>
          <t>Linhas de origem: 4 a 95. A Inputs (2) varre as linhas 4 a 150; as linhas 96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9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Visa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5729</v>
      </c>
      <c r="E4" s="11">
        <f>IF(E$3=0,"",SUMIFS(INDEX(Inputs!$D$4:$AG$150,0,MATCH(E$2,Inputs!$D$2:$AG$2,0)),Inputs!$B$4:$B$150,$B4)/1000)</f>
        <v>6130</v>
      </c>
      <c r="F4" s="11">
        <f>IF(F$3=0,"",SUMIFS(INDEX(Inputs!$D$4:$AG$150,0,MATCH(F$2,Inputs!$D$2:$AG$2,0)),Inputs!$B$4:$B$150,$B4)/1000)</f>
        <v>6559</v>
      </c>
      <c r="G4" s="11">
        <f>IF(G$3=0,"",SUMIFS(INDEX(Inputs!$D$4:$AG$150,0,MATCH(G$2,Inputs!$D$2:$AG$2,0)),Inputs!$B$4:$B$150,$B4)/1000)</f>
        <v>7059</v>
      </c>
      <c r="H4" s="12">
        <f>IF(COUNT(D4:G4)=4,SUM(D4:G4),"")</f>
        <v>25477</v>
      </c>
      <c r="I4" s="11">
        <f>IF(I$3=0,"",SUMIFS(INDEX(Inputs!$D$4:$AG$150,0,MATCH(I$2,Inputs!$D$2:$AG$2,0)),Inputs!$B$4:$B$150,$B4)/1000)</f>
        <v>7189</v>
      </c>
      <c r="J4" s="11">
        <f>IF(J$3=0,"",SUMIFS(INDEX(Inputs!$D$4:$AG$150,0,MATCH(J$2,Inputs!$D$2:$AG$2,0)),Inputs!$B$4:$B$150,$B4)/1000)</f>
        <v>7275</v>
      </c>
      <c r="K4" s="11">
        <f>IF(K$3=0,"",SUMIFS(INDEX(Inputs!$D$4:$AG$150,0,MATCH(K$2,Inputs!$D$2:$AG$2,0)),Inputs!$B$4:$B$150,$B4)/1000)</f>
        <v>7787</v>
      </c>
      <c r="L4" s="11">
        <f>IF(L$3=0,"",SUMIFS(INDEX(Inputs!$D$4:$AG$150,0,MATCH(L$2,Inputs!$D$2:$AG$2,0)),Inputs!$B$4:$B$150,$B4)/1000)</f>
        <v>7936</v>
      </c>
      <c r="M4" s="12">
        <f>IF(COUNT(I4:L4)=4,SUM(I4:L4),"")</f>
        <v>30187</v>
      </c>
      <c r="N4" s="11">
        <f>IF(N$3=0,"",SUMIFS(INDEX(Inputs!$D$4:$AG$150,0,MATCH(N$2,Inputs!$D$2:$AG$2,0)),Inputs!$B$4:$B$150,$B4)/1000)</f>
        <v>7985</v>
      </c>
      <c r="O4" s="11">
        <f>IF(O$3=0,"",SUMIFS(INDEX(Inputs!$D$4:$AG$150,0,MATCH(O$2,Inputs!$D$2:$AG$2,0)),Inputs!$B$4:$B$150,$B4)/1000)</f>
        <v>8123</v>
      </c>
      <c r="P4" s="11">
        <f>IF(P$3=0,"",SUMIFS(INDEX(Inputs!$D$4:$AG$150,0,MATCH(P$2,Inputs!$D$2:$AG$2,0)),Inputs!$B$4:$B$150,$B4)/1000)</f>
        <v>8609</v>
      </c>
      <c r="Q4" s="11">
        <f>IF(Q$3=0,"",SUMIFS(INDEX(Inputs!$D$4:$AG$150,0,MATCH(Q$2,Inputs!$D$2:$AG$2,0)),Inputs!$B$4:$B$150,$B4)/1000)</f>
        <v>8634</v>
      </c>
      <c r="R4" s="12">
        <f>IF(COUNT(N4:Q4)=4,SUM(N4:Q4),"")</f>
        <v>33351</v>
      </c>
      <c r="S4" s="11">
        <f>IF(S$3=0,"",SUMIFS(INDEX(Inputs!$D$4:$AG$150,0,MATCH(S$2,Inputs!$D$2:$AG$2,0)),Inputs!$B$4:$B$150,$B4)/1000)</f>
        <v>8775</v>
      </c>
      <c r="T4" s="11">
        <f>IF(T$3=0,"",SUMIFS(INDEX(Inputs!$D$4:$AG$150,0,MATCH(T$2,Inputs!$D$2:$AG$2,0)),Inputs!$B$4:$B$150,$B4)/1000)</f>
        <v>8900</v>
      </c>
      <c r="U4" s="11">
        <f>IF(U$3=0,"",SUMIFS(INDEX(Inputs!$D$4:$AG$150,0,MATCH(U$2,Inputs!$D$2:$AG$2,0)),Inputs!$B$4:$B$150,$B4)/1000)</f>
        <v>9617</v>
      </c>
      <c r="V4" s="11">
        <f>IF(V$3=0,"",SUMIFS(INDEX(Inputs!$D$4:$AG$150,0,MATCH(V$2,Inputs!$D$2:$AG$2,0)),Inputs!$B$4:$B$150,$B4)/1000)</f>
        <v>9510</v>
      </c>
      <c r="W4" s="12">
        <f>IF(COUNT(S4:V4)=4,SUM(S4:V4),"")</f>
        <v>36802</v>
      </c>
      <c r="X4" s="11">
        <f>IF(X$3=0,"",SUMIFS(INDEX(Inputs!$D$4:$AG$150,0,MATCH(X$2,Inputs!$D$2:$AG$2,0)),Inputs!$B$4:$B$150,$B4)/1000)</f>
        <v>9594</v>
      </c>
      <c r="Y4" s="11">
        <f>IF(Y$3=0,"",SUMIFS(INDEX(Inputs!$D$4:$AG$150,0,MATCH(Y$2,Inputs!$D$2:$AG$2,0)),Inputs!$B$4:$B$150,$B4)/1000)</f>
        <v>10172</v>
      </c>
      <c r="Z4" s="11">
        <f>IF(Z$3=0,"",SUMIFS(INDEX(Inputs!$D$4:$AG$150,0,MATCH(Z$2,Inputs!$D$2:$AG$2,0)),Inputs!$B$4:$B$150,$B4)/1000)</f>
        <v>10724</v>
      </c>
      <c r="AA4" s="11">
        <f>IF(AA$3=0,"",SUMIFS(INDEX(Inputs!$D$4:$AG$150,0,MATCH(AA$2,Inputs!$D$2:$AG$2,0)),Inputs!$B$4:$B$150,$B4)/1000)</f>
        <v>10901</v>
      </c>
      <c r="AB4" s="12">
        <f>IF(COUNT(X4:AA4)=4,SUM(X4:AA4),"")</f>
        <v>41391</v>
      </c>
      <c r="AC4" s="11">
        <f>IF(AC$3=0,"",SUMIFS(INDEX(Inputs!$D$4:$AG$150,0,MATCH(AC$2,Inputs!$D$2:$AG$2,0)),Inputs!$B$4:$B$150,$B4)/1000)</f>
        <v>11230</v>
      </c>
      <c r="AD4" s="11">
        <f>IF(AD$3=0,"",SUMIFS(INDEX(Inputs!$D$4:$AG$150,0,MATCH(AD$2,Inputs!$D$2:$AG$2,0)),Inputs!$B$4:$B$150,$B4)/1000)</f>
        <v>11633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0</v>
      </c>
      <c r="E5" s="11">
        <f>IF(E$3=0,"",SUMIFS(INDEX(Inputs!$D$4:$AG$150,0,MATCH(E$2,Inputs!$D$2:$AG$2,0)),Inputs!$B$4:$B$150,$B5)/1000)</f>
        <v>0</v>
      </c>
      <c r="F5" s="11">
        <f>IF(F$3=0,"",SUMIFS(INDEX(Inputs!$D$4:$AG$150,0,MATCH(F$2,Inputs!$D$2:$AG$2,0)),Inputs!$B$4:$B$150,$B5)/1000)</f>
        <v>0</v>
      </c>
      <c r="G5" s="11">
        <f>IF(G$3=0,"",SUMIFS(INDEX(Inputs!$D$4:$AG$150,0,MATCH(G$2,Inputs!$D$2:$AG$2,0)),Inputs!$B$4:$B$150,$B5)/1000)</f>
        <v>0</v>
      </c>
      <c r="H5" s="12">
        <f>IF(COUNT(D5:G5)=4,SUM(D5:G5),"")</f>
        <v>0</v>
      </c>
      <c r="I5" s="11">
        <f>IF(I$3=0,"",SUMIFS(INDEX(Inputs!$D$4:$AG$150,0,MATCH(I$2,Inputs!$D$2:$AG$2,0)),Inputs!$B$4:$B$150,$B5)/1000)</f>
        <v>0</v>
      </c>
      <c r="J5" s="11">
        <f>IF(J$3=0,"",SUMIFS(INDEX(Inputs!$D$4:$AG$150,0,MATCH(J$2,Inputs!$D$2:$AG$2,0)),Inputs!$B$4:$B$150,$B5)/1000)</f>
        <v>0</v>
      </c>
      <c r="K5" s="11">
        <f>IF(K$3=0,"",SUMIFS(INDEX(Inputs!$D$4:$AG$150,0,MATCH(K$2,Inputs!$D$2:$AG$2,0)),Inputs!$B$4:$B$150,$B5)/1000)</f>
        <v>0</v>
      </c>
      <c r="L5" s="11">
        <f>IF(L$3=0,"",SUMIFS(INDEX(Inputs!$D$4:$AG$150,0,MATCH(L$2,Inputs!$D$2:$AG$2,0)),Inputs!$B$4:$B$150,$B5)/1000)</f>
        <v>0</v>
      </c>
      <c r="M5" s="12">
        <f>IF(COUNT(I5:L5)=4,SUM(I5:L5),"")</f>
        <v>0</v>
      </c>
      <c r="N5" s="11">
        <f>IF(N$3=0,"",SUMIFS(INDEX(Inputs!$D$4:$AG$150,0,MATCH(N$2,Inputs!$D$2:$AG$2,0)),Inputs!$B$4:$B$150,$B5)/1000)</f>
        <v>0</v>
      </c>
      <c r="O5" s="11">
        <f>IF(O$3=0,"",SUMIFS(INDEX(Inputs!$D$4:$AG$150,0,MATCH(O$2,Inputs!$D$2:$AG$2,0)),Inputs!$B$4:$B$150,$B5)/1000)</f>
        <v>0</v>
      </c>
      <c r="P5" s="11">
        <f>IF(P$3=0,"",SUMIFS(INDEX(Inputs!$D$4:$AG$150,0,MATCH(P$2,Inputs!$D$2:$AG$2,0)),Inputs!$B$4:$B$150,$B5)/1000)</f>
        <v>0</v>
      </c>
      <c r="Q5" s="11">
        <f>IF(Q$3=0,"",SUMIFS(INDEX(Inputs!$D$4:$AG$150,0,MATCH(Q$2,Inputs!$D$2:$AG$2,0)),Inputs!$B$4:$B$150,$B5)/1000)</f>
        <v>0</v>
      </c>
      <c r="R5" s="12">
        <f>IF(COUNT(N5:Q5)=4,SUM(N5:Q5),"")</f>
        <v>0</v>
      </c>
      <c r="S5" s="11">
        <f>IF(S$3=0,"",SUMIFS(INDEX(Inputs!$D$4:$AG$150,0,MATCH(S$2,Inputs!$D$2:$AG$2,0)),Inputs!$B$4:$B$150,$B5)/1000)</f>
        <v>0</v>
      </c>
      <c r="T5" s="11">
        <f>IF(T$3=0,"",SUMIFS(INDEX(Inputs!$D$4:$AG$150,0,MATCH(T$2,Inputs!$D$2:$AG$2,0)),Inputs!$B$4:$B$150,$B5)/1000)</f>
        <v>0</v>
      </c>
      <c r="U5" s="11">
        <f>IF(U$3=0,"",SUMIFS(INDEX(Inputs!$D$4:$AG$150,0,MATCH(U$2,Inputs!$D$2:$AG$2,0)),Inputs!$B$4:$B$150,$B5)/1000)</f>
        <v>0</v>
      </c>
      <c r="V5" s="11">
        <f>IF(V$3=0,"",SUMIFS(INDEX(Inputs!$D$4:$AG$150,0,MATCH(V$2,Inputs!$D$2:$AG$2,0)),Inputs!$B$4:$B$150,$B5)/1000)</f>
        <v>0</v>
      </c>
      <c r="W5" s="12">
        <f>IF(COUNT(S5:V5)=4,SUM(S5:V5),"")</f>
        <v>0</v>
      </c>
      <c r="X5" s="11">
        <f>IF(X$3=0,"",SUMIFS(INDEX(Inputs!$D$4:$AG$150,0,MATCH(X$2,Inputs!$D$2:$AG$2,0)),Inputs!$B$4:$B$150,$B5)/1000)</f>
        <v>0</v>
      </c>
      <c r="Y5" s="11">
        <f>IF(Y$3=0,"",SUMIFS(INDEX(Inputs!$D$4:$AG$150,0,MATCH(Y$2,Inputs!$D$2:$AG$2,0)),Inputs!$B$4:$B$150,$B5)/1000)</f>
        <v>0</v>
      </c>
      <c r="Z5" s="11">
        <f>IF(Z$3=0,"",SUMIFS(INDEX(Inputs!$D$4:$AG$150,0,MATCH(Z$2,Inputs!$D$2:$AG$2,0)),Inputs!$B$4:$B$150,$B5)/1000)</f>
        <v>0</v>
      </c>
      <c r="AA5" s="11">
        <f>IF(AA$3=0,"",SUMIFS(INDEX(Inputs!$D$4:$AG$150,0,MATCH(AA$2,Inputs!$D$2:$AG$2,0)),Inputs!$B$4:$B$150,$B5)/1000)</f>
        <v>0</v>
      </c>
      <c r="AB5" s="12">
        <f>IF(COUNT(X5:AA5)=4,SUM(X5:AA5),"")</f>
        <v>0</v>
      </c>
      <c r="AC5" s="11">
        <f>IF(AC$3=0,"",SUMIFS(INDEX(Inputs!$D$4:$AG$150,0,MATCH(AC$2,Inputs!$D$2:$AG$2,0)),Inputs!$B$4:$B$150,$B5)/1000)</f>
        <v>0</v>
      </c>
      <c r="AD5" s="11">
        <f>IF(AD$3=0,"",SUMIFS(INDEX(Inputs!$D$4:$AG$150,0,MATCH(AD$2,Inputs!$D$2:$AG$2,0)),Inputs!$B$4:$B$150,$B5)/1000)</f>
        <v>0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-1947</v>
      </c>
      <c r="E6" s="11">
        <f>IF(E$3=0,"",SUMIFS(INDEX(Inputs!$D$4:$AG$150,0,MATCH(E$2,Inputs!$D$2:$AG$2,0)),Inputs!$B$4:$B$150,$B6)/1000)</f>
        <v>-1862</v>
      </c>
      <c r="F6" s="11">
        <f>IF(F$3=0,"",SUMIFS(INDEX(Inputs!$D$4:$AG$150,0,MATCH(F$2,Inputs!$D$2:$AG$2,0)),Inputs!$B$4:$B$150,$B6)/1000)</f>
        <v>-2042</v>
      </c>
      <c r="G6" s="11">
        <f>IF(G$3=0,"",SUMIFS(INDEX(Inputs!$D$4:$AG$150,0,MATCH(G$2,Inputs!$D$2:$AG$2,0)),Inputs!$B$4:$B$150,$B6)/1000)</f>
        <v>-2085</v>
      </c>
      <c r="H6" s="12">
        <f>IF(COUNT(D6:G6)=4,SUM(D6:G6),"")</f>
        <v>-7936</v>
      </c>
      <c r="I6" s="11">
        <f>IF(I$3=0,"",SUMIFS(INDEX(Inputs!$D$4:$AG$150,0,MATCH(I$2,Inputs!$D$2:$AG$2,0)),Inputs!$B$4:$B$150,$B6)/1000)</f>
        <v>-2180</v>
      </c>
      <c r="J6" s="11">
        <f>IF(J$3=0,"",SUMIFS(INDEX(Inputs!$D$4:$AG$150,0,MATCH(J$2,Inputs!$D$2:$AG$2,0)),Inputs!$B$4:$B$150,$B6)/1000)</f>
        <v>-2897</v>
      </c>
      <c r="K6" s="11">
        <f>IF(K$3=0,"",SUMIFS(INDEX(Inputs!$D$4:$AG$150,0,MATCH(K$2,Inputs!$D$2:$AG$2,0)),Inputs!$B$4:$B$150,$B6)/1000)</f>
        <v>-2474</v>
      </c>
      <c r="L6" s="11">
        <f>IF(L$3=0,"",SUMIFS(INDEX(Inputs!$D$4:$AG$150,0,MATCH(L$2,Inputs!$D$2:$AG$2,0)),Inputs!$B$4:$B$150,$B6)/1000)</f>
        <v>-2619</v>
      </c>
      <c r="M6" s="12">
        <f>IF(COUNT(I6:L6)=4,SUM(I6:L6),"")</f>
        <v>-10170</v>
      </c>
      <c r="N6" s="11">
        <f>IF(N$3=0,"",SUMIFS(INDEX(Inputs!$D$4:$AG$150,0,MATCH(N$2,Inputs!$D$2:$AG$2,0)),Inputs!$B$4:$B$150,$B6)/1000)</f>
        <v>-2415</v>
      </c>
      <c r="O6" s="11">
        <f>IF(O$3=0,"",SUMIFS(INDEX(Inputs!$D$4:$AG$150,0,MATCH(O$2,Inputs!$D$2:$AG$2,0)),Inputs!$B$4:$B$150,$B6)/1000)</f>
        <v>-2864</v>
      </c>
      <c r="P6" s="11">
        <f>IF(P$3=0,"",SUMIFS(INDEX(Inputs!$D$4:$AG$150,0,MATCH(P$2,Inputs!$D$2:$AG$2,0)),Inputs!$B$4:$B$150,$B6)/1000)</f>
        <v>-2812</v>
      </c>
      <c r="Q6" s="11">
        <f>IF(Q$3=0,"",SUMIFS(INDEX(Inputs!$D$4:$AG$150,0,MATCH(Q$2,Inputs!$D$2:$AG$2,0)),Inputs!$B$4:$B$150,$B6)/1000)</f>
        <v>-2433</v>
      </c>
      <c r="R6" s="12">
        <f>IF(COUNT(N6:Q6)=4,SUM(N6:Q6),"")</f>
        <v>-10524</v>
      </c>
      <c r="S6" s="11">
        <f>IF(S$3=0,"",SUMIFS(INDEX(Inputs!$D$4:$AG$150,0,MATCH(S$2,Inputs!$D$2:$AG$2,0)),Inputs!$B$4:$B$150,$B6)/1000)</f>
        <v>-3172</v>
      </c>
      <c r="T6" s="11">
        <f>IF(T$3=0,"",SUMIFS(INDEX(Inputs!$D$4:$AG$150,0,MATCH(T$2,Inputs!$D$2:$AG$2,0)),Inputs!$B$4:$B$150,$B6)/1000)</f>
        <v>-2698</v>
      </c>
      <c r="U6" s="11">
        <f>IF(U$3=0,"",SUMIFS(INDEX(Inputs!$D$4:$AG$150,0,MATCH(U$2,Inputs!$D$2:$AG$2,0)),Inputs!$B$4:$B$150,$B6)/1000)</f>
        <v>-2994</v>
      </c>
      <c r="V6" s="11">
        <f>IF(V$3=0,"",SUMIFS(INDEX(Inputs!$D$4:$AG$150,0,MATCH(V$2,Inputs!$D$2:$AG$2,0)),Inputs!$B$4:$B$150,$B6)/1000)</f>
        <v>-2994</v>
      </c>
      <c r="W6" s="12">
        <f>IF(COUNT(S6:V6)=4,SUM(S6:V6),"")</f>
        <v>-11858</v>
      </c>
      <c r="X6" s="11">
        <f>IF(X$3=0,"",SUMIFS(INDEX(Inputs!$D$4:$AG$150,0,MATCH(X$2,Inputs!$D$2:$AG$2,0)),Inputs!$B$4:$B$150,$B6)/1000)</f>
        <v>-3854</v>
      </c>
      <c r="Y6" s="11">
        <f>IF(Y$3=0,"",SUMIFS(INDEX(Inputs!$D$4:$AG$150,0,MATCH(Y$2,Inputs!$D$2:$AG$2,0)),Inputs!$B$4:$B$150,$B6)/1000)</f>
        <v>-3678</v>
      </c>
      <c r="Z6" s="11">
        <f>IF(Z$3=0,"",SUMIFS(INDEX(Inputs!$D$4:$AG$150,0,MATCH(Z$2,Inputs!$D$2:$AG$2,0)),Inputs!$B$4:$B$150,$B6)/1000)</f>
        <v>-4260</v>
      </c>
      <c r="AA6" s="11">
        <f>IF(AA$3=0,"",SUMIFS(INDEX(Inputs!$D$4:$AG$150,0,MATCH(AA$2,Inputs!$D$2:$AG$2,0)),Inputs!$B$4:$B$150,$B6)/1000)</f>
        <v>-3838</v>
      </c>
      <c r="AB6" s="12">
        <f>IF(COUNT(X6:AA6)=4,SUM(X6:AA6),"")</f>
        <v>-15630</v>
      </c>
      <c r="AC6" s="11">
        <f>IF(AC$3=0,"",SUMIFS(INDEX(Inputs!$D$4:$AG$150,0,MATCH(AC$2,Inputs!$D$2:$AG$2,0)),Inputs!$B$4:$B$150,$B6)/1000)</f>
        <v>-3663</v>
      </c>
      <c r="AD6" s="11">
        <f>IF(AD$3=0,"",SUMIFS(INDEX(Inputs!$D$4:$AG$150,0,MATCH(AD$2,Inputs!$D$2:$AG$2,0)),Inputs!$B$4:$B$150,$B6)/1000)</f>
        <v>-4389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-201</v>
      </c>
      <c r="E7" s="11">
        <f>IF(E$3=0,"",SUMIFS(INDEX(Inputs!$D$4:$AG$150,0,MATCH(E$2,Inputs!$D$2:$AG$2,0)),Inputs!$B$4:$B$150,$B7)/1000)</f>
        <v>-204</v>
      </c>
      <c r="F7" s="11">
        <f>IF(F$3=0,"",SUMIFS(INDEX(Inputs!$D$4:$AG$150,0,MATCH(F$2,Inputs!$D$2:$AG$2,0)),Inputs!$B$4:$B$150,$B7)/1000)</f>
        <v>-202</v>
      </c>
      <c r="G7" s="11">
        <f>IF(G$3=0,"",SUMIFS(INDEX(Inputs!$D$4:$AG$150,0,MATCH(G$2,Inputs!$D$2:$AG$2,0)),Inputs!$B$4:$B$150,$B7)/1000)</f>
        <v>-198</v>
      </c>
      <c r="H7" s="12">
        <f>IF(COUNT(D7:G7)=4,SUM(D7:G7),"")</f>
        <v>-805</v>
      </c>
      <c r="I7" s="11">
        <f>IF(I$3=0,"",SUMIFS(INDEX(Inputs!$D$4:$AG$150,0,MATCH(I$2,Inputs!$D$2:$AG$2,0)),Inputs!$B$4:$B$150,$B7)/1000)</f>
        <v>-207</v>
      </c>
      <c r="J7" s="11">
        <f>IF(J$3=0,"",SUMIFS(INDEX(Inputs!$D$4:$AG$150,0,MATCH(J$2,Inputs!$D$2:$AG$2,0)),Inputs!$B$4:$B$150,$B7)/1000)</f>
        <v>-230</v>
      </c>
      <c r="K7" s="11">
        <f>IF(K$3=0,"",SUMIFS(INDEX(Inputs!$D$4:$AG$150,0,MATCH(K$2,Inputs!$D$2:$AG$2,0)),Inputs!$B$4:$B$150,$B7)/1000)</f>
        <v>-226</v>
      </c>
      <c r="L7" s="11">
        <f>IF(L$3=0,"",SUMIFS(INDEX(Inputs!$D$4:$AG$150,0,MATCH(L$2,Inputs!$D$2:$AG$2,0)),Inputs!$B$4:$B$150,$B7)/1000)</f>
        <v>-227</v>
      </c>
      <c r="M7" s="12">
        <f>IF(COUNT(I7:L7)=4,SUM(I7:L7),"")</f>
        <v>-890</v>
      </c>
      <c r="N7" s="11">
        <f>IF(N$3=0,"",SUMIFS(INDEX(Inputs!$D$4:$AG$150,0,MATCH(N$2,Inputs!$D$2:$AG$2,0)),Inputs!$B$4:$B$150,$B7)/1000)</f>
        <v>-234</v>
      </c>
      <c r="O7" s="11">
        <f>IF(O$3=0,"",SUMIFS(INDEX(Inputs!$D$4:$AG$150,0,MATCH(O$2,Inputs!$D$2:$AG$2,0)),Inputs!$B$4:$B$150,$B7)/1000)</f>
        <v>-235</v>
      </c>
      <c r="P7" s="11">
        <f>IF(P$3=0,"",SUMIFS(INDEX(Inputs!$D$4:$AG$150,0,MATCH(P$2,Inputs!$D$2:$AG$2,0)),Inputs!$B$4:$B$150,$B7)/1000)</f>
        <v>-247</v>
      </c>
      <c r="Q7" s="11">
        <f>IF(Q$3=0,"",SUMIFS(INDEX(Inputs!$D$4:$AG$150,0,MATCH(Q$2,Inputs!$D$2:$AG$2,0)),Inputs!$B$4:$B$150,$B7)/1000)</f>
        <v>-247</v>
      </c>
      <c r="R7" s="12">
        <f>IF(COUNT(N7:Q7)=4,SUM(N7:Q7),"")</f>
        <v>-963</v>
      </c>
      <c r="S7" s="11">
        <f>IF(S$3=0,"",SUMIFS(INDEX(Inputs!$D$4:$AG$150,0,MATCH(S$2,Inputs!$D$2:$AG$2,0)),Inputs!$B$4:$B$150,$B7)/1000)</f>
        <v>-249</v>
      </c>
      <c r="T7" s="11">
        <f>IF(T$3=0,"",SUMIFS(INDEX(Inputs!$D$4:$AG$150,0,MATCH(T$2,Inputs!$D$2:$AG$2,0)),Inputs!$B$4:$B$150,$B7)/1000)</f>
        <v>-264</v>
      </c>
      <c r="U7" s="11">
        <f>IF(U$3=0,"",SUMIFS(INDEX(Inputs!$D$4:$AG$150,0,MATCH(U$2,Inputs!$D$2:$AG$2,0)),Inputs!$B$4:$B$150,$B7)/1000)</f>
        <v>-274</v>
      </c>
      <c r="V7" s="11">
        <f>IF(V$3=0,"",SUMIFS(INDEX(Inputs!$D$4:$AG$150,0,MATCH(V$2,Inputs!$D$2:$AG$2,0)),Inputs!$B$4:$B$150,$B7)/1000)</f>
        <v>-282</v>
      </c>
      <c r="W7" s="12">
        <f>IF(COUNT(S7:V7)=4,SUM(S7:V7),"")</f>
        <v>-1069</v>
      </c>
      <c r="X7" s="11">
        <f>IF(X$3=0,"",SUMIFS(INDEX(Inputs!$D$4:$AG$150,0,MATCH(X$2,Inputs!$D$2:$AG$2,0)),Inputs!$B$4:$B$150,$B7)/1000)</f>
        <v>-305</v>
      </c>
      <c r="Y7" s="11">
        <f>IF(Y$3=0,"",SUMIFS(INDEX(Inputs!$D$4:$AG$150,0,MATCH(Y$2,Inputs!$D$2:$AG$2,0)),Inputs!$B$4:$B$150,$B7)/1000)</f>
        <v>-317</v>
      </c>
      <c r="Z7" s="11">
        <f>IF(Z$3=0,"",SUMIFS(INDEX(Inputs!$D$4:$AG$150,0,MATCH(Z$2,Inputs!$D$2:$AG$2,0)),Inputs!$B$4:$B$150,$B7)/1000)</f>
        <v>-316</v>
      </c>
      <c r="AA7" s="11">
        <f>IF(AA$3=0,"",SUMIFS(INDEX(Inputs!$D$4:$AG$150,0,MATCH(AA$2,Inputs!$D$2:$AG$2,0)),Inputs!$B$4:$B$150,$B7)/1000)</f>
        <v>-326</v>
      </c>
      <c r="AB7" s="12">
        <f>IF(COUNT(X7:AA7)=4,SUM(X7:AA7),"")</f>
        <v>-1264</v>
      </c>
      <c r="AC7" s="11">
        <f>IF(AC$3=0,"",SUMIFS(INDEX(Inputs!$D$4:$AG$150,0,MATCH(AC$2,Inputs!$D$2:$AG$2,0)),Inputs!$B$4:$B$150,$B7)/1000)</f>
        <v>-333</v>
      </c>
      <c r="AD7" s="11">
        <f>IF(AD$3=0,"",SUMIFS(INDEX(Inputs!$D$4:$AG$150,0,MATCH(AD$2,Inputs!$D$2:$AG$2,0)),Inputs!$B$4:$B$150,$B7)/1000)</f>
        <v>-367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0</v>
      </c>
      <c r="E8" s="11">
        <f>IF(E$3=0,"",SUMIFS(INDEX(Inputs!$D$4:$AG$150,0,MATCH(E$2,Inputs!$D$2:$AG$2,0)),Inputs!$B$4:$B$150,$B8)/1000)</f>
        <v>0</v>
      </c>
      <c r="F8" s="11">
        <f>IF(F$3=0,"",SUMIFS(INDEX(Inputs!$D$4:$AG$150,0,MATCH(F$2,Inputs!$D$2:$AG$2,0)),Inputs!$B$4:$B$150,$B8)/1000)</f>
        <v>0</v>
      </c>
      <c r="G8" s="11">
        <f>IF(G$3=0,"",SUMIFS(INDEX(Inputs!$D$4:$AG$150,0,MATCH(G$2,Inputs!$D$2:$AG$2,0)),Inputs!$B$4:$B$150,$B8)/1000)</f>
        <v>0</v>
      </c>
      <c r="H8" s="12">
        <f>IF(COUNT(D8:G8)=4,SUM(D8:G8),"")</f>
        <v>0</v>
      </c>
      <c r="I8" s="11">
        <f>IF(I$3=0,"",SUMIFS(INDEX(Inputs!$D$4:$AG$150,0,MATCH(I$2,Inputs!$D$2:$AG$2,0)),Inputs!$B$4:$B$150,$B8)/1000)</f>
        <v>0</v>
      </c>
      <c r="J8" s="11">
        <f>IF(J$3=0,"",SUMIFS(INDEX(Inputs!$D$4:$AG$150,0,MATCH(J$2,Inputs!$D$2:$AG$2,0)),Inputs!$B$4:$B$150,$B8)/1000)</f>
        <v>0</v>
      </c>
      <c r="K8" s="11">
        <f>IF(K$3=0,"",SUMIFS(INDEX(Inputs!$D$4:$AG$150,0,MATCH(K$2,Inputs!$D$2:$AG$2,0)),Inputs!$B$4:$B$150,$B8)/1000)</f>
        <v>0</v>
      </c>
      <c r="L8" s="11">
        <f>IF(L$3=0,"",SUMIFS(INDEX(Inputs!$D$4:$AG$150,0,MATCH(L$2,Inputs!$D$2:$AG$2,0)),Inputs!$B$4:$B$150,$B8)/1000)</f>
        <v>0</v>
      </c>
      <c r="M8" s="12">
        <f>IF(COUNT(I8:L8)=4,SUM(I8:L8),"")</f>
        <v>0</v>
      </c>
      <c r="N8" s="11">
        <f>IF(N$3=0,"",SUMIFS(INDEX(Inputs!$D$4:$AG$150,0,MATCH(N$2,Inputs!$D$2:$AG$2,0)),Inputs!$B$4:$B$150,$B8)/1000)</f>
        <v>0</v>
      </c>
      <c r="O8" s="11">
        <f>IF(O$3=0,"",SUMIFS(INDEX(Inputs!$D$4:$AG$150,0,MATCH(O$2,Inputs!$D$2:$AG$2,0)),Inputs!$B$4:$B$150,$B8)/1000)</f>
        <v>-182</v>
      </c>
      <c r="P8" s="11">
        <f>IF(P$3=0,"",SUMIFS(INDEX(Inputs!$D$4:$AG$150,0,MATCH(P$2,Inputs!$D$2:$AG$2,0)),Inputs!$B$4:$B$150,$B8)/1000)</f>
        <v>-183</v>
      </c>
      <c r="Q8" s="11">
        <f>IF(Q$3=0,"",SUMIFS(INDEX(Inputs!$D$4:$AG$150,0,MATCH(Q$2,Inputs!$D$2:$AG$2,0)),Inputs!$B$4:$B$150,$B8)/1000)</f>
        <v>-187</v>
      </c>
      <c r="R8" s="12">
        <f>IF(COUNT(N8:Q8)=4,SUM(N8:Q8),"")</f>
        <v>-552</v>
      </c>
      <c r="S8" s="11">
        <f>IF(S$3=0,"",SUMIFS(INDEX(Inputs!$D$4:$AG$150,0,MATCH(S$2,Inputs!$D$2:$AG$2,0)),Inputs!$B$4:$B$150,$B8)/1000)</f>
        <v>-82</v>
      </c>
      <c r="T8" s="11">
        <f>IF(T$3=0,"",SUMIFS(INDEX(Inputs!$D$4:$AG$150,0,MATCH(T$2,Inputs!$D$2:$AG$2,0)),Inputs!$B$4:$B$150,$B8)/1000)</f>
        <v>-196</v>
      </c>
      <c r="U8" s="11">
        <f>IF(U$3=0,"",SUMIFS(INDEX(Inputs!$D$4:$AG$150,0,MATCH(U$2,Inputs!$D$2:$AG$2,0)),Inputs!$B$4:$B$150,$B8)/1000)</f>
        <v>-176</v>
      </c>
      <c r="V8" s="11">
        <f>IF(V$3=0,"",SUMIFS(INDEX(Inputs!$D$4:$AG$150,0,MATCH(V$2,Inputs!$D$2:$AG$2,0)),Inputs!$B$4:$B$150,$B8)/1000)</f>
        <v>-182</v>
      </c>
      <c r="W8" s="12">
        <f>IF(COUNT(S8:V8)=4,SUM(S8:V8),"")</f>
        <v>-636</v>
      </c>
      <c r="X8" s="11">
        <f>IF(X$3=0,"",SUMIFS(INDEX(Inputs!$D$4:$AG$150,0,MATCH(X$2,Inputs!$D$2:$AG$2,0)),Inputs!$B$4:$B$150,$B8)/1000)</f>
        <v>-158</v>
      </c>
      <c r="Y8" s="11">
        <f>IF(Y$3=0,"",SUMIFS(INDEX(Inputs!$D$4:$AG$150,0,MATCH(Y$2,Inputs!$D$2:$AG$2,0)),Inputs!$B$4:$B$150,$B8)/1000)</f>
        <v>-39</v>
      </c>
      <c r="Z8" s="11">
        <f>IF(Z$3=0,"",SUMIFS(INDEX(Inputs!$D$4:$AG$150,0,MATCH(Z$2,Inputs!$D$2:$AG$2,0)),Inputs!$B$4:$B$150,$B8)/1000)</f>
        <v>-210</v>
      </c>
      <c r="AA8" s="11">
        <f>IF(AA$3=0,"",SUMIFS(INDEX(Inputs!$D$4:$AG$150,0,MATCH(AA$2,Inputs!$D$2:$AG$2,0)),Inputs!$B$4:$B$150,$B8)/1000)</f>
        <v>-194</v>
      </c>
      <c r="AB8" s="12">
        <f>IF(COUNT(X8:AA8)=4,SUM(X8:AA8),"")</f>
        <v>-601</v>
      </c>
      <c r="AC8" s="11">
        <f>IF(AC$3=0,"",SUMIFS(INDEX(Inputs!$D$4:$AG$150,0,MATCH(AC$2,Inputs!$D$2:$AG$2,0)),Inputs!$B$4:$B$150,$B8)/1000)</f>
        <v>-178</v>
      </c>
      <c r="AD8" s="11">
        <f>IF(AD$3=0,"",SUMIFS(INDEX(Inputs!$D$4:$AG$150,0,MATCH(AD$2,Inputs!$D$2:$AG$2,0)),Inputs!$B$4:$B$150,$B8)/1000)</f>
        <v>-194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47</v>
      </c>
      <c r="E9" s="11">
        <f>IF(E$3=0,"",SUMIFS(INDEX(Inputs!$D$4:$AG$150,0,MATCH(E$2,Inputs!$D$2:$AG$2,0)),Inputs!$B$4:$B$150,$B9)/1000)</f>
        <v>325</v>
      </c>
      <c r="F9" s="11">
        <f>IF(F$3=0,"",SUMIFS(INDEX(Inputs!$D$4:$AG$150,0,MATCH(F$2,Inputs!$D$2:$AG$2,0)),Inputs!$B$4:$B$150,$B9)/1000)</f>
        <v>-17</v>
      </c>
      <c r="G9" s="11">
        <f>IF(G$3=0,"",SUMIFS(INDEX(Inputs!$D$4:$AG$150,0,MATCH(G$2,Inputs!$D$2:$AG$2,0)),Inputs!$B$4:$B$150,$B9)/1000)</f>
        <v>121</v>
      </c>
      <c r="H9" s="12">
        <f>IF(COUNT(D9:G9)=4,SUM(D9:G9),"")</f>
        <v>476</v>
      </c>
      <c r="I9" s="11">
        <f>IF(I$3=0,"",SUMIFS(INDEX(Inputs!$D$4:$AG$150,0,MATCH(I$2,Inputs!$D$2:$AG$2,0)),Inputs!$B$4:$B$150,$B9)/1000)</f>
        <v>-260</v>
      </c>
      <c r="J9" s="11">
        <f>IF(J$3=0,"",SUMIFS(INDEX(Inputs!$D$4:$AG$150,0,MATCH(J$2,Inputs!$D$2:$AG$2,0)),Inputs!$B$4:$B$150,$B9)/1000)</f>
        <v>-319</v>
      </c>
      <c r="K9" s="11">
        <f>IF(K$3=0,"",SUMIFS(INDEX(Inputs!$D$4:$AG$150,0,MATCH(K$2,Inputs!$D$2:$AG$2,0)),Inputs!$B$4:$B$150,$B9)/1000)</f>
        <v>-219</v>
      </c>
      <c r="L9" s="11">
        <f>IF(L$3=0,"",SUMIFS(INDEX(Inputs!$D$4:$AG$150,0,MATCH(L$2,Inputs!$D$2:$AG$2,0)),Inputs!$B$4:$B$150,$B9)/1000)</f>
        <v>-113</v>
      </c>
      <c r="M9" s="12">
        <f>IF(COUNT(I9:L9)=4,SUM(I9:L9),"")</f>
        <v>-911</v>
      </c>
      <c r="N9" s="11">
        <f>IF(N$3=0,"",SUMIFS(INDEX(Inputs!$D$4:$AG$150,0,MATCH(N$2,Inputs!$D$2:$AG$2,0)),Inputs!$B$4:$B$150,$B9)/1000)</f>
        <v>-58</v>
      </c>
      <c r="O9" s="11">
        <f>IF(O$3=0,"",SUMIFS(INDEX(Inputs!$D$4:$AG$150,0,MATCH(O$2,Inputs!$D$2:$AG$2,0)),Inputs!$B$4:$B$150,$B9)/1000)</f>
        <v>304</v>
      </c>
      <c r="P9" s="11">
        <f>IF(P$3=0,"",SUMIFS(INDEX(Inputs!$D$4:$AG$150,0,MATCH(P$2,Inputs!$D$2:$AG$2,0)),Inputs!$B$4:$B$150,$B9)/1000)</f>
        <v>269</v>
      </c>
      <c r="Q9" s="11">
        <f>IF(Q$3=0,"",SUMIFS(INDEX(Inputs!$D$4:$AG$150,0,MATCH(Q$2,Inputs!$D$2:$AG$2,0)),Inputs!$B$4:$B$150,$B9)/1000)</f>
        <v>275</v>
      </c>
      <c r="R9" s="12">
        <f>IF(COUNT(N9:Q9)=4,SUM(N9:Q9),"")</f>
        <v>790</v>
      </c>
      <c r="S9" s="11">
        <f>IF(S$3=0,"",SUMIFS(INDEX(Inputs!$D$4:$AG$150,0,MATCH(S$2,Inputs!$D$2:$AG$2,0)),Inputs!$B$4:$B$150,$B9)/1000)</f>
        <v>241</v>
      </c>
      <c r="T9" s="11">
        <f>IF(T$3=0,"",SUMIFS(INDEX(Inputs!$D$4:$AG$150,0,MATCH(T$2,Inputs!$D$2:$AG$2,0)),Inputs!$B$4:$B$150,$B9)/1000)</f>
        <v>247</v>
      </c>
      <c r="U9" s="11">
        <f>IF(U$3=0,"",SUMIFS(INDEX(Inputs!$D$4:$AG$150,0,MATCH(U$2,Inputs!$D$2:$AG$2,0)),Inputs!$B$4:$B$150,$B9)/1000)</f>
        <v>199</v>
      </c>
      <c r="V9" s="11">
        <f>IF(V$3=0,"",SUMIFS(INDEX(Inputs!$D$4:$AG$150,0,MATCH(V$2,Inputs!$D$2:$AG$2,0)),Inputs!$B$4:$B$150,$B9)/1000)</f>
        <v>148</v>
      </c>
      <c r="W9" s="12">
        <f>IF(COUNT(S9:V9)=4,SUM(S9:V9),"")</f>
        <v>835</v>
      </c>
      <c r="X9" s="11">
        <f>IF(X$3=0,"",SUMIFS(INDEX(Inputs!$D$4:$AG$150,0,MATCH(X$2,Inputs!$D$2:$AG$2,0)),Inputs!$B$4:$B$150,$B9)/1000)</f>
        <v>161</v>
      </c>
      <c r="Y9" s="11">
        <f>IF(Y$3=0,"",SUMIFS(INDEX(Inputs!$D$4:$AG$150,0,MATCH(Y$2,Inputs!$D$2:$AG$2,0)),Inputs!$B$4:$B$150,$B9)/1000)</f>
        <v>195</v>
      </c>
      <c r="Z9" s="11">
        <f>IF(Z$3=0,"",SUMIFS(INDEX(Inputs!$D$4:$AG$150,0,MATCH(Z$2,Inputs!$D$2:$AG$2,0)),Inputs!$B$4:$B$150,$B9)/1000)</f>
        <v>285</v>
      </c>
      <c r="AA9" s="11">
        <f>IF(AA$3=0,"",SUMIFS(INDEX(Inputs!$D$4:$AG$150,0,MATCH(AA$2,Inputs!$D$2:$AG$2,0)),Inputs!$B$4:$B$150,$B9)/1000)</f>
        <v>183</v>
      </c>
      <c r="AB9" s="12">
        <f>IF(COUNT(X9:AA9)=4,SUM(X9:AA9),"")</f>
        <v>824</v>
      </c>
      <c r="AC9" s="11">
        <f>IF(AC$3=0,"",SUMIFS(INDEX(Inputs!$D$4:$AG$150,0,MATCH(AC$2,Inputs!$D$2:$AG$2,0)),Inputs!$B$4:$B$150,$B9)/1000)</f>
        <v>118</v>
      </c>
      <c r="AD9" s="11">
        <f>IF(AD$3=0,"",SUMIFS(INDEX(Inputs!$D$4:$AG$150,0,MATCH(AD$2,Inputs!$D$2:$AG$2,0)),Inputs!$B$4:$B$150,$B9)/1000)</f>
        <v>150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-602</v>
      </c>
      <c r="E10" s="11">
        <f>IF(E$3=0,"",SUMIFS(INDEX(Inputs!$D$4:$AG$150,0,MATCH(E$2,Inputs!$D$2:$AG$2,0)),Inputs!$B$4:$B$150,$B10)/1000)</f>
        <v>-1814</v>
      </c>
      <c r="F10" s="11">
        <f>IF(F$3=0,"",SUMIFS(INDEX(Inputs!$D$4:$AG$150,0,MATCH(F$2,Inputs!$D$2:$AG$2,0)),Inputs!$B$4:$B$150,$B10)/1000)</f>
        <v>-714</v>
      </c>
      <c r="G10" s="11">
        <f>IF(G$3=0,"",SUMIFS(INDEX(Inputs!$D$4:$AG$150,0,MATCH(G$2,Inputs!$D$2:$AG$2,0)),Inputs!$B$4:$B$150,$B10)/1000)</f>
        <v>-938</v>
      </c>
      <c r="H10" s="12">
        <f>IF(COUNT(D10:G10)=4,SUM(D10:G10),"")</f>
        <v>-4068</v>
      </c>
      <c r="I10" s="11">
        <f>IF(I$3=0,"",SUMIFS(INDEX(Inputs!$D$4:$AG$150,0,MATCH(I$2,Inputs!$D$2:$AG$2,0)),Inputs!$B$4:$B$150,$B10)/1000)</f>
        <v>-895</v>
      </c>
      <c r="J10" s="11">
        <f>IF(J$3=0,"",SUMIFS(INDEX(Inputs!$D$4:$AG$150,0,MATCH(J$2,Inputs!$D$2:$AG$2,0)),Inputs!$B$4:$B$150,$B10)/1000)</f>
        <v>-418</v>
      </c>
      <c r="K10" s="11">
        <f>IF(K$3=0,"",SUMIFS(INDEX(Inputs!$D$4:$AG$150,0,MATCH(K$2,Inputs!$D$2:$AG$2,0)),Inputs!$B$4:$B$150,$B10)/1000)</f>
        <v>-928</v>
      </c>
      <c r="L10" s="11">
        <f>IF(L$3=0,"",SUMIFS(INDEX(Inputs!$D$4:$AG$150,0,MATCH(L$2,Inputs!$D$2:$AG$2,0)),Inputs!$B$4:$B$150,$B10)/1000)</f>
        <v>-798</v>
      </c>
      <c r="M10" s="12">
        <f>IF(COUNT(I10:L10)=4,SUM(I10:L10),"")</f>
        <v>-3039</v>
      </c>
      <c r="N10" s="11">
        <f>IF(N$3=0,"",SUMIFS(INDEX(Inputs!$D$4:$AG$150,0,MATCH(N$2,Inputs!$D$2:$AG$2,0)),Inputs!$B$4:$B$150,$B10)/1000)</f>
        <v>-1021</v>
      </c>
      <c r="O10" s="11">
        <f>IF(O$3=0,"",SUMIFS(INDEX(Inputs!$D$4:$AG$150,0,MATCH(O$2,Inputs!$D$2:$AG$2,0)),Inputs!$B$4:$B$150,$B10)/1000)</f>
        <v>-990</v>
      </c>
      <c r="P10" s="11">
        <f>IF(P$3=0,"",SUMIFS(INDEX(Inputs!$D$4:$AG$150,0,MATCH(P$2,Inputs!$D$2:$AG$2,0)),Inputs!$B$4:$B$150,$B10)/1000)</f>
        <v>-955</v>
      </c>
      <c r="Q10" s="11">
        <f>IF(Q$3=0,"",SUMIFS(INDEX(Inputs!$D$4:$AG$150,0,MATCH(Q$2,Inputs!$D$2:$AG$2,0)),Inputs!$B$4:$B$150,$B10)/1000)</f>
        <v>-1152</v>
      </c>
      <c r="R10" s="12">
        <f>IF(COUNT(N10:Q10)=4,SUM(N10:Q10),"")</f>
        <v>-4118</v>
      </c>
      <c r="S10" s="11">
        <f>IF(S$3=0,"",SUMIFS(INDEX(Inputs!$D$4:$AG$150,0,MATCH(S$2,Inputs!$D$2:$AG$2,0)),Inputs!$B$4:$B$150,$B10)/1000)</f>
        <v>-850</v>
      </c>
      <c r="T10" s="11">
        <f>IF(T$3=0,"",SUMIFS(INDEX(Inputs!$D$4:$AG$150,0,MATCH(T$2,Inputs!$D$2:$AG$2,0)),Inputs!$B$4:$B$150,$B10)/1000)</f>
        <v>-1117</v>
      </c>
      <c r="U10" s="11">
        <f>IF(U$3=0,"",SUMIFS(INDEX(Inputs!$D$4:$AG$150,0,MATCH(U$2,Inputs!$D$2:$AG$2,0)),Inputs!$B$4:$B$150,$B10)/1000)</f>
        <v>-1054</v>
      </c>
      <c r="V10" s="11">
        <f>IF(V$3=0,"",SUMIFS(INDEX(Inputs!$D$4:$AG$150,0,MATCH(V$2,Inputs!$D$2:$AG$2,0)),Inputs!$B$4:$B$150,$B10)/1000)</f>
        <v>-1081</v>
      </c>
      <c r="W10" s="12">
        <f>IF(COUNT(S10:V10)=4,SUM(S10:V10),"")</f>
        <v>-4102</v>
      </c>
      <c r="X10" s="11">
        <f>IF(X$3=0,"",SUMIFS(INDEX(Inputs!$D$4:$AG$150,0,MATCH(X$2,Inputs!$D$2:$AG$2,0)),Inputs!$B$4:$B$150,$B10)/1000)</f>
        <v>-861</v>
      </c>
      <c r="Y10" s="11">
        <f>IF(Y$3=0,"",SUMIFS(INDEX(Inputs!$D$4:$AG$150,0,MATCH(Y$2,Inputs!$D$2:$AG$2,0)),Inputs!$B$4:$B$150,$B10)/1000)</f>
        <v>-1061</v>
      </c>
      <c r="Z10" s="11">
        <f>IF(Z$3=0,"",SUMIFS(INDEX(Inputs!$D$4:$AG$150,0,MATCH(Z$2,Inputs!$D$2:$AG$2,0)),Inputs!$B$4:$B$150,$B10)/1000)</f>
        <v>-1133</v>
      </c>
      <c r="AA10" s="11">
        <f>IF(AA$3=0,"",SUMIFS(INDEX(Inputs!$D$4:$AG$150,0,MATCH(AA$2,Inputs!$D$2:$AG$2,0)),Inputs!$B$4:$B$150,$B10)/1000)</f>
        <v>-873</v>
      </c>
      <c r="AB10" s="12">
        <f>IF(COUNT(X10:AA10)=4,SUM(X10:AA10),"")</f>
        <v>-3928</v>
      </c>
      <c r="AC10" s="11">
        <f>IF(AC$3=0,"",SUMIFS(INDEX(Inputs!$D$4:$AG$150,0,MATCH(AC$2,Inputs!$D$2:$AG$2,0)),Inputs!$B$4:$B$150,$B10)/1000)</f>
        <v>-1153</v>
      </c>
      <c r="AD10" s="11">
        <f>IF(AD$3=0,"",SUMIFS(INDEX(Inputs!$D$4:$AG$150,0,MATCH(AD$2,Inputs!$D$2:$AG$2,0)),Inputs!$B$4:$B$150,$B10)/1000)</f>
        <v>-1205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-701</v>
      </c>
      <c r="E13" s="11">
        <f>IF(E$3=0,"",SUMIFS(INDEX(Inputs!$D$4:$AG$150,0,MATCH(E$2,Inputs!$D$2:$AG$2,0)),Inputs!$B$4:$B$150,$B13)/1000)</f>
        <v>-698</v>
      </c>
      <c r="F13" s="11">
        <f>IF(F$3=0,"",SUMIFS(INDEX(Inputs!$D$4:$AG$150,0,MATCH(F$2,Inputs!$D$2:$AG$2,0)),Inputs!$B$4:$B$150,$B13)/1000)</f>
        <v>-696</v>
      </c>
      <c r="G13" s="11">
        <f>IF(G$3=0,"",SUMIFS(INDEX(Inputs!$D$4:$AG$150,0,MATCH(G$2,Inputs!$D$2:$AG$2,0)),Inputs!$B$4:$B$150,$B13)/1000)</f>
        <v>-809</v>
      </c>
      <c r="H13" s="12">
        <f>IF(COUNT(D13:G13)=4,SUM(D13:G13),"")</f>
        <v>-2904</v>
      </c>
      <c r="I13" s="11">
        <f>IF(I$3=0,"",SUMIFS(INDEX(Inputs!$D$4:$AG$150,0,MATCH(I$2,Inputs!$D$2:$AG$2,0)),Inputs!$B$4:$B$150,$B13)/1000)</f>
        <v>-802</v>
      </c>
      <c r="J13" s="11">
        <f>IF(J$3=0,"",SUMIFS(INDEX(Inputs!$D$4:$AG$150,0,MATCH(J$2,Inputs!$D$2:$AG$2,0)),Inputs!$B$4:$B$150,$B13)/1000)</f>
        <v>-798</v>
      </c>
      <c r="K13" s="11">
        <f>IF(K$3=0,"",SUMIFS(INDEX(Inputs!$D$4:$AG$150,0,MATCH(K$2,Inputs!$D$2:$AG$2,0)),Inputs!$B$4:$B$150,$B13)/1000)</f>
        <v>-794</v>
      </c>
      <c r="L13" s="11">
        <f>IF(L$3=0,"",SUMIFS(INDEX(Inputs!$D$4:$AG$150,0,MATCH(L$2,Inputs!$D$2:$AG$2,0)),Inputs!$B$4:$B$150,$B13)/1000)</f>
        <v>-945</v>
      </c>
      <c r="M13" s="12">
        <f>IF(COUNT(I13:L13)=4,SUM(I13:L13),"")</f>
        <v>-3339</v>
      </c>
      <c r="N13" s="11">
        <f>IF(N$3=0,"",SUMIFS(INDEX(Inputs!$D$4:$AG$150,0,MATCH(N$2,Inputs!$D$2:$AG$2,0)),Inputs!$B$4:$B$150,$B13)/1000)</f>
        <v>-941</v>
      </c>
      <c r="O13" s="11">
        <f>IF(O$3=0,"",SUMIFS(INDEX(Inputs!$D$4:$AG$150,0,MATCH(O$2,Inputs!$D$2:$AG$2,0)),Inputs!$B$4:$B$150,$B13)/1000)</f>
        <v>-937</v>
      </c>
      <c r="P13" s="11">
        <f>IF(P$3=0,"",SUMIFS(INDEX(Inputs!$D$4:$AG$150,0,MATCH(P$2,Inputs!$D$2:$AG$2,0)),Inputs!$B$4:$B$150,$B13)/1000)</f>
        <v>-928</v>
      </c>
      <c r="Q13" s="11">
        <f>IF(Q$3=0,"",SUMIFS(INDEX(Inputs!$D$4:$AG$150,0,MATCH(Q$2,Inputs!$D$2:$AG$2,0)),Inputs!$B$4:$B$150,$B13)/1000)</f>
        <v>-1060</v>
      </c>
      <c r="R13" s="12">
        <f>IF(COUNT(N13:Q13)=4,SUM(N13:Q13),"")</f>
        <v>-3866</v>
      </c>
      <c r="S13" s="11">
        <f>IF(S$3=0,"",SUMIFS(INDEX(Inputs!$D$4:$AG$150,0,MATCH(S$2,Inputs!$D$2:$AG$2,0)),Inputs!$B$4:$B$150,$B13)/1000)</f>
        <v>-1060</v>
      </c>
      <c r="T13" s="11">
        <f>IF(T$3=0,"",SUMIFS(INDEX(Inputs!$D$4:$AG$150,0,MATCH(T$2,Inputs!$D$2:$AG$2,0)),Inputs!$B$4:$B$150,$B13)/1000)</f>
        <v>-1056</v>
      </c>
      <c r="U13" s="11">
        <f>IF(U$3=0,"",SUMIFS(INDEX(Inputs!$D$4:$AG$150,0,MATCH(U$2,Inputs!$D$2:$AG$2,0)),Inputs!$B$4:$B$150,$B13)/1000)</f>
        <v>-1041</v>
      </c>
      <c r="V13" s="11">
        <f>IF(V$3=0,"",SUMIFS(INDEX(Inputs!$D$4:$AG$150,0,MATCH(V$2,Inputs!$D$2:$AG$2,0)),Inputs!$B$4:$B$150,$B13)/1000)</f>
        <v>-1170</v>
      </c>
      <c r="W13" s="12">
        <f>IF(COUNT(S13:V13)=4,SUM(S13:V13),"")</f>
        <v>-4327</v>
      </c>
      <c r="X13" s="11">
        <f>IF(X$3=0,"",SUMIFS(INDEX(Inputs!$D$4:$AG$150,0,MATCH(X$2,Inputs!$D$2:$AG$2,0)),Inputs!$B$4:$B$150,$B13)/1000)</f>
        <v>-1164</v>
      </c>
      <c r="Y13" s="11">
        <f>IF(Y$3=0,"",SUMIFS(INDEX(Inputs!$D$4:$AG$150,0,MATCH(Y$2,Inputs!$D$2:$AG$2,0)),Inputs!$B$4:$B$150,$B13)/1000)</f>
        <v>-1154</v>
      </c>
      <c r="Z13" s="11">
        <f>IF(Z$3=0,"",SUMIFS(INDEX(Inputs!$D$4:$AG$150,0,MATCH(Z$2,Inputs!$D$2:$AG$2,0)),Inputs!$B$4:$B$150,$B13)/1000)</f>
        <v>-1146</v>
      </c>
      <c r="AA13" s="11">
        <f>IF(AA$3=0,"",SUMIFS(INDEX(Inputs!$D$4:$AG$150,0,MATCH(AA$2,Inputs!$D$2:$AG$2,0)),Inputs!$B$4:$B$150,$B13)/1000)</f>
        <v>-1293</v>
      </c>
      <c r="AB13" s="12">
        <f>IF(COUNT(X13:AA13)=4,SUM(X13:AA13),"")</f>
        <v>-4757</v>
      </c>
      <c r="AC13" s="11">
        <f>IF(AC$3=0,"",SUMIFS(INDEX(Inputs!$D$4:$AG$150,0,MATCH(AC$2,Inputs!$D$2:$AG$2,0)),Inputs!$B$4:$B$150,$B13)/1000)</f>
        <v>-1286</v>
      </c>
      <c r="AD13" s="11">
        <f>IF(AD$3=0,"",SUMIFS(INDEX(Inputs!$D$4:$AG$150,0,MATCH(AD$2,Inputs!$D$2:$AG$2,0)),Inputs!$B$4:$B$150,$B13)/1000)</f>
        <v>-1273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16494</v>
      </c>
      <c r="E15" s="11">
        <f>IF(E$3=0,"",SUMIFS(INDEX(Inputs!$D$4:$AG$150,0,MATCH(E$2,Inputs!$D$2:$AG$2,0)),Inputs!$B$4:$B$150,$B15)/1000)</f>
        <v>18034</v>
      </c>
      <c r="F15" s="11">
        <f>IF(F$3=0,"",SUMIFS(INDEX(Inputs!$D$4:$AG$150,0,MATCH(F$2,Inputs!$D$2:$AG$2,0)),Inputs!$B$4:$B$150,$B15)/1000)</f>
        <v>16487</v>
      </c>
      <c r="G15" s="11">
        <f>IF(G$3=0,"",SUMIFS(INDEX(Inputs!$D$4:$AG$150,0,MATCH(G$2,Inputs!$D$2:$AG$2,0)),Inputs!$B$4:$B$150,$B15)/1000)</f>
        <v>14720</v>
      </c>
      <c r="H15" s="12">
        <f>IF(G15="","",G15)</f>
        <v>14720</v>
      </c>
      <c r="I15" s="11">
        <f>IF(I$3=0,"",SUMIFS(INDEX(Inputs!$D$4:$AG$150,0,MATCH(I$2,Inputs!$D$2:$AG$2,0)),Inputs!$B$4:$B$150,$B15)/1000)</f>
        <v>12299</v>
      </c>
      <c r="J15" s="11">
        <f>IF(J$3=0,"",SUMIFS(INDEX(Inputs!$D$4:$AG$150,0,MATCH(J$2,Inputs!$D$2:$AG$2,0)),Inputs!$B$4:$B$150,$B15)/1000)</f>
        <v>14047</v>
      </c>
      <c r="K15" s="11">
        <f>IF(K$3=0,"",SUMIFS(INDEX(Inputs!$D$4:$AG$150,0,MATCH(K$2,Inputs!$D$2:$AG$2,0)),Inputs!$B$4:$B$150,$B15)/1000)</f>
        <v>15689</v>
      </c>
      <c r="L15" s="11">
        <f>IF(L$3=0,"",SUMIFS(INDEX(Inputs!$D$4:$AG$150,0,MATCH(L$2,Inputs!$D$2:$AG$2,0)),Inputs!$B$4:$B$150,$B15)/1000)</f>
        <v>13334</v>
      </c>
      <c r="M15" s="12">
        <f>IF(L15="","",L15)</f>
        <v>13334</v>
      </c>
      <c r="N15" s="11">
        <f>IF(N$3=0,"",SUMIFS(INDEX(Inputs!$D$4:$AG$150,0,MATCH(N$2,Inputs!$D$2:$AG$2,0)),Inputs!$B$4:$B$150,$B15)/1000)</f>
        <v>13842</v>
      </c>
      <c r="O15" s="11">
        <f>IF(O$3=0,"",SUMIFS(INDEX(Inputs!$D$4:$AG$150,0,MATCH(O$2,Inputs!$D$2:$AG$2,0)),Inputs!$B$4:$B$150,$B15)/1000)</f>
        <v>15590</v>
      </c>
      <c r="P15" s="11">
        <f>IF(P$3=0,"",SUMIFS(INDEX(Inputs!$D$4:$AG$150,0,MATCH(P$2,Inputs!$D$2:$AG$2,0)),Inputs!$B$4:$B$150,$B15)/1000)</f>
        <v>16286</v>
      </c>
      <c r="Q15" s="11">
        <f>IF(Q$3=0,"",SUMIFS(INDEX(Inputs!$D$4:$AG$150,0,MATCH(Q$2,Inputs!$D$2:$AG$2,0)),Inputs!$B$4:$B$150,$B15)/1000)</f>
        <v>13591</v>
      </c>
      <c r="R15" s="12">
        <f>IF(Q15="","",Q15)</f>
        <v>13591</v>
      </c>
      <c r="S15" s="11">
        <f>IF(S$3=0,"",SUMIFS(INDEX(Inputs!$D$4:$AG$150,0,MATCH(S$2,Inputs!$D$2:$AG$2,0)),Inputs!$B$4:$B$150,$B15)/1000)</f>
        <v>12993</v>
      </c>
      <c r="T15" s="11">
        <f>IF(T$3=0,"",SUMIFS(INDEX(Inputs!$D$4:$AG$150,0,MATCH(T$2,Inputs!$D$2:$AG$2,0)),Inputs!$B$4:$B$150,$B15)/1000)</f>
        <v>12947</v>
      </c>
      <c r="U15" s="11">
        <f>IF(U$3=0,"",SUMIFS(INDEX(Inputs!$D$4:$AG$150,0,MATCH(U$2,Inputs!$D$2:$AG$2,0)),Inputs!$B$4:$B$150,$B15)/1000)</f>
        <v>11975</v>
      </c>
      <c r="V15" s="11">
        <f>IF(V$3=0,"",SUMIFS(INDEX(Inputs!$D$4:$AG$150,0,MATCH(V$2,Inputs!$D$2:$AG$2,0)),Inputs!$B$4:$B$150,$B15)/1000)</f>
        <v>12367</v>
      </c>
      <c r="W15" s="12">
        <f>IF(V15="","",V15)</f>
        <v>12367</v>
      </c>
      <c r="X15" s="11">
        <f>IF(X$3=0,"",SUMIFS(INDEX(Inputs!$D$4:$AG$150,0,MATCH(X$2,Inputs!$D$2:$AG$2,0)),Inputs!$B$4:$B$150,$B15)/1000)</f>
        <v>11734</v>
      </c>
      <c r="Y15" s="11">
        <f>IF(Y$3=0,"",SUMIFS(INDEX(Inputs!$D$4:$AG$150,0,MATCH(Y$2,Inputs!$D$2:$AG$2,0)),Inputs!$B$4:$B$150,$B15)/1000)</f>
        <v>17092</v>
      </c>
      <c r="Z15" s="11">
        <f>IF(Z$3=0,"",SUMIFS(INDEX(Inputs!$D$4:$AG$150,0,MATCH(Z$2,Inputs!$D$2:$AG$2,0)),Inputs!$B$4:$B$150,$B15)/1000)</f>
        <v>17164</v>
      </c>
      <c r="AA15" s="11">
        <f>IF(AA$3=0,"",SUMIFS(INDEX(Inputs!$D$4:$AG$150,0,MATCH(AA$2,Inputs!$D$2:$AG$2,0)),Inputs!$B$4:$B$150,$B15)/1000)</f>
        <v>14756</v>
      </c>
      <c r="AB15" s="12">
        <f>IF(AA15="","",AA15)</f>
        <v>14756</v>
      </c>
      <c r="AC15" s="11">
        <f>IF(AC$3=0,"",SUMIFS(INDEX(Inputs!$D$4:$AG$150,0,MATCH(AC$2,Inputs!$D$2:$AG$2,0)),Inputs!$B$4:$B$150,$B15)/1000)</f>
        <v>12404</v>
      </c>
      <c r="AD15" s="11">
        <f>IF(AD$3=0,"",SUMIFS(INDEX(Inputs!$D$4:$AG$150,0,MATCH(AD$2,Inputs!$D$2:$AG$2,0)),Inputs!$B$4:$B$150,$B15)/1000)</f>
        <v>12359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1791</v>
      </c>
      <c r="E16" s="11">
        <f>IF(E$3=0,"",SUMIFS(INDEX(Inputs!$D$4:$AG$150,0,MATCH(E$2,Inputs!$D$2:$AG$2,0)),Inputs!$B$4:$B$150,$B16)/1000)</f>
        <v>1852</v>
      </c>
      <c r="F16" s="11">
        <f>IF(F$3=0,"",SUMIFS(INDEX(Inputs!$D$4:$AG$150,0,MATCH(F$2,Inputs!$D$2:$AG$2,0)),Inputs!$B$4:$B$150,$B16)/1000)</f>
        <v>1968</v>
      </c>
      <c r="G16" s="11">
        <f>IF(G$3=0,"",SUMIFS(INDEX(Inputs!$D$4:$AG$150,0,MATCH(G$2,Inputs!$D$2:$AG$2,0)),Inputs!$B$4:$B$150,$B16)/1000)</f>
        <v>2168</v>
      </c>
      <c r="H16" s="12">
        <f>IF(G16="","",G16)</f>
        <v>2168</v>
      </c>
      <c r="I16" s="11">
        <f>IF(I$3=0,"",SUMIFS(INDEX(Inputs!$D$4:$AG$150,0,MATCH(I$2,Inputs!$D$2:$AG$2,0)),Inputs!$B$4:$B$150,$B16)/1000)</f>
        <v>2135</v>
      </c>
      <c r="J16" s="11">
        <f>IF(J$3=0,"",SUMIFS(INDEX(Inputs!$D$4:$AG$150,0,MATCH(J$2,Inputs!$D$2:$AG$2,0)),Inputs!$B$4:$B$150,$B16)/1000)</f>
        <v>2021</v>
      </c>
      <c r="K16" s="11">
        <f>IF(K$3=0,"",SUMIFS(INDEX(Inputs!$D$4:$AG$150,0,MATCH(K$2,Inputs!$D$2:$AG$2,0)),Inputs!$B$4:$B$150,$B16)/1000)</f>
        <v>2020</v>
      </c>
      <c r="L16" s="11">
        <f>IF(L$3=0,"",SUMIFS(INDEX(Inputs!$D$4:$AG$150,0,MATCH(L$2,Inputs!$D$2:$AG$2,0)),Inputs!$B$4:$B$150,$B16)/1000)</f>
        <v>2113</v>
      </c>
      <c r="M16" s="12">
        <f>IF(L16="","",L16)</f>
        <v>2113</v>
      </c>
      <c r="N16" s="11">
        <f>IF(N$3=0,"",SUMIFS(INDEX(Inputs!$D$4:$AG$150,0,MATCH(N$2,Inputs!$D$2:$AG$2,0)),Inputs!$B$4:$B$150,$B16)/1000)</f>
        <v>2122</v>
      </c>
      <c r="O16" s="11">
        <f>IF(O$3=0,"",SUMIFS(INDEX(Inputs!$D$4:$AG$150,0,MATCH(O$2,Inputs!$D$2:$AG$2,0)),Inputs!$B$4:$B$150,$B16)/1000)</f>
        <v>2282</v>
      </c>
      <c r="P16" s="11">
        <f>IF(P$3=0,"",SUMIFS(INDEX(Inputs!$D$4:$AG$150,0,MATCH(P$2,Inputs!$D$2:$AG$2,0)),Inputs!$B$4:$B$150,$B16)/1000)</f>
        <v>2291</v>
      </c>
      <c r="Q16" s="11">
        <f>IF(Q$3=0,"",SUMIFS(INDEX(Inputs!$D$4:$AG$150,0,MATCH(Q$2,Inputs!$D$2:$AG$2,0)),Inputs!$B$4:$B$150,$B16)/1000)</f>
        <v>2506</v>
      </c>
      <c r="R16" s="12">
        <f>IF(Q16="","",Q16)</f>
        <v>2506</v>
      </c>
      <c r="S16" s="11">
        <f>IF(S$3=0,"",SUMIFS(INDEX(Inputs!$D$4:$AG$150,0,MATCH(S$2,Inputs!$D$2:$AG$2,0)),Inputs!$B$4:$B$150,$B16)/1000)</f>
        <v>2272</v>
      </c>
      <c r="T16" s="11">
        <f>IF(T$3=0,"",SUMIFS(INDEX(Inputs!$D$4:$AG$150,0,MATCH(T$2,Inputs!$D$2:$AG$2,0)),Inputs!$B$4:$B$150,$B16)/1000)</f>
        <v>2521</v>
      </c>
      <c r="U16" s="11">
        <f>IF(U$3=0,"",SUMIFS(INDEX(Inputs!$D$4:$AG$150,0,MATCH(U$2,Inputs!$D$2:$AG$2,0)),Inputs!$B$4:$B$150,$B16)/1000)</f>
        <v>2561</v>
      </c>
      <c r="V16" s="11">
        <f>IF(V$3=0,"",SUMIFS(INDEX(Inputs!$D$4:$AG$150,0,MATCH(V$2,Inputs!$D$2:$AG$2,0)),Inputs!$B$4:$B$150,$B16)/1000)</f>
        <v>2590</v>
      </c>
      <c r="W16" s="12">
        <f>IF(V16="","",V16)</f>
        <v>2590</v>
      </c>
      <c r="X16" s="11">
        <f>IF(X$3=0,"",SUMIFS(INDEX(Inputs!$D$4:$AG$150,0,MATCH(X$2,Inputs!$D$2:$AG$2,0)),Inputs!$B$4:$B$150,$B16)/1000)</f>
        <v>2719</v>
      </c>
      <c r="Y16" s="11">
        <f>IF(Y$3=0,"",SUMIFS(INDEX(Inputs!$D$4:$AG$150,0,MATCH(Y$2,Inputs!$D$2:$AG$2,0)),Inputs!$B$4:$B$150,$B16)/1000)</f>
        <v>2920</v>
      </c>
      <c r="Z16" s="11">
        <f>IF(Z$3=0,"",SUMIFS(INDEX(Inputs!$D$4:$AG$150,0,MATCH(Z$2,Inputs!$D$2:$AG$2,0)),Inputs!$B$4:$B$150,$B16)/1000)</f>
        <v>3126</v>
      </c>
      <c r="AA16" s="11">
        <f>IF(AA$3=0,"",SUMIFS(INDEX(Inputs!$D$4:$AG$150,0,MATCH(AA$2,Inputs!$D$2:$AG$2,0)),Inputs!$B$4:$B$150,$B16)/1000)</f>
        <v>3231</v>
      </c>
      <c r="AB16" s="12">
        <f>IF(AA16="","",AA16)</f>
        <v>3231</v>
      </c>
      <c r="AC16" s="11">
        <f>IF(AC$3=0,"",SUMIFS(INDEX(Inputs!$D$4:$AG$150,0,MATCH(AC$2,Inputs!$D$2:$AG$2,0)),Inputs!$B$4:$B$150,$B16)/1000)</f>
        <v>3405</v>
      </c>
      <c r="AD16" s="11">
        <f>IF(AD$3=0,"",SUMIFS(INDEX(Inputs!$D$4:$AG$150,0,MATCH(AD$2,Inputs!$D$2:$AG$2,0)),Inputs!$B$4:$B$150,$B16)/1000)</f>
        <v>3527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8616</v>
      </c>
      <c r="E20" s="11">
        <f>IF(E$3=0,"",SUMIFS(INDEX(Inputs!$D$4:$AG$150,0,MATCH(E$2,Inputs!$D$2:$AG$2,0)),Inputs!$B$4:$B$150,$B20)/1000)</f>
        <v>8156</v>
      </c>
      <c r="F20" s="11">
        <f>IF(F$3=0,"",SUMIFS(INDEX(Inputs!$D$4:$AG$150,0,MATCH(F$2,Inputs!$D$2:$AG$2,0)),Inputs!$B$4:$B$150,$B20)/1000)</f>
        <v>9152</v>
      </c>
      <c r="G20" s="11">
        <f>IF(G$3=0,"",SUMIFS(INDEX(Inputs!$D$4:$AG$150,0,MATCH(G$2,Inputs!$D$2:$AG$2,0)),Inputs!$B$4:$B$150,$B20)/1000)</f>
        <v>9018</v>
      </c>
      <c r="H20" s="12">
        <f>IF(G20="","",G20)</f>
        <v>9018</v>
      </c>
      <c r="I20" s="11">
        <f>IF(I$3=0,"",SUMIFS(INDEX(Inputs!$D$4:$AG$150,0,MATCH(I$2,Inputs!$D$2:$AG$2,0)),Inputs!$B$4:$B$150,$B20)/1000)</f>
        <v>9657</v>
      </c>
      <c r="J20" s="11">
        <f>IF(J$3=0,"",SUMIFS(INDEX(Inputs!$D$4:$AG$150,0,MATCH(J$2,Inputs!$D$2:$AG$2,0)),Inputs!$B$4:$B$150,$B20)/1000)</f>
        <v>12903</v>
      </c>
      <c r="K20" s="11">
        <f>IF(K$3=0,"",SUMIFS(INDEX(Inputs!$D$4:$AG$150,0,MATCH(K$2,Inputs!$D$2:$AG$2,0)),Inputs!$B$4:$B$150,$B20)/1000)</f>
        <v>12496</v>
      </c>
      <c r="L20" s="11">
        <f>IF(L$3=0,"",SUMIFS(INDEX(Inputs!$D$4:$AG$150,0,MATCH(L$2,Inputs!$D$2:$AG$2,0)),Inputs!$B$4:$B$150,$B20)/1000)</f>
        <v>12412</v>
      </c>
      <c r="M20" s="12">
        <f>IF(L20="","",L20)</f>
        <v>12412</v>
      </c>
      <c r="N20" s="11">
        <f>IF(N$3=0,"",SUMIFS(INDEX(Inputs!$D$4:$AG$150,0,MATCH(N$2,Inputs!$D$2:$AG$2,0)),Inputs!$B$4:$B$150,$B20)/1000)</f>
        <v>12693</v>
      </c>
      <c r="O20" s="11">
        <f>IF(O$3=0,"",SUMIFS(INDEX(Inputs!$D$4:$AG$150,0,MATCH(O$2,Inputs!$D$2:$AG$2,0)),Inputs!$B$4:$B$150,$B20)/1000)</f>
        <v>13798</v>
      </c>
      <c r="P20" s="11">
        <f>IF(P$3=0,"",SUMIFS(INDEX(Inputs!$D$4:$AG$150,0,MATCH(P$2,Inputs!$D$2:$AG$2,0)),Inputs!$B$4:$B$150,$B20)/1000)</f>
        <v>14955</v>
      </c>
      <c r="Q20" s="11">
        <f>IF(Q$3=0,"",SUMIFS(INDEX(Inputs!$D$4:$AG$150,0,MATCH(Q$2,Inputs!$D$2:$AG$2,0)),Inputs!$B$4:$B$150,$B20)/1000)</f>
        <v>16635</v>
      </c>
      <c r="R20" s="12">
        <f>IF(Q20="","",Q20)</f>
        <v>16635</v>
      </c>
      <c r="S20" s="11">
        <f>IF(S$3=0,"",SUMIFS(INDEX(Inputs!$D$4:$AG$150,0,MATCH(S$2,Inputs!$D$2:$AG$2,0)),Inputs!$B$4:$B$150,$B20)/1000)</f>
        <v>17510</v>
      </c>
      <c r="T20" s="11">
        <f>IF(T$3=0,"",SUMIFS(INDEX(Inputs!$D$4:$AG$150,0,MATCH(T$2,Inputs!$D$2:$AG$2,0)),Inputs!$B$4:$B$150,$B20)/1000)</f>
        <v>15571</v>
      </c>
      <c r="U20" s="11">
        <f>IF(U$3=0,"",SUMIFS(INDEX(Inputs!$D$4:$AG$150,0,MATCH(U$2,Inputs!$D$2:$AG$2,0)),Inputs!$B$4:$B$150,$B20)/1000)</f>
        <v>19497</v>
      </c>
      <c r="V20" s="11">
        <f>IF(V$3=0,"",SUMIFS(INDEX(Inputs!$D$4:$AG$150,0,MATCH(V$2,Inputs!$D$2:$AG$2,0)),Inputs!$B$4:$B$150,$B20)/1000)</f>
        <v>17665</v>
      </c>
      <c r="W20" s="12">
        <f>IF(V20="","",V20)</f>
        <v>17665</v>
      </c>
      <c r="X20" s="11">
        <f>IF(X$3=0,"",SUMIFS(INDEX(Inputs!$D$4:$AG$150,0,MATCH(X$2,Inputs!$D$2:$AG$2,0)),Inputs!$B$4:$B$150,$B20)/1000)</f>
        <v>18481</v>
      </c>
      <c r="Y20" s="11">
        <f>IF(Y$3=0,"",SUMIFS(INDEX(Inputs!$D$4:$AG$150,0,MATCH(Y$2,Inputs!$D$2:$AG$2,0)),Inputs!$B$4:$B$150,$B20)/1000)</f>
        <v>18386</v>
      </c>
      <c r="Z20" s="11">
        <f>IF(Z$3=0,"",SUMIFS(INDEX(Inputs!$D$4:$AG$150,0,MATCH(Z$2,Inputs!$D$2:$AG$2,0)),Inputs!$B$4:$B$150,$B20)/1000)</f>
        <v>17476</v>
      </c>
      <c r="AA20" s="11">
        <f>IF(AA$3=0,"",SUMIFS(INDEX(Inputs!$D$4:$AG$150,0,MATCH(AA$2,Inputs!$D$2:$AG$2,0)),Inputs!$B$4:$B$150,$B20)/1000)</f>
        <v>17010</v>
      </c>
      <c r="AB20" s="12">
        <f>IF(AA20="","",AA20)</f>
        <v>17010</v>
      </c>
      <c r="AC20" s="11">
        <f>IF(AC$3=0,"",SUMIFS(INDEX(Inputs!$D$4:$AG$150,0,MATCH(AC$2,Inputs!$D$2:$AG$2,0)),Inputs!$B$4:$B$150,$B20)/1000)</f>
        <v>15816</v>
      </c>
      <c r="AD20" s="11">
        <f>IF(AD$3=0,"",SUMIFS(INDEX(Inputs!$D$4:$AG$150,0,MATCH(AD$2,Inputs!$D$2:$AG$2,0)),Inputs!$B$4:$B$150,$B20)/1000)</f>
        <v>15116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2684</v>
      </c>
      <c r="E22" s="11">
        <f>IF(E$3=0,"",SUMIFS(INDEX(Inputs!$D$4:$AG$150,0,MATCH(E$2,Inputs!$D$2:$AG$2,0)),Inputs!$B$4:$B$150,$B22)/1000)</f>
        <v>2707</v>
      </c>
      <c r="F22" s="11">
        <f>IF(F$3=0,"",SUMIFS(INDEX(Inputs!$D$4:$AG$150,0,MATCH(F$2,Inputs!$D$2:$AG$2,0)),Inputs!$B$4:$B$150,$B22)/1000)</f>
        <v>2715</v>
      </c>
      <c r="G22" s="11">
        <f>IF(G$3=0,"",SUMIFS(INDEX(Inputs!$D$4:$AG$150,0,MATCH(G$2,Inputs!$D$2:$AG$2,0)),Inputs!$B$4:$B$150,$B22)/1000)</f>
        <v>2908</v>
      </c>
      <c r="H22" s="12">
        <f>IF(G22="","",G22)</f>
        <v>2908</v>
      </c>
      <c r="I22" s="11">
        <f>IF(I$3=0,"",SUMIFS(INDEX(Inputs!$D$4:$AG$150,0,MATCH(I$2,Inputs!$D$2:$AG$2,0)),Inputs!$B$4:$B$150,$B22)/1000)</f>
        <v>3120</v>
      </c>
      <c r="J22" s="11">
        <f>IF(J$3=0,"",SUMIFS(INDEX(Inputs!$D$4:$AG$150,0,MATCH(J$2,Inputs!$D$2:$AG$2,0)),Inputs!$B$4:$B$150,$B22)/1000)</f>
        <v>3146</v>
      </c>
      <c r="K22" s="11">
        <f>IF(K$3=0,"",SUMIFS(INDEX(Inputs!$D$4:$AG$150,0,MATCH(K$2,Inputs!$D$2:$AG$2,0)),Inputs!$B$4:$B$150,$B22)/1000)</f>
        <v>3223</v>
      </c>
      <c r="L22" s="11">
        <f>IF(L$3=0,"",SUMIFS(INDEX(Inputs!$D$4:$AG$150,0,MATCH(L$2,Inputs!$D$2:$AG$2,0)),Inputs!$B$4:$B$150,$B22)/1000)</f>
        <v>3236</v>
      </c>
      <c r="M22" s="12">
        <f>IF(L22="","",L22)</f>
        <v>3236</v>
      </c>
      <c r="N22" s="11">
        <f>IF(N$3=0,"",SUMIFS(INDEX(Inputs!$D$4:$AG$150,0,MATCH(N$2,Inputs!$D$2:$AG$2,0)),Inputs!$B$4:$B$150,$B22)/1000)</f>
        <v>3359</v>
      </c>
      <c r="O22" s="11">
        <f>IF(O$3=0,"",SUMIFS(INDEX(Inputs!$D$4:$AG$150,0,MATCH(O$2,Inputs!$D$2:$AG$2,0)),Inputs!$B$4:$B$150,$B22)/1000)</f>
        <v>3370</v>
      </c>
      <c r="P22" s="11">
        <f>IF(P$3=0,"",SUMIFS(INDEX(Inputs!$D$4:$AG$150,0,MATCH(P$2,Inputs!$D$2:$AG$2,0)),Inputs!$B$4:$B$150,$B22)/1000)</f>
        <v>3425</v>
      </c>
      <c r="Q22" s="11">
        <f>IF(Q$3=0,"",SUMIFS(INDEX(Inputs!$D$4:$AG$150,0,MATCH(Q$2,Inputs!$D$2:$AG$2,0)),Inputs!$B$4:$B$150,$B22)/1000)</f>
        <v>3472</v>
      </c>
      <c r="R22" s="12">
        <f>IF(Q22="","",Q22)</f>
        <v>3472</v>
      </c>
      <c r="S22" s="11">
        <f>IF(S$3=0,"",SUMIFS(INDEX(Inputs!$D$4:$AG$150,0,MATCH(S$2,Inputs!$D$2:$AG$2,0)),Inputs!$B$4:$B$150,$B22)/1000)</f>
        <v>3630</v>
      </c>
      <c r="T22" s="11">
        <f>IF(T$3=0,"",SUMIFS(INDEX(Inputs!$D$4:$AG$150,0,MATCH(T$2,Inputs!$D$2:$AG$2,0)),Inputs!$B$4:$B$150,$B22)/1000)</f>
        <v>3766</v>
      </c>
      <c r="U22" s="11">
        <f>IF(U$3=0,"",SUMIFS(INDEX(Inputs!$D$4:$AG$150,0,MATCH(U$2,Inputs!$D$2:$AG$2,0)),Inputs!$B$4:$B$150,$B22)/1000)</f>
        <v>3824</v>
      </c>
      <c r="V22" s="11">
        <f>IF(V$3=0,"",SUMIFS(INDEX(Inputs!$D$4:$AG$150,0,MATCH(V$2,Inputs!$D$2:$AG$2,0)),Inputs!$B$4:$B$150,$B22)/1000)</f>
        <v>3974</v>
      </c>
      <c r="W22" s="12">
        <f>IF(V22="","",V22)</f>
        <v>3974</v>
      </c>
      <c r="X22" s="11">
        <f>IF(X$3=0,"",SUMIFS(INDEX(Inputs!$D$4:$AG$150,0,MATCH(X$2,Inputs!$D$2:$AG$2,0)),Inputs!$B$4:$B$150,$B22)/1000)</f>
        <v>4023</v>
      </c>
      <c r="Y22" s="11">
        <f>IF(Y$3=0,"",SUMIFS(INDEX(Inputs!$D$4:$AG$150,0,MATCH(Y$2,Inputs!$D$2:$AG$2,0)),Inputs!$B$4:$B$150,$B22)/1000)</f>
        <v>4143</v>
      </c>
      <c r="Z22" s="11">
        <f>IF(Z$3=0,"",SUMIFS(INDEX(Inputs!$D$4:$AG$150,0,MATCH(Z$2,Inputs!$D$2:$AG$2,0)),Inputs!$B$4:$B$150,$B22)/1000)</f>
        <v>4236</v>
      </c>
      <c r="AA22" s="11">
        <f>IF(AA$3=0,"",SUMIFS(INDEX(Inputs!$D$4:$AG$150,0,MATCH(AA$2,Inputs!$D$2:$AG$2,0)),Inputs!$B$4:$B$150,$B22)/1000)</f>
        <v>4276</v>
      </c>
      <c r="AB22" s="12">
        <f>IF(AA22="","",AA22)</f>
        <v>4276</v>
      </c>
      <c r="AC22" s="11">
        <f>IF(AC$3=0,"",SUMIFS(INDEX(Inputs!$D$4:$AG$150,0,MATCH(AC$2,Inputs!$D$2:$AG$2,0)),Inputs!$B$4:$B$150,$B22)/1000)</f>
        <v>4778</v>
      </c>
      <c r="AD22" s="11">
        <f>IF(AD$3=0,"",SUMIFS(INDEX(Inputs!$D$4:$AG$150,0,MATCH(AD$2,Inputs!$D$2:$AG$2,0)),Inputs!$B$4:$B$150,$B22)/1000)</f>
        <v>4858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15980</v>
      </c>
      <c r="E24" s="11">
        <f>IF(E$3=0,"",SUMIFS(INDEX(Inputs!$D$4:$AG$150,0,MATCH(E$2,Inputs!$D$2:$AG$2,0)),Inputs!$B$4:$B$150,$B24)/1000)</f>
        <v>16021</v>
      </c>
      <c r="F24" s="11">
        <f>IF(F$3=0,"",SUMIFS(INDEX(Inputs!$D$4:$AG$150,0,MATCH(F$2,Inputs!$D$2:$AG$2,0)),Inputs!$B$4:$B$150,$B24)/1000)</f>
        <v>15958</v>
      </c>
      <c r="G24" s="11">
        <f>IF(G$3=0,"",SUMIFS(INDEX(Inputs!$D$4:$AG$150,0,MATCH(G$2,Inputs!$D$2:$AG$2,0)),Inputs!$B$4:$B$150,$B24)/1000)</f>
        <v>16555</v>
      </c>
      <c r="H24" s="12">
        <f>IF(G24="","",G24)</f>
        <v>16555</v>
      </c>
      <c r="I24" s="11">
        <f>IF(I$3=0,"",SUMIFS(INDEX(Inputs!$D$4:$AG$150,0,MATCH(I$2,Inputs!$D$2:$AG$2,0)),Inputs!$B$4:$B$150,$B24)/1000)</f>
        <v>18143</v>
      </c>
      <c r="J24" s="11">
        <f>IF(J$3=0,"",SUMIFS(INDEX(Inputs!$D$4:$AG$150,0,MATCH(J$2,Inputs!$D$2:$AG$2,0)),Inputs!$B$4:$B$150,$B24)/1000)</f>
        <v>17977</v>
      </c>
      <c r="K24" s="11">
        <f>IF(K$3=0,"",SUMIFS(INDEX(Inputs!$D$4:$AG$150,0,MATCH(K$2,Inputs!$D$2:$AG$2,0)),Inputs!$B$4:$B$150,$B24)/1000)</f>
        <v>17787</v>
      </c>
      <c r="L24" s="11">
        <f>IF(L$3=0,"",SUMIFS(INDEX(Inputs!$D$4:$AG$150,0,MATCH(L$2,Inputs!$D$2:$AG$2,0)),Inputs!$B$4:$B$150,$B24)/1000)</f>
        <v>18024</v>
      </c>
      <c r="M24" s="12">
        <f>IF(L24="","",L24)</f>
        <v>18024</v>
      </c>
      <c r="N24" s="11">
        <f>IF(N$3=0,"",SUMIFS(INDEX(Inputs!$D$4:$AG$150,0,MATCH(N$2,Inputs!$D$2:$AG$2,0)),Inputs!$B$4:$B$150,$B24)/1000)</f>
        <v>18078</v>
      </c>
      <c r="O24" s="11">
        <f>IF(O$3=0,"",SUMIFS(INDEX(Inputs!$D$4:$AG$150,0,MATCH(O$2,Inputs!$D$2:$AG$2,0)),Inputs!$B$4:$B$150,$B24)/1000)</f>
        <v>18082</v>
      </c>
      <c r="P24" s="11">
        <f>IF(P$3=0,"",SUMIFS(INDEX(Inputs!$D$4:$AG$150,0,MATCH(P$2,Inputs!$D$2:$AG$2,0)),Inputs!$B$4:$B$150,$B24)/1000)</f>
        <v>17997</v>
      </c>
      <c r="Q24" s="11">
        <f>IF(Q$3=0,"",SUMIFS(INDEX(Inputs!$D$4:$AG$150,0,MATCH(Q$2,Inputs!$D$2:$AG$2,0)),Inputs!$B$4:$B$150,$B24)/1000)</f>
        <v>18120</v>
      </c>
      <c r="R24" s="12">
        <f>IF(Q24="","",Q24)</f>
        <v>18120</v>
      </c>
      <c r="S24" s="11">
        <f>IF(S$3=0,"",SUMIFS(INDEX(Inputs!$D$4:$AG$150,0,MATCH(S$2,Inputs!$D$2:$AG$2,0)),Inputs!$B$4:$B$150,$B24)/1000)</f>
        <v>18837</v>
      </c>
      <c r="T24" s="11">
        <f>IF(T$3=0,"",SUMIFS(INDEX(Inputs!$D$4:$AG$150,0,MATCH(T$2,Inputs!$D$2:$AG$2,0)),Inputs!$B$4:$B$150,$B24)/1000)</f>
        <v>18816</v>
      </c>
      <c r="U24" s="11">
        <f>IF(U$3=0,"",SUMIFS(INDEX(Inputs!$D$4:$AG$150,0,MATCH(U$2,Inputs!$D$2:$AG$2,0)),Inputs!$B$4:$B$150,$B24)/1000)</f>
        <v>18941</v>
      </c>
      <c r="V24" s="11">
        <f>IF(V$3=0,"",SUMIFS(INDEX(Inputs!$D$4:$AG$150,0,MATCH(V$2,Inputs!$D$2:$AG$2,0)),Inputs!$B$4:$B$150,$B24)/1000)</f>
        <v>19548</v>
      </c>
      <c r="W24" s="12">
        <f>IF(V24="","",V24)</f>
        <v>19548</v>
      </c>
      <c r="X24" s="11">
        <f>IF(X$3=0,"",SUMIFS(INDEX(Inputs!$D$4:$AG$150,0,MATCH(X$2,Inputs!$D$2:$AG$2,0)),Inputs!$B$4:$B$150,$B24)/1000)</f>
        <v>19641</v>
      </c>
      <c r="Y24" s="11">
        <f>IF(Y$3=0,"",SUMIFS(INDEX(Inputs!$D$4:$AG$150,0,MATCH(Y$2,Inputs!$D$2:$AG$2,0)),Inputs!$B$4:$B$150,$B24)/1000)</f>
        <v>19880</v>
      </c>
      <c r="Z24" s="11">
        <f>IF(Z$3=0,"",SUMIFS(INDEX(Inputs!$D$4:$AG$150,0,MATCH(Z$2,Inputs!$D$2:$AG$2,0)),Inputs!$B$4:$B$150,$B24)/1000)</f>
        <v>19879</v>
      </c>
      <c r="AA24" s="11">
        <f>IF(AA$3=0,"",SUMIFS(INDEX(Inputs!$D$4:$AG$150,0,MATCH(AA$2,Inputs!$D$2:$AG$2,0)),Inputs!$B$4:$B$150,$B24)/1000)</f>
        <v>19885</v>
      </c>
      <c r="AB24" s="12">
        <f>IF(AA24="","",AA24)</f>
        <v>19885</v>
      </c>
      <c r="AC24" s="11">
        <f>IF(AC$3=0,"",SUMIFS(INDEX(Inputs!$D$4:$AG$150,0,MATCH(AC$2,Inputs!$D$2:$AG$2,0)),Inputs!$B$4:$B$150,$B24)/1000)</f>
        <v>20891</v>
      </c>
      <c r="AD24" s="11">
        <f>IF(AD$3=0,"",SUMIFS(INDEX(Inputs!$D$4:$AG$150,0,MATCH(AD$2,Inputs!$D$2:$AG$2,0)),Inputs!$B$4:$B$150,$B24)/1000)</f>
        <v>20825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27823</v>
      </c>
      <c r="E25" s="11">
        <f>IF(E$3=0,"",SUMIFS(INDEX(Inputs!$D$4:$AG$150,0,MATCH(E$2,Inputs!$D$2:$AG$2,0)),Inputs!$B$4:$B$150,$B25)/1000)</f>
        <v>28023</v>
      </c>
      <c r="F25" s="11">
        <f>IF(F$3=0,"",SUMIFS(INDEX(Inputs!$D$4:$AG$150,0,MATCH(F$2,Inputs!$D$2:$AG$2,0)),Inputs!$B$4:$B$150,$B25)/1000)</f>
        <v>27664</v>
      </c>
      <c r="G25" s="11">
        <f>IF(G$3=0,"",SUMIFS(INDEX(Inputs!$D$4:$AG$150,0,MATCH(G$2,Inputs!$D$2:$AG$2,0)),Inputs!$B$4:$B$150,$B25)/1000)</f>
        <v>27272</v>
      </c>
      <c r="H25" s="12">
        <f>IF(G25="","",G25)</f>
        <v>27272</v>
      </c>
      <c r="I25" s="11">
        <f>IF(I$3=0,"",SUMIFS(INDEX(Inputs!$D$4:$AG$150,0,MATCH(I$2,Inputs!$D$2:$AG$2,0)),Inputs!$B$4:$B$150,$B25)/1000)</f>
        <v>27006</v>
      </c>
      <c r="J25" s="11">
        <f>IF(J$3=0,"",SUMIFS(INDEX(Inputs!$D$4:$AG$150,0,MATCH(J$2,Inputs!$D$2:$AG$2,0)),Inputs!$B$4:$B$150,$B25)/1000)</f>
        <v>26093</v>
      </c>
      <c r="K25" s="11">
        <f>IF(K$3=0,"",SUMIFS(INDEX(Inputs!$D$4:$AG$150,0,MATCH(K$2,Inputs!$D$2:$AG$2,0)),Inputs!$B$4:$B$150,$B25)/1000)</f>
        <v>25065</v>
      </c>
      <c r="L25" s="11">
        <f>IF(L$3=0,"",SUMIFS(INDEX(Inputs!$D$4:$AG$150,0,MATCH(L$2,Inputs!$D$2:$AG$2,0)),Inputs!$B$4:$B$150,$B25)/1000)</f>
        <v>26307</v>
      </c>
      <c r="M25" s="12">
        <f>IF(L25="","",L25)</f>
        <v>26307</v>
      </c>
      <c r="N25" s="11">
        <f>IF(N$3=0,"",SUMIFS(INDEX(Inputs!$D$4:$AG$150,0,MATCH(N$2,Inputs!$D$2:$AG$2,0)),Inputs!$B$4:$B$150,$B25)/1000)</f>
        <v>26574</v>
      </c>
      <c r="O25" s="11">
        <f>IF(O$3=0,"",SUMIFS(INDEX(Inputs!$D$4:$AG$150,0,MATCH(O$2,Inputs!$D$2:$AG$2,0)),Inputs!$B$4:$B$150,$B25)/1000)</f>
        <v>26576</v>
      </c>
      <c r="P25" s="11">
        <f>IF(P$3=0,"",SUMIFS(INDEX(Inputs!$D$4:$AG$150,0,MATCH(P$2,Inputs!$D$2:$AG$2,0)),Inputs!$B$4:$B$150,$B25)/1000)</f>
        <v>26104</v>
      </c>
      <c r="Q25" s="11">
        <f>IF(Q$3=0,"",SUMIFS(INDEX(Inputs!$D$4:$AG$150,0,MATCH(Q$2,Inputs!$D$2:$AG$2,0)),Inputs!$B$4:$B$150,$B25)/1000)</f>
        <v>26739</v>
      </c>
      <c r="R25" s="12">
        <f>IF(Q25="","",Q25)</f>
        <v>26739</v>
      </c>
      <c r="S25" s="11">
        <f>IF(S$3=0,"",SUMIFS(INDEX(Inputs!$D$4:$AG$150,0,MATCH(S$2,Inputs!$D$2:$AG$2,0)),Inputs!$B$4:$B$150,$B25)/1000)</f>
        <v>26375</v>
      </c>
      <c r="T25" s="11">
        <f>IF(T$3=0,"",SUMIFS(INDEX(Inputs!$D$4:$AG$150,0,MATCH(T$2,Inputs!$D$2:$AG$2,0)),Inputs!$B$4:$B$150,$B25)/1000)</f>
        <v>26243</v>
      </c>
      <c r="U25" s="11">
        <f>IF(U$3=0,"",SUMIFS(INDEX(Inputs!$D$4:$AG$150,0,MATCH(U$2,Inputs!$D$2:$AG$2,0)),Inputs!$B$4:$B$150,$B25)/1000)</f>
        <v>26889</v>
      </c>
      <c r="V25" s="11">
        <f>IF(V$3=0,"",SUMIFS(INDEX(Inputs!$D$4:$AG$150,0,MATCH(V$2,Inputs!$D$2:$AG$2,0)),Inputs!$B$4:$B$150,$B25)/1000)</f>
        <v>25889</v>
      </c>
      <c r="W25" s="12">
        <f>IF(V25="","",V25)</f>
        <v>25889</v>
      </c>
      <c r="X25" s="11">
        <f>IF(X$3=0,"",SUMIFS(INDEX(Inputs!$D$4:$AG$150,0,MATCH(X$2,Inputs!$D$2:$AG$2,0)),Inputs!$B$4:$B$150,$B25)/1000)</f>
        <v>26408</v>
      </c>
      <c r="Y25" s="11">
        <f>IF(Y$3=0,"",SUMIFS(INDEX(Inputs!$D$4:$AG$150,0,MATCH(Y$2,Inputs!$D$2:$AG$2,0)),Inputs!$B$4:$B$150,$B25)/1000)</f>
        <v>27660</v>
      </c>
      <c r="Z25" s="11">
        <f>IF(Z$3=0,"",SUMIFS(INDEX(Inputs!$D$4:$AG$150,0,MATCH(Z$2,Inputs!$D$2:$AG$2,0)),Inputs!$B$4:$B$150,$B25)/1000)</f>
        <v>27646</v>
      </c>
      <c r="AA25" s="11">
        <f>IF(AA$3=0,"",SUMIFS(INDEX(Inputs!$D$4:$AG$150,0,MATCH(AA$2,Inputs!$D$2:$AG$2,0)),Inputs!$B$4:$B$150,$B25)/1000)</f>
        <v>27664</v>
      </c>
      <c r="AB25" s="12">
        <f>IF(AA25="","",AA25)</f>
        <v>27664</v>
      </c>
      <c r="AC25" s="11">
        <f>IF(AC$3=0,"",SUMIFS(INDEX(Inputs!$D$4:$AG$150,0,MATCH(AC$2,Inputs!$D$2:$AG$2,0)),Inputs!$B$4:$B$150,$B25)/1000)</f>
        <v>27750</v>
      </c>
      <c r="AD25" s="11">
        <f>IF(AD$3=0,"",SUMIFS(INDEX(Inputs!$D$4:$AG$150,0,MATCH(AD$2,Inputs!$D$2:$AG$2,0)),Inputs!$B$4:$B$150,$B25)/1000)</f>
        <v>27532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6807</v>
      </c>
      <c r="E26" s="11">
        <f>IF(E$3=0,"",SUMIFS(INDEX(Inputs!$D$4:$AG$150,0,MATCH(E$2,Inputs!$D$2:$AG$2,0)),Inputs!$B$4:$B$150,$B26)/1000)</f>
        <v>7878</v>
      </c>
      <c r="F26" s="11">
        <f>IF(F$3=0,"",SUMIFS(INDEX(Inputs!$D$4:$AG$150,0,MATCH(F$2,Inputs!$D$2:$AG$2,0)),Inputs!$B$4:$B$150,$B26)/1000)</f>
        <v>8952</v>
      </c>
      <c r="G26" s="11">
        <f>IF(G$3=0,"",SUMIFS(INDEX(Inputs!$D$4:$AG$150,0,MATCH(G$2,Inputs!$D$2:$AG$2,0)),Inputs!$B$4:$B$150,$B26)/1000)</f>
        <v>9288</v>
      </c>
      <c r="H26" s="12">
        <f>IF(G26="","",G26)</f>
        <v>9288</v>
      </c>
      <c r="I26" s="11">
        <f>IF(I$3=0,"",SUMIFS(INDEX(Inputs!$D$4:$AG$150,0,MATCH(I$2,Inputs!$D$2:$AG$2,0)),Inputs!$B$4:$B$150,$B26)/1000)</f>
        <v>9448</v>
      </c>
      <c r="J26" s="11">
        <f>IF(J$3=0,"",SUMIFS(INDEX(Inputs!$D$4:$AG$150,0,MATCH(J$2,Inputs!$D$2:$AG$2,0)),Inputs!$B$4:$B$150,$B26)/1000)</f>
        <v>9223</v>
      </c>
      <c r="K26" s="11">
        <f>IF(K$3=0,"",SUMIFS(INDEX(Inputs!$D$4:$AG$150,0,MATCH(K$2,Inputs!$D$2:$AG$2,0)),Inputs!$B$4:$B$150,$B26)/1000)</f>
        <v>9221</v>
      </c>
      <c r="L26" s="11">
        <f>IF(L$3=0,"",SUMIFS(INDEX(Inputs!$D$4:$AG$150,0,MATCH(L$2,Inputs!$D$2:$AG$2,0)),Inputs!$B$4:$B$150,$B26)/1000)</f>
        <v>9961</v>
      </c>
      <c r="M26" s="12">
        <f>IF(L26="","",L26)</f>
        <v>9961</v>
      </c>
      <c r="N26" s="11">
        <f>IF(N$3=0,"",SUMIFS(INDEX(Inputs!$D$4:$AG$150,0,MATCH(N$2,Inputs!$D$2:$AG$2,0)),Inputs!$B$4:$B$150,$B26)/1000)</f>
        <v>10087</v>
      </c>
      <c r="O26" s="11">
        <f>IF(O$3=0,"",SUMIFS(INDEX(Inputs!$D$4:$AG$150,0,MATCH(O$2,Inputs!$D$2:$AG$2,0)),Inputs!$B$4:$B$150,$B26)/1000)</f>
        <v>9536</v>
      </c>
      <c r="P26" s="11">
        <f>IF(P$3=0,"",SUMIFS(INDEX(Inputs!$D$4:$AG$150,0,MATCH(P$2,Inputs!$D$2:$AG$2,0)),Inputs!$B$4:$B$150,$B26)/1000)</f>
        <v>9441</v>
      </c>
      <c r="Q26" s="11">
        <f>IF(Q$3=0,"",SUMIFS(INDEX(Inputs!$D$4:$AG$150,0,MATCH(Q$2,Inputs!$D$2:$AG$2,0)),Inputs!$B$4:$B$150,$B26)/1000)</f>
        <v>10346</v>
      </c>
      <c r="R26" s="12">
        <f>IF(Q26="","",Q26)</f>
        <v>10346</v>
      </c>
      <c r="S26" s="11">
        <f>IF(S$3=0,"",SUMIFS(INDEX(Inputs!$D$4:$AG$150,0,MATCH(S$2,Inputs!$D$2:$AG$2,0)),Inputs!$B$4:$B$150,$B26)/1000)</f>
        <v>10782</v>
      </c>
      <c r="T26" s="11">
        <f>IF(T$3=0,"",SUMIFS(INDEX(Inputs!$D$4:$AG$150,0,MATCH(T$2,Inputs!$D$2:$AG$2,0)),Inputs!$B$4:$B$150,$B26)/1000)</f>
        <v>11176</v>
      </c>
      <c r="U26" s="11">
        <f>IF(U$3=0,"",SUMIFS(INDEX(Inputs!$D$4:$AG$150,0,MATCH(U$2,Inputs!$D$2:$AG$2,0)),Inputs!$B$4:$B$150,$B26)/1000)</f>
        <v>10824</v>
      </c>
      <c r="V26" s="11">
        <f>IF(V$3=0,"",SUMIFS(INDEX(Inputs!$D$4:$AG$150,0,MATCH(V$2,Inputs!$D$2:$AG$2,0)),Inputs!$B$4:$B$150,$B26)/1000)</f>
        <v>9855</v>
      </c>
      <c r="W26" s="12">
        <f>IF(V26="","",V26)</f>
        <v>9855</v>
      </c>
      <c r="X26" s="11">
        <f>IF(X$3=0,"",SUMIFS(INDEX(Inputs!$D$4:$AG$150,0,MATCH(X$2,Inputs!$D$2:$AG$2,0)),Inputs!$B$4:$B$150,$B26)/1000)</f>
        <v>9847</v>
      </c>
      <c r="Y26" s="11">
        <f>IF(Y$3=0,"",SUMIFS(INDEX(Inputs!$D$4:$AG$150,0,MATCH(Y$2,Inputs!$D$2:$AG$2,0)),Inputs!$B$4:$B$150,$B26)/1000)</f>
        <v>9943</v>
      </c>
      <c r="Z26" s="11">
        <f>IF(Z$3=0,"",SUMIFS(INDEX(Inputs!$D$4:$AG$150,0,MATCH(Z$2,Inputs!$D$2:$AG$2,0)),Inputs!$B$4:$B$150,$B26)/1000)</f>
        <v>10100</v>
      </c>
      <c r="AA26" s="11">
        <f>IF(AA$3=0,"",SUMIFS(INDEX(Inputs!$D$4:$AG$150,0,MATCH(AA$2,Inputs!$D$2:$AG$2,0)),Inputs!$B$4:$B$150,$B26)/1000)</f>
        <v>9992</v>
      </c>
      <c r="AB26" s="12">
        <f>IF(AA26="","",AA26)</f>
        <v>9992</v>
      </c>
      <c r="AC26" s="11">
        <f>IF(AC$3=0,"",SUMIFS(INDEX(Inputs!$D$4:$AG$150,0,MATCH(AC$2,Inputs!$D$2:$AG$2,0)),Inputs!$B$4:$B$150,$B26)/1000)</f>
        <v>10005</v>
      </c>
      <c r="AD26" s="11">
        <f>IF(AD$3=0,"",SUMIFS(INDEX(Inputs!$D$4:$AG$150,0,MATCH(AD$2,Inputs!$D$2:$AG$2,0)),Inputs!$B$4:$B$150,$B26)/1000)</f>
        <v>10373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126</v>
      </c>
      <c r="E28" s="11">
        <f>IF(E$3=0,"",SUMIFS(INDEX(Inputs!$D$4:$AG$150,0,MATCH(E$2,Inputs!$D$2:$AG$2,0)),Inputs!$B$4:$B$150,$B28)/1000)</f>
        <v>172</v>
      </c>
      <c r="F28" s="11">
        <f>IF(F$3=0,"",SUMIFS(INDEX(Inputs!$D$4:$AG$150,0,MATCH(F$2,Inputs!$D$2:$AG$2,0)),Inputs!$B$4:$B$150,$B28)/1000)</f>
        <v>266</v>
      </c>
      <c r="G28" s="11">
        <f>IF(G$3=0,"",SUMIFS(INDEX(Inputs!$D$4:$AG$150,0,MATCH(G$2,Inputs!$D$2:$AG$2,0)),Inputs!$B$4:$B$150,$B28)/1000)</f>
        <v>252</v>
      </c>
      <c r="H28" s="12">
        <f>IF(G28="","",G28)</f>
        <v>252</v>
      </c>
      <c r="I28" s="11">
        <f>IF(I$3=0,"",SUMIFS(INDEX(Inputs!$D$4:$AG$150,0,MATCH(I$2,Inputs!$D$2:$AG$2,0)),Inputs!$B$4:$B$150,$B28)/1000)</f>
        <v>182</v>
      </c>
      <c r="J28" s="11">
        <f>IF(J$3=0,"",SUMIFS(INDEX(Inputs!$D$4:$AG$150,0,MATCH(J$2,Inputs!$D$2:$AG$2,0)),Inputs!$B$4:$B$150,$B28)/1000)</f>
        <v>228</v>
      </c>
      <c r="K28" s="11">
        <f>IF(K$3=0,"",SUMIFS(INDEX(Inputs!$D$4:$AG$150,0,MATCH(K$2,Inputs!$D$2:$AG$2,0)),Inputs!$B$4:$B$150,$B28)/1000)</f>
        <v>340</v>
      </c>
      <c r="L28" s="11">
        <f>IF(L$3=0,"",SUMIFS(INDEX(Inputs!$D$4:$AG$150,0,MATCH(L$2,Inputs!$D$2:$AG$2,0)),Inputs!$B$4:$B$150,$B28)/1000)</f>
        <v>258</v>
      </c>
      <c r="M28" s="12">
        <f>IF(L28="","",L28)</f>
        <v>258</v>
      </c>
      <c r="N28" s="11">
        <f>IF(N$3=0,"",SUMIFS(INDEX(Inputs!$D$4:$AG$150,0,MATCH(N$2,Inputs!$D$2:$AG$2,0)),Inputs!$B$4:$B$150,$B28)/1000)</f>
        <v>280</v>
      </c>
      <c r="O28" s="11">
        <f>IF(O$3=0,"",SUMIFS(INDEX(Inputs!$D$4:$AG$150,0,MATCH(O$2,Inputs!$D$2:$AG$2,0)),Inputs!$B$4:$B$150,$B28)/1000)</f>
        <v>281</v>
      </c>
      <c r="P28" s="11">
        <f>IF(P$3=0,"",SUMIFS(INDEX(Inputs!$D$4:$AG$150,0,MATCH(P$2,Inputs!$D$2:$AG$2,0)),Inputs!$B$4:$B$150,$B28)/1000)</f>
        <v>375</v>
      </c>
      <c r="Q28" s="11">
        <f>IF(Q$3=0,"",SUMIFS(INDEX(Inputs!$D$4:$AG$150,0,MATCH(Q$2,Inputs!$D$2:$AG$2,0)),Inputs!$B$4:$B$150,$B28)/1000)</f>
        <v>348</v>
      </c>
      <c r="R28" s="12">
        <f>IF(Q28="","",Q28)</f>
        <v>348</v>
      </c>
      <c r="S28" s="11">
        <f>IF(S$3=0,"",SUMIFS(INDEX(Inputs!$D$4:$AG$150,0,MATCH(S$2,Inputs!$D$2:$AG$2,0)),Inputs!$B$4:$B$150,$B28)/1000)</f>
        <v>338</v>
      </c>
      <c r="T28" s="11">
        <f>IF(T$3=0,"",SUMIFS(INDEX(Inputs!$D$4:$AG$150,0,MATCH(T$2,Inputs!$D$2:$AG$2,0)),Inputs!$B$4:$B$150,$B28)/1000)</f>
        <v>331</v>
      </c>
      <c r="U28" s="11">
        <f>IF(U$3=0,"",SUMIFS(INDEX(Inputs!$D$4:$AG$150,0,MATCH(U$2,Inputs!$D$2:$AG$2,0)),Inputs!$B$4:$B$150,$B28)/1000)</f>
        <v>479</v>
      </c>
      <c r="V28" s="11">
        <f>IF(V$3=0,"",SUMIFS(INDEX(Inputs!$D$4:$AG$150,0,MATCH(V$2,Inputs!$D$2:$AG$2,0)),Inputs!$B$4:$B$150,$B28)/1000)</f>
        <v>405</v>
      </c>
      <c r="W28" s="12">
        <f>IF(V28="","",V28)</f>
        <v>405</v>
      </c>
      <c r="X28" s="11">
        <f>IF(X$3=0,"",SUMIFS(INDEX(Inputs!$D$4:$AG$150,0,MATCH(X$2,Inputs!$D$2:$AG$2,0)),Inputs!$B$4:$B$150,$B28)/1000)</f>
        <v>421</v>
      </c>
      <c r="Y28" s="11">
        <f>IF(Y$3=0,"",SUMIFS(INDEX(Inputs!$D$4:$AG$150,0,MATCH(Y$2,Inputs!$D$2:$AG$2,0)),Inputs!$B$4:$B$150,$B28)/1000)</f>
        <v>462</v>
      </c>
      <c r="Z28" s="11">
        <f>IF(Z$3=0,"",SUMIFS(INDEX(Inputs!$D$4:$AG$150,0,MATCH(Z$2,Inputs!$D$2:$AG$2,0)),Inputs!$B$4:$B$150,$B28)/1000)</f>
        <v>555</v>
      </c>
      <c r="AA28" s="11">
        <f>IF(AA$3=0,"",SUMIFS(INDEX(Inputs!$D$4:$AG$150,0,MATCH(AA$2,Inputs!$D$2:$AG$2,0)),Inputs!$B$4:$B$150,$B28)/1000)</f>
        <v>433</v>
      </c>
      <c r="AB28" s="12">
        <f>IF(AA28="","",AA28)</f>
        <v>433</v>
      </c>
      <c r="AC28" s="11">
        <f>IF(AC$3=0,"",SUMIFS(INDEX(Inputs!$D$4:$AG$150,0,MATCH(AC$2,Inputs!$D$2:$AG$2,0)),Inputs!$B$4:$B$150,$B28)/1000)</f>
        <v>557</v>
      </c>
      <c r="AD28" s="11">
        <f>IF(AD$3=0,"",SUMIFS(INDEX(Inputs!$D$4:$AG$150,0,MATCH(AD$2,Inputs!$D$2:$AG$2,0)),Inputs!$B$4:$B$150,$B28)/1000)</f>
        <v>553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2882</v>
      </c>
      <c r="E29" s="11">
        <f>IF(E$3=0,"",SUMIFS(INDEX(Inputs!$D$4:$AG$150,0,MATCH(E$2,Inputs!$D$2:$AG$2,0)),Inputs!$B$4:$B$150,$B29)/1000)</f>
        <v>3240</v>
      </c>
      <c r="F29" s="11">
        <f>IF(F$3=0,"",SUMIFS(INDEX(Inputs!$D$4:$AG$150,0,MATCH(F$2,Inputs!$D$2:$AG$2,0)),Inputs!$B$4:$B$150,$B29)/1000)</f>
        <v>3545</v>
      </c>
      <c r="G29" s="11">
        <f>IF(G$3=0,"",SUMIFS(INDEX(Inputs!$D$4:$AG$150,0,MATCH(G$2,Inputs!$D$2:$AG$2,0)),Inputs!$B$4:$B$150,$B29)/1000)</f>
        <v>3690</v>
      </c>
      <c r="H29" s="12">
        <f>IF(G29="","",G29)</f>
        <v>3690</v>
      </c>
      <c r="I29" s="11">
        <f>IF(I$3=0,"",SUMIFS(INDEX(Inputs!$D$4:$AG$150,0,MATCH(I$2,Inputs!$D$2:$AG$2,0)),Inputs!$B$4:$B$150,$B29)/1000)</f>
        <v>4049</v>
      </c>
      <c r="J29" s="11">
        <f>IF(J$3=0,"",SUMIFS(INDEX(Inputs!$D$4:$AG$150,0,MATCH(J$2,Inputs!$D$2:$AG$2,0)),Inputs!$B$4:$B$150,$B29)/1000)</f>
        <v>4409</v>
      </c>
      <c r="K29" s="11">
        <f>IF(K$3=0,"",SUMIFS(INDEX(Inputs!$D$4:$AG$150,0,MATCH(K$2,Inputs!$D$2:$AG$2,0)),Inputs!$B$4:$B$150,$B29)/1000)</f>
        <v>5085</v>
      </c>
      <c r="L29" s="11">
        <f>IF(L$3=0,"",SUMIFS(INDEX(Inputs!$D$4:$AG$150,0,MATCH(L$2,Inputs!$D$2:$AG$2,0)),Inputs!$B$4:$B$150,$B29)/1000)</f>
        <v>4676</v>
      </c>
      <c r="M29" s="12">
        <f>IF(L29="","",L29)</f>
        <v>4676</v>
      </c>
      <c r="N29" s="11">
        <f>IF(N$3=0,"",SUMIFS(INDEX(Inputs!$D$4:$AG$150,0,MATCH(N$2,Inputs!$D$2:$AG$2,0)),Inputs!$B$4:$B$150,$B29)/1000)</f>
        <v>4624</v>
      </c>
      <c r="O29" s="11">
        <f>IF(O$3=0,"",SUMIFS(INDEX(Inputs!$D$4:$AG$150,0,MATCH(O$2,Inputs!$D$2:$AG$2,0)),Inputs!$B$4:$B$150,$B29)/1000)</f>
        <v>5290</v>
      </c>
      <c r="P29" s="11">
        <f>IF(P$3=0,"",SUMIFS(INDEX(Inputs!$D$4:$AG$150,0,MATCH(P$2,Inputs!$D$2:$AG$2,0)),Inputs!$B$4:$B$150,$B29)/1000)</f>
        <v>6521</v>
      </c>
      <c r="Q29" s="11">
        <f>IF(Q$3=0,"",SUMIFS(INDEX(Inputs!$D$4:$AG$150,0,MATCH(Q$2,Inputs!$D$2:$AG$2,0)),Inputs!$B$4:$B$150,$B29)/1000)</f>
        <v>5893</v>
      </c>
      <c r="R29" s="12">
        <f>IF(Q29="","",Q29)</f>
        <v>5893</v>
      </c>
      <c r="S29" s="11">
        <f>IF(S$3=0,"",SUMIFS(INDEX(Inputs!$D$4:$AG$150,0,MATCH(S$2,Inputs!$D$2:$AG$2,0)),Inputs!$B$4:$B$150,$B29)/1000)</f>
        <v>5451</v>
      </c>
      <c r="T29" s="11">
        <f>IF(T$3=0,"",SUMIFS(INDEX(Inputs!$D$4:$AG$150,0,MATCH(T$2,Inputs!$D$2:$AG$2,0)),Inputs!$B$4:$B$150,$B29)/1000)</f>
        <v>5983</v>
      </c>
      <c r="U29" s="11">
        <f>IF(U$3=0,"",SUMIFS(INDEX(Inputs!$D$4:$AG$150,0,MATCH(U$2,Inputs!$D$2:$AG$2,0)),Inputs!$B$4:$B$150,$B29)/1000)</f>
        <v>6447</v>
      </c>
      <c r="V29" s="11">
        <f>IF(V$3=0,"",SUMIFS(INDEX(Inputs!$D$4:$AG$150,0,MATCH(V$2,Inputs!$D$2:$AG$2,0)),Inputs!$B$4:$B$150,$B29)/1000)</f>
        <v>5916</v>
      </c>
      <c r="W29" s="12">
        <f>IF(V29="","",V29)</f>
        <v>5916</v>
      </c>
      <c r="X29" s="11">
        <f>IF(X$3=0,"",SUMIFS(INDEX(Inputs!$D$4:$AG$150,0,MATCH(X$2,Inputs!$D$2:$AG$2,0)),Inputs!$B$4:$B$150,$B29)/1000)</f>
        <v>5732</v>
      </c>
      <c r="Y29" s="11">
        <f>IF(Y$3=0,"",SUMIFS(INDEX(Inputs!$D$4:$AG$150,0,MATCH(Y$2,Inputs!$D$2:$AG$2,0)),Inputs!$B$4:$B$150,$B29)/1000)</f>
        <v>6381</v>
      </c>
      <c r="Z29" s="11">
        <f>IF(Z$3=0,"",SUMIFS(INDEX(Inputs!$D$4:$AG$150,0,MATCH(Z$2,Inputs!$D$2:$AG$2,0)),Inputs!$B$4:$B$150,$B29)/1000)</f>
        <v>7329</v>
      </c>
      <c r="AA29" s="11">
        <f>IF(AA$3=0,"",SUMIFS(INDEX(Inputs!$D$4:$AG$150,0,MATCH(AA$2,Inputs!$D$2:$AG$2,0)),Inputs!$B$4:$B$150,$B29)/1000)</f>
        <v>6734</v>
      </c>
      <c r="AB29" s="12">
        <f>IF(AA29="","",AA29)</f>
        <v>6734</v>
      </c>
      <c r="AC29" s="11">
        <f>IF(AC$3=0,"",SUMIFS(INDEX(Inputs!$D$4:$AG$150,0,MATCH(AC$2,Inputs!$D$2:$AG$2,0)),Inputs!$B$4:$B$150,$B29)/1000)</f>
        <v>7062</v>
      </c>
      <c r="AD29" s="11">
        <f>IF(AD$3=0,"",SUMIFS(INDEX(Inputs!$D$4:$AG$150,0,MATCH(AD$2,Inputs!$D$2:$AG$2,0)),Inputs!$B$4:$B$150,$B29)/1000)</f>
        <v>7628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9703</v>
      </c>
      <c r="E31" s="11">
        <f>IF(E$3=0,"",SUMIFS(INDEX(Inputs!$D$4:$AG$150,0,MATCH(E$2,Inputs!$D$2:$AG$2,0)),Inputs!$B$4:$B$150,$B31)/1000)</f>
        <v>10611</v>
      </c>
      <c r="F31" s="11">
        <f>IF(F$3=0,"",SUMIFS(INDEX(Inputs!$D$4:$AG$150,0,MATCH(F$2,Inputs!$D$2:$AG$2,0)),Inputs!$B$4:$B$150,$B31)/1000)</f>
        <v>10929</v>
      </c>
      <c r="G31" s="11">
        <f>IF(G$3=0,"",SUMIFS(INDEX(Inputs!$D$4:$AG$150,0,MATCH(G$2,Inputs!$D$2:$AG$2,0)),Inputs!$B$4:$B$150,$B31)/1000)</f>
        <v>11379</v>
      </c>
      <c r="H31" s="12">
        <f>IF(G31="","",G31)</f>
        <v>11379</v>
      </c>
      <c r="I31" s="11">
        <f>IF(I$3=0,"",SUMIFS(INDEX(Inputs!$D$4:$AG$150,0,MATCH(I$2,Inputs!$D$2:$AG$2,0)),Inputs!$B$4:$B$150,$B31)/1000)</f>
        <v>10923</v>
      </c>
      <c r="J31" s="11">
        <f>IF(J$3=0,"",SUMIFS(INDEX(Inputs!$D$4:$AG$150,0,MATCH(J$2,Inputs!$D$2:$AG$2,0)),Inputs!$B$4:$B$150,$B31)/1000)</f>
        <v>12423</v>
      </c>
      <c r="K31" s="11">
        <f>IF(K$3=0,"",SUMIFS(INDEX(Inputs!$D$4:$AG$150,0,MATCH(K$2,Inputs!$D$2:$AG$2,0)),Inputs!$B$4:$B$150,$B31)/1000)</f>
        <v>13178</v>
      </c>
      <c r="L31" s="11">
        <f>IF(L$3=0,"",SUMIFS(INDEX(Inputs!$D$4:$AG$150,0,MATCH(L$2,Inputs!$D$2:$AG$2,0)),Inputs!$B$4:$B$150,$B31)/1000)</f>
        <v>14419</v>
      </c>
      <c r="M31" s="12">
        <f>IF(L31="","",L31)</f>
        <v>14419</v>
      </c>
      <c r="N31" s="11">
        <f>IF(N$3=0,"",SUMIFS(INDEX(Inputs!$D$4:$AG$150,0,MATCH(N$2,Inputs!$D$2:$AG$2,0)),Inputs!$B$4:$B$150,$B31)/1000)</f>
        <v>14193</v>
      </c>
      <c r="O31" s="11">
        <f>IF(O$3=0,"",SUMIFS(INDEX(Inputs!$D$4:$AG$150,0,MATCH(O$2,Inputs!$D$2:$AG$2,0)),Inputs!$B$4:$B$150,$B31)/1000)</f>
        <v>15659</v>
      </c>
      <c r="P31" s="11">
        <f>IF(P$3=0,"",SUMIFS(INDEX(Inputs!$D$4:$AG$150,0,MATCH(P$2,Inputs!$D$2:$AG$2,0)),Inputs!$B$4:$B$150,$B31)/1000)</f>
        <v>16202</v>
      </c>
      <c r="Q31" s="11">
        <f>IF(Q$3=0,"",SUMIFS(INDEX(Inputs!$D$4:$AG$150,0,MATCH(Q$2,Inputs!$D$2:$AG$2,0)),Inputs!$B$4:$B$150,$B31)/1000)</f>
        <v>16393</v>
      </c>
      <c r="R31" s="12">
        <f>IF(Q31="","",Q31)</f>
        <v>16393</v>
      </c>
      <c r="S31" s="11">
        <f>IF(S$3=0,"",SUMIFS(INDEX(Inputs!$D$4:$AG$150,0,MATCH(S$2,Inputs!$D$2:$AG$2,0)),Inputs!$B$4:$B$150,$B31)/1000)</f>
        <v>17654</v>
      </c>
      <c r="T31" s="11">
        <f>IF(T$3=0,"",SUMIFS(INDEX(Inputs!$D$4:$AG$150,0,MATCH(T$2,Inputs!$D$2:$AG$2,0)),Inputs!$B$4:$B$150,$B31)/1000)</f>
        <v>16298</v>
      </c>
      <c r="U31" s="11">
        <f>IF(U$3=0,"",SUMIFS(INDEX(Inputs!$D$4:$AG$150,0,MATCH(U$2,Inputs!$D$2:$AG$2,0)),Inputs!$B$4:$B$150,$B31)/1000)</f>
        <v>19591</v>
      </c>
      <c r="V31" s="11">
        <f>IF(V$3=0,"",SUMIFS(INDEX(Inputs!$D$4:$AG$150,0,MATCH(V$2,Inputs!$D$2:$AG$2,0)),Inputs!$B$4:$B$150,$B31)/1000)</f>
        <v>18841</v>
      </c>
      <c r="W31" s="12">
        <f>IF(V31="","",V31)</f>
        <v>18841</v>
      </c>
      <c r="X31" s="11">
        <f>IF(X$3=0,"",SUMIFS(INDEX(Inputs!$D$4:$AG$150,0,MATCH(X$2,Inputs!$D$2:$AG$2,0)),Inputs!$B$4:$B$150,$B31)/1000)</f>
        <v>20280</v>
      </c>
      <c r="Y31" s="11">
        <f>IF(Y$3=0,"",SUMIFS(INDEX(Inputs!$D$4:$AG$150,0,MATCH(Y$2,Inputs!$D$2:$AG$2,0)),Inputs!$B$4:$B$150,$B31)/1000)</f>
        <v>22036</v>
      </c>
      <c r="Z31" s="11">
        <f>IF(Z$3=0,"",SUMIFS(INDEX(Inputs!$D$4:$AG$150,0,MATCH(Z$2,Inputs!$D$2:$AG$2,0)),Inputs!$B$4:$B$150,$B31)/1000)</f>
        <v>21595</v>
      </c>
      <c r="AA31" s="11">
        <f>IF(AA$3=0,"",SUMIFS(INDEX(Inputs!$D$4:$AG$150,0,MATCH(AA$2,Inputs!$D$2:$AG$2,0)),Inputs!$B$4:$B$150,$B31)/1000)</f>
        <v>22735</v>
      </c>
      <c r="AB31" s="12">
        <f>IF(AA31="","",AA31)</f>
        <v>22735</v>
      </c>
      <c r="AC31" s="11">
        <f>IF(AC$3=0,"",SUMIFS(INDEX(Inputs!$D$4:$AG$150,0,MATCH(AC$2,Inputs!$D$2:$AG$2,0)),Inputs!$B$4:$B$150,$B31)/1000)</f>
        <v>19898</v>
      </c>
      <c r="AD31" s="11">
        <f>IF(AD$3=0,"",SUMIFS(INDEX(Inputs!$D$4:$AG$150,0,MATCH(AD$2,Inputs!$D$2:$AG$2,0)),Inputs!$B$4:$B$150,$B31)/1000)</f>
        <v>20290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0</v>
      </c>
      <c r="E32" s="11">
        <f>IF(E$3=0,"",SUMIFS(INDEX(Inputs!$D$4:$AG$150,0,MATCH(E$2,Inputs!$D$2:$AG$2,0)),Inputs!$B$4:$B$150,$B32)/1000)</f>
        <v>0</v>
      </c>
      <c r="F32" s="11">
        <f>IF(F$3=0,"",SUMIFS(INDEX(Inputs!$D$4:$AG$150,0,MATCH(F$2,Inputs!$D$2:$AG$2,0)),Inputs!$B$4:$B$150,$B32)/1000)</f>
        <v>999</v>
      </c>
      <c r="G32" s="11">
        <f>IF(G$3=0,"",SUMIFS(INDEX(Inputs!$D$4:$AG$150,0,MATCH(G$2,Inputs!$D$2:$AG$2,0)),Inputs!$B$4:$B$150,$B32)/1000)</f>
        <v>3247</v>
      </c>
      <c r="H32" s="12">
        <f>IF(G32="","",G32)</f>
        <v>3247</v>
      </c>
      <c r="I32" s="11">
        <f>IF(I$3=0,"",SUMIFS(INDEX(Inputs!$D$4:$AG$150,0,MATCH(I$2,Inputs!$D$2:$AG$2,0)),Inputs!$B$4:$B$150,$B32)/1000)</f>
        <v>3548</v>
      </c>
      <c r="J32" s="11">
        <f>IF(J$3=0,"",SUMIFS(INDEX(Inputs!$D$4:$AG$150,0,MATCH(J$2,Inputs!$D$2:$AG$2,0)),Inputs!$B$4:$B$150,$B32)/1000)</f>
        <v>3249</v>
      </c>
      <c r="K32" s="11">
        <f>IF(K$3=0,"",SUMIFS(INDEX(Inputs!$D$4:$AG$150,0,MATCH(K$2,Inputs!$D$2:$AG$2,0)),Inputs!$B$4:$B$150,$B32)/1000)</f>
        <v>2250</v>
      </c>
      <c r="L32" s="11">
        <f>IF(L$3=0,"",SUMIFS(INDEX(Inputs!$D$4:$AG$150,0,MATCH(L$2,Inputs!$D$2:$AG$2,0)),Inputs!$B$4:$B$150,$B32)/1000)</f>
        <v>0</v>
      </c>
      <c r="M32" s="12">
        <f>IF(L32="","",L32)</f>
        <v>0</v>
      </c>
      <c r="N32" s="11">
        <f>IF(N$3=0,"",SUMIFS(INDEX(Inputs!$D$4:$AG$150,0,MATCH(N$2,Inputs!$D$2:$AG$2,0)),Inputs!$B$4:$B$150,$B32)/1000)</f>
        <v>0</v>
      </c>
      <c r="O32" s="11">
        <f>IF(O$3=0,"",SUMIFS(INDEX(Inputs!$D$4:$AG$150,0,MATCH(O$2,Inputs!$D$2:$AG$2,0)),Inputs!$B$4:$B$150,$B32)/1000)</f>
        <v>0</v>
      </c>
      <c r="P32" s="11">
        <f>IF(P$3=0,"",SUMIFS(INDEX(Inputs!$D$4:$AG$150,0,MATCH(P$2,Inputs!$D$2:$AG$2,0)),Inputs!$B$4:$B$150,$B32)/1000)</f>
        <v>0</v>
      </c>
      <c r="Q32" s="11">
        <f>IF(Q$3=0,"",SUMIFS(INDEX(Inputs!$D$4:$AG$150,0,MATCH(Q$2,Inputs!$D$2:$AG$2,0)),Inputs!$B$4:$B$150,$B32)/1000)</f>
        <v>0</v>
      </c>
      <c r="R32" s="12">
        <f>IF(Q32="","",Q32)</f>
        <v>0</v>
      </c>
      <c r="S32" s="11">
        <f>IF(S$3=0,"",SUMIFS(INDEX(Inputs!$D$4:$AG$150,0,MATCH(S$2,Inputs!$D$2:$AG$2,0)),Inputs!$B$4:$B$150,$B32)/1000)</f>
        <v>0</v>
      </c>
      <c r="T32" s="11">
        <f>IF(T$3=0,"",SUMIFS(INDEX(Inputs!$D$4:$AG$150,0,MATCH(T$2,Inputs!$D$2:$AG$2,0)),Inputs!$B$4:$B$150,$B32)/1000)</f>
        <v>0</v>
      </c>
      <c r="U32" s="11">
        <f>IF(U$3=0,"",SUMIFS(INDEX(Inputs!$D$4:$AG$150,0,MATCH(U$2,Inputs!$D$2:$AG$2,0)),Inputs!$B$4:$B$150,$B32)/1000)</f>
        <v>0</v>
      </c>
      <c r="V32" s="11">
        <f>IF(V$3=0,"",SUMIFS(INDEX(Inputs!$D$4:$AG$150,0,MATCH(V$2,Inputs!$D$2:$AG$2,0)),Inputs!$B$4:$B$150,$B32)/1000)</f>
        <v>3929</v>
      </c>
      <c r="W32" s="12">
        <f>IF(V32="","",V32)</f>
        <v>3929</v>
      </c>
      <c r="X32" s="11">
        <f>IF(X$3=0,"",SUMIFS(INDEX(Inputs!$D$4:$AG$150,0,MATCH(X$2,Inputs!$D$2:$AG$2,0)),Inputs!$B$4:$B$150,$B32)/1000)</f>
        <v>3948</v>
      </c>
      <c r="Y32" s="11">
        <f>IF(Y$3=0,"",SUMIFS(INDEX(Inputs!$D$4:$AG$150,0,MATCH(Y$2,Inputs!$D$2:$AG$2,0)),Inputs!$B$4:$B$150,$B32)/1000)</f>
        <v>5548</v>
      </c>
      <c r="Z32" s="11">
        <f>IF(Z$3=0,"",SUMIFS(INDEX(Inputs!$D$4:$AG$150,0,MATCH(Z$2,Inputs!$D$2:$AG$2,0)),Inputs!$B$4:$B$150,$B32)/1000)</f>
        <v>5569</v>
      </c>
      <c r="AA32" s="11">
        <f>IF(AA$3=0,"",SUMIFS(INDEX(Inputs!$D$4:$AG$150,0,MATCH(AA$2,Inputs!$D$2:$AG$2,0)),Inputs!$B$4:$B$150,$B32)/1000)</f>
        <v>1589</v>
      </c>
      <c r="AB32" s="12">
        <f>IF(AA32="","",AA32)</f>
        <v>1589</v>
      </c>
      <c r="AC32" s="11">
        <f>IF(AC$3=0,"",SUMIFS(INDEX(Inputs!$D$4:$AG$150,0,MATCH(AC$2,Inputs!$D$2:$AG$2,0)),Inputs!$B$4:$B$150,$B32)/1000)</f>
        <v>1559</v>
      </c>
      <c r="AD32" s="11">
        <f>IF(AD$3=0,"",SUMIFS(INDEX(Inputs!$D$4:$AG$150,0,MATCH(AD$2,Inputs!$D$2:$AG$2,0)),Inputs!$B$4:$B$150,$B32)/1000)</f>
        <v>2996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20974</v>
      </c>
      <c r="E35" s="11">
        <f>IF(E$3=0,"",SUMIFS(INDEX(Inputs!$D$4:$AG$150,0,MATCH(E$2,Inputs!$D$2:$AG$2,0)),Inputs!$B$4:$B$150,$B35)/1000)</f>
        <v>20996</v>
      </c>
      <c r="F35" s="11">
        <f>IF(F$3=0,"",SUMIFS(INDEX(Inputs!$D$4:$AG$150,0,MATCH(F$2,Inputs!$D$2:$AG$2,0)),Inputs!$B$4:$B$150,$B35)/1000)</f>
        <v>19978</v>
      </c>
      <c r="G35" s="11">
        <f>IF(G$3=0,"",SUMIFS(INDEX(Inputs!$D$4:$AG$150,0,MATCH(G$2,Inputs!$D$2:$AG$2,0)),Inputs!$B$4:$B$150,$B35)/1000)</f>
        <v>17673</v>
      </c>
      <c r="H35" s="12">
        <f>IF(G35="","",G35)</f>
        <v>17673</v>
      </c>
      <c r="I35" s="11">
        <f>IF(I$3=0,"",SUMIFS(INDEX(Inputs!$D$4:$AG$150,0,MATCH(I$2,Inputs!$D$2:$AG$2,0)),Inputs!$B$4:$B$150,$B35)/1000)</f>
        <v>17479</v>
      </c>
      <c r="J35" s="11">
        <f>IF(J$3=0,"",SUMIFS(INDEX(Inputs!$D$4:$AG$150,0,MATCH(J$2,Inputs!$D$2:$AG$2,0)),Inputs!$B$4:$B$150,$B35)/1000)</f>
        <v>20546</v>
      </c>
      <c r="K35" s="11">
        <f>IF(K$3=0,"",SUMIFS(INDEX(Inputs!$D$4:$AG$150,0,MATCH(K$2,Inputs!$D$2:$AG$2,0)),Inputs!$B$4:$B$150,$B35)/1000)</f>
        <v>20200</v>
      </c>
      <c r="L35" s="11">
        <f>IF(L$3=0,"",SUMIFS(INDEX(Inputs!$D$4:$AG$150,0,MATCH(L$2,Inputs!$D$2:$AG$2,0)),Inputs!$B$4:$B$150,$B35)/1000)</f>
        <v>20487</v>
      </c>
      <c r="M35" s="12">
        <f>IF(L35="","",L35)</f>
        <v>20487</v>
      </c>
      <c r="N35" s="11">
        <f>IF(N$3=0,"",SUMIFS(INDEX(Inputs!$D$4:$AG$150,0,MATCH(N$2,Inputs!$D$2:$AG$2,0)),Inputs!$B$4:$B$150,$B35)/1000)</f>
        <v>20606</v>
      </c>
      <c r="O35" s="11">
        <f>IF(O$3=0,"",SUMIFS(INDEX(Inputs!$D$4:$AG$150,0,MATCH(O$2,Inputs!$D$2:$AG$2,0)),Inputs!$B$4:$B$150,$B35)/1000)</f>
        <v>20560</v>
      </c>
      <c r="P35" s="11">
        <f>IF(P$3=0,"",SUMIFS(INDEX(Inputs!$D$4:$AG$150,0,MATCH(P$2,Inputs!$D$2:$AG$2,0)),Inputs!$B$4:$B$150,$B35)/1000)</f>
        <v>20463</v>
      </c>
      <c r="Q35" s="11">
        <f>IF(Q$3=0,"",SUMIFS(INDEX(Inputs!$D$4:$AG$150,0,MATCH(Q$2,Inputs!$D$2:$AG$2,0)),Inputs!$B$4:$B$150,$B35)/1000)</f>
        <v>20703</v>
      </c>
      <c r="R35" s="12">
        <f>IF(Q35="","",Q35)</f>
        <v>20703</v>
      </c>
      <c r="S35" s="11">
        <f>IF(S$3=0,"",SUMIFS(INDEX(Inputs!$D$4:$AG$150,0,MATCH(S$2,Inputs!$D$2:$AG$2,0)),Inputs!$B$4:$B$150,$B35)/1000)</f>
        <v>20603</v>
      </c>
      <c r="T35" s="11">
        <f>IF(T$3=0,"",SUMIFS(INDEX(Inputs!$D$4:$AG$150,0,MATCH(T$2,Inputs!$D$2:$AG$2,0)),Inputs!$B$4:$B$150,$B35)/1000)</f>
        <v>20602</v>
      </c>
      <c r="U35" s="11">
        <f>IF(U$3=0,"",SUMIFS(INDEX(Inputs!$D$4:$AG$150,0,MATCH(U$2,Inputs!$D$2:$AG$2,0)),Inputs!$B$4:$B$150,$B35)/1000)</f>
        <v>20836</v>
      </c>
      <c r="V35" s="11">
        <f>IF(V$3=0,"",SUMIFS(INDEX(Inputs!$D$4:$AG$150,0,MATCH(V$2,Inputs!$D$2:$AG$2,0)),Inputs!$B$4:$B$150,$B35)/1000)</f>
        <v>16680</v>
      </c>
      <c r="W35" s="12">
        <f>IF(V35="","",V35)</f>
        <v>16680</v>
      </c>
      <c r="X35" s="11">
        <f>IF(X$3=0,"",SUMIFS(INDEX(Inputs!$D$4:$AG$150,0,MATCH(X$2,Inputs!$D$2:$AG$2,0)),Inputs!$B$4:$B$150,$B35)/1000)</f>
        <v>16814</v>
      </c>
      <c r="Y35" s="11">
        <f>IF(Y$3=0,"",SUMIFS(INDEX(Inputs!$D$4:$AG$150,0,MATCH(Y$2,Inputs!$D$2:$AG$2,0)),Inputs!$B$4:$B$150,$B35)/1000)</f>
        <v>19590</v>
      </c>
      <c r="Z35" s="11">
        <f>IF(Z$3=0,"",SUMIFS(INDEX(Inputs!$D$4:$AG$150,0,MATCH(Z$2,Inputs!$D$2:$AG$2,0)),Inputs!$B$4:$B$150,$B35)/1000)</f>
        <v>19602</v>
      </c>
      <c r="AA35" s="11">
        <f>IF(AA$3=0,"",SUMIFS(INDEX(Inputs!$D$4:$AG$150,0,MATCH(AA$2,Inputs!$D$2:$AG$2,0)),Inputs!$B$4:$B$150,$B35)/1000)</f>
        <v>19588</v>
      </c>
      <c r="AB35" s="12">
        <f>IF(AA35="","",AA35)</f>
        <v>19588</v>
      </c>
      <c r="AC35" s="11">
        <f>IF(AC$3=0,"",SUMIFS(INDEX(Inputs!$D$4:$AG$150,0,MATCH(AC$2,Inputs!$D$2:$AG$2,0)),Inputs!$B$4:$B$150,$B35)/1000)</f>
        <v>22417</v>
      </c>
      <c r="AD35" s="11">
        <f>IF(AD$3=0,"",SUMIFS(INDEX(Inputs!$D$4:$AG$150,0,MATCH(AD$2,Inputs!$D$2:$AG$2,0)),Inputs!$B$4:$B$150,$B35)/1000)</f>
        <v>20862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5212</v>
      </c>
      <c r="E38" s="11">
        <f>IF(E$3=0,"",SUMIFS(INDEX(Inputs!$D$4:$AG$150,0,MATCH(E$2,Inputs!$D$2:$AG$2,0)),Inputs!$B$4:$B$150,$B38)/1000)</f>
        <v>6240</v>
      </c>
      <c r="F38" s="11">
        <f>IF(F$3=0,"",SUMIFS(INDEX(Inputs!$D$4:$AG$150,0,MATCH(F$2,Inputs!$D$2:$AG$2,0)),Inputs!$B$4:$B$150,$B38)/1000)</f>
        <v>6128</v>
      </c>
      <c r="G38" s="11">
        <f>IF(G$3=0,"",SUMIFS(INDEX(Inputs!$D$4:$AG$150,0,MATCH(G$2,Inputs!$D$2:$AG$2,0)),Inputs!$B$4:$B$150,$B38)/1000)</f>
        <v>6078</v>
      </c>
      <c r="H38" s="12">
        <f>IF(G38="","",G38)</f>
        <v>6078</v>
      </c>
      <c r="I38" s="11">
        <f>IF(I$3=0,"",SUMIFS(INDEX(Inputs!$D$4:$AG$150,0,MATCH(I$2,Inputs!$D$2:$AG$2,0)),Inputs!$B$4:$B$150,$B38)/1000)</f>
        <v>6081</v>
      </c>
      <c r="J38" s="11">
        <f>IF(J$3=0,"",SUMIFS(INDEX(Inputs!$D$4:$AG$150,0,MATCH(J$2,Inputs!$D$2:$AG$2,0)),Inputs!$B$4:$B$150,$B38)/1000)</f>
        <v>5685</v>
      </c>
      <c r="K38" s="11">
        <f>IF(K$3=0,"",SUMIFS(INDEX(Inputs!$D$4:$AG$150,0,MATCH(K$2,Inputs!$D$2:$AG$2,0)),Inputs!$B$4:$B$150,$B38)/1000)</f>
        <v>5332</v>
      </c>
      <c r="L38" s="11">
        <f>IF(L$3=0,"",SUMIFS(INDEX(Inputs!$D$4:$AG$150,0,MATCH(L$2,Inputs!$D$2:$AG$2,0)),Inputs!$B$4:$B$150,$B38)/1000)</f>
        <v>5443</v>
      </c>
      <c r="M38" s="12">
        <f>IF(L38="","",L38)</f>
        <v>5443</v>
      </c>
      <c r="N38" s="11">
        <f>IF(N$3=0,"",SUMIFS(INDEX(Inputs!$D$4:$AG$150,0,MATCH(N$2,Inputs!$D$2:$AG$2,0)),Inputs!$B$4:$B$150,$B38)/1000)</f>
        <v>5462</v>
      </c>
      <c r="O38" s="11">
        <f>IF(O$3=0,"",SUMIFS(INDEX(Inputs!$D$4:$AG$150,0,MATCH(O$2,Inputs!$D$2:$AG$2,0)),Inputs!$B$4:$B$150,$B38)/1000)</f>
        <v>5380</v>
      </c>
      <c r="P38" s="11">
        <f>IF(P$3=0,"",SUMIFS(INDEX(Inputs!$D$4:$AG$150,0,MATCH(P$2,Inputs!$D$2:$AG$2,0)),Inputs!$B$4:$B$150,$B38)/1000)</f>
        <v>5114</v>
      </c>
      <c r="Q38" s="11">
        <f>IF(Q$3=0,"",SUMIFS(INDEX(Inputs!$D$4:$AG$150,0,MATCH(Q$2,Inputs!$D$2:$AG$2,0)),Inputs!$B$4:$B$150,$B38)/1000)</f>
        <v>5275</v>
      </c>
      <c r="R38" s="12">
        <f>IF(Q38="","",Q38)</f>
        <v>5275</v>
      </c>
      <c r="S38" s="11">
        <f>IF(S$3=0,"",SUMIFS(INDEX(Inputs!$D$4:$AG$150,0,MATCH(S$2,Inputs!$D$2:$AG$2,0)),Inputs!$B$4:$B$150,$B38)/1000)</f>
        <v>5145</v>
      </c>
      <c r="T38" s="11">
        <f>IF(T$3=0,"",SUMIFS(INDEX(Inputs!$D$4:$AG$150,0,MATCH(T$2,Inputs!$D$2:$AG$2,0)),Inputs!$B$4:$B$150,$B38)/1000)</f>
        <v>5119</v>
      </c>
      <c r="U38" s="11">
        <f>IF(U$3=0,"",SUMIFS(INDEX(Inputs!$D$4:$AG$150,0,MATCH(U$2,Inputs!$D$2:$AG$2,0)),Inputs!$B$4:$B$150,$B38)/1000)</f>
        <v>5301</v>
      </c>
      <c r="V38" s="11">
        <f>IF(V$3=0,"",SUMIFS(INDEX(Inputs!$D$4:$AG$150,0,MATCH(V$2,Inputs!$D$2:$AG$2,0)),Inputs!$B$4:$B$150,$B38)/1000)</f>
        <v>5192</v>
      </c>
      <c r="W38" s="12">
        <f>IF(V38="","",V38)</f>
        <v>5192</v>
      </c>
      <c r="X38" s="11">
        <f>IF(X$3=0,"",SUMIFS(INDEX(Inputs!$D$4:$AG$150,0,MATCH(X$2,Inputs!$D$2:$AG$2,0)),Inputs!$B$4:$B$150,$B38)/1000)</f>
        <v>5160</v>
      </c>
      <c r="Y38" s="11">
        <f>IF(Y$3=0,"",SUMIFS(INDEX(Inputs!$D$4:$AG$150,0,MATCH(Y$2,Inputs!$D$2:$AG$2,0)),Inputs!$B$4:$B$150,$B38)/1000)</f>
        <v>5755</v>
      </c>
      <c r="Z38" s="11">
        <f>IF(Z$3=0,"",SUMIFS(INDEX(Inputs!$D$4:$AG$150,0,MATCH(Z$2,Inputs!$D$2:$AG$2,0)),Inputs!$B$4:$B$150,$B38)/1000)</f>
        <v>5549</v>
      </c>
      <c r="AA38" s="11">
        <f>IF(AA$3=0,"",SUMIFS(INDEX(Inputs!$D$4:$AG$150,0,MATCH(AA$2,Inputs!$D$2:$AG$2,0)),Inputs!$B$4:$B$150,$B38)/1000)</f>
        <v>5241</v>
      </c>
      <c r="AB38" s="12">
        <f>IF(AA38="","",AA38)</f>
        <v>5241</v>
      </c>
      <c r="AC38" s="11">
        <f>IF(AC$3=0,"",SUMIFS(INDEX(Inputs!$D$4:$AG$150,0,MATCH(AC$2,Inputs!$D$2:$AG$2,0)),Inputs!$B$4:$B$150,$B38)/1000)</f>
        <v>5893</v>
      </c>
      <c r="AD38" s="11">
        <f>IF(AD$3=0,"",SUMIFS(INDEX(Inputs!$D$4:$AG$150,0,MATCH(AD$2,Inputs!$D$2:$AG$2,0)),Inputs!$B$4:$B$150,$B38)/1000)</f>
        <v>5219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3602</v>
      </c>
      <c r="E39" s="11">
        <f>IF(E$3=0,"",SUMIFS(INDEX(Inputs!$D$4:$AG$150,0,MATCH(E$2,Inputs!$D$2:$AG$2,0)),Inputs!$B$4:$B$150,$B39)/1000)</f>
        <v>3622</v>
      </c>
      <c r="F39" s="11">
        <f>IF(F$3=0,"",SUMIFS(INDEX(Inputs!$D$4:$AG$150,0,MATCH(F$2,Inputs!$D$2:$AG$2,0)),Inputs!$B$4:$B$150,$B39)/1000)</f>
        <v>3462</v>
      </c>
      <c r="G39" s="11">
        <f>IF(G$3=0,"",SUMIFS(INDEX(Inputs!$D$4:$AG$150,0,MATCH(G$2,Inputs!$D$2:$AG$2,0)),Inputs!$B$4:$B$150,$B39)/1000)</f>
        <v>3416</v>
      </c>
      <c r="H39" s="12">
        <f>IF(G39="","",G39)</f>
        <v>3416</v>
      </c>
      <c r="I39" s="11">
        <f>IF(I$3=0,"",SUMIFS(INDEX(Inputs!$D$4:$AG$150,0,MATCH(I$2,Inputs!$D$2:$AG$2,0)),Inputs!$B$4:$B$150,$B39)/1000)</f>
        <v>3557</v>
      </c>
      <c r="J39" s="11">
        <f>IF(J$3=0,"",SUMIFS(INDEX(Inputs!$D$4:$AG$150,0,MATCH(J$2,Inputs!$D$2:$AG$2,0)),Inputs!$B$4:$B$150,$B39)/1000)</f>
        <v>3387</v>
      </c>
      <c r="K39" s="11">
        <f>IF(K$3=0,"",SUMIFS(INDEX(Inputs!$D$4:$AG$150,0,MATCH(K$2,Inputs!$D$2:$AG$2,0)),Inputs!$B$4:$B$150,$B39)/1000)</f>
        <v>3535</v>
      </c>
      <c r="L39" s="11">
        <f>IF(L$3=0,"",SUMIFS(INDEX(Inputs!$D$4:$AG$150,0,MATCH(L$2,Inputs!$D$2:$AG$2,0)),Inputs!$B$4:$B$150,$B39)/1000)</f>
        <v>3180</v>
      </c>
      <c r="M39" s="12">
        <f>IF(L39="","",L39)</f>
        <v>3180</v>
      </c>
      <c r="N39" s="11">
        <f>IF(N$3=0,"",SUMIFS(INDEX(Inputs!$D$4:$AG$150,0,MATCH(N$2,Inputs!$D$2:$AG$2,0)),Inputs!$B$4:$B$150,$B39)/1000)</f>
        <v>3025</v>
      </c>
      <c r="O39" s="11">
        <f>IF(O$3=0,"",SUMIFS(INDEX(Inputs!$D$4:$AG$150,0,MATCH(O$2,Inputs!$D$2:$AG$2,0)),Inputs!$B$4:$B$150,$B39)/1000)</f>
        <v>3083</v>
      </c>
      <c r="P39" s="11">
        <f>IF(P$3=0,"",SUMIFS(INDEX(Inputs!$D$4:$AG$150,0,MATCH(P$2,Inputs!$D$2:$AG$2,0)),Inputs!$B$4:$B$150,$B39)/1000)</f>
        <v>3091</v>
      </c>
      <c r="Q39" s="11">
        <f>IF(Q$3=0,"",SUMIFS(INDEX(Inputs!$D$4:$AG$150,0,MATCH(Q$2,Inputs!$D$2:$AG$2,0)),Inputs!$B$4:$B$150,$B39)/1000)</f>
        <v>3064</v>
      </c>
      <c r="R39" s="12">
        <f>IF(Q39="","",Q39)</f>
        <v>3064</v>
      </c>
      <c r="S39" s="11">
        <f>IF(S$3=0,"",SUMIFS(INDEX(Inputs!$D$4:$AG$150,0,MATCH(S$2,Inputs!$D$2:$AG$2,0)),Inputs!$B$4:$B$150,$B39)/1000)</f>
        <v>2723</v>
      </c>
      <c r="T39" s="11">
        <f>IF(T$3=0,"",SUMIFS(INDEX(Inputs!$D$4:$AG$150,0,MATCH(T$2,Inputs!$D$2:$AG$2,0)),Inputs!$B$4:$B$150,$B39)/1000)</f>
        <v>2978</v>
      </c>
      <c r="U39" s="11">
        <f>IF(U$3=0,"",SUMIFS(INDEX(Inputs!$D$4:$AG$150,0,MATCH(U$2,Inputs!$D$2:$AG$2,0)),Inputs!$B$4:$B$150,$B39)/1000)</f>
        <v>2720</v>
      </c>
      <c r="V39" s="11">
        <f>IF(V$3=0,"",SUMIFS(INDEX(Inputs!$D$4:$AG$150,0,MATCH(V$2,Inputs!$D$2:$AG$2,0)),Inputs!$B$4:$B$150,$B39)/1000)</f>
        <v>2629</v>
      </c>
      <c r="W39" s="12">
        <f>IF(V39="","",V39)</f>
        <v>2629</v>
      </c>
      <c r="X39" s="11">
        <f>IF(X$3=0,"",SUMIFS(INDEX(Inputs!$D$4:$AG$150,0,MATCH(X$2,Inputs!$D$2:$AG$2,0)),Inputs!$B$4:$B$150,$B39)/1000)</f>
        <v>2468</v>
      </c>
      <c r="Y39" s="11">
        <f>IF(Y$3=0,"",SUMIFS(INDEX(Inputs!$D$4:$AG$150,0,MATCH(Y$2,Inputs!$D$2:$AG$2,0)),Inputs!$B$4:$B$150,$B39)/1000)</f>
        <v>1588</v>
      </c>
      <c r="Z39" s="11">
        <f>IF(Z$3=0,"",SUMIFS(INDEX(Inputs!$D$4:$AG$150,0,MATCH(Z$2,Inputs!$D$2:$AG$2,0)),Inputs!$B$4:$B$150,$B39)/1000)</f>
        <v>1519</v>
      </c>
      <c r="AA39" s="11">
        <f>IF(AA$3=0,"",SUMIFS(INDEX(Inputs!$D$4:$AG$150,0,MATCH(AA$2,Inputs!$D$2:$AG$2,0)),Inputs!$B$4:$B$150,$B39)/1000)</f>
        <v>1717</v>
      </c>
      <c r="AB39" s="12">
        <f>IF(AA39="","",AA39)</f>
        <v>1717</v>
      </c>
      <c r="AC39" s="11">
        <f>IF(AC$3=0,"",SUMIFS(INDEX(Inputs!$D$4:$AG$150,0,MATCH(AC$2,Inputs!$D$2:$AG$2,0)),Inputs!$B$4:$B$150,$B39)/1000)</f>
        <v>2002</v>
      </c>
      <c r="AD39" s="11">
        <f>IF(AD$3=0,"",SUMIFS(INDEX(Inputs!$D$4:$AG$150,0,MATCH(AD$2,Inputs!$D$2:$AG$2,0)),Inputs!$B$4:$B$150,$B39)/1000)</f>
        <v>1864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0</v>
      </c>
      <c r="H41" s="12">
        <f>IF(G41="","",G41)</f>
        <v>0</v>
      </c>
      <c r="I41" s="11">
        <f>IF(I$3=0,"",SUMIFS(INDEX(Inputs!$D$4:$AG$150,0,MATCH(I$2,Inputs!$D$2:$AG$2,0)),Inputs!$B$4:$B$150,$B41)/1000)</f>
        <v>0</v>
      </c>
      <c r="J41" s="11">
        <f>IF(J$3=0,"",SUMIFS(INDEX(Inputs!$D$4:$AG$150,0,MATCH(J$2,Inputs!$D$2:$AG$2,0)),Inputs!$B$4:$B$150,$B41)/1000)</f>
        <v>0</v>
      </c>
      <c r="K41" s="11">
        <f>IF(K$3=0,"",SUMIFS(INDEX(Inputs!$D$4:$AG$150,0,MATCH(K$2,Inputs!$D$2:$AG$2,0)),Inputs!$B$4:$B$150,$B41)/1000)</f>
        <v>0</v>
      </c>
      <c r="L41" s="11">
        <f>IF(L$3=0,"",SUMIFS(INDEX(Inputs!$D$4:$AG$150,0,MATCH(L$2,Inputs!$D$2:$AG$2,0)),Inputs!$B$4:$B$150,$B41)/1000)</f>
        <v>0</v>
      </c>
      <c r="M41" s="12">
        <f>IF(L41="","",L41)</f>
        <v>0</v>
      </c>
      <c r="N41" s="11">
        <f>IF(N$3=0,"",SUMIFS(INDEX(Inputs!$D$4:$AG$150,0,MATCH(N$2,Inputs!$D$2:$AG$2,0)),Inputs!$B$4:$B$150,$B41)/1000)</f>
        <v>0</v>
      </c>
      <c r="O41" s="11">
        <f>IF(O$3=0,"",SUMIFS(INDEX(Inputs!$D$4:$AG$150,0,MATCH(O$2,Inputs!$D$2:$AG$2,0)),Inputs!$B$4:$B$150,$B41)/1000)</f>
        <v>0</v>
      </c>
      <c r="P41" s="11">
        <f>IF(P$3=0,"",SUMIFS(INDEX(Inputs!$D$4:$AG$150,0,MATCH(P$2,Inputs!$D$2:$AG$2,0)),Inputs!$B$4:$B$150,$B41)/1000)</f>
        <v>0</v>
      </c>
      <c r="Q41" s="11">
        <f>IF(Q$3=0,"",SUMIFS(INDEX(Inputs!$D$4:$AG$150,0,MATCH(Q$2,Inputs!$D$2:$AG$2,0)),Inputs!$B$4:$B$150,$B41)/1000)</f>
        <v>0</v>
      </c>
      <c r="R41" s="12">
        <f>IF(Q41="","",Q41)</f>
        <v>0</v>
      </c>
      <c r="S41" s="11">
        <f>IF(S$3=0,"",SUMIFS(INDEX(Inputs!$D$4:$AG$150,0,MATCH(S$2,Inputs!$D$2:$AG$2,0)),Inputs!$B$4:$B$150,$B41)/1000)</f>
        <v>0</v>
      </c>
      <c r="T41" s="11">
        <f>IF(T$3=0,"",SUMIFS(INDEX(Inputs!$D$4:$AG$150,0,MATCH(T$2,Inputs!$D$2:$AG$2,0)),Inputs!$B$4:$B$150,$B41)/1000)</f>
        <v>0</v>
      </c>
      <c r="U41" s="11">
        <f>IF(U$3=0,"",SUMIFS(INDEX(Inputs!$D$4:$AG$150,0,MATCH(U$2,Inputs!$D$2:$AG$2,0)),Inputs!$B$4:$B$150,$B41)/1000)</f>
        <v>0</v>
      </c>
      <c r="V41" s="11">
        <f>IF(V$3=0,"",SUMIFS(INDEX(Inputs!$D$4:$AG$150,0,MATCH(V$2,Inputs!$D$2:$AG$2,0)),Inputs!$B$4:$B$150,$B41)/1000)</f>
        <v>0</v>
      </c>
      <c r="W41" s="12">
        <f>IF(V41="","",V41)</f>
        <v>0</v>
      </c>
      <c r="X41" s="11">
        <f>IF(X$3=0,"",SUMIFS(INDEX(Inputs!$D$4:$AG$150,0,MATCH(X$2,Inputs!$D$2:$AG$2,0)),Inputs!$B$4:$B$150,$B41)/1000)</f>
        <v>0</v>
      </c>
      <c r="Y41" s="11">
        <f>IF(Y$3=0,"",SUMIFS(INDEX(Inputs!$D$4:$AG$150,0,MATCH(Y$2,Inputs!$D$2:$AG$2,0)),Inputs!$B$4:$B$150,$B41)/1000)</f>
        <v>0</v>
      </c>
      <c r="Z41" s="11">
        <f>IF(Z$3=0,"",SUMIFS(INDEX(Inputs!$D$4:$AG$150,0,MATCH(Z$2,Inputs!$D$2:$AG$2,0)),Inputs!$B$4:$B$150,$B41)/1000)</f>
        <v>0</v>
      </c>
      <c r="AA41" s="11">
        <f>IF(AA$3=0,"",SUMIFS(INDEX(Inputs!$D$4:$AG$150,0,MATCH(AA$2,Inputs!$D$2:$AG$2,0)),Inputs!$B$4:$B$150,$B41)/1000)</f>
        <v>0</v>
      </c>
      <c r="AB41" s="12">
        <f>IF(AA41="","",AA41)</f>
        <v>0</v>
      </c>
      <c r="AC41" s="11">
        <f>IF(AC$3=0,"",SUMIFS(INDEX(Inputs!$D$4:$AG$150,0,MATCH(AC$2,Inputs!$D$2:$AG$2,0)),Inputs!$B$4:$B$150,$B41)/1000)</f>
        <v>0</v>
      </c>
      <c r="AD41" s="11">
        <f>IF(AD$3=0,"",SUMIFS(INDEX(Inputs!$D$4:$AG$150,0,MATCH(AD$2,Inputs!$D$2:$AG$2,0)),Inputs!$B$4:$B$150,$B41)/1000)</f>
        <v>0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18505</v>
      </c>
      <c r="E43" s="11">
        <f>IF(E$3=0,"",SUMIFS(INDEX(Inputs!$D$4:$AG$150,0,MATCH(E$2,Inputs!$D$2:$AG$2,0)),Inputs!$B$4:$B$150,$B43)/1000)</f>
        <v>18787</v>
      </c>
      <c r="F43" s="11">
        <f>IF(F$3=0,"",SUMIFS(INDEX(Inputs!$D$4:$AG$150,0,MATCH(F$2,Inputs!$D$2:$AG$2,0)),Inputs!$B$4:$B$150,$B43)/1000)</f>
        <v>18855</v>
      </c>
      <c r="G43" s="11">
        <f>IF(G$3=0,"",SUMIFS(INDEX(Inputs!$D$4:$AG$150,0,MATCH(G$2,Inputs!$D$2:$AG$2,0)),Inputs!$B$4:$B$150,$B43)/1000)</f>
        <v>18776</v>
      </c>
      <c r="H43" s="12">
        <f>IF(G43="","",G43)</f>
        <v>18776</v>
      </c>
      <c r="I43" s="11">
        <f>IF(I$3=0,"",SUMIFS(INDEX(Inputs!$D$4:$AG$150,0,MATCH(I$2,Inputs!$D$2:$AG$2,0)),Inputs!$B$4:$B$150,$B43)/1000)</f>
        <v>18876</v>
      </c>
      <c r="J43" s="11">
        <f>IF(J$3=0,"",SUMIFS(INDEX(Inputs!$D$4:$AG$150,0,MATCH(J$2,Inputs!$D$2:$AG$2,0)),Inputs!$B$4:$B$150,$B43)/1000)</f>
        <v>18962</v>
      </c>
      <c r="K43" s="11">
        <f>IF(K$3=0,"",SUMIFS(INDEX(Inputs!$D$4:$AG$150,0,MATCH(K$2,Inputs!$D$2:$AG$2,0)),Inputs!$B$4:$B$150,$B43)/1000)</f>
        <v>19545</v>
      </c>
      <c r="L43" s="11">
        <f>IF(L$3=0,"",SUMIFS(INDEX(Inputs!$D$4:$AG$150,0,MATCH(L$2,Inputs!$D$2:$AG$2,0)),Inputs!$B$4:$B$150,$B43)/1000)</f>
        <v>19827</v>
      </c>
      <c r="M43" s="12">
        <f>IF(L43="","",L43)</f>
        <v>19827</v>
      </c>
      <c r="N43" s="11">
        <f>IF(N$3=0,"",SUMIFS(INDEX(Inputs!$D$4:$AG$150,0,MATCH(N$2,Inputs!$D$2:$AG$2,0)),Inputs!$B$4:$B$150,$B43)/1000)</f>
        <v>20095</v>
      </c>
      <c r="O43" s="11">
        <f>IF(O$3=0,"",SUMIFS(INDEX(Inputs!$D$4:$AG$150,0,MATCH(O$2,Inputs!$D$2:$AG$2,0)),Inputs!$B$4:$B$150,$B43)/1000)</f>
        <v>20290</v>
      </c>
      <c r="P43" s="11">
        <f>IF(P$3=0,"",SUMIFS(INDEX(Inputs!$D$4:$AG$150,0,MATCH(P$2,Inputs!$D$2:$AG$2,0)),Inputs!$B$4:$B$150,$B43)/1000)</f>
        <v>20452</v>
      </c>
      <c r="Q43" s="11">
        <f>IF(Q$3=0,"",SUMIFS(INDEX(Inputs!$D$4:$AG$150,0,MATCH(Q$2,Inputs!$D$2:$AG$2,0)),Inputs!$B$4:$B$150,$B43)/1000)</f>
        <v>20490</v>
      </c>
      <c r="R43" s="12">
        <f>IF(Q43="","",Q43)</f>
        <v>20490</v>
      </c>
      <c r="S43" s="11">
        <f>IF(S$3=0,"",SUMIFS(INDEX(Inputs!$D$4:$AG$150,0,MATCH(S$2,Inputs!$D$2:$AG$2,0)),Inputs!$B$4:$B$150,$B43)/1000)</f>
        <v>20709</v>
      </c>
      <c r="T43" s="11">
        <f>IF(T$3=0,"",SUMIFS(INDEX(Inputs!$D$4:$AG$150,0,MATCH(T$2,Inputs!$D$2:$AG$2,0)),Inputs!$B$4:$B$150,$B43)/1000)</f>
        <v>20832</v>
      </c>
      <c r="U43" s="11">
        <f>IF(U$3=0,"",SUMIFS(INDEX(Inputs!$D$4:$AG$150,0,MATCH(U$2,Inputs!$D$2:$AG$2,0)),Inputs!$B$4:$B$150,$B43)/1000)</f>
        <v>21229</v>
      </c>
      <c r="V43" s="11">
        <f>IF(V$3=0,"",SUMIFS(INDEX(Inputs!$D$4:$AG$150,0,MATCH(V$2,Inputs!$D$2:$AG$2,0)),Inputs!$B$4:$B$150,$B43)/1000)</f>
        <v>21324</v>
      </c>
      <c r="W43" s="12">
        <f>IF(V43="","",V43)</f>
        <v>21324</v>
      </c>
      <c r="X43" s="11">
        <f>IF(X$3=0,"",SUMIFS(INDEX(Inputs!$D$4:$AG$150,0,MATCH(X$2,Inputs!$D$2:$AG$2,0)),Inputs!$B$4:$B$150,$B43)/1000)</f>
        <v>21579</v>
      </c>
      <c r="Y43" s="11">
        <f>IF(Y$3=0,"",SUMIFS(INDEX(Inputs!$D$4:$AG$150,0,MATCH(Y$2,Inputs!$D$2:$AG$2,0)),Inputs!$B$4:$B$150,$B43)/1000)</f>
        <v>21746</v>
      </c>
      <c r="Z43" s="11">
        <f>IF(Z$3=0,"",SUMIFS(INDEX(Inputs!$D$4:$AG$150,0,MATCH(Z$2,Inputs!$D$2:$AG$2,0)),Inputs!$B$4:$B$150,$B43)/1000)</f>
        <v>21934</v>
      </c>
      <c r="AA43" s="11">
        <f>IF(AA$3=0,"",SUMIFS(INDEX(Inputs!$D$4:$AG$150,0,MATCH(AA$2,Inputs!$D$2:$AG$2,0)),Inputs!$B$4:$B$150,$B43)/1000)</f>
        <v>21980</v>
      </c>
      <c r="AB43" s="12">
        <f>IF(AA43="","",AA43)</f>
        <v>21980</v>
      </c>
      <c r="AC43" s="11">
        <f>IF(AC$3=0,"",SUMIFS(INDEX(Inputs!$D$4:$AG$150,0,MATCH(AC$2,Inputs!$D$2:$AG$2,0)),Inputs!$B$4:$B$150,$B43)/1000)</f>
        <v>22033</v>
      </c>
      <c r="AD43" s="11">
        <f>IF(AD$3=0,"",SUMIFS(INDEX(Inputs!$D$4:$AG$150,0,MATCH(AD$2,Inputs!$D$2:$AG$2,0)),Inputs!$B$4:$B$150,$B43)/1000)</f>
        <v>22168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372</v>
      </c>
      <c r="E45" s="11">
        <f>IF(E$3=0,"",SUMIFS(INDEX(Inputs!$D$4:$AG$150,0,MATCH(E$2,Inputs!$D$2:$AG$2,0)),Inputs!$B$4:$B$150,$B45)/1000)</f>
        <v>601</v>
      </c>
      <c r="F45" s="11">
        <f>IF(F$3=0,"",SUMIFS(INDEX(Inputs!$D$4:$AG$150,0,MATCH(F$2,Inputs!$D$2:$AG$2,0)),Inputs!$B$4:$B$150,$B45)/1000)</f>
        <v>436</v>
      </c>
      <c r="G45" s="11">
        <f>IF(G$3=0,"",SUMIFS(INDEX(Inputs!$D$4:$AG$150,0,MATCH(G$2,Inputs!$D$2:$AG$2,0)),Inputs!$B$4:$B$150,$B45)/1000)</f>
        <v>-72</v>
      </c>
      <c r="H45" s="12">
        <f>IF(G45="","",G45)</f>
        <v>-72</v>
      </c>
      <c r="I45" s="11">
        <f>IF(I$3=0,"",SUMIFS(INDEX(Inputs!$D$4:$AG$150,0,MATCH(I$2,Inputs!$D$2:$AG$2,0)),Inputs!$B$4:$B$150,$B45)/1000)</f>
        <v>-405</v>
      </c>
      <c r="J45" s="11">
        <f>IF(J$3=0,"",SUMIFS(INDEX(Inputs!$D$4:$AG$150,0,MATCH(J$2,Inputs!$D$2:$AG$2,0)),Inputs!$B$4:$B$150,$B45)/1000)</f>
        <v>-1267</v>
      </c>
      <c r="K45" s="11">
        <f>IF(K$3=0,"",SUMIFS(INDEX(Inputs!$D$4:$AG$150,0,MATCH(K$2,Inputs!$D$2:$AG$2,0)),Inputs!$B$4:$B$150,$B45)/1000)</f>
        <v>-2369</v>
      </c>
      <c r="L45" s="11">
        <f>IF(L$3=0,"",SUMIFS(INDEX(Inputs!$D$4:$AG$150,0,MATCH(L$2,Inputs!$D$2:$AG$2,0)),Inputs!$B$4:$B$150,$B45)/1000)</f>
        <v>-1259</v>
      </c>
      <c r="M45" s="12">
        <f>IF(L45="","",L45)</f>
        <v>-1259</v>
      </c>
      <c r="N45" s="11">
        <f>IF(N$3=0,"",SUMIFS(INDEX(Inputs!$D$4:$AG$150,0,MATCH(N$2,Inputs!$D$2:$AG$2,0)),Inputs!$B$4:$B$150,$B45)/1000)</f>
        <v>-990</v>
      </c>
      <c r="O45" s="11">
        <f>IF(O$3=0,"",SUMIFS(INDEX(Inputs!$D$4:$AG$150,0,MATCH(O$2,Inputs!$D$2:$AG$2,0)),Inputs!$B$4:$B$150,$B45)/1000)</f>
        <v>-978</v>
      </c>
      <c r="P45" s="11">
        <f>IF(P$3=0,"",SUMIFS(INDEX(Inputs!$D$4:$AG$150,0,MATCH(P$2,Inputs!$D$2:$AG$2,0)),Inputs!$B$4:$B$150,$B45)/1000)</f>
        <v>-1317</v>
      </c>
      <c r="Q45" s="11">
        <f>IF(Q$3=0,"",SUMIFS(INDEX(Inputs!$D$4:$AG$150,0,MATCH(Q$2,Inputs!$D$2:$AG$2,0)),Inputs!$B$4:$B$150,$B45)/1000)</f>
        <v>-655</v>
      </c>
      <c r="R45" s="12">
        <f>IF(Q45="","",Q45)</f>
        <v>-655</v>
      </c>
      <c r="S45" s="11">
        <f>IF(S$3=0,"",SUMIFS(INDEX(Inputs!$D$4:$AG$150,0,MATCH(S$2,Inputs!$D$2:$AG$2,0)),Inputs!$B$4:$B$150,$B45)/1000)</f>
        <v>-998</v>
      </c>
      <c r="T45" s="11">
        <f>IF(T$3=0,"",SUMIFS(INDEX(Inputs!$D$4:$AG$150,0,MATCH(T$2,Inputs!$D$2:$AG$2,0)),Inputs!$B$4:$B$150,$B45)/1000)</f>
        <v>-1060</v>
      </c>
      <c r="U45" s="11">
        <f>IF(U$3=0,"",SUMIFS(INDEX(Inputs!$D$4:$AG$150,0,MATCH(U$2,Inputs!$D$2:$AG$2,0)),Inputs!$B$4:$B$150,$B45)/1000)</f>
        <v>-308</v>
      </c>
      <c r="V45" s="11">
        <f>IF(V$3=0,"",SUMIFS(INDEX(Inputs!$D$4:$AG$150,0,MATCH(V$2,Inputs!$D$2:$AG$2,0)),Inputs!$B$4:$B$150,$B45)/1000)</f>
        <v>-1247</v>
      </c>
      <c r="W45" s="12">
        <f>IF(V45="","",V45)</f>
        <v>-1247</v>
      </c>
      <c r="X45" s="11">
        <f>IF(X$3=0,"",SUMIFS(INDEX(Inputs!$D$4:$AG$150,0,MATCH(X$2,Inputs!$D$2:$AG$2,0)),Inputs!$B$4:$B$150,$B45)/1000)</f>
        <v>-827</v>
      </c>
      <c r="Y45" s="11">
        <f>IF(Y$3=0,"",SUMIFS(INDEX(Inputs!$D$4:$AG$150,0,MATCH(Y$2,Inputs!$D$2:$AG$2,0)),Inputs!$B$4:$B$150,$B45)/1000)</f>
        <v>209</v>
      </c>
      <c r="Z45" s="11">
        <f>IF(Z$3=0,"",SUMIFS(INDEX(Inputs!$D$4:$AG$150,0,MATCH(Z$2,Inputs!$D$2:$AG$2,0)),Inputs!$B$4:$B$150,$B45)/1000)</f>
        <v>0</v>
      </c>
      <c r="AA45" s="11">
        <f>IF(AA$3=0,"",SUMIFS(INDEX(Inputs!$D$4:$AG$150,0,MATCH(AA$2,Inputs!$D$2:$AG$2,0)),Inputs!$B$4:$B$150,$B45)/1000)</f>
        <v>247</v>
      </c>
      <c r="AB45" s="12">
        <f>IF(AA45="","",AA45)</f>
        <v>247</v>
      </c>
      <c r="AC45" s="11">
        <f>IF(AC$3=0,"",SUMIFS(INDEX(Inputs!$D$4:$AG$150,0,MATCH(AC$2,Inputs!$D$2:$AG$2,0)),Inputs!$B$4:$B$150,$B45)/1000)</f>
        <v>22</v>
      </c>
      <c r="AD45" s="11">
        <f>IF(AD$3=0,"",SUMIFS(INDEX(Inputs!$D$4:$AG$150,0,MATCH(AD$2,Inputs!$D$2:$AG$2,0)),Inputs!$B$4:$B$150,$B45)/1000)</f>
        <v>-146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3306</v>
      </c>
      <c r="E46" s="11">
        <f>IF(E$3=0,"",SUMIFS(INDEX(Inputs!$D$4:$AG$150,0,MATCH(E$2,Inputs!$D$2:$AG$2,0)),Inputs!$B$4:$B$150,$B46)/1000)</f>
        <v>3108</v>
      </c>
      <c r="F46" s="11">
        <f>IF(F$3=0,"",SUMIFS(INDEX(Inputs!$D$4:$AG$150,0,MATCH(F$2,Inputs!$D$2:$AG$2,0)),Inputs!$B$4:$B$150,$B46)/1000)</f>
        <v>2947</v>
      </c>
      <c r="G46" s="11">
        <f>IF(G$3=0,"",SUMIFS(INDEX(Inputs!$D$4:$AG$150,0,MATCH(G$2,Inputs!$D$2:$AG$2,0)),Inputs!$B$4:$B$150,$B46)/1000)</f>
        <v>2884</v>
      </c>
      <c r="H46" s="12">
        <f>IF(G46="","",G46)</f>
        <v>2884</v>
      </c>
      <c r="I46" s="11">
        <f>IF(I$3=0,"",SUMIFS(INDEX(Inputs!$D$4:$AG$150,0,MATCH(I$2,Inputs!$D$2:$AG$2,0)),Inputs!$B$4:$B$150,$B46)/1000)</f>
        <v>2867</v>
      </c>
      <c r="J46" s="11">
        <f>IF(J$3=0,"",SUMIFS(INDEX(Inputs!$D$4:$AG$150,0,MATCH(J$2,Inputs!$D$2:$AG$2,0)),Inputs!$B$4:$B$150,$B46)/1000)</f>
        <v>2828</v>
      </c>
      <c r="K46" s="11">
        <f>IF(K$3=0,"",SUMIFS(INDEX(Inputs!$D$4:$AG$150,0,MATCH(K$2,Inputs!$D$2:$AG$2,0)),Inputs!$B$4:$B$150,$B46)/1000)</f>
        <v>2289</v>
      </c>
      <c r="L46" s="11">
        <f>IF(L$3=0,"",SUMIFS(INDEX(Inputs!$D$4:$AG$150,0,MATCH(L$2,Inputs!$D$2:$AG$2,0)),Inputs!$B$4:$B$150,$B46)/1000)</f>
        <v>1953</v>
      </c>
      <c r="M46" s="12">
        <f>IF(L46="","",L46)</f>
        <v>1953</v>
      </c>
      <c r="N46" s="11">
        <f>IF(N$3=0,"",SUMIFS(INDEX(Inputs!$D$4:$AG$150,0,MATCH(N$2,Inputs!$D$2:$AG$2,0)),Inputs!$B$4:$B$150,$B46)/1000)</f>
        <v>1850</v>
      </c>
      <c r="O46" s="11">
        <f>IF(O$3=0,"",SUMIFS(INDEX(Inputs!$D$4:$AG$150,0,MATCH(O$2,Inputs!$D$2:$AG$2,0)),Inputs!$B$4:$B$150,$B46)/1000)</f>
        <v>1761</v>
      </c>
      <c r="P46" s="11">
        <f>IF(P$3=0,"",SUMIFS(INDEX(Inputs!$D$4:$AG$150,0,MATCH(P$2,Inputs!$D$2:$AG$2,0)),Inputs!$B$4:$B$150,$B46)/1000)</f>
        <v>1558</v>
      </c>
      <c r="Q46" s="11">
        <f>IF(Q$3=0,"",SUMIFS(INDEX(Inputs!$D$4:$AG$150,0,MATCH(Q$2,Inputs!$D$2:$AG$2,0)),Inputs!$B$4:$B$150,$B46)/1000)</f>
        <v>1476</v>
      </c>
      <c r="R46" s="12">
        <f>IF(Q46="","",Q46)</f>
        <v>1476</v>
      </c>
      <c r="S46" s="11">
        <f>IF(S$3=0,"",SUMIFS(INDEX(Inputs!$D$4:$AG$150,0,MATCH(S$2,Inputs!$D$2:$AG$2,0)),Inputs!$B$4:$B$150,$B46)/1000)</f>
        <v>1427</v>
      </c>
      <c r="T46" s="11">
        <f>IF(T$3=0,"",SUMIFS(INDEX(Inputs!$D$4:$AG$150,0,MATCH(T$2,Inputs!$D$2:$AG$2,0)),Inputs!$B$4:$B$150,$B46)/1000)</f>
        <v>1379</v>
      </c>
      <c r="U46" s="11">
        <f>IF(U$3=0,"",SUMIFS(INDEX(Inputs!$D$4:$AG$150,0,MATCH(U$2,Inputs!$D$2:$AG$2,0)),Inputs!$B$4:$B$150,$B46)/1000)</f>
        <v>927</v>
      </c>
      <c r="V46" s="11">
        <f>IF(V$3=0,"",SUMIFS(INDEX(Inputs!$D$4:$AG$150,0,MATCH(V$2,Inputs!$D$2:$AG$2,0)),Inputs!$B$4:$B$150,$B46)/1000)</f>
        <v>781</v>
      </c>
      <c r="W46" s="12">
        <f>IF(V46="","",V46)</f>
        <v>781</v>
      </c>
      <c r="X46" s="11">
        <f>IF(X$3=0,"",SUMIFS(INDEX(Inputs!$D$4:$AG$150,0,MATCH(X$2,Inputs!$D$2:$AG$2,0)),Inputs!$B$4:$B$150,$B46)/1000)</f>
        <v>760</v>
      </c>
      <c r="Y46" s="11">
        <f>IF(Y$3=0,"",SUMIFS(INDEX(Inputs!$D$4:$AG$150,0,MATCH(Y$2,Inputs!$D$2:$AG$2,0)),Inputs!$B$4:$B$150,$B46)/1000)</f>
        <v>753</v>
      </c>
      <c r="Z46" s="11">
        <f>IF(Z$3=0,"",SUMIFS(INDEX(Inputs!$D$4:$AG$150,0,MATCH(Z$2,Inputs!$D$2:$AG$2,0)),Inputs!$B$4:$B$150,$B46)/1000)</f>
        <v>869</v>
      </c>
      <c r="AA46" s="11">
        <f>IF(AA$3=0,"",SUMIFS(INDEX(Inputs!$D$4:$AG$150,0,MATCH(AA$2,Inputs!$D$2:$AG$2,0)),Inputs!$B$4:$B$150,$B46)/1000)</f>
        <v>532</v>
      </c>
      <c r="AB46" s="12">
        <f>IF(AA46="","",AA46)</f>
        <v>532</v>
      </c>
      <c r="AC46" s="11">
        <f>IF(AC$3=0,"",SUMIFS(INDEX(Inputs!$D$4:$AG$150,0,MATCH(AC$2,Inputs!$D$2:$AG$2,0)),Inputs!$B$4:$B$150,$B46)/1000)</f>
        <v>484</v>
      </c>
      <c r="AD46" s="11">
        <f>IF(AD$3=0,"",SUMIFS(INDEX(Inputs!$D$4:$AG$150,0,MATCH(AD$2,Inputs!$D$2:$AG$2,0)),Inputs!$B$4:$B$150,$B46)/1000)</f>
        <v>403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15513</v>
      </c>
      <c r="E47" s="11">
        <f>IF(E$3=0,"",SUMIFS(INDEX(Inputs!$D$4:$AG$150,0,MATCH(E$2,Inputs!$D$2:$AG$2,0)),Inputs!$B$4:$B$150,$B47)/1000)</f>
        <v>15294</v>
      </c>
      <c r="F47" s="11">
        <f>IF(F$3=0,"",SUMIFS(INDEX(Inputs!$D$4:$AG$150,0,MATCH(F$2,Inputs!$D$2:$AG$2,0)),Inputs!$B$4:$B$150,$B47)/1000)</f>
        <v>15351</v>
      </c>
      <c r="G47" s="11">
        <f>IF(G$3=0,"",SUMIFS(INDEX(Inputs!$D$4:$AG$150,0,MATCH(G$2,Inputs!$D$2:$AG$2,0)),Inputs!$B$4:$B$150,$B47)/1000)</f>
        <v>14606</v>
      </c>
      <c r="H47" s="12">
        <f>IF(G47="","",G47)</f>
        <v>14606</v>
      </c>
      <c r="I47" s="11">
        <f>IF(I$3=0,"",SUMIFS(INDEX(Inputs!$D$4:$AG$150,0,MATCH(I$2,Inputs!$D$2:$AG$2,0)),Inputs!$B$4:$B$150,$B47)/1000)</f>
        <v>14651</v>
      </c>
      <c r="J47" s="11">
        <f>IF(J$3=0,"",SUMIFS(INDEX(Inputs!$D$4:$AG$150,0,MATCH(J$2,Inputs!$D$2:$AG$2,0)),Inputs!$B$4:$B$150,$B47)/1000)</f>
        <v>14960</v>
      </c>
      <c r="K47" s="11">
        <f>IF(K$3=0,"",SUMIFS(INDEX(Inputs!$D$4:$AG$150,0,MATCH(K$2,Inputs!$D$2:$AG$2,0)),Inputs!$B$4:$B$150,$B47)/1000)</f>
        <v>16116</v>
      </c>
      <c r="L47" s="11">
        <f>IF(L$3=0,"",SUMIFS(INDEX(Inputs!$D$4:$AG$150,0,MATCH(L$2,Inputs!$D$2:$AG$2,0)),Inputs!$B$4:$B$150,$B47)/1000)</f>
        <v>16403</v>
      </c>
      <c r="M47" s="12">
        <f>IF(L47="","",L47)</f>
        <v>16403</v>
      </c>
      <c r="N47" s="11">
        <f>IF(N$3=0,"",SUMIFS(INDEX(Inputs!$D$4:$AG$150,0,MATCH(N$2,Inputs!$D$2:$AG$2,0)),Inputs!$B$4:$B$150,$B47)/1000)</f>
        <v>17610</v>
      </c>
      <c r="O47" s="11">
        <f>IF(O$3=0,"",SUMIFS(INDEX(Inputs!$D$4:$AG$150,0,MATCH(O$2,Inputs!$D$2:$AG$2,0)),Inputs!$B$4:$B$150,$B47)/1000)</f>
        <v>17908</v>
      </c>
      <c r="P47" s="11">
        <f>IF(P$3=0,"",SUMIFS(INDEX(Inputs!$D$4:$AG$150,0,MATCH(P$2,Inputs!$D$2:$AG$2,0)),Inputs!$B$4:$B$150,$B47)/1000)</f>
        <v>18040</v>
      </c>
      <c r="Q47" s="11">
        <f>IF(Q$3=0,"",SUMIFS(INDEX(Inputs!$D$4:$AG$150,0,MATCH(Q$2,Inputs!$D$2:$AG$2,0)),Inputs!$B$4:$B$150,$B47)/1000)</f>
        <v>18422</v>
      </c>
      <c r="R47" s="12">
        <f>IF(Q47="","",Q47)</f>
        <v>18422</v>
      </c>
      <c r="S47" s="11">
        <f>IF(S$3=0,"",SUMIFS(INDEX(Inputs!$D$4:$AG$150,0,MATCH(S$2,Inputs!$D$2:$AG$2,0)),Inputs!$B$4:$B$150,$B47)/1000)</f>
        <v>19347</v>
      </c>
      <c r="T47" s="11">
        <f>IF(T$3=0,"",SUMIFS(INDEX(Inputs!$D$4:$AG$150,0,MATCH(T$2,Inputs!$D$2:$AG$2,0)),Inputs!$B$4:$B$150,$B47)/1000)</f>
        <v>18578</v>
      </c>
      <c r="U47" s="11">
        <f>IF(U$3=0,"",SUMIFS(INDEX(Inputs!$D$4:$AG$150,0,MATCH(U$2,Inputs!$D$2:$AG$2,0)),Inputs!$B$4:$B$150,$B47)/1000)</f>
        <v>17289</v>
      </c>
      <c r="V47" s="11">
        <f>IF(V$3=0,"",SUMIFS(INDEX(Inputs!$D$4:$AG$150,0,MATCH(V$2,Inputs!$D$2:$AG$2,0)),Inputs!$B$4:$B$150,$B47)/1000)</f>
        <v>17438</v>
      </c>
      <c r="W47" s="12">
        <f>IF(V47="","",V47)</f>
        <v>17438</v>
      </c>
      <c r="X47" s="11">
        <f>IF(X$3=0,"",SUMIFS(INDEX(Inputs!$D$4:$AG$150,0,MATCH(X$2,Inputs!$D$2:$AG$2,0)),Inputs!$B$4:$B$150,$B47)/1000)</f>
        <v>16518</v>
      </c>
      <c r="Y47" s="11">
        <f>IF(Y$3=0,"",SUMIFS(INDEX(Inputs!$D$4:$AG$150,0,MATCH(Y$2,Inputs!$D$2:$AG$2,0)),Inputs!$B$4:$B$150,$B47)/1000)</f>
        <v>15956</v>
      </c>
      <c r="Z47" s="11">
        <f>IF(Z$3=0,"",SUMIFS(INDEX(Inputs!$D$4:$AG$150,0,MATCH(Z$2,Inputs!$D$2:$AG$2,0)),Inputs!$B$4:$B$150,$B47)/1000)</f>
        <v>15106</v>
      </c>
      <c r="AA47" s="11">
        <f>IF(AA$3=0,"",SUMIFS(INDEX(Inputs!$D$4:$AG$150,0,MATCH(AA$2,Inputs!$D$2:$AG$2,0)),Inputs!$B$4:$B$150,$B47)/1000)</f>
        <v>16018</v>
      </c>
      <c r="AB47" s="12">
        <f>IF(AA47="","",AA47)</f>
        <v>16018</v>
      </c>
      <c r="AC47" s="11">
        <f>IF(AC$3=0,"",SUMIFS(INDEX(Inputs!$D$4:$AG$150,0,MATCH(AC$2,Inputs!$D$2:$AG$2,0)),Inputs!$B$4:$B$150,$B47)/1000)</f>
        <v>13122</v>
      </c>
      <c r="AD47" s="11">
        <f>IF(AD$3=0,"",SUMIFS(INDEX(Inputs!$D$4:$AG$150,0,MATCH(AD$2,Inputs!$D$2:$AG$2,0)),Inputs!$B$4:$B$150,$B47)/1000)</f>
        <v>12753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3026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2575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3584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3959</v>
      </c>
      <c r="H50" s="12">
        <f>IF(COUNT(D50:G50)=4,SUM(D50:G50),"")</f>
        <v>13144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3647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3411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3940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4179</v>
      </c>
      <c r="M50" s="12">
        <f>IF(COUNT(I50:L50)=4,SUM(I50:L50),"")</f>
        <v>15177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4257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4156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4681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4890</v>
      </c>
      <c r="R50" s="12">
        <f>IF(COUNT(N50:Q50)=4,SUM(N50:Q50),"")</f>
        <v>17984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4663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4872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5318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5119</v>
      </c>
      <c r="W50" s="12">
        <f>IF(COUNT(S50:V50)=4,SUM(S50:V50),"")</f>
        <v>19972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4577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5272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5090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5853</v>
      </c>
      <c r="AB50" s="12">
        <f>IF(COUNT(X50:AA50)=4,SUM(X50:AA50),"")</f>
        <v>20792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6021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5628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de serviços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2845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2828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3125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3193</v>
      </c>
      <c r="H53" s="12">
        <f>IF(COUNT(D53:G53)=4,SUM(D53:G53),"")</f>
        <v>11991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3521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3189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3458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3511</v>
      </c>
      <c r="M53" s="12">
        <f>IF(COUNT(I53:L53)=4,SUM(I53:L53),"")</f>
        <v>13679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3771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3668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3876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3915</v>
      </c>
      <c r="R53" s="12">
        <f>IF(COUNT(N53:Q53)=4,SUM(N53:Q53),"")</f>
        <v>15230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4033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3967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4199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4208</v>
      </c>
      <c r="W53" s="12">
        <f>IF(COUNT(S53:V53)=4,SUM(S53:V53),"")</f>
        <v>16407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4399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4330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4602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4760</v>
      </c>
      <c r="AB53" s="12">
        <f>IF(COUNT(X53:AA53)=4,SUM(X53:AA53),"")</f>
        <v>18091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4981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4922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de processamento de dados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2996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3327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3436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3614</v>
      </c>
      <c r="H54" s="12">
        <f>IF(COUNT(D54:G54)=4,SUM(D54:G54),"")</f>
        <v>13373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3480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3579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3765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3827</v>
      </c>
      <c r="M54" s="12">
        <f>IF(COUNT(I54:L54)=4,SUM(I54:L54),"")</f>
        <v>14651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3819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4105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4256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4356</v>
      </c>
      <c r="R54" s="12">
        <f>IF(COUNT(N54:Q54)=4,SUM(N54:Q54),"")</f>
        <v>16536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4259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4489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4610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4745</v>
      </c>
      <c r="W54" s="12">
        <f>IF(COUNT(S54:V54)=4,SUM(S54:V54),"")</f>
        <v>18103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4701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5153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5394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5544</v>
      </c>
      <c r="AB54" s="12">
        <f>IF(COUNT(X54:AA54)=4,SUM(X54:AA54),"")</f>
        <v>20792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5543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6042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de transações internacionais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1488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1696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1895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2174</v>
      </c>
      <c r="H55" s="12">
        <f>IF(COUNT(D55:G55)=4,SUM(D55:G55),"")</f>
        <v>7253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2208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2560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2873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2797</v>
      </c>
      <c r="M55" s="12">
        <f>IF(COUNT(I55:L55)=4,SUM(I55:L55),"")</f>
        <v>10438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2749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2920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3172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3019</v>
      </c>
      <c r="R55" s="12">
        <f>IF(COUNT(N55:Q55)=4,SUM(N55:Q55),"")</f>
        <v>11860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2984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3194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3468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3442</v>
      </c>
      <c r="W55" s="12">
        <f>IF(COUNT(S55:V55)=4,SUM(S55:V55),"")</f>
        <v>13088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3291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3633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3800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3652</v>
      </c>
      <c r="AB55" s="12">
        <f>IF(COUNT(X55:AA55)=4,SUM(X55:AA55),"")</f>
        <v>14376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3631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3853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Outras receitas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392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409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490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449</v>
      </c>
      <c r="H56" s="12">
        <f>IF(COUNT(D56:G56)=4,SUM(D56:G56),"")</f>
        <v>1740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474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517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551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587</v>
      </c>
      <c r="M56" s="12">
        <f>IF(COUNT(I56:L56)=4,SUM(I56:L56),"")</f>
        <v>2129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551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597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744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692</v>
      </c>
      <c r="R56" s="12">
        <f>IF(COUNT(N56:Q56)=4,SUM(N56:Q56),"")</f>
        <v>2584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756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780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969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912</v>
      </c>
      <c r="W56" s="12">
        <f>IF(COUNT(S56:V56)=4,SUM(S56:V56),"")</f>
        <v>3417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937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1028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1176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1214</v>
      </c>
      <c r="AB56" s="12">
        <f>IF(COUNT(X56:AA56)=4,SUM(X56:AA56),"")</f>
        <v>4355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1320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1496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Incentivos a clientes (USD, negativo)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-1992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-2130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-2387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-2371</v>
      </c>
      <c r="H57" s="12">
        <f>IF(COUNT(D57:G57)=4,SUM(D57:G57),"")</f>
        <v>-8880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-2494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-2570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-2860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-2786</v>
      </c>
      <c r="M57" s="12">
        <f>IF(COUNT(I57:L57)=4,SUM(I57:L57),"")</f>
        <v>-10710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-2905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-3167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-3439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-3348</v>
      </c>
      <c r="R57" s="12">
        <f>IF(COUNT(N57:Q57)=4,SUM(N57:Q57),"")</f>
        <v>-12859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-3257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-3530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-3629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-3797</v>
      </c>
      <c r="W57" s="12">
        <f>IF(COUNT(S57:V57)=4,SUM(S57:V57),"")</f>
        <v>-14213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-3734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-3972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-4248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-4269</v>
      </c>
      <c r="AB57" s="12">
        <f>IF(COUNT(X57:AA57)=4,SUM(X57:AA57),"")</f>
        <v>-16223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-4245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-4680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Receita EUA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2683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2806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3004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3178</v>
      </c>
      <c r="H58" s="12">
        <f>IF(COUNT(D58:G58)=4,SUM(D58:G58),"")</f>
        <v>11671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3079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3170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3424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3567</v>
      </c>
      <c r="M58" s="12">
        <f>IF(COUNT(I58:L58)=4,SUM(I58:L58),"")</f>
        <v>13240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3540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3443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3588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3645</v>
      </c>
      <c r="R58" s="12">
        <f>IF(COUNT(N58:Q58)=4,SUM(N58:Q58),"")</f>
        <v>14216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3643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3621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3871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3738</v>
      </c>
      <c r="W58" s="12">
        <f>IF(COUNT(S58:V58)=4,SUM(S58:V58),"")</f>
        <v>14873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3811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3927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4157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4163</v>
      </c>
      <c r="AB58" s="12">
        <f>IF(COUNT(X58:AA58)=4,SUM(X58:AA58),"")</f>
        <v>16058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4319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4410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Receita fora dos EUA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3046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3324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3555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3881</v>
      </c>
      <c r="H59" s="12">
        <f>IF(COUNT(D59:G59)=4,SUM(D59:G59),"")</f>
        <v>13806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4110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4105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4363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4369</v>
      </c>
      <c r="M59" s="12">
        <f>IF(COUNT(I59:L59)=4,SUM(I59:L59),"")</f>
        <v>16947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4445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4680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5021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4989</v>
      </c>
      <c r="R59" s="12">
        <f>IF(COUNT(N59:Q59)=4,SUM(N59:Q59),"")</f>
        <v>19135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5132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5279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5746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5772</v>
      </c>
      <c r="W59" s="12">
        <f>IF(COUNT(S59:V59)=4,SUM(S59:V59),"")</f>
        <v>21929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5783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6245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6567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6738</v>
      </c>
      <c r="AB59" s="12">
        <f>IF(COUNT(X59:AA59)=4,SUM(X59:AA59),"")</f>
        <v>25333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6911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7223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5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6292.11901018386</v>
      </c>
      <c r="AK1" s="12">
        <f>IF(AK2="","",SUM(AK2,AK3))</f>
        <v>6395.97065740529</v>
      </c>
      <c r="AL1" s="12">
        <f>IF(AL2="","",SUM(AL2,AL3))</f>
        <v>24337.0896675892</v>
      </c>
      <c r="AM1" s="12">
        <f>IF(AM2="","",SUM(AM2,AM3))</f>
        <v>6589.0056400937</v>
      </c>
      <c r="AN1" s="12">
        <f>IF(AN2="","",SUM(AN2,AN3))</f>
        <v>6825.45882557524</v>
      </c>
      <c r="AO1" s="12">
        <f>IF(AO2="","",SUM(AO2,AO3))</f>
        <v>7143.42514229091</v>
      </c>
      <c r="AP1" s="12">
        <f>IF(AP2="","",SUM(AP2,AP3))</f>
        <v>7261.3276273884</v>
      </c>
      <c r="AQ1" s="12">
        <f>IF(AQ2="","",SUM(AQ2,AQ3))</f>
        <v>27819.2172353483</v>
      </c>
      <c r="AR1" s="12">
        <f>IF(AR2="","",SUM(AR2,AR3))</f>
        <v>7447.53467600756</v>
      </c>
      <c r="AS1" s="12">
        <f>IF(AS2="","",SUM(AS2,AS3))</f>
        <v>7714.79705129083</v>
      </c>
      <c r="AT1" s="12">
        <f>IF(AT2="","",SUM(AT2,AT3))</f>
        <v>8074.1934911926</v>
      </c>
      <c r="AU1" s="12">
        <f>IF(AU2="","",SUM(AU2,AU3))</f>
        <v>8207.45834087006</v>
      </c>
      <c r="AV1" s="12">
        <f>IF(AV2="","",SUM(AV2,AV3))</f>
        <v>31443.983559361</v>
      </c>
      <c r="AW1" s="12">
        <f>IF(AW2="","",SUM(AW2,AW3))</f>
        <v>8380.68997458391</v>
      </c>
      <c r="AX1" s="12">
        <f>IF(AX2="","",SUM(AX2,AX3))</f>
        <v>8681.43957919275</v>
      </c>
      <c r="AY1" s="12">
        <f>IF(AY2="","",SUM(AY2,AY3))</f>
        <v>9085.86738944372</v>
      </c>
      <c r="AZ1" s="12">
        <f>IF(AZ2="","",SUM(AZ2,AZ3))</f>
        <v>9235.82995266001</v>
      </c>
      <c r="BA1" s="12">
        <f>IF(BA2="","",SUM(BA2,BA3))</f>
        <v>35383.8268958804</v>
      </c>
      <c r="BB1" s="12">
        <f>IF(BB2="","",SUM(BB2,BB3))</f>
        <v>9388.86357647719</v>
      </c>
      <c r="BC1" s="12">
        <f>IF(BC2="","",SUM(BC2,BC3))</f>
        <v>9725.79251871408</v>
      </c>
      <c r="BD1" s="12">
        <f>IF(BD2="","",SUM(BD2,BD3))</f>
        <v>10178.8718652232</v>
      </c>
      <c r="BE1" s="12">
        <f>IF(BE2="","",SUM(BE2,BE3))</f>
        <v>10346.8745060423</v>
      </c>
      <c r="BF1" s="12">
        <f>IF(BF2="","",SUM(BF2,BF3))</f>
        <v>39640.4024664568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IF(COUNT(I180,I256)&lt;2,"",ABS(I180-I256))</f>
        <v>0</v>
      </c>
      <c r="J2" s="12">
        <f>IF(COUNT(J180,J256)&lt;2,"",ABS(J180-J256))</f>
        <v>0</v>
      </c>
      <c r="K2" s="12">
        <f>IF(COUNT(K180,K256)&lt;2,"",ABS(K180-K256))</f>
        <v>0</v>
      </c>
      <c r="L2" s="12">
        <f>IF(COUNT(L180,L256)&lt;2,"",ABS(L180-L256))</f>
        <v>0</v>
      </c>
      <c r="M2" s="12">
        <f>IF(COUNT(M180,M256)&lt;2,"",ABS(M180-M256))</f>
        <v>0</v>
      </c>
      <c r="N2" s="12">
        <f>IF(COUNT(N180,N256)&lt;2,"",ABS(N180-N256))</f>
        <v>0</v>
      </c>
      <c r="O2" s="12">
        <f>IF(COUNT(O180,O256)&lt;2,"",ABS(O180-O256))</f>
        <v>0</v>
      </c>
      <c r="P2" s="12">
        <f>IF(COUNT(P180,P256)&lt;2,"",ABS(P180-P256))</f>
        <v>0</v>
      </c>
      <c r="Q2" s="12">
        <f>IF(COUNT(Q180,Q256)&lt;2,"",ABS(Q180-Q256))</f>
        <v>0</v>
      </c>
      <c r="R2" s="12">
        <f>IF(COUNT(R180,R256)&lt;2,"",ABS(R180-R256))</f>
        <v>0</v>
      </c>
      <c r="S2" s="12">
        <f>IF(COUNT(S180,S256)&lt;2,"",ABS(S180-S256))</f>
        <v>0</v>
      </c>
      <c r="T2" s="12">
        <f>IF(COUNT(T180,T256)&lt;2,"",ABS(T180-T256))</f>
        <v>0</v>
      </c>
      <c r="U2" s="12">
        <f>IF(COUNT(U180,U256)&lt;2,"",ABS(U180-U256))</f>
        <v>0</v>
      </c>
      <c r="V2" s="12">
        <f>IF(COUNT(V180,V256)&lt;2,"",ABS(V180-V256))</f>
        <v>0</v>
      </c>
      <c r="W2" s="12">
        <f>IF(COUNT(W180,W256)&lt;2,"",ABS(W180-W256))</f>
        <v>0</v>
      </c>
      <c r="X2" s="12">
        <f>IF(COUNT(X180,X256)&lt;2,"",ABS(X180-X256))</f>
        <v>0</v>
      </c>
      <c r="Y2" s="12">
        <f>IF(COUNT(Y180,Y256)&lt;2,"",ABS(Y180-Y256))</f>
        <v>0</v>
      </c>
      <c r="Z2" s="12">
        <f>IF(COUNT(Z180,Z256)&lt;2,"",ABS(Z180-Z256))</f>
        <v>0</v>
      </c>
      <c r="AA2" s="12">
        <f>IF(COUNT(AA180,AA256)&lt;2,"",ABS(AA180-AA256))</f>
        <v>0</v>
      </c>
      <c r="AB2" s="12">
        <f>IF(COUNT(AB180,AB256)&lt;2,"",ABS(AB180-AB256))</f>
        <v>0</v>
      </c>
      <c r="AC2" s="12">
        <f>IF(COUNT(AC180,AC256)&lt;2,"",ABS(AC180-AC256))</f>
        <v>0</v>
      </c>
      <c r="AD2" s="12">
        <f>IF(COUNT(AD180,AD256)&lt;2,"",ABS(AD180-AD256))</f>
        <v>0</v>
      </c>
      <c r="AE2" s="12">
        <f>IF(COUNT(AE180,AE256)&lt;2,"",ABS(AE180-AE256))</f>
        <v>0</v>
      </c>
      <c r="AF2" s="12">
        <f>IF(COUNT(AF180,AF256)&lt;2,"",ABS(AF180-AF256))</f>
        <v>0</v>
      </c>
      <c r="AG2" s="12">
        <f>IF(COUNT(AG180,AG256)&lt;2,"",ABS(AG180-AG256))</f>
        <v>0</v>
      </c>
      <c r="AH2" s="12">
        <f>IF(COUNT(AH180,AH256)&lt;2,"",ABS(AH180-AH256))</f>
        <v>0</v>
      </c>
      <c r="AI2" s="12">
        <f>IF(COUNT(AI180,AI256)&lt;2,"",ABS(AI180-AI256))</f>
        <v>0</v>
      </c>
      <c r="AJ2" s="12">
        <f>IF(COUNT(AJ180,AJ256)&lt;2,"",ABS(AJ180-AJ256))</f>
        <v>0</v>
      </c>
      <c r="AK2" s="12">
        <f>IF(COUNT(AK180,AK256)&lt;2,"",ABS(AK180-AK256))</f>
        <v>0</v>
      </c>
      <c r="AL2" s="12">
        <f>IF(COUNT(AL180,AL256)&lt;2,"",ABS(AL180-AL256))</f>
        <v>0</v>
      </c>
      <c r="AM2" s="12">
        <f>IF(COUNT(AM180,AM256)&lt;2,"",ABS(AM180-AM256))</f>
        <v>0</v>
      </c>
      <c r="AN2" s="12">
        <f>IF(COUNT(AN180,AN256)&lt;2,"",ABS(AN180-AN256))</f>
        <v>0</v>
      </c>
      <c r="AO2" s="12">
        <f>IF(COUNT(AO180,AO256)&lt;2,"",ABS(AO180-AO256))</f>
        <v>0</v>
      </c>
      <c r="AP2" s="12">
        <f>IF(COUNT(AP180,AP256)&lt;2,"",ABS(AP180-AP256))</f>
        <v>0</v>
      </c>
      <c r="AQ2" s="12">
        <f>IF(COUNT(AQ180,AQ256)&lt;2,"",ABS(AQ180-AQ256))</f>
        <v>0</v>
      </c>
      <c r="AR2" s="12">
        <f>IF(COUNT(AR180,AR256)&lt;2,"",ABS(AR180-AR256))</f>
        <v>0</v>
      </c>
      <c r="AS2" s="12">
        <f>IF(COUNT(AS180,AS256)&lt;2,"",ABS(AS180-AS256))</f>
        <v>0</v>
      </c>
      <c r="AT2" s="12">
        <f>IF(COUNT(AT180,AT256)&lt;2,"",ABS(AT180-AT256))</f>
        <v>0</v>
      </c>
      <c r="AU2" s="12">
        <f>IF(COUNT(AU180,AU256)&lt;2,"",ABS(AU180-AU256))</f>
        <v>0</v>
      </c>
      <c r="AV2" s="12">
        <f>IF(COUNT(AV180,AV256)&lt;2,"",ABS(AV180-AV256))</f>
        <v>0</v>
      </c>
      <c r="AW2" s="12">
        <f>IF(COUNT(AW180,AW256)&lt;2,"",ABS(AW180-AW256))</f>
        <v>0</v>
      </c>
      <c r="AX2" s="12">
        <f>IF(COUNT(AX180,AX256)&lt;2,"",ABS(AX180-AX256))</f>
        <v>0</v>
      </c>
      <c r="AY2" s="12">
        <f>IF(COUNT(AY180,AY256)&lt;2,"",ABS(AY180-AY256))</f>
        <v>0</v>
      </c>
      <c r="AZ2" s="12">
        <f>IF(COUNT(AZ180,AZ256)&lt;2,"",ABS(AZ180-AZ256))</f>
        <v>0</v>
      </c>
      <c r="BA2" s="12">
        <f>IF(COUNT(BA180,BA256)&lt;2,"",ABS(BA180-BA256))</f>
        <v>0</v>
      </c>
      <c r="BB2" s="12">
        <f>IF(COUNT(BB180,BB256)&lt;2,"",ABS(BB180-BB256))</f>
        <v>0</v>
      </c>
      <c r="BC2" s="12">
        <f>IF(COUNT(BC180,BC256)&lt;2,"",ABS(BC180-BC256))</f>
        <v>0</v>
      </c>
      <c r="BD2" s="12">
        <f>IF(COUNT(BD180,BD256)&lt;2,"",ABS(BD180-BD256))</f>
        <v>0</v>
      </c>
      <c r="BE2" s="12">
        <f>IF(COUNT(BE180,BE256)&lt;2,"",ABS(BE180-BE256))</f>
        <v>0</v>
      </c>
      <c r="BF2" s="12">
        <f>IF(COUNT(BF180,BF256)&lt;2,"",ABS(BF180-BF256))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IF(COUNT(I120,I4)&lt;2,"",ABS(I120-I4))</f>
        <v>0</v>
      </c>
      <c r="J3" s="12">
        <f>IF(COUNT(J120,J4)&lt;2,"",ABS(J120-J4))</f>
        <v>0</v>
      </c>
      <c r="K3" s="12">
        <f>IF(COUNT(K120,K4)&lt;2,"",ABS(K120-K4))</f>
        <v>0</v>
      </c>
      <c r="L3" s="12">
        <f>IF(COUNT(L120,L4)&lt;2,"",ABS(L120-L4))</f>
        <v>0</v>
      </c>
      <c r="M3" s="12">
        <f>IF(COUNT(M120,M4)&lt;2,"",ABS(M120-M4))</f>
        <v>0</v>
      </c>
      <c r="N3" s="12">
        <f>IF(COUNT(N120,N4)&lt;2,"",ABS(N120-N4))</f>
        <v>0</v>
      </c>
      <c r="O3" s="12">
        <f>IF(COUNT(O120,O4)&lt;2,"",ABS(O120-O4))</f>
        <v>0</v>
      </c>
      <c r="P3" s="12">
        <f>IF(COUNT(P120,P4)&lt;2,"",ABS(P120-P4))</f>
        <v>0</v>
      </c>
      <c r="Q3" s="12">
        <f>IF(COUNT(Q120,Q4)&lt;2,"",ABS(Q120-Q4))</f>
        <v>0</v>
      </c>
      <c r="R3" s="12">
        <f>IF(COUNT(R120,R4)&lt;2,"",ABS(R120-R4))</f>
        <v>0</v>
      </c>
      <c r="S3" s="12">
        <f>IF(COUNT(S120,S4)&lt;2,"",ABS(S120-S4))</f>
        <v>0</v>
      </c>
      <c r="T3" s="12">
        <f>IF(COUNT(T120,T4)&lt;2,"",ABS(T120-T4))</f>
        <v>0</v>
      </c>
      <c r="U3" s="12">
        <f>IF(COUNT(U120,U4)&lt;2,"",ABS(U120-U4))</f>
        <v>0</v>
      </c>
      <c r="V3" s="12">
        <f>IF(COUNT(V120,V4)&lt;2,"",ABS(V120-V4))</f>
        <v>0</v>
      </c>
      <c r="W3" s="12">
        <f>IF(COUNT(W120,W4)&lt;2,"",ABS(W120-W4))</f>
        <v>0</v>
      </c>
      <c r="X3" s="12">
        <f>IF(COUNT(X120,X4)&lt;2,"",ABS(X120-X4))</f>
        <v>0</v>
      </c>
      <c r="Y3" s="12">
        <f>IF(COUNT(Y120,Y4)&lt;2,"",ABS(Y120-Y4))</f>
        <v>0</v>
      </c>
      <c r="Z3" s="12">
        <f>IF(COUNT(Z120,Z4)&lt;2,"",ABS(Z120-Z4))</f>
        <v>0</v>
      </c>
      <c r="AA3" s="12">
        <f>IF(COUNT(AA120,AA4)&lt;2,"",ABS(AA120-AA4))</f>
        <v>0</v>
      </c>
      <c r="AB3" s="12">
        <f>IF(COUNT(AB120,AB4)&lt;2,"",ABS(AB120-AB4))</f>
        <v>0</v>
      </c>
      <c r="AC3" s="12">
        <f>IF(COUNT(AC120,AC4)&lt;2,"",ABS(AC120-AC4))</f>
        <v>0</v>
      </c>
      <c r="AD3" s="12">
        <f>IF(COUNT(AD120,AD4)&lt;2,"",ABS(AD120-AD4))</f>
        <v>0</v>
      </c>
      <c r="AE3" s="12">
        <f>IF(COUNT(AE120,AE4)&lt;2,"",ABS(AE120-AE4))</f>
        <v>0</v>
      </c>
      <c r="AF3" s="12">
        <f>IF(COUNT(AF120,AF4)&lt;2,"",ABS(AF120-AF4))</f>
        <v>0</v>
      </c>
      <c r="AG3" s="12">
        <f>IF(COUNT(AG120,AG4)&lt;2,"",ABS(AG120-AG4))</f>
        <v>0</v>
      </c>
      <c r="AH3" s="12">
        <f>IF(COUNT(AH120,AH4)&lt;2,"",ABS(AH120-AH4))</f>
        <v>0</v>
      </c>
      <c r="AI3" s="12">
        <f>IF(COUNT(AI120,AI4)&lt;2,"",ABS(AI120-AI4))</f>
        <v>0</v>
      </c>
      <c r="AJ3" s="12">
        <f>ABS(AJ120-AJ4)</f>
        <v>6292.11901018386</v>
      </c>
      <c r="AK3" s="12">
        <f>ABS(AK120-AK4)</f>
        <v>6395.97065740529</v>
      </c>
      <c r="AL3" s="12">
        <f>ABS(AL120-AL4)</f>
        <v>24337.0896675892</v>
      </c>
      <c r="AM3" s="12">
        <f>ABS(AM120-AM4)</f>
        <v>6589.0056400937</v>
      </c>
      <c r="AN3" s="12">
        <f>ABS(AN120-AN4)</f>
        <v>6825.45882557524</v>
      </c>
      <c r="AO3" s="12">
        <f>ABS(AO120-AO4)</f>
        <v>7143.42514229091</v>
      </c>
      <c r="AP3" s="12">
        <f>ABS(AP120-AP4)</f>
        <v>7261.3276273884</v>
      </c>
      <c r="AQ3" s="12">
        <f>ABS(AQ120-AQ4)</f>
        <v>27819.2172353483</v>
      </c>
      <c r="AR3" s="12">
        <f>ABS(AR120-AR4)</f>
        <v>7447.53467600756</v>
      </c>
      <c r="AS3" s="12">
        <f>ABS(AS120-AS4)</f>
        <v>7714.79705129083</v>
      </c>
      <c r="AT3" s="12">
        <f>ABS(AT120-AT4)</f>
        <v>8074.1934911926</v>
      </c>
      <c r="AU3" s="12">
        <f>ABS(AU120-AU4)</f>
        <v>8207.45834087006</v>
      </c>
      <c r="AV3" s="12">
        <f>ABS(AV120-AV4)</f>
        <v>31443.983559361</v>
      </c>
      <c r="AW3" s="12">
        <f>ABS(AW120-AW4)</f>
        <v>8380.68997458391</v>
      </c>
      <c r="AX3" s="12">
        <f>ABS(AX120-AX4)</f>
        <v>8681.43957919275</v>
      </c>
      <c r="AY3" s="12">
        <f>ABS(AY120-AY4)</f>
        <v>9085.86738944372</v>
      </c>
      <c r="AZ3" s="12">
        <f>ABS(AZ120-AZ4)</f>
        <v>9235.82995266001</v>
      </c>
      <c r="BA3" s="12">
        <f>ABS(BA120-BA4)</f>
        <v>35383.8268958804</v>
      </c>
      <c r="BB3" s="12">
        <f>ABS(BB120-BB4)</f>
        <v>9388.86357647719</v>
      </c>
      <c r="BC3" s="12">
        <f>ABS(BC120-BC4)</f>
        <v>9725.79251871408</v>
      </c>
      <c r="BD3" s="12">
        <f>ABS(BD120-BD4)</f>
        <v>10178.8718652232</v>
      </c>
      <c r="BE3" s="12">
        <f>ABS(BE120-BE4)</f>
        <v>10346.8745060423</v>
      </c>
      <c r="BF3" s="12">
        <f>ABS(BF120-BF4)</f>
        <v>39640.4024664568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3026</v>
      </c>
      <c r="J4">
        <f>IF(ISNUMBER('Inputs (2)'!E50),'Inputs (2)'!E50,"")</f>
        <v>2575</v>
      </c>
      <c r="K4">
        <f>IF(ISNUMBER('Inputs (2)'!F50),'Inputs (2)'!F50,"")</f>
        <v>3584</v>
      </c>
      <c r="L4">
        <f>IF(ISNUMBER('Inputs (2)'!G50),'Inputs (2)'!G50,"")</f>
        <v>3959</v>
      </c>
      <c r="M4" s="11">
        <f>IF(COUNT(I4:L4)=4,SUM(I4:L4),"")</f>
        <v>13144</v>
      </c>
      <c r="N4">
        <f>IF(ISNUMBER('Inputs (2)'!I50),'Inputs (2)'!I50,"")</f>
        <v>3647</v>
      </c>
      <c r="O4">
        <f>IF(ISNUMBER('Inputs (2)'!J50),'Inputs (2)'!J50,"")</f>
        <v>3411</v>
      </c>
      <c r="P4">
        <f>IF(ISNUMBER('Inputs (2)'!K50),'Inputs (2)'!K50,"")</f>
        <v>3940</v>
      </c>
      <c r="Q4">
        <f>IF(ISNUMBER('Inputs (2)'!L50),'Inputs (2)'!L50,"")</f>
        <v>4179</v>
      </c>
      <c r="R4" s="11">
        <f>IF(COUNT(N4:Q4)=4,SUM(N4:Q4),"")</f>
        <v>15177</v>
      </c>
      <c r="S4">
        <f>IF(ISNUMBER('Inputs (2)'!N50),'Inputs (2)'!N50,"")</f>
        <v>4257</v>
      </c>
      <c r="T4">
        <f>IF(ISNUMBER('Inputs (2)'!O50),'Inputs (2)'!O50,"")</f>
        <v>4156</v>
      </c>
      <c r="U4">
        <f>IF(ISNUMBER('Inputs (2)'!P50),'Inputs (2)'!P50,"")</f>
        <v>4681</v>
      </c>
      <c r="V4">
        <f>IF(ISNUMBER('Inputs (2)'!Q50),'Inputs (2)'!Q50,"")</f>
        <v>4890</v>
      </c>
      <c r="W4" s="11">
        <f>IF(COUNT(S4:V4)=4,SUM(S4:V4),"")</f>
        <v>17984</v>
      </c>
      <c r="X4">
        <f>IF(ISNUMBER('Inputs (2)'!S50),'Inputs (2)'!S50,"")</f>
        <v>4663</v>
      </c>
      <c r="Y4">
        <f>IF(ISNUMBER('Inputs (2)'!T50),'Inputs (2)'!T50,"")</f>
        <v>4872</v>
      </c>
      <c r="Z4">
        <f>IF(ISNUMBER('Inputs (2)'!U50),'Inputs (2)'!U50,"")</f>
        <v>5318</v>
      </c>
      <c r="AA4">
        <f>IF(ISNUMBER('Inputs (2)'!V50),'Inputs (2)'!V50,"")</f>
        <v>5119</v>
      </c>
      <c r="AB4" s="11">
        <f>IF(COUNT(X4:AA4)=4,SUM(X4:AA4),"")</f>
        <v>19972</v>
      </c>
      <c r="AC4">
        <f>IF(ISNUMBER('Inputs (2)'!X50),'Inputs (2)'!X50,"")</f>
        <v>4577</v>
      </c>
      <c r="AD4">
        <f>IF(ISNUMBER('Inputs (2)'!Y50),'Inputs (2)'!Y50,"")</f>
        <v>5272</v>
      </c>
      <c r="AE4">
        <f>IF(ISNUMBER('Inputs (2)'!Z50),'Inputs (2)'!Z50,"")</f>
        <v>5090</v>
      </c>
      <c r="AF4">
        <f>IF(ISNUMBER('Inputs (2)'!AA50),'Inputs (2)'!AA50,"")</f>
        <v>5853</v>
      </c>
      <c r="AG4" s="11">
        <f>IF(COUNT(AC4:AF4)=4,SUM(AC4:AF4),"")</f>
        <v>20792</v>
      </c>
      <c r="AH4" s="11">
        <f>IF(ISNUMBER('Inputs (2)'!AC50),'Inputs (2)'!AC50,"")</f>
        <v>6021</v>
      </c>
      <c r="AI4" s="11">
        <f>IF(ISNUMBER('Inputs (2)'!AD50),'Inputs (2)'!AD50,"")</f>
        <v>5628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5729</v>
      </c>
      <c r="J15" s="34">
        <f>'Inputs (2)'!E4</f>
        <v>6130</v>
      </c>
      <c r="K15" s="34">
        <f>'Inputs (2)'!F4</f>
        <v>6559</v>
      </c>
      <c r="L15" s="34">
        <f>'Inputs (2)'!G4</f>
        <v>7059</v>
      </c>
      <c r="M15" s="35">
        <f>'Inputs (2)'!H4</f>
        <v>25477</v>
      </c>
      <c r="N15" s="34">
        <f>'Inputs (2)'!I4</f>
        <v>7189</v>
      </c>
      <c r="O15" s="34">
        <f>'Inputs (2)'!J4</f>
        <v>7275</v>
      </c>
      <c r="P15" s="34">
        <f>'Inputs (2)'!K4</f>
        <v>7787</v>
      </c>
      <c r="Q15" s="34">
        <f>'Inputs (2)'!L4</f>
        <v>7936</v>
      </c>
      <c r="R15" s="35">
        <f>'Inputs (2)'!M4</f>
        <v>30187</v>
      </c>
      <c r="S15" s="34">
        <f>'Inputs (2)'!N4</f>
        <v>7985</v>
      </c>
      <c r="T15" s="34">
        <f>'Inputs (2)'!O4</f>
        <v>8123</v>
      </c>
      <c r="U15" s="34">
        <f>'Inputs (2)'!P4</f>
        <v>8609</v>
      </c>
      <c r="V15" s="34">
        <f>'Inputs (2)'!Q4</f>
        <v>8634</v>
      </c>
      <c r="W15" s="35">
        <f>'Inputs (2)'!R4</f>
        <v>33351</v>
      </c>
      <c r="X15" s="34">
        <f>'Inputs (2)'!S4</f>
        <v>8775</v>
      </c>
      <c r="Y15" s="34">
        <f>'Inputs (2)'!T4</f>
        <v>8900</v>
      </c>
      <c r="Z15" s="34">
        <f>'Inputs (2)'!U4</f>
        <v>9617</v>
      </c>
      <c r="AA15" s="34">
        <f>'Inputs (2)'!V4</f>
        <v>9510</v>
      </c>
      <c r="AB15" s="35">
        <f>'Inputs (2)'!W4</f>
        <v>36802</v>
      </c>
      <c r="AC15" s="34">
        <f>'Inputs (2)'!X4</f>
        <v>9594</v>
      </c>
      <c r="AD15" s="34">
        <f>'Inputs (2)'!Y4</f>
        <v>10172</v>
      </c>
      <c r="AE15" s="34">
        <f>'Inputs (2)'!Z4</f>
        <v>10724</v>
      </c>
      <c r="AF15" s="34">
        <f>'Inputs (2)'!AA4</f>
        <v>10901</v>
      </c>
      <c r="AG15" s="35">
        <f>'Inputs (2)'!AB4</f>
        <v>41391</v>
      </c>
      <c r="AH15" s="35">
        <f>'Inputs (2)'!AC4</f>
        <v>11230</v>
      </c>
      <c r="AI15" s="35">
        <f>'Inputs (2)'!AD4</f>
        <v>11633</v>
      </c>
      <c r="AJ15" s="35">
        <f>AE15*(1+AJ16)</f>
        <v>12174.9272545449</v>
      </c>
      <c r="AK15" s="35">
        <f>AF15*(1+AK16)</f>
        <v>12375.8748602941</v>
      </c>
      <c r="AL15" s="35">
        <f>SUM(AH15:AK15)</f>
        <v>47413.802114839</v>
      </c>
      <c r="AM15" s="35">
        <f>AH15*(1+AM16)</f>
        <v>12749.387641602</v>
      </c>
      <c r="AN15" s="35">
        <f>AI15*(1+AN16)</f>
        <v>13206.9124162739</v>
      </c>
      <c r="AO15" s="35">
        <f>AJ15*(1+AO16)</f>
        <v>13822.1609150933</v>
      </c>
      <c r="AP15" s="35">
        <f>AK15*(1+AP16)</f>
        <v>14050.2961707788</v>
      </c>
      <c r="AQ15" s="35">
        <f>SUM(AM15:AP15)</f>
        <v>53828.757143748</v>
      </c>
      <c r="AR15" s="35">
        <f>AM15*(1+AR16)</f>
        <v>14410.597250201</v>
      </c>
      <c r="AS15" s="35">
        <f>AN15*(1+AS16)</f>
        <v>14927.7362254308</v>
      </c>
      <c r="AT15" s="35">
        <f>AO15*(1+AT16)</f>
        <v>15623.1498856404</v>
      </c>
      <c r="AU15" s="35">
        <f>AP15*(1+AU16)</f>
        <v>15881.010528102</v>
      </c>
      <c r="AV15" s="35">
        <f>SUM(AR15:AU15)</f>
        <v>60842.4938893742</v>
      </c>
      <c r="AW15" s="35">
        <f>AR15*(1+AW16)</f>
        <v>16216.2048458253</v>
      </c>
      <c r="AX15" s="35">
        <f>AS15*(1+AX16)</f>
        <v>16798.1398906042</v>
      </c>
      <c r="AY15" s="35">
        <f>AT15*(1+AY16)</f>
        <v>17580.6869405807</v>
      </c>
      <c r="AZ15" s="35">
        <f>AU15*(1+AZ16)</f>
        <v>17870.8568014986</v>
      </c>
      <c r="BA15" s="35">
        <f>SUM(AW15:AZ15)</f>
        <v>68465.8884785088</v>
      </c>
      <c r="BB15" s="35">
        <f>AW15*(1+BB16)</f>
        <v>18166.9690070144</v>
      </c>
      <c r="BC15" s="35">
        <f>AX15*(1+BC16)</f>
        <v>18818.909212698</v>
      </c>
      <c r="BD15" s="35">
        <f>AY15*(1+BD16)</f>
        <v>19695.59448762</v>
      </c>
      <c r="BE15" s="35">
        <f>AZ15*(1+BE16)</f>
        <v>20020.6709725425</v>
      </c>
      <c r="BF15" s="35">
        <f>SUM(BB15:BE15)</f>
        <v>76702.1436798748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0.254843777273521</v>
      </c>
      <c r="O16" s="40">
        <f>IFERROR(O15/J15-1,"")</f>
        <v>0.186786296900489</v>
      </c>
      <c r="P16" s="40">
        <f>IFERROR(P15/K15-1,"")</f>
        <v>0.187223662143619</v>
      </c>
      <c r="Q16" s="40">
        <f>IFERROR(Q15/L15-1,"")</f>
        <v>0.124238560702649</v>
      </c>
      <c r="R16" s="40">
        <f>IFERROR(R15/M15-1,"")</f>
        <v>0.184872630215488</v>
      </c>
      <c r="S16" s="40">
        <f>IFERROR(S15/N15-1,"")</f>
        <v>0.110724718319655</v>
      </c>
      <c r="T16" s="40">
        <f>IFERROR(T15/O15-1,"")</f>
        <v>0.116563573883161</v>
      </c>
      <c r="U16" s="40">
        <f>IFERROR(U15/P15-1,"")</f>
        <v>0.105560549634005</v>
      </c>
      <c r="V16" s="40">
        <f>IFERROR(V15/Q15-1,"")</f>
        <v>0.087953629032258</v>
      </c>
      <c r="W16" s="40">
        <f>IFERROR(W15/R15-1,"")</f>
        <v>0.104813330241495</v>
      </c>
      <c r="X16" s="40">
        <f>IFERROR(X15/S15-1,"")</f>
        <v>0.0989355040701314</v>
      </c>
      <c r="Y16" s="40">
        <f>IFERROR(Y15/T15-1,"")</f>
        <v>0.0956543149082851</v>
      </c>
      <c r="Z16" s="40">
        <f>IFERROR(Z15/U15-1,"")</f>
        <v>0.117086769659658</v>
      </c>
      <c r="AA16" s="40">
        <f>IFERROR(AA15/V15-1,"")</f>
        <v>0.101459346768589</v>
      </c>
      <c r="AB16" s="40">
        <f>IFERROR(AB15/W15-1,"")</f>
        <v>0.103475158166172</v>
      </c>
      <c r="AC16" s="40">
        <f>IFERROR(AC15/X15-1,"")</f>
        <v>0.0933333333333333</v>
      </c>
      <c r="AD16" s="40">
        <f>IFERROR(AD15/Y15-1,"")</f>
        <v>0.142921348314607</v>
      </c>
      <c r="AE16" s="40">
        <f>IFERROR(AE15/Z15-1,"")</f>
        <v>0.115108661744827</v>
      </c>
      <c r="AF16" s="41">
        <f>IFERROR(AF15/AA15-1,"")</f>
        <v>0.146267087276551</v>
      </c>
      <c r="AG16" s="40">
        <f>IFERROR(AG15/AB15-1,"")</f>
        <v>0.124694310091843</v>
      </c>
      <c r="AH16" s="41">
        <f>IFERROR(AH15/AC15-1,"")</f>
        <v>0.170523243693975</v>
      </c>
      <c r="AI16" s="41">
        <f>IFERROR(AI15/AD15-1,"")</f>
        <v>0.143629571372395</v>
      </c>
      <c r="AJ16" s="41">
        <f>Control!$B$18</f>
        <v>0.135297207622615</v>
      </c>
      <c r="AK16" s="41">
        <f>Control!$B$18</f>
        <v>0.135297207622615</v>
      </c>
      <c r="AL16" s="42">
        <f>IFERROR(AL15/AG15-1,"")</f>
        <v>0.145509944549275</v>
      </c>
      <c r="AM16" s="41">
        <f>Control!$C$18</f>
        <v>0.135297207622615</v>
      </c>
      <c r="AN16" s="41">
        <f>Control!$C$18</f>
        <v>0.135297207622615</v>
      </c>
      <c r="AO16" s="41">
        <f>Control!$C$18</f>
        <v>0.135297207622615</v>
      </c>
      <c r="AP16" s="41">
        <f>Control!$C$18</f>
        <v>0.135297207622615</v>
      </c>
      <c r="AQ16" s="42">
        <f>IFERROR(AQ15/AL15-1,"")</f>
        <v>0.135297207622615</v>
      </c>
      <c r="AR16" s="41">
        <f>Control!$D$18</f>
        <v>0.130297207622615</v>
      </c>
      <c r="AS16" s="41">
        <f>Control!$D$18</f>
        <v>0.130297207622615</v>
      </c>
      <c r="AT16" s="41">
        <f>Control!$D$18</f>
        <v>0.130297207622615</v>
      </c>
      <c r="AU16" s="41">
        <f>Control!$D$18</f>
        <v>0.130297207622615</v>
      </c>
      <c r="AV16" s="42">
        <f>IFERROR(AV15/AQ15-1,"")</f>
        <v>0.130297207622615</v>
      </c>
      <c r="AW16" s="41">
        <f>Control!$E$18</f>
        <v>0.125297207622615</v>
      </c>
      <c r="AX16" s="41">
        <f>Control!$E$18</f>
        <v>0.125297207622615</v>
      </c>
      <c r="AY16" s="41">
        <f>Control!$E$18</f>
        <v>0.125297207622615</v>
      </c>
      <c r="AZ16" s="41">
        <f>Control!$E$18</f>
        <v>0.125297207622615</v>
      </c>
      <c r="BA16" s="42">
        <f>IFERROR(BA15/AV15-1,"")</f>
        <v>0.125297207622614</v>
      </c>
      <c r="BB16" s="41">
        <f>Control!$F$18</f>
        <v>0.120297207622615</v>
      </c>
      <c r="BC16" s="41">
        <f>Control!$F$18</f>
        <v>0.120297207622615</v>
      </c>
      <c r="BD16" s="41">
        <f>Control!$F$18</f>
        <v>0.120297207622615</v>
      </c>
      <c r="BE16" s="41">
        <f>Control!$F$18</f>
        <v>0.120297207622615</v>
      </c>
      <c r="BF16" s="42">
        <f>IFERROR(BF15/BA15-1,"")</f>
        <v>0.120297207622615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IF(ISNUMBER(I25),I25,"")</f>
        <v>0</v>
      </c>
      <c r="J17" s="40">
        <f>IF(ISNUMBER(J25),J25,"")</f>
        <v>0</v>
      </c>
      <c r="K17" s="40">
        <f>IF(ISNUMBER(K25),K25,"")</f>
        <v>0</v>
      </c>
      <c r="L17" s="40">
        <f>IF(ISNUMBER(L25),L25,"")</f>
        <v>0</v>
      </c>
      <c r="M17" s="39">
        <f>IF(ISNUMBER(M25),M25,"")</f>
        <v>0</v>
      </c>
      <c r="N17" s="40">
        <f>IF(ISNUMBER(N25),N25,"")</f>
        <v>0</v>
      </c>
      <c r="O17" s="40">
        <f>IF(ISNUMBER(O25),O25,"")</f>
        <v>0</v>
      </c>
      <c r="P17" s="40">
        <f>IF(ISNUMBER(P25),P25,"")</f>
        <v>0</v>
      </c>
      <c r="Q17" s="40">
        <f>IF(ISNUMBER(Q25),Q25,"")</f>
        <v>0</v>
      </c>
      <c r="R17" s="40">
        <f>IF(ISNUMBER(R25),R25,"")</f>
        <v>0</v>
      </c>
      <c r="S17" s="40">
        <f>IF(ISNUMBER(S25),S25,"")</f>
        <v>0</v>
      </c>
      <c r="T17" s="40">
        <f>IF(ISNUMBER(T25),T25,"")</f>
        <v>0</v>
      </c>
      <c r="U17" s="40">
        <f>IF(ISNUMBER(U25),U25,"")</f>
        <v>0</v>
      </c>
      <c r="V17" s="40">
        <f>IF(ISNUMBER(V25),V25,"")</f>
        <v>0</v>
      </c>
      <c r="W17" s="40">
        <f>IF(ISNUMBER(W25),W25,"")</f>
        <v>0</v>
      </c>
      <c r="X17" s="40">
        <f>IF(ISNUMBER(X25),X25,"")</f>
        <v>0</v>
      </c>
      <c r="Y17" s="40">
        <f>IF(ISNUMBER(Y25),Y25,"")</f>
        <v>0</v>
      </c>
      <c r="Z17" s="40">
        <f>IF(ISNUMBER(Z25),Z25,"")</f>
        <v>0</v>
      </c>
      <c r="AA17" s="40">
        <f>IF(ISNUMBER(AA25),AA25,"")</f>
        <v>0</v>
      </c>
      <c r="AB17" s="40">
        <f>IF(ISNUMBER(AB25),AB25,"")</f>
        <v>0</v>
      </c>
      <c r="AC17" s="40">
        <f>IF(ISNUMBER(AC25),AC25,"")</f>
        <v>0</v>
      </c>
      <c r="AD17" s="40">
        <f>IF(ISNUMBER(AD25),AD25,"")</f>
        <v>0</v>
      </c>
      <c r="AE17" s="40">
        <f>IF(ISNUMBER(AE25),AE25,"")</f>
        <v>0</v>
      </c>
      <c r="AF17" s="40">
        <f>IF(ISNUMBER(AF25),AF25,"")</f>
        <v>0</v>
      </c>
      <c r="AG17" s="40">
        <f>IF(ISNUMBER(AG25),AG25,"")</f>
        <v>0</v>
      </c>
      <c r="AH17" s="41">
        <f>IF(ISNUMBER(AH25),AH25,"")</f>
        <v>0</v>
      </c>
      <c r="AI17" s="41">
        <f>IF(ISNUMBER(AI25),AI25,"")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Receita - como a Visa divulga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Serviços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2845</v>
      </c>
      <c r="J19" s="269">
        <f>IFERROR(INDEX('Inputs (2)'!$D$53:$AL$53,MATCH(J$7&amp;"",'Inputs (2)'!$D$2:$AL$2,0)),"")</f>
        <v>2828</v>
      </c>
      <c r="K19" s="269">
        <f>IFERROR(INDEX('Inputs (2)'!$D$53:$AL$53,MATCH(K$7&amp;"",'Inputs (2)'!$D$2:$AL$2,0)),"")</f>
        <v>3125</v>
      </c>
      <c r="L19" s="269">
        <f>IFERROR(INDEX('Inputs (2)'!$D$53:$AL$53,MATCH(L$7&amp;"",'Inputs (2)'!$D$2:$AL$2,0)),"")</f>
        <v>3193</v>
      </c>
      <c r="M19" s="270">
        <f>IF(COUNT(I19:L19)=4,SUM(I19:L19),"")</f>
        <v>11991</v>
      </c>
      <c r="N19" s="269">
        <f>IFERROR(INDEX('Inputs (2)'!$D$53:$AL$53,MATCH(N$7&amp;"",'Inputs (2)'!$D$2:$AL$2,0)),"")</f>
        <v>3521</v>
      </c>
      <c r="O19" s="269">
        <f>IFERROR(INDEX('Inputs (2)'!$D$53:$AL$53,MATCH(O$7&amp;"",'Inputs (2)'!$D$2:$AL$2,0)),"")</f>
        <v>3189</v>
      </c>
      <c r="P19" s="269">
        <f>IFERROR(INDEX('Inputs (2)'!$D$53:$AL$53,MATCH(P$7&amp;"",'Inputs (2)'!$D$2:$AL$2,0)),"")</f>
        <v>3458</v>
      </c>
      <c r="Q19" s="269">
        <f>IFERROR(INDEX('Inputs (2)'!$D$53:$AL$53,MATCH(Q$7&amp;"",'Inputs (2)'!$D$2:$AL$2,0)),"")</f>
        <v>3511</v>
      </c>
      <c r="R19" s="270">
        <f>IF(COUNT(N19:Q19)=4,SUM(N19:Q19),"")</f>
        <v>13679</v>
      </c>
      <c r="S19" s="269">
        <f>IFERROR(INDEX('Inputs (2)'!$D$53:$AL$53,MATCH(S$7&amp;"",'Inputs (2)'!$D$2:$AL$2,0)),"")</f>
        <v>3771</v>
      </c>
      <c r="T19" s="269">
        <f>IFERROR(INDEX('Inputs (2)'!$D$53:$AL$53,MATCH(T$7&amp;"",'Inputs (2)'!$D$2:$AL$2,0)),"")</f>
        <v>3668</v>
      </c>
      <c r="U19" s="269">
        <f>IFERROR(INDEX('Inputs (2)'!$D$53:$AL$53,MATCH(U$7&amp;"",'Inputs (2)'!$D$2:$AL$2,0)),"")</f>
        <v>3876</v>
      </c>
      <c r="V19" s="269">
        <f>IFERROR(INDEX('Inputs (2)'!$D$53:$AL$53,MATCH(V$7&amp;"",'Inputs (2)'!$D$2:$AL$2,0)),"")</f>
        <v>3915</v>
      </c>
      <c r="W19" s="270">
        <f>IF(COUNT(S19:V19)=4,SUM(S19:V19),"")</f>
        <v>15230</v>
      </c>
      <c r="X19" s="269">
        <f>IFERROR(INDEX('Inputs (2)'!$D$53:$AL$53,MATCH(X$7&amp;"",'Inputs (2)'!$D$2:$AL$2,0)),"")</f>
        <v>4033</v>
      </c>
      <c r="Y19" s="269">
        <f>IFERROR(INDEX('Inputs (2)'!$D$53:$AL$53,MATCH(Y$7&amp;"",'Inputs (2)'!$D$2:$AL$2,0)),"")</f>
        <v>3967</v>
      </c>
      <c r="Z19" s="269">
        <f>IFERROR(INDEX('Inputs (2)'!$D$53:$AL$53,MATCH(Z$7&amp;"",'Inputs (2)'!$D$2:$AL$2,0)),"")</f>
        <v>4199</v>
      </c>
      <c r="AA19" s="269">
        <f>IFERROR(INDEX('Inputs (2)'!$D$53:$AL$53,MATCH(AA$7&amp;"",'Inputs (2)'!$D$2:$AL$2,0)),"")</f>
        <v>4208</v>
      </c>
      <c r="AB19" s="270">
        <f>IF(COUNT(X19:AA19)=4,SUM(X19:AA19),"")</f>
        <v>16407</v>
      </c>
      <c r="AC19" s="269">
        <f>IFERROR(INDEX('Inputs (2)'!$D$53:$AL$53,MATCH(AC$7&amp;"",'Inputs (2)'!$D$2:$AL$2,0)),"")</f>
        <v>4399</v>
      </c>
      <c r="AD19" s="269">
        <f>IFERROR(INDEX('Inputs (2)'!$D$53:$AL$53,MATCH(AD$7&amp;"",'Inputs (2)'!$D$2:$AL$2,0)),"")</f>
        <v>4330</v>
      </c>
      <c r="AE19" s="269">
        <f>IFERROR(INDEX('Inputs (2)'!$D$53:$AL$53,MATCH(AE$7&amp;"",'Inputs (2)'!$D$2:$AL$2,0)),"")</f>
        <v>4602</v>
      </c>
      <c r="AF19" s="269">
        <f>IFERROR(INDEX('Inputs (2)'!$D$53:$AL$53,MATCH(AF$7&amp;"",'Inputs (2)'!$D$2:$AL$2,0)),"")</f>
        <v>4760</v>
      </c>
      <c r="AG19" s="270">
        <f>IF(COUNT(AC19:AF19)=4,SUM(AC19:AF19),"")</f>
        <v>18091</v>
      </c>
      <c r="AH19" s="270">
        <f>IFERROR(INDEX('Inputs (2)'!$D$53:$AL$53,MATCH(AH$7&amp;"",'Inputs (2)'!$D$2:$AL$2,0)),"")</f>
        <v>4981</v>
      </c>
      <c r="AI19" s="270">
        <f>IFERROR(INDEX('Inputs (2)'!$D$53:$AL$53,MATCH(AI$7&amp;"",'Inputs (2)'!$D$2:$AL$2,0)),"")</f>
        <v>4922</v>
      </c>
    </row>
    <row r="20">
      <c r="C20" s="268" t="inlineStr">
        <is>
          <t xml:space="preserve">   Processamento de dados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2996</v>
      </c>
      <c r="J20" s="269">
        <f>IFERROR(INDEX('Inputs (2)'!$D$54:$AL$54,MATCH(J$7&amp;"",'Inputs (2)'!$D$2:$AL$2,0)),"")</f>
        <v>3327</v>
      </c>
      <c r="K20" s="269">
        <f>IFERROR(INDEX('Inputs (2)'!$D$54:$AL$54,MATCH(K$7&amp;"",'Inputs (2)'!$D$2:$AL$2,0)),"")</f>
        <v>3436</v>
      </c>
      <c r="L20" s="269">
        <f>IFERROR(INDEX('Inputs (2)'!$D$54:$AL$54,MATCH(L$7&amp;"",'Inputs (2)'!$D$2:$AL$2,0)),"")</f>
        <v>3614</v>
      </c>
      <c r="M20" s="270">
        <f>IF(COUNT(I20:L20)=4,SUM(I20:L20),"")</f>
        <v>13373</v>
      </c>
      <c r="N20" s="269">
        <f>IFERROR(INDEX('Inputs (2)'!$D$54:$AL$54,MATCH(N$7&amp;"",'Inputs (2)'!$D$2:$AL$2,0)),"")</f>
        <v>3480</v>
      </c>
      <c r="O20" s="269">
        <f>IFERROR(INDEX('Inputs (2)'!$D$54:$AL$54,MATCH(O$7&amp;"",'Inputs (2)'!$D$2:$AL$2,0)),"")</f>
        <v>3579</v>
      </c>
      <c r="P20" s="269">
        <f>IFERROR(INDEX('Inputs (2)'!$D$54:$AL$54,MATCH(P$7&amp;"",'Inputs (2)'!$D$2:$AL$2,0)),"")</f>
        <v>3765</v>
      </c>
      <c r="Q20" s="269">
        <f>IFERROR(INDEX('Inputs (2)'!$D$54:$AL$54,MATCH(Q$7&amp;"",'Inputs (2)'!$D$2:$AL$2,0)),"")</f>
        <v>3827</v>
      </c>
      <c r="R20" s="270">
        <f>IF(COUNT(N20:Q20)=4,SUM(N20:Q20),"")</f>
        <v>14651</v>
      </c>
      <c r="S20" s="269">
        <f>IFERROR(INDEX('Inputs (2)'!$D$54:$AL$54,MATCH(S$7&amp;"",'Inputs (2)'!$D$2:$AL$2,0)),"")</f>
        <v>3819</v>
      </c>
      <c r="T20" s="269">
        <f>IFERROR(INDEX('Inputs (2)'!$D$54:$AL$54,MATCH(T$7&amp;"",'Inputs (2)'!$D$2:$AL$2,0)),"")</f>
        <v>4105</v>
      </c>
      <c r="U20" s="269">
        <f>IFERROR(INDEX('Inputs (2)'!$D$54:$AL$54,MATCH(U$7&amp;"",'Inputs (2)'!$D$2:$AL$2,0)),"")</f>
        <v>4256</v>
      </c>
      <c r="V20" s="269">
        <f>IFERROR(INDEX('Inputs (2)'!$D$54:$AL$54,MATCH(V$7&amp;"",'Inputs (2)'!$D$2:$AL$2,0)),"")</f>
        <v>4356</v>
      </c>
      <c r="W20" s="270">
        <f>IF(COUNT(S20:V20)=4,SUM(S20:V20),"")</f>
        <v>16536</v>
      </c>
      <c r="X20" s="269">
        <f>IFERROR(INDEX('Inputs (2)'!$D$54:$AL$54,MATCH(X$7&amp;"",'Inputs (2)'!$D$2:$AL$2,0)),"")</f>
        <v>4259</v>
      </c>
      <c r="Y20" s="269">
        <f>IFERROR(INDEX('Inputs (2)'!$D$54:$AL$54,MATCH(Y$7&amp;"",'Inputs (2)'!$D$2:$AL$2,0)),"")</f>
        <v>4489</v>
      </c>
      <c r="Z20" s="269">
        <f>IFERROR(INDEX('Inputs (2)'!$D$54:$AL$54,MATCH(Z$7&amp;"",'Inputs (2)'!$D$2:$AL$2,0)),"")</f>
        <v>4610</v>
      </c>
      <c r="AA20" s="269">
        <f>IFERROR(INDEX('Inputs (2)'!$D$54:$AL$54,MATCH(AA$7&amp;"",'Inputs (2)'!$D$2:$AL$2,0)),"")</f>
        <v>4745</v>
      </c>
      <c r="AB20" s="270">
        <f>IF(COUNT(X20:AA20)=4,SUM(X20:AA20),"")</f>
        <v>18103</v>
      </c>
      <c r="AC20" s="269">
        <f>IFERROR(INDEX('Inputs (2)'!$D$54:$AL$54,MATCH(AC$7&amp;"",'Inputs (2)'!$D$2:$AL$2,0)),"")</f>
        <v>4701</v>
      </c>
      <c r="AD20" s="269">
        <f>IFERROR(INDEX('Inputs (2)'!$D$54:$AL$54,MATCH(AD$7&amp;"",'Inputs (2)'!$D$2:$AL$2,0)),"")</f>
        <v>5153</v>
      </c>
      <c r="AE20" s="269">
        <f>IFERROR(INDEX('Inputs (2)'!$D$54:$AL$54,MATCH(AE$7&amp;"",'Inputs (2)'!$D$2:$AL$2,0)),"")</f>
        <v>5394</v>
      </c>
      <c r="AF20" s="269">
        <f>IFERROR(INDEX('Inputs (2)'!$D$54:$AL$54,MATCH(AF$7&amp;"",'Inputs (2)'!$D$2:$AL$2,0)),"")</f>
        <v>5544</v>
      </c>
      <c r="AG20" s="270">
        <f>IF(COUNT(AC20:AF20)=4,SUM(AC20:AF20),"")</f>
        <v>20792</v>
      </c>
      <c r="AH20" s="270">
        <f>IFERROR(INDEX('Inputs (2)'!$D$54:$AL$54,MATCH(AH$7&amp;"",'Inputs (2)'!$D$2:$AL$2,0)),"")</f>
        <v>5543</v>
      </c>
      <c r="AI20" s="270">
        <f>IFERROR(INDEX('Inputs (2)'!$D$54:$AL$54,MATCH(AI$7&amp;"",'Inputs (2)'!$D$2:$AL$2,0)),"")</f>
        <v>6042</v>
      </c>
    </row>
    <row r="21">
      <c r="C21" s="268" t="inlineStr">
        <is>
          <t xml:space="preserve">   Transações internacionais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>
        <f>IFERROR(INDEX('Inputs (2)'!$D$55:$AL$55,MATCH(I$7&amp;"",'Inputs (2)'!$D$2:$AL$2,0)),"")</f>
        <v>1488</v>
      </c>
      <c r="J21" s="269">
        <f>IFERROR(INDEX('Inputs (2)'!$D$55:$AL$55,MATCH(J$7&amp;"",'Inputs (2)'!$D$2:$AL$2,0)),"")</f>
        <v>1696</v>
      </c>
      <c r="K21" s="269">
        <f>IFERROR(INDEX('Inputs (2)'!$D$55:$AL$55,MATCH(K$7&amp;"",'Inputs (2)'!$D$2:$AL$2,0)),"")</f>
        <v>1895</v>
      </c>
      <c r="L21" s="269">
        <f>IFERROR(INDEX('Inputs (2)'!$D$55:$AL$55,MATCH(L$7&amp;"",'Inputs (2)'!$D$2:$AL$2,0)),"")</f>
        <v>2174</v>
      </c>
      <c r="M21" s="270">
        <f>IF(COUNT(I21:L21)=4,SUM(I21:L21),"")</f>
        <v>7253</v>
      </c>
      <c r="N21" s="269">
        <f>IFERROR(INDEX('Inputs (2)'!$D$55:$AL$55,MATCH(N$7&amp;"",'Inputs (2)'!$D$2:$AL$2,0)),"")</f>
        <v>2208</v>
      </c>
      <c r="O21" s="269">
        <f>IFERROR(INDEX('Inputs (2)'!$D$55:$AL$55,MATCH(O$7&amp;"",'Inputs (2)'!$D$2:$AL$2,0)),"")</f>
        <v>2560</v>
      </c>
      <c r="P21" s="269">
        <f>IFERROR(INDEX('Inputs (2)'!$D$55:$AL$55,MATCH(P$7&amp;"",'Inputs (2)'!$D$2:$AL$2,0)),"")</f>
        <v>2873</v>
      </c>
      <c r="Q21" s="269">
        <f>IFERROR(INDEX('Inputs (2)'!$D$55:$AL$55,MATCH(Q$7&amp;"",'Inputs (2)'!$D$2:$AL$2,0)),"")</f>
        <v>2797</v>
      </c>
      <c r="R21" s="270">
        <f>IF(COUNT(N21:Q21)=4,SUM(N21:Q21),"")</f>
        <v>10438</v>
      </c>
      <c r="S21" s="269">
        <f>IFERROR(INDEX('Inputs (2)'!$D$55:$AL$55,MATCH(S$7&amp;"",'Inputs (2)'!$D$2:$AL$2,0)),"")</f>
        <v>2749</v>
      </c>
      <c r="T21" s="269">
        <f>IFERROR(INDEX('Inputs (2)'!$D$55:$AL$55,MATCH(T$7&amp;"",'Inputs (2)'!$D$2:$AL$2,0)),"")</f>
        <v>2920</v>
      </c>
      <c r="U21" s="269">
        <f>IFERROR(INDEX('Inputs (2)'!$D$55:$AL$55,MATCH(U$7&amp;"",'Inputs (2)'!$D$2:$AL$2,0)),"")</f>
        <v>3172</v>
      </c>
      <c r="V21" s="269">
        <f>IFERROR(INDEX('Inputs (2)'!$D$55:$AL$55,MATCH(V$7&amp;"",'Inputs (2)'!$D$2:$AL$2,0)),"")</f>
        <v>3019</v>
      </c>
      <c r="W21" s="270">
        <f>IF(COUNT(S21:V21)=4,SUM(S21:V21),"")</f>
        <v>11860</v>
      </c>
      <c r="X21" s="269">
        <f>IFERROR(INDEX('Inputs (2)'!$D$55:$AL$55,MATCH(X$7&amp;"",'Inputs (2)'!$D$2:$AL$2,0)),"")</f>
        <v>2984</v>
      </c>
      <c r="Y21" s="269">
        <f>IFERROR(INDEX('Inputs (2)'!$D$55:$AL$55,MATCH(Y$7&amp;"",'Inputs (2)'!$D$2:$AL$2,0)),"")</f>
        <v>3194</v>
      </c>
      <c r="Z21" s="269">
        <f>IFERROR(INDEX('Inputs (2)'!$D$55:$AL$55,MATCH(Z$7&amp;"",'Inputs (2)'!$D$2:$AL$2,0)),"")</f>
        <v>3468</v>
      </c>
      <c r="AA21" s="269">
        <f>IFERROR(INDEX('Inputs (2)'!$D$55:$AL$55,MATCH(AA$7&amp;"",'Inputs (2)'!$D$2:$AL$2,0)),"")</f>
        <v>3442</v>
      </c>
      <c r="AB21" s="270">
        <f>IF(COUNT(X21:AA21)=4,SUM(X21:AA21),"")</f>
        <v>13088</v>
      </c>
      <c r="AC21" s="269">
        <f>IFERROR(INDEX('Inputs (2)'!$D$55:$AL$55,MATCH(AC$7&amp;"",'Inputs (2)'!$D$2:$AL$2,0)),"")</f>
        <v>3291</v>
      </c>
      <c r="AD21" s="269">
        <f>IFERROR(INDEX('Inputs (2)'!$D$55:$AL$55,MATCH(AD$7&amp;"",'Inputs (2)'!$D$2:$AL$2,0)),"")</f>
        <v>3633</v>
      </c>
      <c r="AE21" s="269">
        <f>IFERROR(INDEX('Inputs (2)'!$D$55:$AL$55,MATCH(AE$7&amp;"",'Inputs (2)'!$D$2:$AL$2,0)),"")</f>
        <v>3800</v>
      </c>
      <c r="AF21" s="269">
        <f>IFERROR(INDEX('Inputs (2)'!$D$55:$AL$55,MATCH(AF$7&amp;"",'Inputs (2)'!$D$2:$AL$2,0)),"")</f>
        <v>3652</v>
      </c>
      <c r="AG21" s="270">
        <f>IF(COUNT(AC21:AF21)=4,SUM(AC21:AF21),"")</f>
        <v>14376</v>
      </c>
      <c r="AH21" s="270">
        <f>IFERROR(INDEX('Inputs (2)'!$D$55:$AL$55,MATCH(AH$7&amp;"",'Inputs (2)'!$D$2:$AL$2,0)),"")</f>
        <v>3631</v>
      </c>
      <c r="AI21" s="270">
        <f>IFERROR(INDEX('Inputs (2)'!$D$55:$AL$55,MATCH(AI$7&amp;"",'Inputs (2)'!$D$2:$AL$2,0)),"")</f>
        <v>3853</v>
      </c>
    </row>
    <row r="22">
      <c r="C22" s="268" t="inlineStr">
        <is>
          <t xml:space="preserve">   Outras</t>
        </is>
      </c>
      <c r="D22" s="269" t="str">
        <f>IFERROR(INDEX('Inputs (2)'!$D$56:$AL$56,MATCH(D$7&amp;"",'Inputs (2)'!$D$2:$AL$2,0)),"")</f>
        <v/>
      </c>
      <c r="E22" s="269" t="str">
        <f>IFERROR(INDEX('Inputs (2)'!$D$56:$AL$56,MATCH(E$7&amp;"",'Inputs (2)'!$D$2:$AL$2,0)),"")</f>
        <v/>
      </c>
      <c r="F22" s="269" t="str">
        <f>IFERROR(INDEX('Inputs (2)'!$D$56:$AL$56,MATCH(F$7&amp;"",'Inputs (2)'!$D$2:$AL$2,0)),"")</f>
        <v/>
      </c>
      <c r="G22" s="269" t="str">
        <f>IFERROR(INDEX('Inputs (2)'!$D$56:$AL$56,MATCH(G$7&amp;"",'Inputs (2)'!$D$2:$AL$2,0)),"")</f>
        <v/>
      </c>
      <c r="H22" s="270" t="str">
        <f>IF(COUNT(D22:G22)=4,SUM(D22:G22),"")</f>
        <v/>
      </c>
      <c r="I22" s="269">
        <f>IFERROR(INDEX('Inputs (2)'!$D$56:$AL$56,MATCH(I$7&amp;"",'Inputs (2)'!$D$2:$AL$2,0)),"")</f>
        <v>392</v>
      </c>
      <c r="J22" s="269">
        <f>IFERROR(INDEX('Inputs (2)'!$D$56:$AL$56,MATCH(J$7&amp;"",'Inputs (2)'!$D$2:$AL$2,0)),"")</f>
        <v>409</v>
      </c>
      <c r="K22" s="269">
        <f>IFERROR(INDEX('Inputs (2)'!$D$56:$AL$56,MATCH(K$7&amp;"",'Inputs (2)'!$D$2:$AL$2,0)),"")</f>
        <v>490</v>
      </c>
      <c r="L22" s="269">
        <f>IFERROR(INDEX('Inputs (2)'!$D$56:$AL$56,MATCH(L$7&amp;"",'Inputs (2)'!$D$2:$AL$2,0)),"")</f>
        <v>449</v>
      </c>
      <c r="M22" s="270">
        <f>IF(COUNT(I22:L22)=4,SUM(I22:L22),"")</f>
        <v>1740</v>
      </c>
      <c r="N22" s="269">
        <f>IFERROR(INDEX('Inputs (2)'!$D$56:$AL$56,MATCH(N$7&amp;"",'Inputs (2)'!$D$2:$AL$2,0)),"")</f>
        <v>474</v>
      </c>
      <c r="O22" s="269">
        <f>IFERROR(INDEX('Inputs (2)'!$D$56:$AL$56,MATCH(O$7&amp;"",'Inputs (2)'!$D$2:$AL$2,0)),"")</f>
        <v>517</v>
      </c>
      <c r="P22" s="269">
        <f>IFERROR(INDEX('Inputs (2)'!$D$56:$AL$56,MATCH(P$7&amp;"",'Inputs (2)'!$D$2:$AL$2,0)),"")</f>
        <v>551</v>
      </c>
      <c r="Q22" s="269">
        <f>IFERROR(INDEX('Inputs (2)'!$D$56:$AL$56,MATCH(Q$7&amp;"",'Inputs (2)'!$D$2:$AL$2,0)),"")</f>
        <v>587</v>
      </c>
      <c r="R22" s="270">
        <f>IF(COUNT(N22:Q22)=4,SUM(N22:Q22),"")</f>
        <v>2129</v>
      </c>
      <c r="S22" s="269">
        <f>IFERROR(INDEX('Inputs (2)'!$D$56:$AL$56,MATCH(S$7&amp;"",'Inputs (2)'!$D$2:$AL$2,0)),"")</f>
        <v>551</v>
      </c>
      <c r="T22" s="269">
        <f>IFERROR(INDEX('Inputs (2)'!$D$56:$AL$56,MATCH(T$7&amp;"",'Inputs (2)'!$D$2:$AL$2,0)),"")</f>
        <v>597</v>
      </c>
      <c r="U22" s="269">
        <f>IFERROR(INDEX('Inputs (2)'!$D$56:$AL$56,MATCH(U$7&amp;"",'Inputs (2)'!$D$2:$AL$2,0)),"")</f>
        <v>744</v>
      </c>
      <c r="V22" s="269">
        <f>IFERROR(INDEX('Inputs (2)'!$D$56:$AL$56,MATCH(V$7&amp;"",'Inputs (2)'!$D$2:$AL$2,0)),"")</f>
        <v>692</v>
      </c>
      <c r="W22" s="270">
        <f>IF(COUNT(S22:V22)=4,SUM(S22:V22),"")</f>
        <v>2584</v>
      </c>
      <c r="X22" s="269">
        <f>IFERROR(INDEX('Inputs (2)'!$D$56:$AL$56,MATCH(X$7&amp;"",'Inputs (2)'!$D$2:$AL$2,0)),"")</f>
        <v>756</v>
      </c>
      <c r="Y22" s="269">
        <f>IFERROR(INDEX('Inputs (2)'!$D$56:$AL$56,MATCH(Y$7&amp;"",'Inputs (2)'!$D$2:$AL$2,0)),"")</f>
        <v>780</v>
      </c>
      <c r="Z22" s="269">
        <f>IFERROR(INDEX('Inputs (2)'!$D$56:$AL$56,MATCH(Z$7&amp;"",'Inputs (2)'!$D$2:$AL$2,0)),"")</f>
        <v>969</v>
      </c>
      <c r="AA22" s="269">
        <f>IFERROR(INDEX('Inputs (2)'!$D$56:$AL$56,MATCH(AA$7&amp;"",'Inputs (2)'!$D$2:$AL$2,0)),"")</f>
        <v>912</v>
      </c>
      <c r="AB22" s="270">
        <f>IF(COUNT(X22:AA22)=4,SUM(X22:AA22),"")</f>
        <v>3417</v>
      </c>
      <c r="AC22" s="269">
        <f>IFERROR(INDEX('Inputs (2)'!$D$56:$AL$56,MATCH(AC$7&amp;"",'Inputs (2)'!$D$2:$AL$2,0)),"")</f>
        <v>937</v>
      </c>
      <c r="AD22" s="269">
        <f>IFERROR(INDEX('Inputs (2)'!$D$56:$AL$56,MATCH(AD$7&amp;"",'Inputs (2)'!$D$2:$AL$2,0)),"")</f>
        <v>1028</v>
      </c>
      <c r="AE22" s="269">
        <f>IFERROR(INDEX('Inputs (2)'!$D$56:$AL$56,MATCH(AE$7&amp;"",'Inputs (2)'!$D$2:$AL$2,0)),"")</f>
        <v>1176</v>
      </c>
      <c r="AF22" s="269">
        <f>IFERROR(INDEX('Inputs (2)'!$D$56:$AL$56,MATCH(AF$7&amp;"",'Inputs (2)'!$D$2:$AL$2,0)),"")</f>
        <v>1214</v>
      </c>
      <c r="AG22" s="270">
        <f>IF(COUNT(AC22:AF22)=4,SUM(AC22:AF22),"")</f>
        <v>4355</v>
      </c>
      <c r="AH22" s="270">
        <f>IFERROR(INDEX('Inputs (2)'!$D$56:$AL$56,MATCH(AH$7&amp;"",'Inputs (2)'!$D$2:$AL$2,0)),"")</f>
        <v>1320</v>
      </c>
      <c r="AI22" s="270">
        <f>IFERROR(INDEX('Inputs (2)'!$D$56:$AL$56,MATCH(AI$7&amp;"",'Inputs (2)'!$D$2:$AL$2,0)),"")</f>
        <v>1496</v>
      </c>
    </row>
    <row r="23">
      <c r="C23" s="268" t="inlineStr">
        <is>
          <t xml:space="preserve">   (-) Incentivos a clientes</t>
        </is>
      </c>
      <c r="D23" s="269" t="str">
        <f>IFERROR(INDEX('Inputs (2)'!$D$57:$AL$57,MATCH(D$7&amp;"",'Inputs (2)'!$D$2:$AL$2,0)),"")</f>
        <v/>
      </c>
      <c r="E23" s="269" t="str">
        <f>IFERROR(INDEX('Inputs (2)'!$D$57:$AL$57,MATCH(E$7&amp;"",'Inputs (2)'!$D$2:$AL$2,0)),"")</f>
        <v/>
      </c>
      <c r="F23" s="269" t="str">
        <f>IFERROR(INDEX('Inputs (2)'!$D$57:$AL$57,MATCH(F$7&amp;"",'Inputs (2)'!$D$2:$AL$2,0)),"")</f>
        <v/>
      </c>
      <c r="G23" s="269" t="str">
        <f>IFERROR(INDEX('Inputs (2)'!$D$57:$AL$57,MATCH(G$7&amp;"",'Inputs (2)'!$D$2:$AL$2,0)),"")</f>
        <v/>
      </c>
      <c r="H23" s="270" t="str">
        <f>IF(COUNT(D23:G23)=4,SUM(D23:G23),"")</f>
        <v/>
      </c>
      <c r="I23" s="269">
        <f>IFERROR(INDEX('Inputs (2)'!$D$57:$AL$57,MATCH(I$7&amp;"",'Inputs (2)'!$D$2:$AL$2,0)),"")</f>
        <v>-1992</v>
      </c>
      <c r="J23" s="269">
        <f>IFERROR(INDEX('Inputs (2)'!$D$57:$AL$57,MATCH(J$7&amp;"",'Inputs (2)'!$D$2:$AL$2,0)),"")</f>
        <v>-2130</v>
      </c>
      <c r="K23" s="269">
        <f>IFERROR(INDEX('Inputs (2)'!$D$57:$AL$57,MATCH(K$7&amp;"",'Inputs (2)'!$D$2:$AL$2,0)),"")</f>
        <v>-2387</v>
      </c>
      <c r="L23" s="269">
        <f>IFERROR(INDEX('Inputs (2)'!$D$57:$AL$57,MATCH(L$7&amp;"",'Inputs (2)'!$D$2:$AL$2,0)),"")</f>
        <v>-2371</v>
      </c>
      <c r="M23" s="270">
        <f>IF(COUNT(I23:L23)=4,SUM(I23:L23),"")</f>
        <v>-8880</v>
      </c>
      <c r="N23" s="269">
        <f>IFERROR(INDEX('Inputs (2)'!$D$57:$AL$57,MATCH(N$7&amp;"",'Inputs (2)'!$D$2:$AL$2,0)),"")</f>
        <v>-2494</v>
      </c>
      <c r="O23" s="269">
        <f>IFERROR(INDEX('Inputs (2)'!$D$57:$AL$57,MATCH(O$7&amp;"",'Inputs (2)'!$D$2:$AL$2,0)),"")</f>
        <v>-2570</v>
      </c>
      <c r="P23" s="269">
        <f>IFERROR(INDEX('Inputs (2)'!$D$57:$AL$57,MATCH(P$7&amp;"",'Inputs (2)'!$D$2:$AL$2,0)),"")</f>
        <v>-2860</v>
      </c>
      <c r="Q23" s="269">
        <f>IFERROR(INDEX('Inputs (2)'!$D$57:$AL$57,MATCH(Q$7&amp;"",'Inputs (2)'!$D$2:$AL$2,0)),"")</f>
        <v>-2786</v>
      </c>
      <c r="R23" s="270">
        <f>IF(COUNT(N23:Q23)=4,SUM(N23:Q23),"")</f>
        <v>-10710</v>
      </c>
      <c r="S23" s="269">
        <f>IFERROR(INDEX('Inputs (2)'!$D$57:$AL$57,MATCH(S$7&amp;"",'Inputs (2)'!$D$2:$AL$2,0)),"")</f>
        <v>-2905</v>
      </c>
      <c r="T23" s="269">
        <f>IFERROR(INDEX('Inputs (2)'!$D$57:$AL$57,MATCH(T$7&amp;"",'Inputs (2)'!$D$2:$AL$2,0)),"")</f>
        <v>-3167</v>
      </c>
      <c r="U23" s="269">
        <f>IFERROR(INDEX('Inputs (2)'!$D$57:$AL$57,MATCH(U$7&amp;"",'Inputs (2)'!$D$2:$AL$2,0)),"")</f>
        <v>-3439</v>
      </c>
      <c r="V23" s="269">
        <f>IFERROR(INDEX('Inputs (2)'!$D$57:$AL$57,MATCH(V$7&amp;"",'Inputs (2)'!$D$2:$AL$2,0)),"")</f>
        <v>-3348</v>
      </c>
      <c r="W23" s="270">
        <f>IF(COUNT(S23:V23)=4,SUM(S23:V23),"")</f>
        <v>-12859</v>
      </c>
      <c r="X23" s="269">
        <f>IFERROR(INDEX('Inputs (2)'!$D$57:$AL$57,MATCH(X$7&amp;"",'Inputs (2)'!$D$2:$AL$2,0)),"")</f>
        <v>-3257</v>
      </c>
      <c r="Y23" s="269">
        <f>IFERROR(INDEX('Inputs (2)'!$D$57:$AL$57,MATCH(Y$7&amp;"",'Inputs (2)'!$D$2:$AL$2,0)),"")</f>
        <v>-3530</v>
      </c>
      <c r="Z23" s="269">
        <f>IFERROR(INDEX('Inputs (2)'!$D$57:$AL$57,MATCH(Z$7&amp;"",'Inputs (2)'!$D$2:$AL$2,0)),"")</f>
        <v>-3629</v>
      </c>
      <c r="AA23" s="269">
        <f>IFERROR(INDEX('Inputs (2)'!$D$57:$AL$57,MATCH(AA$7&amp;"",'Inputs (2)'!$D$2:$AL$2,0)),"")</f>
        <v>-3797</v>
      </c>
      <c r="AB23" s="270">
        <f>IF(COUNT(X23:AA23)=4,SUM(X23:AA23),"")</f>
        <v>-14213</v>
      </c>
      <c r="AC23" s="269">
        <f>IFERROR(INDEX('Inputs (2)'!$D$57:$AL$57,MATCH(AC$7&amp;"",'Inputs (2)'!$D$2:$AL$2,0)),"")</f>
        <v>-3734</v>
      </c>
      <c r="AD23" s="269">
        <f>IFERROR(INDEX('Inputs (2)'!$D$57:$AL$57,MATCH(AD$7&amp;"",'Inputs (2)'!$D$2:$AL$2,0)),"")</f>
        <v>-3972</v>
      </c>
      <c r="AE23" s="269">
        <f>IFERROR(INDEX('Inputs (2)'!$D$57:$AL$57,MATCH(AE$7&amp;"",'Inputs (2)'!$D$2:$AL$2,0)),"")</f>
        <v>-4248</v>
      </c>
      <c r="AF23" s="269">
        <f>IFERROR(INDEX('Inputs (2)'!$D$57:$AL$57,MATCH(AF$7&amp;"",'Inputs (2)'!$D$2:$AL$2,0)),"")</f>
        <v>-4269</v>
      </c>
      <c r="AG23" s="270">
        <f>IF(COUNT(AC23:AF23)=4,SUM(AC23:AF23),"")</f>
        <v>-16223</v>
      </c>
      <c r="AH23" s="270">
        <f>IFERROR(INDEX('Inputs (2)'!$D$57:$AL$57,MATCH(AH$7&amp;"",'Inputs (2)'!$D$2:$AL$2,0)),"")</f>
        <v>-4245</v>
      </c>
      <c r="AI23" s="270">
        <f>IFERROR(INDEX('Inputs (2)'!$D$57:$AL$57,MATCH(AI$7&amp;"",'Inputs (2)'!$D$2:$AL$2,0)),"")</f>
        <v>-4680</v>
      </c>
    </row>
    <row r="24">
      <c r="C24" s="271" t="inlineStr">
        <is>
          <t>Receita líquida (soma)</t>
        </is>
      </c>
      <c r="D24" s="269" t="str">
        <f>IF(COUNT(D19,D20,D21,D22,D23)=0,"",N(D19)+N(D20)+N(D21)+N(D22)+N(D23))</f>
        <v/>
      </c>
      <c r="E24" s="269" t="str">
        <f>IF(COUNT(E19,E20,E21,E22,E23)=0,"",N(E19)+N(E20)+N(E21)+N(E22)+N(E23))</f>
        <v/>
      </c>
      <c r="F24" s="269" t="str">
        <f>IF(COUNT(F19,F20,F21,F22,F23)=0,"",N(F19)+N(F20)+N(F21)+N(F22)+N(F23))</f>
        <v/>
      </c>
      <c r="G24" s="269" t="str">
        <f>IF(COUNT(G19,G20,G21,G22,G23)=0,"",N(G19)+N(G20)+N(G21)+N(G22)+N(G23))</f>
        <v/>
      </c>
      <c r="H24" s="270" t="str">
        <f>IF(COUNT(H19,H20,H21,H22,H23)=0,"",N(H19)+N(H20)+N(H21)+N(H22)+N(H23))</f>
        <v/>
      </c>
      <c r="I24" s="269">
        <f>IF(COUNT(I19,I20,I21,I22,I23)=0,"",N(I19)+N(I20)+N(I21)+N(I22)+N(I23))</f>
        <v>5729</v>
      </c>
      <c r="J24" s="269">
        <f>IF(COUNT(J19,J20,J21,J22,J23)=0,"",N(J19)+N(J20)+N(J21)+N(J22)+N(J23))</f>
        <v>6130</v>
      </c>
      <c r="K24" s="269">
        <f>IF(COUNT(K19,K20,K21,K22,K23)=0,"",N(K19)+N(K20)+N(K21)+N(K22)+N(K23))</f>
        <v>6559</v>
      </c>
      <c r="L24" s="269">
        <f>IF(COUNT(L19,L20,L21,L22,L23)=0,"",N(L19)+N(L20)+N(L21)+N(L22)+N(L23))</f>
        <v>7059</v>
      </c>
      <c r="M24" s="270">
        <f>IF(COUNT(M19,M20,M21,M22,M23)=0,"",N(M19)+N(M20)+N(M21)+N(M22)+N(M23))</f>
        <v>25477</v>
      </c>
      <c r="N24" s="269">
        <f>IF(COUNT(N19,N20,N21,N22,N23)=0,"",N(N19)+N(N20)+N(N21)+N(N22)+N(N23))</f>
        <v>7189</v>
      </c>
      <c r="O24" s="269">
        <f>IF(COUNT(O19,O20,O21,O22,O23)=0,"",N(O19)+N(O20)+N(O21)+N(O22)+N(O23))</f>
        <v>7275</v>
      </c>
      <c r="P24" s="269">
        <f>IF(COUNT(P19,P20,P21,P22,P23)=0,"",N(P19)+N(P20)+N(P21)+N(P22)+N(P23))</f>
        <v>7787</v>
      </c>
      <c r="Q24" s="269">
        <f>IF(COUNT(Q19,Q20,Q21,Q22,Q23)=0,"",N(Q19)+N(Q20)+N(Q21)+N(Q22)+N(Q23))</f>
        <v>7936</v>
      </c>
      <c r="R24" s="270">
        <f>IF(COUNT(R19,R20,R21,R22,R23)=0,"",N(R19)+N(R20)+N(R21)+N(R22)+N(R23))</f>
        <v>30187</v>
      </c>
      <c r="S24" s="269">
        <f>IF(COUNT(S19,S20,S21,S22,S23)=0,"",N(S19)+N(S20)+N(S21)+N(S22)+N(S23))</f>
        <v>7985</v>
      </c>
      <c r="T24" s="269">
        <f>IF(COUNT(T19,T20,T21,T22,T23)=0,"",N(T19)+N(T20)+N(T21)+N(T22)+N(T23))</f>
        <v>8123</v>
      </c>
      <c r="U24" s="269">
        <f>IF(COUNT(U19,U20,U21,U22,U23)=0,"",N(U19)+N(U20)+N(U21)+N(U22)+N(U23))</f>
        <v>8609</v>
      </c>
      <c r="V24" s="269">
        <f>IF(COUNT(V19,V20,V21,V22,V23)=0,"",N(V19)+N(V20)+N(V21)+N(V22)+N(V23))</f>
        <v>8634</v>
      </c>
      <c r="W24" s="270">
        <f>IF(COUNT(W19,W20,W21,W22,W23)=0,"",N(W19)+N(W20)+N(W21)+N(W22)+N(W23))</f>
        <v>33351</v>
      </c>
      <c r="X24" s="269">
        <f>IF(COUNT(X19,X20,X21,X22,X23)=0,"",N(X19)+N(X20)+N(X21)+N(X22)+N(X23))</f>
        <v>8775</v>
      </c>
      <c r="Y24" s="269">
        <f>IF(COUNT(Y19,Y20,Y21,Y22,Y23)=0,"",N(Y19)+N(Y20)+N(Y21)+N(Y22)+N(Y23))</f>
        <v>8900</v>
      </c>
      <c r="Z24" s="269">
        <f>IF(COUNT(Z19,Z20,Z21,Z22,Z23)=0,"",N(Z19)+N(Z20)+N(Z21)+N(Z22)+N(Z23))</f>
        <v>9617</v>
      </c>
      <c r="AA24" s="269">
        <f>IF(COUNT(AA19,AA20,AA21,AA22,AA23)=0,"",N(AA19)+N(AA20)+N(AA21)+N(AA22)+N(AA23))</f>
        <v>9510</v>
      </c>
      <c r="AB24" s="270">
        <f>IF(COUNT(AB19,AB20,AB21,AB22,AB23)=0,"",N(AB19)+N(AB20)+N(AB21)+N(AB22)+N(AB23))</f>
        <v>36802</v>
      </c>
      <c r="AC24" s="269">
        <f>IF(COUNT(AC19,AC20,AC21,AC22,AC23)=0,"",N(AC19)+N(AC20)+N(AC21)+N(AC22)+N(AC23))</f>
        <v>9594</v>
      </c>
      <c r="AD24" s="269">
        <f>IF(COUNT(AD19,AD20,AD21,AD22,AD23)=0,"",N(AD19)+N(AD20)+N(AD21)+N(AD22)+N(AD23))</f>
        <v>10172</v>
      </c>
      <c r="AE24" s="269">
        <f>IF(COUNT(AE19,AE20,AE21,AE22,AE23)=0,"",N(AE19)+N(AE20)+N(AE21)+N(AE22)+N(AE23))</f>
        <v>10724</v>
      </c>
      <c r="AF24" s="269">
        <f>IF(COUNT(AF19,AF20,AF21,AF22,AF23)=0,"",N(AF19)+N(AF20)+N(AF21)+N(AF22)+N(AF23))</f>
        <v>10901</v>
      </c>
      <c r="AG24" s="270">
        <f>IF(COUNT(AG19,AG20,AG21,AG22,AG23)=0,"",N(AG19)+N(AG20)+N(AG21)+N(AG22)+N(AG23))</f>
        <v>41391</v>
      </c>
      <c r="AH24" s="270">
        <f>IF(COUNT(AH19,AH20,AH21,AH22,AH23)=0,"",N(AH19)+N(AH20)+N(AH21)+N(AH22)+N(AH23))</f>
        <v>11230</v>
      </c>
      <c r="AI24" s="270">
        <f>IF(COUNT(AI19,AI20,AI21,AI22,AI23)=0,"",N(AI19)+N(AI20)+N(AI21)+N(AI22)+N(AI23))</f>
        <v>11633</v>
      </c>
    </row>
    <row r="25">
      <c r="C25" s="268" t="inlineStr">
        <is>
          <t>Check vs Net Revenues (linha 15)</t>
        </is>
      </c>
      <c r="D25" s="269" t="str">
        <f>IF(COUNT(D24)=0,"",ROUND(D15-D24,1))</f>
        <v/>
      </c>
      <c r="E25" s="269" t="str">
        <f>IF(COUNT(E24)=0,"",ROUND(E15-E24,1))</f>
        <v/>
      </c>
      <c r="F25" s="269" t="str">
        <f>IF(COUNT(F24)=0,"",ROUND(F15-F24,1))</f>
        <v/>
      </c>
      <c r="G25" s="269" t="str">
        <f>IF(COUNT(G24)=0,"",ROUND(G15-G24,1))</f>
        <v/>
      </c>
      <c r="H25" s="270" t="str">
        <f>IF(COUNT(H24)=0,"",ROUND(H15-H24,1))</f>
        <v/>
      </c>
      <c r="I25" s="269">
        <f>IF(COUNT(I24)=0,"",ROUND(I15-I24,1))</f>
        <v>0</v>
      </c>
      <c r="J25" s="269">
        <f>IF(COUNT(J24)=0,"",ROUND(J15-J24,1))</f>
        <v>0</v>
      </c>
      <c r="K25" s="269">
        <f>IF(COUNT(K24)=0,"",ROUND(K15-K24,1))</f>
        <v>0</v>
      </c>
      <c r="L25" s="269">
        <f>IF(COUNT(L24)=0,"",ROUND(L15-L24,1))</f>
        <v>0</v>
      </c>
      <c r="M25" s="270">
        <f>IF(COUNT(M24)=0,"",ROUND(M15-M24,1))</f>
        <v>0</v>
      </c>
      <c r="N25" s="269">
        <f>IF(COUNT(N24)=0,"",ROUND(N15-N24,1))</f>
        <v>0</v>
      </c>
      <c r="O25" s="269">
        <f>IF(COUNT(O24)=0,"",ROUND(O15-O24,1))</f>
        <v>0</v>
      </c>
      <c r="P25" s="269">
        <f>IF(COUNT(P24)=0,"",ROUND(P15-P24,1))</f>
        <v>0</v>
      </c>
      <c r="Q25" s="269">
        <f>IF(COUNT(Q24)=0,"",ROUND(Q15-Q24,1))</f>
        <v>0</v>
      </c>
      <c r="R25" s="270">
        <f>IF(COUNT(R24)=0,"",ROUND(R15-R24,1))</f>
        <v>0</v>
      </c>
      <c r="S25" s="269">
        <f>IF(COUNT(S24)=0,"",ROUND(S15-S24,1))</f>
        <v>0</v>
      </c>
      <c r="T25" s="269">
        <f>IF(COUNT(T24)=0,"",ROUND(T15-T24,1))</f>
        <v>0</v>
      </c>
      <c r="U25" s="269">
        <f>IF(COUNT(U24)=0,"",ROUND(U15-U24,1))</f>
        <v>0</v>
      </c>
      <c r="V25" s="269">
        <f>IF(COUNT(V24)=0,"",ROUND(V15-V24,1))</f>
        <v>0</v>
      </c>
      <c r="W25" s="270">
        <f>IF(COUNT(W24)=0,"",ROUND(W15-W24,1))</f>
        <v>0</v>
      </c>
      <c r="X25" s="269">
        <f>IF(COUNT(X24)=0,"",ROUND(X15-X24,1))</f>
        <v>0</v>
      </c>
      <c r="Y25" s="269">
        <f>IF(COUNT(Y24)=0,"",ROUND(Y15-Y24,1))</f>
        <v>0</v>
      </c>
      <c r="Z25" s="269">
        <f>IF(COUNT(Z24)=0,"",ROUND(Z15-Z24,1))</f>
        <v>0</v>
      </c>
      <c r="AA25" s="269">
        <f>IF(COUNT(AA24)=0,"",ROUND(AA15-AA24,1))</f>
        <v>0</v>
      </c>
      <c r="AB25" s="270">
        <f>IF(COUNT(AB24)=0,"",ROUND(AB15-AB24,1))</f>
        <v>0</v>
      </c>
      <c r="AC25" s="269">
        <f>IF(COUNT(AC24)=0,"",ROUND(AC15-AC24,1))</f>
        <v>0</v>
      </c>
      <c r="AD25" s="269">
        <f>IF(COUNT(AD24)=0,"",ROUND(AD15-AD24,1))</f>
        <v>0</v>
      </c>
      <c r="AE25" s="269">
        <f>IF(COUNT(AE24)=0,"",ROUND(AE15-AE24,1))</f>
        <v>0</v>
      </c>
      <c r="AF25" s="269">
        <f>IF(COUNT(AF24)=0,"",ROUND(AF15-AF24,1))</f>
        <v>0</v>
      </c>
      <c r="AG25" s="270">
        <f>IF(COUNT(AG24)=0,"",ROUND(AG15-AG24,1))</f>
        <v>0</v>
      </c>
      <c r="AH25" s="270">
        <f>IF(COUNT(AH24)=0,"",ROUND(AH15-AH24,1))</f>
        <v>0</v>
      </c>
      <c r="AI25" s="270">
        <f>IF(COUNT(AI24)=0,"",ROUND(AI15-AI24,1))</f>
        <v>0</v>
      </c>
    </row>
    <row r="26">
      <c r="C26" s="268" t="inlineStr">
        <is>
          <t xml:space="preserve">   Incentivos / receita bruta</t>
        </is>
      </c>
      <c r="D26" s="272" t="str">
        <f>IFERROR(-D23/(D24-D23),"")</f>
        <v/>
      </c>
      <c r="E26" s="272" t="str">
        <f>IFERROR(-E23/(E24-E23),"")</f>
        <v/>
      </c>
      <c r="F26" s="272" t="str">
        <f>IFERROR(-F23/(F24-F23),"")</f>
        <v/>
      </c>
      <c r="G26" s="272" t="str">
        <f>IFERROR(-G23/(G24-G23),"")</f>
        <v/>
      </c>
      <c r="H26" s="273" t="str">
        <f>IFERROR(-H23/(H24-H23),"")</f>
        <v/>
      </c>
      <c r="I26" s="272">
        <f>IFERROR(-I23/(I24-I23),"")</f>
        <v>0.257997668695765</v>
      </c>
      <c r="J26" s="272">
        <f>IFERROR(-J23/(J24-J23),"")</f>
        <v>0.257869249394673</v>
      </c>
      <c r="K26" s="272">
        <f>IFERROR(-K23/(K24-K23),"")</f>
        <v>0.266823161189358</v>
      </c>
      <c r="L26" s="272">
        <f>IFERROR(-L23/(L24-L23),"")</f>
        <v>0.251431601272534</v>
      </c>
      <c r="M26" s="273">
        <f>IFERROR(-M23/(M24-M23),"")</f>
        <v>0.258462613150159</v>
      </c>
      <c r="N26" s="272">
        <f>IFERROR(-N23/(N24-N23),"")</f>
        <v>0.257564804296189</v>
      </c>
      <c r="O26" s="272">
        <f>IFERROR(-O23/(O24-O23),"")</f>
        <v>0.261046216353479</v>
      </c>
      <c r="P26" s="272">
        <f>IFERROR(-P23/(P24-P23),"")</f>
        <v>0.268620268620269</v>
      </c>
      <c r="Q26" s="272">
        <f>IFERROR(-Q23/(Q24-Q23),"")</f>
        <v>0.259839582167506</v>
      </c>
      <c r="R26" s="273">
        <f>IFERROR(-R23/(R24-R23),"")</f>
        <v>0.261877399320244</v>
      </c>
      <c r="S26" s="272">
        <f>IFERROR(-S23/(S24-S23),"")</f>
        <v>0.266758494031221</v>
      </c>
      <c r="T26" s="272">
        <f>IFERROR(-T23/(T24-T23),"")</f>
        <v>0.280513728963685</v>
      </c>
      <c r="U26" s="272">
        <f>IFERROR(-U23/(U24-U23),"")</f>
        <v>0.285441567065073</v>
      </c>
      <c r="V26" s="272">
        <f>IFERROR(-V23/(V24-V23),"")</f>
        <v>0.27941912869304</v>
      </c>
      <c r="W26" s="273">
        <f>IFERROR(-W23/(W24-W23),"")</f>
        <v>0.278273101060377</v>
      </c>
      <c r="X26" s="272">
        <f>IFERROR(-X23/(X24-X23),"")</f>
        <v>0.270694813829787</v>
      </c>
      <c r="Y26" s="272">
        <f>IFERROR(-Y23/(Y24-Y23),"")</f>
        <v>0.283990345937249</v>
      </c>
      <c r="Z26" s="272">
        <f>IFERROR(-Z23/(Z24-Z23),"")</f>
        <v>0.273969500226484</v>
      </c>
      <c r="AA26" s="272">
        <f>IFERROR(-AA23/(AA24-AA23),"")</f>
        <v>0.285338543623657</v>
      </c>
      <c r="AB26" s="273">
        <f>IFERROR(-AB23/(AB24-AB23),"")</f>
        <v>0.278604332059198</v>
      </c>
      <c r="AC26" s="272">
        <f>IFERROR(-AC23/(AC24-AC23),"")</f>
        <v>0.28016206482593</v>
      </c>
      <c r="AD26" s="272">
        <f>IFERROR(-AD23/(AD24-AD23),"")</f>
        <v>0.280825791855204</v>
      </c>
      <c r="AE26" s="272">
        <f>IFERROR(-AE23/(AE24-AE23),"")</f>
        <v>0.283729628640128</v>
      </c>
      <c r="AF26" s="272">
        <f>IFERROR(-AF23/(AF24-AF23),"")</f>
        <v>0.281410678971655</v>
      </c>
      <c r="AG26" s="273">
        <f>IFERROR(-AG23/(AG24-AG23),"")</f>
        <v>0.281580865761794</v>
      </c>
      <c r="AH26" s="273">
        <f>IFERROR(-AH23/(AH24-AH23),"")</f>
        <v>0.274313408723748</v>
      </c>
      <c r="AI26" s="273">
        <f>IFERROR(-AI23/(AI24-AI23),"")</f>
        <v>0.286887758229633</v>
      </c>
    </row>
    <row r="27">
      <c r="C27" s="268" t="inlineStr">
        <is>
          <t xml:space="preserve">   % YoY transações internacionais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IFERROR(I21/D21-1,"")</f>
        <v/>
      </c>
      <c r="J27" s="272" t="str">
        <f>IFERROR(J21/E21-1,"")</f>
        <v/>
      </c>
      <c r="K27" s="272" t="str">
        <f>IFERROR(K21/F21-1,"")</f>
        <v/>
      </c>
      <c r="L27" s="272" t="str">
        <f>IFERROR(L21/G21-1,"")</f>
        <v/>
      </c>
      <c r="M27" s="273" t="str">
        <f>IFERROR(M21/H21-1,"")</f>
        <v/>
      </c>
      <c r="N27" s="272">
        <f>IFERROR(N21/I21-1,"")</f>
        <v>0.483870967741936</v>
      </c>
      <c r="O27" s="272">
        <f>IFERROR(O21/J21-1,"")</f>
        <v>0.509433962264151</v>
      </c>
      <c r="P27" s="272">
        <f>IFERROR(P21/K21-1,"")</f>
        <v>0.516094986807388</v>
      </c>
      <c r="Q27" s="272">
        <f>IFERROR(Q21/L21-1,"")</f>
        <v>0.28656853725851</v>
      </c>
      <c r="R27" s="273">
        <f>IFERROR(R21/M21-1,"")</f>
        <v>0.439128636426306</v>
      </c>
      <c r="S27" s="272">
        <f>IFERROR(S21/N21-1,"")</f>
        <v>0.245018115942029</v>
      </c>
      <c r="T27" s="272">
        <f>IFERROR(T21/O21-1,"")</f>
        <v>0.140625</v>
      </c>
      <c r="U27" s="272">
        <f>IFERROR(U21/P21-1,"")</f>
        <v>0.104072398190045</v>
      </c>
      <c r="V27" s="272">
        <f>IFERROR(V21/Q21-1,"")</f>
        <v>0.0793707543796924</v>
      </c>
      <c r="W27" s="273">
        <f>IFERROR(W21/R21-1,"")</f>
        <v>0.136232994826595</v>
      </c>
      <c r="X27" s="272">
        <f>IFERROR(X21/S21-1,"")</f>
        <v>0.0854856311385959</v>
      </c>
      <c r="Y27" s="272">
        <f>IFERROR(Y21/T21-1,"")</f>
        <v>0.0938356164383563</v>
      </c>
      <c r="Z27" s="272">
        <f>IFERROR(Z21/U21-1,"")</f>
        <v>0.0933165195460277</v>
      </c>
      <c r="AA27" s="272">
        <f>IFERROR(AA21/V21-1,"")</f>
        <v>0.140112620072872</v>
      </c>
      <c r="AB27" s="273">
        <f>IFERROR(AB21/W21-1,"")</f>
        <v>0.1035413153457</v>
      </c>
      <c r="AC27" s="272">
        <f>IFERROR(AC21/X21-1,"")</f>
        <v>0.102882037533512</v>
      </c>
      <c r="AD27" s="272">
        <f>IFERROR(AD21/Y21-1,"")</f>
        <v>0.137445209768316</v>
      </c>
      <c r="AE27" s="272">
        <f>IFERROR(AE21/Z21-1,"")</f>
        <v>0.0957324106113033</v>
      </c>
      <c r="AF27" s="272">
        <f>IFERROR(AF21/AA21-1,"")</f>
        <v>0.0610110400929691</v>
      </c>
      <c r="AG27" s="273">
        <f>IFERROR(AG21/AB21-1,"")</f>
        <v>0.0984107579462104</v>
      </c>
      <c r="AH27" s="273">
        <f>IFERROR(AH21/AC21-1,"")</f>
        <v>0.103312063202674</v>
      </c>
      <c r="AI27" s="273">
        <f>IFERROR(AI21/AD21-1,"")</f>
        <v>0.0605560143132398</v>
      </c>
    </row>
    <row r="28"/>
    <row r="29">
      <c r="C29" s="267" t="inlineStr">
        <is>
          <t>Região (USD milhões)</t>
        </is>
      </c>
      <c r="D29" s="267">
        <f>D7</f>
        <v>0</v>
      </c>
      <c r="E29" s="267">
        <f>E7</f>
        <v>0</v>
      </c>
      <c r="F29" s="267">
        <f>F7</f>
        <v>0</v>
      </c>
      <c r="G29" s="267">
        <f>G7</f>
        <v>0</v>
      </c>
      <c r="H29" s="267">
        <f>H7</f>
        <v>2020</v>
      </c>
      <c r="I29" s="267" t="str">
        <f>I7</f>
        <v>1Q21</v>
      </c>
      <c r="J29" s="267" t="str">
        <f>J7</f>
        <v>2Q21</v>
      </c>
      <c r="K29" s="267" t="str">
        <f>K7</f>
        <v>3Q21</v>
      </c>
      <c r="L29" s="267" t="str">
        <f>L7</f>
        <v>4Q21</v>
      </c>
      <c r="M29" s="267">
        <f>M7</f>
        <v>2021</v>
      </c>
      <c r="N29" s="267" t="str">
        <f>N7</f>
        <v>1Q22</v>
      </c>
      <c r="O29" s="267" t="str">
        <f>O7</f>
        <v>2Q22</v>
      </c>
      <c r="P29" s="267" t="str">
        <f>P7</f>
        <v>3Q22</v>
      </c>
      <c r="Q29" s="267" t="str">
        <f>Q7</f>
        <v>4Q22</v>
      </c>
      <c r="R29" s="267">
        <f>R7</f>
        <v>2022</v>
      </c>
      <c r="S29" s="267" t="str">
        <f>S7</f>
        <v>1Q23</v>
      </c>
      <c r="T29" s="267" t="str">
        <f>T7</f>
        <v>2Q23</v>
      </c>
      <c r="U29" s="267" t="str">
        <f>U7</f>
        <v>3Q23</v>
      </c>
      <c r="V29" s="267" t="str">
        <f>V7</f>
        <v>4Q23</v>
      </c>
      <c r="W29" s="267">
        <f>W7</f>
        <v>2023</v>
      </c>
      <c r="X29" s="267" t="str">
        <f>X7</f>
        <v>1Q24</v>
      </c>
      <c r="Y29" s="267" t="str">
        <f>Y7</f>
        <v>2Q24</v>
      </c>
      <c r="Z29" s="267" t="str">
        <f>Z7</f>
        <v>3Q24</v>
      </c>
      <c r="AA29" s="267" t="str">
        <f>AA7</f>
        <v>4Q24</v>
      </c>
      <c r="AB29" s="267">
        <f>AB7</f>
        <v>2024</v>
      </c>
      <c r="AC29" s="267" t="str">
        <f>AC7</f>
        <v>1Q25</v>
      </c>
      <c r="AD29" s="267" t="str">
        <f>AD7</f>
        <v>2Q25</v>
      </c>
      <c r="AE29" s="267" t="str">
        <f>AE7</f>
        <v>3Q25</v>
      </c>
      <c r="AF29" s="267" t="str">
        <f>AF7</f>
        <v>4Q25</v>
      </c>
      <c r="AG29" s="267">
        <f>AG7</f>
        <v>2025</v>
      </c>
      <c r="AH29" s="267" t="str">
        <f>AH7</f>
        <v>1Q26</v>
      </c>
      <c r="AI29" s="267" t="str">
        <f>AI7</f>
        <v>2Q26</v>
      </c>
    </row>
    <row r="30">
      <c r="C30" s="268" t="inlineStr">
        <is>
          <t xml:space="preserve">   EUA</t>
        </is>
      </c>
      <c r="D30" s="269" t="str">
        <f>IFERROR(INDEX('Inputs (2)'!$D$58:$AL$58,MATCH(D$7&amp;"",'Inputs (2)'!$D$2:$AL$2,0)),"")</f>
        <v/>
      </c>
      <c r="E30" s="269" t="str">
        <f>IFERROR(INDEX('Inputs (2)'!$D$58:$AL$58,MATCH(E$7&amp;"",'Inputs (2)'!$D$2:$AL$2,0)),"")</f>
        <v/>
      </c>
      <c r="F30" s="269" t="str">
        <f>IFERROR(INDEX('Inputs (2)'!$D$58:$AL$58,MATCH(F$7&amp;"",'Inputs (2)'!$D$2:$AL$2,0)),"")</f>
        <v/>
      </c>
      <c r="G30" s="269" t="str">
        <f>IFERROR(INDEX('Inputs (2)'!$D$58:$AL$58,MATCH(G$7&amp;"",'Inputs (2)'!$D$2:$AL$2,0)),"")</f>
        <v/>
      </c>
      <c r="H30" s="270" t="str">
        <f>IF(COUNT(D30:G30)=4,SUM(D30:G30),"")</f>
        <v/>
      </c>
      <c r="I30" s="269">
        <f>IFERROR(INDEX('Inputs (2)'!$D$58:$AL$58,MATCH(I$7&amp;"",'Inputs (2)'!$D$2:$AL$2,0)),"")</f>
        <v>2683</v>
      </c>
      <c r="J30" s="269">
        <f>IFERROR(INDEX('Inputs (2)'!$D$58:$AL$58,MATCH(J$7&amp;"",'Inputs (2)'!$D$2:$AL$2,0)),"")</f>
        <v>2806</v>
      </c>
      <c r="K30" s="269">
        <f>IFERROR(INDEX('Inputs (2)'!$D$58:$AL$58,MATCH(K$7&amp;"",'Inputs (2)'!$D$2:$AL$2,0)),"")</f>
        <v>3004</v>
      </c>
      <c r="L30" s="269">
        <f>IFERROR(INDEX('Inputs (2)'!$D$58:$AL$58,MATCH(L$7&amp;"",'Inputs (2)'!$D$2:$AL$2,0)),"")</f>
        <v>3178</v>
      </c>
      <c r="M30" s="270">
        <f>IF(COUNT(I30:L30)=4,SUM(I30:L30),"")</f>
        <v>11671</v>
      </c>
      <c r="N30" s="269">
        <f>IFERROR(INDEX('Inputs (2)'!$D$58:$AL$58,MATCH(N$7&amp;"",'Inputs (2)'!$D$2:$AL$2,0)),"")</f>
        <v>3079</v>
      </c>
      <c r="O30" s="269">
        <f>IFERROR(INDEX('Inputs (2)'!$D$58:$AL$58,MATCH(O$7&amp;"",'Inputs (2)'!$D$2:$AL$2,0)),"")</f>
        <v>3170</v>
      </c>
      <c r="P30" s="269">
        <f>IFERROR(INDEX('Inputs (2)'!$D$58:$AL$58,MATCH(P$7&amp;"",'Inputs (2)'!$D$2:$AL$2,0)),"")</f>
        <v>3424</v>
      </c>
      <c r="Q30" s="269">
        <f>IFERROR(INDEX('Inputs (2)'!$D$58:$AL$58,MATCH(Q$7&amp;"",'Inputs (2)'!$D$2:$AL$2,0)),"")</f>
        <v>3567</v>
      </c>
      <c r="R30" s="270">
        <f>IF(COUNT(N30:Q30)=4,SUM(N30:Q30),"")</f>
        <v>13240</v>
      </c>
      <c r="S30" s="269">
        <f>IFERROR(INDEX('Inputs (2)'!$D$58:$AL$58,MATCH(S$7&amp;"",'Inputs (2)'!$D$2:$AL$2,0)),"")</f>
        <v>3540</v>
      </c>
      <c r="T30" s="269">
        <f>IFERROR(INDEX('Inputs (2)'!$D$58:$AL$58,MATCH(T$7&amp;"",'Inputs (2)'!$D$2:$AL$2,0)),"")</f>
        <v>3443</v>
      </c>
      <c r="U30" s="269">
        <f>IFERROR(INDEX('Inputs (2)'!$D$58:$AL$58,MATCH(U$7&amp;"",'Inputs (2)'!$D$2:$AL$2,0)),"")</f>
        <v>3588</v>
      </c>
      <c r="V30" s="269">
        <f>IFERROR(INDEX('Inputs (2)'!$D$58:$AL$58,MATCH(V$7&amp;"",'Inputs (2)'!$D$2:$AL$2,0)),"")</f>
        <v>3645</v>
      </c>
      <c r="W30" s="270">
        <f>IF(COUNT(S30:V30)=4,SUM(S30:V30),"")</f>
        <v>14216</v>
      </c>
      <c r="X30" s="269">
        <f>IFERROR(INDEX('Inputs (2)'!$D$58:$AL$58,MATCH(X$7&amp;"",'Inputs (2)'!$D$2:$AL$2,0)),"")</f>
        <v>3643</v>
      </c>
      <c r="Y30" s="269">
        <f>IFERROR(INDEX('Inputs (2)'!$D$58:$AL$58,MATCH(Y$7&amp;"",'Inputs (2)'!$D$2:$AL$2,0)),"")</f>
        <v>3621</v>
      </c>
      <c r="Z30" s="269">
        <f>IFERROR(INDEX('Inputs (2)'!$D$58:$AL$58,MATCH(Z$7&amp;"",'Inputs (2)'!$D$2:$AL$2,0)),"")</f>
        <v>3871</v>
      </c>
      <c r="AA30" s="269">
        <f>IFERROR(INDEX('Inputs (2)'!$D$58:$AL$58,MATCH(AA$7&amp;"",'Inputs (2)'!$D$2:$AL$2,0)),"")</f>
        <v>3738</v>
      </c>
      <c r="AB30" s="270">
        <f>IF(COUNT(X30:AA30)=4,SUM(X30:AA30),"")</f>
        <v>14873</v>
      </c>
      <c r="AC30" s="269">
        <f>IFERROR(INDEX('Inputs (2)'!$D$58:$AL$58,MATCH(AC$7&amp;"",'Inputs (2)'!$D$2:$AL$2,0)),"")</f>
        <v>3811</v>
      </c>
      <c r="AD30" s="269">
        <f>IFERROR(INDEX('Inputs (2)'!$D$58:$AL$58,MATCH(AD$7&amp;"",'Inputs (2)'!$D$2:$AL$2,0)),"")</f>
        <v>3927</v>
      </c>
      <c r="AE30" s="269">
        <f>IFERROR(INDEX('Inputs (2)'!$D$58:$AL$58,MATCH(AE$7&amp;"",'Inputs (2)'!$D$2:$AL$2,0)),"")</f>
        <v>4157</v>
      </c>
      <c r="AF30" s="269">
        <f>IFERROR(INDEX('Inputs (2)'!$D$58:$AL$58,MATCH(AF$7&amp;"",'Inputs (2)'!$D$2:$AL$2,0)),"")</f>
        <v>4163</v>
      </c>
      <c r="AG30" s="270">
        <f>IF(COUNT(AC30:AF30)=4,SUM(AC30:AF30),"")</f>
        <v>16058</v>
      </c>
      <c r="AH30" s="270">
        <f>IFERROR(INDEX('Inputs (2)'!$D$58:$AL$58,MATCH(AH$7&amp;"",'Inputs (2)'!$D$2:$AL$2,0)),"")</f>
        <v>4319</v>
      </c>
      <c r="AI30" s="270">
        <f>IFERROR(INDEX('Inputs (2)'!$D$58:$AL$58,MATCH(AI$7&amp;"",'Inputs (2)'!$D$2:$AL$2,0)),"")</f>
        <v>4410</v>
      </c>
    </row>
    <row r="31">
      <c r="C31" s="268" t="inlineStr">
        <is>
          <t xml:space="preserve">   Fora dos EUA</t>
        </is>
      </c>
      <c r="D31" s="269" t="str">
        <f>IFERROR(INDEX('Inputs (2)'!$D$59:$AL$59,MATCH(D$7&amp;"",'Inputs (2)'!$D$2:$AL$2,0)),"")</f>
        <v/>
      </c>
      <c r="E31" s="269" t="str">
        <f>IFERROR(INDEX('Inputs (2)'!$D$59:$AL$59,MATCH(E$7&amp;"",'Inputs (2)'!$D$2:$AL$2,0)),"")</f>
        <v/>
      </c>
      <c r="F31" s="269" t="str">
        <f>IFERROR(INDEX('Inputs (2)'!$D$59:$AL$59,MATCH(F$7&amp;"",'Inputs (2)'!$D$2:$AL$2,0)),"")</f>
        <v/>
      </c>
      <c r="G31" s="269" t="str">
        <f>IFERROR(INDEX('Inputs (2)'!$D$59:$AL$59,MATCH(G$7&amp;"",'Inputs (2)'!$D$2:$AL$2,0)),"")</f>
        <v/>
      </c>
      <c r="H31" s="270" t="str">
        <f>IF(COUNT(D31:G31)=4,SUM(D31:G31),"")</f>
        <v/>
      </c>
      <c r="I31" s="269">
        <f>IFERROR(INDEX('Inputs (2)'!$D$59:$AL$59,MATCH(I$7&amp;"",'Inputs (2)'!$D$2:$AL$2,0)),"")</f>
        <v>3046</v>
      </c>
      <c r="J31" s="269">
        <f>IFERROR(INDEX('Inputs (2)'!$D$59:$AL$59,MATCH(J$7&amp;"",'Inputs (2)'!$D$2:$AL$2,0)),"")</f>
        <v>3324</v>
      </c>
      <c r="K31" s="269">
        <f>IFERROR(INDEX('Inputs (2)'!$D$59:$AL$59,MATCH(K$7&amp;"",'Inputs (2)'!$D$2:$AL$2,0)),"")</f>
        <v>3555</v>
      </c>
      <c r="L31" s="269">
        <f>IFERROR(INDEX('Inputs (2)'!$D$59:$AL$59,MATCH(L$7&amp;"",'Inputs (2)'!$D$2:$AL$2,0)),"")</f>
        <v>3881</v>
      </c>
      <c r="M31" s="270">
        <f>IF(COUNT(I31:L31)=4,SUM(I31:L31),"")</f>
        <v>13806</v>
      </c>
      <c r="N31" s="269">
        <f>IFERROR(INDEX('Inputs (2)'!$D$59:$AL$59,MATCH(N$7&amp;"",'Inputs (2)'!$D$2:$AL$2,0)),"")</f>
        <v>4110</v>
      </c>
      <c r="O31" s="269">
        <f>IFERROR(INDEX('Inputs (2)'!$D$59:$AL$59,MATCH(O$7&amp;"",'Inputs (2)'!$D$2:$AL$2,0)),"")</f>
        <v>4105</v>
      </c>
      <c r="P31" s="269">
        <f>IFERROR(INDEX('Inputs (2)'!$D$59:$AL$59,MATCH(P$7&amp;"",'Inputs (2)'!$D$2:$AL$2,0)),"")</f>
        <v>4363</v>
      </c>
      <c r="Q31" s="269">
        <f>IFERROR(INDEX('Inputs (2)'!$D$59:$AL$59,MATCH(Q$7&amp;"",'Inputs (2)'!$D$2:$AL$2,0)),"")</f>
        <v>4369</v>
      </c>
      <c r="R31" s="270">
        <f>IF(COUNT(N31:Q31)=4,SUM(N31:Q31),"")</f>
        <v>16947</v>
      </c>
      <c r="S31" s="269">
        <f>IFERROR(INDEX('Inputs (2)'!$D$59:$AL$59,MATCH(S$7&amp;"",'Inputs (2)'!$D$2:$AL$2,0)),"")</f>
        <v>4445</v>
      </c>
      <c r="T31" s="269">
        <f>IFERROR(INDEX('Inputs (2)'!$D$59:$AL$59,MATCH(T$7&amp;"",'Inputs (2)'!$D$2:$AL$2,0)),"")</f>
        <v>4680</v>
      </c>
      <c r="U31" s="269">
        <f>IFERROR(INDEX('Inputs (2)'!$D$59:$AL$59,MATCH(U$7&amp;"",'Inputs (2)'!$D$2:$AL$2,0)),"")</f>
        <v>5021</v>
      </c>
      <c r="V31" s="269">
        <f>IFERROR(INDEX('Inputs (2)'!$D$59:$AL$59,MATCH(V$7&amp;"",'Inputs (2)'!$D$2:$AL$2,0)),"")</f>
        <v>4989</v>
      </c>
      <c r="W31" s="270">
        <f>IF(COUNT(S31:V31)=4,SUM(S31:V31),"")</f>
        <v>19135</v>
      </c>
      <c r="X31" s="269">
        <f>IFERROR(INDEX('Inputs (2)'!$D$59:$AL$59,MATCH(X$7&amp;"",'Inputs (2)'!$D$2:$AL$2,0)),"")</f>
        <v>5132</v>
      </c>
      <c r="Y31" s="269">
        <f>IFERROR(INDEX('Inputs (2)'!$D$59:$AL$59,MATCH(Y$7&amp;"",'Inputs (2)'!$D$2:$AL$2,0)),"")</f>
        <v>5279</v>
      </c>
      <c r="Z31" s="269">
        <f>IFERROR(INDEX('Inputs (2)'!$D$59:$AL$59,MATCH(Z$7&amp;"",'Inputs (2)'!$D$2:$AL$2,0)),"")</f>
        <v>5746</v>
      </c>
      <c r="AA31" s="269">
        <f>IFERROR(INDEX('Inputs (2)'!$D$59:$AL$59,MATCH(AA$7&amp;"",'Inputs (2)'!$D$2:$AL$2,0)),"")</f>
        <v>5772</v>
      </c>
      <c r="AB31" s="270">
        <f>IF(COUNT(X31:AA31)=4,SUM(X31:AA31),"")</f>
        <v>21929</v>
      </c>
      <c r="AC31" s="269">
        <f>IFERROR(INDEX('Inputs (2)'!$D$59:$AL$59,MATCH(AC$7&amp;"",'Inputs (2)'!$D$2:$AL$2,0)),"")</f>
        <v>5783</v>
      </c>
      <c r="AD31" s="269">
        <f>IFERROR(INDEX('Inputs (2)'!$D$59:$AL$59,MATCH(AD$7&amp;"",'Inputs (2)'!$D$2:$AL$2,0)),"")</f>
        <v>6245</v>
      </c>
      <c r="AE31" s="269">
        <f>IFERROR(INDEX('Inputs (2)'!$D$59:$AL$59,MATCH(AE$7&amp;"",'Inputs (2)'!$D$2:$AL$2,0)),"")</f>
        <v>6567</v>
      </c>
      <c r="AF31" s="269">
        <f>IFERROR(INDEX('Inputs (2)'!$D$59:$AL$59,MATCH(AF$7&amp;"",'Inputs (2)'!$D$2:$AL$2,0)),"")</f>
        <v>6738</v>
      </c>
      <c r="AG31" s="270">
        <f>IF(COUNT(AC31:AF31)=4,SUM(AC31:AF31),"")</f>
        <v>25333</v>
      </c>
      <c r="AH31" s="270">
        <f>IFERROR(INDEX('Inputs (2)'!$D$59:$AL$59,MATCH(AH$7&amp;"",'Inputs (2)'!$D$2:$AL$2,0)),"")</f>
        <v>6911</v>
      </c>
      <c r="AI31" s="270">
        <f>IFERROR(INDEX('Inputs (2)'!$D$59:$AL$59,MATCH(AI$7&amp;"",'Inputs (2)'!$D$2:$AL$2,0)),"")</f>
        <v>7223</v>
      </c>
    </row>
    <row r="32">
      <c r="C32" s="268" t="inlineStr">
        <is>
          <t xml:space="preserve">   % fora dos EUA</t>
        </is>
      </c>
      <c r="D32" s="272" t="str">
        <f>IFERROR(D31/D24,"")</f>
        <v/>
      </c>
      <c r="E32" s="272" t="str">
        <f>IFERROR(E31/E24,"")</f>
        <v/>
      </c>
      <c r="F32" s="272" t="str">
        <f>IFERROR(F31/F24,"")</f>
        <v/>
      </c>
      <c r="G32" s="272" t="str">
        <f>IFERROR(G31/G24,"")</f>
        <v/>
      </c>
      <c r="H32" s="273" t="str">
        <f>IFERROR(H31/H24,"")</f>
        <v/>
      </c>
      <c r="I32" s="272">
        <f>IFERROR(I31/I24,"")</f>
        <v>0.531680921626811</v>
      </c>
      <c r="J32" s="272">
        <f>IFERROR(J31/J24,"")</f>
        <v>0.542251223491028</v>
      </c>
      <c r="K32" s="272">
        <f>IFERROR(K31/K24,"")</f>
        <v>0.542003354169843</v>
      </c>
      <c r="L32" s="272">
        <f>IFERROR(L31/L24,"")</f>
        <v>0.549794588468622</v>
      </c>
      <c r="M32" s="273">
        <f>IFERROR(M31/M24,"")</f>
        <v>0.541900537739922</v>
      </c>
      <c r="N32" s="272">
        <f>IFERROR(N31/N24,"")</f>
        <v>0.57170677423842</v>
      </c>
      <c r="O32" s="272">
        <f>IFERROR(O31/O24,"")</f>
        <v>0.56426116838488</v>
      </c>
      <c r="P32" s="272">
        <f>IFERROR(P31/P24,"")</f>
        <v>0.560292795685116</v>
      </c>
      <c r="Q32" s="272">
        <f>IFERROR(Q31/Q24,"")</f>
        <v>0.550529233870968</v>
      </c>
      <c r="R32" s="273">
        <f>IFERROR(R31/R24,"")</f>
        <v>0.561400602908537</v>
      </c>
      <c r="S32" s="272">
        <f>IFERROR(S31/S24,"")</f>
        <v>0.556668753913588</v>
      </c>
      <c r="T32" s="272">
        <f>IFERROR(T31/T24,"")</f>
        <v>0.576141819524806</v>
      </c>
      <c r="U32" s="272">
        <f>IFERROR(U31/U24,"")</f>
        <v>0.583226855616216</v>
      </c>
      <c r="V32" s="272">
        <f>IFERROR(V31/V24,"")</f>
        <v>0.577831827658096</v>
      </c>
      <c r="W32" s="273">
        <f>IFERROR(W31/W24,"")</f>
        <v>0.573745914665227</v>
      </c>
      <c r="X32" s="272">
        <f>IFERROR(X31/X24,"")</f>
        <v>0.584843304843305</v>
      </c>
      <c r="Y32" s="272">
        <f>IFERROR(Y31/Y24,"")</f>
        <v>0.59314606741573</v>
      </c>
      <c r="Z32" s="272">
        <f>IFERROR(Z31/Z24,"")</f>
        <v>0.597483622751378</v>
      </c>
      <c r="AA32" s="272">
        <f>IFERROR(AA31/AA24,"")</f>
        <v>0.606940063091483</v>
      </c>
      <c r="AB32" s="273">
        <f>IFERROR(AB31/AB24,"")</f>
        <v>0.595864355198087</v>
      </c>
      <c r="AC32" s="272">
        <f>IFERROR(AC31/AC24,"")</f>
        <v>0.6027725661872</v>
      </c>
      <c r="AD32" s="272">
        <f>IFERROR(AD31/AD24,"")</f>
        <v>0.613940228077074</v>
      </c>
      <c r="AE32" s="272">
        <f>IFERROR(AE31/AE24,"")</f>
        <v>0.61236478925774</v>
      </c>
      <c r="AF32" s="272">
        <f>IFERROR(AF31/AF24,"")</f>
        <v>0.618108430419228</v>
      </c>
      <c r="AG32" s="273">
        <f>IFERROR(AG31/AG24,"")</f>
        <v>0.612041265009302</v>
      </c>
      <c r="AH32" s="273">
        <f>IFERROR(AH31/AH24,"")</f>
        <v>0.615405164737311</v>
      </c>
      <c r="AI32" s="273">
        <f>IFERROR(AI31/AI24,"")</f>
        <v>0.620906043153099</v>
      </c>
    </row>
    <row r="33"/>
    <row r="34"/>
    <row r="35" hidden="1" outlineLevel="1" customFormat="1" s="43">
      <c r="A35" s="36" t="n"/>
      <c r="B35" s="37" t="n"/>
      <c r="C35" s="45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</row>
    <row r="36" hidden="1" outlineLevel="1" customFormat="1" s="43">
      <c r="A36" s="36" t="n"/>
      <c r="B36" s="37" t="n"/>
      <c r="C36" s="45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</row>
    <row r="37" collapsed="1">
      <c r="C37" s="13" t="inlineStr">
        <is>
          <t>COGS (cash)</t>
        </is>
      </c>
      <c r="D37" s="46" t="n"/>
      <c r="E37" s="46" t="n"/>
      <c r="F37" s="46" t="n"/>
      <c r="G37" s="46" t="n"/>
      <c r="H37" s="12" t="n"/>
      <c r="I37" s="46">
        <f>'Inputs (2)'!D5</f>
        <v>0</v>
      </c>
      <c r="J37" s="46">
        <f>'Inputs (2)'!E5</f>
        <v>0</v>
      </c>
      <c r="K37" s="46">
        <f>'Inputs (2)'!F5</f>
        <v>0</v>
      </c>
      <c r="L37" s="46">
        <f>'Inputs (2)'!G5</f>
        <v>0</v>
      </c>
      <c r="M37" s="12">
        <f>'Inputs (2)'!H5</f>
        <v>0</v>
      </c>
      <c r="N37" s="46">
        <f>'Inputs (2)'!I5</f>
        <v>0</v>
      </c>
      <c r="O37" s="46">
        <f>'Inputs (2)'!J5</f>
        <v>0</v>
      </c>
      <c r="P37" s="46">
        <f>'Inputs (2)'!K5</f>
        <v>0</v>
      </c>
      <c r="Q37" s="46">
        <f>'Inputs (2)'!L5</f>
        <v>0</v>
      </c>
      <c r="R37" s="12">
        <f>'Inputs (2)'!M5</f>
        <v>0</v>
      </c>
      <c r="S37" s="46">
        <f>'Inputs (2)'!N5</f>
        <v>0</v>
      </c>
      <c r="T37" s="46">
        <f>'Inputs (2)'!O5</f>
        <v>0</v>
      </c>
      <c r="U37" s="46">
        <f>'Inputs (2)'!P5</f>
        <v>0</v>
      </c>
      <c r="V37" s="46">
        <f>'Inputs (2)'!Q5</f>
        <v>0</v>
      </c>
      <c r="W37" s="12">
        <f>'Inputs (2)'!R5</f>
        <v>0</v>
      </c>
      <c r="X37" s="46">
        <f>'Inputs (2)'!S5</f>
        <v>0</v>
      </c>
      <c r="Y37" s="46">
        <f>'Inputs (2)'!T5</f>
        <v>0</v>
      </c>
      <c r="Z37" s="46">
        <f>'Inputs (2)'!U5</f>
        <v>0</v>
      </c>
      <c r="AA37" s="46">
        <f>'Inputs (2)'!V5</f>
        <v>0</v>
      </c>
      <c r="AB37" s="12">
        <f>'Inputs (2)'!W5</f>
        <v>0</v>
      </c>
      <c r="AC37" s="46">
        <f>'Inputs (2)'!X5</f>
        <v>0</v>
      </c>
      <c r="AD37" s="46">
        <f>'Inputs (2)'!Y5</f>
        <v>0</v>
      </c>
      <c r="AE37" s="46">
        <f>'Inputs (2)'!Z5</f>
        <v>0</v>
      </c>
      <c r="AF37" s="46">
        <f>'Inputs (2)'!AA5</f>
        <v>0</v>
      </c>
      <c r="AG37" s="12">
        <f>'Inputs (2)'!AB5</f>
        <v>0</v>
      </c>
      <c r="AH37" s="12">
        <f>'Inputs (2)'!AC5</f>
        <v>0</v>
      </c>
      <c r="AI37" s="12">
        <f>'Inputs (2)'!AD5</f>
        <v>0</v>
      </c>
      <c r="AJ37" s="12">
        <f>-(1-AJ38)*AJ15</f>
        <v>0</v>
      </c>
      <c r="AK37" s="12">
        <f>-(1-AK38)*AK15</f>
        <v>0</v>
      </c>
      <c r="AL37" s="12">
        <f>SUM(AH37:AK37)</f>
        <v>0</v>
      </c>
      <c r="AM37" s="12">
        <f>-(1-AM38)*AM15</f>
        <v>0</v>
      </c>
      <c r="AN37" s="12">
        <f>-(1-AN38)*AN15</f>
        <v>0</v>
      </c>
      <c r="AO37" s="12">
        <f>-(1-AO38)*AO15</f>
        <v>0</v>
      </c>
      <c r="AP37" s="12">
        <f>-(1-AP38)*AP15</f>
        <v>0</v>
      </c>
      <c r="AQ37" s="12">
        <f>SUM(AM37:AP37)</f>
        <v>0</v>
      </c>
      <c r="AR37" s="12">
        <f>-(1-AR38)*AR15</f>
        <v>0</v>
      </c>
      <c r="AS37" s="12">
        <f>-(1-AS38)*AS15</f>
        <v>0</v>
      </c>
      <c r="AT37" s="12">
        <f>-(1-AT38)*AT15</f>
        <v>0</v>
      </c>
      <c r="AU37" s="12">
        <f>-(1-AU38)*AU15</f>
        <v>0</v>
      </c>
      <c r="AV37" s="12">
        <f>SUM(AR37:AU37)</f>
        <v>0</v>
      </c>
      <c r="AW37" s="12">
        <f>-(1-AW38)*AW15</f>
        <v>0</v>
      </c>
      <c r="AX37" s="12">
        <f>-(1-AX38)*AX15</f>
        <v>0</v>
      </c>
      <c r="AY37" s="12">
        <f>-(1-AY38)*AY15</f>
        <v>0</v>
      </c>
      <c r="AZ37" s="12">
        <f>-(1-AZ38)*AZ15</f>
        <v>0</v>
      </c>
      <c r="BA37" s="12">
        <f>SUM(AW37:AZ37)</f>
        <v>0</v>
      </c>
      <c r="BB37" s="12">
        <f>-(1-BB38)*BB15</f>
        <v>0</v>
      </c>
      <c r="BC37" s="12">
        <f>-(1-BC38)*BC15</f>
        <v>0</v>
      </c>
      <c r="BD37" s="12">
        <f>-(1-BD38)*BD15</f>
        <v>0</v>
      </c>
      <c r="BE37" s="12">
        <f>-(1-BE38)*BE15</f>
        <v>0</v>
      </c>
      <c r="BF37" s="12">
        <f>SUM(BB37:BE37)</f>
        <v>0</v>
      </c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2" t="n"/>
      <c r="CY37" s="12" t="n"/>
    </row>
    <row r="38" hidden="1" outlineLevel="1" customFormat="1" s="3">
      <c r="C38" s="47" t="inlineStr">
        <is>
          <t>% Gross Margin</t>
        </is>
      </c>
      <c r="D38" s="48" t="n"/>
      <c r="E38" s="48" t="n"/>
      <c r="F38" s="48" t="n"/>
      <c r="G38" s="48" t="n"/>
      <c r="H38" s="48" t="n"/>
      <c r="I38" s="48">
        <f>IFERROR((I15+I37)/I$15,"")</f>
        <v>1</v>
      </c>
      <c r="J38" s="48">
        <f>IFERROR((J15+J37)/J$15,"")</f>
        <v>1</v>
      </c>
      <c r="K38" s="48">
        <f>IFERROR((K15+K37)/K$15,"")</f>
        <v>1</v>
      </c>
      <c r="L38" s="48">
        <f>IFERROR((L15+L37)/L$15,"")</f>
        <v>1</v>
      </c>
      <c r="M38" s="48">
        <f>IFERROR((M15+M37)/M$15,"")</f>
        <v>1</v>
      </c>
      <c r="N38" s="48">
        <f>IFERROR((N15+N37)/N$15,"")</f>
        <v>1</v>
      </c>
      <c r="O38" s="48">
        <f>IFERROR((O15+O37)/O$15,"")</f>
        <v>1</v>
      </c>
      <c r="P38" s="48">
        <f>IFERROR((P15+P37)/P$15,"")</f>
        <v>1</v>
      </c>
      <c r="Q38" s="48">
        <f>IFERROR((Q15+Q37)/Q$15,"")</f>
        <v>1</v>
      </c>
      <c r="R38" s="48">
        <f>IFERROR((R15+R37)/R$15,"")</f>
        <v>1</v>
      </c>
      <c r="S38" s="48">
        <f>IFERROR((S15+S37)/S$15,"")</f>
        <v>1</v>
      </c>
      <c r="T38" s="48">
        <f>IFERROR((T15+T37)/T$15,"")</f>
        <v>1</v>
      </c>
      <c r="U38" s="48">
        <f>IFERROR((U15+U37)/U$15,"")</f>
        <v>1</v>
      </c>
      <c r="V38" s="48">
        <f>IFERROR((V15+V37)/V$15,"")</f>
        <v>1</v>
      </c>
      <c r="W38" s="48">
        <f>IFERROR((W15+W37)/W$15,"")</f>
        <v>1</v>
      </c>
      <c r="X38" s="48">
        <f>IFERROR((X15+X37)/X$15,"")</f>
        <v>1</v>
      </c>
      <c r="Y38" s="48">
        <f>IFERROR((Y15+Y37)/Y$15,"")</f>
        <v>1</v>
      </c>
      <c r="Z38" s="48">
        <f>IFERROR((Z15+Z37)/Z$15,"")</f>
        <v>1</v>
      </c>
      <c r="AA38" s="48">
        <f>IFERROR((AA15+AA37)/AA$15,"")</f>
        <v>1</v>
      </c>
      <c r="AB38" s="48">
        <f>IFERROR((AB15+AB37)/AB$15,"")</f>
        <v>1</v>
      </c>
      <c r="AC38" s="48">
        <f>IFERROR((AC15+AC37)/AC$15,"")</f>
        <v>1</v>
      </c>
      <c r="AD38" s="48">
        <f>IFERROR((AD15+AD37)/AD$15,"")</f>
        <v>1</v>
      </c>
      <c r="AE38" s="48">
        <f>IFERROR((AE15+AE37)/AE$15,"")</f>
        <v>1</v>
      </c>
      <c r="AF38" s="41">
        <f>IFERROR((AF15+AF37)/AF$15,"")</f>
        <v>1</v>
      </c>
      <c r="AG38" s="48">
        <f>IFERROR((AG15+AG37)/AG$15,"")</f>
        <v>1</v>
      </c>
      <c r="AH38" s="49">
        <f>IFERROR((AH15+AH37)/AH$15,"")</f>
        <v>1</v>
      </c>
      <c r="AI38" s="49">
        <f>IFERROR((AI15+AI37)/AI$15,"")</f>
        <v>1</v>
      </c>
      <c r="AJ38" s="49">
        <f>Control!$B$19</f>
        <v>1</v>
      </c>
      <c r="AK38" s="49">
        <f>Control!$B$19</f>
        <v>1</v>
      </c>
      <c r="AL38" s="48">
        <f>IFERROR((AL15+AL37)/AL$15,"")</f>
        <v>1</v>
      </c>
      <c r="AM38" s="49">
        <f>Control!$C$19</f>
        <v>1</v>
      </c>
      <c r="AN38" s="49">
        <f>Control!$C$19</f>
        <v>1</v>
      </c>
      <c r="AO38" s="49">
        <f>Control!$C$19</f>
        <v>1</v>
      </c>
      <c r="AP38" s="49">
        <f>Control!$C$19</f>
        <v>1</v>
      </c>
      <c r="AQ38" s="48">
        <f>IFERROR((AQ15+AQ37)/AQ$15,"")</f>
        <v>1</v>
      </c>
      <c r="AR38" s="49">
        <f>Control!$D$19</f>
        <v>1</v>
      </c>
      <c r="AS38" s="49">
        <f>Control!$D$19</f>
        <v>1</v>
      </c>
      <c r="AT38" s="49">
        <f>Control!$D$19</f>
        <v>1</v>
      </c>
      <c r="AU38" s="49">
        <f>Control!$D$19</f>
        <v>1</v>
      </c>
      <c r="AV38" s="48">
        <f>IFERROR((AV15+AV37)/AV$15,"")</f>
        <v>1</v>
      </c>
      <c r="AW38" s="49">
        <f>Control!$E$19</f>
        <v>1</v>
      </c>
      <c r="AX38" s="49">
        <f>Control!$E$19</f>
        <v>1</v>
      </c>
      <c r="AY38" s="49">
        <f>Control!$E$19</f>
        <v>1</v>
      </c>
      <c r="AZ38" s="49">
        <f>Control!$E$19</f>
        <v>1</v>
      </c>
      <c r="BA38" s="48">
        <f>IFERROR((BA15+BA37)/BA$15,"")</f>
        <v>1</v>
      </c>
      <c r="BB38" s="49">
        <f>Control!$F$19</f>
        <v>1</v>
      </c>
      <c r="BC38" s="49">
        <f>Control!$F$19</f>
        <v>1</v>
      </c>
      <c r="BD38" s="49">
        <f>Control!$F$19</f>
        <v>1</v>
      </c>
      <c r="BE38" s="49">
        <f>Control!$F$19</f>
        <v>1</v>
      </c>
      <c r="BF38" s="48">
        <f>IFERROR((BF15+BF37)/BF$15,"")</f>
        <v>1</v>
      </c>
      <c r="BG38" s="49" t="n"/>
      <c r="BH38" s="49" t="n"/>
      <c r="BI38" s="49" t="n"/>
      <c r="BJ38" s="49" t="n"/>
      <c r="BK38" s="48" t="n"/>
      <c r="BL38" s="49" t="n"/>
      <c r="BM38" s="49" t="n"/>
      <c r="BN38" s="49" t="n"/>
      <c r="BO38" s="49" t="n"/>
      <c r="BP38" s="48" t="n"/>
      <c r="BQ38" s="49" t="n"/>
      <c r="BR38" s="49" t="n"/>
      <c r="BS38" s="49" t="n"/>
      <c r="BT38" s="49" t="n"/>
      <c r="BU38" s="48" t="n"/>
      <c r="BV38" s="49" t="n"/>
      <c r="BW38" s="49" t="n"/>
      <c r="BX38" s="49" t="n"/>
      <c r="BY38" s="49" t="n"/>
      <c r="BZ38" s="48" t="n"/>
      <c r="CA38" s="49" t="n"/>
      <c r="CB38" s="49" t="n"/>
      <c r="CC38" s="49" t="n"/>
      <c r="CD38" s="49" t="n"/>
      <c r="CE38" s="48" t="n"/>
      <c r="CF38" s="49" t="n"/>
      <c r="CG38" s="49" t="n"/>
      <c r="CH38" s="49" t="n"/>
      <c r="CI38" s="49" t="n"/>
      <c r="CJ38" s="48" t="n"/>
      <c r="CK38" s="49" t="n"/>
      <c r="CL38" s="49" t="n"/>
      <c r="CM38" s="49" t="n"/>
      <c r="CN38" s="49" t="n"/>
      <c r="CO38" s="48" t="n"/>
      <c r="CP38" s="49" t="n"/>
      <c r="CQ38" s="49" t="n"/>
      <c r="CR38" s="49" t="n"/>
      <c r="CS38" s="49" t="n"/>
      <c r="CT38" s="48" t="n"/>
      <c r="CU38" s="49" t="n"/>
      <c r="CV38" s="49" t="n"/>
      <c r="CW38" s="49" t="n"/>
      <c r="CX38" s="49" t="n"/>
      <c r="CY38" s="48" t="n"/>
    </row>
    <row r="39" hidden="1" outlineLevel="1"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  <c r="CM39" s="50" t="n"/>
      <c r="CN39" s="50" t="n"/>
      <c r="CO39" s="50" t="n"/>
      <c r="CP39" s="50" t="n"/>
      <c r="CQ39" s="50" t="n"/>
      <c r="CR39" s="50" t="n"/>
      <c r="CS39" s="50" t="n"/>
      <c r="CT39" s="50" t="n"/>
      <c r="CU39" s="50" t="n"/>
      <c r="CV39" s="50" t="n"/>
      <c r="CW39" s="50" t="n"/>
      <c r="CX39" s="50" t="n"/>
      <c r="CY39" s="50" t="n"/>
    </row>
    <row r="40" hidden="1" outlineLevel="1"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  <c r="CM40" s="50" t="n"/>
      <c r="CN40" s="50" t="n"/>
      <c r="CO40" s="50" t="n"/>
      <c r="CP40" s="50" t="n"/>
      <c r="CQ40" s="50" t="n"/>
      <c r="CR40" s="50" t="n"/>
      <c r="CS40" s="50" t="n"/>
      <c r="CT40" s="50" t="n"/>
      <c r="CU40" s="50" t="n"/>
      <c r="CV40" s="50" t="n"/>
      <c r="CW40" s="50" t="n"/>
      <c r="CX40" s="50" t="n"/>
      <c r="CY40" s="50" t="n"/>
    </row>
    <row r="41" collapsed="1">
      <c r="C41" s="13" t="inlineStr">
        <is>
          <t>SG&amp;A and Other (cash)</t>
        </is>
      </c>
      <c r="D41" s="46" t="n"/>
      <c r="E41" s="46" t="n"/>
      <c r="F41" s="46" t="n"/>
      <c r="G41" s="46" t="n"/>
      <c r="H41" s="12" t="n"/>
      <c r="I41" s="46">
        <f>'Inputs (2)'!D6</f>
        <v>-1947</v>
      </c>
      <c r="J41" s="46">
        <f>'Inputs (2)'!E6</f>
        <v>-1862</v>
      </c>
      <c r="K41" s="46">
        <f>'Inputs (2)'!F6</f>
        <v>-2042</v>
      </c>
      <c r="L41" s="46">
        <f>'Inputs (2)'!G6</f>
        <v>-2085</v>
      </c>
      <c r="M41" s="12">
        <f>'Inputs (2)'!H6</f>
        <v>-7936</v>
      </c>
      <c r="N41" s="46">
        <f>'Inputs (2)'!I6</f>
        <v>-2180</v>
      </c>
      <c r="O41" s="46">
        <f>'Inputs (2)'!J6</f>
        <v>-2897</v>
      </c>
      <c r="P41" s="46">
        <f>'Inputs (2)'!K6</f>
        <v>-2474</v>
      </c>
      <c r="Q41" s="46">
        <f>'Inputs (2)'!L6</f>
        <v>-2619</v>
      </c>
      <c r="R41" s="12">
        <f>'Inputs (2)'!M6</f>
        <v>-10170</v>
      </c>
      <c r="S41" s="46">
        <f>'Inputs (2)'!N6</f>
        <v>-2415</v>
      </c>
      <c r="T41" s="46">
        <f>'Inputs (2)'!O6</f>
        <v>-2864</v>
      </c>
      <c r="U41" s="46">
        <f>'Inputs (2)'!P6</f>
        <v>-2812</v>
      </c>
      <c r="V41" s="46">
        <f>'Inputs (2)'!Q6</f>
        <v>-2433</v>
      </c>
      <c r="W41" s="12">
        <f>'Inputs (2)'!R6</f>
        <v>-10524</v>
      </c>
      <c r="X41" s="46">
        <f>'Inputs (2)'!S6</f>
        <v>-3172</v>
      </c>
      <c r="Y41" s="46">
        <f>'Inputs (2)'!T6</f>
        <v>-2698</v>
      </c>
      <c r="Z41" s="46">
        <f>'Inputs (2)'!U6</f>
        <v>-2994</v>
      </c>
      <c r="AA41" s="46">
        <f>'Inputs (2)'!V6</f>
        <v>-2994</v>
      </c>
      <c r="AB41" s="12">
        <f>'Inputs (2)'!W6</f>
        <v>-11858</v>
      </c>
      <c r="AC41" s="46">
        <f>'Inputs (2)'!X6</f>
        <v>-3854</v>
      </c>
      <c r="AD41" s="46">
        <f>'Inputs (2)'!Y6</f>
        <v>-3678</v>
      </c>
      <c r="AE41" s="46">
        <f>'Inputs (2)'!Z6</f>
        <v>-4260</v>
      </c>
      <c r="AF41" s="46">
        <f>'Inputs (2)'!AA6</f>
        <v>-3838</v>
      </c>
      <c r="AG41" s="12">
        <f>'Inputs (2)'!AB6</f>
        <v>-15630</v>
      </c>
      <c r="AH41" s="12">
        <f>'Inputs (2)'!AC6</f>
        <v>-3663</v>
      </c>
      <c r="AI41" s="12">
        <f>'Inputs (2)'!AD6</f>
        <v>-4389</v>
      </c>
      <c r="AJ41" s="12">
        <f>-AJ15*AJ42</f>
        <v>-4496.76161831189</v>
      </c>
      <c r="AK41" s="12">
        <f>-AK15*AK42</f>
        <v>-4570.9808281628</v>
      </c>
      <c r="AL41" s="12">
        <f>SUM(AH41:AK41)</f>
        <v>-17119.7424464747</v>
      </c>
      <c r="AM41" s="12">
        <f>-AM15*AM42</f>
        <v>-4708.93630862015</v>
      </c>
      <c r="AN41" s="12">
        <f>-AN15*AN42</f>
        <v>-4877.92128924116</v>
      </c>
      <c r="AO41" s="12">
        <f>-AO15*AO42</f>
        <v>-5105.16090861404</v>
      </c>
      <c r="AP41" s="12">
        <f>-AP15*AP42</f>
        <v>-5189.42177030974</v>
      </c>
      <c r="AQ41" s="12">
        <f>SUM(AM41:AP41)</f>
        <v>-19881.4402767851</v>
      </c>
      <c r="AR41" s="12">
        <f>-AR15*AR42</f>
        <v>-5322.4975605061</v>
      </c>
      <c r="AS41" s="12">
        <f>-AS15*AS42</f>
        <v>-5513.50081223219</v>
      </c>
      <c r="AT41" s="12">
        <f>-AT15*AT42</f>
        <v>-5770.34911947058</v>
      </c>
      <c r="AU41" s="12">
        <f>-AU15*AU42</f>
        <v>-5865.5889361571</v>
      </c>
      <c r="AV41" s="12">
        <f>SUM(AR41:AU41)</f>
        <v>-22471.936428366</v>
      </c>
      <c r="AW41" s="12">
        <f>-AW15*AW42</f>
        <v>-5989.39164241569</v>
      </c>
      <c r="AX41" s="12">
        <f>-AX15*AX42</f>
        <v>-6204.3270682299</v>
      </c>
      <c r="AY41" s="12">
        <f>-AY15*AY42</f>
        <v>-6493.35775114785</v>
      </c>
      <c r="AZ41" s="12">
        <f>-AZ15*AZ42</f>
        <v>-6600.53085091969</v>
      </c>
      <c r="BA41" s="12">
        <f>SUM(AW41:AZ41)</f>
        <v>-25287.6073127131</v>
      </c>
      <c r="BB41" s="12">
        <f>-BB15*BB42</f>
        <v>-6709.89873235653</v>
      </c>
      <c r="BC41" s="12">
        <f>-BC15*BC42</f>
        <v>-6950.69028971536</v>
      </c>
      <c r="BD41" s="12">
        <f>-BD15*BD42</f>
        <v>-7274.4905567056</v>
      </c>
      <c r="BE41" s="12">
        <f>-BE15*BE42</f>
        <v>-7394.55628111225</v>
      </c>
      <c r="BF41" s="12">
        <f>SUM(BB41:BE41)</f>
        <v>-28329.6358598897</v>
      </c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2" t="n"/>
      <c r="CY41" s="12" t="n"/>
    </row>
    <row r="42" hidden="1" outlineLevel="1">
      <c r="C42" s="38" t="inlineStr">
        <is>
          <t>% SG&amp;A and Other Margin</t>
        </is>
      </c>
      <c r="D42" s="51" t="n"/>
      <c r="E42" s="51" t="n"/>
      <c r="F42" s="51" t="n"/>
      <c r="G42" s="51" t="n"/>
      <c r="H42" s="51" t="n"/>
      <c r="I42" s="51">
        <f>IFERROR(-(I41/I$15),"")</f>
        <v>0.339849886542154</v>
      </c>
      <c r="J42" s="51">
        <f>IFERROR(-(J41/J$15),"")</f>
        <v>0.303752039151713</v>
      </c>
      <c r="K42" s="51">
        <f>IFERROR(-(K41/K$15),"")</f>
        <v>0.311327946333283</v>
      </c>
      <c r="L42" s="51">
        <f>IFERROR(-(L41/L$15),"")</f>
        <v>0.295367615809605</v>
      </c>
      <c r="M42" s="51">
        <f>IFERROR(-(M41/M$15),"")</f>
        <v>0.311496644031872</v>
      </c>
      <c r="N42" s="51">
        <f>IFERROR(-(N41/N$15),"")</f>
        <v>0.303241062734734</v>
      </c>
      <c r="O42" s="51">
        <f>IFERROR(-(O41/O$15),"")</f>
        <v>0.398213058419244</v>
      </c>
      <c r="P42" s="51">
        <f>IFERROR(-(P41/P$15),"")</f>
        <v>0.317709002183126</v>
      </c>
      <c r="Q42" s="51">
        <f>IFERROR(-(Q41/Q$15),"")</f>
        <v>0.330015120967742</v>
      </c>
      <c r="R42" s="51">
        <f>IFERROR(-(R41/R$15),"")</f>
        <v>0.336899990061947</v>
      </c>
      <c r="S42" s="51">
        <f>IFERROR(-(S41/S$15),"")</f>
        <v>0.302442078897934</v>
      </c>
      <c r="T42" s="51">
        <f>IFERROR(-(T41/T$15),"")</f>
        <v>0.352579096392958</v>
      </c>
      <c r="U42" s="51">
        <f>IFERROR(-(U41/U$15),"")</f>
        <v>0.326634916947381</v>
      </c>
      <c r="V42" s="51">
        <f>IFERROR(-(V41/V$15),"")</f>
        <v>0.281792911744267</v>
      </c>
      <c r="W42" s="51">
        <f>IFERROR(-(W41/W$15),"")</f>
        <v>0.315552757038769</v>
      </c>
      <c r="X42" s="51">
        <f>IFERROR(-(X41/X$15),"")</f>
        <v>0.361481481481481</v>
      </c>
      <c r="Y42" s="51">
        <f>IFERROR(-(Y41/Y$15),"")</f>
        <v>0.30314606741573</v>
      </c>
      <c r="Z42" s="51">
        <f>IFERROR(-(Z41/Z$15),"")</f>
        <v>0.3113236976188</v>
      </c>
      <c r="AA42" s="51">
        <f>IFERROR(-(AA41/AA$15),"")</f>
        <v>0.314826498422713</v>
      </c>
      <c r="AB42" s="51">
        <f>IFERROR(-(AB41/AB$15),"")</f>
        <v>0.322210749415793</v>
      </c>
      <c r="AC42" s="51">
        <f>IFERROR(-(AC41/AC$15),"")</f>
        <v>0.401709401709402</v>
      </c>
      <c r="AD42" s="51">
        <f>IFERROR(-(AD41/AD$15),"")</f>
        <v>0.36158081006685</v>
      </c>
      <c r="AE42" s="51">
        <f>IFERROR(-(AE41/AE$15),"")</f>
        <v>0.397239835882134</v>
      </c>
      <c r="AF42" s="41">
        <f>IFERROR(-(AF41/AF$15),"")</f>
        <v>0.352077791028346</v>
      </c>
      <c r="AG42" s="51">
        <f>IFERROR(-(AG41/AG$15),"")</f>
        <v>0.377618322823802</v>
      </c>
      <c r="AH42" s="52">
        <f>IFERROR(-(AH41/AH$15),"")</f>
        <v>0.326179875333927</v>
      </c>
      <c r="AI42" s="52">
        <f>IFERROR(-(AI41/AI$15),"")</f>
        <v>0.377288747528583</v>
      </c>
      <c r="AJ42" s="52">
        <f>Control!$B$20</f>
        <v>0.369346076924874</v>
      </c>
      <c r="AK42" s="52">
        <f>Control!$B$20</f>
        <v>0.369346076924874</v>
      </c>
      <c r="AL42" s="51">
        <f>IFERROR(-(AL41/AL$15),"")</f>
        <v>0.361070862973816</v>
      </c>
      <c r="AM42" s="52">
        <f>Control!$C$20</f>
        <v>0.369346076924874</v>
      </c>
      <c r="AN42" s="52">
        <f>Control!$C$20</f>
        <v>0.369346076924874</v>
      </c>
      <c r="AO42" s="52">
        <f>Control!$C$20</f>
        <v>0.369346076924874</v>
      </c>
      <c r="AP42" s="52">
        <f>Control!$C$20</f>
        <v>0.369346076924874</v>
      </c>
      <c r="AQ42" s="51">
        <f>IFERROR(-(AQ41/AQ$15),"")</f>
        <v>0.369346076924873</v>
      </c>
      <c r="AR42" s="52">
        <f>Control!$D$20</f>
        <v>0.369346076924874</v>
      </c>
      <c r="AS42" s="52">
        <f>Control!$D$20</f>
        <v>0.369346076924874</v>
      </c>
      <c r="AT42" s="52">
        <f>Control!$D$20</f>
        <v>0.369346076924874</v>
      </c>
      <c r="AU42" s="52">
        <f>Control!$D$20</f>
        <v>0.369346076924874</v>
      </c>
      <c r="AV42" s="51">
        <f>IFERROR(-(AV41/AV$15),"")</f>
        <v>0.369346076924874</v>
      </c>
      <c r="AW42" s="52">
        <f>Control!$E$20</f>
        <v>0.369346076924874</v>
      </c>
      <c r="AX42" s="52">
        <f>Control!$E$20</f>
        <v>0.369346076924874</v>
      </c>
      <c r="AY42" s="52">
        <f>Control!$E$20</f>
        <v>0.369346076924874</v>
      </c>
      <c r="AZ42" s="52">
        <f>Control!$E$20</f>
        <v>0.369346076924874</v>
      </c>
      <c r="BA42" s="51">
        <f>IFERROR(-(BA41/BA$15),"")</f>
        <v>0.369346076924873</v>
      </c>
      <c r="BB42" s="52">
        <f>Control!$F$20</f>
        <v>0.369346076924874</v>
      </c>
      <c r="BC42" s="52">
        <f>Control!$F$20</f>
        <v>0.369346076924874</v>
      </c>
      <c r="BD42" s="52">
        <f>Control!$F$20</f>
        <v>0.369346076924874</v>
      </c>
      <c r="BE42" s="52">
        <f>Control!$F$20</f>
        <v>0.369346076924874</v>
      </c>
      <c r="BF42" s="51">
        <f>IFERROR(-(BF41/BF$15),"")</f>
        <v>0.369346076924874</v>
      </c>
      <c r="BG42" s="52" t="n"/>
      <c r="BH42" s="52" t="n"/>
      <c r="BI42" s="52" t="n"/>
      <c r="BJ42" s="52" t="n"/>
      <c r="BK42" s="51" t="n"/>
      <c r="BL42" s="52" t="n"/>
      <c r="BM42" s="52" t="n"/>
      <c r="BN42" s="52" t="n"/>
      <c r="BO42" s="52" t="n"/>
      <c r="BP42" s="51" t="n"/>
      <c r="BQ42" s="52" t="n"/>
      <c r="BR42" s="52" t="n"/>
      <c r="BS42" s="52" t="n"/>
      <c r="BT42" s="52" t="n"/>
      <c r="BU42" s="51" t="n"/>
      <c r="BV42" s="52" t="n"/>
      <c r="BW42" s="52" t="n"/>
      <c r="BX42" s="52" t="n"/>
      <c r="BY42" s="52" t="n"/>
      <c r="BZ42" s="51" t="n"/>
      <c r="CA42" s="52" t="n"/>
      <c r="CB42" s="52" t="n"/>
      <c r="CC42" s="52" t="n"/>
      <c r="CD42" s="52" t="n"/>
      <c r="CE42" s="51" t="n"/>
      <c r="CF42" s="52" t="n"/>
      <c r="CG42" s="52" t="n"/>
      <c r="CH42" s="52" t="n"/>
      <c r="CI42" s="52" t="n"/>
      <c r="CJ42" s="51" t="n"/>
      <c r="CK42" s="52" t="n"/>
      <c r="CL42" s="52" t="n"/>
      <c r="CM42" s="52" t="n"/>
      <c r="CN42" s="52" t="n"/>
      <c r="CO42" s="51" t="n"/>
      <c r="CP42" s="52" t="n"/>
      <c r="CQ42" s="52" t="n"/>
      <c r="CR42" s="52" t="n"/>
      <c r="CS42" s="52" t="n"/>
      <c r="CT42" s="51" t="n"/>
      <c r="CU42" s="52" t="n"/>
      <c r="CV42" s="52" t="n"/>
      <c r="CW42" s="52" t="n"/>
      <c r="CX42" s="52" t="n"/>
      <c r="CY42" s="51" t="n"/>
    </row>
    <row r="43" hidden="1" outlineLevel="1"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50" t="n"/>
      <c r="BE43" s="50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50" t="n"/>
      <c r="BP43" s="50" t="n"/>
      <c r="BQ43" s="50" t="n"/>
      <c r="BR43" s="50" t="n"/>
      <c r="BS43" s="50" t="n"/>
      <c r="BT43" s="50" t="n"/>
      <c r="BU43" s="50" t="n"/>
      <c r="BV43" s="50" t="n"/>
      <c r="BW43" s="50" t="n"/>
      <c r="BX43" s="50" t="n"/>
      <c r="BY43" s="50" t="n"/>
      <c r="BZ43" s="50" t="n"/>
      <c r="CA43" s="50" t="n"/>
      <c r="CB43" s="50" t="n"/>
      <c r="CC43" s="50" t="n"/>
      <c r="CD43" s="50" t="n"/>
      <c r="CE43" s="50" t="n"/>
      <c r="CF43" s="50" t="n"/>
      <c r="CG43" s="50" t="n"/>
      <c r="CH43" s="50" t="n"/>
      <c r="CI43" s="50" t="n"/>
      <c r="CJ43" s="50" t="n"/>
      <c r="CK43" s="50" t="n"/>
      <c r="CL43" s="50" t="n"/>
      <c r="CM43" s="50" t="n"/>
      <c r="CN43" s="50" t="n"/>
      <c r="CO43" s="50" t="n"/>
      <c r="CP43" s="50" t="n"/>
      <c r="CQ43" s="50" t="n"/>
      <c r="CR43" s="50" t="n"/>
      <c r="CS43" s="50" t="n"/>
      <c r="CT43" s="50" t="n"/>
      <c r="CU43" s="50" t="n"/>
      <c r="CV43" s="50" t="n"/>
      <c r="CW43" s="50" t="n"/>
      <c r="CX43" s="50" t="n"/>
      <c r="CY43" s="50" t="n"/>
    </row>
    <row r="44" hidden="1" outlineLevel="1">
      <c r="C44" s="50" t="inlineStr">
        <is>
          <t>Com Vendas</t>
        </is>
      </c>
      <c r="D44" s="11" t="n"/>
      <c r="E44" s="11" t="n"/>
      <c r="F44" s="11" t="n"/>
      <c r="G44" s="11" t="n"/>
      <c r="H44" s="50" t="n"/>
      <c r="I44" s="11" t="n"/>
      <c r="J44" s="11" t="n"/>
      <c r="K44" s="11" t="n"/>
      <c r="L44" s="11" t="n"/>
      <c r="M44" s="50" t="n"/>
      <c r="N44" s="11" t="n"/>
      <c r="O44" s="11" t="n"/>
      <c r="P44" s="11" t="n"/>
      <c r="Q44" s="11" t="n"/>
      <c r="R44" s="50" t="n"/>
      <c r="S44" s="11" t="n"/>
      <c r="T44" s="11" t="n"/>
      <c r="U44" s="11" t="n"/>
      <c r="V44" s="11" t="n"/>
      <c r="W44" s="50" t="n"/>
      <c r="X44" s="11" t="n"/>
      <c r="Y44" s="11" t="n"/>
      <c r="Z44" s="11" t="n"/>
      <c r="AA44" s="11" t="n"/>
      <c r="AB44" s="50" t="n"/>
      <c r="AC44" s="11" t="n"/>
      <c r="AD44" s="11" t="n"/>
      <c r="AE44" s="11" t="n"/>
      <c r="AF44" s="11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  <c r="BW44" s="50" t="n"/>
      <c r="BX44" s="50" t="n"/>
      <c r="BY44" s="50" t="n"/>
      <c r="BZ44" s="50" t="n"/>
      <c r="CA44" s="50" t="n"/>
      <c r="CB44" s="50" t="n"/>
      <c r="CC44" s="50" t="n"/>
      <c r="CD44" s="50" t="n"/>
      <c r="CE44" s="50" t="n"/>
      <c r="CF44" s="50" t="n"/>
      <c r="CG44" s="50" t="n"/>
      <c r="CH44" s="50" t="n"/>
      <c r="CI44" s="50" t="n"/>
      <c r="CJ44" s="50" t="n"/>
      <c r="CK44" s="50" t="n"/>
      <c r="CL44" s="50" t="n"/>
      <c r="CM44" s="50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</row>
    <row r="45" hidden="1" outlineLevel="1">
      <c r="C45" s="50" t="inlineStr">
        <is>
          <t>Gerais &amp; Administrativas</t>
        </is>
      </c>
      <c r="D45" s="11" t="n"/>
      <c r="E45" s="11" t="n"/>
      <c r="F45" s="11" t="n"/>
      <c r="G45" s="11" t="n"/>
      <c r="H45" s="50" t="n"/>
      <c r="I45" s="11" t="n"/>
      <c r="J45" s="11" t="n"/>
      <c r="K45" s="11" t="n"/>
      <c r="L45" s="11" t="n"/>
      <c r="M45" s="50" t="n"/>
      <c r="N45" s="11" t="n"/>
      <c r="O45" s="11" t="n"/>
      <c r="P45" s="11" t="n"/>
      <c r="Q45" s="11" t="n"/>
      <c r="R45" s="50" t="n"/>
      <c r="S45" s="11" t="n"/>
      <c r="T45" s="11" t="n"/>
      <c r="U45" s="11" t="n"/>
      <c r="V45" s="11" t="n"/>
      <c r="W45" s="50" t="n"/>
      <c r="X45" s="11" t="n"/>
      <c r="Y45" s="11" t="n"/>
      <c r="Z45" s="11" t="n"/>
      <c r="AA45" s="11" t="n"/>
      <c r="AB45" s="50" t="n"/>
      <c r="AC45" s="11" t="n"/>
      <c r="AD45" s="11" t="n"/>
      <c r="AE45" s="11" t="n"/>
      <c r="AF45" s="11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</row>
    <row r="46" hidden="1" outlineLevel="1">
      <c r="C46" s="50" t="inlineStr">
        <is>
          <t>Outras Receitas (Despesas) Operacionais, Líquidas</t>
        </is>
      </c>
      <c r="D46" s="11" t="n"/>
      <c r="E46" s="11" t="n"/>
      <c r="F46" s="11" t="n"/>
      <c r="G46" s="11" t="n"/>
      <c r="H46" s="50" t="n"/>
      <c r="I46" s="11" t="n"/>
      <c r="J46" s="11" t="n"/>
      <c r="K46" s="11" t="n"/>
      <c r="L46" s="11" t="n"/>
      <c r="M46" s="50" t="n"/>
      <c r="N46" s="11" t="n"/>
      <c r="O46" s="11" t="n"/>
      <c r="P46" s="11" t="n"/>
      <c r="Q46" s="11" t="n"/>
      <c r="R46" s="50" t="n"/>
      <c r="S46" s="11" t="n"/>
      <c r="T46" s="11" t="n"/>
      <c r="U46" s="11" t="n"/>
      <c r="V46" s="11" t="n"/>
      <c r="W46" s="50" t="n"/>
      <c r="X46" s="11" t="n"/>
      <c r="Y46" s="11" t="n"/>
      <c r="Z46" s="11" t="n"/>
      <c r="AA46" s="11" t="n"/>
      <c r="AB46" s="50" t="n"/>
      <c r="AC46" s="11" t="n"/>
      <c r="AD46" s="11" t="n"/>
      <c r="AE46" s="11" t="n"/>
      <c r="AF46" s="11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  <c r="BW46" s="50" t="n"/>
      <c r="BX46" s="50" t="n"/>
      <c r="BY46" s="50" t="n"/>
      <c r="BZ46" s="50" t="n"/>
      <c r="CA46" s="50" t="n"/>
      <c r="CB46" s="50" t="n"/>
      <c r="CC46" s="50" t="n"/>
      <c r="CD46" s="50" t="n"/>
      <c r="CE46" s="50" t="n"/>
      <c r="CF46" s="50" t="n"/>
      <c r="CG46" s="50" t="n"/>
      <c r="CH46" s="50" t="n"/>
      <c r="CI46" s="50" t="n"/>
      <c r="CJ46" s="50" t="n"/>
      <c r="CK46" s="50" t="n"/>
      <c r="CL46" s="50" t="n"/>
      <c r="CM46" s="50" t="n"/>
      <c r="CN46" s="50" t="n"/>
      <c r="CO46" s="50" t="n"/>
      <c r="CP46" s="50" t="n"/>
      <c r="CQ46" s="50" t="n"/>
      <c r="CR46" s="50" t="n"/>
      <c r="CS46" s="50" t="n"/>
      <c r="CT46" s="50" t="n"/>
      <c r="CU46" s="50" t="n"/>
      <c r="CV46" s="50" t="n"/>
      <c r="CW46" s="50" t="n"/>
      <c r="CX46" s="50" t="n"/>
      <c r="CY46" s="50" t="n"/>
    </row>
    <row r="47" hidden="1" outlineLevel="1"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50" t="n"/>
      <c r="BE47" s="50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50" t="n"/>
      <c r="BP47" s="50" t="n"/>
      <c r="BQ47" s="50" t="n"/>
      <c r="BR47" s="50" t="n"/>
      <c r="BS47" s="50" t="n"/>
      <c r="BT47" s="50" t="n"/>
      <c r="BU47" s="50" t="n"/>
      <c r="BV47" s="50" t="n"/>
      <c r="BW47" s="50" t="n"/>
      <c r="BX47" s="50" t="n"/>
      <c r="BY47" s="50" t="n"/>
      <c r="BZ47" s="50" t="n"/>
      <c r="CA47" s="50" t="n"/>
      <c r="CB47" s="50" t="n"/>
      <c r="CC47" s="50" t="n"/>
      <c r="CD47" s="50" t="n"/>
      <c r="CE47" s="50" t="n"/>
      <c r="CF47" s="50" t="n"/>
      <c r="CG47" s="50" t="n"/>
      <c r="CH47" s="50" t="n"/>
      <c r="CI47" s="50" t="n"/>
      <c r="CJ47" s="50" t="n"/>
      <c r="CK47" s="50" t="n"/>
      <c r="CL47" s="50" t="n"/>
      <c r="CM47" s="50" t="n"/>
      <c r="CN47" s="50" t="n"/>
      <c r="CO47" s="50" t="n"/>
      <c r="CP47" s="50" t="n"/>
      <c r="CQ47" s="50" t="n"/>
      <c r="CR47" s="50" t="n"/>
      <c r="CS47" s="50" t="n"/>
      <c r="CT47" s="50" t="n"/>
      <c r="CU47" s="50" t="n"/>
      <c r="CV47" s="50" t="n"/>
      <c r="CW47" s="50" t="n"/>
      <c r="CX47" s="50" t="n"/>
      <c r="CY47" s="50" t="n"/>
    </row>
    <row r="48" hidden="1" outlineLevel="1">
      <c r="C48" s="50" t="inlineStr">
        <is>
          <t>Com Vendas (%)</t>
        </is>
      </c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inlineStr">
        <is>
          <t>Gerais &amp; Administrativas (%)</t>
        </is>
      </c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inlineStr">
        <is>
          <t>Outras Receitas (Despesas) Operacionais, Líquidas (%)</t>
        </is>
      </c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collapsed="1" customFormat="1" s="32">
      <c r="A52" s="30" t="n"/>
      <c r="B52" s="3" t="n"/>
      <c r="C52" s="33" t="inlineStr">
        <is>
          <t>EBITDA</t>
        </is>
      </c>
      <c r="D52" s="35" t="n"/>
      <c r="E52" s="35" t="n"/>
      <c r="F52" s="35" t="n"/>
      <c r="G52" s="35" t="n"/>
      <c r="H52" s="35" t="n"/>
      <c r="I52" s="35">
        <f>SUM(I15,I37,I41)</f>
        <v>3782</v>
      </c>
      <c r="J52" s="35">
        <f>SUM(J15,J37,J41)</f>
        <v>4268</v>
      </c>
      <c r="K52" s="35">
        <f>SUM(K15,K37,K41)</f>
        <v>4517</v>
      </c>
      <c r="L52" s="35">
        <f>SUM(L15,L37,L41)</f>
        <v>4974</v>
      </c>
      <c r="M52" s="35">
        <f>SUM(I52:L52)</f>
        <v>17541</v>
      </c>
      <c r="N52" s="35">
        <f>SUM(N15,N37,N41)</f>
        <v>5009</v>
      </c>
      <c r="O52" s="35">
        <f>SUM(O15,O37,O41)</f>
        <v>4378</v>
      </c>
      <c r="P52" s="35">
        <f>SUM(P15,P37,P41)</f>
        <v>5313</v>
      </c>
      <c r="Q52" s="35">
        <f>SUM(Q15,Q37,Q41)</f>
        <v>5317</v>
      </c>
      <c r="R52" s="35">
        <f>SUM(N52:Q52)</f>
        <v>20017</v>
      </c>
      <c r="S52" s="35">
        <f>SUM(S15,S37,S41)</f>
        <v>5570</v>
      </c>
      <c r="T52" s="35">
        <f>SUM(T15,T37,T41)</f>
        <v>5259</v>
      </c>
      <c r="U52" s="35">
        <f>SUM(U15,U37,U41)</f>
        <v>5797</v>
      </c>
      <c r="V52" s="35">
        <f>SUM(V15,V37,V41)</f>
        <v>6201</v>
      </c>
      <c r="W52" s="35">
        <f>SUM(S52:V52)</f>
        <v>22827</v>
      </c>
      <c r="X52" s="35">
        <f>SUM(X15,X37,X41)</f>
        <v>5603</v>
      </c>
      <c r="Y52" s="35">
        <f>SUM(Y15,Y37,Y41)</f>
        <v>6202</v>
      </c>
      <c r="Z52" s="35">
        <f>SUM(Z15,Z37,Z41)</f>
        <v>6623</v>
      </c>
      <c r="AA52" s="35">
        <f>SUM(AA15,AA37,AA41)</f>
        <v>6516</v>
      </c>
      <c r="AB52" s="35">
        <f>SUM(X52:AA52)</f>
        <v>24944</v>
      </c>
      <c r="AC52" s="35">
        <f>SUM(AC15,AC37,AC41)</f>
        <v>5740</v>
      </c>
      <c r="AD52" s="35">
        <f>SUM(AD15,AD37,AD41)</f>
        <v>6494</v>
      </c>
      <c r="AE52" s="35">
        <f>SUM(AE15,AE37,AE41)</f>
        <v>6464</v>
      </c>
      <c r="AF52" s="35">
        <f>SUM(AF15,AF37,AF41)</f>
        <v>7063</v>
      </c>
      <c r="AG52" s="35">
        <f>SUM(AC52:AF52)</f>
        <v>25761</v>
      </c>
      <c r="AH52" s="35">
        <f>SUM(AH15,AH37,AH41)</f>
        <v>7567</v>
      </c>
      <c r="AI52" s="35">
        <f>SUM(AI15,AI37,AI41)</f>
        <v>7244</v>
      </c>
      <c r="AJ52" s="35">
        <f>SUM(AJ15,AJ37,AJ41)</f>
        <v>7678.16563623303</v>
      </c>
      <c r="AK52" s="35">
        <f>SUM(AK15,AK37,AK41)</f>
        <v>7804.89403213132</v>
      </c>
      <c r="AL52" s="35">
        <f>SUM(AH52:AK52)</f>
        <v>30294.0596683644</v>
      </c>
      <c r="AM52" s="35">
        <f>SUM(AM15,AM37,AM41)</f>
        <v>8040.45133298181</v>
      </c>
      <c r="AN52" s="35">
        <f>SUM(AN15,AN37,AN41)</f>
        <v>8328.99112703272</v>
      </c>
      <c r="AO52" s="35">
        <f>SUM(AO15,AO37,AO41)</f>
        <v>8717.00000647928</v>
      </c>
      <c r="AP52" s="35">
        <f>SUM(AP15,AP37,AP41)</f>
        <v>8860.8744004691</v>
      </c>
      <c r="AQ52" s="35">
        <f>SUM(AM52:AP52)</f>
        <v>33947.3168669629</v>
      </c>
      <c r="AR52" s="35">
        <f>SUM(AR15,AR37,AR41)</f>
        <v>9088.09968969488</v>
      </c>
      <c r="AS52" s="35">
        <f>SUM(AS15,AS37,AS41)</f>
        <v>9414.23541319862</v>
      </c>
      <c r="AT52" s="35">
        <f>SUM(AT15,AT37,AT41)</f>
        <v>9852.80076616985</v>
      </c>
      <c r="AU52" s="35">
        <f>SUM(AU15,AU37,AU41)</f>
        <v>10015.4215919449</v>
      </c>
      <c r="AV52" s="35">
        <f>SUM(AR52:AU52)</f>
        <v>38370.5574610083</v>
      </c>
      <c r="AW52" s="35">
        <f>SUM(AW15,AW37,AW41)</f>
        <v>10226.8132034096</v>
      </c>
      <c r="AX52" s="35">
        <f>SUM(AX15,AX37,AX41)</f>
        <v>10593.8128223743</v>
      </c>
      <c r="AY52" s="35">
        <f>SUM(AY15,AY37,AY41)</f>
        <v>11087.3291894329</v>
      </c>
      <c r="AZ52" s="35">
        <f>SUM(AZ15,AZ37,AZ41)</f>
        <v>11270.3259505789</v>
      </c>
      <c r="BA52" s="35">
        <f>SUM(AW52:AZ52)</f>
        <v>43178.2811657957</v>
      </c>
      <c r="BB52" s="35">
        <f>SUM(BB15,BB37,BB41)</f>
        <v>11457.0702746579</v>
      </c>
      <c r="BC52" s="35">
        <f>SUM(BC15,BC37,BC41)</f>
        <v>11868.2189229826</v>
      </c>
      <c r="BD52" s="35">
        <f>SUM(BD15,BD37,BD41)</f>
        <v>12421.1039309144</v>
      </c>
      <c r="BE52" s="35">
        <f>SUM(BE15,BE37,BE41)</f>
        <v>12626.1146914302</v>
      </c>
      <c r="BF52" s="35">
        <f>SUM(BB52:BE52)</f>
        <v>48372.5078199851</v>
      </c>
      <c r="BG52" s="35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5" t="n"/>
      <c r="BW52" s="35" t="n"/>
      <c r="BX52" s="35" t="n"/>
      <c r="BY52" s="35" t="n"/>
      <c r="BZ52" s="35" t="n"/>
      <c r="CA52" s="35" t="n"/>
      <c r="CB52" s="35" t="n"/>
      <c r="CC52" s="35" t="n"/>
      <c r="CD52" s="35" t="n"/>
      <c r="CE52" s="35" t="n"/>
      <c r="CF52" s="35" t="n"/>
      <c r="CG52" s="35" t="n"/>
      <c r="CH52" s="35" t="n"/>
      <c r="CI52" s="35" t="n"/>
      <c r="CJ52" s="35" t="n"/>
      <c r="CK52" s="35" t="n"/>
      <c r="CL52" s="35" t="n"/>
      <c r="CM52" s="35" t="n"/>
      <c r="CN52" s="35" t="n"/>
      <c r="CO52" s="35" t="n"/>
      <c r="CP52" s="35" t="n"/>
      <c r="CQ52" s="35" t="n"/>
      <c r="CR52" s="35" t="n"/>
      <c r="CS52" s="35" t="n"/>
      <c r="CT52" s="35" t="n"/>
      <c r="CU52" s="35" t="n"/>
      <c r="CV52" s="35" t="n"/>
      <c r="CW52" s="35" t="n"/>
      <c r="CX52" s="35" t="n"/>
      <c r="CY52" s="35" t="n"/>
    </row>
    <row r="53" ht="13.5" customHeight="1">
      <c r="C53" s="13" t="inlineStr">
        <is>
          <t>D&amp;A</t>
        </is>
      </c>
      <c r="D53" s="46" t="n"/>
      <c r="E53" s="46" t="n"/>
      <c r="F53" s="46" t="n"/>
      <c r="G53" s="46" t="n"/>
      <c r="H53" s="12" t="n"/>
      <c r="I53" s="46">
        <f>'Inputs (2)'!D7</f>
        <v>-201</v>
      </c>
      <c r="J53" s="46">
        <f>'Inputs (2)'!E7</f>
        <v>-204</v>
      </c>
      <c r="K53" s="46">
        <f>'Inputs (2)'!F7</f>
        <v>-202</v>
      </c>
      <c r="L53" s="46">
        <f>'Inputs (2)'!G7</f>
        <v>-198</v>
      </c>
      <c r="M53" s="12">
        <f>'Inputs (2)'!H7</f>
        <v>-805</v>
      </c>
      <c r="N53" s="46">
        <f>'Inputs (2)'!I7</f>
        <v>-207</v>
      </c>
      <c r="O53" s="46">
        <f>'Inputs (2)'!J7</f>
        <v>-230</v>
      </c>
      <c r="P53" s="46">
        <f>'Inputs (2)'!K7</f>
        <v>-226</v>
      </c>
      <c r="Q53" s="46">
        <f>'Inputs (2)'!L7</f>
        <v>-227</v>
      </c>
      <c r="R53" s="12">
        <f>'Inputs (2)'!M7</f>
        <v>-890</v>
      </c>
      <c r="S53" s="46">
        <f>'Inputs (2)'!N7</f>
        <v>-234</v>
      </c>
      <c r="T53" s="46">
        <f>'Inputs (2)'!O7</f>
        <v>-235</v>
      </c>
      <c r="U53" s="46">
        <f>'Inputs (2)'!P7</f>
        <v>-247</v>
      </c>
      <c r="V53" s="46">
        <f>'Inputs (2)'!Q7</f>
        <v>-247</v>
      </c>
      <c r="W53" s="12">
        <f>'Inputs (2)'!R7</f>
        <v>-963</v>
      </c>
      <c r="X53" s="46">
        <f>'Inputs (2)'!S7</f>
        <v>-249</v>
      </c>
      <c r="Y53" s="46">
        <f>'Inputs (2)'!T7</f>
        <v>-264</v>
      </c>
      <c r="Z53" s="46">
        <f>'Inputs (2)'!U7</f>
        <v>-274</v>
      </c>
      <c r="AA53" s="46">
        <f>'Inputs (2)'!V7</f>
        <v>-282</v>
      </c>
      <c r="AB53" s="12">
        <f>'Inputs (2)'!W7</f>
        <v>-1069</v>
      </c>
      <c r="AC53" s="46">
        <f>'Inputs (2)'!X7</f>
        <v>-305</v>
      </c>
      <c r="AD53" s="46">
        <f>'Inputs (2)'!Y7</f>
        <v>-317</v>
      </c>
      <c r="AE53" s="46">
        <f>'Inputs (2)'!Z7</f>
        <v>-316</v>
      </c>
      <c r="AF53" s="46">
        <f>'Inputs (2)'!AA7</f>
        <v>-326</v>
      </c>
      <c r="AG53" s="12">
        <f>'Inputs (2)'!AB7</f>
        <v>-1264</v>
      </c>
      <c r="AH53" s="12">
        <f>'Inputs (2)'!AC7</f>
        <v>-333</v>
      </c>
      <c r="AI53" s="12">
        <f>'Inputs (2)'!AD7</f>
        <v>-367</v>
      </c>
      <c r="AJ53" s="12">
        <f>-AJ54*AJ15</f>
        <v>-372.406086609189</v>
      </c>
      <c r="AK53" s="12">
        <f>-AK54*AK15</f>
        <v>-378.552662264712</v>
      </c>
      <c r="AL53" s="12">
        <f>SUM(AH53:AK53)</f>
        <v>-1450.9587488739</v>
      </c>
      <c r="AM53" s="12">
        <f>-AM54*AM15</f>
        <v>-389.977653172435</v>
      </c>
      <c r="AN53" s="12">
        <f>-AN54*AN15</f>
        <v>-403.972398873993</v>
      </c>
      <c r="AO53" s="12">
        <f>-AO54*AO15</f>
        <v>-422.791590229078</v>
      </c>
      <c r="AP53" s="12">
        <f>-AP54*AP15</f>
        <v>-429.769780407234</v>
      </c>
      <c r="AQ53" s="12">
        <f>SUM(AM53:AP53)</f>
        <v>-1646.51142268274</v>
      </c>
      <c r="AR53" s="12">
        <f>-AR54*AR15</f>
        <v>-440.790652416024</v>
      </c>
      <c r="AS53" s="12">
        <f>-AS54*AS15</f>
        <v>-456.608874403883</v>
      </c>
      <c r="AT53" s="12">
        <f>-AT54*AT15</f>
        <v>-477.880153842252</v>
      </c>
      <c r="AU53" s="12">
        <f>-AU54*AU15</f>
        <v>-485.767582714881</v>
      </c>
      <c r="AV53" s="12">
        <f>SUM(AR53:AU53)</f>
        <v>-1861.04726337704</v>
      </c>
      <c r="AW53" s="12">
        <f>-AW54*AW15</f>
        <v>-496.020490309902</v>
      </c>
      <c r="AX53" s="12">
        <f>-AX54*AX15</f>
        <v>-513.820691342395</v>
      </c>
      <c r="AY53" s="12">
        <f>-AY54*AY15</f>
        <v>-537.757202696952</v>
      </c>
      <c r="AZ53" s="12">
        <f>-AZ54*AZ15</f>
        <v>-546.632904382643</v>
      </c>
      <c r="BA53" s="12">
        <f>SUM(AW53:AZ53)</f>
        <v>-2094.23128873189</v>
      </c>
      <c r="BB53" s="12">
        <f>-BB54*BB15</f>
        <v>-555.690370217784</v>
      </c>
      <c r="BC53" s="12">
        <f>-BC54*BC15</f>
        <v>-575.631885729606</v>
      </c>
      <c r="BD53" s="12">
        <f>-BD54*BD15</f>
        <v>-602.447892560343</v>
      </c>
      <c r="BE53" s="12">
        <f>-BE54*BE15</f>
        <v>-612.391316374515</v>
      </c>
      <c r="BF53" s="12">
        <f>SUM(BB53:BE53)</f>
        <v>-2346.16146488225</v>
      </c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</row>
    <row r="54" hidden="1" outlineLevel="1" customFormat="1" s="56">
      <c r="A54" s="53" t="n"/>
      <c r="B54" s="53" t="n"/>
      <c r="C54" s="54" t="inlineStr">
        <is>
          <t>% of Revenue</t>
        </is>
      </c>
      <c r="D54" s="53" t="n"/>
      <c r="E54" s="53" t="n"/>
      <c r="F54" s="53" t="n"/>
      <c r="G54" s="53" t="n"/>
      <c r="H54" s="53" t="n"/>
      <c r="I54" s="53">
        <f>IFERROR(-I53/I15,"")</f>
        <v>0.0350846570082039</v>
      </c>
      <c r="J54" s="53">
        <f>IFERROR(-J53/J15,"")</f>
        <v>0.033278955954323</v>
      </c>
      <c r="K54" s="53">
        <f>IFERROR(-K53/K15,"")</f>
        <v>0.0307973776490319</v>
      </c>
      <c r="L54" s="53">
        <f>IFERROR(-L53/L15,"")</f>
        <v>0.0280492987675308</v>
      </c>
      <c r="M54" s="53" t="n"/>
      <c r="N54" s="53">
        <f>IFERROR(-N53/N15,"")</f>
        <v>0.0287939908193073</v>
      </c>
      <c r="O54" s="53">
        <f>IFERROR(-O53/O15,"")</f>
        <v>0.0316151202749141</v>
      </c>
      <c r="P54" s="53">
        <f>IFERROR(-P53/P15,"")</f>
        <v>0.0290227301913445</v>
      </c>
      <c r="Q54" s="53">
        <f>IFERROR(-Q53/Q15,"")</f>
        <v>0.0286038306451613</v>
      </c>
      <c r="R54" s="53" t="n"/>
      <c r="S54" s="53">
        <f>IFERROR(-S53/S15,"")</f>
        <v>0.0293049467752035</v>
      </c>
      <c r="T54" s="53">
        <f>IFERROR(-T53/T15,"")</f>
        <v>0.0289301982026345</v>
      </c>
      <c r="U54" s="53">
        <f>IFERROR(-U53/U15,"")</f>
        <v>0.0286909048669997</v>
      </c>
      <c r="V54" s="53">
        <f>IFERROR(-V53/V15,"")</f>
        <v>0.0286078295112347</v>
      </c>
      <c r="W54" s="53" t="n"/>
      <c r="X54" s="53">
        <f>IFERROR(-X53/X15,"")</f>
        <v>0.0283760683760684</v>
      </c>
      <c r="Y54" s="53">
        <f>IFERROR(-Y53/Y15,"")</f>
        <v>0.0296629213483146</v>
      </c>
      <c r="Z54" s="53">
        <f>IFERROR(-Z53/Z15,"")</f>
        <v>0.028491213476136</v>
      </c>
      <c r="AA54" s="53">
        <f>IFERROR(-AA53/AA15,"")</f>
        <v>0.0296529968454259</v>
      </c>
      <c r="AB54" s="53" t="n"/>
      <c r="AC54" s="53">
        <f>IFERROR(-AC53/AC15,"")</f>
        <v>0.0317907025224098</v>
      </c>
      <c r="AD54" s="53">
        <f>IFERROR(-AD53/AD15,"")</f>
        <v>0.0311639795517106</v>
      </c>
      <c r="AE54" s="53">
        <f>IFERROR(-AE53/AE15,"")</f>
        <v>0.0294666169339799</v>
      </c>
      <c r="AF54" s="55">
        <f>IFERROR(-AF53/AF15,"")</f>
        <v>0.0299055132556646</v>
      </c>
      <c r="AG54" s="53" t="n"/>
      <c r="AH54" s="55">
        <f>IFERROR(-AH53/AH15,"")</f>
        <v>0.0296527159394479</v>
      </c>
      <c r="AI54" s="55">
        <f>IFERROR(-AI53/AI15,"")</f>
        <v>0.0315481818963294</v>
      </c>
      <c r="AJ54" s="55">
        <f>Control!$B$21</f>
        <v>0.030587951683257</v>
      </c>
      <c r="AK54" s="55">
        <f>Control!$B$21</f>
        <v>0.030587951683257</v>
      </c>
      <c r="AL54" s="53" t="n"/>
      <c r="AM54" s="55">
        <f>Control!$C$21</f>
        <v>0.030587951683257</v>
      </c>
      <c r="AN54" s="55">
        <f>Control!$C$21</f>
        <v>0.030587951683257</v>
      </c>
      <c r="AO54" s="55">
        <f>Control!$C$21</f>
        <v>0.030587951683257</v>
      </c>
      <c r="AP54" s="55">
        <f>Control!$C$21</f>
        <v>0.030587951683257</v>
      </c>
      <c r="AQ54" s="53" t="n"/>
      <c r="AR54" s="55">
        <f>Control!$D$21</f>
        <v>0.030587951683257</v>
      </c>
      <c r="AS54" s="55">
        <f>Control!$D$21</f>
        <v>0.030587951683257</v>
      </c>
      <c r="AT54" s="55">
        <f>Control!$D$21</f>
        <v>0.030587951683257</v>
      </c>
      <c r="AU54" s="55">
        <f>Control!$D$21</f>
        <v>0.030587951683257</v>
      </c>
      <c r="AV54" s="53" t="n"/>
      <c r="AW54" s="55">
        <f>Control!$E$21</f>
        <v>0.030587951683257</v>
      </c>
      <c r="AX54" s="55">
        <f>Control!$E$21</f>
        <v>0.030587951683257</v>
      </c>
      <c r="AY54" s="55">
        <f>Control!$E$21</f>
        <v>0.030587951683257</v>
      </c>
      <c r="AZ54" s="55">
        <f>Control!$E$21</f>
        <v>0.030587951683257</v>
      </c>
      <c r="BA54" s="53" t="n"/>
      <c r="BB54" s="55">
        <f>Control!$F$21</f>
        <v>0.030587951683257</v>
      </c>
      <c r="BC54" s="55">
        <f>Control!$F$21</f>
        <v>0.030587951683257</v>
      </c>
      <c r="BD54" s="55">
        <f>Control!$F$21</f>
        <v>0.030587951683257</v>
      </c>
      <c r="BE54" s="55">
        <f>Control!$F$21</f>
        <v>0.030587951683257</v>
      </c>
      <c r="BF54" s="53" t="n"/>
      <c r="BG54" s="55" t="n"/>
      <c r="BH54" s="55" t="n"/>
      <c r="BI54" s="55" t="n"/>
      <c r="BJ54" s="55" t="n"/>
      <c r="BK54" s="53" t="n"/>
      <c r="BL54" s="55" t="n"/>
      <c r="BM54" s="55" t="n"/>
      <c r="BN54" s="55" t="n"/>
      <c r="BO54" s="55" t="n"/>
      <c r="BP54" s="53" t="n"/>
      <c r="BQ54" s="55" t="n"/>
      <c r="BR54" s="55" t="n"/>
      <c r="BS54" s="55" t="n"/>
      <c r="BT54" s="55" t="n"/>
      <c r="BU54" s="53" t="n"/>
      <c r="BV54" s="55" t="n"/>
      <c r="BW54" s="55" t="n"/>
      <c r="BX54" s="55" t="n"/>
      <c r="BY54" s="55" t="n"/>
      <c r="BZ54" s="53" t="n"/>
      <c r="CA54" s="55" t="n"/>
      <c r="CB54" s="55" t="n"/>
      <c r="CC54" s="55" t="n"/>
      <c r="CD54" s="55" t="n"/>
      <c r="CE54" s="53" t="n"/>
      <c r="CF54" s="55" t="n"/>
      <c r="CG54" s="55" t="n"/>
      <c r="CH54" s="55" t="n"/>
      <c r="CI54" s="55" t="n"/>
      <c r="CJ54" s="53" t="n"/>
      <c r="CK54" s="55" t="n"/>
      <c r="CL54" s="55" t="n"/>
      <c r="CM54" s="55" t="n"/>
      <c r="CN54" s="55" t="n"/>
      <c r="CO54" s="53" t="n"/>
      <c r="CP54" s="55" t="n"/>
      <c r="CQ54" s="55" t="n"/>
      <c r="CR54" s="55" t="n"/>
      <c r="CS54" s="55" t="n"/>
      <c r="CT54" s="53" t="n"/>
      <c r="CU54" s="55" t="n"/>
      <c r="CV54" s="55" t="n"/>
      <c r="CW54" s="55" t="n"/>
      <c r="CX54" s="55" t="n"/>
      <c r="CY54" s="53" t="n"/>
    </row>
    <row r="55" hidden="1" outlineLevel="1">
      <c r="C55" s="50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</row>
    <row r="56" collapsed="1" customFormat="1" s="32">
      <c r="A56" s="30" t="n"/>
      <c r="B56" s="3" t="n"/>
      <c r="C56" s="33" t="inlineStr">
        <is>
          <t>Operating Profit - EBIT</t>
        </is>
      </c>
      <c r="D56" s="35" t="n"/>
      <c r="E56" s="35" t="n"/>
      <c r="F56" s="35" t="n"/>
      <c r="G56" s="35" t="n"/>
      <c r="H56" s="35" t="n"/>
      <c r="I56" s="35">
        <f>SUM(I52,I53)</f>
        <v>3581</v>
      </c>
      <c r="J56" s="35">
        <f>SUM(J52,J53)</f>
        <v>4064</v>
      </c>
      <c r="K56" s="35">
        <f>SUM(K52,K53)</f>
        <v>4315</v>
      </c>
      <c r="L56" s="35">
        <f>SUM(L52,L53)</f>
        <v>4776</v>
      </c>
      <c r="M56" s="35">
        <f>SUM(I56:L56)</f>
        <v>16736</v>
      </c>
      <c r="N56" s="35">
        <f>SUM(N52,N53)</f>
        <v>4802</v>
      </c>
      <c r="O56" s="35">
        <f>SUM(O52,O53)</f>
        <v>4148</v>
      </c>
      <c r="P56" s="35">
        <f>SUM(P52,P53)</f>
        <v>5087</v>
      </c>
      <c r="Q56" s="35">
        <f>SUM(Q52,Q53)</f>
        <v>5090</v>
      </c>
      <c r="R56" s="35">
        <f>SUM(N56:Q56)</f>
        <v>19127</v>
      </c>
      <c r="S56" s="35">
        <f>SUM(S52,S53)</f>
        <v>5336</v>
      </c>
      <c r="T56" s="35">
        <f>SUM(T52,T53)</f>
        <v>5024</v>
      </c>
      <c r="U56" s="35">
        <f>SUM(U52,U53)</f>
        <v>5550</v>
      </c>
      <c r="V56" s="35">
        <f>SUM(V52,V53)</f>
        <v>5954</v>
      </c>
      <c r="W56" s="35">
        <f>SUM(S56:V56)</f>
        <v>21864</v>
      </c>
      <c r="X56" s="35">
        <f>SUM(X52,X53)</f>
        <v>5354</v>
      </c>
      <c r="Y56" s="35">
        <f>SUM(Y52,Y53)</f>
        <v>5938</v>
      </c>
      <c r="Z56" s="35">
        <f>SUM(Z52,Z53)</f>
        <v>6349</v>
      </c>
      <c r="AA56" s="35">
        <f>SUM(AA52,AA53)</f>
        <v>6234</v>
      </c>
      <c r="AB56" s="35">
        <f>SUM(X56:AA56)</f>
        <v>23875</v>
      </c>
      <c r="AC56" s="35">
        <f>SUM(AC52,AC53)</f>
        <v>5435</v>
      </c>
      <c r="AD56" s="35">
        <f>SUM(AD52,AD53)</f>
        <v>6177</v>
      </c>
      <c r="AE56" s="35">
        <f>SUM(AE52,AE53)</f>
        <v>6148</v>
      </c>
      <c r="AF56" s="35">
        <f>SUM(AF52,AF53)</f>
        <v>6737</v>
      </c>
      <c r="AG56" s="35">
        <f>SUM(AC56:AF56)</f>
        <v>24497</v>
      </c>
      <c r="AH56" s="35">
        <f>SUM(AH52,AH53)</f>
        <v>7234</v>
      </c>
      <c r="AI56" s="35">
        <f>SUM(AI52,AI53)</f>
        <v>6877</v>
      </c>
      <c r="AJ56" s="35">
        <f>SUM(AJ52,AJ53)</f>
        <v>7305.75954962384</v>
      </c>
      <c r="AK56" s="35">
        <f>SUM(AK52,AK53)</f>
        <v>7426.34136986661</v>
      </c>
      <c r="AL56" s="35">
        <f>SUM(AL52,AL53)</f>
        <v>28843.1009194905</v>
      </c>
      <c r="AM56" s="35">
        <f>SUM(AM52,AM53)</f>
        <v>7650.47367980938</v>
      </c>
      <c r="AN56" s="35">
        <f>SUM(AN52,AN53)</f>
        <v>7925.01872815873</v>
      </c>
      <c r="AO56" s="35">
        <f>SUM(AO52,AO53)</f>
        <v>8294.2084162502</v>
      </c>
      <c r="AP56" s="35">
        <f>SUM(AP52,AP53)</f>
        <v>8431.10462006187</v>
      </c>
      <c r="AQ56" s="35">
        <f>SUM(AQ52,AQ53)</f>
        <v>32300.8054442802</v>
      </c>
      <c r="AR56" s="35">
        <f>SUM(AR52,AR53)</f>
        <v>8647.30903727885</v>
      </c>
      <c r="AS56" s="35">
        <f>SUM(AS52,AS53)</f>
        <v>8957.62653879474</v>
      </c>
      <c r="AT56" s="35">
        <f>SUM(AT52,AT53)</f>
        <v>9374.92061232759</v>
      </c>
      <c r="AU56" s="35">
        <f>SUM(AU52,AU53)</f>
        <v>9529.65400923005</v>
      </c>
      <c r="AV56" s="35">
        <f>SUM(AV52,AV53)</f>
        <v>36509.5101976312</v>
      </c>
      <c r="AW56" s="35">
        <f>SUM(AW52,AW53)</f>
        <v>9730.79271309969</v>
      </c>
      <c r="AX56" s="35">
        <f>SUM(AX52,AX53)</f>
        <v>10079.9921310319</v>
      </c>
      <c r="AY56" s="35">
        <f>SUM(AY52,AY53)</f>
        <v>10549.5719867359</v>
      </c>
      <c r="AZ56" s="35">
        <f>SUM(AZ52,AZ53)</f>
        <v>10723.6930461962</v>
      </c>
      <c r="BA56" s="35">
        <f>SUM(BA52,BA53)</f>
        <v>41084.0498770638</v>
      </c>
      <c r="BB56" s="35">
        <f>SUM(BB52,BB53)</f>
        <v>10901.3799044401</v>
      </c>
      <c r="BC56" s="35">
        <f>SUM(BC52,BC53)</f>
        <v>11292.587037253</v>
      </c>
      <c r="BD56" s="35">
        <f>SUM(BD52,BD53)</f>
        <v>11818.656038354</v>
      </c>
      <c r="BE56" s="35">
        <f>SUM(BE52,BE53)</f>
        <v>12013.7233750557</v>
      </c>
      <c r="BF56" s="35">
        <f>SUM(BF52,BF53)</f>
        <v>46026.3463551028</v>
      </c>
      <c r="BG56" s="35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5" t="n"/>
      <c r="BW56" s="35" t="n"/>
      <c r="BX56" s="35" t="n"/>
      <c r="BY56" s="35" t="n"/>
      <c r="BZ56" s="35" t="n"/>
      <c r="CA56" s="35" t="n"/>
      <c r="CB56" s="35" t="n"/>
      <c r="CC56" s="35" t="n"/>
      <c r="CD56" s="35" t="n"/>
      <c r="CE56" s="35" t="n"/>
      <c r="CF56" s="35" t="n"/>
      <c r="CG56" s="35" t="n"/>
      <c r="CH56" s="35" t="n"/>
      <c r="CI56" s="35" t="n"/>
      <c r="CJ56" s="35" t="n"/>
      <c r="CK56" s="35" t="n"/>
      <c r="CL56" s="35" t="n"/>
      <c r="CM56" s="35" t="n"/>
      <c r="CN56" s="35" t="n"/>
      <c r="CO56" s="35" t="n"/>
      <c r="CP56" s="35" t="n"/>
      <c r="CQ56" s="35" t="n"/>
      <c r="CR56" s="35" t="n"/>
      <c r="CS56" s="35" t="n"/>
      <c r="CT56" s="35" t="n"/>
      <c r="CU56" s="35" t="n"/>
      <c r="CV56" s="35" t="n"/>
      <c r="CW56" s="35" t="n"/>
      <c r="CX56" s="35" t="n"/>
      <c r="CY56" s="35" t="n"/>
    </row>
    <row r="57">
      <c r="C57" s="14" t="inlineStr">
        <is>
          <t>Interest Expense</t>
        </is>
      </c>
      <c r="D57" s="46" t="n"/>
      <c r="E57" s="46" t="n"/>
      <c r="F57" s="46" t="n"/>
      <c r="G57" s="46" t="n"/>
      <c r="H57" s="12" t="n"/>
      <c r="I57" s="46">
        <f>'Inputs (2)'!D8</f>
        <v>0</v>
      </c>
      <c r="J57" s="46">
        <f>'Inputs (2)'!E8</f>
        <v>0</v>
      </c>
      <c r="K57" s="46">
        <f>'Inputs (2)'!F8</f>
        <v>0</v>
      </c>
      <c r="L57" s="46">
        <f>'Inputs (2)'!G8</f>
        <v>0</v>
      </c>
      <c r="M57" s="12">
        <f>'Inputs (2)'!H8</f>
        <v>0</v>
      </c>
      <c r="N57" s="46">
        <f>'Inputs (2)'!I8</f>
        <v>0</v>
      </c>
      <c r="O57" s="46">
        <f>'Inputs (2)'!J8</f>
        <v>0</v>
      </c>
      <c r="P57" s="46">
        <f>'Inputs (2)'!K8</f>
        <v>0</v>
      </c>
      <c r="Q57" s="46">
        <f>'Inputs (2)'!L8</f>
        <v>0</v>
      </c>
      <c r="R57" s="12">
        <f>'Inputs (2)'!M8</f>
        <v>0</v>
      </c>
      <c r="S57" s="46">
        <f>'Inputs (2)'!N8</f>
        <v>0</v>
      </c>
      <c r="T57" s="46">
        <f>'Inputs (2)'!O8</f>
        <v>-182</v>
      </c>
      <c r="U57" s="46">
        <f>'Inputs (2)'!P8</f>
        <v>-183</v>
      </c>
      <c r="V57" s="46">
        <f>'Inputs (2)'!Q8</f>
        <v>-187</v>
      </c>
      <c r="W57" s="12">
        <f>'Inputs (2)'!R8</f>
        <v>-552</v>
      </c>
      <c r="X57" s="46">
        <f>'Inputs (2)'!S8</f>
        <v>-82</v>
      </c>
      <c r="Y57" s="46">
        <f>'Inputs (2)'!T8</f>
        <v>-196</v>
      </c>
      <c r="Z57" s="46">
        <f>'Inputs (2)'!U8</f>
        <v>-176</v>
      </c>
      <c r="AA57" s="46">
        <f>'Inputs (2)'!V8</f>
        <v>-182</v>
      </c>
      <c r="AB57" s="12">
        <f>'Inputs (2)'!W8</f>
        <v>-636</v>
      </c>
      <c r="AC57" s="46">
        <f>'Inputs (2)'!X8</f>
        <v>-158</v>
      </c>
      <c r="AD57" s="46">
        <f>'Inputs (2)'!Y8</f>
        <v>-39</v>
      </c>
      <c r="AE57" s="46">
        <f>'Inputs (2)'!Z8</f>
        <v>-210</v>
      </c>
      <c r="AF57" s="46">
        <f>'Inputs (2)'!AA8</f>
        <v>-194</v>
      </c>
      <c r="AG57" s="12">
        <f>'Inputs (2)'!AB8</f>
        <v>-601</v>
      </c>
      <c r="AH57" s="12">
        <f>'Inputs (2)'!AC8</f>
        <v>-178</v>
      </c>
      <c r="AI57" s="12">
        <f>'Inputs (2)'!AD8</f>
        <v>-194</v>
      </c>
      <c r="AJ57" s="12" t="str">
        <f>IF(Control!$E$9="","",-AI75*Control!$E$9/4)</f>
        <v/>
      </c>
      <c r="AK57" s="12" t="str">
        <f>IF(Control!$E$9="","",-AJ75*Control!$E$9/4)</f>
        <v/>
      </c>
      <c r="AL57" s="12">
        <f>SUM(AH57:AK57)</f>
        <v>-372</v>
      </c>
      <c r="AM57" s="12" t="str">
        <f>IF(Control!$E$9="","",-AL75*Control!$E$9/4)</f>
        <v/>
      </c>
      <c r="AN57" s="12" t="str">
        <f>IF(Control!$E$9="","",-AM75*Control!$E$9/4)</f>
        <v/>
      </c>
      <c r="AO57" s="12" t="str">
        <f>IF(Control!$E$9="","",-AN75*Control!$E$9/4)</f>
        <v/>
      </c>
      <c r="AP57" s="12" t="str">
        <f>IF(Control!$E$9="","",-AO75*Control!$E$9/4)</f>
        <v/>
      </c>
      <c r="AQ57" s="12">
        <f>SUM(AM57:AP57)</f>
        <v>0</v>
      </c>
      <c r="AR57" s="12" t="str">
        <f>IF(Control!$E$9="","",-AQ75*Control!$E$9/4)</f>
        <v/>
      </c>
      <c r="AS57" s="12" t="str">
        <f>IF(Control!$E$9="","",-AR75*Control!$E$9/4)</f>
        <v/>
      </c>
      <c r="AT57" s="12" t="str">
        <f>IF(Control!$E$9="","",-AS75*Control!$E$9/4)</f>
        <v/>
      </c>
      <c r="AU57" s="12" t="str">
        <f>IF(Control!$E$9="","",-AT75*Control!$E$9/4)</f>
        <v/>
      </c>
      <c r="AV57" s="12">
        <f>SUM(AR57:AU57)</f>
        <v>0</v>
      </c>
      <c r="AW57" s="12" t="str">
        <f>IF(Control!$E$9="","",-AV75*Control!$E$9/4)</f>
        <v/>
      </c>
      <c r="AX57" s="12" t="str">
        <f>IF(Control!$E$9="","",-AW75*Control!$E$9/4)</f>
        <v/>
      </c>
      <c r="AY57" s="12" t="str">
        <f>IF(Control!$E$9="","",-AX75*Control!$E$9/4)</f>
        <v/>
      </c>
      <c r="AZ57" s="12" t="str">
        <f>IF(Control!$E$9="","",-AY75*Control!$E$9/4)</f>
        <v/>
      </c>
      <c r="BA57" s="12">
        <f>SUM(AW57:AZ57)</f>
        <v>0</v>
      </c>
      <c r="BB57" s="12" t="str">
        <f>IF(Control!$E$9="","",-BA75*Control!$E$9/4)</f>
        <v/>
      </c>
      <c r="BC57" s="12" t="str">
        <f>IF(Control!$E$9="","",-BB75*Control!$E$9/4)</f>
        <v/>
      </c>
      <c r="BD57" s="12" t="str">
        <f>IF(Control!$E$9="","",-BC75*Control!$E$9/4)</f>
        <v/>
      </c>
      <c r="BE57" s="12" t="str">
        <f>IF(Control!$E$9="","",-BD75*Control!$E$9/4)</f>
        <v/>
      </c>
      <c r="BF57" s="12">
        <f>SUM(BB57:BE57)</f>
        <v>0</v>
      </c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</row>
    <row r="58" hidden="1" outlineLevel="1">
      <c r="C58" s="50" t="inlineStr">
        <is>
          <t>% of Debt</t>
        </is>
      </c>
      <c r="D58" s="53" t="n"/>
      <c r="E58" s="53" t="n"/>
      <c r="F58" s="53" t="n"/>
      <c r="G58" s="53" t="n"/>
      <c r="H58" s="12" t="n"/>
      <c r="I58" s="53">
        <f>IFERROR(-I57/SUM(I195+I200),"")</f>
        <v>0</v>
      </c>
      <c r="J58" s="53">
        <f>IFERROR(-J57/SUM(J195+J200),"")</f>
        <v>0</v>
      </c>
      <c r="K58" s="53">
        <f>IFERROR(-K57/SUM(K195+K200),"")</f>
        <v>0</v>
      </c>
      <c r="L58" s="53">
        <f>IFERROR(-L57/SUM(L195+L200),"")</f>
        <v>0</v>
      </c>
      <c r="M58" s="12" t="n"/>
      <c r="N58" s="53">
        <f>IFERROR(-N57/SUM(N195+N200),"")</f>
        <v>0</v>
      </c>
      <c r="O58" s="53">
        <f>IFERROR(-O57/SUM(O195+O200),"")</f>
        <v>0</v>
      </c>
      <c r="P58" s="53">
        <f>IFERROR(-P57/SUM(P195+P200),"")</f>
        <v>0</v>
      </c>
      <c r="Q58" s="53">
        <f>IFERROR(-Q57/SUM(Q195+Q200),"")</f>
        <v>0</v>
      </c>
      <c r="R58" s="12" t="n"/>
      <c r="S58" s="53">
        <f>IFERROR(-S57/SUM(S195+S200),"")</f>
        <v>0</v>
      </c>
      <c r="T58" s="53">
        <f>IFERROR(-T57/SUM(T195+T200),"")</f>
        <v>0.00885214007782101</v>
      </c>
      <c r="U58" s="53">
        <f>IFERROR(-U57/SUM(U195+U200),"")</f>
        <v>0.00894297023896789</v>
      </c>
      <c r="V58" s="53">
        <f>IFERROR(-V57/SUM(V195+V200),"")</f>
        <v>0.00903250736608221</v>
      </c>
      <c r="W58" s="12" t="n"/>
      <c r="X58" s="53">
        <f>IFERROR(-X57/SUM(X195+X200),"")</f>
        <v>0.00398000291219725</v>
      </c>
      <c r="Y58" s="53">
        <f>IFERROR(-Y57/SUM(Y195+Y200),"")</f>
        <v>0.00951363945248034</v>
      </c>
      <c r="Z58" s="53">
        <f>IFERROR(-Z57/SUM(Z195+Z200),"")</f>
        <v>0.00844691879439432</v>
      </c>
      <c r="AA58" s="53">
        <f>IFERROR(-AA57/SUM(AA195+AA200),"")</f>
        <v>0.00883109321170363</v>
      </c>
      <c r="AB58" s="12" t="n"/>
      <c r="AC58" s="53">
        <f>IFERROR(-AC57/SUM(AC195+AC200),"")</f>
        <v>0.00761005683460168</v>
      </c>
      <c r="AD58" s="53">
        <f>IFERROR(-AD57/SUM(AD195+AD200),"")</f>
        <v>0.00155143607287772</v>
      </c>
      <c r="AE58" s="53">
        <f>IFERROR(-AE57/SUM(AE195+AE200),"")</f>
        <v>0.00834293432918835</v>
      </c>
      <c r="AF58" s="55">
        <f>IFERROR(-AF57/SUM(AF195+AF200),"")</f>
        <v>0.00916088208905888</v>
      </c>
      <c r="AG58" s="12" t="n"/>
      <c r="AH58" s="11">
        <f>IFERROR(-AH57/SUM(AH195+AH200),"")</f>
        <v>0.00742409075742409</v>
      </c>
      <c r="AI58" s="11">
        <f>IFERROR(-AI57/SUM(AI195+AI200),"")</f>
        <v>0.00813144437924386</v>
      </c>
      <c r="AJ58" s="11" t="str">
        <f>IFERROR(Control!$E$9,0)</f>
        <v/>
      </c>
      <c r="AK58" s="11" t="str">
        <f>IFERROR(Control!$E$9,0)</f>
        <v/>
      </c>
      <c r="AL58" s="12" t="n"/>
      <c r="AM58" s="11" t="str">
        <f>IFERROR(Control!$E$9,0)</f>
        <v/>
      </c>
      <c r="AN58" s="11" t="str">
        <f>IFERROR(Control!$E$9,0)</f>
        <v/>
      </c>
      <c r="AO58" s="11" t="str">
        <f>IFERROR(Control!$E$9,0)</f>
        <v/>
      </c>
      <c r="AP58" s="11" t="str">
        <f>IFERROR(Control!$E$9,0)</f>
        <v/>
      </c>
      <c r="AQ58" s="12" t="n"/>
      <c r="AR58" s="11" t="str">
        <f>IFERROR(Control!$E$9,0)</f>
        <v/>
      </c>
      <c r="AS58" s="11" t="str">
        <f>IFERROR(Control!$E$9,0)</f>
        <v/>
      </c>
      <c r="AT58" s="11" t="str">
        <f>IFERROR(Control!$E$9,0)</f>
        <v/>
      </c>
      <c r="AU58" s="11" t="str">
        <f>IFERROR(Control!$E$9,0)</f>
        <v/>
      </c>
      <c r="AV58" s="12" t="n"/>
      <c r="AW58" s="11" t="str">
        <f>IFERROR(Control!$E$9,0)</f>
        <v/>
      </c>
      <c r="AX58" s="11" t="str">
        <f>IFERROR(Control!$E$9,0)</f>
        <v/>
      </c>
      <c r="AY58" s="11" t="str">
        <f>IFERROR(Control!$E$9,0)</f>
        <v/>
      </c>
      <c r="AZ58" s="11" t="str">
        <f>IFERROR(Control!$E$9,0)</f>
        <v/>
      </c>
      <c r="BA58" s="12" t="n"/>
      <c r="BB58" s="11" t="str">
        <f>IFERROR(Control!$E$9,0)</f>
        <v/>
      </c>
      <c r="BC58" s="11" t="str">
        <f>IFERROR(Control!$E$9,0)</f>
        <v/>
      </c>
      <c r="BD58" s="11" t="str">
        <f>IFERROR(Control!$E$9,0)</f>
        <v/>
      </c>
      <c r="BE58" s="11" t="str">
        <f>IFERROR(Control!$E$9,0)</f>
        <v/>
      </c>
      <c r="BF58" s="12" t="n"/>
      <c r="BG58" s="11" t="n"/>
      <c r="BH58" s="11" t="n"/>
      <c r="BI58" s="11" t="n"/>
      <c r="BJ58" s="11" t="n"/>
      <c r="BK58" s="12" t="n"/>
      <c r="BL58" s="11" t="n"/>
      <c r="BM58" s="11" t="n"/>
      <c r="BN58" s="11" t="n"/>
      <c r="BO58" s="11" t="n"/>
      <c r="BP58" s="12" t="n"/>
      <c r="BQ58" s="11" t="n"/>
      <c r="BR58" s="11" t="n"/>
      <c r="BS58" s="11" t="n"/>
      <c r="BT58" s="11" t="n"/>
      <c r="BU58" s="12" t="n"/>
      <c r="BV58" s="11" t="n"/>
      <c r="BW58" s="11" t="n"/>
      <c r="BX58" s="11" t="n"/>
      <c r="BY58" s="11" t="n"/>
      <c r="BZ58" s="12" t="n"/>
      <c r="CA58" s="11" t="n"/>
      <c r="CB58" s="11" t="n"/>
      <c r="CC58" s="11" t="n"/>
      <c r="CD58" s="11" t="n"/>
      <c r="CE58" s="12" t="n"/>
      <c r="CF58" s="11" t="n"/>
      <c r="CG58" s="11" t="n"/>
      <c r="CH58" s="11" t="n"/>
      <c r="CI58" s="11" t="n"/>
      <c r="CJ58" s="12" t="n"/>
      <c r="CK58" s="11" t="n"/>
      <c r="CL58" s="11" t="n"/>
      <c r="CM58" s="11" t="n"/>
      <c r="CN58" s="11" t="n"/>
      <c r="CO58" s="12" t="n"/>
      <c r="CP58" s="11" t="n"/>
      <c r="CQ58" s="11" t="n"/>
      <c r="CR58" s="11" t="n"/>
      <c r="CS58" s="11" t="n"/>
      <c r="CT58" s="12" t="n"/>
      <c r="CU58" s="11" t="n"/>
      <c r="CV58" s="11" t="n"/>
      <c r="CW58" s="11" t="n"/>
      <c r="CX58" s="11" t="n"/>
      <c r="CY58" s="12" t="n"/>
    </row>
    <row r="59" hidden="1" outlineLevel="1">
      <c r="C59" s="50" t="inlineStr">
        <is>
          <t>%CDI</t>
        </is>
      </c>
      <c r="D59" s="11" t="n"/>
      <c r="E59" s="11" t="n"/>
      <c r="F59" s="11" t="n"/>
      <c r="G59" s="11" t="n"/>
      <c r="H59" s="12" t="n"/>
      <c r="I59" s="11" t="n"/>
      <c r="J59" s="11" t="n"/>
      <c r="K59" s="11" t="n"/>
      <c r="L59" s="11" t="n"/>
      <c r="M59" s="12" t="n"/>
      <c r="N59" s="11" t="n"/>
      <c r="O59" s="11" t="n"/>
      <c r="P59" s="11" t="n"/>
      <c r="Q59" s="11" t="n"/>
      <c r="R59" s="12" t="n"/>
      <c r="S59" s="11" t="n"/>
      <c r="T59" s="11" t="n"/>
      <c r="U59" s="11" t="n"/>
      <c r="V59" s="11" t="n"/>
      <c r="W59" s="12" t="n"/>
      <c r="X59" s="11" t="n"/>
      <c r="Y59" s="11" t="n"/>
      <c r="Z59" s="11" t="n"/>
      <c r="AA59" s="11" t="n"/>
      <c r="AB59" s="12" t="n"/>
      <c r="AC59" s="11" t="n"/>
      <c r="AD59" s="11" t="n"/>
      <c r="AE59" s="11" t="n"/>
      <c r="AF59" s="11" t="n"/>
      <c r="AG59" s="12" t="n"/>
      <c r="AH59" s="11" t="n"/>
      <c r="AI59" s="11" t="n"/>
      <c r="AJ59" s="11" t="n"/>
      <c r="AK59" s="11" t="n"/>
      <c r="AL59" s="12" t="n"/>
      <c r="AM59" s="11" t="n"/>
      <c r="AN59" s="11" t="n"/>
      <c r="AO59" s="11" t="n"/>
      <c r="AP59" s="11" t="n"/>
      <c r="AQ59" s="12" t="n"/>
      <c r="AR59" s="11" t="n"/>
      <c r="AS59" s="11" t="n"/>
      <c r="AT59" s="11" t="n"/>
      <c r="AU59" s="11" t="n"/>
      <c r="AV59" s="12" t="n"/>
      <c r="AW59" s="11" t="n"/>
      <c r="AX59" s="11" t="n"/>
      <c r="AY59" s="11" t="n"/>
      <c r="AZ59" s="11" t="n"/>
      <c r="BA59" s="12" t="n"/>
      <c r="BB59" s="11" t="n"/>
      <c r="BC59" s="11" t="n"/>
      <c r="BD59" s="11" t="n"/>
      <c r="BE59" s="11" t="n"/>
      <c r="BF59" s="12" t="n"/>
      <c r="BG59" s="11" t="n"/>
      <c r="BH59" s="11" t="n"/>
      <c r="BI59" s="11" t="n"/>
      <c r="BJ59" s="11" t="n"/>
      <c r="BK59" s="12" t="n"/>
      <c r="BL59" s="11" t="n"/>
      <c r="BM59" s="11" t="n"/>
      <c r="BN59" s="11" t="n"/>
      <c r="BO59" s="11" t="n"/>
      <c r="BP59" s="12" t="n"/>
      <c r="BQ59" s="11" t="n"/>
      <c r="BR59" s="11" t="n"/>
      <c r="BS59" s="11" t="n"/>
      <c r="BT59" s="11" t="n"/>
      <c r="BU59" s="12" t="n"/>
      <c r="BV59" s="11" t="n"/>
      <c r="BW59" s="11" t="n"/>
      <c r="BX59" s="11" t="n"/>
      <c r="BY59" s="11" t="n"/>
      <c r="BZ59" s="12" t="n"/>
      <c r="CA59" s="11" t="n"/>
      <c r="CB59" s="11" t="n"/>
      <c r="CC59" s="11" t="n"/>
      <c r="CD59" s="11" t="n"/>
      <c r="CE59" s="12" t="n"/>
      <c r="CF59" s="11" t="n"/>
      <c r="CG59" s="11" t="n"/>
      <c r="CH59" s="11" t="n"/>
      <c r="CI59" s="11" t="n"/>
      <c r="CJ59" s="12" t="n"/>
      <c r="CK59" s="11" t="n"/>
      <c r="CL59" s="11" t="n"/>
      <c r="CM59" s="11" t="n"/>
      <c r="CN59" s="11" t="n"/>
      <c r="CO59" s="12" t="n"/>
      <c r="CP59" s="11" t="n"/>
      <c r="CQ59" s="11" t="n"/>
      <c r="CR59" s="11" t="n"/>
      <c r="CS59" s="11" t="n"/>
      <c r="CT59" s="12" t="n"/>
      <c r="CU59" s="11" t="n"/>
      <c r="CV59" s="11" t="n"/>
      <c r="CW59" s="11" t="n"/>
      <c r="CX59" s="11" t="n"/>
      <c r="CY59" s="12" t="n"/>
    </row>
    <row r="60" hidden="1" outlineLevel="1">
      <c r="C60" s="57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>
      <c r="C61" s="57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</row>
    <row r="62" hidden="1" outlineLevel="1">
      <c r="C62" s="57" t="inlineStr">
        <is>
          <t>RECEITA FINANCEIRA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7" t="inlineStr">
        <is>
          <t>DESPESA FINANCEIRA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</row>
    <row r="64" hidden="1" outlineLevel="1">
      <c r="C64" s="57" t="inlineStr">
        <is>
          <t>OUTROS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57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inlineStr">
        <is>
          <t>Cash and equivalents (inc. investment securities)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Interest on cash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Average interest rate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% CDI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Current portion of long-term debt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Short term debt (Revolving credit facility)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Long term debt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Convertible debt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Total debt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Interest expense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Average interest rate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Stake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PRE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CDI+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Spread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PRE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CDI+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RECEITAS FINANCEIRAS - Rendimentos de aplicações financeiras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RECEITAS FINANCEIRAS - Variação cambial ativa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RECEITAS FINANCEIRAS - Atualização de contas a pagar por aquisição de empresas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RECEITAS FINANCEIRAS - Resultado positivo com instrumentos derivativos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RECEITAS FINANCEIRAS - Descontos obtidos de fornecedores por antecipação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Atualização monetária sobre Exclusão ICMS da base de PIS/COFINS (nota explicativa nº 7)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Outras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DESPESAS FINANCEIRAS - Encargos sobre empréstimos, financiamentos e debêntures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DESPESAS FINANCEIRAS - Variação cambial passiva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DESPESAS FINANCEIRAS - Resultado negativo com instrumentos derivativos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DESPESAS FINANCEIRAS - Juros sobre arrendamento - IFRS16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inlineStr">
        <is>
          <t>DESPESAS FINANCEIRAS - Despesas bancárias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Despesas com obtenção de empréstimos e financiamentos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Atualização de contas a pagar por aquisição de empresas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Outras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CHECK [EX IFRS-16]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collapsed="1">
      <c r="C106" s="14" t="inlineStr">
        <is>
          <t>Nonoperating Income / (Loss)</t>
        </is>
      </c>
      <c r="D106" s="46" t="n"/>
      <c r="E106" s="46" t="n"/>
      <c r="F106" s="46" t="n"/>
      <c r="G106" s="46" t="n"/>
      <c r="H106" s="12" t="n"/>
      <c r="I106" s="46">
        <f>'Inputs (2)'!D9</f>
        <v>47</v>
      </c>
      <c r="J106" s="46">
        <f>'Inputs (2)'!E9</f>
        <v>325</v>
      </c>
      <c r="K106" s="46">
        <f>'Inputs (2)'!F9</f>
        <v>-17</v>
      </c>
      <c r="L106" s="46">
        <f>'Inputs (2)'!G9</f>
        <v>121</v>
      </c>
      <c r="M106" s="12">
        <f>'Inputs (2)'!H9</f>
        <v>476</v>
      </c>
      <c r="N106" s="46">
        <f>'Inputs (2)'!I9</f>
        <v>-260</v>
      </c>
      <c r="O106" s="46">
        <f>'Inputs (2)'!J9</f>
        <v>-319</v>
      </c>
      <c r="P106" s="46">
        <f>'Inputs (2)'!K9</f>
        <v>-219</v>
      </c>
      <c r="Q106" s="46">
        <f>'Inputs (2)'!L9</f>
        <v>-113</v>
      </c>
      <c r="R106" s="12">
        <f>'Inputs (2)'!M9</f>
        <v>-911</v>
      </c>
      <c r="S106" s="46">
        <f>'Inputs (2)'!N9</f>
        <v>-58</v>
      </c>
      <c r="T106" s="46">
        <f>'Inputs (2)'!O9</f>
        <v>304</v>
      </c>
      <c r="U106" s="46">
        <f>'Inputs (2)'!P9</f>
        <v>269</v>
      </c>
      <c r="V106" s="46">
        <f>'Inputs (2)'!Q9</f>
        <v>275</v>
      </c>
      <c r="W106" s="12">
        <f>'Inputs (2)'!R9</f>
        <v>790</v>
      </c>
      <c r="X106" s="46">
        <f>'Inputs (2)'!S9</f>
        <v>241</v>
      </c>
      <c r="Y106" s="46">
        <f>'Inputs (2)'!T9</f>
        <v>247</v>
      </c>
      <c r="Z106" s="46">
        <f>'Inputs (2)'!U9</f>
        <v>199</v>
      </c>
      <c r="AA106" s="46">
        <f>'Inputs (2)'!V9</f>
        <v>148</v>
      </c>
      <c r="AB106" s="12">
        <f>'Inputs (2)'!W9</f>
        <v>835</v>
      </c>
      <c r="AC106" s="46">
        <f>'Inputs (2)'!X9</f>
        <v>161</v>
      </c>
      <c r="AD106" s="46">
        <f>'Inputs (2)'!Y9</f>
        <v>195</v>
      </c>
      <c r="AE106" s="46">
        <f>'Inputs (2)'!Z9</f>
        <v>285</v>
      </c>
      <c r="AF106" s="46">
        <f>'Inputs (2)'!AA9</f>
        <v>183</v>
      </c>
      <c r="AG106" s="12">
        <f>'Inputs (2)'!AB9</f>
        <v>824</v>
      </c>
      <c r="AH106" s="12">
        <f>'Inputs (2)'!AC9</f>
        <v>118</v>
      </c>
      <c r="AI106" s="12">
        <f>'Inputs (2)'!AD9</f>
        <v>150</v>
      </c>
      <c r="AJ106" s="12">
        <f>AJ15*Control!$B$23</f>
        <v>206.913508294628</v>
      </c>
      <c r="AK106" s="12">
        <f>AK15*Control!$B$23</f>
        <v>210.328623080916</v>
      </c>
      <c r="AL106" s="12">
        <f>SUM(AH106:AK106)</f>
        <v>685.242131375544</v>
      </c>
      <c r="AM106" s="12">
        <f>AM15*Control!$C$23</f>
        <v>216.676491807971</v>
      </c>
      <c r="AN106" s="12">
        <f>AN15*Control!$C$23</f>
        <v>224.452148637767</v>
      </c>
      <c r="AO106" s="12">
        <f>AO15*Control!$C$23</f>
        <v>234.90832818629</v>
      </c>
      <c r="AP106" s="12">
        <f>AP15*Control!$C$23</f>
        <v>238.785498466873</v>
      </c>
      <c r="AQ106" s="12">
        <f>SUM(AM106:AP106)</f>
        <v>914.822467098901</v>
      </c>
      <c r="AR106" s="12">
        <f>AR15*Control!$D$23</f>
        <v>244.908833648014</v>
      </c>
      <c r="AS106" s="12">
        <f>AS15*Control!$D$23</f>
        <v>253.697636850164</v>
      </c>
      <c r="AT106" s="12">
        <f>AT15*Control!$D$23</f>
        <v>265.516227396261</v>
      </c>
      <c r="AU106" s="12">
        <f>AU15*Control!$D$23</f>
        <v>269.898582137881</v>
      </c>
      <c r="AV106" s="12">
        <f>SUM(AR106:AU106)</f>
        <v>1034.02128003232</v>
      </c>
      <c r="AW106" s="12">
        <f>AW15*Control!$E$23</f>
        <v>275.595226626221</v>
      </c>
      <c r="AX106" s="12">
        <f>AX15*Control!$E$23</f>
        <v>285.485242327946</v>
      </c>
      <c r="AY106" s="12">
        <f>AY15*Control!$E$23</f>
        <v>298.784669267503</v>
      </c>
      <c r="AZ106" s="12">
        <f>AZ15*Control!$E$23</f>
        <v>303.716120821061</v>
      </c>
      <c r="BA106" s="12">
        <f>SUM(AW106:AZ106)</f>
        <v>1163.58125904273</v>
      </c>
      <c r="BB106" s="12">
        <f>BB15*Control!$F$23</f>
        <v>308.748562823477</v>
      </c>
      <c r="BC106" s="12">
        <f>BC15*Control!$F$23</f>
        <v>319.828319797463</v>
      </c>
      <c r="BD106" s="12">
        <f>BD15*Control!$F$23</f>
        <v>334.72763066083</v>
      </c>
      <c r="BE106" s="12">
        <f>BE15*Control!$F$23</f>
        <v>340.252322065807</v>
      </c>
      <c r="BF106" s="12">
        <f>SUM(BB106:BE106)</f>
        <v>1303.55683534758</v>
      </c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0" t="inlineStr">
        <is>
          <t>Resultado Não Recorrente</t>
        </is>
      </c>
      <c r="D108" s="11" t="n"/>
      <c r="E108" s="11" t="n"/>
      <c r="F108" s="11" t="n"/>
      <c r="G108" s="11" t="n"/>
      <c r="H108" s="12" t="n"/>
      <c r="I108" s="11" t="n"/>
      <c r="J108" s="11" t="n"/>
      <c r="K108" s="11" t="n"/>
      <c r="L108" s="11" t="n"/>
      <c r="M108" s="12" t="n"/>
      <c r="N108" s="11" t="n"/>
      <c r="O108" s="11" t="n"/>
      <c r="P108" s="11" t="n"/>
      <c r="Q108" s="11" t="n"/>
      <c r="R108" s="12" t="n"/>
      <c r="S108" s="11" t="n"/>
      <c r="T108" s="11" t="n"/>
      <c r="U108" s="11" t="n"/>
      <c r="V108" s="11" t="n"/>
      <c r="W108" s="12" t="n"/>
      <c r="X108" s="11" t="n"/>
      <c r="Y108" s="11" t="n"/>
      <c r="Z108" s="11" t="n"/>
      <c r="AA108" s="11" t="n"/>
      <c r="AB108" s="12" t="n"/>
      <c r="AC108" s="11" t="n"/>
      <c r="AD108" s="11" t="n"/>
      <c r="AE108" s="11" t="n"/>
      <c r="AF108" s="11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0" t="inlineStr">
        <is>
          <t>Plano de Opção de Compra de Ações</t>
        </is>
      </c>
      <c r="D109" s="11" t="n"/>
      <c r="E109" s="11" t="n"/>
      <c r="F109" s="11" t="n"/>
      <c r="G109" s="11" t="n"/>
      <c r="H109" s="12" t="n"/>
      <c r="I109" s="11" t="n"/>
      <c r="J109" s="11" t="n"/>
      <c r="K109" s="11" t="n"/>
      <c r="L109" s="11" t="n"/>
      <c r="M109" s="12" t="n"/>
      <c r="N109" s="11" t="n"/>
      <c r="O109" s="11" t="n"/>
      <c r="P109" s="11" t="n"/>
      <c r="Q109" s="11" t="n"/>
      <c r="R109" s="12" t="n"/>
      <c r="S109" s="11" t="n"/>
      <c r="T109" s="11" t="n"/>
      <c r="U109" s="11" t="n"/>
      <c r="V109" s="11" t="n"/>
      <c r="W109" s="12" t="n"/>
      <c r="X109" s="11" t="n"/>
      <c r="Y109" s="11" t="n"/>
      <c r="Z109" s="11" t="n"/>
      <c r="AA109" s="11" t="n"/>
      <c r="AB109" s="12" t="n"/>
      <c r="AC109" s="11" t="n"/>
      <c r="AD109" s="11" t="n"/>
      <c r="AE109" s="11" t="n"/>
      <c r="AF109" s="11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0" t="inlineStr">
        <is>
          <t>Baixa Imobilizado</t>
        </is>
      </c>
      <c r="D110" s="11" t="n"/>
      <c r="E110" s="11" t="n"/>
      <c r="F110" s="11" t="n"/>
      <c r="G110" s="11" t="n"/>
      <c r="H110" s="12" t="n"/>
      <c r="I110" s="11" t="n"/>
      <c r="J110" s="11" t="n"/>
      <c r="K110" s="11" t="n"/>
      <c r="L110" s="11" t="n"/>
      <c r="M110" s="12" t="n"/>
      <c r="N110" s="11" t="n"/>
      <c r="O110" s="11" t="n"/>
      <c r="P110" s="11" t="n"/>
      <c r="Q110" s="11" t="n"/>
      <c r="R110" s="12" t="n"/>
      <c r="S110" s="11" t="n"/>
      <c r="T110" s="11" t="n"/>
      <c r="U110" s="11" t="n"/>
      <c r="V110" s="11" t="n"/>
      <c r="W110" s="12" t="n"/>
      <c r="X110" s="11" t="n"/>
      <c r="Y110" s="11" t="n"/>
      <c r="Z110" s="11" t="n"/>
      <c r="AA110" s="11" t="n"/>
      <c r="AB110" s="12" t="n"/>
      <c r="AC110" s="11" t="n"/>
      <c r="AD110" s="11" t="n"/>
      <c r="AE110" s="11" t="n"/>
      <c r="AF110" s="11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collapsed="1" customFormat="1" s="32">
      <c r="A113" s="30" t="n"/>
      <c r="B113" s="3" t="n"/>
      <c r="C113" s="33" t="inlineStr">
        <is>
          <t>Pretax Income - EBT</t>
        </is>
      </c>
      <c r="D113" s="35" t="n"/>
      <c r="E113" s="35" t="n"/>
      <c r="F113" s="35" t="n"/>
      <c r="G113" s="35" t="n"/>
      <c r="H113" s="35" t="n"/>
      <c r="I113" s="35">
        <f>SUM(I56,I57,I106)</f>
        <v>3628</v>
      </c>
      <c r="J113" s="35">
        <f>SUM(J56,J57,J106)</f>
        <v>4389</v>
      </c>
      <c r="K113" s="35">
        <f>SUM(K56,K57,K106)</f>
        <v>4298</v>
      </c>
      <c r="L113" s="35">
        <f>SUM(L56,L57,L106)</f>
        <v>4897</v>
      </c>
      <c r="M113" s="35">
        <f>SUM(I113:L113)</f>
        <v>17212</v>
      </c>
      <c r="N113" s="35">
        <f>SUM(N56,N57,N106)</f>
        <v>4542</v>
      </c>
      <c r="O113" s="35">
        <f>SUM(O56,O57,O106)</f>
        <v>3829</v>
      </c>
      <c r="P113" s="35">
        <f>SUM(P56,P57,P106)</f>
        <v>4868</v>
      </c>
      <c r="Q113" s="35">
        <f>SUM(Q56,Q57,Q106)</f>
        <v>4977</v>
      </c>
      <c r="R113" s="35">
        <f>SUM(N113:Q113)</f>
        <v>18216</v>
      </c>
      <c r="S113" s="35">
        <f>SUM(S56,S57,S106)</f>
        <v>5278</v>
      </c>
      <c r="T113" s="35">
        <f>SUM(T56,T57,T106)</f>
        <v>5146</v>
      </c>
      <c r="U113" s="35">
        <f>SUM(U56,U57,U106)</f>
        <v>5636</v>
      </c>
      <c r="V113" s="35">
        <f>SUM(V56,V57,V106)</f>
        <v>6042</v>
      </c>
      <c r="W113" s="35">
        <f>SUM(S113:V113)</f>
        <v>22102</v>
      </c>
      <c r="X113" s="35">
        <f>SUM(X56,X57,X106)</f>
        <v>5513</v>
      </c>
      <c r="Y113" s="35">
        <f>SUM(Y56,Y57,Y106)</f>
        <v>5989</v>
      </c>
      <c r="Z113" s="35">
        <f>SUM(Z56,Z57,Z106)</f>
        <v>6372</v>
      </c>
      <c r="AA113" s="35">
        <f>SUM(AA56,AA57,AA106)</f>
        <v>6200</v>
      </c>
      <c r="AB113" s="35">
        <f>SUM(X113:AA113)</f>
        <v>24074</v>
      </c>
      <c r="AC113" s="35">
        <f>SUM(AC56,AC57,AC106)</f>
        <v>5438</v>
      </c>
      <c r="AD113" s="35">
        <f>SUM(AD56,AD57,AD106)</f>
        <v>6333</v>
      </c>
      <c r="AE113" s="35">
        <f>SUM(AE56,AE57,AE106)</f>
        <v>6223</v>
      </c>
      <c r="AF113" s="35">
        <f>SUM(AF56,AF57,AF106)</f>
        <v>6726</v>
      </c>
      <c r="AG113" s="35">
        <f>SUM(AC113:AF113)</f>
        <v>24720</v>
      </c>
      <c r="AH113" s="35">
        <f>SUM(AH56,AH57,AH106)</f>
        <v>7174</v>
      </c>
      <c r="AI113" s="35">
        <f>SUM(AI56,AI57,AI106)</f>
        <v>6833</v>
      </c>
      <c r="AJ113" s="35">
        <f>SUM(AJ56,AJ57,AJ106:AJ111)</f>
        <v>7512.67305791847</v>
      </c>
      <c r="AK113" s="35">
        <f>SUM(AK56,AK57,AK106:AK111)</f>
        <v>7636.66999294753</v>
      </c>
      <c r="AL113" s="35">
        <f>SUM(AH113:AK113)</f>
        <v>29156.343050866</v>
      </c>
      <c r="AM113" s="35">
        <f>SUM(AM56,AM57,AM106:AM111)</f>
        <v>7867.15017161735</v>
      </c>
      <c r="AN113" s="35">
        <f>SUM(AN56,AN57,AN106:AN111)</f>
        <v>8149.47087679649</v>
      </c>
      <c r="AO113" s="35">
        <f>SUM(AO56,AO57,AO106:AO111)</f>
        <v>8529.11674443649</v>
      </c>
      <c r="AP113" s="35">
        <f>SUM(AP56,AP57,AP106:AP111)</f>
        <v>8669.89011852874</v>
      </c>
      <c r="AQ113" s="35">
        <f>SUM(AM113:AP113)</f>
        <v>33215.6279113791</v>
      </c>
      <c r="AR113" s="35">
        <f>SUM(AR56,AR57,AR106:AR111)</f>
        <v>8892.21787092686</v>
      </c>
      <c r="AS113" s="35">
        <f>SUM(AS56,AS57,AS106:AS111)</f>
        <v>9211.3241756449</v>
      </c>
      <c r="AT113" s="35">
        <f>SUM(AT56,AT57,AT106:AT111)</f>
        <v>9640.43683972385</v>
      </c>
      <c r="AU113" s="35">
        <f>SUM(AU56,AU57,AU106:AU111)</f>
        <v>9799.55259136793</v>
      </c>
      <c r="AV113" s="35">
        <f>SUM(AR113:AU113)</f>
        <v>37543.5314776636</v>
      </c>
      <c r="AW113" s="35">
        <f>SUM(AW56,AW57,AW106:AW111)</f>
        <v>10006.3879397259</v>
      </c>
      <c r="AX113" s="35">
        <f>SUM(AX56,AX57,AX106:AX111)</f>
        <v>10365.4773733599</v>
      </c>
      <c r="AY113" s="35">
        <f>SUM(AY56,AY57,AY106:AY111)</f>
        <v>10848.3566560034</v>
      </c>
      <c r="AZ113" s="35">
        <f>SUM(AZ56,AZ57,AZ106:AZ111)</f>
        <v>11027.4091670173</v>
      </c>
      <c r="BA113" s="35">
        <f>SUM(AW113:AZ113)</f>
        <v>42247.6311361065</v>
      </c>
      <c r="BB113" s="35">
        <f>SUM(BB56,BB57,BB106:BB111)</f>
        <v>11210.1284672635</v>
      </c>
      <c r="BC113" s="35">
        <f>SUM(BC56,BC57,BC106:BC111)</f>
        <v>11612.4153570505</v>
      </c>
      <c r="BD113" s="35">
        <f>SUM(BD56,BD57,BD106:BD111)</f>
        <v>12153.3836690149</v>
      </c>
      <c r="BE113" s="35">
        <f>SUM(BE56,BE57,BE106:BE111)</f>
        <v>12353.9756971215</v>
      </c>
      <c r="BF113" s="35">
        <f>SUM(BB113:BE113)</f>
        <v>47329.9031904504</v>
      </c>
      <c r="BG113" s="35" t="n"/>
      <c r="BH113" s="35" t="n"/>
      <c r="BI113" s="35" t="n"/>
      <c r="BJ113" s="35" t="n"/>
      <c r="BK113" s="35" t="n"/>
      <c r="BL113" s="35" t="n"/>
      <c r="BM113" s="35" t="n"/>
      <c r="BN113" s="35" t="n"/>
      <c r="BO113" s="35" t="n"/>
      <c r="BP113" s="35" t="n"/>
      <c r="BQ113" s="35" t="n"/>
      <c r="BR113" s="35" t="n"/>
      <c r="BS113" s="35" t="n"/>
      <c r="BT113" s="35" t="n"/>
      <c r="BU113" s="35" t="n"/>
      <c r="BV113" s="35" t="n"/>
      <c r="BW113" s="35" t="n"/>
      <c r="BX113" s="35" t="n"/>
      <c r="BY113" s="35" t="n"/>
      <c r="BZ113" s="35" t="n"/>
      <c r="CA113" s="35" t="n"/>
      <c r="CB113" s="35" t="n"/>
      <c r="CC113" s="35" t="n"/>
      <c r="CD113" s="35" t="n"/>
      <c r="CE113" s="35" t="n"/>
      <c r="CF113" s="35" t="n"/>
      <c r="CG113" s="35" t="n"/>
      <c r="CH113" s="35" t="n"/>
      <c r="CI113" s="35" t="n"/>
      <c r="CJ113" s="35" t="n"/>
      <c r="CK113" s="35" t="n"/>
      <c r="CL113" s="35" t="n"/>
      <c r="CM113" s="35" t="n"/>
      <c r="CN113" s="35" t="n"/>
      <c r="CO113" s="35" t="n"/>
      <c r="CP113" s="35" t="n"/>
      <c r="CQ113" s="35" t="n"/>
      <c r="CR113" s="35" t="n"/>
      <c r="CS113" s="35" t="n"/>
      <c r="CT113" s="35" t="n"/>
      <c r="CU113" s="35" t="n"/>
      <c r="CV113" s="35" t="n"/>
      <c r="CW113" s="35" t="n"/>
      <c r="CX113" s="35" t="n"/>
      <c r="CY113" s="35" t="n"/>
    </row>
    <row r="114">
      <c r="C114" s="14" t="inlineStr">
        <is>
          <t>Taxes</t>
        </is>
      </c>
      <c r="D114" s="46" t="n"/>
      <c r="E114" s="46" t="n"/>
      <c r="F114" s="46" t="n"/>
      <c r="G114" s="46" t="n"/>
      <c r="H114" s="12" t="n"/>
      <c r="I114" s="46">
        <f>'Inputs (2)'!D10</f>
        <v>-602</v>
      </c>
      <c r="J114" s="46">
        <f>'Inputs (2)'!E10</f>
        <v>-1814</v>
      </c>
      <c r="K114" s="46">
        <f>'Inputs (2)'!F10</f>
        <v>-714</v>
      </c>
      <c r="L114" s="46">
        <f>'Inputs (2)'!G10</f>
        <v>-938</v>
      </c>
      <c r="M114" s="12">
        <f>'Inputs (2)'!H10</f>
        <v>-4068</v>
      </c>
      <c r="N114" s="46">
        <f>'Inputs (2)'!I10</f>
        <v>-895</v>
      </c>
      <c r="O114" s="46">
        <f>'Inputs (2)'!J10</f>
        <v>-418</v>
      </c>
      <c r="P114" s="46">
        <f>'Inputs (2)'!K10</f>
        <v>-928</v>
      </c>
      <c r="Q114" s="46">
        <f>'Inputs (2)'!L10</f>
        <v>-798</v>
      </c>
      <c r="R114" s="12">
        <f>'Inputs (2)'!M10</f>
        <v>-3039</v>
      </c>
      <c r="S114" s="46">
        <f>'Inputs (2)'!N10</f>
        <v>-1021</v>
      </c>
      <c r="T114" s="46">
        <f>'Inputs (2)'!O10</f>
        <v>-990</v>
      </c>
      <c r="U114" s="46">
        <f>'Inputs (2)'!P10</f>
        <v>-955</v>
      </c>
      <c r="V114" s="46">
        <f>'Inputs (2)'!Q10</f>
        <v>-1152</v>
      </c>
      <c r="W114" s="12">
        <f>'Inputs (2)'!R10</f>
        <v>-4118</v>
      </c>
      <c r="X114" s="46">
        <f>'Inputs (2)'!S10</f>
        <v>-850</v>
      </c>
      <c r="Y114" s="46">
        <f>'Inputs (2)'!T10</f>
        <v>-1117</v>
      </c>
      <c r="Z114" s="46">
        <f>'Inputs (2)'!U10</f>
        <v>-1054</v>
      </c>
      <c r="AA114" s="46">
        <f>'Inputs (2)'!V10</f>
        <v>-1081</v>
      </c>
      <c r="AB114" s="12">
        <f>'Inputs (2)'!W10</f>
        <v>-4102</v>
      </c>
      <c r="AC114" s="46">
        <f>'Inputs (2)'!X10</f>
        <v>-861</v>
      </c>
      <c r="AD114" s="46">
        <f>'Inputs (2)'!Y10</f>
        <v>-1061</v>
      </c>
      <c r="AE114" s="46">
        <f>'Inputs (2)'!Z10</f>
        <v>-1133</v>
      </c>
      <c r="AF114" s="46">
        <f>'Inputs (2)'!AA10</f>
        <v>-873</v>
      </c>
      <c r="AG114" s="12">
        <f>'Inputs (2)'!AB10</f>
        <v>-3928</v>
      </c>
      <c r="AH114" s="12">
        <f>'Inputs (2)'!AC10</f>
        <v>-1153</v>
      </c>
      <c r="AI114" s="12">
        <f>'Inputs (2)'!AD10</f>
        <v>-1205</v>
      </c>
      <c r="AJ114" s="12">
        <f>-AJ113*AJ115</f>
        <v>-1220.55404773461</v>
      </c>
      <c r="AK114" s="12">
        <f>-AK113*AK115</f>
        <v>-1240.69933554224</v>
      </c>
      <c r="AL114" s="12">
        <f>SUM(AH114:AK114)</f>
        <v>-4819.25338327685</v>
      </c>
      <c r="AM114" s="12">
        <f>-AM113*AM115</f>
        <v>-1278.14453152365</v>
      </c>
      <c r="AN114" s="12">
        <f>-AN113*AN115</f>
        <v>-1324.01205122125</v>
      </c>
      <c r="AO114" s="12">
        <f>-AO113*AO115</f>
        <v>-1385.69160214558</v>
      </c>
      <c r="AP114" s="12">
        <f>-AP113*AP115</f>
        <v>-1408.56249114034</v>
      </c>
      <c r="AQ114" s="12">
        <f>SUM(AM114:AP114)</f>
        <v>-5396.41067603082</v>
      </c>
      <c r="AR114" s="12">
        <f>-AR113*AR115</f>
        <v>-1444.6831949193</v>
      </c>
      <c r="AS114" s="12">
        <f>-AS113*AS115</f>
        <v>-1496.52712435407</v>
      </c>
      <c r="AT114" s="12">
        <f>-AT113*AT115</f>
        <v>-1566.24334853126</v>
      </c>
      <c r="AU114" s="12">
        <f>-AU113*AU115</f>
        <v>-1592.09425049788</v>
      </c>
      <c r="AV114" s="12">
        <f>SUM(AR114:AU114)</f>
        <v>-6099.54791830251</v>
      </c>
      <c r="AW114" s="12">
        <f>-AW113*AW115</f>
        <v>-1625.69796514201</v>
      </c>
      <c r="AX114" s="12">
        <f>-AX113*AX115</f>
        <v>-1684.03779416714</v>
      </c>
      <c r="AY114" s="12">
        <f>-AY113*AY115</f>
        <v>-1762.48926655972</v>
      </c>
      <c r="AZ114" s="12">
        <f>-AZ113*AZ115</f>
        <v>-1791.57921435728</v>
      </c>
      <c r="BA114" s="12">
        <f>SUM(AW114:AZ114)</f>
        <v>-6863.80424022614</v>
      </c>
      <c r="BB114" s="12">
        <f>-BB113*BB115</f>
        <v>-1821.26489078636</v>
      </c>
      <c r="BC114" s="12">
        <f>-BC113*BC115</f>
        <v>-1886.62283833639</v>
      </c>
      <c r="BD114" s="12">
        <f>-BD113*BD115</f>
        <v>-1974.51180379168</v>
      </c>
      <c r="BE114" s="12">
        <f>-BE113*BE115</f>
        <v>-2007.10119107918</v>
      </c>
      <c r="BF114" s="12">
        <f>SUM(BB114:BE114)</f>
        <v>-7689.50072399361</v>
      </c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% ETR</t>
        </is>
      </c>
      <c r="D115" s="53" t="n"/>
      <c r="E115" s="53" t="n"/>
      <c r="F115" s="53" t="n"/>
      <c r="G115" s="53" t="n"/>
      <c r="H115" s="53" t="n"/>
      <c r="I115" s="53">
        <f>IFERROR(-I114/I113,"")</f>
        <v>0.16593164277839</v>
      </c>
      <c r="J115" s="53">
        <f>IFERROR(-J114/J113,"")</f>
        <v>0.413305992253361</v>
      </c>
      <c r="K115" s="53">
        <f>IFERROR(-K114/K113,"")</f>
        <v>0.166123778501629</v>
      </c>
      <c r="L115" s="53">
        <f>IFERROR(-L114/L113,"")</f>
        <v>0.191545844394527</v>
      </c>
      <c r="M115" s="53">
        <f>IFERROR(-M114/M113,"")</f>
        <v>0.236346734836161</v>
      </c>
      <c r="N115" s="53">
        <f>IFERROR(-N114/N113,"")</f>
        <v>0.19704975781594</v>
      </c>
      <c r="O115" s="53">
        <f>IFERROR(-O114/O113,"")</f>
        <v>0.109166884303996</v>
      </c>
      <c r="P115" s="53">
        <f>IFERROR(-P114/P113,"")</f>
        <v>0.19063270336894</v>
      </c>
      <c r="Q115" s="53">
        <f>IFERROR(-Q114/Q113,"")</f>
        <v>0.160337552742616</v>
      </c>
      <c r="R115" s="53">
        <f>IFERROR(-R114/R113,"")</f>
        <v>0.166831357048748</v>
      </c>
      <c r="S115" s="53">
        <f>IFERROR(-S114/S113,"")</f>
        <v>0.193444486547935</v>
      </c>
      <c r="T115" s="53">
        <f>IFERROR(-T114/T113,"")</f>
        <v>0.192382432957637</v>
      </c>
      <c r="U115" s="53">
        <f>IFERROR(-U114/U113,"")</f>
        <v>0.1694464158978</v>
      </c>
      <c r="V115" s="53">
        <f>IFERROR(-V114/V113,"")</f>
        <v>0.190665342601788</v>
      </c>
      <c r="W115" s="53">
        <f>IFERROR(-W114/W113,"")</f>
        <v>0.186317980273278</v>
      </c>
      <c r="X115" s="53">
        <f>IFERROR(-X114/X113,"")</f>
        <v>0.154181026664248</v>
      </c>
      <c r="Y115" s="53">
        <f>IFERROR(-Y114/Y113,"")</f>
        <v>0.186508599098347</v>
      </c>
      <c r="Z115" s="53">
        <f>IFERROR(-Z114/Z113,"")</f>
        <v>0.16541117388575</v>
      </c>
      <c r="AA115" s="53">
        <f>IFERROR(-AA114/AA113,"")</f>
        <v>0.174354838709677</v>
      </c>
      <c r="AB115" s="53">
        <f>IFERROR(-AB114/AB113,"")</f>
        <v>0.170391293511672</v>
      </c>
      <c r="AC115" s="53">
        <f>IFERROR(-AC114/AC113,"")</f>
        <v>0.158330268481059</v>
      </c>
      <c r="AD115" s="53">
        <f>IFERROR(-AD114/AD113,"")</f>
        <v>0.167535133428075</v>
      </c>
      <c r="AE115" s="53">
        <f>IFERROR(-AE114/AE113,"")</f>
        <v>0.182066527398361</v>
      </c>
      <c r="AF115" s="41">
        <f>IFERROR(-AF114/AF113,"")</f>
        <v>0.129794826048171</v>
      </c>
      <c r="AG115" s="53">
        <f>IFERROR(-AG114/AG113,"")</f>
        <v>0.158899676375405</v>
      </c>
      <c r="AH115" s="41">
        <f>IFERROR(-AH114/AH113,"")</f>
        <v>0.160719264008921</v>
      </c>
      <c r="AI115" s="41">
        <f>IFERROR(-AI114/AI113,"")</f>
        <v>0.176350065856871</v>
      </c>
      <c r="AJ115" s="41">
        <f>Control!$B$22</f>
        <v>0.162466014203576</v>
      </c>
      <c r="AK115" s="41">
        <f>Control!$B$22</f>
        <v>0.162466014203576</v>
      </c>
      <c r="AL115" s="53">
        <f>IFERROR(-AL114/AL113,"")</f>
        <v>0.165290049402602</v>
      </c>
      <c r="AM115" s="41">
        <f>Control!$C$22</f>
        <v>0.162466014203576</v>
      </c>
      <c r="AN115" s="41">
        <f>Control!$C$22</f>
        <v>0.162466014203576</v>
      </c>
      <c r="AO115" s="41">
        <f>Control!$C$22</f>
        <v>0.162466014203576</v>
      </c>
      <c r="AP115" s="41">
        <f>Control!$C$22</f>
        <v>0.162466014203576</v>
      </c>
      <c r="AQ115" s="53">
        <f>IFERROR(-AQ114/AQ113,"")</f>
        <v>0.162466014203576</v>
      </c>
      <c r="AR115" s="41">
        <f>Control!$D$22</f>
        <v>0.162466014203576</v>
      </c>
      <c r="AS115" s="41">
        <f>Control!$D$22</f>
        <v>0.162466014203576</v>
      </c>
      <c r="AT115" s="41">
        <f>Control!$D$22</f>
        <v>0.162466014203576</v>
      </c>
      <c r="AU115" s="41">
        <f>Control!$D$22</f>
        <v>0.162466014203576</v>
      </c>
      <c r="AV115" s="53">
        <f>IFERROR(-AV114/AV113,"")</f>
        <v>0.162466014203576</v>
      </c>
      <c r="AW115" s="41">
        <f>Control!$E$22</f>
        <v>0.162466014203576</v>
      </c>
      <c r="AX115" s="41">
        <f>Control!$E$22</f>
        <v>0.162466014203576</v>
      </c>
      <c r="AY115" s="41">
        <f>Control!$E$22</f>
        <v>0.162466014203576</v>
      </c>
      <c r="AZ115" s="41">
        <f>Control!$E$22</f>
        <v>0.162466014203576</v>
      </c>
      <c r="BA115" s="53">
        <f>IFERROR(-BA114/BA113,"")</f>
        <v>0.162466014203576</v>
      </c>
      <c r="BB115" s="41">
        <f>Control!$F$22</f>
        <v>0.162466014203576</v>
      </c>
      <c r="BC115" s="41">
        <f>Control!$F$22</f>
        <v>0.162466014203576</v>
      </c>
      <c r="BD115" s="41">
        <f>Control!$F$22</f>
        <v>0.162466014203576</v>
      </c>
      <c r="BE115" s="41">
        <f>Control!$F$22</f>
        <v>0.162466014203576</v>
      </c>
      <c r="BF115" s="53">
        <f>IFERROR(-BF114/BF113,"")</f>
        <v>0.162466014203576</v>
      </c>
      <c r="BG115" s="41" t="n"/>
      <c r="BH115" s="41" t="n"/>
      <c r="BI115" s="41" t="n"/>
      <c r="BJ115" s="41" t="n"/>
      <c r="BK115" s="53" t="n"/>
      <c r="BL115" s="41" t="n"/>
      <c r="BM115" s="41" t="n"/>
      <c r="BN115" s="41" t="n"/>
      <c r="BO115" s="41" t="n"/>
      <c r="BP115" s="53" t="n"/>
      <c r="BQ115" s="41" t="n"/>
      <c r="BR115" s="41" t="n"/>
      <c r="BS115" s="41" t="n"/>
      <c r="BT115" s="41" t="n"/>
      <c r="BU115" s="53" t="n"/>
      <c r="BV115" s="41" t="n"/>
      <c r="BW115" s="41" t="n"/>
      <c r="BX115" s="41" t="n"/>
      <c r="BY115" s="41" t="n"/>
      <c r="BZ115" s="53" t="n"/>
      <c r="CA115" s="41" t="n"/>
      <c r="CB115" s="41" t="n"/>
      <c r="CC115" s="41" t="n"/>
      <c r="CD115" s="41" t="n"/>
      <c r="CE115" s="53" t="n"/>
      <c r="CF115" s="41" t="n"/>
      <c r="CG115" s="41" t="n"/>
      <c r="CH115" s="41" t="n"/>
      <c r="CI115" s="41" t="n"/>
      <c r="CJ115" s="53" t="n"/>
      <c r="CK115" s="41" t="n"/>
      <c r="CL115" s="41" t="n"/>
      <c r="CM115" s="41" t="n"/>
      <c r="CN115" s="41" t="n"/>
      <c r="CO115" s="53" t="n"/>
      <c r="CP115" s="41" t="n"/>
      <c r="CQ115" s="41" t="n"/>
      <c r="CR115" s="41" t="n"/>
      <c r="CS115" s="41" t="n"/>
      <c r="CT115" s="53" t="n"/>
      <c r="CU115" s="41" t="n"/>
      <c r="CV115" s="41" t="n"/>
      <c r="CW115" s="41" t="n"/>
      <c r="CX115" s="41" t="n"/>
      <c r="CY115" s="53" t="n"/>
    </row>
    <row r="116" hidden="1" outlineLevel="1">
      <c r="C116" s="57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collapsed="1">
      <c r="C118" s="14" t="inlineStr">
        <is>
          <t>Equity in Income of Affiliates, after tax (enter as +)</t>
        </is>
      </c>
      <c r="D118" s="46" t="n"/>
      <c r="E118" s="46" t="n"/>
      <c r="F118" s="46" t="n"/>
      <c r="G118" s="46" t="n"/>
      <c r="H118" s="12" t="n"/>
      <c r="I118" s="46">
        <f>'Inputs (2)'!D11</f>
        <v>0</v>
      </c>
      <c r="J118" s="46">
        <f>'Inputs (2)'!E11</f>
        <v>0</v>
      </c>
      <c r="K118" s="46">
        <f>'Inputs (2)'!F11</f>
        <v>0</v>
      </c>
      <c r="L118" s="46">
        <f>'Inputs (2)'!G11</f>
        <v>0</v>
      </c>
      <c r="M118" s="12">
        <f>'Inputs (2)'!H11</f>
        <v>0</v>
      </c>
      <c r="N118" s="46">
        <f>'Inputs (2)'!I11</f>
        <v>0</v>
      </c>
      <c r="O118" s="46">
        <f>'Inputs (2)'!J11</f>
        <v>0</v>
      </c>
      <c r="P118" s="46">
        <f>'Inputs (2)'!K11</f>
        <v>0</v>
      </c>
      <c r="Q118" s="46">
        <f>'Inputs (2)'!L11</f>
        <v>0</v>
      </c>
      <c r="R118" s="12">
        <f>'Inputs (2)'!M11</f>
        <v>0</v>
      </c>
      <c r="S118" s="46">
        <f>'Inputs (2)'!N11</f>
        <v>0</v>
      </c>
      <c r="T118" s="46">
        <f>'Inputs (2)'!O11</f>
        <v>0</v>
      </c>
      <c r="U118" s="46">
        <f>'Inputs (2)'!P11</f>
        <v>0</v>
      </c>
      <c r="V118" s="46">
        <f>'Inputs (2)'!Q11</f>
        <v>0</v>
      </c>
      <c r="W118" s="12">
        <f>'Inputs (2)'!R11</f>
        <v>0</v>
      </c>
      <c r="X118" s="46">
        <f>'Inputs (2)'!S11</f>
        <v>0</v>
      </c>
      <c r="Y118" s="46">
        <f>'Inputs (2)'!T11</f>
        <v>0</v>
      </c>
      <c r="Z118" s="46">
        <f>'Inputs (2)'!U11</f>
        <v>0</v>
      </c>
      <c r="AA118" s="46">
        <f>'Inputs (2)'!V11</f>
        <v>0</v>
      </c>
      <c r="AB118" s="12">
        <f>'Inputs (2)'!W11</f>
        <v>0</v>
      </c>
      <c r="AC118" s="46">
        <f>'Inputs (2)'!X11</f>
        <v>0</v>
      </c>
      <c r="AD118" s="46">
        <f>'Inputs (2)'!Y11</f>
        <v>0</v>
      </c>
      <c r="AE118" s="46">
        <f>'Inputs (2)'!Z11</f>
        <v>0</v>
      </c>
      <c r="AF118" s="46">
        <f>'Inputs (2)'!AA11</f>
        <v>0</v>
      </c>
      <c r="AG118" s="12">
        <f>'Inputs (2)'!AB11</f>
        <v>0</v>
      </c>
      <c r="AH118" s="12">
        <f>'Inputs (2)'!AC11</f>
        <v>0</v>
      </c>
      <c r="AI118" s="12">
        <f>'Inputs (2)'!AD11</f>
        <v>0</v>
      </c>
      <c r="AJ118" s="12">
        <f>0</f>
        <v>0</v>
      </c>
      <c r="AK118" s="12">
        <f>0</f>
        <v>0</v>
      </c>
      <c r="AL118" s="12">
        <f>SUM(AH118:AK118)</f>
        <v>0</v>
      </c>
      <c r="AM118" s="12">
        <f>0</f>
        <v>0</v>
      </c>
      <c r="AN118" s="12">
        <f>0</f>
        <v>0</v>
      </c>
      <c r="AO118" s="12">
        <f>0</f>
        <v>0</v>
      </c>
      <c r="AP118" s="12">
        <f>0</f>
        <v>0</v>
      </c>
      <c r="AQ118" s="12">
        <f>SUM(AM118:AP118)</f>
        <v>0</v>
      </c>
      <c r="AR118" s="12">
        <f>0</f>
        <v>0</v>
      </c>
      <c r="AS118" s="12">
        <f>0</f>
        <v>0</v>
      </c>
      <c r="AT118" s="12">
        <f>0</f>
        <v>0</v>
      </c>
      <c r="AU118" s="12">
        <f>0</f>
        <v>0</v>
      </c>
      <c r="AV118" s="12">
        <f>SUM(AR118:AU118)</f>
        <v>0</v>
      </c>
      <c r="AW118" s="12">
        <f>0</f>
        <v>0</v>
      </c>
      <c r="AX118" s="12">
        <f>0</f>
        <v>0</v>
      </c>
      <c r="AY118" s="12">
        <f>0</f>
        <v>0</v>
      </c>
      <c r="AZ118" s="12">
        <f>0</f>
        <v>0</v>
      </c>
      <c r="BA118" s="12">
        <f>SUM(AW118:AZ118)</f>
        <v>0</v>
      </c>
      <c r="BB118" s="12">
        <f>0</f>
        <v>0</v>
      </c>
      <c r="BC118" s="12">
        <f>0</f>
        <v>0</v>
      </c>
      <c r="BD118" s="12">
        <f>0</f>
        <v>0</v>
      </c>
      <c r="BE118" s="12">
        <f>0</f>
        <v>0</v>
      </c>
      <c r="BF118" s="12">
        <f>SUM(BB118:BE118)</f>
        <v>0</v>
      </c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>
      <c r="C119" s="14" t="inlineStr">
        <is>
          <t>Minority Interest Expense, after tax (enter as - )</t>
        </is>
      </c>
      <c r="D119" s="46" t="n"/>
      <c r="E119" s="46" t="n"/>
      <c r="F119" s="46" t="n"/>
      <c r="G119" s="46" t="n"/>
      <c r="H119" s="12" t="n"/>
      <c r="I119" s="46">
        <f>'Inputs (2)'!D12</f>
        <v>0</v>
      </c>
      <c r="J119" s="46">
        <f>'Inputs (2)'!E12</f>
        <v>0</v>
      </c>
      <c r="K119" s="46">
        <f>'Inputs (2)'!F12</f>
        <v>0</v>
      </c>
      <c r="L119" s="46">
        <f>'Inputs (2)'!G12</f>
        <v>0</v>
      </c>
      <c r="M119" s="12">
        <f>'Inputs (2)'!H12</f>
        <v>0</v>
      </c>
      <c r="N119" s="46">
        <f>'Inputs (2)'!I12</f>
        <v>0</v>
      </c>
      <c r="O119" s="46">
        <f>'Inputs (2)'!J12</f>
        <v>0</v>
      </c>
      <c r="P119" s="46">
        <f>'Inputs (2)'!K12</f>
        <v>0</v>
      </c>
      <c r="Q119" s="46">
        <f>'Inputs (2)'!L12</f>
        <v>0</v>
      </c>
      <c r="R119" s="12">
        <f>'Inputs (2)'!M12</f>
        <v>0</v>
      </c>
      <c r="S119" s="46">
        <f>'Inputs (2)'!N12</f>
        <v>0</v>
      </c>
      <c r="T119" s="46">
        <f>'Inputs (2)'!O12</f>
        <v>0</v>
      </c>
      <c r="U119" s="46">
        <f>'Inputs (2)'!P12</f>
        <v>0</v>
      </c>
      <c r="V119" s="46">
        <f>'Inputs (2)'!Q12</f>
        <v>0</v>
      </c>
      <c r="W119" s="12">
        <f>'Inputs (2)'!R12</f>
        <v>0</v>
      </c>
      <c r="X119" s="46">
        <f>'Inputs (2)'!S12</f>
        <v>0</v>
      </c>
      <c r="Y119" s="46">
        <f>'Inputs (2)'!T12</f>
        <v>0</v>
      </c>
      <c r="Z119" s="46">
        <f>'Inputs (2)'!U12</f>
        <v>0</v>
      </c>
      <c r="AA119" s="46">
        <f>'Inputs (2)'!V12</f>
        <v>0</v>
      </c>
      <c r="AB119" s="12">
        <f>'Inputs (2)'!W12</f>
        <v>0</v>
      </c>
      <c r="AC119" s="46">
        <f>'Inputs (2)'!X12</f>
        <v>0</v>
      </c>
      <c r="AD119" s="46">
        <f>'Inputs (2)'!Y12</f>
        <v>0</v>
      </c>
      <c r="AE119" s="46">
        <f>'Inputs (2)'!Z12</f>
        <v>0</v>
      </c>
      <c r="AF119" s="46">
        <f>'Inputs (2)'!AA12</f>
        <v>0</v>
      </c>
      <c r="AG119" s="12">
        <f>'Inputs (2)'!AB12</f>
        <v>0</v>
      </c>
      <c r="AH119" s="12">
        <f>'Inputs (2)'!AC12</f>
        <v>0</v>
      </c>
      <c r="AI119" s="12">
        <f>'Inputs (2)'!AD12</f>
        <v>0</v>
      </c>
      <c r="AJ119" s="12">
        <f>0</f>
        <v>0</v>
      </c>
      <c r="AK119" s="12">
        <f>0</f>
        <v>0</v>
      </c>
      <c r="AL119" s="12">
        <f>SUM(AH119:AK119)</f>
        <v>0</v>
      </c>
      <c r="AM119" s="12">
        <f>0</f>
        <v>0</v>
      </c>
      <c r="AN119" s="12">
        <f>0</f>
        <v>0</v>
      </c>
      <c r="AO119" s="12">
        <f>0</f>
        <v>0</v>
      </c>
      <c r="AP119" s="12">
        <f>0</f>
        <v>0</v>
      </c>
      <c r="AQ119" s="12">
        <f>SUM(AM119:AP119)</f>
        <v>0</v>
      </c>
      <c r="AR119" s="12">
        <f>0</f>
        <v>0</v>
      </c>
      <c r="AS119" s="12">
        <f>0</f>
        <v>0</v>
      </c>
      <c r="AT119" s="12">
        <f>0</f>
        <v>0</v>
      </c>
      <c r="AU119" s="12">
        <f>0</f>
        <v>0</v>
      </c>
      <c r="AV119" s="12">
        <f>SUM(AR119:AU119)</f>
        <v>0</v>
      </c>
      <c r="AW119" s="12">
        <f>0</f>
        <v>0</v>
      </c>
      <c r="AX119" s="12">
        <f>0</f>
        <v>0</v>
      </c>
      <c r="AY119" s="12">
        <f>0</f>
        <v>0</v>
      </c>
      <c r="AZ119" s="12">
        <f>0</f>
        <v>0</v>
      </c>
      <c r="BA119" s="12">
        <f>SUM(AW119:AZ119)</f>
        <v>0</v>
      </c>
      <c r="BB119" s="12">
        <f>0</f>
        <v>0</v>
      </c>
      <c r="BC119" s="12">
        <f>0</f>
        <v>0</v>
      </c>
      <c r="BD119" s="12">
        <f>0</f>
        <v>0</v>
      </c>
      <c r="BE119" s="12">
        <f>0</f>
        <v>0</v>
      </c>
      <c r="BF119" s="12">
        <f>SUM(BB119:BE119)</f>
        <v>0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customFormat="1" s="32">
      <c r="A120" s="30" t="n"/>
      <c r="B120" s="3" t="n"/>
      <c r="C120" s="33" t="inlineStr">
        <is>
          <t>Net Income</t>
        </is>
      </c>
      <c r="D120" s="35" t="n"/>
      <c r="E120" s="35" t="n"/>
      <c r="F120" s="35" t="n"/>
      <c r="G120" s="35" t="n"/>
      <c r="H120" s="35" t="n"/>
      <c r="I120" s="35">
        <f>SUM(I113,I114,I118,I119)</f>
        <v>3026</v>
      </c>
      <c r="J120" s="35">
        <f>SUM(J113,J114,J118,J119)</f>
        <v>2575</v>
      </c>
      <c r="K120" s="35">
        <f>SUM(K113,K114,K118,K119)</f>
        <v>3584</v>
      </c>
      <c r="L120" s="35">
        <f>SUM(L113,L114,L118,L119)</f>
        <v>3959</v>
      </c>
      <c r="M120" s="35">
        <f>SUM(I120:L120)</f>
        <v>13144</v>
      </c>
      <c r="N120" s="35">
        <f>SUM(N113,N114,N118,N119)</f>
        <v>3647</v>
      </c>
      <c r="O120" s="35">
        <f>SUM(O113,O114,O118,O119)</f>
        <v>3411</v>
      </c>
      <c r="P120" s="35">
        <f>SUM(P113,P114,P118,P119)</f>
        <v>3940</v>
      </c>
      <c r="Q120" s="35">
        <f>SUM(Q113,Q114,Q118,Q119)</f>
        <v>4179</v>
      </c>
      <c r="R120" s="35">
        <f>SUM(N120:Q120)</f>
        <v>15177</v>
      </c>
      <c r="S120" s="35">
        <f>SUM(S113,S114,S118,S119)</f>
        <v>4257</v>
      </c>
      <c r="T120" s="35">
        <f>SUM(T113,T114,T118,T119)</f>
        <v>4156</v>
      </c>
      <c r="U120" s="35">
        <f>SUM(U113,U114,U118,U119)</f>
        <v>4681</v>
      </c>
      <c r="V120" s="35">
        <f>SUM(V113,V114,V118,V119)</f>
        <v>4890</v>
      </c>
      <c r="W120" s="35">
        <f>SUM(S120:V120)</f>
        <v>17984</v>
      </c>
      <c r="X120" s="35">
        <f>SUM(X113,X114,X118,X119)</f>
        <v>4663</v>
      </c>
      <c r="Y120" s="35">
        <f>SUM(Y113,Y114,Y118,Y119)</f>
        <v>4872</v>
      </c>
      <c r="Z120" s="35">
        <f>SUM(Z113,Z114,Z118,Z119)</f>
        <v>5318</v>
      </c>
      <c r="AA120" s="35">
        <f>SUM(AA113,AA114,AA118,AA119)</f>
        <v>5119</v>
      </c>
      <c r="AB120" s="35">
        <f>SUM(X120:AA120)</f>
        <v>19972</v>
      </c>
      <c r="AC120" s="35">
        <f>SUM(AC113,AC114,AC118,AC119)</f>
        <v>4577</v>
      </c>
      <c r="AD120" s="35">
        <f>SUM(AD113,AD114,AD118,AD119)</f>
        <v>5272</v>
      </c>
      <c r="AE120" s="35">
        <f>SUM(AE113,AE114,AE118,AE119)</f>
        <v>5090</v>
      </c>
      <c r="AF120" s="35">
        <f>SUM(AF113,AF114,AF118,AF119)</f>
        <v>5853</v>
      </c>
      <c r="AG120" s="35">
        <f>SUM(AC120:AF120)</f>
        <v>20792</v>
      </c>
      <c r="AH120" s="35">
        <f>SUM(AH113,AH114,AH118,AH119)</f>
        <v>6021</v>
      </c>
      <c r="AI120" s="35">
        <f>SUM(AI113,AI114,AI118,AI119)</f>
        <v>5628</v>
      </c>
      <c r="AJ120" s="35">
        <f>SUM(AJ113,AJ114,AJ118,AJ119)</f>
        <v>6292.11901018386</v>
      </c>
      <c r="AK120" s="35">
        <f>SUM(AK113,AK114,AK118,AK119)</f>
        <v>6395.97065740529</v>
      </c>
      <c r="AL120" s="35">
        <f>SUM(AH120:AK120)</f>
        <v>24337.0896675892</v>
      </c>
      <c r="AM120" s="35">
        <f>SUM(AM113,AM114,AM118,AM119)</f>
        <v>6589.0056400937</v>
      </c>
      <c r="AN120" s="35">
        <f>SUM(AN113,AN114,AN118,AN119)</f>
        <v>6825.45882557524</v>
      </c>
      <c r="AO120" s="35">
        <f>SUM(AO113,AO114,AO118,AO119)</f>
        <v>7143.42514229091</v>
      </c>
      <c r="AP120" s="35">
        <f>SUM(AP113,AP114,AP118,AP119)</f>
        <v>7261.3276273884</v>
      </c>
      <c r="AQ120" s="35">
        <f>SUM(AM120:AP120)</f>
        <v>27819.2172353483</v>
      </c>
      <c r="AR120" s="35">
        <f>SUM(AR113,AR114,AR118,AR119)</f>
        <v>7447.53467600756</v>
      </c>
      <c r="AS120" s="35">
        <f>SUM(AS113,AS114,AS118,AS119)</f>
        <v>7714.79705129083</v>
      </c>
      <c r="AT120" s="35">
        <f>SUM(AT113,AT114,AT118,AT119)</f>
        <v>8074.1934911926</v>
      </c>
      <c r="AU120" s="35">
        <f>SUM(AU113,AU114,AU118,AU119)</f>
        <v>8207.45834087006</v>
      </c>
      <c r="AV120" s="35">
        <f>SUM(AR120:AU120)</f>
        <v>31443.983559361</v>
      </c>
      <c r="AW120" s="35">
        <f>SUM(AW113,AW114,AW118,AW119)</f>
        <v>8380.68997458391</v>
      </c>
      <c r="AX120" s="35">
        <f>SUM(AX113,AX114,AX118,AX119)</f>
        <v>8681.43957919275</v>
      </c>
      <c r="AY120" s="35">
        <f>SUM(AY113,AY114,AY118,AY119)</f>
        <v>9085.86738944372</v>
      </c>
      <c r="AZ120" s="35">
        <f>SUM(AZ113,AZ114,AZ118,AZ119)</f>
        <v>9235.82995266001</v>
      </c>
      <c r="BA120" s="35">
        <f>SUM(AW120:AZ120)</f>
        <v>35383.8268958804</v>
      </c>
      <c r="BB120" s="35">
        <f>SUM(BB113,BB114,BB118,BB119)</f>
        <v>9388.86357647719</v>
      </c>
      <c r="BC120" s="35">
        <f>SUM(BC113,BC114,BC118,BC119)</f>
        <v>9725.79251871408</v>
      </c>
      <c r="BD120" s="35">
        <f>SUM(BD113,BD114,BD118,BD119)</f>
        <v>10178.8718652232</v>
      </c>
      <c r="BE120" s="35">
        <f>SUM(BE113,BE114,BE118,BE119)</f>
        <v>10346.8745060423</v>
      </c>
      <c r="BF120" s="35">
        <f>SUM(BB120:BE120)</f>
        <v>39640.4024664568</v>
      </c>
      <c r="BG120" s="35" t="n"/>
      <c r="BH120" s="35" t="n"/>
      <c r="BI120" s="35" t="n"/>
      <c r="BJ120" s="35" t="n"/>
      <c r="BK120" s="35" t="n"/>
      <c r="BL120" s="35" t="n"/>
      <c r="BM120" s="35" t="n"/>
      <c r="BN120" s="35" t="n"/>
      <c r="BO120" s="35" t="n"/>
      <c r="BP120" s="35" t="n"/>
      <c r="BQ120" s="35" t="n"/>
      <c r="BR120" s="35" t="n"/>
      <c r="BS120" s="35" t="n"/>
      <c r="BT120" s="35" t="n"/>
      <c r="BU120" s="35" t="n"/>
      <c r="BV120" s="35" t="n"/>
      <c r="BW120" s="35" t="n"/>
      <c r="BX120" s="35" t="n"/>
      <c r="BY120" s="35" t="n"/>
      <c r="BZ120" s="35" t="n"/>
      <c r="CA120" s="35" t="n"/>
      <c r="CB120" s="35" t="n"/>
      <c r="CC120" s="35" t="n"/>
      <c r="CD120" s="35" t="n"/>
      <c r="CE120" s="35" t="n"/>
      <c r="CF120" s="35" t="n"/>
      <c r="CG120" s="35" t="n"/>
      <c r="CH120" s="35" t="n"/>
      <c r="CI120" s="35" t="n"/>
      <c r="CJ120" s="35" t="n"/>
      <c r="CK120" s="35" t="n"/>
      <c r="CL120" s="35" t="n"/>
      <c r="CM120" s="35" t="n"/>
      <c r="CN120" s="35" t="n"/>
      <c r="CO120" s="35" t="n"/>
      <c r="CP120" s="35" t="n"/>
      <c r="CQ120" s="35" t="n"/>
      <c r="CR120" s="35" t="n"/>
      <c r="CS120" s="35" t="n"/>
      <c r="CT120" s="35" t="n"/>
      <c r="CU120" s="35" t="n"/>
      <c r="CV120" s="35" t="n"/>
      <c r="CW120" s="35" t="n"/>
      <c r="CX120" s="35" t="n"/>
      <c r="CY120" s="35" t="n"/>
    </row>
    <row r="121">
      <c r="C121" s="13" t="inlineStr">
        <is>
          <t>Common Dividends</t>
        </is>
      </c>
      <c r="D121" s="46" t="n"/>
      <c r="E121" s="46" t="n"/>
      <c r="F121" s="46" t="n"/>
      <c r="G121" s="46" t="n"/>
      <c r="H121" s="12" t="n"/>
      <c r="I121" s="46">
        <f>'Inputs (2)'!D13</f>
        <v>-701</v>
      </c>
      <c r="J121" s="46">
        <f>'Inputs (2)'!E13</f>
        <v>-698</v>
      </c>
      <c r="K121" s="46">
        <f>'Inputs (2)'!F13</f>
        <v>-696</v>
      </c>
      <c r="L121" s="46">
        <f>'Inputs (2)'!G13</f>
        <v>-809</v>
      </c>
      <c r="M121" s="12">
        <f>'Inputs (2)'!H13</f>
        <v>-2904</v>
      </c>
      <c r="N121" s="46">
        <f>'Inputs (2)'!I13</f>
        <v>-802</v>
      </c>
      <c r="O121" s="46">
        <f>'Inputs (2)'!J13</f>
        <v>-798</v>
      </c>
      <c r="P121" s="46">
        <f>'Inputs (2)'!K13</f>
        <v>-794</v>
      </c>
      <c r="Q121" s="46">
        <f>'Inputs (2)'!L13</f>
        <v>-945</v>
      </c>
      <c r="R121" s="12">
        <f>'Inputs (2)'!M13</f>
        <v>-3339</v>
      </c>
      <c r="S121" s="46">
        <f>'Inputs (2)'!N13</f>
        <v>-941</v>
      </c>
      <c r="T121" s="46">
        <f>'Inputs (2)'!O13</f>
        <v>-937</v>
      </c>
      <c r="U121" s="46">
        <f>'Inputs (2)'!P13</f>
        <v>-928</v>
      </c>
      <c r="V121" s="46">
        <f>'Inputs (2)'!Q13</f>
        <v>-1060</v>
      </c>
      <c r="W121" s="12">
        <f>'Inputs (2)'!R13</f>
        <v>-3866</v>
      </c>
      <c r="X121" s="46">
        <f>'Inputs (2)'!S13</f>
        <v>-1060</v>
      </c>
      <c r="Y121" s="46">
        <f>'Inputs (2)'!T13</f>
        <v>-1056</v>
      </c>
      <c r="Z121" s="46">
        <f>'Inputs (2)'!U13</f>
        <v>-1041</v>
      </c>
      <c r="AA121" s="46">
        <f>'Inputs (2)'!V13</f>
        <v>-1170</v>
      </c>
      <c r="AB121" s="12">
        <f>'Inputs (2)'!W13</f>
        <v>-4327</v>
      </c>
      <c r="AC121" s="46">
        <f>'Inputs (2)'!X13</f>
        <v>-1164</v>
      </c>
      <c r="AD121" s="46">
        <f>'Inputs (2)'!Y13</f>
        <v>-1154</v>
      </c>
      <c r="AE121" s="46">
        <f>'Inputs (2)'!Z13</f>
        <v>-1146</v>
      </c>
      <c r="AF121" s="46">
        <f>'Inputs (2)'!AA13</f>
        <v>-1293</v>
      </c>
      <c r="AG121" s="12">
        <f>'Inputs (2)'!AB13</f>
        <v>-4757</v>
      </c>
      <c r="AH121" s="12">
        <f>'Inputs (2)'!AC13</f>
        <v>-1286</v>
      </c>
      <c r="AI121" s="12">
        <f>'Inputs (2)'!AD13</f>
        <v>-1273</v>
      </c>
      <c r="AJ121" s="12">
        <f>-MAX(0,AJ120)*Control!$E$15</f>
        <v>0</v>
      </c>
      <c r="AK121" s="12">
        <f>-MAX(0,AK120)*Control!$E$15</f>
        <v>0</v>
      </c>
      <c r="AL121" s="12">
        <f>SUM(AH121:AK121)</f>
        <v>-2559</v>
      </c>
      <c r="AM121" s="12">
        <f>-MAX(0,AM120)*Control!$E$15</f>
        <v>0</v>
      </c>
      <c r="AN121" s="12">
        <f>-MAX(0,AN120)*Control!$E$15</f>
        <v>0</v>
      </c>
      <c r="AO121" s="12">
        <f>-MAX(0,AO120)*Control!$E$15</f>
        <v>0</v>
      </c>
      <c r="AP121" s="12">
        <f>-MAX(0,AP120)*Control!$E$15</f>
        <v>0</v>
      </c>
      <c r="AQ121" s="12">
        <f>SUM(AM121:AP121)</f>
        <v>0</v>
      </c>
      <c r="AR121" s="12">
        <f>-MAX(0,AR120)*Control!$E$15</f>
        <v>0</v>
      </c>
      <c r="AS121" s="12">
        <f>-MAX(0,AS120)*Control!$E$15</f>
        <v>0</v>
      </c>
      <c r="AT121" s="12">
        <f>-MAX(0,AT120)*Control!$E$15</f>
        <v>0</v>
      </c>
      <c r="AU121" s="12">
        <f>-MAX(0,AU120)*Control!$E$15</f>
        <v>0</v>
      </c>
      <c r="AV121" s="12">
        <f>SUM(AR121:AU121)</f>
        <v>0</v>
      </c>
      <c r="AW121" s="12">
        <f>-MAX(0,AW120)*Control!$E$15</f>
        <v>0</v>
      </c>
      <c r="AX121" s="12">
        <f>-MAX(0,AX120)*Control!$E$15</f>
        <v>0</v>
      </c>
      <c r="AY121" s="12">
        <f>-MAX(0,AY120)*Control!$E$15</f>
        <v>0</v>
      </c>
      <c r="AZ121" s="12">
        <f>-MAX(0,AZ120)*Control!$E$15</f>
        <v>0</v>
      </c>
      <c r="BA121" s="12">
        <f>SUM(AW121:AZ121)</f>
        <v>0</v>
      </c>
      <c r="BB121" s="12">
        <f>-MAX(0,BB120)*Control!$E$15</f>
        <v>0</v>
      </c>
      <c r="BC121" s="12">
        <f>-MAX(0,BC120)*Control!$E$15</f>
        <v>0</v>
      </c>
      <c r="BD121" s="12">
        <f>-MAX(0,BD120)*Control!$E$15</f>
        <v>0</v>
      </c>
      <c r="BE121" s="12">
        <f>-MAX(0,BE120)*Control!$E$15</f>
        <v>0</v>
      </c>
      <c r="BF121" s="12">
        <f>SUM(BB121:BE121)</f>
        <v>0</v>
      </c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0" t="inlineStr">
        <is>
          <t>% DVD Payout</t>
        </is>
      </c>
      <c r="D122" s="58" t="n"/>
      <c r="E122" s="58" t="n"/>
      <c r="F122" s="58" t="n"/>
      <c r="G122" s="58" t="n"/>
      <c r="H122" s="58" t="n"/>
      <c r="I122" s="58">
        <f>IF(I120=0,"",-I121/I120)</f>
        <v>0.231658955717118</v>
      </c>
      <c r="J122" s="58">
        <f>IF(J120=0,"",-J121/J120)</f>
        <v>0.271067961165049</v>
      </c>
      <c r="K122" s="58">
        <f>IF(K120=0,"",-K121/K120)</f>
        <v>0.194196428571429</v>
      </c>
      <c r="L122" s="58">
        <f>IF(L120=0,"",-L121/L120)</f>
        <v>0.204344531447335</v>
      </c>
      <c r="M122" s="58">
        <f>IF(M120=0,"",-M121/M120)</f>
        <v>0.220937309799148</v>
      </c>
      <c r="N122" s="58">
        <f>IF(N120=0,"",-N121/N120)</f>
        <v>0.219906772689882</v>
      </c>
      <c r="O122" s="58">
        <f>IF(O120=0,"",-O121/O120)</f>
        <v>0.233948988566403</v>
      </c>
      <c r="P122" s="58">
        <f>IF(P120=0,"",-P121/P120)</f>
        <v>0.201522842639594</v>
      </c>
      <c r="Q122" s="58">
        <f>IF(Q120=0,"",-Q121/Q120)</f>
        <v>0.226130653266332</v>
      </c>
      <c r="R122" s="58">
        <f>IF(R120=0,"",-R121/R120)</f>
        <v>0.220003953350465</v>
      </c>
      <c r="S122" s="58">
        <f>IF(S120=0,"",-S121/S120)</f>
        <v>0.221047686163965</v>
      </c>
      <c r="T122" s="58">
        <f>IF(T120=0,"",-T121/T120)</f>
        <v>0.225457170356112</v>
      </c>
      <c r="U122" s="58">
        <f>IF(U120=0,"",-U121/U120)</f>
        <v>0.198248237556078</v>
      </c>
      <c r="V122" s="58">
        <f>IF(V120=0,"",-V121/V120)</f>
        <v>0.216768916155419</v>
      </c>
      <c r="W122" s="58">
        <f>IF(W120=0,"",-W121/W120)</f>
        <v>0.214968861209964</v>
      </c>
      <c r="X122" s="58">
        <f>IF(X120=0,"",-X121/X120)</f>
        <v>0.227321466866824</v>
      </c>
      <c r="Y122" s="58">
        <f>IF(Y120=0,"",-Y121/Y120)</f>
        <v>0.216748768472906</v>
      </c>
      <c r="Z122" s="58">
        <f>IF(Z120=0,"",-Z121/Z120)</f>
        <v>0.195750282060925</v>
      </c>
      <c r="AA122" s="58">
        <f>IF(AA120=0,"",-AA121/AA120)</f>
        <v>0.22856026567689</v>
      </c>
      <c r="AB122" s="58">
        <f>IF(AB120=0,"",-AB121/AB120)</f>
        <v>0.216653314640497</v>
      </c>
      <c r="AC122" s="58">
        <f>IF(AC120=0,"",-AC121/AC120)</f>
        <v>0.254315053528512</v>
      </c>
      <c r="AD122" s="58">
        <f>IF(AD120=0,"",-AD121/AD120)</f>
        <v>0.218892261001517</v>
      </c>
      <c r="AE122" s="58">
        <f>IF(AE120=0,"",-AE121/AE120)</f>
        <v>0.225147347740668</v>
      </c>
      <c r="AF122" s="41">
        <f>IF(AF120=0,"",-AF121/AF120)</f>
        <v>0.220912352639672</v>
      </c>
      <c r="AG122" s="12">
        <f>IF(AG120=0,"",-AG121/AG120)</f>
        <v>0.228789919199692</v>
      </c>
      <c r="AH122" s="41">
        <f>IF(AH120=0,"",-AH121/AH120)</f>
        <v>0.21358578309251</v>
      </c>
      <c r="AI122" s="41">
        <f>IF(AI120=0,"",-AI121/AI120)</f>
        <v>0.226190476190476</v>
      </c>
      <c r="AJ122" s="41">
        <f>IF(AJ120=0,"",-AJ121/AJ120)</f>
        <v>0</v>
      </c>
      <c r="AK122" s="41">
        <f>IF(AK120=0,"",-AK121/AK120)</f>
        <v>0</v>
      </c>
      <c r="AL122" s="12">
        <f>IF(AL120=0,"",-AL121/AL120)</f>
        <v>0.10514815185186</v>
      </c>
      <c r="AM122" s="41">
        <f>IF(AM120=0,"",-AM121/AM120)</f>
        <v>0</v>
      </c>
      <c r="AN122" s="41">
        <f>IF(AN120=0,"",-AN121/AN120)</f>
        <v>0</v>
      </c>
      <c r="AO122" s="41">
        <f>IF(AO120=0,"",-AO121/AO120)</f>
        <v>0</v>
      </c>
      <c r="AP122" s="41">
        <f>IF(AP120=0,"",-AP121/AP120)</f>
        <v>0</v>
      </c>
      <c r="AQ122" s="12">
        <f>IF(AQ120=0,"",-AQ121/AQ120)</f>
        <v>0</v>
      </c>
      <c r="AR122" s="41">
        <f>IF(AR120=0,"",-AR121/AR120)</f>
        <v>0</v>
      </c>
      <c r="AS122" s="41">
        <f>IF(AS120=0,"",-AS121/AS120)</f>
        <v>0</v>
      </c>
      <c r="AT122" s="41">
        <f>IF(AT120=0,"",-AT121/AT120)</f>
        <v>0</v>
      </c>
      <c r="AU122" s="41">
        <f>IF(AU120=0,"",-AU121/AU120)</f>
        <v>0</v>
      </c>
      <c r="AV122" s="12">
        <f>IF(AV120=0,"",-AV121/AV120)</f>
        <v>0</v>
      </c>
      <c r="AW122" s="41">
        <f>IF(AW120=0,"",-AW121/AW120)</f>
        <v>0</v>
      </c>
      <c r="AX122" s="41">
        <f>IF(AX120=0,"",-AX121/AX120)</f>
        <v>0</v>
      </c>
      <c r="AY122" s="41">
        <f>IF(AY120=0,"",-AY121/AY120)</f>
        <v>0</v>
      </c>
      <c r="AZ122" s="41">
        <f>IF(AZ120=0,"",-AZ121/AZ120)</f>
        <v>0</v>
      </c>
      <c r="BA122" s="12">
        <f>IF(BA120=0,"",-BA121/BA120)</f>
        <v>0</v>
      </c>
      <c r="BB122" s="41">
        <f>IF(BB120=0,"",-BB121/BB120)</f>
        <v>0</v>
      </c>
      <c r="BC122" s="41">
        <f>IF(BC120=0,"",-BC121/BC120)</f>
        <v>0</v>
      </c>
      <c r="BD122" s="41">
        <f>IF(BD120=0,"",-BD121/BD120)</f>
        <v>0</v>
      </c>
      <c r="BE122" s="41">
        <f>IF(BE120=0,"",-BE121/BE120)</f>
        <v>0</v>
      </c>
      <c r="BF122" s="12">
        <f>IF(BF120=0,"",-BF121/BF120)</f>
        <v>0</v>
      </c>
      <c r="BG122" s="41" t="n"/>
      <c r="BH122" s="41" t="n"/>
      <c r="BI122" s="41" t="n"/>
      <c r="BJ122" s="41" t="n"/>
      <c r="BK122" s="12" t="n"/>
      <c r="BL122" s="41" t="n"/>
      <c r="BM122" s="41" t="n"/>
      <c r="BN122" s="41" t="n"/>
      <c r="BO122" s="41" t="n"/>
      <c r="BP122" s="12" t="n"/>
      <c r="BQ122" s="41" t="n"/>
      <c r="BR122" s="41" t="n"/>
      <c r="BS122" s="41" t="n"/>
      <c r="BT122" s="41" t="n"/>
      <c r="BU122" s="12" t="n"/>
      <c r="BV122" s="41" t="n"/>
      <c r="BW122" s="41" t="n"/>
      <c r="BX122" s="41" t="n"/>
      <c r="BY122" s="41" t="n"/>
      <c r="BZ122" s="12" t="n"/>
      <c r="CA122" s="41" t="n"/>
      <c r="CB122" s="41" t="n"/>
      <c r="CC122" s="41" t="n"/>
      <c r="CD122" s="41" t="n"/>
      <c r="CE122" s="12" t="n"/>
      <c r="CF122" s="41" t="n"/>
      <c r="CG122" s="41" t="n"/>
      <c r="CH122" s="41" t="n"/>
      <c r="CI122" s="41" t="n"/>
      <c r="CJ122" s="12" t="n"/>
      <c r="CK122" s="41" t="n"/>
      <c r="CL122" s="41" t="n"/>
      <c r="CM122" s="41" t="n"/>
      <c r="CN122" s="41" t="n"/>
      <c r="CO122" s="12" t="n"/>
      <c r="CP122" s="41" t="n"/>
      <c r="CQ122" s="41" t="n"/>
      <c r="CR122" s="41" t="n"/>
      <c r="CS122" s="41" t="n"/>
      <c r="CT122" s="12" t="n"/>
      <c r="CU122" s="41" t="n"/>
      <c r="CV122" s="41" t="n"/>
      <c r="CW122" s="41" t="n"/>
      <c r="CX122" s="41" t="n"/>
      <c r="CY122" s="12" t="n"/>
    </row>
    <row r="123" hidden="1" outlineLevel="1">
      <c r="C123" s="18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18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collapsed="1" ht="11.25" customHeight="1">
      <c r="C125" s="31" t="inlineStr">
        <is>
          <t>Balance Sheet</t>
        </is>
      </c>
      <c r="D125" s="31" t="n"/>
      <c r="E125" s="31" t="n"/>
      <c r="F125" s="31" t="n"/>
      <c r="G125" s="31" t="n"/>
      <c r="H125" s="31" t="n"/>
      <c r="I125" s="31" t="str">
        <f>I13</f>
        <v>1Q21</v>
      </c>
      <c r="J125" s="31" t="str">
        <f>J13</f>
        <v>2Q21</v>
      </c>
      <c r="K125" s="31" t="str">
        <f>K13</f>
        <v>3Q21</v>
      </c>
      <c r="L125" s="31" t="str">
        <f>L13</f>
        <v>4Q21</v>
      </c>
      <c r="M125" s="31">
        <f>M13</f>
        <v>2021</v>
      </c>
      <c r="N125" s="31" t="str">
        <f>N13</f>
        <v>1Q22</v>
      </c>
      <c r="O125" s="31" t="str">
        <f>O13</f>
        <v>2Q22</v>
      </c>
      <c r="P125" s="31" t="str">
        <f>P13</f>
        <v>3Q22</v>
      </c>
      <c r="Q125" s="31" t="str">
        <f>Q13</f>
        <v>4Q22</v>
      </c>
      <c r="R125" s="31">
        <f>R13</f>
        <v>2022</v>
      </c>
      <c r="S125" s="31" t="str">
        <f>S13</f>
        <v>1Q23</v>
      </c>
      <c r="T125" s="31" t="str">
        <f>T13</f>
        <v>2Q23</v>
      </c>
      <c r="U125" s="31" t="str">
        <f>U13</f>
        <v>3Q23</v>
      </c>
      <c r="V125" s="31" t="str">
        <f>V13</f>
        <v>4Q23</v>
      </c>
      <c r="W125" s="31">
        <f>W13</f>
        <v>2023</v>
      </c>
      <c r="X125" s="31" t="str">
        <f>X13</f>
        <v>1Q24</v>
      </c>
      <c r="Y125" s="31" t="str">
        <f>Y13</f>
        <v>2Q24</v>
      </c>
      <c r="Z125" s="31" t="str">
        <f>Z13</f>
        <v>3Q24</v>
      </c>
      <c r="AA125" s="31" t="str">
        <f>AA13</f>
        <v>4Q24</v>
      </c>
      <c r="AB125" s="31">
        <f>AB13</f>
        <v>2024</v>
      </c>
      <c r="AC125" s="31" t="str">
        <f>AC13</f>
        <v>1Q25</v>
      </c>
      <c r="AD125" s="31" t="str">
        <f>AD13</f>
        <v>2Q25</v>
      </c>
      <c r="AE125" s="31" t="str">
        <f>AE13</f>
        <v>3Q25</v>
      </c>
      <c r="AF125" s="31" t="str">
        <f>AF13</f>
        <v>4Q25</v>
      </c>
      <c r="AG125" s="31">
        <f>AG13</f>
        <v>2025</v>
      </c>
      <c r="AH125" s="31" t="str">
        <f>AH13</f>
        <v>1Q26</v>
      </c>
      <c r="AI125" s="31" t="str">
        <f>AI13</f>
        <v>2Q26</v>
      </c>
      <c r="AJ125" s="31" t="str">
        <f>AJ13</f>
        <v>3Q26</v>
      </c>
      <c r="AK125" s="31" t="str">
        <f>AK13</f>
        <v>4Q26</v>
      </c>
      <c r="AL125" s="31">
        <f>AL13</f>
        <v>2026</v>
      </c>
      <c r="AM125" s="31" t="str">
        <f>AM13</f>
        <v>1Q27</v>
      </c>
      <c r="AN125" s="31" t="str">
        <f>AN13</f>
        <v>2Q27</v>
      </c>
      <c r="AO125" s="31" t="str">
        <f>AO13</f>
        <v>3Q27</v>
      </c>
      <c r="AP125" s="31" t="str">
        <f>AP13</f>
        <v>4Q27</v>
      </c>
      <c r="AQ125" s="31">
        <f>AQ13</f>
        <v>2027</v>
      </c>
      <c r="AR125" s="31" t="str">
        <f>AR13</f>
        <v>1Q28</v>
      </c>
      <c r="AS125" s="31" t="str">
        <f>AS13</f>
        <v>2Q28</v>
      </c>
      <c r="AT125" s="31" t="str">
        <f>AT13</f>
        <v>3Q28</v>
      </c>
      <c r="AU125" s="31" t="str">
        <f>AU13</f>
        <v>4Q28</v>
      </c>
      <c r="AV125" s="31">
        <f>AV13</f>
        <v>2028</v>
      </c>
      <c r="AW125" s="31" t="str">
        <f>AW13</f>
        <v>1Q29</v>
      </c>
      <c r="AX125" s="31" t="str">
        <f>AX13</f>
        <v>2Q29</v>
      </c>
      <c r="AY125" s="31" t="str">
        <f>AY13</f>
        <v>3Q29</v>
      </c>
      <c r="AZ125" s="31" t="str">
        <f>AZ13</f>
        <v>4Q29</v>
      </c>
      <c r="BA125" s="31">
        <f>BA13</f>
        <v>2029</v>
      </c>
      <c r="BB125" s="31" t="str">
        <f>BB13</f>
        <v>1Q30</v>
      </c>
      <c r="BC125" s="31" t="str">
        <f>BC13</f>
        <v>2Q30</v>
      </c>
      <c r="BD125" s="31" t="str">
        <f>BD13</f>
        <v>3Q30</v>
      </c>
      <c r="BE125" s="31" t="str">
        <f>BE13</f>
        <v>4Q30</v>
      </c>
      <c r="BF125" s="31">
        <f>BF13</f>
        <v>2030</v>
      </c>
      <c r="BG125" s="31" t="n"/>
      <c r="BH125" s="31" t="n"/>
      <c r="BI125" s="31" t="n"/>
      <c r="BJ125" s="31" t="n"/>
      <c r="BK125" s="31" t="n"/>
      <c r="BL125" s="31" t="n"/>
      <c r="BM125" s="31" t="n"/>
      <c r="BN125" s="31" t="n"/>
      <c r="BO125" s="31" t="n"/>
      <c r="BP125" s="31" t="n"/>
      <c r="BQ125" s="31" t="n"/>
      <c r="BR125" s="31" t="n"/>
      <c r="BS125" s="31" t="n"/>
      <c r="BT125" s="31" t="n"/>
      <c r="BU125" s="31" t="n"/>
      <c r="BV125" s="31" t="n"/>
      <c r="BW125" s="31" t="n"/>
      <c r="BX125" s="31" t="n"/>
      <c r="BY125" s="31" t="n"/>
      <c r="BZ125" s="31" t="n"/>
      <c r="CA125" s="31" t="n"/>
      <c r="CB125" s="31" t="n"/>
      <c r="CC125" s="31" t="n"/>
      <c r="CD125" s="31" t="n"/>
      <c r="CE125" s="31" t="n"/>
      <c r="CF125" s="31" t="n"/>
      <c r="CG125" s="31" t="n"/>
      <c r="CH125" s="31" t="n"/>
      <c r="CI125" s="31" t="n"/>
      <c r="CJ125" s="31" t="n"/>
      <c r="CK125" s="31" t="n"/>
      <c r="CL125" s="31" t="n"/>
      <c r="CM125" s="31" t="n"/>
      <c r="CN125" s="31" t="n"/>
      <c r="CO125" s="31" t="n"/>
      <c r="CP125" s="31" t="n"/>
      <c r="CQ125" s="31" t="n"/>
      <c r="CR125" s="31" t="n"/>
      <c r="CS125" s="31" t="n"/>
      <c r="CT125" s="31" t="n"/>
      <c r="CU125" s="31" t="n"/>
      <c r="CV125" s="31" t="n"/>
      <c r="CW125" s="31" t="n"/>
      <c r="CX125" s="31" t="n"/>
      <c r="CY125" s="31" t="n"/>
    </row>
    <row r="126">
      <c r="C126" s="18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>
      <c r="C127" s="13" t="inlineStr">
        <is>
          <t>Cash and equivalents (inc. investment securities)</t>
        </is>
      </c>
      <c r="D127" s="46" t="n"/>
      <c r="E127" s="46" t="n"/>
      <c r="F127" s="46" t="n"/>
      <c r="G127" s="46" t="n"/>
      <c r="H127" s="12" t="n"/>
      <c r="I127" s="46">
        <f>'Inputs (2)'!D15</f>
        <v>16494</v>
      </c>
      <c r="J127" s="46">
        <f>'Inputs (2)'!E15</f>
        <v>18034</v>
      </c>
      <c r="K127" s="46">
        <f>'Inputs (2)'!F15</f>
        <v>16487</v>
      </c>
      <c r="L127" s="46">
        <f>'Inputs (2)'!G15</f>
        <v>14720</v>
      </c>
      <c r="M127" s="12">
        <f>'Inputs (2)'!H15</f>
        <v>14720</v>
      </c>
      <c r="N127" s="46">
        <f>'Inputs (2)'!I15</f>
        <v>12299</v>
      </c>
      <c r="O127" s="46">
        <f>'Inputs (2)'!J15</f>
        <v>14047</v>
      </c>
      <c r="P127" s="46">
        <f>'Inputs (2)'!K15</f>
        <v>15689</v>
      </c>
      <c r="Q127" s="46">
        <f>'Inputs (2)'!L15</f>
        <v>13334</v>
      </c>
      <c r="R127" s="12">
        <f>'Inputs (2)'!M15</f>
        <v>13334</v>
      </c>
      <c r="S127" s="46">
        <f>'Inputs (2)'!N15</f>
        <v>13842</v>
      </c>
      <c r="T127" s="46">
        <f>'Inputs (2)'!O15</f>
        <v>15590</v>
      </c>
      <c r="U127" s="46">
        <f>'Inputs (2)'!P15</f>
        <v>16286</v>
      </c>
      <c r="V127" s="46">
        <f>'Inputs (2)'!Q15</f>
        <v>13591</v>
      </c>
      <c r="W127" s="12">
        <f>'Inputs (2)'!R15</f>
        <v>13591</v>
      </c>
      <c r="X127" s="46">
        <f>'Inputs (2)'!S15</f>
        <v>12993</v>
      </c>
      <c r="Y127" s="46">
        <f>'Inputs (2)'!T15</f>
        <v>12947</v>
      </c>
      <c r="Z127" s="46">
        <f>'Inputs (2)'!U15</f>
        <v>11975</v>
      </c>
      <c r="AA127" s="46">
        <f>'Inputs (2)'!V15</f>
        <v>12367</v>
      </c>
      <c r="AB127" s="12">
        <f>'Inputs (2)'!W15</f>
        <v>12367</v>
      </c>
      <c r="AC127" s="46">
        <f>'Inputs (2)'!X15</f>
        <v>11734</v>
      </c>
      <c r="AD127" s="46">
        <f>'Inputs (2)'!Y15</f>
        <v>17092</v>
      </c>
      <c r="AE127" s="46">
        <f>'Inputs (2)'!Z15</f>
        <v>17164</v>
      </c>
      <c r="AF127" s="46">
        <f>'Inputs (2)'!AA15</f>
        <v>14756</v>
      </c>
      <c r="AG127" s="12">
        <f>'Inputs (2)'!AB15</f>
        <v>14756</v>
      </c>
      <c r="AH127" s="12">
        <f>'Inputs (2)'!AC15</f>
        <v>12404</v>
      </c>
      <c r="AI127" s="12">
        <f>'Inputs (2)'!AD15</f>
        <v>12359</v>
      </c>
      <c r="AJ127" s="12">
        <f>AJ256-SUM(AJ128,AJ132,AJ136,AJ137,AJ138,AJ144,AJ149,AJ159,AJ162,AJ163,AJ172)</f>
        <v>18947.8657882468</v>
      </c>
      <c r="AK127" s="12">
        <f>AK256-SUM(AK128,AK132,AK136,AK137,AK138,AK144,AK149,AK159,AK162,AK163,AK172)</f>
        <v>26287.058033059</v>
      </c>
      <c r="AL127" s="12">
        <f>AK127</f>
        <v>26287.058033059</v>
      </c>
      <c r="AM127" s="12">
        <f>AM256-SUM(AM128,AM132,AM136,AM137,AM138,AM144,AM149,AM159,AM162,AM163,AM172)</f>
        <v>33840.0486422785</v>
      </c>
      <c r="AN127" s="12">
        <f>AN256-SUM(AN128,AN132,AN136,AN137,AN138,AN144,AN149,AN159,AN162,AN163,AN172)</f>
        <v>41901.3690814352</v>
      </c>
      <c r="AO127" s="12">
        <f>AO256-SUM(AO128,AO132,AO136,AO137,AO138,AO144,AO149,AO159,AO162,AO163,AO172)</f>
        <v>50432.66055325</v>
      </c>
      <c r="AP127" s="12">
        <f>AP256-SUM(AP128,AP132,AP136,AP137,AP138,AP144,AP149,AP159,AP162,AP163,AP172)</f>
        <v>59381.0882046507</v>
      </c>
      <c r="AQ127" s="12">
        <f>AP127</f>
        <v>59381.0882046507</v>
      </c>
      <c r="AR127" s="12">
        <f>AR256-SUM(AR128,AR132,AR136,AR137,AR138,AR144,AR149,AR159,AR162,AR163,AR172)</f>
        <v>68607.9376513185</v>
      </c>
      <c r="AS127" s="12">
        <f>AS256-SUM(AS128,AS132,AS136,AS137,AS138,AS144,AS149,AS159,AS162,AS163,AS172)</f>
        <v>78371.0275975543</v>
      </c>
      <c r="AT127" s="12">
        <f>AT256-SUM(AT128,AT132,AT136,AT137,AT138,AT144,AT149,AT159,AT162,AT163,AT172)</f>
        <v>88794.8970787885</v>
      </c>
      <c r="AU127" s="12">
        <f>AU256-SUM(AU128,AU132,AU136,AU137,AU138,AU144,AU149,AU159,AU162,AU163,AU172)</f>
        <v>99782.3237428565</v>
      </c>
      <c r="AV127" s="12">
        <f>AU127</f>
        <v>99782.3237428565</v>
      </c>
      <c r="AW127" s="12">
        <f>AW256-SUM(AW128,AW132,AW136,AW137,AW138,AW144,AW149,AW159,AW162,AW163,AW172)</f>
        <v>111078.166129342</v>
      </c>
      <c r="AX127" s="12">
        <f>AX256-SUM(AX128,AX132,AX136,AX137,AX138,AX144,AX149,AX159,AX162,AX163,AX172)</f>
        <v>123169.480615122</v>
      </c>
      <c r="AY127" s="12">
        <f>AY256-SUM(AY128,AY132,AY136,AY137,AY138,AY144,AY149,AY159,AY162,AY163,AY172)</f>
        <v>136069.643464787</v>
      </c>
      <c r="AZ127" s="12">
        <f>AZ256-SUM(AZ128,AZ132,AZ136,AZ137,AZ138,AZ144,AZ149,AZ159,AZ162,AZ163,AZ172)</f>
        <v>149735.302201347</v>
      </c>
      <c r="BA127" s="12">
        <f>AZ127</f>
        <v>149735.302201347</v>
      </c>
      <c r="BB127" s="12">
        <f>BB256-SUM(BB128,BB132,BB136,BB137,BB138,BB144,BB149,BB159,BB162,BB163,BB172)</f>
        <v>163813.390643472</v>
      </c>
      <c r="BC127" s="12">
        <f>BC256-SUM(BC128,BC132,BC136,BC137,BC138,BC144,BC149,BC159,BC162,BC163,BC172)</f>
        <v>178909.282992131</v>
      </c>
      <c r="BD127" s="12">
        <f>BD256-SUM(BD128,BD132,BD136,BD137,BD138,BD144,BD149,BD159,BD162,BD163,BD172)</f>
        <v>195076.734987801</v>
      </c>
      <c r="BE127" s="12">
        <f>BE256-SUM(BE128,BE132,BE136,BE137,BE138,BE144,BE149,BE159,BE162,BE163,BE172)</f>
        <v>212284.439117876</v>
      </c>
      <c r="BF127" s="12">
        <f>BE127</f>
        <v>212284.439117876</v>
      </c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>
      <c r="C128" s="14" t="inlineStr">
        <is>
          <t>Accounts receivable</t>
        </is>
      </c>
      <c r="D128" s="46" t="n"/>
      <c r="E128" s="46" t="n"/>
      <c r="F128" s="46" t="n"/>
      <c r="G128" s="46" t="n"/>
      <c r="H128" s="12" t="n"/>
      <c r="I128" s="46">
        <f>'Inputs (2)'!D16</f>
        <v>1791</v>
      </c>
      <c r="J128" s="46">
        <f>'Inputs (2)'!E16</f>
        <v>1852</v>
      </c>
      <c r="K128" s="46">
        <f>'Inputs (2)'!F16</f>
        <v>1968</v>
      </c>
      <c r="L128" s="46">
        <f>'Inputs (2)'!G16</f>
        <v>2168</v>
      </c>
      <c r="M128" s="12">
        <f>'Inputs (2)'!H16</f>
        <v>2168</v>
      </c>
      <c r="N128" s="46">
        <f>'Inputs (2)'!I16</f>
        <v>2135</v>
      </c>
      <c r="O128" s="46">
        <f>'Inputs (2)'!J16</f>
        <v>2021</v>
      </c>
      <c r="P128" s="46">
        <f>'Inputs (2)'!K16</f>
        <v>2020</v>
      </c>
      <c r="Q128" s="46">
        <f>'Inputs (2)'!L16</f>
        <v>2113</v>
      </c>
      <c r="R128" s="12">
        <f>'Inputs (2)'!M16</f>
        <v>2113</v>
      </c>
      <c r="S128" s="46">
        <f>'Inputs (2)'!N16</f>
        <v>2122</v>
      </c>
      <c r="T128" s="46">
        <f>'Inputs (2)'!O16</f>
        <v>2282</v>
      </c>
      <c r="U128" s="46">
        <f>'Inputs (2)'!P16</f>
        <v>2291</v>
      </c>
      <c r="V128" s="46">
        <f>'Inputs (2)'!Q16</f>
        <v>2506</v>
      </c>
      <c r="W128" s="12">
        <f>'Inputs (2)'!R16</f>
        <v>2506</v>
      </c>
      <c r="X128" s="46">
        <f>'Inputs (2)'!S16</f>
        <v>2272</v>
      </c>
      <c r="Y128" s="46">
        <f>'Inputs (2)'!T16</f>
        <v>2521</v>
      </c>
      <c r="Z128" s="46">
        <f>'Inputs (2)'!U16</f>
        <v>2561</v>
      </c>
      <c r="AA128" s="46">
        <f>'Inputs (2)'!V16</f>
        <v>2590</v>
      </c>
      <c r="AB128" s="12">
        <f>'Inputs (2)'!W16</f>
        <v>2590</v>
      </c>
      <c r="AC128" s="46">
        <f>'Inputs (2)'!X16</f>
        <v>2719</v>
      </c>
      <c r="AD128" s="46">
        <f>'Inputs (2)'!Y16</f>
        <v>2920</v>
      </c>
      <c r="AE128" s="46">
        <f>'Inputs (2)'!Z16</f>
        <v>3126</v>
      </c>
      <c r="AF128" s="46">
        <f>'Inputs (2)'!AA16</f>
        <v>3231</v>
      </c>
      <c r="AG128" s="12">
        <f>'Inputs (2)'!AB16</f>
        <v>3231</v>
      </c>
      <c r="AH128" s="12">
        <f>'Inputs (2)'!AC16</f>
        <v>3405</v>
      </c>
      <c r="AI128" s="12">
        <f>'Inputs (2)'!AD16</f>
        <v>3527</v>
      </c>
      <c r="AJ128" s="12">
        <f>(AJ129/(AJ$5-AI$5))*AJ$15</f>
        <v>3542.0638518602</v>
      </c>
      <c r="AK128" s="12">
        <f>(AK129/(AK$5-AJ$5))*AK$15</f>
        <v>3600.52574124655</v>
      </c>
      <c r="AL128" s="12">
        <f>AK128</f>
        <v>3600.52574124655</v>
      </c>
      <c r="AM128" s="12">
        <f>(AM129/(AM$5-AL$5))*AM$15</f>
        <v>3791.61868414344</v>
      </c>
      <c r="AN128" s="12">
        <f>(AN129/(AN$5-AM$5))*AN$15</f>
        <v>3884.52341524141</v>
      </c>
      <c r="AO128" s="12">
        <f>(AO129/(AO$5-AN$5))*AO$15</f>
        <v>4021.29520023789</v>
      </c>
      <c r="AP128" s="12">
        <f>(AP129/(AP$5-AO$5))*AP$15</f>
        <v>4087.66682001055</v>
      </c>
      <c r="AQ128" s="12">
        <f>AP128</f>
        <v>4087.66682001055</v>
      </c>
      <c r="AR128" s="12">
        <f>(AR129/(AR$5-AQ$5))*AR$15</f>
        <v>4238.56089005644</v>
      </c>
      <c r="AS128" s="12">
        <f>(AS129/(AS$5-AR$5))*AS$15</f>
        <v>4390.66596919203</v>
      </c>
      <c r="AT128" s="12">
        <f>(AT129/(AT$5-AS$5))*AT$15</f>
        <v>4545.25873585511</v>
      </c>
      <c r="AU128" s="12">
        <f>(AU129/(AU$5-AT$5))*AU$15</f>
        <v>4620.27839234954</v>
      </c>
      <c r="AV128" s="12">
        <f>AU128</f>
        <v>4620.27839234954</v>
      </c>
      <c r="AW128" s="12">
        <f>(AW129/(AW$5-AV$5))*AW$15</f>
        <v>4822.63674207359</v>
      </c>
      <c r="AX128" s="12">
        <f>(AX129/(AX$5-AW$5))*AX$15</f>
        <v>4940.80415473543</v>
      </c>
      <c r="AY128" s="12">
        <f>(AY129/(AY$5-AX$5))*AY$15</f>
        <v>5114.76696338005</v>
      </c>
      <c r="AZ128" s="12">
        <f>(AZ129/(AZ$5-AY$5))*AZ$15</f>
        <v>5199.18637335004</v>
      </c>
      <c r="BA128" s="12">
        <f>AZ128</f>
        <v>5199.18637335004</v>
      </c>
      <c r="BB128" s="12">
        <f>(BB129/(BB$5-BA$5))*BB$15</f>
        <v>5402.78647552326</v>
      </c>
      <c r="BC128" s="12">
        <f>(BC129/(BC$5-BB$5))*BC$15</f>
        <v>5535.16909796032</v>
      </c>
      <c r="BD128" s="12">
        <f>(BD129/(BD$5-BC$5))*BD$15</f>
        <v>5730.05914671507</v>
      </c>
      <c r="BE128" s="12">
        <f>(BE129/(BE$5-BD$5))*BE$15</f>
        <v>5824.6339759736</v>
      </c>
      <c r="BF128" s="12">
        <f>BE128</f>
        <v>5824.6339759736</v>
      </c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inlineStr">
        <is>
          <t>DSO</t>
        </is>
      </c>
      <c r="D129" s="12" t="n"/>
      <c r="E129" s="12" t="n"/>
      <c r="F129" s="12" t="n"/>
      <c r="G129" s="12" t="n"/>
      <c r="H129" s="12" t="n"/>
      <c r="I129" s="12">
        <f>IFERROR((I128/I$15)*(I$5-H$5),"")</f>
        <v>28.135800314191</v>
      </c>
      <c r="J129" s="12">
        <f>IFERROR((J128/J$15)*(J$5-I$5),"")</f>
        <v>27.4929853181077</v>
      </c>
      <c r="K129" s="12">
        <f>IFERROR((K128/K$15)*(K$5-J$5),"")</f>
        <v>27.6042079585303</v>
      </c>
      <c r="L129" s="12">
        <f>IFERROR((L128/L$15)*(L$5-K$5),"")</f>
        <v>28.2555602776597</v>
      </c>
      <c r="M129" s="12" t="n"/>
      <c r="N129" s="12">
        <f>IFERROR((N128/N$15)*(N$5-M$5),"")</f>
        <v>26.7283349561831</v>
      </c>
      <c r="O129" s="12">
        <f>IFERROR((O128/O$15)*(O$5-N$5),"")</f>
        <v>25.2798625429553</v>
      </c>
      <c r="P129" s="12">
        <f>IFERROR((P128/P$15)*(P$5-O$5),"")</f>
        <v>23.8654167201747</v>
      </c>
      <c r="Q129" s="12">
        <f>IFERROR((Q128/Q$15)*(Q$5-P$5),"")</f>
        <v>24.4954637096774</v>
      </c>
      <c r="R129" s="12" t="n"/>
      <c r="S129" s="12">
        <f>IFERROR((S128/S$15)*(S$5-R$5),"")</f>
        <v>23.9173450219161</v>
      </c>
      <c r="T129" s="12">
        <f>IFERROR((T128/T$15)*(T$5-S$5),"")</f>
        <v>25.5646928474702</v>
      </c>
      <c r="U129" s="12">
        <f>IFERROR((U128/U$15)*(U$5-T$5),"")</f>
        <v>24.4827506098269</v>
      </c>
      <c r="V129" s="12">
        <f>IFERROR((V128/V$15)*(V$5-U$5),"")</f>
        <v>26.7028028723651</v>
      </c>
      <c r="W129" s="12" t="n"/>
      <c r="X129" s="12">
        <f>IFERROR((X128/X$15)*(X$5-W$5),"")</f>
        <v>23.5614814814815</v>
      </c>
      <c r="Y129" s="12">
        <f>IFERROR((Y128/Y$15)*(Y$5-X$5),"")</f>
        <v>25.7765168539326</v>
      </c>
      <c r="Z129" s="12">
        <f>IFERROR((Z128/Z$15)*(Z$5-Y$5),"")</f>
        <v>24.4995320786108</v>
      </c>
      <c r="AA129" s="12">
        <f>IFERROR((AA128/AA$15)*(AA$5-Z$5),"")</f>
        <v>25.055730809674</v>
      </c>
      <c r="AB129" s="12" t="n"/>
      <c r="AC129" s="12">
        <f>IFERROR((AC128/AC$15)*(AC$5-AB$5),"")</f>
        <v>25.5065666041276</v>
      </c>
      <c r="AD129" s="12">
        <f>IFERROR((AD128/AD$15)*(AD$5-AC$5),"")</f>
        <v>26.1226897365317</v>
      </c>
      <c r="AE129" s="12">
        <f>IFERROR((AE128/AE$15)*(AE$5-AD$5),"")</f>
        <v>26.8176053711302</v>
      </c>
      <c r="AF129" s="11">
        <f>IFERROR((AF128/AF$15)*(AF$5-AE$5),"")</f>
        <v>27.2683240069718</v>
      </c>
      <c r="AG129" s="12" t="n"/>
      <c r="AH129" s="11">
        <f>IFERROR((AH128/AH$15)*(AH$5-AG$5),"")</f>
        <v>27.2885129118433</v>
      </c>
      <c r="AI129" s="11">
        <f>IFERROR((AI128/AI$15)*(AI$5-AH$5),"")</f>
        <v>27.5902174847417</v>
      </c>
      <c r="AJ129" s="11">
        <f>Control!$B$25</f>
        <v>26.765652685891</v>
      </c>
      <c r="AK129" s="11">
        <f>Control!$B$25</f>
        <v>26.765652685891</v>
      </c>
      <c r="AL129" s="12" t="n"/>
      <c r="AM129" s="11">
        <f>Control!$C$25</f>
        <v>26.765652685891</v>
      </c>
      <c r="AN129" s="11">
        <f>Control!$C$25</f>
        <v>26.765652685891</v>
      </c>
      <c r="AO129" s="11">
        <f>Control!$C$25</f>
        <v>26.765652685891</v>
      </c>
      <c r="AP129" s="11">
        <f>Control!$C$25</f>
        <v>26.765652685891</v>
      </c>
      <c r="AQ129" s="12" t="n"/>
      <c r="AR129" s="11">
        <f>Control!$D$25</f>
        <v>26.765652685891</v>
      </c>
      <c r="AS129" s="11">
        <f>Control!$D$25</f>
        <v>26.765652685891</v>
      </c>
      <c r="AT129" s="11">
        <f>Control!$D$25</f>
        <v>26.765652685891</v>
      </c>
      <c r="AU129" s="11">
        <f>Control!$D$25</f>
        <v>26.765652685891</v>
      </c>
      <c r="AV129" s="12" t="n"/>
      <c r="AW129" s="11">
        <f>Control!$E$25</f>
        <v>26.765652685891</v>
      </c>
      <c r="AX129" s="11">
        <f>Control!$E$25</f>
        <v>26.765652685891</v>
      </c>
      <c r="AY129" s="11">
        <f>Control!$E$25</f>
        <v>26.765652685891</v>
      </c>
      <c r="AZ129" s="11">
        <f>Control!$E$25</f>
        <v>26.765652685891</v>
      </c>
      <c r="BA129" s="12" t="n"/>
      <c r="BB129" s="11">
        <f>Control!$F$25</f>
        <v>26.765652685891</v>
      </c>
      <c r="BC129" s="11">
        <f>Control!$F$25</f>
        <v>26.765652685891</v>
      </c>
      <c r="BD129" s="11">
        <f>Control!$F$25</f>
        <v>26.765652685891</v>
      </c>
      <c r="BE129" s="11">
        <f>Control!$F$25</f>
        <v>26.765652685891</v>
      </c>
      <c r="BF129" s="12" t="n"/>
      <c r="BG129" s="11" t="n"/>
      <c r="BH129" s="11" t="n"/>
      <c r="BI129" s="11" t="n"/>
      <c r="BJ129" s="11" t="n"/>
      <c r="BK129" s="12" t="n"/>
      <c r="BL129" s="11" t="n"/>
      <c r="BM129" s="11" t="n"/>
      <c r="BN129" s="11" t="n"/>
      <c r="BO129" s="11" t="n"/>
      <c r="BP129" s="12" t="n"/>
      <c r="BQ129" s="11" t="n"/>
      <c r="BR129" s="11" t="n"/>
      <c r="BS129" s="11" t="n"/>
      <c r="BT129" s="11" t="n"/>
      <c r="BU129" s="12" t="n"/>
      <c r="BV129" s="11" t="n"/>
      <c r="BW129" s="11" t="n"/>
      <c r="BX129" s="11" t="n"/>
      <c r="BY129" s="11" t="n"/>
      <c r="BZ129" s="12" t="n"/>
      <c r="CA129" s="11" t="n"/>
      <c r="CB129" s="11" t="n"/>
      <c r="CC129" s="11" t="n"/>
      <c r="CD129" s="11" t="n"/>
      <c r="CE129" s="12" t="n"/>
      <c r="CF129" s="11" t="n"/>
      <c r="CG129" s="11" t="n"/>
      <c r="CH129" s="11" t="n"/>
      <c r="CI129" s="11" t="n"/>
      <c r="CJ129" s="12" t="n"/>
      <c r="CK129" s="11" t="n"/>
      <c r="CL129" s="11" t="n"/>
      <c r="CM129" s="11" t="n"/>
      <c r="CN129" s="11" t="n"/>
      <c r="CO129" s="12" t="n"/>
      <c r="CP129" s="11" t="n"/>
      <c r="CQ129" s="11" t="n"/>
      <c r="CR129" s="11" t="n"/>
      <c r="CS129" s="11" t="n"/>
      <c r="CT129" s="12" t="n"/>
      <c r="CU129" s="11" t="n"/>
      <c r="CV129" s="11" t="n"/>
      <c r="CW129" s="11" t="n"/>
      <c r="CX129" s="11" t="n"/>
      <c r="CY129" s="12" t="n"/>
    </row>
    <row r="130" hidden="1" outlineLevel="1">
      <c r="C130" s="57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7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collapsed="1">
      <c r="C132" s="14" t="inlineStr">
        <is>
          <t>Inventories</t>
        </is>
      </c>
      <c r="D132" s="46" t="n"/>
      <c r="E132" s="46" t="n"/>
      <c r="F132" s="46" t="n"/>
      <c r="G132" s="46" t="n"/>
      <c r="H132" s="12" t="n"/>
      <c r="I132" s="46">
        <f>'Inputs (2)'!D17</f>
        <v>0</v>
      </c>
      <c r="J132" s="46">
        <f>'Inputs (2)'!E17</f>
        <v>0</v>
      </c>
      <c r="K132" s="46">
        <f>'Inputs (2)'!F17</f>
        <v>0</v>
      </c>
      <c r="L132" s="46">
        <f>'Inputs (2)'!G17</f>
        <v>0</v>
      </c>
      <c r="M132" s="12">
        <f>'Inputs (2)'!H17</f>
        <v>0</v>
      </c>
      <c r="N132" s="46">
        <f>'Inputs (2)'!I17</f>
        <v>0</v>
      </c>
      <c r="O132" s="46">
        <f>'Inputs (2)'!J17</f>
        <v>0</v>
      </c>
      <c r="P132" s="46">
        <f>'Inputs (2)'!K17</f>
        <v>0</v>
      </c>
      <c r="Q132" s="46">
        <f>'Inputs (2)'!L17</f>
        <v>0</v>
      </c>
      <c r="R132" s="12">
        <f>'Inputs (2)'!M17</f>
        <v>0</v>
      </c>
      <c r="S132" s="46">
        <f>'Inputs (2)'!N17</f>
        <v>0</v>
      </c>
      <c r="T132" s="46">
        <f>'Inputs (2)'!O17</f>
        <v>0</v>
      </c>
      <c r="U132" s="46">
        <f>'Inputs (2)'!P17</f>
        <v>0</v>
      </c>
      <c r="V132" s="46">
        <f>'Inputs (2)'!Q17</f>
        <v>0</v>
      </c>
      <c r="W132" s="12">
        <f>'Inputs (2)'!R17</f>
        <v>0</v>
      </c>
      <c r="X132" s="46">
        <f>'Inputs (2)'!S17</f>
        <v>0</v>
      </c>
      <c r="Y132" s="46">
        <f>'Inputs (2)'!T17</f>
        <v>0</v>
      </c>
      <c r="Z132" s="46">
        <f>'Inputs (2)'!U17</f>
        <v>0</v>
      </c>
      <c r="AA132" s="46">
        <f>'Inputs (2)'!V17</f>
        <v>0</v>
      </c>
      <c r="AB132" s="12">
        <f>'Inputs (2)'!W17</f>
        <v>0</v>
      </c>
      <c r="AC132" s="46">
        <f>'Inputs (2)'!X17</f>
        <v>0</v>
      </c>
      <c r="AD132" s="46">
        <f>'Inputs (2)'!Y17</f>
        <v>0</v>
      </c>
      <c r="AE132" s="46">
        <f>'Inputs (2)'!Z17</f>
        <v>0</v>
      </c>
      <c r="AF132" s="46">
        <f>'Inputs (2)'!AA17</f>
        <v>0</v>
      </c>
      <c r="AG132" s="12">
        <f>'Inputs (2)'!AB17</f>
        <v>0</v>
      </c>
      <c r="AH132" s="12">
        <f>'Inputs (2)'!AC17</f>
        <v>0</v>
      </c>
      <c r="AI132" s="12">
        <f>'Inputs (2)'!AD17</f>
        <v>0</v>
      </c>
      <c r="AJ132" s="12">
        <f>(AJ133/(AJ$5-AI$5))*-AJ$37</f>
        <v>0</v>
      </c>
      <c r="AK132" s="12">
        <f>(AK133/(AK$5-AJ$5))*-AK$37</f>
        <v>0</v>
      </c>
      <c r="AL132" s="12">
        <f>AK132</f>
        <v>0</v>
      </c>
      <c r="AM132" s="12">
        <f>(AM133/(AM$5-AL$5))*-AM$37</f>
        <v>0</v>
      </c>
      <c r="AN132" s="12">
        <f>(AN133/(AN$5-AM$5))*-AN$37</f>
        <v>0</v>
      </c>
      <c r="AO132" s="12">
        <f>(AO133/(AO$5-AN$5))*-AO$37</f>
        <v>0</v>
      </c>
      <c r="AP132" s="12">
        <f>(AP133/(AP$5-AO$5))*-AP$37</f>
        <v>0</v>
      </c>
      <c r="AQ132" s="12">
        <f>AP132</f>
        <v>0</v>
      </c>
      <c r="AR132" s="12">
        <f>(AR133/(AR$5-AQ$5))*-AR$37</f>
        <v>0</v>
      </c>
      <c r="AS132" s="12">
        <f>(AS133/(AS$5-AR$5))*-AS$37</f>
        <v>0</v>
      </c>
      <c r="AT132" s="12">
        <f>(AT133/(AT$5-AS$5))*-AT$37</f>
        <v>0</v>
      </c>
      <c r="AU132" s="12">
        <f>(AU133/(AU$5-AT$5))*-AU$37</f>
        <v>0</v>
      </c>
      <c r="AV132" s="12">
        <f>AU132</f>
        <v>0</v>
      </c>
      <c r="AW132" s="12">
        <f>(AW133/(AW$5-AV$5))*-AW$37</f>
        <v>0</v>
      </c>
      <c r="AX132" s="12">
        <f>(AX133/(AX$5-AW$5))*-AX$37</f>
        <v>0</v>
      </c>
      <c r="AY132" s="12">
        <f>(AY133/(AY$5-AX$5))*-AY$37</f>
        <v>0</v>
      </c>
      <c r="AZ132" s="12">
        <f>(AZ133/(AZ$5-AY$5))*-AZ$37</f>
        <v>0</v>
      </c>
      <c r="BA132" s="12">
        <f>AZ132</f>
        <v>0</v>
      </c>
      <c r="BB132" s="12">
        <f>(BB133/(BB$5-BA$5))*-BB$37</f>
        <v>0</v>
      </c>
      <c r="BC132" s="12">
        <f>(BC133/(BC$5-BB$5))*-BC$37</f>
        <v>0</v>
      </c>
      <c r="BD132" s="12">
        <f>(BD133/(BD$5-BC$5))*-BD$37</f>
        <v>0</v>
      </c>
      <c r="BE132" s="12">
        <f>(BE133/(BE$5-BD$5))*-BE$37</f>
        <v>0</v>
      </c>
      <c r="BF132" s="12">
        <f>BE132</f>
        <v>0</v>
      </c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57" t="inlineStr">
        <is>
          <t>DIO</t>
        </is>
      </c>
      <c r="D133" s="12" t="n"/>
      <c r="E133" s="12" t="n"/>
      <c r="F133" s="12" t="n"/>
      <c r="G133" s="12" t="n"/>
      <c r="H133" s="12" t="n"/>
      <c r="I133" s="12" t="str">
        <f>IFERROR(((I132/I$37)*(I$5-H$5))*-1,"")</f>
        <v/>
      </c>
      <c r="J133" s="12" t="str">
        <f>IFERROR(((J132/J$37)*(J$5-I$5))*-1,"")</f>
        <v/>
      </c>
      <c r="K133" s="12" t="str">
        <f>IFERROR(((K132/K$37)*(K$5-J$5))*-1,"")</f>
        <v/>
      </c>
      <c r="L133" s="12" t="str">
        <f>IFERROR(((L132/L$37)*(L$5-K$5))*-1,"")</f>
        <v/>
      </c>
      <c r="M133" s="12" t="n"/>
      <c r="N133" s="12" t="str">
        <f>IFERROR(((N132/N$37)*(N$5-M$5))*-1,"")</f>
        <v/>
      </c>
      <c r="O133" s="12" t="str">
        <f>IFERROR(((O132/O$37)*(O$5-N$5))*-1,"")</f>
        <v/>
      </c>
      <c r="P133" s="12" t="str">
        <f>IFERROR(((P132/P$37)*(P$5-O$5))*-1,"")</f>
        <v/>
      </c>
      <c r="Q133" s="12" t="str">
        <f>IFERROR(((Q132/Q$37)*(Q$5-P$5))*-1,"")</f>
        <v/>
      </c>
      <c r="R133" s="12" t="n"/>
      <c r="S133" s="12" t="str">
        <f>IFERROR(((S132/S$37)*(S$5-R$5))*-1,"")</f>
        <v/>
      </c>
      <c r="T133" s="12" t="str">
        <f>IFERROR(((T132/T$37)*(T$5-S$5))*-1,"")</f>
        <v/>
      </c>
      <c r="U133" s="12" t="str">
        <f>IFERROR(((U132/U$37)*(U$5-T$5))*-1,"")</f>
        <v/>
      </c>
      <c r="V133" s="12" t="str">
        <f>IFERROR(((V132/V$37)*(V$5-U$5))*-1,"")</f>
        <v/>
      </c>
      <c r="W133" s="12" t="n"/>
      <c r="X133" s="12" t="str">
        <f>IFERROR(((X132/X$37)*(X$5-W$5))*-1,"")</f>
        <v/>
      </c>
      <c r="Y133" s="12" t="str">
        <f>IFERROR(((Y132/Y$37)*(Y$5-X$5))*-1,"")</f>
        <v/>
      </c>
      <c r="Z133" s="12" t="str">
        <f>IFERROR(((Z132/Z$37)*(Z$5-Y$5))*-1,"")</f>
        <v/>
      </c>
      <c r="AA133" s="12" t="str">
        <f>IFERROR(((AA132/AA$37)*(AA$5-Z$5))*-1,"")</f>
        <v/>
      </c>
      <c r="AB133" s="12" t="n"/>
      <c r="AC133" s="12" t="str">
        <f>IFERROR(((AC132/AC$37)*(AC$5-AB$5))*-1,"")</f>
        <v/>
      </c>
      <c r="AD133" s="12" t="str">
        <f>IFERROR(((AD132/AD$37)*(AD$5-AC$5))*-1,"")</f>
        <v/>
      </c>
      <c r="AE133" s="12" t="str">
        <f>IFERROR(((AE132/AE$37)*(AE$5-AD$5))*-1,"")</f>
        <v/>
      </c>
      <c r="AF133" s="11" t="str">
        <f>IFERROR(((AF132/AF$37)*(AF$5-AE$5))*-1,"")</f>
        <v/>
      </c>
      <c r="AG133" s="12" t="n"/>
      <c r="AH133" s="11" t="str">
        <f>IFERROR(((AH132/AH$37)*(AH$5-AG$5))*-1,"")</f>
        <v/>
      </c>
      <c r="AI133" s="11" t="str">
        <f>IFERROR(((AI132/AI$37)*(AI$5-AH$5))*-1,"")</f>
        <v/>
      </c>
      <c r="AJ133" s="11">
        <f>Control!$B$26</f>
        <v>0</v>
      </c>
      <c r="AK133" s="11">
        <f>Control!$B$26</f>
        <v>0</v>
      </c>
      <c r="AL133" s="12" t="n"/>
      <c r="AM133" s="11">
        <f>Control!$C$26</f>
        <v>0</v>
      </c>
      <c r="AN133" s="11">
        <f>Control!$C$26</f>
        <v>0</v>
      </c>
      <c r="AO133" s="11">
        <f>Control!$C$26</f>
        <v>0</v>
      </c>
      <c r="AP133" s="11">
        <f>Control!$C$26</f>
        <v>0</v>
      </c>
      <c r="AQ133" s="12" t="n"/>
      <c r="AR133" s="11">
        <f>Control!$D$26</f>
        <v>0</v>
      </c>
      <c r="AS133" s="11">
        <f>Control!$D$26</f>
        <v>0</v>
      </c>
      <c r="AT133" s="11">
        <f>Control!$D$26</f>
        <v>0</v>
      </c>
      <c r="AU133" s="11">
        <f>Control!$D$26</f>
        <v>0</v>
      </c>
      <c r="AV133" s="12" t="n"/>
      <c r="AW133" s="11">
        <f>Control!$E$26</f>
        <v>0</v>
      </c>
      <c r="AX133" s="11">
        <f>Control!$E$26</f>
        <v>0</v>
      </c>
      <c r="AY133" s="11">
        <f>Control!$E$26</f>
        <v>0</v>
      </c>
      <c r="AZ133" s="11">
        <f>Control!$E$26</f>
        <v>0</v>
      </c>
      <c r="BA133" s="12" t="n"/>
      <c r="BB133" s="11">
        <f>Control!$F$26</f>
        <v>0</v>
      </c>
      <c r="BC133" s="11">
        <f>Control!$F$26</f>
        <v>0</v>
      </c>
      <c r="BD133" s="11">
        <f>Control!$F$26</f>
        <v>0</v>
      </c>
      <c r="BE133" s="11">
        <f>Control!$F$26</f>
        <v>0</v>
      </c>
      <c r="BF133" s="12" t="n"/>
      <c r="BG133" s="11" t="n"/>
      <c r="BH133" s="11" t="n"/>
      <c r="BI133" s="11" t="n"/>
      <c r="BJ133" s="11" t="n"/>
      <c r="BK133" s="12" t="n"/>
      <c r="BL133" s="11" t="n"/>
      <c r="BM133" s="11" t="n"/>
      <c r="BN133" s="11" t="n"/>
      <c r="BO133" s="11" t="n"/>
      <c r="BP133" s="12" t="n"/>
      <c r="BQ133" s="11" t="n"/>
      <c r="BR133" s="11" t="n"/>
      <c r="BS133" s="11" t="n"/>
      <c r="BT133" s="11" t="n"/>
      <c r="BU133" s="12" t="n"/>
      <c r="BV133" s="11" t="n"/>
      <c r="BW133" s="11" t="n"/>
      <c r="BX133" s="11" t="n"/>
      <c r="BY133" s="11" t="n"/>
      <c r="BZ133" s="12" t="n"/>
      <c r="CA133" s="11" t="n"/>
      <c r="CB133" s="11" t="n"/>
      <c r="CC133" s="11" t="n"/>
      <c r="CD133" s="11" t="n"/>
      <c r="CE133" s="12" t="n"/>
      <c r="CF133" s="11" t="n"/>
      <c r="CG133" s="11" t="n"/>
      <c r="CH133" s="11" t="n"/>
      <c r="CI133" s="11" t="n"/>
      <c r="CJ133" s="12" t="n"/>
      <c r="CK133" s="11" t="n"/>
      <c r="CL133" s="11" t="n"/>
      <c r="CM133" s="11" t="n"/>
      <c r="CN133" s="11" t="n"/>
      <c r="CO133" s="12" t="n"/>
      <c r="CP133" s="11" t="n"/>
      <c r="CQ133" s="11" t="n"/>
      <c r="CR133" s="11" t="n"/>
      <c r="CS133" s="11" t="n"/>
      <c r="CT133" s="12" t="n"/>
      <c r="CU133" s="11" t="n"/>
      <c r="CV133" s="11" t="n"/>
      <c r="CW133" s="11" t="n"/>
      <c r="CX133" s="11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collapsed="1">
      <c r="C136" s="14" t="inlineStr">
        <is>
          <t>Deferred income taxes</t>
        </is>
      </c>
      <c r="D136" s="46" t="n"/>
      <c r="E136" s="46" t="n"/>
      <c r="F136" s="46" t="n"/>
      <c r="G136" s="46" t="n"/>
      <c r="H136" s="12" t="n"/>
      <c r="I136" s="46">
        <f>'Inputs (2)'!D18</f>
        <v>0</v>
      </c>
      <c r="J136" s="46">
        <f>'Inputs (2)'!E18</f>
        <v>0</v>
      </c>
      <c r="K136" s="46">
        <f>'Inputs (2)'!F18</f>
        <v>0</v>
      </c>
      <c r="L136" s="46">
        <f>'Inputs (2)'!G18</f>
        <v>0</v>
      </c>
      <c r="M136" s="12">
        <f>'Inputs (2)'!H18</f>
        <v>0</v>
      </c>
      <c r="N136" s="46">
        <f>'Inputs (2)'!I18</f>
        <v>0</v>
      </c>
      <c r="O136" s="46">
        <f>'Inputs (2)'!J18</f>
        <v>0</v>
      </c>
      <c r="P136" s="46">
        <f>'Inputs (2)'!K18</f>
        <v>0</v>
      </c>
      <c r="Q136" s="46">
        <f>'Inputs (2)'!L18</f>
        <v>0</v>
      </c>
      <c r="R136" s="12">
        <f>'Inputs (2)'!M18</f>
        <v>0</v>
      </c>
      <c r="S136" s="46">
        <f>'Inputs (2)'!N18</f>
        <v>0</v>
      </c>
      <c r="T136" s="46">
        <f>'Inputs (2)'!O18</f>
        <v>0</v>
      </c>
      <c r="U136" s="46">
        <f>'Inputs (2)'!P18</f>
        <v>0</v>
      </c>
      <c r="V136" s="46">
        <f>'Inputs (2)'!Q18</f>
        <v>0</v>
      </c>
      <c r="W136" s="12">
        <f>'Inputs (2)'!R18</f>
        <v>0</v>
      </c>
      <c r="X136" s="46">
        <f>'Inputs (2)'!S18</f>
        <v>0</v>
      </c>
      <c r="Y136" s="46">
        <f>'Inputs (2)'!T18</f>
        <v>0</v>
      </c>
      <c r="Z136" s="46">
        <f>'Inputs (2)'!U18</f>
        <v>0</v>
      </c>
      <c r="AA136" s="46">
        <f>'Inputs (2)'!V18</f>
        <v>0</v>
      </c>
      <c r="AB136" s="12">
        <f>'Inputs (2)'!W18</f>
        <v>0</v>
      </c>
      <c r="AC136" s="46">
        <f>'Inputs (2)'!X18</f>
        <v>0</v>
      </c>
      <c r="AD136" s="46">
        <f>'Inputs (2)'!Y18</f>
        <v>0</v>
      </c>
      <c r="AE136" s="46">
        <f>'Inputs (2)'!Z18</f>
        <v>0</v>
      </c>
      <c r="AF136" s="46">
        <f>'Inputs (2)'!AA18</f>
        <v>0</v>
      </c>
      <c r="AG136" s="12">
        <f>'Inputs (2)'!AB18</f>
        <v>0</v>
      </c>
      <c r="AH136" s="12">
        <f>'Inputs (2)'!AC18</f>
        <v>0</v>
      </c>
      <c r="AI136" s="12">
        <f>'Inputs (2)'!AD18</f>
        <v>0</v>
      </c>
      <c r="AJ136" s="12">
        <f>AI136</f>
        <v>0</v>
      </c>
      <c r="AK136" s="12">
        <f>AJ136</f>
        <v>0</v>
      </c>
      <c r="AL136" s="12">
        <f>AK136</f>
        <v>0</v>
      </c>
      <c r="AM136" s="12">
        <f>AL136</f>
        <v>0</v>
      </c>
      <c r="AN136" s="12">
        <f>AM136</f>
        <v>0</v>
      </c>
      <c r="AO136" s="12">
        <f>AN136</f>
        <v>0</v>
      </c>
      <c r="AP136" s="12">
        <f>AO136</f>
        <v>0</v>
      </c>
      <c r="AQ136" s="12">
        <f>AP136</f>
        <v>0</v>
      </c>
      <c r="AR136" s="12">
        <f>AQ136</f>
        <v>0</v>
      </c>
      <c r="AS136" s="12">
        <f>AR136</f>
        <v>0</v>
      </c>
      <c r="AT136" s="12">
        <f>AS136</f>
        <v>0</v>
      </c>
      <c r="AU136" s="12">
        <f>AT136</f>
        <v>0</v>
      </c>
      <c r="AV136" s="12">
        <f>AU136</f>
        <v>0</v>
      </c>
      <c r="AW136" s="12">
        <f>AV136</f>
        <v>0</v>
      </c>
      <c r="AX136" s="12">
        <f>AW136</f>
        <v>0</v>
      </c>
      <c r="AY136" s="12">
        <f>AX136</f>
        <v>0</v>
      </c>
      <c r="AZ136" s="12">
        <f>AY136</f>
        <v>0</v>
      </c>
      <c r="BA136" s="12">
        <f>AZ136</f>
        <v>0</v>
      </c>
      <c r="BB136" s="12">
        <f>BA136</f>
        <v>0</v>
      </c>
      <c r="BC136" s="12">
        <f>BB136</f>
        <v>0</v>
      </c>
      <c r="BD136" s="12">
        <f>BC136</f>
        <v>0</v>
      </c>
      <c r="BE136" s="12">
        <f>BD136</f>
        <v>0</v>
      </c>
      <c r="BF136" s="12">
        <f>BE136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>
      <c r="C137" s="14" t="inlineStr">
        <is>
          <t>Prepaid expenses</t>
        </is>
      </c>
      <c r="D137" s="46" t="n"/>
      <c r="E137" s="46" t="n"/>
      <c r="F137" s="46" t="n"/>
      <c r="G137" s="46" t="n"/>
      <c r="H137" s="12" t="n"/>
      <c r="I137" s="46">
        <f>'Inputs (2)'!D19</f>
        <v>0</v>
      </c>
      <c r="J137" s="46">
        <f>'Inputs (2)'!E19</f>
        <v>0</v>
      </c>
      <c r="K137" s="46">
        <f>'Inputs (2)'!F19</f>
        <v>0</v>
      </c>
      <c r="L137" s="46">
        <f>'Inputs (2)'!G19</f>
        <v>0</v>
      </c>
      <c r="M137" s="12">
        <f>'Inputs (2)'!H19</f>
        <v>0</v>
      </c>
      <c r="N137" s="46">
        <f>'Inputs (2)'!I19</f>
        <v>0</v>
      </c>
      <c r="O137" s="46">
        <f>'Inputs (2)'!J19</f>
        <v>0</v>
      </c>
      <c r="P137" s="46">
        <f>'Inputs (2)'!K19</f>
        <v>0</v>
      </c>
      <c r="Q137" s="46">
        <f>'Inputs (2)'!L19</f>
        <v>0</v>
      </c>
      <c r="R137" s="12">
        <f>'Inputs (2)'!M19</f>
        <v>0</v>
      </c>
      <c r="S137" s="46">
        <f>'Inputs (2)'!N19</f>
        <v>0</v>
      </c>
      <c r="T137" s="46">
        <f>'Inputs (2)'!O19</f>
        <v>0</v>
      </c>
      <c r="U137" s="46">
        <f>'Inputs (2)'!P19</f>
        <v>0</v>
      </c>
      <c r="V137" s="46">
        <f>'Inputs (2)'!Q19</f>
        <v>0</v>
      </c>
      <c r="W137" s="12">
        <f>'Inputs (2)'!R19</f>
        <v>0</v>
      </c>
      <c r="X137" s="46">
        <f>'Inputs (2)'!S19</f>
        <v>0</v>
      </c>
      <c r="Y137" s="46">
        <f>'Inputs (2)'!T19</f>
        <v>0</v>
      </c>
      <c r="Z137" s="46">
        <f>'Inputs (2)'!U19</f>
        <v>0</v>
      </c>
      <c r="AA137" s="46">
        <f>'Inputs (2)'!V19</f>
        <v>0</v>
      </c>
      <c r="AB137" s="12">
        <f>'Inputs (2)'!W19</f>
        <v>0</v>
      </c>
      <c r="AC137" s="46">
        <f>'Inputs (2)'!X19</f>
        <v>0</v>
      </c>
      <c r="AD137" s="46">
        <f>'Inputs (2)'!Y19</f>
        <v>0</v>
      </c>
      <c r="AE137" s="46">
        <f>'Inputs (2)'!Z19</f>
        <v>0</v>
      </c>
      <c r="AF137" s="46">
        <f>'Inputs (2)'!AA19</f>
        <v>0</v>
      </c>
      <c r="AG137" s="12">
        <f>'Inputs (2)'!AB19</f>
        <v>0</v>
      </c>
      <c r="AH137" s="12">
        <f>'Inputs (2)'!AC19</f>
        <v>0</v>
      </c>
      <c r="AI137" s="12">
        <f>'Inputs (2)'!AD19</f>
        <v>0</v>
      </c>
      <c r="AJ137" s="12">
        <f>AI137</f>
        <v>0</v>
      </c>
      <c r="AK137" s="12">
        <f>AJ137</f>
        <v>0</v>
      </c>
      <c r="AL137" s="12">
        <f>AK137</f>
        <v>0</v>
      </c>
      <c r="AM137" s="12">
        <f>AL137</f>
        <v>0</v>
      </c>
      <c r="AN137" s="12">
        <f>AM137</f>
        <v>0</v>
      </c>
      <c r="AO137" s="12">
        <f>AN137</f>
        <v>0</v>
      </c>
      <c r="AP137" s="12">
        <f>AO137</f>
        <v>0</v>
      </c>
      <c r="AQ137" s="12">
        <f>AP137</f>
        <v>0</v>
      </c>
      <c r="AR137" s="12">
        <f>AQ137</f>
        <v>0</v>
      </c>
      <c r="AS137" s="12">
        <f>AR137</f>
        <v>0</v>
      </c>
      <c r="AT137" s="12">
        <f>AS137</f>
        <v>0</v>
      </c>
      <c r="AU137" s="12">
        <f>AT137</f>
        <v>0</v>
      </c>
      <c r="AV137" s="12">
        <f>AU137</f>
        <v>0</v>
      </c>
      <c r="AW137" s="12">
        <f>AV137</f>
        <v>0</v>
      </c>
      <c r="AX137" s="12">
        <f>AW137</f>
        <v>0</v>
      </c>
      <c r="AY137" s="12">
        <f>AX137</f>
        <v>0</v>
      </c>
      <c r="AZ137" s="12">
        <f>AY137</f>
        <v>0</v>
      </c>
      <c r="BA137" s="12">
        <f>AZ137</f>
        <v>0</v>
      </c>
      <c r="BB137" s="12">
        <f>BA137</f>
        <v>0</v>
      </c>
      <c r="BC137" s="12">
        <f>BB137</f>
        <v>0</v>
      </c>
      <c r="BD137" s="12">
        <f>BC137</f>
        <v>0</v>
      </c>
      <c r="BE137" s="12">
        <f>BD137</f>
        <v>0</v>
      </c>
      <c r="BF137" s="12">
        <f>BE137</f>
        <v>0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>
      <c r="C138" s="14" t="inlineStr">
        <is>
          <t>Other current assets</t>
        </is>
      </c>
      <c r="D138" s="46" t="n"/>
      <c r="E138" s="46" t="n"/>
      <c r="F138" s="46" t="n"/>
      <c r="G138" s="46" t="n"/>
      <c r="H138" s="12" t="n"/>
      <c r="I138" s="46">
        <f>'Inputs (2)'!D20</f>
        <v>8616</v>
      </c>
      <c r="J138" s="46">
        <f>'Inputs (2)'!E20</f>
        <v>8156</v>
      </c>
      <c r="K138" s="46">
        <f>'Inputs (2)'!F20</f>
        <v>9152</v>
      </c>
      <c r="L138" s="46">
        <f>'Inputs (2)'!G20</f>
        <v>9018</v>
      </c>
      <c r="M138" s="12">
        <f>'Inputs (2)'!H20</f>
        <v>9018</v>
      </c>
      <c r="N138" s="46">
        <f>'Inputs (2)'!I20</f>
        <v>9657</v>
      </c>
      <c r="O138" s="46">
        <f>'Inputs (2)'!J20</f>
        <v>12903</v>
      </c>
      <c r="P138" s="46">
        <f>'Inputs (2)'!K20</f>
        <v>12496</v>
      </c>
      <c r="Q138" s="46">
        <f>'Inputs (2)'!L20</f>
        <v>12412</v>
      </c>
      <c r="R138" s="12">
        <f>'Inputs (2)'!M20</f>
        <v>12412</v>
      </c>
      <c r="S138" s="46">
        <f>'Inputs (2)'!N20</f>
        <v>12693</v>
      </c>
      <c r="T138" s="46">
        <f>'Inputs (2)'!O20</f>
        <v>13798</v>
      </c>
      <c r="U138" s="46">
        <f>'Inputs (2)'!P20</f>
        <v>14955</v>
      </c>
      <c r="V138" s="46">
        <f>'Inputs (2)'!Q20</f>
        <v>16635</v>
      </c>
      <c r="W138" s="12">
        <f>'Inputs (2)'!R20</f>
        <v>16635</v>
      </c>
      <c r="X138" s="46">
        <f>'Inputs (2)'!S20</f>
        <v>17510</v>
      </c>
      <c r="Y138" s="46">
        <f>'Inputs (2)'!T20</f>
        <v>15571</v>
      </c>
      <c r="Z138" s="46">
        <f>'Inputs (2)'!U20</f>
        <v>19497</v>
      </c>
      <c r="AA138" s="46">
        <f>'Inputs (2)'!V20</f>
        <v>17665</v>
      </c>
      <c r="AB138" s="12">
        <f>'Inputs (2)'!W20</f>
        <v>17665</v>
      </c>
      <c r="AC138" s="46">
        <f>'Inputs (2)'!X20</f>
        <v>18481</v>
      </c>
      <c r="AD138" s="46">
        <f>'Inputs (2)'!Y20</f>
        <v>18386</v>
      </c>
      <c r="AE138" s="46">
        <f>'Inputs (2)'!Z20</f>
        <v>17476</v>
      </c>
      <c r="AF138" s="46">
        <f>'Inputs (2)'!AA20</f>
        <v>17010</v>
      </c>
      <c r="AG138" s="12">
        <f>'Inputs (2)'!AB20</f>
        <v>17010</v>
      </c>
      <c r="AH138" s="12">
        <f>'Inputs (2)'!AC20</f>
        <v>15816</v>
      </c>
      <c r="AI138" s="12">
        <f>'Inputs (2)'!AD20</f>
        <v>15116</v>
      </c>
      <c r="AJ138" s="12">
        <f>AI138</f>
        <v>15116</v>
      </c>
      <c r="AK138" s="12">
        <f>AJ138</f>
        <v>15116</v>
      </c>
      <c r="AL138" s="12">
        <f>AK138</f>
        <v>15116</v>
      </c>
      <c r="AM138" s="12">
        <f>AL138</f>
        <v>15116</v>
      </c>
      <c r="AN138" s="12">
        <f>AM138</f>
        <v>15116</v>
      </c>
      <c r="AO138" s="12">
        <f>AN138</f>
        <v>15116</v>
      </c>
      <c r="AP138" s="12">
        <f>AO138</f>
        <v>15116</v>
      </c>
      <c r="AQ138" s="12">
        <f>AP138</f>
        <v>15116</v>
      </c>
      <c r="AR138" s="12">
        <f>AQ138</f>
        <v>15116</v>
      </c>
      <c r="AS138" s="12">
        <f>AR138</f>
        <v>15116</v>
      </c>
      <c r="AT138" s="12">
        <f>AS138</f>
        <v>15116</v>
      </c>
      <c r="AU138" s="12">
        <f>AT138</f>
        <v>15116</v>
      </c>
      <c r="AV138" s="12">
        <f>AU138</f>
        <v>15116</v>
      </c>
      <c r="AW138" s="12">
        <f>AV138</f>
        <v>15116</v>
      </c>
      <c r="AX138" s="12">
        <f>AW138</f>
        <v>15116</v>
      </c>
      <c r="AY138" s="12">
        <f>AX138</f>
        <v>15116</v>
      </c>
      <c r="AZ138" s="12">
        <f>AY138</f>
        <v>15116</v>
      </c>
      <c r="BA138" s="12">
        <f>AZ138</f>
        <v>15116</v>
      </c>
      <c r="BB138" s="12">
        <f>BA138</f>
        <v>15116</v>
      </c>
      <c r="BC138" s="12">
        <f>BB138</f>
        <v>15116</v>
      </c>
      <c r="BD138" s="12">
        <f>BC138</f>
        <v>15116</v>
      </c>
      <c r="BE138" s="12">
        <f>BD138</f>
        <v>15116</v>
      </c>
      <c r="BF138" s="12">
        <f>BE138</f>
        <v>15116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9" t="inlineStr">
        <is>
          <t>%(Var.)</t>
        </is>
      </c>
      <c r="D139" s="12" t="n"/>
      <c r="E139" s="40" t="n"/>
      <c r="F139" s="40" t="n"/>
      <c r="G139" s="40" t="n"/>
      <c r="H139" s="12" t="n"/>
      <c r="I139" s="40" t="str">
        <f>""</f>
        <v/>
      </c>
      <c r="J139" s="40">
        <f>IFERROR(IF(I138=0,"",J138/I138-1),"")</f>
        <v>-0.0533890436397401</v>
      </c>
      <c r="K139" s="40">
        <f>IFERROR(IF(J138=0,"",K138/J138-1),"")</f>
        <v>0.122118685630211</v>
      </c>
      <c r="L139" s="40">
        <f>IFERROR(IF(K138=0,"",L138/K138-1),"")</f>
        <v>-0.0146416083916084</v>
      </c>
      <c r="M139" s="12">
        <f>IFERROR(IF(L138=0,"",M138/L138-1),"")</f>
        <v>0</v>
      </c>
      <c r="N139" s="40">
        <f>IFERROR(IF(M138=0,"",N138/M138-1),"")</f>
        <v>0.0708582834331337</v>
      </c>
      <c r="O139" s="40">
        <f>IFERROR(IF(N138=0,"",O138/N138-1),"")</f>
        <v>0.336129232680957</v>
      </c>
      <c r="P139" s="40">
        <f>IFERROR(IF(O138=0,"",P138/O138-1),"")</f>
        <v>-0.03154305200341</v>
      </c>
      <c r="Q139" s="40">
        <f>IFERROR(IF(P138=0,"",Q138/P138-1),"")</f>
        <v>-0.00672215108834828</v>
      </c>
      <c r="R139" s="12">
        <f>IFERROR(IF(Q138=0,"",R138/Q138-1),"")</f>
        <v>0</v>
      </c>
      <c r="S139" s="40">
        <f>IFERROR(IF(R138=0,"",S138/R138-1),"")</f>
        <v>0.0226393812439574</v>
      </c>
      <c r="T139" s="40">
        <f>IFERROR(IF(S138=0,"",T138/S138-1),"")</f>
        <v>0.0870558575592846</v>
      </c>
      <c r="U139" s="40">
        <f>IFERROR(IF(T138=0,"",U138/T138-1),"")</f>
        <v>0.0838527322800406</v>
      </c>
      <c r="V139" s="40">
        <f>IFERROR(IF(U138=0,"",V138/U138-1),"")</f>
        <v>0.112337011033099</v>
      </c>
      <c r="W139" s="12">
        <f>IFERROR(IF(V138=0,"",W138/V138-1),"")</f>
        <v>0</v>
      </c>
      <c r="X139" s="40">
        <f>IFERROR(IF(W138=0,"",X138/W138-1),"")</f>
        <v>0.052599939885783</v>
      </c>
      <c r="Y139" s="40">
        <f>IFERROR(IF(X138=0,"",Y138/X138-1),"")</f>
        <v>-0.110736721873215</v>
      </c>
      <c r="Z139" s="40">
        <f>IFERROR(IF(Y138=0,"",Z138/Y138-1),"")</f>
        <v>0.252135379872841</v>
      </c>
      <c r="AA139" s="40">
        <f>IFERROR(IF(Z138=0,"",AA138/Z138-1),"")</f>
        <v>-0.0939631738216136</v>
      </c>
      <c r="AB139" s="12">
        <f>IFERROR(IF(AA138=0,"",AB138/AA138-1),"")</f>
        <v>0</v>
      </c>
      <c r="AC139" s="40">
        <f>IFERROR(IF(AB138=0,"",AC138/AB138-1),"")</f>
        <v>0.0461930370789698</v>
      </c>
      <c r="AD139" s="40">
        <f>IFERROR(IF(AC138=0,"",AD138/AC138-1),"")</f>
        <v>-0.0051404144797359</v>
      </c>
      <c r="AE139" s="40">
        <f>IFERROR(IF(AD138=0,"",AE138/AD138-1),"")</f>
        <v>-0.0494941803546176</v>
      </c>
      <c r="AF139" s="55">
        <f>IFERROR(IF(AE138=0,"",AF138/AE138-1),"")</f>
        <v>-0.026665140764477</v>
      </c>
      <c r="AG139" s="12">
        <f>IFERROR(IF(AF138=0,"",AG138/AF138-1),"")</f>
        <v>0</v>
      </c>
      <c r="AH139" s="12">
        <f>IFERROR(IF(AG138=0,"",AH138/AG138-1),"")</f>
        <v>-0.0701940035273369</v>
      </c>
      <c r="AI139" s="12">
        <f>IFERROR(IF(AH138=0,"",AI138/AH138-1),"")</f>
        <v>-0.0442589782498736</v>
      </c>
      <c r="AJ139" s="12">
        <f>IFERROR(IF(AI138=0,"",AJ138/AI138-1),"")</f>
        <v>0</v>
      </c>
      <c r="AK139" s="12">
        <f>IFERROR(IF(AJ138=0,"",AK138/AJ138-1),"")</f>
        <v>0</v>
      </c>
      <c r="AL139" s="12">
        <f>IFERROR(IF(AK138=0,"",AL138/AK138-1),"")</f>
        <v>0</v>
      </c>
      <c r="AM139" s="12">
        <f>IFERROR(IF(AL138=0,"",AM138/AL138-1),"")</f>
        <v>0</v>
      </c>
      <c r="AN139" s="12">
        <f>IFERROR(IF(AM138=0,"",AN138/AM138-1),"")</f>
        <v>0</v>
      </c>
      <c r="AO139" s="12">
        <f>IFERROR(IF(AN138=0,"",AO138/AN138-1),"")</f>
        <v>0</v>
      </c>
      <c r="AP139" s="12">
        <f>IFERROR(IF(AO138=0,"",AP138/AO138-1),"")</f>
        <v>0</v>
      </c>
      <c r="AQ139" s="12">
        <f>IFERROR(IF(AP138=0,"",AQ138/AP138-1),"")</f>
        <v>0</v>
      </c>
      <c r="AR139" s="12">
        <f>IFERROR(IF(AQ138=0,"",AR138/AQ138-1),"")</f>
        <v>0</v>
      </c>
      <c r="AS139" s="12">
        <f>IFERROR(IF(AR138=0,"",AS138/AR138-1),"")</f>
        <v>0</v>
      </c>
      <c r="AT139" s="12">
        <f>IFERROR(IF(AS138=0,"",AT138/AS138-1),"")</f>
        <v>0</v>
      </c>
      <c r="AU139" s="12">
        <f>IFERROR(IF(AT138=0,"",AU138/AT138-1),"")</f>
        <v>0</v>
      </c>
      <c r="AV139" s="12">
        <f>IFERROR(IF(AU138=0,"",AV138/AU138-1),"")</f>
        <v>0</v>
      </c>
      <c r="AW139" s="12">
        <f>IFERROR(IF(AV138=0,"",AW138/AV138-1),"")</f>
        <v>0</v>
      </c>
      <c r="AX139" s="12">
        <f>IFERROR(IF(AW138=0,"",AX138/AW138-1),"")</f>
        <v>0</v>
      </c>
      <c r="AY139" s="12">
        <f>IFERROR(IF(AX138=0,"",AY138/AX138-1),"")</f>
        <v>0</v>
      </c>
      <c r="AZ139" s="12">
        <f>IFERROR(IF(AY138=0,"",AZ138/AY138-1),"")</f>
        <v>0</v>
      </c>
      <c r="BA139" s="12">
        <f>IFERROR(IF(AZ138=0,"",BA138/AZ138-1),"")</f>
        <v>0</v>
      </c>
      <c r="BB139" s="12">
        <f>IFERROR(IF(BA138=0,"",BB138/BA138-1),"")</f>
        <v>0</v>
      </c>
      <c r="BC139" s="12">
        <f>IFERROR(IF(BB138=0,"",BC138/BB138-1),"")</f>
        <v>0</v>
      </c>
      <c r="BD139" s="12">
        <f>IFERROR(IF(BC138=0,"",BD138/BC138-1),"")</f>
        <v>0</v>
      </c>
      <c r="BE139" s="12">
        <f>IFERROR(IF(BD138=0,"",BE138/BD138-1),"")</f>
        <v>0</v>
      </c>
      <c r="BF139" s="12">
        <f>IFERROR(IF(BE138=0,"",BF138/BE138-1),"")</f>
        <v>0</v>
      </c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40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hidden="1" outlineLevel="1">
      <c r="C141" s="60" t="inlineStr">
        <is>
          <t xml:space="preserve">Impostos e Contribuições a Recuperar </t>
        </is>
      </c>
      <c r="D141" s="11" t="n"/>
      <c r="E141" s="11" t="n"/>
      <c r="F141" s="11" t="n"/>
      <c r="G141" s="11" t="n"/>
      <c r="H141" s="12" t="n"/>
      <c r="I141" s="11" t="n"/>
      <c r="J141" s="11" t="n"/>
      <c r="K141" s="11" t="n"/>
      <c r="L141" s="11" t="n"/>
      <c r="M141" s="12" t="n"/>
      <c r="N141" s="11" t="n"/>
      <c r="O141" s="11" t="n"/>
      <c r="P141" s="11" t="n"/>
      <c r="Q141" s="11" t="n"/>
      <c r="R141" s="12" t="n"/>
      <c r="S141" s="11" t="n"/>
      <c r="T141" s="11" t="n"/>
      <c r="U141" s="11" t="n"/>
      <c r="V141" s="11" t="n"/>
      <c r="W141" s="12" t="n"/>
      <c r="X141" s="11" t="n"/>
      <c r="Y141" s="11" t="n"/>
      <c r="Z141" s="11" t="n"/>
      <c r="AA141" s="11" t="n"/>
      <c r="AB141" s="12" t="n"/>
      <c r="AC141" s="11" t="n"/>
      <c r="AD141" s="11" t="n"/>
      <c r="AE141" s="11" t="n"/>
      <c r="AF141" s="11" t="n"/>
      <c r="AG141" s="12">
        <f>AF141</f>
        <v>0</v>
      </c>
      <c r="AH141" s="61">
        <f>IFERROR(AG141*AH15/AG15,"")</f>
        <v>0</v>
      </c>
      <c r="AI141" s="61">
        <f>IFERROR(AH141*AI15/AH15,"")</f>
        <v>0</v>
      </c>
      <c r="AJ141" s="61">
        <f>IFERROR(AI141*AJ15/AI15,"")</f>
        <v>0</v>
      </c>
      <c r="AK141" s="61">
        <f>IFERROR(AJ141*AK15/AJ15,"")</f>
        <v>0</v>
      </c>
      <c r="AL141" s="12">
        <f>IFERROR(AK141,"")</f>
        <v>0</v>
      </c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60" t="inlineStr">
        <is>
          <t>Outros Créditos</t>
        </is>
      </c>
      <c r="D142" s="11" t="n"/>
      <c r="E142" s="11" t="n"/>
      <c r="F142" s="11" t="n"/>
      <c r="G142" s="11" t="n"/>
      <c r="H142" s="12" t="n"/>
      <c r="I142" s="11" t="n"/>
      <c r="J142" s="11" t="n"/>
      <c r="K142" s="11" t="n"/>
      <c r="L142" s="11" t="n"/>
      <c r="M142" s="12" t="n"/>
      <c r="N142" s="11" t="n"/>
      <c r="O142" s="11" t="n"/>
      <c r="P142" s="11" t="n"/>
      <c r="Q142" s="11" t="n"/>
      <c r="R142" s="12" t="n"/>
      <c r="S142" s="11" t="n"/>
      <c r="T142" s="11" t="n"/>
      <c r="U142" s="11" t="n"/>
      <c r="V142" s="11" t="n"/>
      <c r="W142" s="12" t="n"/>
      <c r="X142" s="11" t="n"/>
      <c r="Y142" s="11" t="n"/>
      <c r="Z142" s="11" t="n"/>
      <c r="AA142" s="11" t="n"/>
      <c r="AB142" s="12" t="n"/>
      <c r="AC142" s="11" t="n"/>
      <c r="AD142" s="11" t="n"/>
      <c r="AE142" s="11" t="n"/>
      <c r="AF142" s="11" t="n"/>
      <c r="AG142" s="12">
        <f>AF142</f>
        <v>0</v>
      </c>
      <c r="AH142" s="12">
        <f>AG142</f>
        <v>0</v>
      </c>
      <c r="AI142" s="12">
        <f>AH142</f>
        <v>0</v>
      </c>
      <c r="AJ142" s="12">
        <f>AI142</f>
        <v>0</v>
      </c>
      <c r="AK142" s="12">
        <f>AJ142</f>
        <v>0</v>
      </c>
      <c r="AL142" s="12">
        <f>AK142</f>
        <v>0</v>
      </c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 hidden="1" outlineLevel="1">
      <c r="C143" s="57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collapsed="1">
      <c r="C144" s="14" t="inlineStr">
        <is>
          <t>Equity in affiliates</t>
        </is>
      </c>
      <c r="D144" s="46" t="n"/>
      <c r="E144" s="46" t="n"/>
      <c r="F144" s="46" t="n"/>
      <c r="G144" s="46" t="n"/>
      <c r="H144" s="12" t="n"/>
      <c r="I144" s="46">
        <f>'Inputs (2)'!D21</f>
        <v>0</v>
      </c>
      <c r="J144" s="46">
        <f>'Inputs (2)'!E21</f>
        <v>0</v>
      </c>
      <c r="K144" s="46">
        <f>'Inputs (2)'!F21</f>
        <v>0</v>
      </c>
      <c r="L144" s="46">
        <f>'Inputs (2)'!G21</f>
        <v>0</v>
      </c>
      <c r="M144" s="12">
        <f>'Inputs (2)'!H21</f>
        <v>0</v>
      </c>
      <c r="N144" s="46">
        <f>'Inputs (2)'!I21</f>
        <v>0</v>
      </c>
      <c r="O144" s="46">
        <f>'Inputs (2)'!J21</f>
        <v>0</v>
      </c>
      <c r="P144" s="46">
        <f>'Inputs (2)'!K21</f>
        <v>0</v>
      </c>
      <c r="Q144" s="46">
        <f>'Inputs (2)'!L21</f>
        <v>0</v>
      </c>
      <c r="R144" s="12">
        <f>'Inputs (2)'!M21</f>
        <v>0</v>
      </c>
      <c r="S144" s="46">
        <f>'Inputs (2)'!N21</f>
        <v>0</v>
      </c>
      <c r="T144" s="46">
        <f>'Inputs (2)'!O21</f>
        <v>0</v>
      </c>
      <c r="U144" s="46">
        <f>'Inputs (2)'!P21</f>
        <v>0</v>
      </c>
      <c r="V144" s="46">
        <f>'Inputs (2)'!Q21</f>
        <v>0</v>
      </c>
      <c r="W144" s="12">
        <f>'Inputs (2)'!R21</f>
        <v>0</v>
      </c>
      <c r="X144" s="46">
        <f>'Inputs (2)'!S21</f>
        <v>0</v>
      </c>
      <c r="Y144" s="46">
        <f>'Inputs (2)'!T21</f>
        <v>0</v>
      </c>
      <c r="Z144" s="46">
        <f>'Inputs (2)'!U21</f>
        <v>0</v>
      </c>
      <c r="AA144" s="46">
        <f>'Inputs (2)'!V21</f>
        <v>0</v>
      </c>
      <c r="AB144" s="12">
        <f>'Inputs (2)'!W21</f>
        <v>0</v>
      </c>
      <c r="AC144" s="46">
        <f>'Inputs (2)'!X21</f>
        <v>0</v>
      </c>
      <c r="AD144" s="46">
        <f>'Inputs (2)'!Y21</f>
        <v>0</v>
      </c>
      <c r="AE144" s="46">
        <f>'Inputs (2)'!Z21</f>
        <v>0</v>
      </c>
      <c r="AF144" s="46">
        <f>'Inputs (2)'!AA21</f>
        <v>0</v>
      </c>
      <c r="AG144" s="12">
        <f>'Inputs (2)'!AB21</f>
        <v>0</v>
      </c>
      <c r="AH144" s="12">
        <f>'Inputs (2)'!AC21</f>
        <v>0</v>
      </c>
      <c r="AI144" s="12">
        <f>'Inputs (2)'!AD21</f>
        <v>0</v>
      </c>
      <c r="AJ144" s="12">
        <f>AI144+AJ118</f>
        <v>0</v>
      </c>
      <c r="AK144" s="12">
        <f>AJ144+AK118</f>
        <v>0</v>
      </c>
      <c r="AL144" s="12">
        <f>AK144</f>
        <v>0</v>
      </c>
      <c r="AM144" s="12">
        <f>AL144+AM118</f>
        <v>0</v>
      </c>
      <c r="AN144" s="12">
        <f>AM144+AN118</f>
        <v>0</v>
      </c>
      <c r="AO144" s="12">
        <f>AN144+AO118</f>
        <v>0</v>
      </c>
      <c r="AP144" s="12">
        <f>AO144+AP118</f>
        <v>0</v>
      </c>
      <c r="AQ144" s="12">
        <f>AP144</f>
        <v>0</v>
      </c>
      <c r="AR144" s="12">
        <f>AQ144+AR118</f>
        <v>0</v>
      </c>
      <c r="AS144" s="12">
        <f>AR144+AS118</f>
        <v>0</v>
      </c>
      <c r="AT144" s="12">
        <f>AS144+AT118</f>
        <v>0</v>
      </c>
      <c r="AU144" s="12">
        <f>AT144+AU118</f>
        <v>0</v>
      </c>
      <c r="AV144" s="12">
        <f>AU144</f>
        <v>0</v>
      </c>
      <c r="AW144" s="12">
        <f>AV144+AW118</f>
        <v>0</v>
      </c>
      <c r="AX144" s="12">
        <f>AW144+AX118</f>
        <v>0</v>
      </c>
      <c r="AY144" s="12">
        <f>AX144+AY118</f>
        <v>0</v>
      </c>
      <c r="AZ144" s="12">
        <f>AY144+AZ118</f>
        <v>0</v>
      </c>
      <c r="BA144" s="12">
        <f>AZ144</f>
        <v>0</v>
      </c>
      <c r="BB144" s="12">
        <f>BA144+BB118</f>
        <v>0</v>
      </c>
      <c r="BC144" s="12">
        <f>BB144+BC118</f>
        <v>0</v>
      </c>
      <c r="BD144" s="12">
        <f>BC144+BD118</f>
        <v>0</v>
      </c>
      <c r="BE144" s="12">
        <f>BD144+BE118</f>
        <v>0</v>
      </c>
      <c r="BF144" s="12">
        <f>BE144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Equity in Income - % YoY</t>
        </is>
      </c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>
        <f>IF(I118=0,0,N118/I118-1)</f>
        <v>0</v>
      </c>
      <c r="O146" s="12">
        <f>IF(J118=0,0,O118/J118-1)</f>
        <v>0</v>
      </c>
      <c r="P146" s="12">
        <f>IF(K118=0,0,P118/K118-1)</f>
        <v>0</v>
      </c>
      <c r="Q146" s="12">
        <f>IF(L118=0,0,Q118/L118-1)</f>
        <v>0</v>
      </c>
      <c r="R146" s="12" t="n"/>
      <c r="S146" s="12">
        <f>IF(N118=0,0,S118/N118-1)</f>
        <v>0</v>
      </c>
      <c r="T146" s="12">
        <f>IF(O118=0,0,T118/O118-1)</f>
        <v>0</v>
      </c>
      <c r="U146" s="12">
        <f>IF(P118=0,0,U118/P118-1)</f>
        <v>0</v>
      </c>
      <c r="V146" s="12">
        <f>IF(Q118=0,0,V118/Q118-1)</f>
        <v>0</v>
      </c>
      <c r="W146" s="12" t="n"/>
      <c r="X146" s="12">
        <f>IF(S118=0,0,X118/S118-1)</f>
        <v>0</v>
      </c>
      <c r="Y146" s="12">
        <f>IF(T118=0,0,Y118/T118-1)</f>
        <v>0</v>
      </c>
      <c r="Z146" s="12">
        <f>IF(U118=0,0,Z118/U118-1)</f>
        <v>0</v>
      </c>
      <c r="AA146" s="12">
        <f>IF(V118=0,0,AA118/V118-1)</f>
        <v>0</v>
      </c>
      <c r="AB146" s="12" t="n"/>
      <c r="AC146" s="12">
        <f>IF(X118=0,0,AC118/X118-1)</f>
        <v>0</v>
      </c>
      <c r="AD146" s="12">
        <f>IF(Y118=0,0,AD118/Y118-1)</f>
        <v>0</v>
      </c>
      <c r="AE146" s="12">
        <f>IF(Z118=0,0,AE118/Z118-1)</f>
        <v>0</v>
      </c>
      <c r="AF146" s="12">
        <f>IF(AA118=0,0,AF118/AA118-1)</f>
        <v>0</v>
      </c>
      <c r="AG146" s="12" t="n"/>
      <c r="AH146" s="11">
        <f>IF(AC118=0,0,AH118/AC118-1)</f>
        <v>0</v>
      </c>
      <c r="AI146" s="11">
        <f>IF(AD118=0,0,AI118/AD118-1)</f>
        <v>0</v>
      </c>
      <c r="AJ146" s="11" t="n"/>
      <c r="AK146" s="11" t="n"/>
      <c r="AL146" s="12" t="n"/>
      <c r="AM146" s="11" t="n"/>
      <c r="AN146" s="11" t="n"/>
      <c r="AO146" s="11" t="n"/>
      <c r="AP146" s="11" t="n"/>
      <c r="AQ146" s="12" t="n"/>
      <c r="AR146" s="11" t="n"/>
      <c r="AS146" s="11" t="n"/>
      <c r="AT146" s="11" t="n"/>
      <c r="AU146" s="11" t="n"/>
      <c r="AV146" s="12" t="n"/>
      <c r="AW146" s="11" t="n"/>
      <c r="AX146" s="11" t="n"/>
      <c r="AY146" s="11" t="n"/>
      <c r="AZ146" s="11" t="n"/>
      <c r="BA146" s="12" t="n"/>
      <c r="BB146" s="11" t="n"/>
      <c r="BC146" s="11" t="n"/>
      <c r="BD146" s="11" t="n"/>
      <c r="BE146" s="11" t="n"/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inlineStr">
        <is>
          <t>Dividends (enter as -)</t>
        </is>
      </c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1" t="n"/>
      <c r="AI147" s="11" t="n"/>
      <c r="AJ147" s="11" t="n"/>
      <c r="AK147" s="11" t="n"/>
      <c r="AL147" s="12" t="n"/>
      <c r="AM147" s="11" t="n"/>
      <c r="AN147" s="11" t="n"/>
      <c r="AO147" s="11" t="n"/>
      <c r="AP147" s="11" t="n"/>
      <c r="AQ147" s="12" t="n"/>
      <c r="AR147" s="11" t="n"/>
      <c r="AS147" s="11" t="n"/>
      <c r="AT147" s="11" t="n"/>
      <c r="AU147" s="11" t="n"/>
      <c r="AV147" s="12" t="n"/>
      <c r="AW147" s="11" t="n"/>
      <c r="AX147" s="11" t="n"/>
      <c r="AY147" s="11" t="n"/>
      <c r="AZ147" s="11" t="n"/>
      <c r="BA147" s="12" t="n"/>
      <c r="BB147" s="11" t="n"/>
      <c r="BC147" s="11" t="n"/>
      <c r="BD147" s="11" t="n"/>
      <c r="BE147" s="11" t="n"/>
      <c r="BF147" s="12" t="n"/>
      <c r="BG147" s="11" t="n"/>
      <c r="BH147" s="11" t="n"/>
      <c r="BI147" s="11" t="n"/>
      <c r="BJ147" s="11" t="n"/>
      <c r="BK147" s="12" t="n"/>
      <c r="BL147" s="11" t="n"/>
      <c r="BM147" s="11" t="n"/>
      <c r="BN147" s="11" t="n"/>
      <c r="BO147" s="11" t="n"/>
      <c r="BP147" s="12" t="n"/>
      <c r="BQ147" s="11" t="n"/>
      <c r="BR147" s="11" t="n"/>
      <c r="BS147" s="11" t="n"/>
      <c r="BT147" s="11" t="n"/>
      <c r="BU147" s="12" t="n"/>
      <c r="BV147" s="11" t="n"/>
      <c r="BW147" s="11" t="n"/>
      <c r="BX147" s="11" t="n"/>
      <c r="BY147" s="11" t="n"/>
      <c r="BZ147" s="12" t="n"/>
      <c r="CA147" s="11" t="n"/>
      <c r="CB147" s="11" t="n"/>
      <c r="CC147" s="11" t="n"/>
      <c r="CD147" s="11" t="n"/>
      <c r="CE147" s="12" t="n"/>
      <c r="CF147" s="11" t="n"/>
      <c r="CG147" s="11" t="n"/>
      <c r="CH147" s="11" t="n"/>
      <c r="CI147" s="11" t="n"/>
      <c r="CJ147" s="12" t="n"/>
      <c r="CK147" s="11" t="n"/>
      <c r="CL147" s="11" t="n"/>
      <c r="CM147" s="11" t="n"/>
      <c r="CN147" s="11" t="n"/>
      <c r="CO147" s="12" t="n"/>
      <c r="CP147" s="11" t="n"/>
      <c r="CQ147" s="11" t="n"/>
      <c r="CR147" s="11" t="n"/>
      <c r="CS147" s="11" t="n"/>
      <c r="CT147" s="12" t="n"/>
      <c r="CU147" s="11" t="n"/>
      <c r="CV147" s="11" t="n"/>
      <c r="CW147" s="11" t="n"/>
      <c r="CX147" s="11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PP&amp;E</t>
        </is>
      </c>
      <c r="D149" s="46" t="n"/>
      <c r="E149" s="46" t="n"/>
      <c r="F149" s="46" t="n"/>
      <c r="G149" s="46" t="n"/>
      <c r="H149" s="12" t="n"/>
      <c r="I149" s="46">
        <f>'Inputs (2)'!D22</f>
        <v>2684</v>
      </c>
      <c r="J149" s="46">
        <f>'Inputs (2)'!E22</f>
        <v>2707</v>
      </c>
      <c r="K149" s="46">
        <f>'Inputs (2)'!F22</f>
        <v>2715</v>
      </c>
      <c r="L149" s="46">
        <f>'Inputs (2)'!G22</f>
        <v>2908</v>
      </c>
      <c r="M149" s="12">
        <f>'Inputs (2)'!H22</f>
        <v>2908</v>
      </c>
      <c r="N149" s="46">
        <f>'Inputs (2)'!I22</f>
        <v>3120</v>
      </c>
      <c r="O149" s="46">
        <f>'Inputs (2)'!J22</f>
        <v>3146</v>
      </c>
      <c r="P149" s="46">
        <f>'Inputs (2)'!K22</f>
        <v>3223</v>
      </c>
      <c r="Q149" s="46">
        <f>'Inputs (2)'!L22</f>
        <v>3236</v>
      </c>
      <c r="R149" s="12">
        <f>'Inputs (2)'!M22</f>
        <v>3236</v>
      </c>
      <c r="S149" s="46">
        <f>'Inputs (2)'!N22</f>
        <v>3359</v>
      </c>
      <c r="T149" s="46">
        <f>'Inputs (2)'!O22</f>
        <v>3370</v>
      </c>
      <c r="U149" s="46">
        <f>'Inputs (2)'!P22</f>
        <v>3425</v>
      </c>
      <c r="V149" s="46">
        <f>'Inputs (2)'!Q22</f>
        <v>3472</v>
      </c>
      <c r="W149" s="12">
        <f>'Inputs (2)'!R22</f>
        <v>3472</v>
      </c>
      <c r="X149" s="46">
        <f>'Inputs (2)'!S22</f>
        <v>3630</v>
      </c>
      <c r="Y149" s="46">
        <f>'Inputs (2)'!T22</f>
        <v>3766</v>
      </c>
      <c r="Z149" s="46">
        <f>'Inputs (2)'!U22</f>
        <v>3824</v>
      </c>
      <c r="AA149" s="46">
        <f>'Inputs (2)'!V22</f>
        <v>3974</v>
      </c>
      <c r="AB149" s="12">
        <f>'Inputs (2)'!W22</f>
        <v>3974</v>
      </c>
      <c r="AC149" s="46">
        <f>'Inputs (2)'!X22</f>
        <v>4023</v>
      </c>
      <c r="AD149" s="46">
        <f>'Inputs (2)'!Y22</f>
        <v>4143</v>
      </c>
      <c r="AE149" s="46">
        <f>'Inputs (2)'!Z22</f>
        <v>4236</v>
      </c>
      <c r="AF149" s="46">
        <f>'Inputs (2)'!AA22</f>
        <v>4276</v>
      </c>
      <c r="AG149" s="12">
        <f>'Inputs (2)'!AB22</f>
        <v>4276</v>
      </c>
      <c r="AH149" s="12">
        <f>'Inputs (2)'!AC22</f>
        <v>4778</v>
      </c>
      <c r="AI149" s="12">
        <f>'Inputs (2)'!AD22</f>
        <v>4858</v>
      </c>
      <c r="AJ149" s="12">
        <f>AJ154</f>
        <v>5025.23646982222</v>
      </c>
      <c r="AK149" s="12">
        <f>AK154</f>
        <v>5195.23318350481</v>
      </c>
      <c r="AL149" s="12">
        <f>AK149</f>
        <v>5195.23318350481</v>
      </c>
      <c r="AM149" s="12">
        <f>AM154</f>
        <v>5370.36051995609</v>
      </c>
      <c r="AN149" s="12">
        <f>AN154</f>
        <v>5551.77247943408</v>
      </c>
      <c r="AO149" s="12">
        <f>AO154</f>
        <v>5741.63557663591</v>
      </c>
      <c r="AP149" s="12">
        <f>AP154</f>
        <v>5934.63237098477</v>
      </c>
      <c r="AQ149" s="12">
        <f>AP149</f>
        <v>5934.63237098477</v>
      </c>
      <c r="AR149" s="12">
        <f>AR154</f>
        <v>6132.57831035404</v>
      </c>
      <c r="AS149" s="12">
        <f>AS154</f>
        <v>6337.62774158136</v>
      </c>
      <c r="AT149" s="12">
        <f>AT154</f>
        <v>6552.22947017917</v>
      </c>
      <c r="AU149" s="12">
        <f>AU154</f>
        <v>6770.3732079118</v>
      </c>
      <c r="AV149" s="12">
        <f>AU149</f>
        <v>6770.3732079118</v>
      </c>
      <c r="AW149" s="12">
        <f>AW154</f>
        <v>6993.12122074428</v>
      </c>
      <c r="AX149" s="12">
        <f>AX154</f>
        <v>7223.86277312898</v>
      </c>
      <c r="AY149" s="12">
        <f>AY154</f>
        <v>7465.35349907108</v>
      </c>
      <c r="AZ149" s="12">
        <f>AZ154</f>
        <v>7710.83003800198</v>
      </c>
      <c r="BA149" s="12">
        <f>AZ149</f>
        <v>7710.83003800198</v>
      </c>
      <c r="BB149" s="12">
        <f>BB154</f>
        <v>7960.37401478169</v>
      </c>
      <c r="BC149" s="12">
        <f>BC154</f>
        <v>8218.87313160077</v>
      </c>
      <c r="BD149" s="12">
        <f>BD154</f>
        <v>8489.41451754047</v>
      </c>
      <c r="BE149" s="12">
        <f>BE154</f>
        <v>8764.42119864161</v>
      </c>
      <c r="BF149" s="12">
        <f>BE149</f>
        <v>8764.42119864161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inlineStr">
        <is>
          <t>Capital expenditures</t>
        </is>
      </c>
      <c r="D151" s="12" t="n"/>
      <c r="E151" s="12" t="n"/>
      <c r="F151" s="12" t="n"/>
      <c r="G151" s="12" t="n"/>
      <c r="H151" s="12" t="n"/>
      <c r="I151" s="12" t="n"/>
      <c r="J151" s="12">
        <f>J149-I149-J53</f>
        <v>227</v>
      </c>
      <c r="K151" s="12">
        <f>K149-J149-K53</f>
        <v>210</v>
      </c>
      <c r="L151" s="12">
        <f>L149-K149-L53</f>
        <v>391</v>
      </c>
      <c r="M151" s="12" t="n"/>
      <c r="N151" s="12">
        <f>N149-M149-N53</f>
        <v>419</v>
      </c>
      <c r="O151" s="12">
        <f>O149-N149-O53</f>
        <v>256</v>
      </c>
      <c r="P151" s="12">
        <f>P149-O149-P53</f>
        <v>303</v>
      </c>
      <c r="Q151" s="12">
        <f>Q149-P149-Q53</f>
        <v>240</v>
      </c>
      <c r="R151" s="12" t="n"/>
      <c r="S151" s="12">
        <f>S149-R149-S53</f>
        <v>357</v>
      </c>
      <c r="T151" s="12">
        <f>T149-S149-T53</f>
        <v>246</v>
      </c>
      <c r="U151" s="12">
        <f>U149-T149-U53</f>
        <v>302</v>
      </c>
      <c r="V151" s="12">
        <f>V149-U149-V53</f>
        <v>294</v>
      </c>
      <c r="W151" s="12" t="n"/>
      <c r="X151" s="12">
        <f>X149-W149-X53</f>
        <v>407</v>
      </c>
      <c r="Y151" s="12">
        <f>Y149-X149-Y53</f>
        <v>400</v>
      </c>
      <c r="Z151" s="12">
        <f>Z149-Y149-Z53</f>
        <v>332</v>
      </c>
      <c r="AA151" s="12">
        <f>AA149-Z149-AA53</f>
        <v>432</v>
      </c>
      <c r="AB151" s="12" t="n"/>
      <c r="AC151" s="12">
        <f>AC149-AB149-AC53</f>
        <v>354</v>
      </c>
      <c r="AD151" s="12">
        <f>AD149-AC149-AD53</f>
        <v>437</v>
      </c>
      <c r="AE151" s="12">
        <f>AE149-AD149-AE53</f>
        <v>409</v>
      </c>
      <c r="AF151" s="11">
        <f>AF149-AE149-AF53</f>
        <v>366</v>
      </c>
      <c r="AG151" s="12">
        <f>SUM(AC151:AF151)</f>
        <v>1566</v>
      </c>
      <c r="AH151" s="11">
        <f>AH149-AG149-AH53</f>
        <v>835</v>
      </c>
      <c r="AI151" s="11">
        <f>AI149-AH149-AI53</f>
        <v>447</v>
      </c>
      <c r="AJ151" s="11">
        <f>AJ15*Control!$B$24</f>
        <v>539.642556431412</v>
      </c>
      <c r="AK151" s="11">
        <f>AK15*Control!$B$24</f>
        <v>548.549375947298</v>
      </c>
      <c r="AL151" s="12" t="n"/>
      <c r="AM151" s="11">
        <f>AM15*Control!$C$24</f>
        <v>565.104989623718</v>
      </c>
      <c r="AN151" s="11">
        <f>AN15*Control!$C$24</f>
        <v>585.384358351978</v>
      </c>
      <c r="AO151" s="11">
        <f>AO15*Control!$C$24</f>
        <v>612.654687430911</v>
      </c>
      <c r="AP151" s="11">
        <f>AP15*Control!$C$24</f>
        <v>622.766574756095</v>
      </c>
      <c r="AQ151" s="12" t="n"/>
      <c r="AR151" s="11">
        <f>AR15*Control!$D$24</f>
        <v>638.736591785295</v>
      </c>
      <c r="AS151" s="11">
        <f>AS15*Control!$D$24</f>
        <v>661.658305631197</v>
      </c>
      <c r="AT151" s="11">
        <f>AT15*Control!$D$24</f>
        <v>692.481882440065</v>
      </c>
      <c r="AU151" s="11">
        <f>AU15*Control!$D$24</f>
        <v>703.911320447514</v>
      </c>
      <c r="AV151" s="12" t="n"/>
      <c r="AW151" s="11">
        <f>AW15*Control!$E$24</f>
        <v>718.768503142379</v>
      </c>
      <c r="AX151" s="11">
        <f>AX15*Control!$E$24</f>
        <v>744.562243727096</v>
      </c>
      <c r="AY151" s="11">
        <f>AY15*Control!$E$24</f>
        <v>779.247928639057</v>
      </c>
      <c r="AZ151" s="11">
        <f>AZ15*Control!$E$24</f>
        <v>792.109443313535</v>
      </c>
      <c r="BA151" s="12" t="n"/>
      <c r="BB151" s="11">
        <f>BB15*Control!$F$24</f>
        <v>805.234346997494</v>
      </c>
      <c r="BC151" s="11">
        <f>BC15*Control!$F$24</f>
        <v>834.131002548695</v>
      </c>
      <c r="BD151" s="11">
        <f>BD15*Control!$F$24</f>
        <v>872.989278500042</v>
      </c>
      <c r="BE151" s="11">
        <f>BE15*Control!$F$24</f>
        <v>887.397997475658</v>
      </c>
      <c r="BF151" s="12" t="n"/>
      <c r="BG151" s="11" t="n"/>
      <c r="BH151" s="11" t="n"/>
      <c r="BI151" s="11" t="n"/>
      <c r="BJ151" s="11" t="n"/>
      <c r="BK151" s="12" t="n"/>
      <c r="BL151" s="11" t="n"/>
      <c r="BM151" s="11" t="n"/>
      <c r="BN151" s="11" t="n"/>
      <c r="BO151" s="11" t="n"/>
      <c r="BP151" s="12" t="n"/>
      <c r="BQ151" s="11" t="n"/>
      <c r="BR151" s="11" t="n"/>
      <c r="BS151" s="11" t="n"/>
      <c r="BT151" s="11" t="n"/>
      <c r="BU151" s="12" t="n"/>
      <c r="BV151" s="11" t="n"/>
      <c r="BW151" s="11" t="n"/>
      <c r="BX151" s="11" t="n"/>
      <c r="BY151" s="11" t="n"/>
      <c r="BZ151" s="12" t="n"/>
      <c r="CA151" s="11" t="n"/>
      <c r="CB151" s="11" t="n"/>
      <c r="CC151" s="11" t="n"/>
      <c r="CD151" s="11" t="n"/>
      <c r="CE151" s="12" t="n"/>
      <c r="CF151" s="11" t="n"/>
      <c r="CG151" s="11" t="n"/>
      <c r="CH151" s="11" t="n"/>
      <c r="CI151" s="11" t="n"/>
      <c r="CJ151" s="12" t="n"/>
      <c r="CK151" s="11" t="n"/>
      <c r="CL151" s="11" t="n"/>
      <c r="CM151" s="11" t="n"/>
      <c r="CN151" s="11" t="n"/>
      <c r="CO151" s="12" t="n"/>
      <c r="CP151" s="11" t="n"/>
      <c r="CQ151" s="11" t="n"/>
      <c r="CR151" s="11" t="n"/>
      <c r="CS151" s="11" t="n"/>
      <c r="CT151" s="12" t="n"/>
      <c r="CU151" s="11" t="n"/>
      <c r="CV151" s="11" t="n"/>
      <c r="CW151" s="11" t="n"/>
      <c r="CX151" s="11" t="n"/>
      <c r="CY151" s="12" t="n"/>
    </row>
    <row r="152" hidden="1" outlineLevel="1">
      <c r="C152" s="57" t="inlineStr">
        <is>
          <t>Recurring asset sales (enter as -)</t>
        </is>
      </c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>
        <f>SUM(I152:L152)</f>
        <v>0</v>
      </c>
      <c r="N152" s="12" t="n"/>
      <c r="O152" s="12" t="n"/>
      <c r="P152" s="12" t="n"/>
      <c r="Q152" s="12" t="n"/>
      <c r="R152" s="12">
        <f>SUM(N152:Q152)</f>
        <v>0</v>
      </c>
      <c r="S152" s="12" t="n"/>
      <c r="T152" s="12" t="n"/>
      <c r="U152" s="12" t="n"/>
      <c r="V152" s="12" t="n"/>
      <c r="W152" s="12">
        <f>SUM(S152:V152)</f>
        <v>0</v>
      </c>
      <c r="X152" s="12" t="n"/>
      <c r="Y152" s="12" t="n"/>
      <c r="Z152" s="12" t="n"/>
      <c r="AA152" s="12" t="n"/>
      <c r="AB152" s="12">
        <f>SUM(X152:AA152)</f>
        <v>0</v>
      </c>
      <c r="AC152" s="12" t="n"/>
      <c r="AD152" s="12" t="n"/>
      <c r="AE152" s="12" t="n"/>
      <c r="AF152" s="11" t="n"/>
      <c r="AG152" s="12">
        <f>SUM(AC152:AF152)</f>
        <v>0</v>
      </c>
      <c r="AH152" s="11" t="n"/>
      <c r="AI152" s="11" t="n"/>
      <c r="AJ152" s="11">
        <f>0</f>
        <v>0</v>
      </c>
      <c r="AK152" s="11">
        <f>0</f>
        <v>0</v>
      </c>
      <c r="AL152" s="12" t="n"/>
      <c r="AM152" s="11">
        <f>0</f>
        <v>0</v>
      </c>
      <c r="AN152" s="11">
        <f>0</f>
        <v>0</v>
      </c>
      <c r="AO152" s="11">
        <f>0</f>
        <v>0</v>
      </c>
      <c r="AP152" s="11">
        <f>0</f>
        <v>0</v>
      </c>
      <c r="AQ152" s="12" t="n"/>
      <c r="AR152" s="11">
        <f>0</f>
        <v>0</v>
      </c>
      <c r="AS152" s="11">
        <f>0</f>
        <v>0</v>
      </c>
      <c r="AT152" s="11">
        <f>0</f>
        <v>0</v>
      </c>
      <c r="AU152" s="11">
        <f>0</f>
        <v>0</v>
      </c>
      <c r="AV152" s="12" t="n"/>
      <c r="AW152" s="11">
        <f>0</f>
        <v>0</v>
      </c>
      <c r="AX152" s="11">
        <f>0</f>
        <v>0</v>
      </c>
      <c r="AY152" s="11">
        <f>0</f>
        <v>0</v>
      </c>
      <c r="AZ152" s="11">
        <f>0</f>
        <v>0</v>
      </c>
      <c r="BA152" s="12" t="n"/>
      <c r="BB152" s="11">
        <f>0</f>
        <v>0</v>
      </c>
      <c r="BC152" s="11">
        <f>0</f>
        <v>0</v>
      </c>
      <c r="BD152" s="11">
        <f>0</f>
        <v>0</v>
      </c>
      <c r="BE152" s="11">
        <f>0</f>
        <v>0</v>
      </c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inlineStr">
        <is>
          <t>Depreciation</t>
        </is>
      </c>
      <c r="D153" s="12" t="n"/>
      <c r="E153" s="12" t="n"/>
      <c r="F153" s="12" t="n"/>
      <c r="G153" s="12" t="n"/>
      <c r="H153" s="12" t="n"/>
      <c r="I153" s="12">
        <f>I53</f>
        <v>-201</v>
      </c>
      <c r="J153" s="12">
        <f>J53</f>
        <v>-204</v>
      </c>
      <c r="K153" s="12">
        <f>K53</f>
        <v>-202</v>
      </c>
      <c r="L153" s="12">
        <f>L53</f>
        <v>-198</v>
      </c>
      <c r="M153" s="12" t="n"/>
      <c r="N153" s="12">
        <f>N53</f>
        <v>-207</v>
      </c>
      <c r="O153" s="12">
        <f>O53</f>
        <v>-230</v>
      </c>
      <c r="P153" s="12">
        <f>P53</f>
        <v>-226</v>
      </c>
      <c r="Q153" s="12">
        <f>Q53</f>
        <v>-227</v>
      </c>
      <c r="R153" s="12" t="n"/>
      <c r="S153" s="12">
        <f>S53</f>
        <v>-234</v>
      </c>
      <c r="T153" s="12">
        <f>T53</f>
        <v>-235</v>
      </c>
      <c r="U153" s="12">
        <f>U53</f>
        <v>-247</v>
      </c>
      <c r="V153" s="12">
        <f>V53</f>
        <v>-247</v>
      </c>
      <c r="W153" s="12" t="n"/>
      <c r="X153" s="12">
        <f>X53</f>
        <v>-249</v>
      </c>
      <c r="Y153" s="12">
        <f>Y53</f>
        <v>-264</v>
      </c>
      <c r="Z153" s="12">
        <f>Z53</f>
        <v>-274</v>
      </c>
      <c r="AA153" s="12">
        <f>AA53</f>
        <v>-282</v>
      </c>
      <c r="AB153" s="12" t="n"/>
      <c r="AC153" s="12">
        <f>AC53</f>
        <v>-305</v>
      </c>
      <c r="AD153" s="12">
        <f>AD53</f>
        <v>-317</v>
      </c>
      <c r="AE153" s="12">
        <f>AE53</f>
        <v>-316</v>
      </c>
      <c r="AF153" s="12">
        <f>AF53</f>
        <v>-326</v>
      </c>
      <c r="AG153" s="12" t="n"/>
      <c r="AH153" s="12">
        <f>AH53</f>
        <v>-333</v>
      </c>
      <c r="AI153" s="12">
        <f>AI53</f>
        <v>-367</v>
      </c>
      <c r="AJ153" s="12">
        <f>AJ53</f>
        <v>-372.406086609189</v>
      </c>
      <c r="AK153" s="12">
        <f>AK53</f>
        <v>-378.552662264712</v>
      </c>
      <c r="AL153" s="12" t="n"/>
      <c r="AM153" s="12">
        <f>AM53</f>
        <v>-389.977653172435</v>
      </c>
      <c r="AN153" s="12">
        <f>AN53</f>
        <v>-403.972398873993</v>
      </c>
      <c r="AO153" s="12">
        <f>AO53</f>
        <v>-422.791590229078</v>
      </c>
      <c r="AP153" s="12">
        <f>AP53</f>
        <v>-429.769780407234</v>
      </c>
      <c r="AQ153" s="12" t="n"/>
      <c r="AR153" s="12">
        <f>AR53</f>
        <v>-440.790652416024</v>
      </c>
      <c r="AS153" s="12">
        <f>AS53</f>
        <v>-456.608874403883</v>
      </c>
      <c r="AT153" s="12">
        <f>AT53</f>
        <v>-477.880153842252</v>
      </c>
      <c r="AU153" s="12">
        <f>AU53</f>
        <v>-485.767582714881</v>
      </c>
      <c r="AV153" s="12" t="n"/>
      <c r="AW153" s="12">
        <f>AW53</f>
        <v>-496.020490309902</v>
      </c>
      <c r="AX153" s="12">
        <f>AX53</f>
        <v>-513.820691342395</v>
      </c>
      <c r="AY153" s="12">
        <f>AY53</f>
        <v>-537.757202696952</v>
      </c>
      <c r="AZ153" s="12">
        <f>AZ53</f>
        <v>-546.632904382643</v>
      </c>
      <c r="BA153" s="12" t="n"/>
      <c r="BB153" s="12">
        <f>BB53</f>
        <v>-555.690370217784</v>
      </c>
      <c r="BC153" s="12">
        <f>BC53</f>
        <v>-575.631885729606</v>
      </c>
      <c r="BD153" s="12">
        <f>BD53</f>
        <v>-602.447892560343</v>
      </c>
      <c r="BE153" s="12">
        <f>BE53</f>
        <v>-612.391316374515</v>
      </c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hidden="1" outlineLevel="1">
      <c r="C154" s="57" t="inlineStr">
        <is>
          <t>PP&amp;E</t>
        </is>
      </c>
      <c r="D154" s="12" t="n"/>
      <c r="E154" s="12" t="n"/>
      <c r="F154" s="12" t="n"/>
      <c r="G154" s="12" t="n"/>
      <c r="H154" s="12" t="n"/>
      <c r="I154" s="12">
        <f>I149</f>
        <v>2684</v>
      </c>
      <c r="J154" s="12">
        <f>J149</f>
        <v>2707</v>
      </c>
      <c r="K154" s="12">
        <f>K149</f>
        <v>2715</v>
      </c>
      <c r="L154" s="12">
        <f>L149</f>
        <v>2908</v>
      </c>
      <c r="M154" s="12" t="n"/>
      <c r="N154" s="12">
        <f>N149</f>
        <v>3120</v>
      </c>
      <c r="O154" s="12">
        <f>O149</f>
        <v>3146</v>
      </c>
      <c r="P154" s="12">
        <f>P149</f>
        <v>3223</v>
      </c>
      <c r="Q154" s="12">
        <f>Q149</f>
        <v>3236</v>
      </c>
      <c r="R154" s="12" t="n"/>
      <c r="S154" s="12">
        <f>S149</f>
        <v>3359</v>
      </c>
      <c r="T154" s="12">
        <f>T149</f>
        <v>3370</v>
      </c>
      <c r="U154" s="12">
        <f>U149</f>
        <v>3425</v>
      </c>
      <c r="V154" s="12">
        <f>V149</f>
        <v>3472</v>
      </c>
      <c r="W154" s="12" t="n"/>
      <c r="X154" s="12">
        <f>X149</f>
        <v>3630</v>
      </c>
      <c r="Y154" s="12">
        <f>Y149</f>
        <v>3766</v>
      </c>
      <c r="Z154" s="12">
        <f>Z149</f>
        <v>3824</v>
      </c>
      <c r="AA154" s="12">
        <f>Y154+SUM(AA151:AA153)</f>
        <v>3916</v>
      </c>
      <c r="AB154" s="12" t="n"/>
      <c r="AC154" s="12">
        <f>AC149</f>
        <v>4023</v>
      </c>
      <c r="AD154" s="12">
        <f>AD149</f>
        <v>4143</v>
      </c>
      <c r="AE154" s="12">
        <f>AE149</f>
        <v>4236</v>
      </c>
      <c r="AF154" s="12">
        <f>AF149</f>
        <v>4276</v>
      </c>
      <c r="AG154" s="12" t="n"/>
      <c r="AH154" s="12">
        <f>AH149</f>
        <v>4778</v>
      </c>
      <c r="AI154" s="12">
        <f>AI149</f>
        <v>4858</v>
      </c>
      <c r="AJ154" s="12">
        <f>AI154+SUM(AJ151:AJ153)</f>
        <v>5025.23646982222</v>
      </c>
      <c r="AK154" s="12">
        <f>AJ154+SUM(AK151:AK153)</f>
        <v>5195.23318350481</v>
      </c>
      <c r="AL154" s="12" t="n"/>
      <c r="AM154" s="12">
        <f>AK154+SUM(AM151:AM153)</f>
        <v>5370.36051995609</v>
      </c>
      <c r="AN154" s="12">
        <f>AM154+SUM(AN151:AN153)</f>
        <v>5551.77247943408</v>
      </c>
      <c r="AO154" s="12">
        <f>AN154+SUM(AO151:AO153)</f>
        <v>5741.63557663591</v>
      </c>
      <c r="AP154" s="12">
        <f>AO154+SUM(AP151:AP153)</f>
        <v>5934.63237098477</v>
      </c>
      <c r="AQ154" s="12" t="n"/>
      <c r="AR154" s="12">
        <f>AP154+SUM(AR151:AR153)</f>
        <v>6132.57831035404</v>
      </c>
      <c r="AS154" s="12">
        <f>AR154+SUM(AS151:AS153)</f>
        <v>6337.62774158136</v>
      </c>
      <c r="AT154" s="12">
        <f>AS154+SUM(AT151:AT153)</f>
        <v>6552.22947017917</v>
      </c>
      <c r="AU154" s="12">
        <f>AT154+SUM(AU151:AU153)</f>
        <v>6770.3732079118</v>
      </c>
      <c r="AV154" s="12" t="n"/>
      <c r="AW154" s="12">
        <f>AU154+SUM(AW151:AW153)</f>
        <v>6993.12122074428</v>
      </c>
      <c r="AX154" s="12">
        <f>AW154+SUM(AX151:AX153)</f>
        <v>7223.86277312898</v>
      </c>
      <c r="AY154" s="12">
        <f>AX154+SUM(AY151:AY153)</f>
        <v>7465.35349907108</v>
      </c>
      <c r="AZ154" s="12">
        <f>AY154+SUM(AZ151:AZ153)</f>
        <v>7710.83003800198</v>
      </c>
      <c r="BA154" s="12" t="n"/>
      <c r="BB154" s="12">
        <f>AZ154+SUM(BB151:BB153)</f>
        <v>7960.37401478169</v>
      </c>
      <c r="BC154" s="12">
        <f>BB154+SUM(BC151:BC153)</f>
        <v>8218.87313160077</v>
      </c>
      <c r="BD154" s="12">
        <f>BC154+SUM(BD151:BD153)</f>
        <v>8489.41451754047</v>
      </c>
      <c r="BE154" s="12">
        <f>BD154+SUM(BE151:BE153)</f>
        <v>8764.42119864161</v>
      </c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>
        <f>IF(AJ15=0,"",AJ151/AJ15)</f>
        <v>0.0443240887726834</v>
      </c>
      <c r="AK155" s="12">
        <f>IF(AK15=0,"",AK151/AK15)</f>
        <v>0.0443240887726834</v>
      </c>
      <c r="AL155" s="12" t="n"/>
      <c r="AM155" s="12">
        <f>IF(AM15=0,"",AM151/AM15)</f>
        <v>0.0443240887726834</v>
      </c>
      <c r="AN155" s="12">
        <f>IF(AN15=0,"",AN151/AN15)</f>
        <v>0.0443240887726834</v>
      </c>
      <c r="AO155" s="12">
        <f>IF(AO15=0,"",AO151/AO15)</f>
        <v>0.0443240887726834</v>
      </c>
      <c r="AP155" s="12">
        <f>IF(AP15=0,"",AP151/AP15)</f>
        <v>0.0443240887726834</v>
      </c>
      <c r="AQ155" s="12" t="n"/>
      <c r="AR155" s="12">
        <f>IF(AR15=0,"",AR151/AR15)</f>
        <v>0.0443240887726834</v>
      </c>
      <c r="AS155" s="12">
        <f>IF(AS15=0,"",AS151/AS15)</f>
        <v>0.0443240887726834</v>
      </c>
      <c r="AT155" s="12">
        <f>IF(AT15=0,"",AT151/AT15)</f>
        <v>0.0443240887726834</v>
      </c>
      <c r="AU155" s="12">
        <f>IF(AU15=0,"",AU151/AU15)</f>
        <v>0.0443240887726834</v>
      </c>
      <c r="AV155" s="12" t="n"/>
      <c r="AW155" s="12">
        <f>IF(AW15=0,"",AW151/AW15)</f>
        <v>0.0443240887726834</v>
      </c>
      <c r="AX155" s="12">
        <f>IF(AX15=0,"",AX151/AX15)</f>
        <v>0.0443240887726834</v>
      </c>
      <c r="AY155" s="12">
        <f>IF(AY15=0,"",AY151/AY15)</f>
        <v>0.0443240887726834</v>
      </c>
      <c r="AZ155" s="12">
        <f>IF(AZ15=0,"",AZ151/AZ15)</f>
        <v>0.0443240887726834</v>
      </c>
      <c r="BA155" s="12" t="n"/>
      <c r="BB155" s="12">
        <f>IF(BB15=0,"",BB151/BB15)</f>
        <v>0.0443240887726834</v>
      </c>
      <c r="BC155" s="12">
        <f>IF(BC15=0,"",BC151/BC15)</f>
        <v>0.0443240887726834</v>
      </c>
      <c r="BD155" s="12">
        <f>IF(BD15=0,"",BD151/BD15)</f>
        <v>0.0443240887726834</v>
      </c>
      <c r="BE155" s="12">
        <f>IF(BE15=0,"",BE151/BE15)</f>
        <v>0.0443240887726834</v>
      </c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Capital expenditures (% Net Revenues)</t>
        </is>
      </c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58">
        <f>IFERROR(AF151/AF15,"")</f>
        <v>0.033574901385194</v>
      </c>
      <c r="AG156" s="58">
        <f>IFERROR(AG151/AG15,"")</f>
        <v>0.0378343118069145</v>
      </c>
      <c r="AH156" s="58">
        <f>IFERROR(AH151/AH15,"")</f>
        <v>0.0743544078361532</v>
      </c>
      <c r="AI156" s="58">
        <f>IFERROR(AI151/AI15,"")</f>
        <v>0.0384251697756383</v>
      </c>
      <c r="AJ156" s="58">
        <f>IFERROR(AJ151/AJ15,"")</f>
        <v>0.0443240887726834</v>
      </c>
      <c r="AK156" s="58">
        <f>IFERROR(AK151/AK15,"")</f>
        <v>0.0443240887726834</v>
      </c>
      <c r="AL156" s="58">
        <f>IFERROR(AL151/AL15,"")</f>
        <v>0</v>
      </c>
      <c r="AM156" s="58">
        <f>IFERROR(AM151/AM15,"")</f>
        <v>0.0443240887726834</v>
      </c>
      <c r="AN156" s="58">
        <f>IFERROR(AN151/AN15,"")</f>
        <v>0.0443240887726834</v>
      </c>
      <c r="AO156" s="58">
        <f>IFERROR(AO151/AO15,"")</f>
        <v>0.0443240887726834</v>
      </c>
      <c r="AP156" s="58">
        <f>IFERROR(AP151/AP15,"")</f>
        <v>0.0443240887726834</v>
      </c>
      <c r="AQ156" s="58">
        <f>IFERROR(AQ151/AQ15,"")</f>
        <v>0</v>
      </c>
      <c r="AR156" s="58">
        <f>IFERROR(AR151/AR15,"")</f>
        <v>0.0443240887726834</v>
      </c>
      <c r="AS156" s="58">
        <f>IFERROR(AS151/AS15,"")</f>
        <v>0.0443240887726834</v>
      </c>
      <c r="AT156" s="58">
        <f>IFERROR(AT151/AT15,"")</f>
        <v>0.0443240887726834</v>
      </c>
      <c r="AU156" s="58">
        <f>IFERROR(AU151/AU15,"")</f>
        <v>0.0443240887726834</v>
      </c>
      <c r="AV156" s="58">
        <f>IFERROR(AV151/AV15,"")</f>
        <v>0</v>
      </c>
      <c r="AW156" s="58">
        <f>IFERROR(AW151/AW15,"")</f>
        <v>0.0443240887726834</v>
      </c>
      <c r="AX156" s="58">
        <f>IFERROR(AX151/AX15,"")</f>
        <v>0.0443240887726834</v>
      </c>
      <c r="AY156" s="58">
        <f>IFERROR(AY151/AY15,"")</f>
        <v>0.0443240887726834</v>
      </c>
      <c r="AZ156" s="58">
        <f>IFERROR(AZ151/AZ15,"")</f>
        <v>0.0443240887726834</v>
      </c>
      <c r="BA156" s="58">
        <f>IFERROR(BA151/BA15,"")</f>
        <v>0</v>
      </c>
      <c r="BB156" s="58">
        <f>IFERROR(BB151/BB15,"")</f>
        <v>0.0443240887726834</v>
      </c>
      <c r="BC156" s="58">
        <f>IFERROR(BC151/BC15,"")</f>
        <v>0.0443240887726834</v>
      </c>
      <c r="BD156" s="58">
        <f>IFERROR(BD151/BD15,"")</f>
        <v>0.0443240887726834</v>
      </c>
      <c r="BE156" s="58">
        <f>IFERROR(BE151/BE15,"")</f>
        <v>0.0443240887726834</v>
      </c>
      <c r="BF156" s="58">
        <f>IFERROR(BF151/BF15,"")</f>
        <v>0</v>
      </c>
      <c r="BG156" s="58" t="n"/>
      <c r="BH156" s="58" t="n"/>
      <c r="BI156" s="58" t="n"/>
      <c r="BJ156" s="58" t="n"/>
      <c r="BK156" s="58" t="n"/>
      <c r="BL156" s="58" t="n"/>
      <c r="BM156" s="58" t="n"/>
      <c r="BN156" s="58" t="n"/>
      <c r="BO156" s="58" t="n"/>
      <c r="BP156" s="58" t="n"/>
      <c r="BQ156" s="58" t="n"/>
      <c r="BR156" s="58" t="n"/>
      <c r="BS156" s="58" t="n"/>
      <c r="BT156" s="58" t="n"/>
      <c r="BU156" s="58" t="n"/>
      <c r="BV156" s="58" t="n"/>
      <c r="BW156" s="58" t="n"/>
      <c r="BX156" s="58" t="n"/>
      <c r="BY156" s="58" t="n"/>
      <c r="BZ156" s="58" t="n"/>
      <c r="CA156" s="58" t="n"/>
      <c r="CB156" s="58" t="n"/>
      <c r="CC156" s="58" t="n"/>
      <c r="CD156" s="58" t="n"/>
      <c r="CE156" s="58" t="n"/>
      <c r="CF156" s="58" t="n"/>
      <c r="CG156" s="58" t="n"/>
      <c r="CH156" s="58" t="n"/>
      <c r="CI156" s="58" t="n"/>
      <c r="CJ156" s="58" t="n"/>
      <c r="CK156" s="58" t="n"/>
      <c r="CL156" s="58" t="n"/>
      <c r="CM156" s="58" t="n"/>
      <c r="CN156" s="58" t="n"/>
      <c r="CO156" s="58" t="n"/>
      <c r="CP156" s="58" t="n"/>
      <c r="CQ156" s="58" t="n"/>
      <c r="CR156" s="58" t="n"/>
      <c r="CS156" s="58" t="n"/>
      <c r="CT156" s="58" t="n"/>
      <c r="CU156" s="58" t="n"/>
      <c r="CV156" s="58" t="n"/>
      <c r="CW156" s="58" t="n"/>
      <c r="CX156" s="58" t="n"/>
      <c r="CY156" s="58" t="n"/>
    </row>
    <row r="157" hidden="1" outlineLevel="1">
      <c r="C157" s="57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57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collapsed="1">
      <c r="C159" s="14" t="inlineStr">
        <is>
          <t>Right-of-use-assets</t>
        </is>
      </c>
      <c r="D159" s="46" t="n"/>
      <c r="E159" s="46" t="n"/>
      <c r="F159" s="46" t="n"/>
      <c r="G159" s="46" t="n"/>
      <c r="H159" s="12" t="n"/>
      <c r="I159" s="46">
        <f>'Inputs (2)'!D23</f>
        <v>0</v>
      </c>
      <c r="J159" s="46">
        <f>'Inputs (2)'!E23</f>
        <v>0</v>
      </c>
      <c r="K159" s="46">
        <f>'Inputs (2)'!F23</f>
        <v>0</v>
      </c>
      <c r="L159" s="46">
        <f>'Inputs (2)'!G23</f>
        <v>0</v>
      </c>
      <c r="M159" s="12">
        <f>'Inputs (2)'!H23</f>
        <v>0</v>
      </c>
      <c r="N159" s="46">
        <f>'Inputs (2)'!I23</f>
        <v>0</v>
      </c>
      <c r="O159" s="46">
        <f>'Inputs (2)'!J23</f>
        <v>0</v>
      </c>
      <c r="P159" s="46">
        <f>'Inputs (2)'!K23</f>
        <v>0</v>
      </c>
      <c r="Q159" s="46">
        <f>'Inputs (2)'!L23</f>
        <v>0</v>
      </c>
      <c r="R159" s="12">
        <f>'Inputs (2)'!M23</f>
        <v>0</v>
      </c>
      <c r="S159" s="46">
        <f>'Inputs (2)'!N23</f>
        <v>0</v>
      </c>
      <c r="T159" s="46">
        <f>'Inputs (2)'!O23</f>
        <v>0</v>
      </c>
      <c r="U159" s="46">
        <f>'Inputs (2)'!P23</f>
        <v>0</v>
      </c>
      <c r="V159" s="46">
        <f>'Inputs (2)'!Q23</f>
        <v>0</v>
      </c>
      <c r="W159" s="12">
        <f>'Inputs (2)'!R23</f>
        <v>0</v>
      </c>
      <c r="X159" s="46">
        <f>'Inputs (2)'!S23</f>
        <v>0</v>
      </c>
      <c r="Y159" s="46">
        <f>'Inputs (2)'!T23</f>
        <v>0</v>
      </c>
      <c r="Z159" s="46">
        <f>'Inputs (2)'!U23</f>
        <v>0</v>
      </c>
      <c r="AA159" s="46">
        <f>'Inputs (2)'!V23</f>
        <v>0</v>
      </c>
      <c r="AB159" s="12">
        <f>'Inputs (2)'!W23</f>
        <v>0</v>
      </c>
      <c r="AC159" s="46">
        <f>'Inputs (2)'!X23</f>
        <v>0</v>
      </c>
      <c r="AD159" s="46">
        <f>'Inputs (2)'!Y23</f>
        <v>0</v>
      </c>
      <c r="AE159" s="46">
        <f>'Inputs (2)'!Z23</f>
        <v>0</v>
      </c>
      <c r="AF159" s="46">
        <f>'Inputs (2)'!AA23</f>
        <v>0</v>
      </c>
      <c r="AG159" s="12">
        <f>'Inputs (2)'!AB23</f>
        <v>0</v>
      </c>
      <c r="AH159" s="12">
        <f>'Inputs (2)'!AC23</f>
        <v>0</v>
      </c>
      <c r="AI159" s="12">
        <f>'Inputs (2)'!AD23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>
        <f>AL159</f>
        <v>0</v>
      </c>
      <c r="AN159" s="12">
        <f>AM159</f>
        <v>0</v>
      </c>
      <c r="AO159" s="12">
        <f>AN159</f>
        <v>0</v>
      </c>
      <c r="AP159" s="12">
        <f>AO159</f>
        <v>0</v>
      </c>
      <c r="AQ159" s="12">
        <f>AP159</f>
        <v>0</v>
      </c>
      <c r="AR159" s="12">
        <f>AQ159</f>
        <v>0</v>
      </c>
      <c r="AS159" s="12">
        <f>AR159</f>
        <v>0</v>
      </c>
      <c r="AT159" s="12">
        <f>AS159</f>
        <v>0</v>
      </c>
      <c r="AU159" s="12">
        <f>AT159</f>
        <v>0</v>
      </c>
      <c r="AV159" s="12">
        <f>AU159</f>
        <v>0</v>
      </c>
      <c r="AW159" s="12">
        <f>AV159</f>
        <v>0</v>
      </c>
      <c r="AX159" s="12">
        <f>AW159</f>
        <v>0</v>
      </c>
      <c r="AY159" s="12">
        <f>AX159</f>
        <v>0</v>
      </c>
      <c r="AZ159" s="12">
        <f>AY159</f>
        <v>0</v>
      </c>
      <c r="BA159" s="12">
        <f>AZ159</f>
        <v>0</v>
      </c>
      <c r="BB159" s="12">
        <f>BA159</f>
        <v>0</v>
      </c>
      <c r="BC159" s="12">
        <f>BB159</f>
        <v>0</v>
      </c>
      <c r="BD159" s="12">
        <f>BC159</f>
        <v>0</v>
      </c>
      <c r="BE159" s="12">
        <f>BD159</f>
        <v>0</v>
      </c>
      <c r="BF159" s="12">
        <f>BE159</f>
        <v>0</v>
      </c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9" t="inlineStr">
        <is>
          <t>%(Var.)</t>
        </is>
      </c>
      <c r="D160" s="12" t="n"/>
      <c r="E160" s="40" t="n"/>
      <c r="F160" s="40" t="n"/>
      <c r="G160" s="40" t="n"/>
      <c r="H160" s="12" t="n"/>
      <c r="I160" s="40" t="str">
        <f>""</f>
        <v/>
      </c>
      <c r="J160" s="40" t="str">
        <f>IFERROR(IF(I159=0,"",J159/I159-1),"")</f>
        <v/>
      </c>
      <c r="K160" s="40" t="str">
        <f>IFERROR(IF(J159=0,"",K159/J159-1),"")</f>
        <v/>
      </c>
      <c r="L160" s="40" t="str">
        <f>IFERROR(IF(K159=0,"",L159/K159-1),"")</f>
        <v/>
      </c>
      <c r="M160" s="12" t="str">
        <f>IFERROR(IF(L159=0,"",M159/L159-1),"")</f>
        <v/>
      </c>
      <c r="N160" s="40" t="str">
        <f>IFERROR(IF(M159=0,"",N159/M159-1),"")</f>
        <v/>
      </c>
      <c r="O160" s="40" t="str">
        <f>IFERROR(IF(N159=0,"",O159/N159-1),"")</f>
        <v/>
      </c>
      <c r="P160" s="40" t="str">
        <f>IFERROR(IF(O159=0,"",P159/O159-1),"")</f>
        <v/>
      </c>
      <c r="Q160" s="40" t="str">
        <f>IFERROR(IF(P159=0,"",Q159/P159-1),"")</f>
        <v/>
      </c>
      <c r="R160" s="12" t="str">
        <f>IFERROR(IF(Q159=0,"",R159/Q159-1),"")</f>
        <v/>
      </c>
      <c r="S160" s="40" t="str">
        <f>IFERROR(IF(R159=0,"",S159/R159-1),"")</f>
        <v/>
      </c>
      <c r="T160" s="40" t="str">
        <f>IFERROR(IF(S159=0,"",T159/S159-1),"")</f>
        <v/>
      </c>
      <c r="U160" s="40" t="str">
        <f>IFERROR(IF(T159=0,"",U159/T159-1),"")</f>
        <v/>
      </c>
      <c r="V160" s="40" t="str">
        <f>IFERROR(IF(U159=0,"",V159/U159-1),"")</f>
        <v/>
      </c>
      <c r="W160" s="12" t="str">
        <f>IFERROR(IF(V159=0,"",W159/V159-1),"")</f>
        <v/>
      </c>
      <c r="X160" s="40" t="str">
        <f>IFERROR(IF(W159=0,"",X159/W159-1),"")</f>
        <v/>
      </c>
      <c r="Y160" s="40" t="str">
        <f>IFERROR(IF(X159=0,"",Y159/X159-1),"")</f>
        <v/>
      </c>
      <c r="Z160" s="40" t="str">
        <f>IFERROR(IF(Y159=0,"",Z159/Y159-1),"")</f>
        <v/>
      </c>
      <c r="AA160" s="40" t="str">
        <f>IFERROR(IF(Z159=0,"",AA159/Z159-1),"")</f>
        <v/>
      </c>
      <c r="AB160" s="12" t="str">
        <f>IFERROR(IF(AA159=0,"",AB159/AA159-1),"")</f>
        <v/>
      </c>
      <c r="AC160" s="40" t="str">
        <f>IFERROR(IF(AB159=0,"",AC159/AB159-1),"")</f>
        <v/>
      </c>
      <c r="AD160" s="40" t="str">
        <f>IFERROR(IF(AC159=0,"",AD159/AC159-1),"")</f>
        <v/>
      </c>
      <c r="AE160" s="40" t="str">
        <f>IFERROR(IF(AD159=0,"",AE159/AD159-1),"")</f>
        <v/>
      </c>
      <c r="AF160" s="55" t="str">
        <f>IFERROR(IF(AE159=0,"",AF159/AE159-1),"")</f>
        <v/>
      </c>
      <c r="AG160" s="12" t="str">
        <f>IFERROR(IF(AF159=0,"",AG159/AF159-1),"")</f>
        <v/>
      </c>
      <c r="AH160" s="55" t="str">
        <f>IFERROR(IF(AG159=0,"",AH159/AG159-1),"")</f>
        <v/>
      </c>
      <c r="AI160" s="55" t="str">
        <f>IFERROR(IF(AH159=0,"",AI159/AH159-1),"")</f>
        <v/>
      </c>
      <c r="AJ160" s="55" t="str">
        <f>IFERROR(IF(AI159=0,"",AJ159/AI159-1),"")</f>
        <v/>
      </c>
      <c r="AK160" s="55" t="str">
        <f>IFERROR(IF(AJ159=0,"",AK159/AJ159-1),"")</f>
        <v/>
      </c>
      <c r="AL160" s="12" t="str">
        <f>IFERROR(IF(AK159=0,"",AL159/AK159-1),"")</f>
        <v/>
      </c>
      <c r="AM160" s="55" t="str">
        <f>IFERROR(IF(AL159=0,"",AM159/AL159-1),"")</f>
        <v/>
      </c>
      <c r="AN160" s="55" t="str">
        <f>IFERROR(IF(AM159=0,"",AN159/AM159-1),"")</f>
        <v/>
      </c>
      <c r="AO160" s="55" t="str">
        <f>IFERROR(IF(AN159=0,"",AO159/AN159-1),"")</f>
        <v/>
      </c>
      <c r="AP160" s="55" t="str">
        <f>IFERROR(IF(AO159=0,"",AP159/AO159-1),"")</f>
        <v/>
      </c>
      <c r="AQ160" s="12" t="str">
        <f>IFERROR(IF(AP159=0,"",AQ159/AP159-1),"")</f>
        <v/>
      </c>
      <c r="AR160" s="55" t="str">
        <f>IFERROR(IF(AQ159=0,"",AR159/AQ159-1),"")</f>
        <v/>
      </c>
      <c r="AS160" s="55" t="str">
        <f>IFERROR(IF(AR159=0,"",AS159/AR159-1),"")</f>
        <v/>
      </c>
      <c r="AT160" s="55" t="str">
        <f>IFERROR(IF(AS159=0,"",AT159/AS159-1),"")</f>
        <v/>
      </c>
      <c r="AU160" s="55" t="str">
        <f>IFERROR(IF(AT159=0,"",AU159/AT159-1),"")</f>
        <v/>
      </c>
      <c r="AV160" s="12" t="str">
        <f>IFERROR(IF(AU159=0,"",AV159/AU159-1),"")</f>
        <v/>
      </c>
      <c r="AW160" s="55" t="str">
        <f>IFERROR(IF(AV159=0,"",AW159/AV159-1),"")</f>
        <v/>
      </c>
      <c r="AX160" s="55" t="str">
        <f>IFERROR(IF(AW159=0,"",AX159/AW159-1),"")</f>
        <v/>
      </c>
      <c r="AY160" s="55" t="str">
        <f>IFERROR(IF(AX159=0,"",AY159/AX159-1),"")</f>
        <v/>
      </c>
      <c r="AZ160" s="55" t="str">
        <f>IFERROR(IF(AY159=0,"",AZ159/AY159-1),"")</f>
        <v/>
      </c>
      <c r="BA160" s="12" t="str">
        <f>IFERROR(IF(AZ159=0,"",BA159/AZ159-1),"")</f>
        <v/>
      </c>
      <c r="BB160" s="55" t="str">
        <f>IFERROR(IF(BA159=0,"",BB159/BA159-1),"")</f>
        <v/>
      </c>
      <c r="BC160" s="55" t="str">
        <f>IFERROR(IF(BB159=0,"",BC159/BB159-1),"")</f>
        <v/>
      </c>
      <c r="BD160" s="55" t="str">
        <f>IFERROR(IF(BC159=0,"",BD159/BC159-1),"")</f>
        <v/>
      </c>
      <c r="BE160" s="55" t="str">
        <f>IFERROR(IF(BD159=0,"",BE159/BD159-1),"")</f>
        <v/>
      </c>
      <c r="BF160" s="12" t="str">
        <f>IFERROR(IF(BE159=0,"",BF159/BE159-1),"")</f>
        <v/>
      </c>
      <c r="BG160" s="55" t="n"/>
      <c r="BH160" s="55" t="n"/>
      <c r="BI160" s="55" t="n"/>
      <c r="BJ160" s="55" t="n"/>
      <c r="BK160" s="12" t="n"/>
      <c r="BL160" s="55" t="n"/>
      <c r="BM160" s="55" t="n"/>
      <c r="BN160" s="55" t="n"/>
      <c r="BO160" s="55" t="n"/>
      <c r="BP160" s="12" t="n"/>
      <c r="BQ160" s="55" t="n"/>
      <c r="BR160" s="55" t="n"/>
      <c r="BS160" s="55" t="n"/>
      <c r="BT160" s="55" t="n"/>
      <c r="BU160" s="12" t="n"/>
      <c r="BV160" s="55" t="n"/>
      <c r="BW160" s="55" t="n"/>
      <c r="BX160" s="55" t="n"/>
      <c r="BY160" s="55" t="n"/>
      <c r="BZ160" s="12" t="n"/>
      <c r="CA160" s="55" t="n"/>
      <c r="CB160" s="55" t="n"/>
      <c r="CC160" s="55" t="n"/>
      <c r="CD160" s="55" t="n"/>
      <c r="CE160" s="12" t="n"/>
      <c r="CF160" s="55" t="n"/>
      <c r="CG160" s="55" t="n"/>
      <c r="CH160" s="55" t="n"/>
      <c r="CI160" s="55" t="n"/>
      <c r="CJ160" s="12" t="n"/>
      <c r="CK160" s="55" t="n"/>
      <c r="CL160" s="55" t="n"/>
      <c r="CM160" s="55" t="n"/>
      <c r="CN160" s="55" t="n"/>
      <c r="CO160" s="12" t="n"/>
      <c r="CP160" s="55" t="n"/>
      <c r="CQ160" s="55" t="n"/>
      <c r="CR160" s="55" t="n"/>
      <c r="CS160" s="55" t="n"/>
      <c r="CT160" s="12" t="n"/>
      <c r="CU160" s="55" t="n"/>
      <c r="CV160" s="55" t="n"/>
      <c r="CW160" s="55" t="n"/>
      <c r="CX160" s="55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collapsed="1">
      <c r="C162" s="14" t="inlineStr">
        <is>
          <t>Goodwill</t>
        </is>
      </c>
      <c r="D162" s="46" t="n"/>
      <c r="E162" s="46" t="n"/>
      <c r="F162" s="46" t="n"/>
      <c r="G162" s="46" t="n"/>
      <c r="H162" s="12" t="n"/>
      <c r="I162" s="46">
        <f>'Inputs (2)'!D24</f>
        <v>15980</v>
      </c>
      <c r="J162" s="46">
        <f>'Inputs (2)'!E24</f>
        <v>16021</v>
      </c>
      <c r="K162" s="46">
        <f>'Inputs (2)'!F24</f>
        <v>15958</v>
      </c>
      <c r="L162" s="46">
        <f>'Inputs (2)'!G24</f>
        <v>16555</v>
      </c>
      <c r="M162" s="12">
        <f>'Inputs (2)'!H24</f>
        <v>16555</v>
      </c>
      <c r="N162" s="46">
        <f>'Inputs (2)'!I24</f>
        <v>18143</v>
      </c>
      <c r="O162" s="46">
        <f>'Inputs (2)'!J24</f>
        <v>17977</v>
      </c>
      <c r="P162" s="46">
        <f>'Inputs (2)'!K24</f>
        <v>17787</v>
      </c>
      <c r="Q162" s="46">
        <f>'Inputs (2)'!L24</f>
        <v>18024</v>
      </c>
      <c r="R162" s="12">
        <f>'Inputs (2)'!M24</f>
        <v>18024</v>
      </c>
      <c r="S162" s="46">
        <f>'Inputs (2)'!N24</f>
        <v>18078</v>
      </c>
      <c r="T162" s="46">
        <f>'Inputs (2)'!O24</f>
        <v>18082</v>
      </c>
      <c r="U162" s="46">
        <f>'Inputs (2)'!P24</f>
        <v>17997</v>
      </c>
      <c r="V162" s="46">
        <f>'Inputs (2)'!Q24</f>
        <v>18120</v>
      </c>
      <c r="W162" s="12">
        <f>'Inputs (2)'!R24</f>
        <v>18120</v>
      </c>
      <c r="X162" s="46">
        <f>'Inputs (2)'!S24</f>
        <v>18837</v>
      </c>
      <c r="Y162" s="46">
        <f>'Inputs (2)'!T24</f>
        <v>18816</v>
      </c>
      <c r="Z162" s="46">
        <f>'Inputs (2)'!U24</f>
        <v>18941</v>
      </c>
      <c r="AA162" s="46">
        <f>'Inputs (2)'!V24</f>
        <v>19548</v>
      </c>
      <c r="AB162" s="12">
        <f>'Inputs (2)'!W24</f>
        <v>19548</v>
      </c>
      <c r="AC162" s="46">
        <f>'Inputs (2)'!X24</f>
        <v>19641</v>
      </c>
      <c r="AD162" s="46">
        <f>'Inputs (2)'!Y24</f>
        <v>19880</v>
      </c>
      <c r="AE162" s="46">
        <f>'Inputs (2)'!Z24</f>
        <v>19879</v>
      </c>
      <c r="AF162" s="46">
        <f>'Inputs (2)'!AA24</f>
        <v>19885</v>
      </c>
      <c r="AG162" s="12">
        <f>'Inputs (2)'!AB24</f>
        <v>19885</v>
      </c>
      <c r="AH162" s="12">
        <f>'Inputs (2)'!AC24</f>
        <v>20891</v>
      </c>
      <c r="AI162" s="12">
        <f>'Inputs (2)'!AD24</f>
        <v>20825</v>
      </c>
      <c r="AJ162" s="12">
        <f>AI162</f>
        <v>20825</v>
      </c>
      <c r="AK162" s="12">
        <f>AJ162</f>
        <v>20825</v>
      </c>
      <c r="AL162" s="12">
        <f>AK162</f>
        <v>20825</v>
      </c>
      <c r="AM162" s="12">
        <f>AL162</f>
        <v>20825</v>
      </c>
      <c r="AN162" s="12">
        <f>AM162</f>
        <v>20825</v>
      </c>
      <c r="AO162" s="12">
        <f>AN162</f>
        <v>20825</v>
      </c>
      <c r="AP162" s="12">
        <f>AO162</f>
        <v>20825</v>
      </c>
      <c r="AQ162" s="12">
        <f>AP162</f>
        <v>20825</v>
      </c>
      <c r="AR162" s="12">
        <f>AQ162</f>
        <v>20825</v>
      </c>
      <c r="AS162" s="12">
        <f>AR162</f>
        <v>20825</v>
      </c>
      <c r="AT162" s="12">
        <f>AS162</f>
        <v>20825</v>
      </c>
      <c r="AU162" s="12">
        <f>AT162</f>
        <v>20825</v>
      </c>
      <c r="AV162" s="12">
        <f>AU162</f>
        <v>20825</v>
      </c>
      <c r="AW162" s="12">
        <f>AV162</f>
        <v>20825</v>
      </c>
      <c r="AX162" s="12">
        <f>AW162</f>
        <v>20825</v>
      </c>
      <c r="AY162" s="12">
        <f>AX162</f>
        <v>20825</v>
      </c>
      <c r="AZ162" s="12">
        <f>AY162</f>
        <v>20825</v>
      </c>
      <c r="BA162" s="12">
        <f>AZ162</f>
        <v>20825</v>
      </c>
      <c r="BB162" s="12">
        <f>BA162</f>
        <v>20825</v>
      </c>
      <c r="BC162" s="12">
        <f>BB162</f>
        <v>20825</v>
      </c>
      <c r="BD162" s="12">
        <f>BC162</f>
        <v>20825</v>
      </c>
      <c r="BE162" s="12">
        <f>BD162</f>
        <v>20825</v>
      </c>
      <c r="BF162" s="12">
        <f>BE162</f>
        <v>20825</v>
      </c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>
      <c r="C163" s="14" t="inlineStr">
        <is>
          <t>Intangibles</t>
        </is>
      </c>
      <c r="D163" s="46" t="n"/>
      <c r="E163" s="46" t="n"/>
      <c r="F163" s="46" t="n"/>
      <c r="G163" s="46" t="n"/>
      <c r="H163" s="12" t="n"/>
      <c r="I163" s="46">
        <f>'Inputs (2)'!D25</f>
        <v>27823</v>
      </c>
      <c r="J163" s="46">
        <f>'Inputs (2)'!E25</f>
        <v>28023</v>
      </c>
      <c r="K163" s="46">
        <f>'Inputs (2)'!F25</f>
        <v>27664</v>
      </c>
      <c r="L163" s="46">
        <f>'Inputs (2)'!G25</f>
        <v>27272</v>
      </c>
      <c r="M163" s="12">
        <f>'Inputs (2)'!H25</f>
        <v>27272</v>
      </c>
      <c r="N163" s="46">
        <f>'Inputs (2)'!I25</f>
        <v>27006</v>
      </c>
      <c r="O163" s="46">
        <f>'Inputs (2)'!J25</f>
        <v>26093</v>
      </c>
      <c r="P163" s="46">
        <f>'Inputs (2)'!K25</f>
        <v>25065</v>
      </c>
      <c r="Q163" s="46">
        <f>'Inputs (2)'!L25</f>
        <v>26307</v>
      </c>
      <c r="R163" s="12">
        <f>'Inputs (2)'!M25</f>
        <v>26307</v>
      </c>
      <c r="S163" s="46">
        <f>'Inputs (2)'!N25</f>
        <v>26574</v>
      </c>
      <c r="T163" s="46">
        <f>'Inputs (2)'!O25</f>
        <v>26576</v>
      </c>
      <c r="U163" s="46">
        <f>'Inputs (2)'!P25</f>
        <v>26104</v>
      </c>
      <c r="V163" s="46">
        <f>'Inputs (2)'!Q25</f>
        <v>26739</v>
      </c>
      <c r="W163" s="12">
        <f>'Inputs (2)'!R25</f>
        <v>26739</v>
      </c>
      <c r="X163" s="46">
        <f>'Inputs (2)'!S25</f>
        <v>26375</v>
      </c>
      <c r="Y163" s="46">
        <f>'Inputs (2)'!T25</f>
        <v>26243</v>
      </c>
      <c r="Z163" s="46">
        <f>'Inputs (2)'!U25</f>
        <v>26889</v>
      </c>
      <c r="AA163" s="46">
        <f>'Inputs (2)'!V25</f>
        <v>25889</v>
      </c>
      <c r="AB163" s="12">
        <f>'Inputs (2)'!W25</f>
        <v>25889</v>
      </c>
      <c r="AC163" s="46">
        <f>'Inputs (2)'!X25</f>
        <v>26408</v>
      </c>
      <c r="AD163" s="46">
        <f>'Inputs (2)'!Y25</f>
        <v>27660</v>
      </c>
      <c r="AE163" s="46">
        <f>'Inputs (2)'!Z25</f>
        <v>27646</v>
      </c>
      <c r="AF163" s="46">
        <f>'Inputs (2)'!AA25</f>
        <v>27664</v>
      </c>
      <c r="AG163" s="12">
        <f>'Inputs (2)'!AB25</f>
        <v>27664</v>
      </c>
      <c r="AH163" s="12">
        <f>'Inputs (2)'!AC25</f>
        <v>27750</v>
      </c>
      <c r="AI163" s="12">
        <f>'Inputs (2)'!AD25</f>
        <v>27532</v>
      </c>
      <c r="AJ163" s="12">
        <f>AI163</f>
        <v>27532</v>
      </c>
      <c r="AK163" s="12">
        <f>AJ163</f>
        <v>27532</v>
      </c>
      <c r="AL163" s="12">
        <f>AK163</f>
        <v>27532</v>
      </c>
      <c r="AM163" s="16">
        <f>AL163</f>
        <v>27532</v>
      </c>
      <c r="AN163" s="12">
        <f>AM163</f>
        <v>27532</v>
      </c>
      <c r="AO163" s="12">
        <f>AN163</f>
        <v>27532</v>
      </c>
      <c r="AP163" s="12">
        <f>AO163</f>
        <v>27532</v>
      </c>
      <c r="AQ163" s="12">
        <f>AP163</f>
        <v>27532</v>
      </c>
      <c r="AR163" s="16">
        <f>AQ163</f>
        <v>27532</v>
      </c>
      <c r="AS163" s="12">
        <f>AR163</f>
        <v>27532</v>
      </c>
      <c r="AT163" s="12">
        <f>AS163</f>
        <v>27532</v>
      </c>
      <c r="AU163" s="12">
        <f>AT163</f>
        <v>27532</v>
      </c>
      <c r="AV163" s="12">
        <f>AU163</f>
        <v>27532</v>
      </c>
      <c r="AW163" s="16">
        <f>AV163</f>
        <v>27532</v>
      </c>
      <c r="AX163" s="12">
        <f>AW163</f>
        <v>27532</v>
      </c>
      <c r="AY163" s="12">
        <f>AX163</f>
        <v>27532</v>
      </c>
      <c r="AZ163" s="12">
        <f>AY163</f>
        <v>27532</v>
      </c>
      <c r="BA163" s="12">
        <f>AZ163</f>
        <v>27532</v>
      </c>
      <c r="BB163" s="16">
        <f>BA163</f>
        <v>27532</v>
      </c>
      <c r="BC163" s="12">
        <f>BB163</f>
        <v>27532</v>
      </c>
      <c r="BD163" s="12">
        <f>BC163</f>
        <v>27532</v>
      </c>
      <c r="BE163" s="12">
        <f>BD163</f>
        <v>27532</v>
      </c>
      <c r="BF163" s="12">
        <f>BE163</f>
        <v>27532</v>
      </c>
      <c r="BH163" s="12" t="n"/>
      <c r="BI163" s="12" t="n"/>
      <c r="BJ163" s="12" t="n"/>
      <c r="BK163" s="12" t="n"/>
      <c r="BM163" s="12" t="n"/>
      <c r="BN163" s="12" t="n"/>
      <c r="BO163" s="12" t="n"/>
      <c r="BP163" s="12" t="n"/>
      <c r="BR163" s="12" t="n"/>
      <c r="BS163" s="12" t="n"/>
      <c r="BT163" s="12" t="n"/>
      <c r="BU163" s="12" t="n"/>
      <c r="BW163" s="12" t="n"/>
      <c r="BX163" s="12" t="n"/>
      <c r="BY163" s="12" t="n"/>
      <c r="BZ163" s="12" t="n"/>
      <c r="CB163" s="12" t="n"/>
      <c r="CC163" s="12" t="n"/>
      <c r="CD163" s="12" t="n"/>
      <c r="CE163" s="12" t="n"/>
      <c r="CG163" s="12" t="n"/>
      <c r="CH163" s="12" t="n"/>
      <c r="CI163" s="12" t="n"/>
      <c r="CJ163" s="12" t="n"/>
      <c r="CL163" s="12" t="n"/>
      <c r="CM163" s="12" t="n"/>
      <c r="CN163" s="12" t="n"/>
      <c r="CO163" s="12" t="n"/>
      <c r="CQ163" s="12" t="n"/>
      <c r="CR163" s="12" t="n"/>
      <c r="CS163" s="12" t="n"/>
      <c r="CT163" s="12" t="n"/>
      <c r="CV163" s="12" t="n"/>
      <c r="CW163" s="12" t="n"/>
      <c r="CX163" s="12" t="n"/>
      <c r="CY163" s="12" t="n"/>
    </row>
    <row r="164" hidden="1" outlineLevel="1">
      <c r="C164" s="57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57" t="inlineStr">
        <is>
          <t>Purchase of intangible assets</t>
        </is>
      </c>
      <c r="D165" s="12" t="n"/>
      <c r="E165" s="12" t="n"/>
      <c r="F165" s="12" t="n"/>
      <c r="G165" s="12" t="n"/>
      <c r="H165" s="12" t="n"/>
      <c r="I165" s="12" t="str">
        <f>IF(COUNT(H163)=0,"",I163-H163-I67)</f>
        <v/>
      </c>
      <c r="J165" s="12">
        <f>J163-I163-J67</f>
        <v>200</v>
      </c>
      <c r="K165" s="12">
        <f>K163-J163-K67</f>
        <v>-359</v>
      </c>
      <c r="L165" s="12">
        <f>L163-K163-L67</f>
        <v>-392</v>
      </c>
      <c r="M165" s="12" t="n"/>
      <c r="N165" s="12">
        <f>N163-M163-N67</f>
        <v>-266</v>
      </c>
      <c r="O165" s="12">
        <f>O163-N163-O67</f>
        <v>-913</v>
      </c>
      <c r="P165" s="12">
        <f>P163-O163-P67</f>
        <v>-1028</v>
      </c>
      <c r="Q165" s="12">
        <f>Q163-P163-Q67</f>
        <v>1242</v>
      </c>
      <c r="R165" s="12" t="n"/>
      <c r="S165" s="12">
        <f>S163-R163-S67</f>
        <v>267</v>
      </c>
      <c r="T165" s="12">
        <f>T163-S163-T67</f>
        <v>2</v>
      </c>
      <c r="U165" s="12">
        <f>U163-T163-U67</f>
        <v>-472</v>
      </c>
      <c r="V165" s="12">
        <f>V163-U163-V67</f>
        <v>635</v>
      </c>
      <c r="W165" s="12" t="n"/>
      <c r="X165" s="12">
        <f>X163-W163-X67</f>
        <v>-364</v>
      </c>
      <c r="Y165" s="12">
        <f>Y163-X163-Y67</f>
        <v>-132</v>
      </c>
      <c r="Z165" s="12">
        <f>Z163-Y163-Z67</f>
        <v>646</v>
      </c>
      <c r="AA165" s="12">
        <f>AA163-Z163-AA67</f>
        <v>-1000</v>
      </c>
      <c r="AB165" s="12" t="n"/>
      <c r="AC165" s="12">
        <f>AC163-AB163-AC67</f>
        <v>519</v>
      </c>
      <c r="AD165" s="12">
        <f>AD163-AC163-AD67</f>
        <v>1252</v>
      </c>
      <c r="AE165" s="12">
        <f>AE163-AD163-AE67</f>
        <v>-14</v>
      </c>
      <c r="AF165" s="12">
        <f>AF163-AE163-AF67</f>
        <v>18</v>
      </c>
      <c r="AG165" s="12" t="n"/>
      <c r="AH165" s="11">
        <f>AH163-AG163-AH67</f>
        <v>86</v>
      </c>
      <c r="AI165" s="11">
        <f>AI163-AH163-AI67</f>
        <v>-218</v>
      </c>
      <c r="AJ165" s="11" t="n"/>
      <c r="AK165" s="11" t="n"/>
      <c r="AL165" s="12" t="n"/>
      <c r="AM165" s="11" t="n"/>
      <c r="AN165" s="11" t="n"/>
      <c r="AO165" s="11" t="n"/>
      <c r="AP165" s="11" t="n"/>
      <c r="AQ165" s="12" t="n"/>
      <c r="AR165" s="11" t="n"/>
      <c r="AS165" s="11" t="n"/>
      <c r="AT165" s="11" t="n"/>
      <c r="AU165" s="11" t="n"/>
      <c r="AV165" s="12" t="n"/>
      <c r="AW165" s="11" t="n"/>
      <c r="AX165" s="11" t="n"/>
      <c r="AY165" s="11" t="n"/>
      <c r="AZ165" s="11" t="n"/>
      <c r="BA165" s="12" t="n"/>
      <c r="BB165" s="11" t="n"/>
      <c r="BC165" s="11" t="n"/>
      <c r="BD165" s="11" t="n"/>
      <c r="BE165" s="11" t="n"/>
      <c r="BF165" s="12" t="n"/>
      <c r="BG165" s="11" t="n"/>
      <c r="BH165" s="11" t="n"/>
      <c r="BI165" s="11" t="n"/>
      <c r="BJ165" s="11" t="n"/>
      <c r="BK165" s="12" t="n"/>
      <c r="BL165" s="11" t="n"/>
      <c r="BM165" s="11" t="n"/>
      <c r="BN165" s="11" t="n"/>
      <c r="BO165" s="11" t="n"/>
      <c r="BP165" s="12" t="n"/>
      <c r="BQ165" s="11" t="n"/>
      <c r="BR165" s="11" t="n"/>
      <c r="BS165" s="11" t="n"/>
      <c r="BT165" s="11" t="n"/>
      <c r="BU165" s="12" t="n"/>
      <c r="BV165" s="11" t="n"/>
      <c r="BW165" s="11" t="n"/>
      <c r="BX165" s="11" t="n"/>
      <c r="BY165" s="11" t="n"/>
      <c r="BZ165" s="12" t="n"/>
      <c r="CA165" s="11" t="n"/>
      <c r="CB165" s="11" t="n"/>
      <c r="CC165" s="11" t="n"/>
      <c r="CD165" s="11" t="n"/>
      <c r="CE165" s="12" t="n"/>
      <c r="CF165" s="11" t="n"/>
      <c r="CG165" s="11" t="n"/>
      <c r="CH165" s="11" t="n"/>
      <c r="CI165" s="11" t="n"/>
      <c r="CJ165" s="12" t="n"/>
      <c r="CK165" s="11" t="n"/>
      <c r="CL165" s="11" t="n"/>
      <c r="CM165" s="11" t="n"/>
      <c r="CN165" s="11" t="n"/>
      <c r="CO165" s="12" t="n"/>
      <c r="CP165" s="11" t="n"/>
      <c r="CQ165" s="11" t="n"/>
      <c r="CR165" s="11" t="n"/>
      <c r="CS165" s="11" t="n"/>
      <c r="CT165" s="12" t="n"/>
      <c r="CU165" s="11" t="n"/>
      <c r="CV165" s="11" t="n"/>
      <c r="CW165" s="11" t="n"/>
      <c r="CX165" s="11" t="n"/>
      <c r="CY165" s="12" t="n"/>
    </row>
    <row r="166" hidden="1" outlineLevel="1">
      <c r="C166" s="57" t="inlineStr">
        <is>
          <t>Amortization (enter as -)</t>
        </is>
      </c>
      <c r="D166" s="12" t="n"/>
      <c r="E166" s="12" t="n"/>
      <c r="F166" s="12" t="n"/>
      <c r="G166" s="12" t="n"/>
      <c r="H166" s="12" t="n"/>
      <c r="I166" s="12">
        <f>I66</f>
        <v>0</v>
      </c>
      <c r="J166" s="12">
        <f>J66</f>
        <v>0</v>
      </c>
      <c r="K166" s="12">
        <f>K66</f>
        <v>0</v>
      </c>
      <c r="L166" s="12">
        <f>L66</f>
        <v>0</v>
      </c>
      <c r="M166" s="12" t="n"/>
      <c r="N166" s="12">
        <f>N66</f>
        <v>0</v>
      </c>
      <c r="O166" s="12">
        <f>O66</f>
        <v>0</v>
      </c>
      <c r="P166" s="12">
        <f>P66</f>
        <v>0</v>
      </c>
      <c r="Q166" s="12">
        <f>Q66</f>
        <v>0</v>
      </c>
      <c r="R166" s="12" t="n"/>
      <c r="S166" s="12">
        <f>S66</f>
        <v>0</v>
      </c>
      <c r="T166" s="12">
        <f>T66</f>
        <v>0</v>
      </c>
      <c r="U166" s="12">
        <f>U66</f>
        <v>0</v>
      </c>
      <c r="V166" s="12">
        <f>V66</f>
        <v>0</v>
      </c>
      <c r="W166" s="12" t="n"/>
      <c r="X166" s="12">
        <f>X66</f>
        <v>0</v>
      </c>
      <c r="Y166" s="12">
        <f>Y66</f>
        <v>0</v>
      </c>
      <c r="Z166" s="12">
        <f>Z66</f>
        <v>0</v>
      </c>
      <c r="AA166" s="12">
        <f>AA66</f>
        <v>0</v>
      </c>
      <c r="AB166" s="12" t="n"/>
      <c r="AC166" s="12">
        <f>AC66</f>
        <v>0</v>
      </c>
      <c r="AD166" s="12">
        <f>AD66</f>
        <v>0</v>
      </c>
      <c r="AE166" s="12">
        <f>AE66</f>
        <v>0</v>
      </c>
      <c r="AF166" s="12">
        <f>AF66</f>
        <v>0</v>
      </c>
      <c r="AG166" s="12" t="n"/>
      <c r="AH166" s="12">
        <f>AH66</f>
        <v>0</v>
      </c>
      <c r="AI166" s="11">
        <f>AI66</f>
        <v>0</v>
      </c>
      <c r="AJ166" s="11" t="n"/>
      <c r="AK166" s="11" t="n"/>
      <c r="AL166" s="12" t="n"/>
      <c r="AM166" s="11" t="n"/>
      <c r="AN166" s="11" t="n"/>
      <c r="AO166" s="11" t="n"/>
      <c r="AP166" s="11" t="n"/>
      <c r="AQ166" s="12" t="n"/>
      <c r="AR166" s="11" t="n"/>
      <c r="AS166" s="11" t="n"/>
      <c r="AT166" s="11" t="n"/>
      <c r="AU166" s="11" t="n"/>
      <c r="AV166" s="12" t="n"/>
      <c r="AW166" s="11" t="n"/>
      <c r="AX166" s="11" t="n"/>
      <c r="AY166" s="11" t="n"/>
      <c r="AZ166" s="11" t="n"/>
      <c r="BA166" s="12" t="n"/>
      <c r="BB166" s="11" t="n"/>
      <c r="BC166" s="11" t="n"/>
      <c r="BD166" s="11" t="n"/>
      <c r="BE166" s="11" t="n"/>
      <c r="BF166" s="12" t="n"/>
      <c r="BG166" s="11" t="n"/>
      <c r="BH166" s="11" t="n"/>
      <c r="BI166" s="11" t="n"/>
      <c r="BJ166" s="11" t="n"/>
      <c r="BK166" s="12" t="n"/>
      <c r="BL166" s="11" t="n"/>
      <c r="BM166" s="11" t="n"/>
      <c r="BN166" s="11" t="n"/>
      <c r="BO166" s="11" t="n"/>
      <c r="BP166" s="12" t="n"/>
      <c r="BQ166" s="11" t="n"/>
      <c r="BR166" s="11" t="n"/>
      <c r="BS166" s="11" t="n"/>
      <c r="BT166" s="11" t="n"/>
      <c r="BU166" s="12" t="n"/>
      <c r="BV166" s="11" t="n"/>
      <c r="BW166" s="11" t="n"/>
      <c r="BX166" s="11" t="n"/>
      <c r="BY166" s="11" t="n"/>
      <c r="BZ166" s="12" t="n"/>
      <c r="CA166" s="11" t="n"/>
      <c r="CB166" s="11" t="n"/>
      <c r="CC166" s="11" t="n"/>
      <c r="CD166" s="11" t="n"/>
      <c r="CE166" s="12" t="n"/>
      <c r="CF166" s="11" t="n"/>
      <c r="CG166" s="11" t="n"/>
      <c r="CH166" s="11" t="n"/>
      <c r="CI166" s="11" t="n"/>
      <c r="CJ166" s="12" t="n"/>
      <c r="CK166" s="11" t="n"/>
      <c r="CL166" s="11" t="n"/>
      <c r="CM166" s="11" t="n"/>
      <c r="CN166" s="11" t="n"/>
      <c r="CO166" s="12" t="n"/>
      <c r="CP166" s="11" t="n"/>
      <c r="CQ166" s="11" t="n"/>
      <c r="CR166" s="11" t="n"/>
      <c r="CS166" s="11" t="n"/>
      <c r="CT166" s="12" t="n"/>
      <c r="CU166" s="11" t="n"/>
      <c r="CV166" s="11" t="n"/>
      <c r="CW166" s="11" t="n"/>
      <c r="CX166" s="11" t="n"/>
      <c r="CY166" s="12" t="n"/>
    </row>
    <row r="167" hidden="1" outlineLevel="1">
      <c r="C167" s="57" t="inlineStr">
        <is>
          <t>Intangibles</t>
        </is>
      </c>
      <c r="D167" s="12" t="n"/>
      <c r="E167" s="12" t="n"/>
      <c r="F167" s="12" t="n"/>
      <c r="G167" s="12" t="n"/>
      <c r="H167" s="12" t="n"/>
      <c r="I167" s="12">
        <f>I163</f>
        <v>27823</v>
      </c>
      <c r="J167" s="12">
        <f>J163</f>
        <v>28023</v>
      </c>
      <c r="K167" s="12">
        <f>K163</f>
        <v>27664</v>
      </c>
      <c r="L167" s="12">
        <f>L163</f>
        <v>27272</v>
      </c>
      <c r="M167" s="12">
        <f>M163</f>
        <v>27272</v>
      </c>
      <c r="N167" s="12">
        <f>N163</f>
        <v>27006</v>
      </c>
      <c r="O167" s="12">
        <f>O163</f>
        <v>26093</v>
      </c>
      <c r="P167" s="12">
        <f>P163</f>
        <v>25065</v>
      </c>
      <c r="Q167" s="12">
        <f>Q163</f>
        <v>26307</v>
      </c>
      <c r="R167" s="12">
        <f>R163</f>
        <v>26307</v>
      </c>
      <c r="S167" s="12">
        <f>S163</f>
        <v>26574</v>
      </c>
      <c r="T167" s="12">
        <f>T163</f>
        <v>26576</v>
      </c>
      <c r="U167" s="12">
        <f>U163</f>
        <v>26104</v>
      </c>
      <c r="V167" s="12">
        <f>V163</f>
        <v>26739</v>
      </c>
      <c r="W167" s="12">
        <f>W163</f>
        <v>26739</v>
      </c>
      <c r="X167" s="12">
        <f>X163</f>
        <v>26375</v>
      </c>
      <c r="Y167" s="12">
        <f>Y163</f>
        <v>26243</v>
      </c>
      <c r="Z167" s="12">
        <f>Z163</f>
        <v>26889</v>
      </c>
      <c r="AA167" s="12">
        <f>AA163</f>
        <v>25889</v>
      </c>
      <c r="AB167" s="12">
        <f>AB163</f>
        <v>25889</v>
      </c>
      <c r="AC167" s="12">
        <f>AC163</f>
        <v>26408</v>
      </c>
      <c r="AD167" s="12">
        <f>AD163</f>
        <v>27660</v>
      </c>
      <c r="AE167" s="12">
        <f>AE163</f>
        <v>27646</v>
      </c>
      <c r="AF167" s="12">
        <f>AF163</f>
        <v>27664</v>
      </c>
      <c r="AG167" s="12">
        <f>AG163</f>
        <v>27664</v>
      </c>
      <c r="AH167" s="12">
        <f>AH163</f>
        <v>27750</v>
      </c>
      <c r="AI167" s="12">
        <f>AI163</f>
        <v>27532</v>
      </c>
      <c r="AJ167" s="12">
        <f>AJ163</f>
        <v>27532</v>
      </c>
      <c r="AK167" s="12">
        <f>AK163</f>
        <v>27532</v>
      </c>
      <c r="AL167" s="12" t="n"/>
      <c r="AM167" s="12">
        <f>AM163</f>
        <v>27532</v>
      </c>
      <c r="AN167" s="12">
        <f>AN163</f>
        <v>27532</v>
      </c>
      <c r="AO167" s="12">
        <f>AO163</f>
        <v>27532</v>
      </c>
      <c r="AP167" s="12">
        <f>AP163</f>
        <v>27532</v>
      </c>
      <c r="AQ167" s="12" t="n"/>
      <c r="AR167" s="12">
        <f>AR163</f>
        <v>27532</v>
      </c>
      <c r="AS167" s="12">
        <f>AS163</f>
        <v>27532</v>
      </c>
      <c r="AT167" s="12">
        <f>AT163</f>
        <v>27532</v>
      </c>
      <c r="AU167" s="12">
        <f>AU163</f>
        <v>27532</v>
      </c>
      <c r="AV167" s="12" t="n"/>
      <c r="AW167" s="12">
        <f>AW163</f>
        <v>27532</v>
      </c>
      <c r="AX167" s="12">
        <f>AX163</f>
        <v>27532</v>
      </c>
      <c r="AY167" s="12">
        <f>AY163</f>
        <v>27532</v>
      </c>
      <c r="AZ167" s="12">
        <f>AZ163</f>
        <v>27532</v>
      </c>
      <c r="BA167" s="12" t="n"/>
      <c r="BB167" s="12">
        <f>BB163</f>
        <v>27532</v>
      </c>
      <c r="BC167" s="12">
        <f>BC163</f>
        <v>27532</v>
      </c>
      <c r="BD167" s="12">
        <f>BD163</f>
        <v>27532</v>
      </c>
      <c r="BE167" s="12">
        <f>BE163</f>
        <v>27532</v>
      </c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57" t="inlineStr">
        <is>
          <t>Definir % do D&amp;A No PPE and Intagibles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collapsed="1">
      <c r="C172" s="14" t="inlineStr">
        <is>
          <t>Other non-current assets</t>
        </is>
      </c>
      <c r="D172" s="46" t="n"/>
      <c r="E172" s="46" t="n"/>
      <c r="F172" s="46" t="n"/>
      <c r="G172" s="46" t="n"/>
      <c r="H172" s="12" t="n"/>
      <c r="I172" s="46">
        <f>'Inputs (2)'!D26</f>
        <v>6807</v>
      </c>
      <c r="J172" s="46">
        <f>'Inputs (2)'!E26</f>
        <v>7878</v>
      </c>
      <c r="K172" s="46">
        <f>'Inputs (2)'!F26</f>
        <v>8952</v>
      </c>
      <c r="L172" s="46">
        <f>'Inputs (2)'!G26</f>
        <v>9288</v>
      </c>
      <c r="M172" s="12">
        <f>'Inputs (2)'!H26</f>
        <v>9288</v>
      </c>
      <c r="N172" s="46">
        <f>'Inputs (2)'!I26</f>
        <v>9448</v>
      </c>
      <c r="O172" s="46">
        <f>'Inputs (2)'!J26</f>
        <v>9223</v>
      </c>
      <c r="P172" s="46">
        <f>'Inputs (2)'!K26</f>
        <v>9221</v>
      </c>
      <c r="Q172" s="46">
        <f>'Inputs (2)'!L26</f>
        <v>9961</v>
      </c>
      <c r="R172" s="12">
        <f>'Inputs (2)'!M26</f>
        <v>9961</v>
      </c>
      <c r="S172" s="46">
        <f>'Inputs (2)'!N26</f>
        <v>10087</v>
      </c>
      <c r="T172" s="46">
        <f>'Inputs (2)'!O26</f>
        <v>9536</v>
      </c>
      <c r="U172" s="46">
        <f>'Inputs (2)'!P26</f>
        <v>9441</v>
      </c>
      <c r="V172" s="46">
        <f>'Inputs (2)'!Q26</f>
        <v>10346</v>
      </c>
      <c r="W172" s="12">
        <f>'Inputs (2)'!R26</f>
        <v>10346</v>
      </c>
      <c r="X172" s="46">
        <f>'Inputs (2)'!S26</f>
        <v>10782</v>
      </c>
      <c r="Y172" s="46">
        <f>'Inputs (2)'!T26</f>
        <v>11176</v>
      </c>
      <c r="Z172" s="46">
        <f>'Inputs (2)'!U26</f>
        <v>10824</v>
      </c>
      <c r="AA172" s="46">
        <f>'Inputs (2)'!V26</f>
        <v>9855</v>
      </c>
      <c r="AB172" s="12">
        <f>'Inputs (2)'!W26</f>
        <v>9855</v>
      </c>
      <c r="AC172" s="46">
        <f>'Inputs (2)'!X26</f>
        <v>9847</v>
      </c>
      <c r="AD172" s="46">
        <f>'Inputs (2)'!Y26</f>
        <v>9943</v>
      </c>
      <c r="AE172" s="46">
        <f>'Inputs (2)'!Z26</f>
        <v>10100</v>
      </c>
      <c r="AF172" s="46">
        <f>'Inputs (2)'!AA26</f>
        <v>9992</v>
      </c>
      <c r="AG172" s="12">
        <f>'Inputs (2)'!AB26</f>
        <v>9992</v>
      </c>
      <c r="AH172" s="12">
        <f>'Inputs (2)'!AC26</f>
        <v>10005</v>
      </c>
      <c r="AI172" s="12">
        <f>'Inputs (2)'!AD26</f>
        <v>10373</v>
      </c>
      <c r="AJ172" s="12">
        <f>AI172</f>
        <v>10373</v>
      </c>
      <c r="AK172" s="12">
        <f>AJ172</f>
        <v>10373</v>
      </c>
      <c r="AL172" s="12">
        <f>AK172</f>
        <v>10373</v>
      </c>
      <c r="AM172" s="12">
        <f>AL172</f>
        <v>10373</v>
      </c>
      <c r="AN172" s="12">
        <f>AM172</f>
        <v>10373</v>
      </c>
      <c r="AO172" s="12">
        <f>AN172</f>
        <v>10373</v>
      </c>
      <c r="AP172" s="12">
        <f>AO172</f>
        <v>10373</v>
      </c>
      <c r="AQ172" s="12">
        <f>AP172</f>
        <v>10373</v>
      </c>
      <c r="AR172" s="12">
        <f>AQ172</f>
        <v>10373</v>
      </c>
      <c r="AS172" s="12">
        <f>AR172</f>
        <v>10373</v>
      </c>
      <c r="AT172" s="12">
        <f>AS172</f>
        <v>10373</v>
      </c>
      <c r="AU172" s="12">
        <f>AT172</f>
        <v>10373</v>
      </c>
      <c r="AV172" s="12">
        <f>AU172</f>
        <v>10373</v>
      </c>
      <c r="AW172" s="12">
        <f>AV172</f>
        <v>10373</v>
      </c>
      <c r="AX172" s="12">
        <f>AW172</f>
        <v>10373</v>
      </c>
      <c r="AY172" s="12">
        <f>AX172</f>
        <v>10373</v>
      </c>
      <c r="AZ172" s="12">
        <f>AY172</f>
        <v>10373</v>
      </c>
      <c r="BA172" s="12">
        <f>AZ172</f>
        <v>10373</v>
      </c>
      <c r="BB172" s="12">
        <f>BA172</f>
        <v>10373</v>
      </c>
      <c r="BC172" s="12">
        <f>BB172</f>
        <v>10373</v>
      </c>
      <c r="BD172" s="12">
        <f>BC172</f>
        <v>10373</v>
      </c>
      <c r="BE172" s="12">
        <f>BD172</f>
        <v>10373</v>
      </c>
      <c r="BF172" s="12">
        <f>BE172</f>
        <v>10373</v>
      </c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9" t="inlineStr">
        <is>
          <t>%(Var.)</t>
        </is>
      </c>
      <c r="D173" s="12" t="n"/>
      <c r="E173" s="40" t="n"/>
      <c r="F173" s="40" t="n"/>
      <c r="G173" s="40" t="n"/>
      <c r="H173" s="12" t="n"/>
      <c r="I173" s="40" t="str">
        <f>""</f>
        <v/>
      </c>
      <c r="J173" s="40">
        <f>IF(I172=0,"",J172/I172-1)</f>
        <v>0.157338034376377</v>
      </c>
      <c r="K173" s="40">
        <f>IF(J172=0,"",K172/J172-1)</f>
        <v>0.136329017517136</v>
      </c>
      <c r="L173" s="40">
        <f>IF(K172=0,"",L172/K172-1)</f>
        <v>0.0375335120643432</v>
      </c>
      <c r="M173" s="12">
        <f>IF(L172=0,"",M172/L172-1)</f>
        <v>0</v>
      </c>
      <c r="N173" s="40">
        <f>IF(M172=0,"",N172/M172-1)</f>
        <v>0.0172265288544358</v>
      </c>
      <c r="O173" s="40">
        <f>IF(N172=0,"",O172/N172-1)</f>
        <v>-0.0238145639288738</v>
      </c>
      <c r="P173" s="40">
        <f>IF(O172=0,"",P172/O172-1)</f>
        <v>-0.000216849181394307</v>
      </c>
      <c r="Q173" s="40">
        <f>IF(P172=0,"",Q172/P172-1)</f>
        <v>0.0802515996095867</v>
      </c>
      <c r="R173" s="12">
        <f>IF(Q172=0,"",R172/Q172-1)</f>
        <v>0</v>
      </c>
      <c r="S173" s="40">
        <f>IF(R172=0,"",S172/R172-1)</f>
        <v>0.0126493323963457</v>
      </c>
      <c r="T173" s="40">
        <f>IF(S172=0,"",T172/S172-1)</f>
        <v>-0.0546247645484287</v>
      </c>
      <c r="U173" s="40">
        <f>IF(T172=0,"",U172/T172-1)</f>
        <v>-0.00996224832214765</v>
      </c>
      <c r="V173" s="40">
        <f>IF(U172=0,"",V172/U172-1)</f>
        <v>0.0958584895667831</v>
      </c>
      <c r="W173" s="12">
        <f>IF(V172=0,"",W172/V172-1)</f>
        <v>0</v>
      </c>
      <c r="X173" s="40">
        <f>IF(W172=0,"",X172/W172-1)</f>
        <v>0.0421418905857336</v>
      </c>
      <c r="Y173" s="40">
        <f>IF(X172=0,"",Y172/X172-1)</f>
        <v>0.0365423854572435</v>
      </c>
      <c r="Z173" s="40">
        <f>IF(Y172=0,"",Z172/Y172-1)</f>
        <v>-0.031496062992126</v>
      </c>
      <c r="AA173" s="40">
        <f>IF(Z172=0,"",AA172/Z172-1)</f>
        <v>-0.0895232815964523</v>
      </c>
      <c r="AB173" s="12">
        <f>IF(AA172=0,"",AB172/AA172-1)</f>
        <v>0</v>
      </c>
      <c r="AC173" s="40">
        <f>IF(AB172=0,"",AC172/AB172-1)</f>
        <v>-0.000811770674784329</v>
      </c>
      <c r="AD173" s="40">
        <f>IF(AC172=0,"",AD172/AC172-1)</f>
        <v>0.009749162181375</v>
      </c>
      <c r="AE173" s="40">
        <f>IF(AD172=0,"",AE172/AD172-1)</f>
        <v>0.015790003017198</v>
      </c>
      <c r="AF173" s="55">
        <f>IF(AE172=0,"",AF172/AE172-1)</f>
        <v>-0.0106930693069307</v>
      </c>
      <c r="AG173" s="12">
        <f>IF(AF172=0,"",AG172/AF172-1)</f>
        <v>0</v>
      </c>
      <c r="AH173" s="55">
        <f>IF(AG172=0,"",AH172/AG172-1)</f>
        <v>0.00130104083266613</v>
      </c>
      <c r="AI173" s="55">
        <f>IF(AH172=0,"",AI172/AH172-1)</f>
        <v>0.0367816091954023</v>
      </c>
      <c r="AJ173" s="55">
        <f>IF(AI172=0,"",AJ172/AI172-1)</f>
        <v>0</v>
      </c>
      <c r="AK173" s="55">
        <f>IF(AJ172=0,"",AK172/AJ172-1)</f>
        <v>0</v>
      </c>
      <c r="AL173" s="12">
        <f>IF(AK172=0,"",AL172/AK172-1)</f>
        <v>0</v>
      </c>
      <c r="AM173" s="55">
        <f>IF(AL172=0,"",AM172/AL172-1)</f>
        <v>0</v>
      </c>
      <c r="AN173" s="55">
        <f>IF(AM172=0,"",AN172/AM172-1)</f>
        <v>0</v>
      </c>
      <c r="AO173" s="55">
        <f>IF(AN172=0,"",AO172/AN172-1)</f>
        <v>0</v>
      </c>
      <c r="AP173" s="55">
        <f>IF(AO172=0,"",AP172/AO172-1)</f>
        <v>0</v>
      </c>
      <c r="AQ173" s="12">
        <f>IF(AP172=0,"",AQ172/AP172-1)</f>
        <v>0</v>
      </c>
      <c r="AR173" s="55">
        <f>IF(AQ172=0,"",AR172/AQ172-1)</f>
        <v>0</v>
      </c>
      <c r="AS173" s="55">
        <f>IF(AR172=0,"",AS172/AR172-1)</f>
        <v>0</v>
      </c>
      <c r="AT173" s="55">
        <f>IF(AS172=0,"",AT172/AS172-1)</f>
        <v>0</v>
      </c>
      <c r="AU173" s="55">
        <f>IF(AT172=0,"",AU172/AT172-1)</f>
        <v>0</v>
      </c>
      <c r="AV173" s="12">
        <f>IF(AU172=0,"",AV172/AU172-1)</f>
        <v>0</v>
      </c>
      <c r="AW173" s="55">
        <f>IF(AV172=0,"",AW172/AV172-1)</f>
        <v>0</v>
      </c>
      <c r="AX173" s="55">
        <f>IF(AW172=0,"",AX172/AW172-1)</f>
        <v>0</v>
      </c>
      <c r="AY173" s="55">
        <f>IF(AX172=0,"",AY172/AX172-1)</f>
        <v>0</v>
      </c>
      <c r="AZ173" s="55">
        <f>IF(AY172=0,"",AZ172/AY172-1)</f>
        <v>0</v>
      </c>
      <c r="BA173" s="12">
        <f>IF(AZ172=0,"",BA172/AZ172-1)</f>
        <v>0</v>
      </c>
      <c r="BB173" s="55">
        <f>IF(BA172=0,"",BB172/BA172-1)</f>
        <v>0</v>
      </c>
      <c r="BC173" s="55">
        <f>IF(BB172=0,"",BC172/BB172-1)</f>
        <v>0</v>
      </c>
      <c r="BD173" s="55">
        <f>IF(BC172=0,"",BD172/BC172-1)</f>
        <v>0</v>
      </c>
      <c r="BE173" s="55">
        <f>IF(BD172=0,"",BE172/BD172-1)</f>
        <v>0</v>
      </c>
      <c r="BF173" s="12">
        <f>IF(BE172=0,"",BF172/BE172-1)</f>
        <v>0</v>
      </c>
      <c r="BG173" s="55" t="n"/>
      <c r="BH173" s="55" t="n"/>
      <c r="BI173" s="55" t="n"/>
      <c r="BJ173" s="55" t="n"/>
      <c r="BK173" s="12" t="n"/>
      <c r="BL173" s="55" t="n"/>
      <c r="BM173" s="55" t="n"/>
      <c r="BN173" s="55" t="n"/>
      <c r="BO173" s="55" t="n"/>
      <c r="BP173" s="12" t="n"/>
      <c r="BQ173" s="55" t="n"/>
      <c r="BR173" s="55" t="n"/>
      <c r="BS173" s="55" t="n"/>
      <c r="BT173" s="55" t="n"/>
      <c r="BU173" s="12" t="n"/>
      <c r="BV173" s="55" t="n"/>
      <c r="BW173" s="55" t="n"/>
      <c r="BX173" s="55" t="n"/>
      <c r="BY173" s="55" t="n"/>
      <c r="BZ173" s="12" t="n"/>
      <c r="CA173" s="55" t="n"/>
      <c r="CB173" s="55" t="n"/>
      <c r="CC173" s="55" t="n"/>
      <c r="CD173" s="55" t="n"/>
      <c r="CE173" s="12" t="n"/>
      <c r="CF173" s="55" t="n"/>
      <c r="CG173" s="55" t="n"/>
      <c r="CH173" s="55" t="n"/>
      <c r="CI173" s="55" t="n"/>
      <c r="CJ173" s="12" t="n"/>
      <c r="CK173" s="55" t="n"/>
      <c r="CL173" s="55" t="n"/>
      <c r="CM173" s="55" t="n"/>
      <c r="CN173" s="55" t="n"/>
      <c r="CO173" s="12" t="n"/>
      <c r="CP173" s="55" t="n"/>
      <c r="CQ173" s="55" t="n"/>
      <c r="CR173" s="55" t="n"/>
      <c r="CS173" s="55" t="n"/>
      <c r="CT173" s="12" t="n"/>
      <c r="CU173" s="55" t="n"/>
      <c r="CV173" s="55" t="n"/>
      <c r="CW173" s="55" t="n"/>
      <c r="CX173" s="55" t="n"/>
      <c r="CY173" s="12" t="n"/>
    </row>
    <row r="174" hidden="1" outlineLevel="1">
      <c r="C174" s="57" t="n"/>
      <c r="D174" s="12" t="n"/>
      <c r="E174" s="40" t="n"/>
      <c r="F174" s="40" t="n"/>
      <c r="G174" s="40" t="n"/>
      <c r="H174" s="12" t="n"/>
      <c r="I174" s="40" t="n"/>
      <c r="J174" s="40" t="n"/>
      <c r="K174" s="40" t="n"/>
      <c r="L174" s="40" t="n"/>
      <c r="M174" s="12" t="n"/>
      <c r="N174" s="40" t="n"/>
      <c r="O174" s="40" t="n"/>
      <c r="P174" s="40" t="n"/>
      <c r="Q174" s="40" t="n"/>
      <c r="R174" s="12" t="n"/>
      <c r="S174" s="40" t="n"/>
      <c r="T174" s="40" t="n"/>
      <c r="U174" s="40" t="n"/>
      <c r="V174" s="40" t="n"/>
      <c r="W174" s="12" t="n"/>
      <c r="X174" s="40" t="n"/>
      <c r="Y174" s="40" t="n"/>
      <c r="Z174" s="40" t="n"/>
      <c r="AA174" s="40" t="n"/>
      <c r="AB174" s="12" t="n"/>
      <c r="AC174" s="40" t="n"/>
      <c r="AD174" s="40" t="n"/>
      <c r="AE174" s="40" t="n"/>
      <c r="AF174" s="55" t="n"/>
      <c r="AG174" s="12" t="n"/>
      <c r="AH174" s="55" t="n"/>
      <c r="AI174" s="55" t="n"/>
      <c r="AJ174" s="55" t="n"/>
      <c r="AK174" s="55" t="n"/>
      <c r="AL174" s="12" t="n"/>
      <c r="AM174" s="55" t="n"/>
      <c r="AN174" s="55" t="n"/>
      <c r="AO174" s="55" t="n"/>
      <c r="AP174" s="55" t="n"/>
      <c r="AQ174" s="12" t="n"/>
      <c r="AR174" s="55" t="n"/>
      <c r="AS174" s="55" t="n"/>
      <c r="AT174" s="55" t="n"/>
      <c r="AU174" s="55" t="n"/>
      <c r="AV174" s="12" t="n"/>
      <c r="AW174" s="55" t="n"/>
      <c r="AX174" s="55" t="n"/>
      <c r="AY174" s="55" t="n"/>
      <c r="AZ174" s="55" t="n"/>
      <c r="BA174" s="12" t="n"/>
      <c r="BB174" s="55" t="n"/>
      <c r="BC174" s="55" t="n"/>
      <c r="BD174" s="55" t="n"/>
      <c r="BE174" s="55" t="n"/>
      <c r="BF174" s="12" t="n"/>
      <c r="BG174" s="55" t="n"/>
      <c r="BH174" s="55" t="n"/>
      <c r="BI174" s="55" t="n"/>
      <c r="BJ174" s="55" t="n"/>
      <c r="BK174" s="12" t="n"/>
      <c r="BL174" s="55" t="n"/>
      <c r="BM174" s="55" t="n"/>
      <c r="BN174" s="55" t="n"/>
      <c r="BO174" s="55" t="n"/>
      <c r="BP174" s="12" t="n"/>
      <c r="BQ174" s="55" t="n"/>
      <c r="BR174" s="55" t="n"/>
      <c r="BS174" s="55" t="n"/>
      <c r="BT174" s="55" t="n"/>
      <c r="BU174" s="12" t="n"/>
      <c r="BV174" s="55" t="n"/>
      <c r="BW174" s="55" t="n"/>
      <c r="BX174" s="55" t="n"/>
      <c r="BY174" s="55" t="n"/>
      <c r="BZ174" s="12" t="n"/>
      <c r="CA174" s="55" t="n"/>
      <c r="CB174" s="55" t="n"/>
      <c r="CC174" s="55" t="n"/>
      <c r="CD174" s="55" t="n"/>
      <c r="CE174" s="12" t="n"/>
      <c r="CF174" s="55" t="n"/>
      <c r="CG174" s="55" t="n"/>
      <c r="CH174" s="55" t="n"/>
      <c r="CI174" s="55" t="n"/>
      <c r="CJ174" s="12" t="n"/>
      <c r="CK174" s="55" t="n"/>
      <c r="CL174" s="55" t="n"/>
      <c r="CM174" s="55" t="n"/>
      <c r="CN174" s="55" t="n"/>
      <c r="CO174" s="12" t="n"/>
      <c r="CP174" s="55" t="n"/>
      <c r="CQ174" s="55" t="n"/>
      <c r="CR174" s="55" t="n"/>
      <c r="CS174" s="55" t="n"/>
      <c r="CT174" s="12" t="n"/>
      <c r="CU174" s="55" t="n"/>
      <c r="CV174" s="55" t="n"/>
      <c r="CW174" s="55" t="n"/>
      <c r="CX174" s="55" t="n"/>
      <c r="CY174" s="12" t="n"/>
    </row>
    <row r="175" hidden="1" outlineLevel="1">
      <c r="C175" s="60" t="inlineStr">
        <is>
          <t>Outros Créditos - LP</t>
        </is>
      </c>
      <c r="D175" s="11" t="n"/>
      <c r="E175" s="11" t="n"/>
      <c r="F175" s="11" t="n"/>
      <c r="G175" s="11" t="n"/>
      <c r="H175" s="12" t="n"/>
      <c r="I175" s="11" t="n"/>
      <c r="J175" s="11" t="n"/>
      <c r="K175" s="11" t="n"/>
      <c r="L175" s="11" t="n"/>
      <c r="M175" s="12" t="n"/>
      <c r="N175" s="11" t="n"/>
      <c r="O175" s="11" t="n"/>
      <c r="P175" s="11" t="n"/>
      <c r="Q175" s="11" t="n"/>
      <c r="R175" s="12" t="n"/>
      <c r="S175" s="11" t="n"/>
      <c r="T175" s="11" t="n"/>
      <c r="U175" s="11" t="n"/>
      <c r="V175" s="11" t="n"/>
      <c r="W175" s="12" t="n"/>
      <c r="X175" s="11" t="n"/>
      <c r="Y175" s="11" t="n"/>
      <c r="Z175" s="11" t="n"/>
      <c r="AA175" s="11" t="n"/>
      <c r="AB175" s="12" t="n"/>
      <c r="AC175" s="11" t="n"/>
      <c r="AD175" s="11" t="n"/>
      <c r="AE175" s="11" t="n"/>
      <c r="AF175" s="11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60" t="inlineStr">
        <is>
          <t xml:space="preserve">Impostos e Contribuições a Recuperar </t>
        </is>
      </c>
      <c r="D176" s="11" t="n"/>
      <c r="E176" s="11" t="n"/>
      <c r="F176" s="11" t="n"/>
      <c r="G176" s="11" t="n"/>
      <c r="H176" s="12" t="n"/>
      <c r="I176" s="11" t="n"/>
      <c r="J176" s="11" t="n"/>
      <c r="K176" s="11" t="n"/>
      <c r="L176" s="11" t="n"/>
      <c r="M176" s="12" t="n"/>
      <c r="N176" s="11" t="n"/>
      <c r="O176" s="11" t="n"/>
      <c r="P176" s="11" t="n"/>
      <c r="Q176" s="11" t="n"/>
      <c r="R176" s="12" t="n"/>
      <c r="S176" s="11" t="n"/>
      <c r="T176" s="11" t="n"/>
      <c r="U176" s="11" t="n"/>
      <c r="V176" s="11" t="n"/>
      <c r="W176" s="12" t="n"/>
      <c r="X176" s="11" t="n"/>
      <c r="Y176" s="11" t="n"/>
      <c r="Z176" s="11" t="n"/>
      <c r="AA176" s="11" t="n"/>
      <c r="AB176" s="12" t="n"/>
      <c r="AC176" s="11" t="n"/>
      <c r="AD176" s="11" t="n"/>
      <c r="AE176" s="11" t="n"/>
      <c r="AF176" s="11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60" t="inlineStr">
        <is>
          <t xml:space="preserve">Imposto de Renda e Contribuição Social Diferidos </t>
        </is>
      </c>
      <c r="D177" s="11" t="n"/>
      <c r="E177" s="11" t="n"/>
      <c r="F177" s="11" t="n"/>
      <c r="G177" s="11" t="n"/>
      <c r="H177" s="12" t="n"/>
      <c r="I177" s="11" t="n"/>
      <c r="J177" s="11" t="n"/>
      <c r="K177" s="11" t="n"/>
      <c r="L177" s="11" t="n"/>
      <c r="M177" s="12" t="n"/>
      <c r="N177" s="11" t="n"/>
      <c r="O177" s="11" t="n"/>
      <c r="P177" s="11" t="n"/>
      <c r="Q177" s="11" t="n"/>
      <c r="R177" s="12" t="n"/>
      <c r="S177" s="11" t="n"/>
      <c r="T177" s="11" t="n"/>
      <c r="U177" s="11" t="n"/>
      <c r="V177" s="11" t="n"/>
      <c r="W177" s="12" t="n"/>
      <c r="X177" s="11" t="n"/>
      <c r="Y177" s="11" t="n"/>
      <c r="Z177" s="11" t="n"/>
      <c r="AA177" s="11" t="n"/>
      <c r="AB177" s="12" t="n"/>
      <c r="AC177" s="11" t="n"/>
      <c r="AD177" s="11" t="n"/>
      <c r="AE177" s="11" t="n"/>
      <c r="AF177" s="11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60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hidden="1" outlineLevel="1">
      <c r="C179" s="57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collapsed="1" customFormat="1" s="32">
      <c r="A180" s="30" t="n"/>
      <c r="B180" s="3" t="n"/>
      <c r="C180" s="33" t="inlineStr">
        <is>
          <t>Total Assets</t>
        </is>
      </c>
      <c r="D180" s="35" t="n"/>
      <c r="E180" s="35" t="n"/>
      <c r="F180" s="35" t="n"/>
      <c r="G180" s="35" t="n"/>
      <c r="H180" s="35" t="n"/>
      <c r="I180" s="35">
        <f>SUM(I127,I128,I132,I136,I137,I138,I144,I149,I159,I162,I163,I172)</f>
        <v>80195</v>
      </c>
      <c r="J180" s="35">
        <f>SUM(J127,J128,J132,J136,J137,J138,J144,J149,J159,J162,J163,J172)</f>
        <v>82671</v>
      </c>
      <c r="K180" s="35">
        <f>SUM(K127,K128,K132,K136,K137,K138,K144,K149,K159,K162,K163,K172)</f>
        <v>82896</v>
      </c>
      <c r="L180" s="35">
        <f>SUM(L127,L128,L132,L136,L137,L138,L144,L149,L159,L162,L163,L172)</f>
        <v>81929</v>
      </c>
      <c r="M180" s="35">
        <f>SUM(M127,M128,M132,M136,M137,M138,M144,M149,M159,M162,M163,M172)</f>
        <v>81929</v>
      </c>
      <c r="N180" s="35">
        <f>SUM(N127,N128,N132,N136,N137,N138,N144,N149,N159,N162,N163,N172)</f>
        <v>81808</v>
      </c>
      <c r="O180" s="35">
        <f>SUM(O127,O128,O132,O136,O137,O138,O144,O149,O159,O162,O163,O172)</f>
        <v>85410</v>
      </c>
      <c r="P180" s="35">
        <f>SUM(P127,P128,P132,P136,P137,P138,P144,P149,P159,P162,P163,P172)</f>
        <v>85501</v>
      </c>
      <c r="Q180" s="35">
        <f>SUM(Q127,Q128,Q132,Q136,Q137,Q138,Q144,Q149,Q159,Q162,Q163,Q172)</f>
        <v>85387</v>
      </c>
      <c r="R180" s="35">
        <f>SUM(R127,R128,R132,R136,R137,R138,R144,R149,R159,R162,R163,R172)</f>
        <v>85387</v>
      </c>
      <c r="S180" s="35">
        <f>SUM(S127,S128,S132,S136,S137,S138,S144,S149,S159,S162,S163,S172)</f>
        <v>86755</v>
      </c>
      <c r="T180" s="35">
        <f>SUM(T127,T128,T132,T136,T137,T138,T144,T149,T159,T162,T163,T172)</f>
        <v>89234</v>
      </c>
      <c r="U180" s="35">
        <f>SUM(U127,U128,U132,U136,U137,U138,U144,U149,U159,U162,U163,U172)</f>
        <v>90499</v>
      </c>
      <c r="V180" s="35">
        <f>SUM(V127,V128,V132,V136,V137,V138,V144,V149,V159,V162,V163,V172)</f>
        <v>91409</v>
      </c>
      <c r="W180" s="35">
        <f>SUM(W127,W128,W132,W136,W137,W138,W144,W149,W159,W162,W163,W172)</f>
        <v>91409</v>
      </c>
      <c r="X180" s="35">
        <f>SUM(X127,X128,X132,X136,X137,X138,X144,X149,X159,X162,X163,X172)</f>
        <v>92399</v>
      </c>
      <c r="Y180" s="35">
        <f>SUM(Y127,Y128,Y132,Y136,Y137,Y138,Y144,Y149,Y159,Y162,Y163,Y172)</f>
        <v>91040</v>
      </c>
      <c r="Z180" s="35">
        <f>SUM(Z127,Z128,Z132,Z136,Z137,Z138,Z144,Z149,Z159,Z162,Z163,Z172)</f>
        <v>94511</v>
      </c>
      <c r="AA180" s="35">
        <f>SUM(AA127,AA128,AA132,AA136,AA137,AA138,AA144,AA149,AA159,AA162,AA163,AA172)</f>
        <v>91888</v>
      </c>
      <c r="AB180" s="35">
        <f>SUM(AB127,AB128,AB132,AB136,AB137,AB138,AB144,AB149,AB159,AB162,AB163,AB172)</f>
        <v>91888</v>
      </c>
      <c r="AC180" s="35">
        <f>SUM(AC127,AC128,AC132,AC136,AC137,AC138,AC144,AC149,AC159,AC162,AC163,AC172)</f>
        <v>92853</v>
      </c>
      <c r="AD180" s="35">
        <f>SUM(AD127,AD128,AD132,AD136,AD137,AD138,AD144,AD149,AD159,AD162,AD163,AD172)</f>
        <v>100024</v>
      </c>
      <c r="AE180" s="35">
        <f>SUM(AE127,AE128,AE132,AE136,AE137,AE138,AE144,AE149,AE159,AE162,AE163,AE172)</f>
        <v>99627</v>
      </c>
      <c r="AF180" s="35">
        <f>SUM(AF127,AF128,AF132,AF136,AF137,AF138,AF144,AF149,AF159,AF162,AF163,AF172)</f>
        <v>96814</v>
      </c>
      <c r="AG180" s="35">
        <f>SUM(AG127,AG128,AG132,AG136,AG137,AG138,AG144,AG149,AG159,AG162,AG163,AG172)</f>
        <v>96814</v>
      </c>
      <c r="AH180" s="35">
        <f>SUM(AH127,AH128,AH132,AH136,AH137,AH138,AH144,AH149,AH159,AH162,AH163,AH172)</f>
        <v>95049</v>
      </c>
      <c r="AI180" s="35">
        <f>SUM(AI127,AI128,AI132,AI136,AI137,AI138,AI144,AI149,AI159,AI162,AI163,AI172)</f>
        <v>94590</v>
      </c>
      <c r="AJ180" s="35">
        <f>SUM(AJ127,AJ128,AJ132,AJ136,AJ137,AJ138,AJ144,AJ149,AJ159,AJ162,AJ163,AJ172)</f>
        <v>101361.166109929</v>
      </c>
      <c r="AK180" s="35">
        <f>SUM(AK127,AK128,AK132,AK136,AK137,AK138,AK144,AK149,AK159,AK162,AK163,AK172)</f>
        <v>108928.81695781</v>
      </c>
      <c r="AL180" s="35">
        <f>SUM(AL127,AL128,AL132,AL136,AL137,AL138,AL144,AL149,AL159,AL162,AL163,AL172)</f>
        <v>108928.81695781</v>
      </c>
      <c r="AM180" s="35">
        <f>SUM(AM127,AM128,AM132,AM136,AM137,AM138,AM144,AM149,AM159,AM162,AM163,AM172)</f>
        <v>116848.027846378</v>
      </c>
      <c r="AN180" s="35">
        <f>SUM(AN127,AN128,AN132,AN136,AN137,AN138,AN144,AN149,AN159,AN162,AN163,AN172)</f>
        <v>125183.664976111</v>
      </c>
      <c r="AO180" s="35">
        <f>SUM(AO127,AO128,AO132,AO136,AO137,AO138,AO144,AO149,AO159,AO162,AO163,AO172)</f>
        <v>134041.591330124</v>
      </c>
      <c r="AP180" s="35">
        <f>SUM(AP127,AP128,AP132,AP136,AP137,AP138,AP144,AP149,AP159,AP162,AP163,AP172)</f>
        <v>143249.387395646</v>
      </c>
      <c r="AQ180" s="35">
        <f>SUM(AQ127,AQ128,AQ132,AQ136,AQ137,AQ138,AQ144,AQ149,AQ159,AQ162,AQ163,AQ172)</f>
        <v>143249.387395646</v>
      </c>
      <c r="AR180" s="35">
        <f>SUM(AR127,AR128,AR132,AR136,AR137,AR138,AR144,AR149,AR159,AR162,AR163,AR172)</f>
        <v>152825.076851729</v>
      </c>
      <c r="AS180" s="35">
        <f>SUM(AS127,AS128,AS132,AS136,AS137,AS138,AS144,AS149,AS159,AS162,AS163,AS172)</f>
        <v>162945.321308328</v>
      </c>
      <c r="AT180" s="35">
        <f>SUM(AT127,AT128,AT132,AT136,AT137,AT138,AT144,AT149,AT159,AT162,AT163,AT172)</f>
        <v>173738.385284823</v>
      </c>
      <c r="AU180" s="35">
        <f>SUM(AU127,AU128,AU132,AU136,AU137,AU138,AU144,AU149,AU159,AU162,AU163,AU172)</f>
        <v>185018.975343118</v>
      </c>
      <c r="AV180" s="35">
        <f>SUM(AV127,AV128,AV132,AV136,AV137,AV138,AV144,AV149,AV159,AV162,AV163,AV172)</f>
        <v>185018.975343118</v>
      </c>
      <c r="AW180" s="35">
        <f>SUM(AW127,AW128,AW132,AW136,AW137,AW138,AW144,AW149,AW159,AW162,AW163,AW172)</f>
        <v>196739.92409216</v>
      </c>
      <c r="AX180" s="35">
        <f>SUM(AX127,AX128,AX132,AX136,AX137,AX138,AX144,AX149,AX159,AX162,AX163,AX172)</f>
        <v>209180.147542987</v>
      </c>
      <c r="AY180" s="35">
        <f>SUM(AY127,AY128,AY132,AY136,AY137,AY138,AY144,AY149,AY159,AY162,AY163,AY172)</f>
        <v>222495.763927238</v>
      </c>
      <c r="AZ180" s="35">
        <f>SUM(AZ127,AZ128,AZ132,AZ136,AZ137,AZ138,AZ144,AZ149,AZ159,AZ162,AZ163,AZ172)</f>
        <v>236491.318612699</v>
      </c>
      <c r="BA180" s="35">
        <f>SUM(BA127,BA128,BA132,BA136,BA137,BA138,BA144,BA149,BA159,BA162,BA163,BA172)</f>
        <v>236491.318612699</v>
      </c>
      <c r="BB180" s="35">
        <f>SUM(BB127,BB128,BB132,BB136,BB137,BB138,BB144,BB149,BB159,BB162,BB163,BB172)</f>
        <v>251022.551133777</v>
      </c>
      <c r="BC180" s="35">
        <f>SUM(BC127,BC128,BC132,BC136,BC137,BC138,BC144,BC149,BC159,BC162,BC163,BC172)</f>
        <v>266509.325221692</v>
      </c>
      <c r="BD180" s="35">
        <f>SUM(BD127,BD128,BD132,BD136,BD137,BD138,BD144,BD149,BD159,BD162,BD163,BD172)</f>
        <v>283142.208652057</v>
      </c>
      <c r="BE180" s="35">
        <f>SUM(BE127,BE128,BE132,BE136,BE137,BE138,BE144,BE149,BE159,BE162,BE163,BE172)</f>
        <v>300719.494292491</v>
      </c>
      <c r="BF180" s="35">
        <f>SUM(BF127,BF128,BF132,BF136,BF137,BF138,BF144,BF149,BF159,BF162,BF163,BF172)</f>
        <v>300719.494292491</v>
      </c>
      <c r="BG180" s="35" t="n"/>
      <c r="BH180" s="35" t="n"/>
      <c r="BI180" s="35" t="n"/>
      <c r="BJ180" s="35" t="n"/>
      <c r="BK180" s="35" t="n"/>
      <c r="BL180" s="35" t="n"/>
      <c r="BM180" s="35" t="n"/>
      <c r="BN180" s="35" t="n"/>
      <c r="BO180" s="35" t="n"/>
      <c r="BP180" s="35" t="n"/>
      <c r="BQ180" s="35" t="n"/>
      <c r="BR180" s="35" t="n"/>
      <c r="BS180" s="35" t="n"/>
      <c r="BT180" s="35" t="n"/>
      <c r="BU180" s="35" t="n"/>
      <c r="BV180" s="35" t="n"/>
      <c r="BW180" s="35" t="n"/>
      <c r="BX180" s="35" t="n"/>
      <c r="BY180" s="35" t="n"/>
      <c r="BZ180" s="35" t="n"/>
      <c r="CA180" s="35" t="n"/>
      <c r="CB180" s="35" t="n"/>
      <c r="CC180" s="35" t="n"/>
      <c r="CD180" s="35" t="n"/>
      <c r="CE180" s="35" t="n"/>
      <c r="CF180" s="35" t="n"/>
      <c r="CG180" s="35" t="n"/>
      <c r="CH180" s="35" t="n"/>
      <c r="CI180" s="35" t="n"/>
      <c r="CJ180" s="35" t="n"/>
      <c r="CK180" s="35" t="n"/>
      <c r="CL180" s="35" t="n"/>
      <c r="CM180" s="35" t="n"/>
      <c r="CN180" s="35" t="n"/>
      <c r="CO180" s="35" t="n"/>
      <c r="CP180" s="35" t="n"/>
      <c r="CQ180" s="35" t="n"/>
      <c r="CR180" s="35" t="n"/>
      <c r="CS180" s="35" t="n"/>
      <c r="CT180" s="35" t="n"/>
      <c r="CU180" s="35" t="n"/>
      <c r="CV180" s="35" t="n"/>
      <c r="CW180" s="35" t="n"/>
      <c r="CX180" s="35" t="n"/>
      <c r="CY180" s="35" t="n"/>
    </row>
    <row r="181">
      <c r="C181" s="14" t="inlineStr">
        <is>
          <t>Accounts payable</t>
        </is>
      </c>
      <c r="D181" s="46" t="n"/>
      <c r="E181" s="46" t="n"/>
      <c r="F181" s="46" t="n"/>
      <c r="G181" s="46" t="n"/>
      <c r="H181" s="12" t="n"/>
      <c r="I181" s="46">
        <f>'Inputs (2)'!D28</f>
        <v>126</v>
      </c>
      <c r="J181" s="46">
        <f>'Inputs (2)'!E28</f>
        <v>172</v>
      </c>
      <c r="K181" s="46">
        <f>'Inputs (2)'!F28</f>
        <v>266</v>
      </c>
      <c r="L181" s="46">
        <f>'Inputs (2)'!G28</f>
        <v>252</v>
      </c>
      <c r="M181" s="12">
        <f>'Inputs (2)'!H28</f>
        <v>252</v>
      </c>
      <c r="N181" s="46">
        <f>'Inputs (2)'!I28</f>
        <v>182</v>
      </c>
      <c r="O181" s="46">
        <f>'Inputs (2)'!J28</f>
        <v>228</v>
      </c>
      <c r="P181" s="46">
        <f>'Inputs (2)'!K28</f>
        <v>340</v>
      </c>
      <c r="Q181" s="46">
        <f>'Inputs (2)'!L28</f>
        <v>258</v>
      </c>
      <c r="R181" s="12">
        <f>'Inputs (2)'!M28</f>
        <v>258</v>
      </c>
      <c r="S181" s="46">
        <f>'Inputs (2)'!N28</f>
        <v>280</v>
      </c>
      <c r="T181" s="46">
        <f>'Inputs (2)'!O28</f>
        <v>281</v>
      </c>
      <c r="U181" s="46">
        <f>'Inputs (2)'!P28</f>
        <v>375</v>
      </c>
      <c r="V181" s="46">
        <f>'Inputs (2)'!Q28</f>
        <v>348</v>
      </c>
      <c r="W181" s="12">
        <f>'Inputs (2)'!R28</f>
        <v>348</v>
      </c>
      <c r="X181" s="46">
        <f>'Inputs (2)'!S28</f>
        <v>338</v>
      </c>
      <c r="Y181" s="46">
        <f>'Inputs (2)'!T28</f>
        <v>331</v>
      </c>
      <c r="Z181" s="46">
        <f>'Inputs (2)'!U28</f>
        <v>479</v>
      </c>
      <c r="AA181" s="46">
        <f>'Inputs (2)'!V28</f>
        <v>405</v>
      </c>
      <c r="AB181" s="12">
        <f>'Inputs (2)'!W28</f>
        <v>405</v>
      </c>
      <c r="AC181" s="46">
        <f>'Inputs (2)'!X28</f>
        <v>421</v>
      </c>
      <c r="AD181" s="46">
        <f>'Inputs (2)'!Y28</f>
        <v>462</v>
      </c>
      <c r="AE181" s="46">
        <f>'Inputs (2)'!Z28</f>
        <v>555</v>
      </c>
      <c r="AF181" s="46">
        <f>'Inputs (2)'!AA28</f>
        <v>433</v>
      </c>
      <c r="AG181" s="12">
        <f>'Inputs (2)'!AB28</f>
        <v>433</v>
      </c>
      <c r="AH181" s="12">
        <f>'Inputs (2)'!AC28</f>
        <v>557</v>
      </c>
      <c r="AI181" s="12">
        <f>'Inputs (2)'!AD28</f>
        <v>553</v>
      </c>
      <c r="AJ181" s="12">
        <f>(AJ182/(AJ$5-AI$5))*-AJ$37</f>
        <v>0</v>
      </c>
      <c r="AK181" s="12">
        <f>(AK182/(AK$5-AJ$5))*-AK$37</f>
        <v>0</v>
      </c>
      <c r="AL181" s="12">
        <f>AK181</f>
        <v>0</v>
      </c>
      <c r="AM181" s="12">
        <f>(AM182/(AM$5-AL$5))*-AM$37</f>
        <v>0</v>
      </c>
      <c r="AN181" s="12">
        <f>(AN182/(AN$5-AM$5))*-AN$37</f>
        <v>0</v>
      </c>
      <c r="AO181" s="12">
        <f>(AO182/(AO$5-AN$5))*-AO$37</f>
        <v>0</v>
      </c>
      <c r="AP181" s="12">
        <f>(AP182/(AP$5-AO$5))*-AP$37</f>
        <v>0</v>
      </c>
      <c r="AQ181" s="12">
        <f>AP181</f>
        <v>0</v>
      </c>
      <c r="AR181" s="12">
        <f>(AR182/(AR$5-AQ$5))*-AR$37</f>
        <v>0</v>
      </c>
      <c r="AS181" s="12">
        <f>(AS182/(AS$5-AR$5))*-AS$37</f>
        <v>0</v>
      </c>
      <c r="AT181" s="12">
        <f>(AT182/(AT$5-AS$5))*-AT$37</f>
        <v>0</v>
      </c>
      <c r="AU181" s="12">
        <f>(AU182/(AU$5-AT$5))*-AU$37</f>
        <v>0</v>
      </c>
      <c r="AV181" s="12">
        <f>AU181</f>
        <v>0</v>
      </c>
      <c r="AW181" s="12">
        <f>(AW182/(AW$5-AV$5))*-AW$37</f>
        <v>0</v>
      </c>
      <c r="AX181" s="12">
        <f>(AX182/(AX$5-AW$5))*-AX$37</f>
        <v>0</v>
      </c>
      <c r="AY181" s="12">
        <f>(AY182/(AY$5-AX$5))*-AY$37</f>
        <v>0</v>
      </c>
      <c r="AZ181" s="12">
        <f>(AZ182/(AZ$5-AY$5))*-AZ$37</f>
        <v>0</v>
      </c>
      <c r="BA181" s="12">
        <f>AZ181</f>
        <v>0</v>
      </c>
      <c r="BB181" s="12">
        <f>(BB182/(BB$5-BA$5))*-BB$37</f>
        <v>0</v>
      </c>
      <c r="BC181" s="12">
        <f>(BC182/(BC$5-BB$5))*-BC$37</f>
        <v>0</v>
      </c>
      <c r="BD181" s="12">
        <f>(BD182/(BD$5-BC$5))*-BD$37</f>
        <v>0</v>
      </c>
      <c r="BE181" s="12">
        <f>(BE182/(BE$5-BD$5))*-BE$37</f>
        <v>0</v>
      </c>
      <c r="BF181" s="12">
        <f>BE181</f>
        <v>0</v>
      </c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DPO</t>
        </is>
      </c>
      <c r="D182" s="12" t="n"/>
      <c r="E182" s="12" t="n"/>
      <c r="F182" s="12" t="n"/>
      <c r="G182" s="12" t="n"/>
      <c r="H182" s="12" t="n"/>
      <c r="I182" s="12" t="str">
        <f>IFERROR(-(I181/I$37)*(I$5-H$5),"")</f>
        <v/>
      </c>
      <c r="J182" s="12" t="str">
        <f>IFERROR(-(J181/J$37)*(J$5-I$5),"")</f>
        <v/>
      </c>
      <c r="K182" s="12" t="str">
        <f>IFERROR(-(K181/K$37)*(K$5-J$5),"")</f>
        <v/>
      </c>
      <c r="L182" s="12" t="str">
        <f>IFERROR(-(L181/L$37)*(L$5-K$5),"")</f>
        <v/>
      </c>
      <c r="M182" s="12" t="n"/>
      <c r="N182" s="12" t="str">
        <f>IFERROR(-(N181/N$37)*(N$5-M$5),"")</f>
        <v/>
      </c>
      <c r="O182" s="12" t="str">
        <f>IFERROR(-(O181/O$37)*(O$5-N$5),"")</f>
        <v/>
      </c>
      <c r="P182" s="12" t="str">
        <f>IFERROR(-(P181/P$37)*(P$5-O$5),"")</f>
        <v/>
      </c>
      <c r="Q182" s="12" t="str">
        <f>IFERROR(-(Q181/Q$37)*(Q$5-P$5),"")</f>
        <v/>
      </c>
      <c r="R182" s="12" t="n"/>
      <c r="S182" s="12" t="str">
        <f>IFERROR(-(S181/S$37)*(S$5-R$5),"")</f>
        <v/>
      </c>
      <c r="T182" s="12" t="str">
        <f>IFERROR(-(T181/T$37)*(T$5-S$5),"")</f>
        <v/>
      </c>
      <c r="U182" s="12" t="str">
        <f>IFERROR(-(U181/U$37)*(U$5-T$5),"")</f>
        <v/>
      </c>
      <c r="V182" s="12" t="str">
        <f>IFERROR(-(V181/V$37)*(V$5-U$5),"")</f>
        <v/>
      </c>
      <c r="W182" s="12" t="n"/>
      <c r="X182" s="12" t="str">
        <f>IFERROR(-(X181/X$37)*(X$5-W$5),"")</f>
        <v/>
      </c>
      <c r="Y182" s="12" t="str">
        <f>IFERROR(-(Y181/Y$37)*(Y$5-X$5),"")</f>
        <v/>
      </c>
      <c r="Z182" s="12" t="str">
        <f>IFERROR(-(Z181/Z$37)*(Z$5-Y$5),"")</f>
        <v/>
      </c>
      <c r="AA182" s="12" t="str">
        <f>IFERROR(-(AA181/AA$37)*(AA$5-Z$5),"")</f>
        <v/>
      </c>
      <c r="AB182" s="12" t="n"/>
      <c r="AC182" s="12" t="str">
        <f>IFERROR(-(AC181/AC$37)*(AC$5-AB$5),"")</f>
        <v/>
      </c>
      <c r="AD182" s="12" t="str">
        <f>IFERROR(-(AD181/AD$37)*(AD$5-AC$5),"")</f>
        <v/>
      </c>
      <c r="AE182" s="12" t="str">
        <f>IFERROR(-(AE181/AE$37)*(AE$5-AD$5),"")</f>
        <v/>
      </c>
      <c r="AF182" s="11" t="str">
        <f>IFERROR(-(AF181/AF$37)*(AF$5-AE$5),"")</f>
        <v/>
      </c>
      <c r="AG182" s="12" t="n"/>
      <c r="AH182" s="11" t="str">
        <f>IFERROR(-(AH181/AH$37)*(AH$5-AG$5),"")</f>
        <v/>
      </c>
      <c r="AI182" s="11" t="str">
        <f>IFERROR(-(AI181/AI$37)*(AI$5-AH$5),"")</f>
        <v/>
      </c>
      <c r="AJ182" s="11">
        <f>Control!$B$27</f>
        <v>0</v>
      </c>
      <c r="AK182" s="11">
        <f>Control!$B$27</f>
        <v>0</v>
      </c>
      <c r="AL182" s="12" t="n"/>
      <c r="AM182" s="11">
        <f>Control!$C$27</f>
        <v>0</v>
      </c>
      <c r="AN182" s="11">
        <f>Control!$C$27</f>
        <v>0</v>
      </c>
      <c r="AO182" s="11">
        <f>Control!$C$27</f>
        <v>0</v>
      </c>
      <c r="AP182" s="11">
        <f>Control!$C$27</f>
        <v>0</v>
      </c>
      <c r="AQ182" s="12" t="n"/>
      <c r="AR182" s="11">
        <f>Control!$D$27</f>
        <v>0</v>
      </c>
      <c r="AS182" s="11">
        <f>Control!$D$27</f>
        <v>0</v>
      </c>
      <c r="AT182" s="11">
        <f>Control!$D$27</f>
        <v>0</v>
      </c>
      <c r="AU182" s="11">
        <f>Control!$D$27</f>
        <v>0</v>
      </c>
      <c r="AV182" s="12" t="n"/>
      <c r="AW182" s="11">
        <f>Control!$E$27</f>
        <v>0</v>
      </c>
      <c r="AX182" s="11">
        <f>Control!$E$27</f>
        <v>0</v>
      </c>
      <c r="AY182" s="11">
        <f>Control!$E$27</f>
        <v>0</v>
      </c>
      <c r="AZ182" s="11">
        <f>Control!$E$27</f>
        <v>0</v>
      </c>
      <c r="BA182" s="12" t="n"/>
      <c r="BB182" s="11">
        <f>Control!$F$27</f>
        <v>0</v>
      </c>
      <c r="BC182" s="11">
        <f>Control!$F$27</f>
        <v>0</v>
      </c>
      <c r="BD182" s="11">
        <f>Control!$F$27</f>
        <v>0</v>
      </c>
      <c r="BE182" s="11">
        <f>Control!$F$27</f>
        <v>0</v>
      </c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>
      <c r="C185" s="14" t="inlineStr">
        <is>
          <t>Accrued expenses</t>
        </is>
      </c>
      <c r="D185" s="46" t="n"/>
      <c r="E185" s="46" t="n"/>
      <c r="F185" s="46" t="n"/>
      <c r="G185" s="46" t="n"/>
      <c r="H185" s="12" t="n"/>
      <c r="I185" s="46">
        <f>'Inputs (2)'!D29</f>
        <v>2882</v>
      </c>
      <c r="J185" s="46">
        <f>'Inputs (2)'!E29</f>
        <v>3240</v>
      </c>
      <c r="K185" s="46">
        <f>'Inputs (2)'!F29</f>
        <v>3545</v>
      </c>
      <c r="L185" s="46">
        <f>'Inputs (2)'!G29</f>
        <v>3690</v>
      </c>
      <c r="M185" s="12">
        <f>'Inputs (2)'!H29</f>
        <v>3690</v>
      </c>
      <c r="N185" s="46">
        <f>'Inputs (2)'!I29</f>
        <v>4049</v>
      </c>
      <c r="O185" s="46">
        <f>'Inputs (2)'!J29</f>
        <v>4409</v>
      </c>
      <c r="P185" s="46">
        <f>'Inputs (2)'!K29</f>
        <v>5085</v>
      </c>
      <c r="Q185" s="46">
        <f>'Inputs (2)'!L29</f>
        <v>4676</v>
      </c>
      <c r="R185" s="12">
        <f>'Inputs (2)'!M29</f>
        <v>4676</v>
      </c>
      <c r="S185" s="46">
        <f>'Inputs (2)'!N29</f>
        <v>4624</v>
      </c>
      <c r="T185" s="46">
        <f>'Inputs (2)'!O29</f>
        <v>5290</v>
      </c>
      <c r="U185" s="46">
        <f>'Inputs (2)'!P29</f>
        <v>6521</v>
      </c>
      <c r="V185" s="46">
        <f>'Inputs (2)'!Q29</f>
        <v>5893</v>
      </c>
      <c r="W185" s="12">
        <f>'Inputs (2)'!R29</f>
        <v>5893</v>
      </c>
      <c r="X185" s="46">
        <f>'Inputs (2)'!S29</f>
        <v>5451</v>
      </c>
      <c r="Y185" s="46">
        <f>'Inputs (2)'!T29</f>
        <v>5983</v>
      </c>
      <c r="Z185" s="46">
        <f>'Inputs (2)'!U29</f>
        <v>6447</v>
      </c>
      <c r="AA185" s="46">
        <f>'Inputs (2)'!V29</f>
        <v>5916</v>
      </c>
      <c r="AB185" s="12">
        <f>'Inputs (2)'!W29</f>
        <v>5916</v>
      </c>
      <c r="AC185" s="46">
        <f>'Inputs (2)'!X29</f>
        <v>5732</v>
      </c>
      <c r="AD185" s="46">
        <f>'Inputs (2)'!Y29</f>
        <v>6381</v>
      </c>
      <c r="AE185" s="46">
        <f>'Inputs (2)'!Z29</f>
        <v>7329</v>
      </c>
      <c r="AF185" s="46">
        <f>'Inputs (2)'!AA29</f>
        <v>6734</v>
      </c>
      <c r="AG185" s="12">
        <f>'Inputs (2)'!AB29</f>
        <v>6734</v>
      </c>
      <c r="AH185" s="12">
        <f>'Inputs (2)'!AC29</f>
        <v>7062</v>
      </c>
      <c r="AI185" s="12">
        <f>'Inputs (2)'!AD29</f>
        <v>7628</v>
      </c>
      <c r="AJ185" s="12">
        <f>AI185*(1+AJ16)</f>
        <v>8660.04709974531</v>
      </c>
      <c r="AK185" s="12">
        <f>AJ185*(1+AK16)</f>
        <v>9831.72729022117</v>
      </c>
      <c r="AL185" s="12">
        <f>AK185</f>
        <v>9831.72729022117</v>
      </c>
      <c r="AM185" s="12">
        <f>AL185*(1+AM16)</f>
        <v>11161.9325386951</v>
      </c>
      <c r="AN185" s="12">
        <f>AM185*(1+AN16)</f>
        <v>12672.1108428526</v>
      </c>
      <c r="AO185" s="12">
        <f>AN185*(1+AO16)</f>
        <v>14386.6120545748</v>
      </c>
      <c r="AP185" s="12">
        <f>AO185*(1+AP16)</f>
        <v>16333.0804927086</v>
      </c>
      <c r="AQ185" s="12">
        <f>AP185</f>
        <v>16333.0804927086</v>
      </c>
      <c r="AR185" s="12">
        <f>AQ185*(1+AR16)</f>
        <v>18461.235272784</v>
      </c>
      <c r="AS185" s="12">
        <f>AR185*(1+AS16)</f>
        <v>20866.6826780919</v>
      </c>
      <c r="AT185" s="12">
        <f>AS185*(1+AT16)</f>
        <v>23585.5531633944</v>
      </c>
      <c r="AU185" s="12">
        <f>AT185*(1+AU16)</f>
        <v>26658.6848808194</v>
      </c>
      <c r="AV185" s="12">
        <f>AU185</f>
        <v>26658.6848808194</v>
      </c>
      <c r="AW185" s="12">
        <f>AV185*(1+AW16)</f>
        <v>29998.9436552773</v>
      </c>
      <c r="AX185" s="12">
        <f>AW185*(1+AX16)</f>
        <v>33757.7275269117</v>
      </c>
      <c r="AY185" s="12">
        <f>AX185*(1+AY16)</f>
        <v>37987.4765217188</v>
      </c>
      <c r="AZ185" s="12">
        <f>AY185*(1+AZ16)</f>
        <v>42747.2012545198</v>
      </c>
      <c r="BA185" s="12">
        <f>AZ185</f>
        <v>42747.2012545198</v>
      </c>
      <c r="BB185" s="12">
        <f>BA185*(1+BB16)</f>
        <v>47889.5701991205</v>
      </c>
      <c r="BC185" s="12">
        <f>BB185*(1+BC16)</f>
        <v>53650.5517683219</v>
      </c>
      <c r="BD185" s="12">
        <f>BC185*(1+BD16)</f>
        <v>60104.5633334635</v>
      </c>
      <c r="BE185" s="12">
        <f>BD185*(1+BE16)</f>
        <v>67334.9744678558</v>
      </c>
      <c r="BF185" s="12">
        <f>BE185</f>
        <v>67334.9744678558</v>
      </c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9" t="inlineStr">
        <is>
          <t>%(Var.)</t>
        </is>
      </c>
      <c r="D186" s="12" t="n"/>
      <c r="E186" s="40" t="n"/>
      <c r="F186" s="40" t="n"/>
      <c r="G186" s="40" t="n"/>
      <c r="H186" s="12" t="n"/>
      <c r="I186" s="40" t="str">
        <f>""</f>
        <v/>
      </c>
      <c r="J186" s="40">
        <f>IFERROR(IF(I185=0,"",J185/I185-1),"")</f>
        <v>0.124219292158223</v>
      </c>
      <c r="K186" s="40">
        <f>IFERROR(IF(J185=0,"",K185/J185-1),"")</f>
        <v>0.0941358024691359</v>
      </c>
      <c r="L186" s="40">
        <f>IFERROR(IF(K185=0,"",L185/K185-1),"")</f>
        <v>0.0409026798307475</v>
      </c>
      <c r="M186" s="12">
        <f>IF(L185=0,"",M185/L185-1)</f>
        <v>0</v>
      </c>
      <c r="N186" s="40">
        <f>IFERROR(IF(M185=0,"",N185/M185-1),"")</f>
        <v>0.097289972899729</v>
      </c>
      <c r="O186" s="40">
        <f>IFERROR(IF(N185=0,"",O185/N185-1),"")</f>
        <v>0.0889108421832552</v>
      </c>
      <c r="P186" s="40">
        <f>IFERROR(IF(O185=0,"",P185/O185-1),"")</f>
        <v>0.153322748922658</v>
      </c>
      <c r="Q186" s="40">
        <f>IFERROR(IF(P185=0,"",Q185/P185-1),"")</f>
        <v>-0.0804326450344149</v>
      </c>
      <c r="R186" s="12">
        <f>IF(Q185=0,"",R185/Q185-1)</f>
        <v>0</v>
      </c>
      <c r="S186" s="40">
        <f>IFERROR(IF(R185=0,"",S185/R185-1),"")</f>
        <v>-0.0111206159110351</v>
      </c>
      <c r="T186" s="40">
        <f>IFERROR(IF(S185=0,"",T185/S185-1),"")</f>
        <v>0.144031141868512</v>
      </c>
      <c r="U186" s="40">
        <f>IFERROR(IF(T185=0,"",U185/T185-1),"")</f>
        <v>0.232703213610586</v>
      </c>
      <c r="V186" s="40">
        <f>IFERROR(IF(U185=0,"",V185/U185-1),"")</f>
        <v>-0.0963042478147523</v>
      </c>
      <c r="W186" s="12">
        <f>IF(V185=0,"",W185/V185-1)</f>
        <v>0</v>
      </c>
      <c r="X186" s="40">
        <f>IFERROR(IF(W185=0,"",X185/W185-1),"")</f>
        <v>-0.0750042423213982</v>
      </c>
      <c r="Y186" s="40">
        <f>IFERROR(IF(X185=0,"",Y185/X185-1),"")</f>
        <v>0.097596771234636</v>
      </c>
      <c r="Z186" s="40">
        <f>IFERROR(IF(Y185=0,"",Z185/Y185-1),"")</f>
        <v>0.0775530670232325</v>
      </c>
      <c r="AA186" s="40">
        <f>IFERROR(IF(Z185=0,"",AA185/Z185-1),"")</f>
        <v>-0.0823638901814797</v>
      </c>
      <c r="AB186" s="12">
        <f>IF(AA185=0,"",AB185/AA185-1)</f>
        <v>0</v>
      </c>
      <c r="AC186" s="40">
        <f>IFERROR(IF(AB185=0,"",AC185/AB185-1),"")</f>
        <v>-0.0311020960108181</v>
      </c>
      <c r="AD186" s="40">
        <f>IFERROR(IF(AC185=0,"",AD185/AC185-1),"")</f>
        <v>0.113224005582694</v>
      </c>
      <c r="AE186" s="40">
        <f>IFERROR(IF(AD185=0,"",AE185/AD185-1),"")</f>
        <v>0.148566055477198</v>
      </c>
      <c r="AF186" s="55">
        <f>IFERROR(IF(AE185=0,"",AF185/AE185-1),"")</f>
        <v>-0.0811843361986628</v>
      </c>
      <c r="AG186" s="12">
        <f>IF(AF185=0,"",AG185/AF185-1)</f>
        <v>0</v>
      </c>
      <c r="AH186" s="55">
        <f>IFERROR(IF(AG185=0,"",AH185/AG185-1),"")</f>
        <v>0.0487080487080487</v>
      </c>
      <c r="AI186" s="55">
        <f>IFERROR(IF(AH185=0,"",AI185/AH185-1),"")</f>
        <v>0.0801472670631549</v>
      </c>
      <c r="AJ186" s="55">
        <f>IFERROR(IF(AI185=0,"",AJ185/AI185-1),"")</f>
        <v>0.135297207622615</v>
      </c>
      <c r="AK186" s="55">
        <f>IF(AJ185=0,"",AK185/AJ185-1)</f>
        <v>0.135297207622615</v>
      </c>
      <c r="AL186" s="12">
        <f>IF(AK185=0,"",AL185/AK185-1)</f>
        <v>0</v>
      </c>
      <c r="AM186" s="55">
        <f>IF(AL185=0,"",AM185/AL185-1)</f>
        <v>0.135297207622615</v>
      </c>
      <c r="AN186" s="55">
        <f>IF(AM185=0,"",AN185/AM185-1)</f>
        <v>0.135297207622615</v>
      </c>
      <c r="AO186" s="55">
        <f>IF(AN185=0,"",AO185/AN185-1)</f>
        <v>0.135297207622615</v>
      </c>
      <c r="AP186" s="55">
        <f>IF(AO185=0,"",AP185/AO185-1)</f>
        <v>0.135297207622615</v>
      </c>
      <c r="AQ186" s="12">
        <f>IF(AP185=0,"",AQ185/AP185-1)</f>
        <v>0</v>
      </c>
      <c r="AR186" s="55">
        <f>IF(AQ185=0,"",AR185/AQ185-1)</f>
        <v>0.130297207622615</v>
      </c>
      <c r="AS186" s="55">
        <f>IF(AR185=0,"",AS185/AR185-1)</f>
        <v>0.130297207622615</v>
      </c>
      <c r="AT186" s="55">
        <f>IF(AS185=0,"",AT185/AS185-1)</f>
        <v>0.130297207622615</v>
      </c>
      <c r="AU186" s="55">
        <f>IF(AT185=0,"",AU185/AT185-1)</f>
        <v>0.130297207622615</v>
      </c>
      <c r="AV186" s="12">
        <f>IF(AU185=0,"",AV185/AU185-1)</f>
        <v>0</v>
      </c>
      <c r="AW186" s="55">
        <f>IF(AV185=0,"",AW185/AV185-1)</f>
        <v>0.125297207622615</v>
      </c>
      <c r="AX186" s="55">
        <f>IF(AW185=0,"",AX185/AW185-1)</f>
        <v>0.125297207622615</v>
      </c>
      <c r="AY186" s="55">
        <f>IF(AX185=0,"",AY185/AX185-1)</f>
        <v>0.125297207622615</v>
      </c>
      <c r="AZ186" s="55">
        <f>IF(AY185=0,"",AZ185/AY185-1)</f>
        <v>0.125297207622615</v>
      </c>
      <c r="BA186" s="12">
        <f>IF(AZ185=0,"",BA185/AZ185-1)</f>
        <v>0</v>
      </c>
      <c r="BB186" s="55">
        <f>IF(BA185=0,"",BB185/BA185-1)</f>
        <v>0.120297207622615</v>
      </c>
      <c r="BC186" s="55">
        <f>IF(BB185=0,"",BC185/BB185-1)</f>
        <v>0.120297207622615</v>
      </c>
      <c r="BD186" s="55">
        <f>IF(BC185=0,"",BD185/BC185-1)</f>
        <v>0.120297207622615</v>
      </c>
      <c r="BE186" s="55">
        <f>IF(BD185=0,"",BE185/BD185-1)</f>
        <v>0.120297207622615</v>
      </c>
      <c r="BF186" s="12">
        <f>IF(BE185=0,"",BF185/BE185-1)</f>
        <v>0</v>
      </c>
      <c r="BG186" s="55" t="n"/>
      <c r="BH186" s="55" t="n"/>
      <c r="BI186" s="55" t="n"/>
      <c r="BJ186" s="55" t="n"/>
      <c r="BK186" s="12" t="n"/>
      <c r="BL186" s="55" t="n"/>
      <c r="BM186" s="55" t="n"/>
      <c r="BN186" s="55" t="n"/>
      <c r="BO186" s="55" t="n"/>
      <c r="BP186" s="12" t="n"/>
      <c r="BQ186" s="55" t="n"/>
      <c r="BR186" s="55" t="n"/>
      <c r="BS186" s="55" t="n"/>
      <c r="BT186" s="55" t="n"/>
      <c r="BU186" s="12" t="n"/>
      <c r="BV186" s="55" t="n"/>
      <c r="BW186" s="55" t="n"/>
      <c r="BX186" s="55" t="n"/>
      <c r="BY186" s="55" t="n"/>
      <c r="BZ186" s="12" t="n"/>
      <c r="CA186" s="55" t="n"/>
      <c r="CB186" s="55" t="n"/>
      <c r="CC186" s="55" t="n"/>
      <c r="CD186" s="55" t="n"/>
      <c r="CE186" s="12" t="n"/>
      <c r="CF186" s="55" t="n"/>
      <c r="CG186" s="55" t="n"/>
      <c r="CH186" s="55" t="n"/>
      <c r="CI186" s="55" t="n"/>
      <c r="CJ186" s="12" t="n"/>
      <c r="CK186" s="55" t="n"/>
      <c r="CL186" s="55" t="n"/>
      <c r="CM186" s="55" t="n"/>
      <c r="CN186" s="55" t="n"/>
      <c r="CO186" s="12" t="n"/>
      <c r="CP186" s="55" t="n"/>
      <c r="CQ186" s="55" t="n"/>
      <c r="CR186" s="55" t="n"/>
      <c r="CS186" s="55" t="n"/>
      <c r="CT186" s="12" t="n"/>
      <c r="CU186" s="55" t="n"/>
      <c r="CV186" s="55" t="n"/>
      <c r="CW186" s="55" t="n"/>
      <c r="CX186" s="55" t="n"/>
      <c r="CY186" s="12" t="n"/>
    </row>
    <row r="187" collapsed="1">
      <c r="C187" s="14" t="inlineStr">
        <is>
          <t>Taxes payable</t>
        </is>
      </c>
      <c r="D187" s="46" t="n"/>
      <c r="E187" s="46" t="n"/>
      <c r="F187" s="46" t="n"/>
      <c r="G187" s="46" t="n"/>
      <c r="H187" s="12" t="n"/>
      <c r="I187" s="46">
        <f>'Inputs (2)'!D30</f>
        <v>0</v>
      </c>
      <c r="J187" s="46">
        <f>'Inputs (2)'!E30</f>
        <v>0</v>
      </c>
      <c r="K187" s="46">
        <f>'Inputs (2)'!F30</f>
        <v>0</v>
      </c>
      <c r="L187" s="46">
        <f>'Inputs (2)'!G30</f>
        <v>0</v>
      </c>
      <c r="M187" s="12">
        <f>'Inputs (2)'!H30</f>
        <v>0</v>
      </c>
      <c r="N187" s="46">
        <f>'Inputs (2)'!I30</f>
        <v>0</v>
      </c>
      <c r="O187" s="46">
        <f>'Inputs (2)'!J30</f>
        <v>0</v>
      </c>
      <c r="P187" s="46">
        <f>'Inputs (2)'!K30</f>
        <v>0</v>
      </c>
      <c r="Q187" s="46">
        <f>'Inputs (2)'!L30</f>
        <v>0</v>
      </c>
      <c r="R187" s="12">
        <f>'Inputs (2)'!M30</f>
        <v>0</v>
      </c>
      <c r="S187" s="46">
        <f>'Inputs (2)'!N30</f>
        <v>0</v>
      </c>
      <c r="T187" s="46">
        <f>'Inputs (2)'!O30</f>
        <v>0</v>
      </c>
      <c r="U187" s="46">
        <f>'Inputs (2)'!P30</f>
        <v>0</v>
      </c>
      <c r="V187" s="46">
        <f>'Inputs (2)'!Q30</f>
        <v>0</v>
      </c>
      <c r="W187" s="12">
        <f>'Inputs (2)'!R30</f>
        <v>0</v>
      </c>
      <c r="X187" s="46">
        <f>'Inputs (2)'!S30</f>
        <v>0</v>
      </c>
      <c r="Y187" s="46">
        <f>'Inputs (2)'!T30</f>
        <v>0</v>
      </c>
      <c r="Z187" s="46">
        <f>'Inputs (2)'!U30</f>
        <v>0</v>
      </c>
      <c r="AA187" s="46">
        <f>'Inputs (2)'!V30</f>
        <v>0</v>
      </c>
      <c r="AB187" s="12">
        <f>'Inputs (2)'!W30</f>
        <v>0</v>
      </c>
      <c r="AC187" s="46">
        <f>'Inputs (2)'!X30</f>
        <v>0</v>
      </c>
      <c r="AD187" s="46">
        <f>'Inputs (2)'!Y30</f>
        <v>0</v>
      </c>
      <c r="AE187" s="46">
        <f>'Inputs (2)'!Z30</f>
        <v>0</v>
      </c>
      <c r="AF187" s="46">
        <f>'Inputs (2)'!AA30</f>
        <v>0</v>
      </c>
      <c r="AG187" s="12">
        <f>'Inputs (2)'!AB30</f>
        <v>0</v>
      </c>
      <c r="AH187" s="12">
        <f>'Inputs (2)'!AC30</f>
        <v>0</v>
      </c>
      <c r="AI187" s="12">
        <f>'Inputs (2)'!AD30</f>
        <v>0</v>
      </c>
      <c r="AJ187" s="12">
        <f>AI187*(1+AJ16)</f>
        <v>0</v>
      </c>
      <c r="AK187" s="12">
        <f>AJ187*(1+AK16)</f>
        <v>0</v>
      </c>
      <c r="AL187" s="12">
        <f>AK187</f>
        <v>0</v>
      </c>
      <c r="AM187" s="12">
        <f>AL187*(1+AM16)</f>
        <v>0</v>
      </c>
      <c r="AN187" s="12">
        <f>AM187*(1+AN16)</f>
        <v>0</v>
      </c>
      <c r="AO187" s="12">
        <f>AN187*(1+AO16)</f>
        <v>0</v>
      </c>
      <c r="AP187" s="12">
        <f>AO187*(1+AP16)</f>
        <v>0</v>
      </c>
      <c r="AQ187" s="12">
        <f>AP187</f>
        <v>0</v>
      </c>
      <c r="AR187" s="12">
        <f>AQ187*(1+AR16)</f>
        <v>0</v>
      </c>
      <c r="AS187" s="12">
        <f>AR187*(1+AS16)</f>
        <v>0</v>
      </c>
      <c r="AT187" s="12">
        <f>AS187*(1+AT16)</f>
        <v>0</v>
      </c>
      <c r="AU187" s="12">
        <f>AT187*(1+AU16)</f>
        <v>0</v>
      </c>
      <c r="AV187" s="12">
        <f>AU187</f>
        <v>0</v>
      </c>
      <c r="AW187" s="12">
        <f>AV187*(1+AW16)</f>
        <v>0</v>
      </c>
      <c r="AX187" s="12">
        <f>AW187*(1+AX16)</f>
        <v>0</v>
      </c>
      <c r="AY187" s="12">
        <f>AX187*(1+AY16)</f>
        <v>0</v>
      </c>
      <c r="AZ187" s="12">
        <f>AY187*(1+AZ16)</f>
        <v>0</v>
      </c>
      <c r="BA187" s="12">
        <f>AZ187</f>
        <v>0</v>
      </c>
      <c r="BB187" s="12">
        <f>BA187*(1+BB16)</f>
        <v>0</v>
      </c>
      <c r="BC187" s="12">
        <f>BB187*(1+BC16)</f>
        <v>0</v>
      </c>
      <c r="BD187" s="12">
        <f>BC187*(1+BD16)</f>
        <v>0</v>
      </c>
      <c r="BE187" s="12">
        <f>BD187*(1+BE16)</f>
        <v>0</v>
      </c>
      <c r="BF187" s="12">
        <f>BE187</f>
        <v>0</v>
      </c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>
      <c r="C188" s="14" t="inlineStr">
        <is>
          <t>Other current liabilities (non-debt)</t>
        </is>
      </c>
      <c r="D188" s="46" t="n"/>
      <c r="E188" s="46" t="n"/>
      <c r="F188" s="46" t="n"/>
      <c r="G188" s="46" t="n"/>
      <c r="H188" s="12" t="n"/>
      <c r="I188" s="46">
        <f>'Inputs (2)'!D31</f>
        <v>9703</v>
      </c>
      <c r="J188" s="46">
        <f>'Inputs (2)'!E31</f>
        <v>10611</v>
      </c>
      <c r="K188" s="46">
        <f>'Inputs (2)'!F31</f>
        <v>10929</v>
      </c>
      <c r="L188" s="46">
        <f>'Inputs (2)'!G31</f>
        <v>11379</v>
      </c>
      <c r="M188" s="12">
        <f>'Inputs (2)'!H31</f>
        <v>11379</v>
      </c>
      <c r="N188" s="46">
        <f>'Inputs (2)'!I31</f>
        <v>10923</v>
      </c>
      <c r="O188" s="46">
        <f>'Inputs (2)'!J31</f>
        <v>12423</v>
      </c>
      <c r="P188" s="46">
        <f>'Inputs (2)'!K31</f>
        <v>13178</v>
      </c>
      <c r="Q188" s="46">
        <f>'Inputs (2)'!L31</f>
        <v>14419</v>
      </c>
      <c r="R188" s="12">
        <f>'Inputs (2)'!M31</f>
        <v>14419</v>
      </c>
      <c r="S188" s="46">
        <f>'Inputs (2)'!N31</f>
        <v>14193</v>
      </c>
      <c r="T188" s="46">
        <f>'Inputs (2)'!O31</f>
        <v>15659</v>
      </c>
      <c r="U188" s="46">
        <f>'Inputs (2)'!P31</f>
        <v>16202</v>
      </c>
      <c r="V188" s="46">
        <f>'Inputs (2)'!Q31</f>
        <v>16393</v>
      </c>
      <c r="W188" s="12">
        <f>'Inputs (2)'!R31</f>
        <v>16393</v>
      </c>
      <c r="X188" s="46">
        <f>'Inputs (2)'!S31</f>
        <v>17654</v>
      </c>
      <c r="Y188" s="46">
        <f>'Inputs (2)'!T31</f>
        <v>16298</v>
      </c>
      <c r="Z188" s="46">
        <f>'Inputs (2)'!U31</f>
        <v>19591</v>
      </c>
      <c r="AA188" s="46">
        <f>'Inputs (2)'!V31</f>
        <v>18841</v>
      </c>
      <c r="AB188" s="12">
        <f>'Inputs (2)'!W31</f>
        <v>18841</v>
      </c>
      <c r="AC188" s="46">
        <f>'Inputs (2)'!X31</f>
        <v>20280</v>
      </c>
      <c r="AD188" s="46">
        <f>'Inputs (2)'!Y31</f>
        <v>22036</v>
      </c>
      <c r="AE188" s="46">
        <f>'Inputs (2)'!Z31</f>
        <v>21595</v>
      </c>
      <c r="AF188" s="46">
        <f>'Inputs (2)'!AA31</f>
        <v>22735</v>
      </c>
      <c r="AG188" s="12">
        <f>'Inputs (2)'!AB31</f>
        <v>22735</v>
      </c>
      <c r="AH188" s="12">
        <f>'Inputs (2)'!AC31</f>
        <v>19898</v>
      </c>
      <c r="AI188" s="12">
        <f>'Inputs (2)'!AD31</f>
        <v>20290</v>
      </c>
      <c r="AJ188" s="12">
        <f>AI188</f>
        <v>20290</v>
      </c>
      <c r="AK188" s="12">
        <f>AJ188</f>
        <v>20290</v>
      </c>
      <c r="AL188" s="12">
        <f>AK188</f>
        <v>20290</v>
      </c>
      <c r="AM188" s="12">
        <f>AL188</f>
        <v>20290</v>
      </c>
      <c r="AN188" s="12">
        <f>AM188</f>
        <v>20290</v>
      </c>
      <c r="AO188" s="12">
        <f>AN188</f>
        <v>20290</v>
      </c>
      <c r="AP188" s="12">
        <f>AO188</f>
        <v>20290</v>
      </c>
      <c r="AQ188" s="12">
        <f>AP188</f>
        <v>20290</v>
      </c>
      <c r="AR188" s="12">
        <f>AQ188</f>
        <v>20290</v>
      </c>
      <c r="AS188" s="12">
        <f>AR188</f>
        <v>20290</v>
      </c>
      <c r="AT188" s="12">
        <f>AS188</f>
        <v>20290</v>
      </c>
      <c r="AU188" s="12">
        <f>AT188</f>
        <v>20290</v>
      </c>
      <c r="AV188" s="12">
        <f>AU188</f>
        <v>20290</v>
      </c>
      <c r="AW188" s="12">
        <f>AV188</f>
        <v>20290</v>
      </c>
      <c r="AX188" s="12">
        <f>AW188</f>
        <v>20290</v>
      </c>
      <c r="AY188" s="12">
        <f>AX188</f>
        <v>20290</v>
      </c>
      <c r="AZ188" s="12">
        <f>AY188</f>
        <v>20290</v>
      </c>
      <c r="BA188" s="12">
        <f>AZ188</f>
        <v>20290</v>
      </c>
      <c r="BB188" s="12">
        <f>BA188</f>
        <v>20290</v>
      </c>
      <c r="BC188" s="12">
        <f>BB188</f>
        <v>20290</v>
      </c>
      <c r="BD188" s="12">
        <f>BC188</f>
        <v>20290</v>
      </c>
      <c r="BE188" s="12">
        <f>BD188</f>
        <v>20290</v>
      </c>
      <c r="BF188" s="12">
        <f>BE188</f>
        <v>20290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>
        <f>IFERROR(IF(I188=0,"",J188/I188-1),"")</f>
        <v>0.0935793053694733</v>
      </c>
      <c r="K189" s="40">
        <f>IFERROR(IF(J188=0,"",K188/J188-1),"")</f>
        <v>0.0299689001979078</v>
      </c>
      <c r="L189" s="40">
        <f>IFERROR(IF(K188=0,"",L188/K188-1),"")</f>
        <v>0.0411748558880043</v>
      </c>
      <c r="M189" s="12">
        <f>IF(L188=0,"",M188/L188-1)</f>
        <v>0</v>
      </c>
      <c r="N189" s="40">
        <f>IFERROR(IF(M188=0,"",N188/M188-1),"")</f>
        <v>-0.0400738201950962</v>
      </c>
      <c r="O189" s="40">
        <f>IFERROR(IF(N188=0,"",O188/N188-1),"")</f>
        <v>0.137324910738808</v>
      </c>
      <c r="P189" s="40">
        <f>IFERROR(IF(O188=0,"",P188/O188-1),"")</f>
        <v>0.0607743701199388</v>
      </c>
      <c r="Q189" s="40">
        <f>IFERROR(IF(P188=0,"",Q188/P188-1),"")</f>
        <v>0.094172105023524</v>
      </c>
      <c r="R189" s="12">
        <f>IF(Q188=0,"",R188/Q188-1)</f>
        <v>0</v>
      </c>
      <c r="S189" s="40">
        <f>IFERROR(IF(R188=0,"",S188/R188-1),"")</f>
        <v>-0.0156737637838963</v>
      </c>
      <c r="T189" s="40">
        <f>IFERROR(IF(S188=0,"",T188/S188-1),"")</f>
        <v>0.103290354400056</v>
      </c>
      <c r="U189" s="40">
        <f>IFERROR(IF(T188=0,"",U188/T188-1),"")</f>
        <v>0.0346765438406029</v>
      </c>
      <c r="V189" s="40">
        <f>IFERROR(IF(U188=0,"",V188/U188-1),"")</f>
        <v>0.0117886680656709</v>
      </c>
      <c r="W189" s="12">
        <f>IF(V188=0,"",W188/V188-1)</f>
        <v>0</v>
      </c>
      <c r="X189" s="40">
        <f>IFERROR(IF(W188=0,"",X188/W188-1),"")</f>
        <v>0.0769230769230769</v>
      </c>
      <c r="Y189" s="40">
        <f>IFERROR(IF(X188=0,"",Y188/X188-1),"")</f>
        <v>-0.0768097881499943</v>
      </c>
      <c r="Z189" s="40">
        <f>IFERROR(IF(Y188=0,"",Z188/Y188-1),"")</f>
        <v>0.202049331206283</v>
      </c>
      <c r="AA189" s="40">
        <f>IFERROR(IF(Z188=0,"",AA188/Z188-1),"")</f>
        <v>-0.0382828849982134</v>
      </c>
      <c r="AB189" s="12">
        <f>IF(AA188=0,"",AB188/AA188-1)</f>
        <v>0</v>
      </c>
      <c r="AC189" s="40">
        <f>IFERROR(IF(AB188=0,"",AC188/AB188-1),"")</f>
        <v>0.0763759885356403</v>
      </c>
      <c r="AD189" s="40">
        <f>IFERROR(IF(AC188=0,"",AD188/AC188-1),"")</f>
        <v>0.0865877712031558</v>
      </c>
      <c r="AE189" s="40">
        <f>IFERROR(IF(AD188=0,"",AE188/AD188-1),"")</f>
        <v>-0.020012706480305</v>
      </c>
      <c r="AF189" s="55">
        <f>IFERROR(IF(AE188=0,"",AF188/AE188-1),"")</f>
        <v>0.0527899976846493</v>
      </c>
      <c r="AG189" s="12">
        <f>IF(AF188=0,"",AG188/AF188-1)</f>
        <v>0</v>
      </c>
      <c r="AH189" s="55">
        <f>IFERROR(IF(AG188=0,"",AH188/AG188-1),"")</f>
        <v>-0.124785572905212</v>
      </c>
      <c r="AI189" s="55">
        <f>IFERROR(IF(AH188=0,"",AI188/AH188-1),"")</f>
        <v>0.0197004724092873</v>
      </c>
      <c r="AJ189" s="55">
        <f>IFERROR(IF(AI188=0,"",AJ188/AI188-1),"")</f>
        <v>0</v>
      </c>
      <c r="AK189" s="55">
        <f>IFERROR(IF(AJ188=0,"",AK188/AJ188-1),"")</f>
        <v>0</v>
      </c>
      <c r="AL189" s="12">
        <f>IFERROR(IF(AK188=0,"",AL188/AK188-1),"")</f>
        <v>0</v>
      </c>
      <c r="AM189" s="55">
        <f>IFERROR(IF(AL188=0,"",AM188/AL188-1),"")</f>
        <v>0</v>
      </c>
      <c r="AN189" s="55">
        <f>IFERROR(IF(AM188=0,"",AN188/AM188-1),"")</f>
        <v>0</v>
      </c>
      <c r="AO189" s="55">
        <f>IFERROR(IF(AN188=0,"",AO188/AN188-1),"")</f>
        <v>0</v>
      </c>
      <c r="AP189" s="55">
        <f>IFERROR(IF(AO188=0,"",AP188/AO188-1),"")</f>
        <v>0</v>
      </c>
      <c r="AQ189" s="12">
        <f>IFERROR(IF(AP188=0,"",AQ188/AP188-1),"")</f>
        <v>0</v>
      </c>
      <c r="AR189" s="55">
        <f>IFERROR(IF(AQ188=0,"",AR188/AQ188-1),"")</f>
        <v>0</v>
      </c>
      <c r="AS189" s="55">
        <f>IFERROR(IF(AR188=0,"",AS188/AR188-1),"")</f>
        <v>0</v>
      </c>
      <c r="AT189" s="55">
        <f>IFERROR(IF(AS188=0,"",AT188/AS188-1),"")</f>
        <v>0</v>
      </c>
      <c r="AU189" s="55">
        <f>IFERROR(IF(AT188=0,"",AU188/AT188-1),"")</f>
        <v>0</v>
      </c>
      <c r="AV189" s="12">
        <f>IFERROR(IF(AU188=0,"",AV188/AU188-1),"")</f>
        <v>0</v>
      </c>
      <c r="AW189" s="55">
        <f>IFERROR(IF(AV188=0,"",AW188/AV188-1),"")</f>
        <v>0</v>
      </c>
      <c r="AX189" s="55">
        <f>IFERROR(IF(AW188=0,"",AX188/AW188-1),"")</f>
        <v>0</v>
      </c>
      <c r="AY189" s="55">
        <f>IFERROR(IF(AX188=0,"",AY188/AX188-1),"")</f>
        <v>0</v>
      </c>
      <c r="AZ189" s="55">
        <f>IFERROR(IF(AY188=0,"",AZ188/AY188-1),"")</f>
        <v>0</v>
      </c>
      <c r="BA189" s="12">
        <f>IFERROR(IF(AZ188=0,"",BA188/AZ188-1),"")</f>
        <v>0</v>
      </c>
      <c r="BB189" s="55">
        <f>IFERROR(IF(BA188=0,"",BB188/BA188-1),"")</f>
        <v>0</v>
      </c>
      <c r="BC189" s="55">
        <f>IFERROR(IF(BB188=0,"",BC188/BB188-1),"")</f>
        <v>0</v>
      </c>
      <c r="BD189" s="55">
        <f>IFERROR(IF(BC188=0,"",BD188/BC188-1),"")</f>
        <v>0</v>
      </c>
      <c r="BE189" s="55">
        <f>IFERROR(IF(BD188=0,"",BE188/BD188-1),"")</f>
        <v>0</v>
      </c>
      <c r="BF189" s="12">
        <f>IFERROR(IF(BE188=0,"",BF188/BE188-1),"")</f>
        <v>0</v>
      </c>
      <c r="BG189" s="55" t="n"/>
      <c r="BH189" s="55" t="n"/>
      <c r="BI189" s="55" t="n"/>
      <c r="BJ189" s="55" t="n"/>
      <c r="BK189" s="12" t="n"/>
      <c r="BL189" s="55" t="n"/>
      <c r="BM189" s="55" t="n"/>
      <c r="BN189" s="55" t="n"/>
      <c r="BO189" s="55" t="n"/>
      <c r="BP189" s="12" t="n"/>
      <c r="BQ189" s="55" t="n"/>
      <c r="BR189" s="55" t="n"/>
      <c r="BS189" s="55" t="n"/>
      <c r="BT189" s="55" t="n"/>
      <c r="BU189" s="12" t="n"/>
      <c r="BV189" s="55" t="n"/>
      <c r="BW189" s="55" t="n"/>
      <c r="BX189" s="55" t="n"/>
      <c r="BY189" s="55" t="n"/>
      <c r="BZ189" s="12" t="n"/>
      <c r="CA189" s="55" t="n"/>
      <c r="CB189" s="55" t="n"/>
      <c r="CC189" s="55" t="n"/>
      <c r="CD189" s="55" t="n"/>
      <c r="CE189" s="12" t="n"/>
      <c r="CF189" s="55" t="n"/>
      <c r="CG189" s="55" t="n"/>
      <c r="CH189" s="55" t="n"/>
      <c r="CI189" s="55" t="n"/>
      <c r="CJ189" s="12" t="n"/>
      <c r="CK189" s="55" t="n"/>
      <c r="CL189" s="55" t="n"/>
      <c r="CM189" s="55" t="n"/>
      <c r="CN189" s="55" t="n"/>
      <c r="CO189" s="12" t="n"/>
      <c r="CP189" s="55" t="n"/>
      <c r="CQ189" s="55" t="n"/>
      <c r="CR189" s="55" t="n"/>
      <c r="CS189" s="55" t="n"/>
      <c r="CT189" s="12" t="n"/>
      <c r="CU189" s="55" t="n"/>
      <c r="CV189" s="55" t="n"/>
      <c r="CW189" s="55" t="n"/>
      <c r="CX189" s="55" t="n"/>
      <c r="CY189" s="12" t="n"/>
    </row>
    <row r="190" hidden="1" outlineLevel="1">
      <c r="C190" s="57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7" t="inlineStr">
        <is>
          <t xml:space="preserve">Dividendos a Pagar </t>
        </is>
      </c>
      <c r="D191" s="11" t="n"/>
      <c r="E191" s="11" t="n"/>
      <c r="F191" s="11" t="n"/>
      <c r="G191" s="11" t="n"/>
      <c r="H191" s="12" t="n"/>
      <c r="I191" s="11" t="n"/>
      <c r="J191" s="11" t="n"/>
      <c r="K191" s="11" t="n"/>
      <c r="L191" s="11" t="n"/>
      <c r="M191" s="12" t="n"/>
      <c r="N191" s="11" t="n"/>
      <c r="O191" s="11" t="n"/>
      <c r="P191" s="11" t="n"/>
      <c r="Q191" s="11" t="n"/>
      <c r="R191" s="12" t="n"/>
      <c r="S191" s="11" t="n"/>
      <c r="T191" s="11" t="n"/>
      <c r="U191" s="11" t="n"/>
      <c r="V191" s="11" t="n"/>
      <c r="W191" s="12" t="n"/>
      <c r="X191" s="11" t="n"/>
      <c r="Y191" s="11" t="n"/>
      <c r="Z191" s="11" t="n"/>
      <c r="AA191" s="11" t="n"/>
      <c r="AB191" s="12" t="n"/>
      <c r="AC191" s="11" t="n"/>
      <c r="AD191" s="11" t="n"/>
      <c r="AE191" s="11" t="n"/>
      <c r="AF191" s="11" t="n"/>
      <c r="AG191" s="12" t="n"/>
      <c r="AH191" s="11" t="n"/>
      <c r="AI191" s="11" t="n"/>
      <c r="AJ191" s="11" t="n"/>
      <c r="AK191" s="11" t="n"/>
      <c r="AL191" s="12" t="n"/>
      <c r="AM191" s="11" t="n"/>
      <c r="AN191" s="11" t="n"/>
      <c r="AO191" s="11" t="n"/>
      <c r="AP191" s="11" t="n"/>
      <c r="AQ191" s="12" t="n"/>
      <c r="AR191" s="11" t="n"/>
      <c r="AS191" s="11" t="n"/>
      <c r="AT191" s="11" t="n"/>
      <c r="AU191" s="11" t="n"/>
      <c r="AV191" s="12" t="n"/>
      <c r="AW191" s="11" t="n"/>
      <c r="AX191" s="11" t="n"/>
      <c r="AY191" s="11" t="n"/>
      <c r="AZ191" s="11" t="n"/>
      <c r="BA191" s="12" t="n"/>
      <c r="BB191" s="11" t="n"/>
      <c r="BC191" s="11" t="n"/>
      <c r="BD191" s="11" t="n"/>
      <c r="BE191" s="11" t="n"/>
      <c r="BF191" s="12" t="n"/>
      <c r="BG191" s="11" t="n"/>
      <c r="BH191" s="11" t="n"/>
      <c r="BI191" s="11" t="n"/>
      <c r="BJ191" s="11" t="n"/>
      <c r="BK191" s="12" t="n"/>
      <c r="BL191" s="11" t="n"/>
      <c r="BM191" s="11" t="n"/>
      <c r="BN191" s="11" t="n"/>
      <c r="BO191" s="11" t="n"/>
      <c r="BP191" s="12" t="n"/>
      <c r="BQ191" s="11" t="n"/>
      <c r="BR191" s="11" t="n"/>
      <c r="BS191" s="11" t="n"/>
      <c r="BT191" s="11" t="n"/>
      <c r="BU191" s="12" t="n"/>
      <c r="BV191" s="11" t="n"/>
      <c r="BW191" s="11" t="n"/>
      <c r="BX191" s="11" t="n"/>
      <c r="BY191" s="11" t="n"/>
      <c r="BZ191" s="12" t="n"/>
      <c r="CA191" s="11" t="n"/>
      <c r="CB191" s="11" t="n"/>
      <c r="CC191" s="11" t="n"/>
      <c r="CD191" s="11" t="n"/>
      <c r="CE191" s="12" t="n"/>
      <c r="CF191" s="11" t="n"/>
      <c r="CG191" s="11" t="n"/>
      <c r="CH191" s="11" t="n"/>
      <c r="CI191" s="11" t="n"/>
      <c r="CJ191" s="12" t="n"/>
      <c r="CK191" s="11" t="n"/>
      <c r="CL191" s="11" t="n"/>
      <c r="CM191" s="11" t="n"/>
      <c r="CN191" s="11" t="n"/>
      <c r="CO191" s="12" t="n"/>
      <c r="CP191" s="11" t="n"/>
      <c r="CQ191" s="11" t="n"/>
      <c r="CR191" s="11" t="n"/>
      <c r="CS191" s="11" t="n"/>
      <c r="CT191" s="12" t="n"/>
      <c r="CU191" s="11" t="n"/>
      <c r="CV191" s="11" t="n"/>
      <c r="CW191" s="11" t="n"/>
      <c r="CX191" s="11" t="n"/>
      <c r="CY191" s="12" t="n"/>
    </row>
    <row r="192" hidden="1" outlineLevel="1">
      <c r="C192" s="57" t="inlineStr">
        <is>
          <t>Contas a pagar pela aquisição de controladas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1" t="n"/>
      <c r="AI192" s="11" t="n"/>
      <c r="AJ192" s="11" t="n"/>
      <c r="AK192" s="11" t="n"/>
      <c r="AL192" s="12" t="n"/>
      <c r="AM192" s="11" t="n"/>
      <c r="AN192" s="11" t="n"/>
      <c r="AO192" s="11" t="n"/>
      <c r="AP192" s="11" t="n"/>
      <c r="AQ192" s="12" t="n"/>
      <c r="AR192" s="11" t="n"/>
      <c r="AS192" s="11" t="n"/>
      <c r="AT192" s="11" t="n"/>
      <c r="AU192" s="11" t="n"/>
      <c r="AV192" s="12" t="n"/>
      <c r="AW192" s="11" t="n"/>
      <c r="AX192" s="11" t="n"/>
      <c r="AY192" s="11" t="n"/>
      <c r="AZ192" s="11" t="n"/>
      <c r="BA192" s="12" t="n"/>
      <c r="BB192" s="11" t="n"/>
      <c r="BC192" s="11" t="n"/>
      <c r="BD192" s="11" t="n"/>
      <c r="BE192" s="11" t="n"/>
      <c r="BF192" s="12" t="n"/>
      <c r="BG192" s="11" t="n"/>
      <c r="BH192" s="11" t="n"/>
      <c r="BI192" s="11" t="n"/>
      <c r="BJ192" s="11" t="n"/>
      <c r="BK192" s="12" t="n"/>
      <c r="BL192" s="11" t="n"/>
      <c r="BM192" s="11" t="n"/>
      <c r="BN192" s="11" t="n"/>
      <c r="BO192" s="11" t="n"/>
      <c r="BP192" s="12" t="n"/>
      <c r="BQ192" s="11" t="n"/>
      <c r="BR192" s="11" t="n"/>
      <c r="BS192" s="11" t="n"/>
      <c r="BT192" s="11" t="n"/>
      <c r="BU192" s="12" t="n"/>
      <c r="BV192" s="11" t="n"/>
      <c r="BW192" s="11" t="n"/>
      <c r="BX192" s="11" t="n"/>
      <c r="BY192" s="11" t="n"/>
      <c r="BZ192" s="12" t="n"/>
      <c r="CA192" s="11" t="n"/>
      <c r="CB192" s="11" t="n"/>
      <c r="CC192" s="11" t="n"/>
      <c r="CD192" s="11" t="n"/>
      <c r="CE192" s="12" t="n"/>
      <c r="CF192" s="11" t="n"/>
      <c r="CG192" s="11" t="n"/>
      <c r="CH192" s="11" t="n"/>
      <c r="CI192" s="11" t="n"/>
      <c r="CJ192" s="12" t="n"/>
      <c r="CK192" s="11" t="n"/>
      <c r="CL192" s="11" t="n"/>
      <c r="CM192" s="11" t="n"/>
      <c r="CN192" s="11" t="n"/>
      <c r="CO192" s="12" t="n"/>
      <c r="CP192" s="11" t="n"/>
      <c r="CQ192" s="11" t="n"/>
      <c r="CR192" s="11" t="n"/>
      <c r="CS192" s="11" t="n"/>
      <c r="CT192" s="12" t="n"/>
      <c r="CU192" s="11" t="n"/>
      <c r="CV192" s="11" t="n"/>
      <c r="CW192" s="11" t="n"/>
      <c r="CX192" s="11" t="n"/>
      <c r="CY192" s="12" t="n"/>
    </row>
    <row r="193" hidden="1" outlineLevel="1">
      <c r="C193" s="57" t="inlineStr">
        <is>
          <t>Outros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1" t="n"/>
      <c r="AI193" s="11" t="n"/>
      <c r="AJ193" s="11" t="n"/>
      <c r="AK193" s="11" t="n"/>
      <c r="AL193" s="12" t="n"/>
      <c r="AM193" s="11" t="n"/>
      <c r="AN193" s="11" t="n"/>
      <c r="AO193" s="11" t="n"/>
      <c r="AP193" s="11" t="n"/>
      <c r="AQ193" s="12" t="n"/>
      <c r="AR193" s="11" t="n"/>
      <c r="AS193" s="11" t="n"/>
      <c r="AT193" s="11" t="n"/>
      <c r="AU193" s="11" t="n"/>
      <c r="AV193" s="12" t="n"/>
      <c r="AW193" s="11" t="n"/>
      <c r="AX193" s="11" t="n"/>
      <c r="AY193" s="11" t="n"/>
      <c r="AZ193" s="11" t="n"/>
      <c r="BA193" s="12" t="n"/>
      <c r="BB193" s="11" t="n"/>
      <c r="BC193" s="11" t="n"/>
      <c r="BD193" s="11" t="n"/>
      <c r="BE193" s="11" t="n"/>
      <c r="BF193" s="12" t="n"/>
      <c r="BG193" s="11" t="n"/>
      <c r="BH193" s="11" t="n"/>
      <c r="BI193" s="11" t="n"/>
      <c r="BJ193" s="11" t="n"/>
      <c r="BK193" s="12" t="n"/>
      <c r="BL193" s="11" t="n"/>
      <c r="BM193" s="11" t="n"/>
      <c r="BN193" s="11" t="n"/>
      <c r="BO193" s="11" t="n"/>
      <c r="BP193" s="12" t="n"/>
      <c r="BQ193" s="11" t="n"/>
      <c r="BR193" s="11" t="n"/>
      <c r="BS193" s="11" t="n"/>
      <c r="BT193" s="11" t="n"/>
      <c r="BU193" s="12" t="n"/>
      <c r="BV193" s="11" t="n"/>
      <c r="BW193" s="11" t="n"/>
      <c r="BX193" s="11" t="n"/>
      <c r="BY193" s="11" t="n"/>
      <c r="BZ193" s="12" t="n"/>
      <c r="CA193" s="11" t="n"/>
      <c r="CB193" s="11" t="n"/>
      <c r="CC193" s="11" t="n"/>
      <c r="CD193" s="11" t="n"/>
      <c r="CE193" s="12" t="n"/>
      <c r="CF193" s="11" t="n"/>
      <c r="CG193" s="11" t="n"/>
      <c r="CH193" s="11" t="n"/>
      <c r="CI193" s="11" t="n"/>
      <c r="CJ193" s="12" t="n"/>
      <c r="CK193" s="11" t="n"/>
      <c r="CL193" s="11" t="n"/>
      <c r="CM193" s="11" t="n"/>
      <c r="CN193" s="11" t="n"/>
      <c r="CO193" s="12" t="n"/>
      <c r="CP193" s="11" t="n"/>
      <c r="CQ193" s="11" t="n"/>
      <c r="CR193" s="11" t="n"/>
      <c r="CS193" s="11" t="n"/>
      <c r="CT193" s="12" t="n"/>
      <c r="CU193" s="11" t="n"/>
      <c r="CV193" s="11" t="n"/>
      <c r="CW193" s="11" t="n"/>
      <c r="CX193" s="11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collapsed="1">
      <c r="C195" s="14" t="inlineStr">
        <is>
          <t>Current portion of long-term debt</t>
        </is>
      </c>
      <c r="D195" s="46" t="n"/>
      <c r="E195" s="46" t="n"/>
      <c r="F195" s="46" t="n"/>
      <c r="G195" s="46" t="n"/>
      <c r="H195" s="12" t="n"/>
      <c r="I195" s="46">
        <f>'Inputs (2)'!D32</f>
        <v>0</v>
      </c>
      <c r="J195" s="46">
        <f>'Inputs (2)'!E32</f>
        <v>0</v>
      </c>
      <c r="K195" s="46">
        <f>'Inputs (2)'!F32</f>
        <v>999</v>
      </c>
      <c r="L195" s="46">
        <f>'Inputs (2)'!G32</f>
        <v>3247</v>
      </c>
      <c r="M195" s="12">
        <f>'Inputs (2)'!H32</f>
        <v>3247</v>
      </c>
      <c r="N195" s="46">
        <f>'Inputs (2)'!I32</f>
        <v>3548</v>
      </c>
      <c r="O195" s="46">
        <f>'Inputs (2)'!J32</f>
        <v>3249</v>
      </c>
      <c r="P195" s="46">
        <f>'Inputs (2)'!K32</f>
        <v>2250</v>
      </c>
      <c r="Q195" s="46">
        <f>'Inputs (2)'!L32</f>
        <v>0</v>
      </c>
      <c r="R195" s="12">
        <f>'Inputs (2)'!M32</f>
        <v>0</v>
      </c>
      <c r="S195" s="46">
        <f>'Inputs (2)'!N32</f>
        <v>0</v>
      </c>
      <c r="T195" s="46">
        <f>'Inputs (2)'!O32</f>
        <v>0</v>
      </c>
      <c r="U195" s="46">
        <f>'Inputs (2)'!P32</f>
        <v>0</v>
      </c>
      <c r="V195" s="46">
        <f>'Inputs (2)'!Q32</f>
        <v>0</v>
      </c>
      <c r="W195" s="12">
        <f>'Inputs (2)'!R32</f>
        <v>0</v>
      </c>
      <c r="X195" s="46">
        <f>'Inputs (2)'!S32</f>
        <v>0</v>
      </c>
      <c r="Y195" s="46">
        <f>'Inputs (2)'!T32</f>
        <v>0</v>
      </c>
      <c r="Z195" s="46">
        <f>'Inputs (2)'!U32</f>
        <v>0</v>
      </c>
      <c r="AA195" s="46">
        <f>'Inputs (2)'!V32</f>
        <v>3929</v>
      </c>
      <c r="AB195" s="12">
        <f>'Inputs (2)'!W32</f>
        <v>3929</v>
      </c>
      <c r="AC195" s="46">
        <f>'Inputs (2)'!X32</f>
        <v>3948</v>
      </c>
      <c r="AD195" s="46">
        <f>'Inputs (2)'!Y32</f>
        <v>5548</v>
      </c>
      <c r="AE195" s="46">
        <f>'Inputs (2)'!Z32</f>
        <v>5569</v>
      </c>
      <c r="AF195" s="46">
        <f>'Inputs (2)'!AA32</f>
        <v>1589</v>
      </c>
      <c r="AG195" s="12">
        <f>'Inputs (2)'!AB32</f>
        <v>1589</v>
      </c>
      <c r="AH195" s="12">
        <f>'Inputs (2)'!AC32</f>
        <v>1559</v>
      </c>
      <c r="AI195" s="12">
        <f>'Inputs (2)'!AD32</f>
        <v>2996</v>
      </c>
      <c r="AJ195" s="12">
        <f>AI195</f>
        <v>2996</v>
      </c>
      <c r="AK195" s="12">
        <f>AJ195</f>
        <v>2996</v>
      </c>
      <c r="AL195" s="12">
        <f>AK195</f>
        <v>2996</v>
      </c>
      <c r="AM195" s="12">
        <f>AL195</f>
        <v>2996</v>
      </c>
      <c r="AN195" s="12">
        <f>AM195</f>
        <v>2996</v>
      </c>
      <c r="AO195" s="12">
        <f>AN195</f>
        <v>2996</v>
      </c>
      <c r="AP195" s="12">
        <f>AO195</f>
        <v>2996</v>
      </c>
      <c r="AQ195" s="12">
        <f>AP195</f>
        <v>2996</v>
      </c>
      <c r="AR195" s="12">
        <f>AQ195</f>
        <v>2996</v>
      </c>
      <c r="AS195" s="12">
        <f>AR195</f>
        <v>2996</v>
      </c>
      <c r="AT195" s="12">
        <f>AS195</f>
        <v>2996</v>
      </c>
      <c r="AU195" s="12">
        <f>AT195</f>
        <v>2996</v>
      </c>
      <c r="AV195" s="12">
        <f>AU195</f>
        <v>2996</v>
      </c>
      <c r="AW195" s="12">
        <f>AV195</f>
        <v>2996</v>
      </c>
      <c r="AX195" s="12">
        <f>AW195</f>
        <v>2996</v>
      </c>
      <c r="AY195" s="12">
        <f>AX195</f>
        <v>2996</v>
      </c>
      <c r="AZ195" s="12">
        <f>AY195</f>
        <v>2996</v>
      </c>
      <c r="BA195" s="12">
        <f>AZ195</f>
        <v>2996</v>
      </c>
      <c r="BB195" s="12">
        <f>BA195</f>
        <v>2996</v>
      </c>
      <c r="BC195" s="12">
        <f>BB195</f>
        <v>2996</v>
      </c>
      <c r="BD195" s="12">
        <f>BC195</f>
        <v>2996</v>
      </c>
      <c r="BE195" s="12">
        <f>BD195</f>
        <v>2996</v>
      </c>
      <c r="BF195" s="12">
        <f>BE195</f>
        <v>2996</v>
      </c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>
      <c r="C196" s="14" t="inlineStr">
        <is>
          <t>Short term debt (Revolving credit facility)</t>
        </is>
      </c>
      <c r="D196" s="46" t="n"/>
      <c r="E196" s="46" t="n"/>
      <c r="F196" s="46" t="n"/>
      <c r="G196" s="46" t="n"/>
      <c r="H196" s="12" t="n"/>
      <c r="I196" s="46">
        <f>'Inputs (2)'!D33</f>
        <v>0</v>
      </c>
      <c r="J196" s="46">
        <f>'Inputs (2)'!E33</f>
        <v>0</v>
      </c>
      <c r="K196" s="46">
        <f>'Inputs (2)'!F33</f>
        <v>0</v>
      </c>
      <c r="L196" s="46">
        <f>'Inputs (2)'!G33</f>
        <v>0</v>
      </c>
      <c r="M196" s="12">
        <f>'Inputs (2)'!H33</f>
        <v>0</v>
      </c>
      <c r="N196" s="46">
        <f>'Inputs (2)'!I33</f>
        <v>0</v>
      </c>
      <c r="O196" s="46">
        <f>'Inputs (2)'!J33</f>
        <v>0</v>
      </c>
      <c r="P196" s="46">
        <f>'Inputs (2)'!K33</f>
        <v>0</v>
      </c>
      <c r="Q196" s="46">
        <f>'Inputs (2)'!L33</f>
        <v>0</v>
      </c>
      <c r="R196" s="12">
        <f>'Inputs (2)'!M33</f>
        <v>0</v>
      </c>
      <c r="S196" s="46">
        <f>'Inputs (2)'!N33</f>
        <v>0</v>
      </c>
      <c r="T196" s="46">
        <f>'Inputs (2)'!O33</f>
        <v>0</v>
      </c>
      <c r="U196" s="46">
        <f>'Inputs (2)'!P33</f>
        <v>0</v>
      </c>
      <c r="V196" s="46">
        <f>'Inputs (2)'!Q33</f>
        <v>0</v>
      </c>
      <c r="W196" s="12">
        <f>'Inputs (2)'!R33</f>
        <v>0</v>
      </c>
      <c r="X196" s="46">
        <f>'Inputs (2)'!S33</f>
        <v>0</v>
      </c>
      <c r="Y196" s="46">
        <f>'Inputs (2)'!T33</f>
        <v>0</v>
      </c>
      <c r="Z196" s="46">
        <f>'Inputs (2)'!U33</f>
        <v>0</v>
      </c>
      <c r="AA196" s="46">
        <f>'Inputs (2)'!V33</f>
        <v>0</v>
      </c>
      <c r="AB196" s="12">
        <f>'Inputs (2)'!W33</f>
        <v>0</v>
      </c>
      <c r="AC196" s="46">
        <f>'Inputs (2)'!X33</f>
        <v>0</v>
      </c>
      <c r="AD196" s="46">
        <f>'Inputs (2)'!Y33</f>
        <v>0</v>
      </c>
      <c r="AE196" s="46">
        <f>'Inputs (2)'!Z33</f>
        <v>0</v>
      </c>
      <c r="AF196" s="46">
        <f>'Inputs (2)'!AA33</f>
        <v>0</v>
      </c>
      <c r="AG196" s="12">
        <f>'Inputs (2)'!AB33</f>
        <v>0</v>
      </c>
      <c r="AH196" s="12">
        <f>'Inputs (2)'!AC33</f>
        <v>0</v>
      </c>
      <c r="AI196" s="12">
        <f>'Inputs (2)'!AD33</f>
        <v>0</v>
      </c>
      <c r="AJ196" s="12">
        <f>AI196</f>
        <v>0</v>
      </c>
      <c r="AK196" s="12">
        <f>AJ196</f>
        <v>0</v>
      </c>
      <c r="AL196" s="12">
        <f>AK196</f>
        <v>0</v>
      </c>
      <c r="AM196" s="12">
        <f>AL196</f>
        <v>0</v>
      </c>
      <c r="AN196" s="12">
        <f>AM196</f>
        <v>0</v>
      </c>
      <c r="AO196" s="12">
        <f>AN196</f>
        <v>0</v>
      </c>
      <c r="AP196" s="12">
        <f>AO196</f>
        <v>0</v>
      </c>
      <c r="AQ196" s="12">
        <f>AP196</f>
        <v>0</v>
      </c>
      <c r="AR196" s="12">
        <f>AQ196</f>
        <v>0</v>
      </c>
      <c r="AS196" s="12">
        <f>AR196</f>
        <v>0</v>
      </c>
      <c r="AT196" s="12">
        <f>AS196</f>
        <v>0</v>
      </c>
      <c r="AU196" s="12">
        <f>AT196</f>
        <v>0</v>
      </c>
      <c r="AV196" s="12">
        <f>AU196</f>
        <v>0</v>
      </c>
      <c r="AW196" s="12">
        <f>AV196</f>
        <v>0</v>
      </c>
      <c r="AX196" s="12">
        <f>AW196</f>
        <v>0</v>
      </c>
      <c r="AY196" s="12">
        <f>AX196</f>
        <v>0</v>
      </c>
      <c r="AZ196" s="12">
        <f>AY196</f>
        <v>0</v>
      </c>
      <c r="BA196" s="12">
        <f>AZ196</f>
        <v>0</v>
      </c>
      <c r="BB196" s="12">
        <f>BA196</f>
        <v>0</v>
      </c>
      <c r="BC196" s="12">
        <f>BB196</f>
        <v>0</v>
      </c>
      <c r="BD196" s="12">
        <f>BC196</f>
        <v>0</v>
      </c>
      <c r="BE196" s="12">
        <f>BD196</f>
        <v>0</v>
      </c>
      <c r="BF196" s="12">
        <f>BE196</f>
        <v>0</v>
      </c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>
      <c r="C197" s="14" t="inlineStr">
        <is>
          <t>Short term operating leases</t>
        </is>
      </c>
      <c r="D197" s="46" t="n"/>
      <c r="E197" s="46" t="n"/>
      <c r="F197" s="46" t="n"/>
      <c r="G197" s="46" t="n"/>
      <c r="H197" s="12" t="n"/>
      <c r="I197" s="46">
        <f>'Inputs (2)'!D34</f>
        <v>0</v>
      </c>
      <c r="J197" s="46">
        <f>'Inputs (2)'!E34</f>
        <v>0</v>
      </c>
      <c r="K197" s="46">
        <f>'Inputs (2)'!F34</f>
        <v>0</v>
      </c>
      <c r="L197" s="46">
        <f>'Inputs (2)'!G34</f>
        <v>0</v>
      </c>
      <c r="M197" s="12">
        <f>'Inputs (2)'!H34</f>
        <v>0</v>
      </c>
      <c r="N197" s="46">
        <f>'Inputs (2)'!I34</f>
        <v>0</v>
      </c>
      <c r="O197" s="46">
        <f>'Inputs (2)'!J34</f>
        <v>0</v>
      </c>
      <c r="P197" s="46">
        <f>'Inputs (2)'!K34</f>
        <v>0</v>
      </c>
      <c r="Q197" s="46">
        <f>'Inputs (2)'!L34</f>
        <v>0</v>
      </c>
      <c r="R197" s="12">
        <f>'Inputs (2)'!M34</f>
        <v>0</v>
      </c>
      <c r="S197" s="46">
        <f>'Inputs (2)'!N34</f>
        <v>0</v>
      </c>
      <c r="T197" s="46">
        <f>'Inputs (2)'!O34</f>
        <v>0</v>
      </c>
      <c r="U197" s="46">
        <f>'Inputs (2)'!P34</f>
        <v>0</v>
      </c>
      <c r="V197" s="46">
        <f>'Inputs (2)'!Q34</f>
        <v>0</v>
      </c>
      <c r="W197" s="12">
        <f>'Inputs (2)'!R34</f>
        <v>0</v>
      </c>
      <c r="X197" s="46">
        <f>'Inputs (2)'!S34</f>
        <v>0</v>
      </c>
      <c r="Y197" s="46">
        <f>'Inputs (2)'!T34</f>
        <v>0</v>
      </c>
      <c r="Z197" s="46">
        <f>'Inputs (2)'!U34</f>
        <v>0</v>
      </c>
      <c r="AA197" s="46">
        <f>'Inputs (2)'!V34</f>
        <v>0</v>
      </c>
      <c r="AB197" s="12">
        <f>'Inputs (2)'!W34</f>
        <v>0</v>
      </c>
      <c r="AC197" s="46">
        <f>'Inputs (2)'!X34</f>
        <v>0</v>
      </c>
      <c r="AD197" s="46">
        <f>'Inputs (2)'!Y34</f>
        <v>0</v>
      </c>
      <c r="AE197" s="46">
        <f>'Inputs (2)'!Z34</f>
        <v>0</v>
      </c>
      <c r="AF197" s="46">
        <f>'Inputs (2)'!AA34</f>
        <v>0</v>
      </c>
      <c r="AG197" s="12">
        <f>'Inputs (2)'!AB34</f>
        <v>0</v>
      </c>
      <c r="AH197" s="12">
        <f>'Inputs (2)'!AC34</f>
        <v>0</v>
      </c>
      <c r="AI197" s="12">
        <f>'Inputs (2)'!AD34</f>
        <v>0</v>
      </c>
      <c r="AJ197" s="12">
        <f>AI197</f>
        <v>0</v>
      </c>
      <c r="AK197" s="12">
        <f>AJ197</f>
        <v>0</v>
      </c>
      <c r="AL197" s="12">
        <f>AK197</f>
        <v>0</v>
      </c>
      <c r="AM197" s="12">
        <f>AL197</f>
        <v>0</v>
      </c>
      <c r="AN197" s="12">
        <f>AM197</f>
        <v>0</v>
      </c>
      <c r="AO197" s="12">
        <f>AN197</f>
        <v>0</v>
      </c>
      <c r="AP197" s="12">
        <f>AO197</f>
        <v>0</v>
      </c>
      <c r="AQ197" s="12">
        <f>AP197</f>
        <v>0</v>
      </c>
      <c r="AR197" s="12">
        <f>AQ197</f>
        <v>0</v>
      </c>
      <c r="AS197" s="12">
        <f>AR197</f>
        <v>0</v>
      </c>
      <c r="AT197" s="12">
        <f>AS197</f>
        <v>0</v>
      </c>
      <c r="AU197" s="12">
        <f>AT197</f>
        <v>0</v>
      </c>
      <c r="AV197" s="12">
        <f>AU197</f>
        <v>0</v>
      </c>
      <c r="AW197" s="12">
        <f>AV197</f>
        <v>0</v>
      </c>
      <c r="AX197" s="12">
        <f>AW197</f>
        <v>0</v>
      </c>
      <c r="AY197" s="12">
        <f>AX197</f>
        <v>0</v>
      </c>
      <c r="AZ197" s="12">
        <f>AY197</f>
        <v>0</v>
      </c>
      <c r="BA197" s="12">
        <f>AZ197</f>
        <v>0</v>
      </c>
      <c r="BB197" s="12">
        <f>BA197</f>
        <v>0</v>
      </c>
      <c r="BC197" s="12">
        <f>BB197</f>
        <v>0</v>
      </c>
      <c r="BD197" s="12">
        <f>BC197</f>
        <v>0</v>
      </c>
      <c r="BE197" s="12">
        <f>BD197</f>
        <v>0</v>
      </c>
      <c r="BF197" s="12">
        <f>BE197</f>
        <v>0</v>
      </c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hidden="1" outlineLevel="1">
      <c r="C198" s="59" t="inlineStr">
        <is>
          <t>%(Var.)</t>
        </is>
      </c>
      <c r="D198" s="12" t="n"/>
      <c r="E198" s="40" t="n"/>
      <c r="F198" s="40" t="n"/>
      <c r="G198" s="40" t="n"/>
      <c r="H198" s="12" t="n"/>
      <c r="I198" s="40" t="str">
        <f>""</f>
        <v/>
      </c>
      <c r="J198" s="40" t="str">
        <f>IFERROR(IF(I197=0,"",J197/I197-1),"")</f>
        <v/>
      </c>
      <c r="K198" s="40" t="str">
        <f>IFERROR(IF(J197=0,"",K197/J197-1),"")</f>
        <v/>
      </c>
      <c r="L198" s="40" t="str">
        <f>IFERROR(IF(K197=0,"",L197/K197-1),"")</f>
        <v/>
      </c>
      <c r="M198" s="12" t="str">
        <f>IF(L197=0,"",M197/L197-1)</f>
        <v/>
      </c>
      <c r="N198" s="40" t="str">
        <f>IFERROR(IF(M197=0,"",N197/M197-1),"")</f>
        <v/>
      </c>
      <c r="O198" s="40" t="str">
        <f>IFERROR(IF(N197=0,"",O197/N197-1),"")</f>
        <v/>
      </c>
      <c r="P198" s="40" t="str">
        <f>IFERROR(IF(O197=0,"",P197/O197-1),"")</f>
        <v/>
      </c>
      <c r="Q198" s="40" t="str">
        <f>IFERROR(IF(P197=0,"",Q197/P197-1),"")</f>
        <v/>
      </c>
      <c r="R198" s="12" t="str">
        <f>IF(Q197=0,"",R197/Q197-1)</f>
        <v/>
      </c>
      <c r="S198" s="40" t="str">
        <f>IFERROR(IF(R197=0,"",S197/R197-1),"")</f>
        <v/>
      </c>
      <c r="T198" s="40" t="str">
        <f>IFERROR(IF(S197=0,"",T197/S197-1),"")</f>
        <v/>
      </c>
      <c r="U198" s="40" t="str">
        <f>IFERROR(IF(T197=0,"",U197/T197-1),"")</f>
        <v/>
      </c>
      <c r="V198" s="40" t="str">
        <f>IFERROR(IF(U197=0,"",V197/U197-1),"")</f>
        <v/>
      </c>
      <c r="W198" s="12" t="str">
        <f>IF(V197=0,"",W197/V197-1)</f>
        <v/>
      </c>
      <c r="X198" s="40" t="str">
        <f>IFERROR(IF(W197=0,"",X197/W197-1),"")</f>
        <v/>
      </c>
      <c r="Y198" s="40" t="str">
        <f>IFERROR(IF(X197=0,"",Y197/X197-1),"")</f>
        <v/>
      </c>
      <c r="Z198" s="40" t="str">
        <f>IFERROR(IF(Y197=0,"",Z197/Y197-1),"")</f>
        <v/>
      </c>
      <c r="AA198" s="40" t="str">
        <f>IFERROR(IF(Z197=0,"",AA197/Z197-1),"")</f>
        <v/>
      </c>
      <c r="AB198" s="12" t="str">
        <f>IF(AA197=0,"",AB197/AA197-1)</f>
        <v/>
      </c>
      <c r="AC198" s="40" t="str">
        <f>IFERROR(IF(AB197=0,"",AC197/AB197-1),"")</f>
        <v/>
      </c>
      <c r="AD198" s="40" t="str">
        <f>IFERROR(IF(AC197=0,"",AD197/AC197-1),"")</f>
        <v/>
      </c>
      <c r="AE198" s="40" t="str">
        <f>IFERROR(IF(AD197=0,"",AE197/AD197-1),"")</f>
        <v/>
      </c>
      <c r="AF198" s="11" t="str">
        <f>IFERROR(IF(AE197=0,"",AF197/AE197-1),"")</f>
        <v/>
      </c>
      <c r="AG198" s="12" t="str">
        <f>IF(AF197=0,"",AG197/AF197-1)</f>
        <v/>
      </c>
      <c r="AH198" s="11" t="str">
        <f>IFERROR(IF(AG197=0,"",AH197/AG197-1),"")</f>
        <v/>
      </c>
      <c r="AI198" s="11" t="str">
        <f>IFERROR(IF(AH197=0,"",AI197/AH197-1),"")</f>
        <v/>
      </c>
      <c r="AJ198" s="11" t="str">
        <f>IFERROR(IF(AI197=0,"",AJ197/AI197-1),"")</f>
        <v/>
      </c>
      <c r="AK198" s="11" t="str">
        <f>IFERROR(IF(AJ197=0,"",AK197/AJ197-1),"")</f>
        <v/>
      </c>
      <c r="AL198" s="12" t="str">
        <f>IFERROR(IF(AK197=0,"",AL197/AK197-1),"")</f>
        <v/>
      </c>
      <c r="AM198" s="11" t="str">
        <f>IFERROR(IF(AL197=0,"",AM197/AL197-1),"")</f>
        <v/>
      </c>
      <c r="AN198" s="11" t="str">
        <f>IFERROR(IF(AM197=0,"",AN197/AM197-1),"")</f>
        <v/>
      </c>
      <c r="AO198" s="11" t="str">
        <f>IFERROR(IF(AN197=0,"",AO197/AN197-1),"")</f>
        <v/>
      </c>
      <c r="AP198" s="11" t="str">
        <f>IFERROR(IF(AO197=0,"",AP197/AO197-1),"")</f>
        <v/>
      </c>
      <c r="AQ198" s="12" t="str">
        <f>IFERROR(IF(AP197=0,"",AQ197/AP197-1),"")</f>
        <v/>
      </c>
      <c r="AR198" s="11" t="str">
        <f>IFERROR(IF(AQ197=0,"",AR197/AQ197-1),"")</f>
        <v/>
      </c>
      <c r="AS198" s="11" t="str">
        <f>IFERROR(IF(AR197=0,"",AS197/AR197-1),"")</f>
        <v/>
      </c>
      <c r="AT198" s="11" t="str">
        <f>IFERROR(IF(AS197=0,"",AT197/AS197-1),"")</f>
        <v/>
      </c>
      <c r="AU198" s="11" t="str">
        <f>IFERROR(IF(AT197=0,"",AU197/AT197-1),"")</f>
        <v/>
      </c>
      <c r="AV198" s="12" t="str">
        <f>IFERROR(IF(AU197=0,"",AV197/AU197-1),"")</f>
        <v/>
      </c>
      <c r="AW198" s="11" t="str">
        <f>IFERROR(IF(AV197=0,"",AW197/AV197-1),"")</f>
        <v/>
      </c>
      <c r="AX198" s="11" t="str">
        <f>IFERROR(IF(AW197=0,"",AX197/AW197-1),"")</f>
        <v/>
      </c>
      <c r="AY198" s="11" t="str">
        <f>IFERROR(IF(AX197=0,"",AY197/AX197-1),"")</f>
        <v/>
      </c>
      <c r="AZ198" s="11" t="str">
        <f>IFERROR(IF(AY197=0,"",AZ197/AY197-1),"")</f>
        <v/>
      </c>
      <c r="BA198" s="12" t="str">
        <f>IFERROR(IF(AZ197=0,"",BA197/AZ197-1),"")</f>
        <v/>
      </c>
      <c r="BB198" s="11" t="str">
        <f>IFERROR(IF(BA197=0,"",BB197/BA197-1),"")</f>
        <v/>
      </c>
      <c r="BC198" s="11" t="str">
        <f>IFERROR(IF(BB197=0,"",BC197/BB197-1),"")</f>
        <v/>
      </c>
      <c r="BD198" s="11" t="str">
        <f>IFERROR(IF(BC197=0,"",BD197/BC197-1),"")</f>
        <v/>
      </c>
      <c r="BE198" s="11" t="str">
        <f>IFERROR(IF(BD197=0,"",BE197/BD197-1),"")</f>
        <v/>
      </c>
      <c r="BF198" s="12" t="str">
        <f>IFERROR(IF(BE197=0,"",BF197/BE197-1),"")</f>
        <v/>
      </c>
      <c r="BG198" s="11" t="n"/>
      <c r="BH198" s="11" t="n"/>
      <c r="BI198" s="11" t="n"/>
      <c r="BJ198" s="11" t="n"/>
      <c r="BK198" s="12" t="n"/>
      <c r="BL198" s="11" t="n"/>
      <c r="BM198" s="11" t="n"/>
      <c r="BN198" s="11" t="n"/>
      <c r="BO198" s="11" t="n"/>
      <c r="BP198" s="12" t="n"/>
      <c r="BQ198" s="11" t="n"/>
      <c r="BR198" s="11" t="n"/>
      <c r="BS198" s="11" t="n"/>
      <c r="BT198" s="11" t="n"/>
      <c r="BU198" s="12" t="n"/>
      <c r="BV198" s="11" t="n"/>
      <c r="BW198" s="11" t="n"/>
      <c r="BX198" s="11" t="n"/>
      <c r="BY198" s="11" t="n"/>
      <c r="BZ198" s="12" t="n"/>
      <c r="CA198" s="11" t="n"/>
      <c r="CB198" s="11" t="n"/>
      <c r="CC198" s="11" t="n"/>
      <c r="CD198" s="11" t="n"/>
      <c r="CE198" s="12" t="n"/>
      <c r="CF198" s="11" t="n"/>
      <c r="CG198" s="11" t="n"/>
      <c r="CH198" s="11" t="n"/>
      <c r="CI198" s="11" t="n"/>
      <c r="CJ198" s="12" t="n"/>
      <c r="CK198" s="11" t="n"/>
      <c r="CL198" s="11" t="n"/>
      <c r="CM198" s="11" t="n"/>
      <c r="CN198" s="11" t="n"/>
      <c r="CO198" s="12" t="n"/>
      <c r="CP198" s="11" t="n"/>
      <c r="CQ198" s="11" t="n"/>
      <c r="CR198" s="11" t="n"/>
      <c r="CS198" s="11" t="n"/>
      <c r="CT198" s="12" t="n"/>
      <c r="CU198" s="11" t="n"/>
      <c r="CV198" s="11" t="n"/>
      <c r="CW198" s="11" t="n"/>
      <c r="CX198" s="11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collapsed="1">
      <c r="C200" s="14" t="inlineStr">
        <is>
          <t>Long term debt</t>
        </is>
      </c>
      <c r="D200" s="46" t="n"/>
      <c r="E200" s="46" t="n"/>
      <c r="F200" s="46" t="n"/>
      <c r="G200" s="46" t="n"/>
      <c r="H200" s="12" t="n"/>
      <c r="I200" s="46">
        <f>'Inputs (2)'!D35</f>
        <v>20974</v>
      </c>
      <c r="J200" s="46">
        <f>'Inputs (2)'!E35</f>
        <v>20996</v>
      </c>
      <c r="K200" s="46">
        <f>'Inputs (2)'!F35</f>
        <v>19978</v>
      </c>
      <c r="L200" s="46">
        <f>'Inputs (2)'!G35</f>
        <v>17673</v>
      </c>
      <c r="M200" s="12">
        <f>'Inputs (2)'!H35</f>
        <v>17673</v>
      </c>
      <c r="N200" s="46">
        <f>'Inputs (2)'!I35</f>
        <v>17479</v>
      </c>
      <c r="O200" s="46">
        <f>'Inputs (2)'!J35</f>
        <v>20546</v>
      </c>
      <c r="P200" s="46">
        <f>'Inputs (2)'!K35</f>
        <v>20200</v>
      </c>
      <c r="Q200" s="46">
        <f>'Inputs (2)'!L35</f>
        <v>20487</v>
      </c>
      <c r="R200" s="12">
        <f>'Inputs (2)'!M35</f>
        <v>20487</v>
      </c>
      <c r="S200" s="46">
        <f>'Inputs (2)'!N35</f>
        <v>20606</v>
      </c>
      <c r="T200" s="46">
        <f>'Inputs (2)'!O35</f>
        <v>20560</v>
      </c>
      <c r="U200" s="46">
        <f>'Inputs (2)'!P35</f>
        <v>20463</v>
      </c>
      <c r="V200" s="46">
        <f>'Inputs (2)'!Q35</f>
        <v>20703</v>
      </c>
      <c r="W200" s="12">
        <f>'Inputs (2)'!R35</f>
        <v>20703</v>
      </c>
      <c r="X200" s="46">
        <f>'Inputs (2)'!S35</f>
        <v>20603</v>
      </c>
      <c r="Y200" s="46">
        <f>'Inputs (2)'!T35</f>
        <v>20602</v>
      </c>
      <c r="Z200" s="46">
        <f>'Inputs (2)'!U35</f>
        <v>20836</v>
      </c>
      <c r="AA200" s="46">
        <f>'Inputs (2)'!V35</f>
        <v>16680</v>
      </c>
      <c r="AB200" s="12">
        <f>'Inputs (2)'!W35</f>
        <v>16680</v>
      </c>
      <c r="AC200" s="46">
        <f>'Inputs (2)'!X35</f>
        <v>16814</v>
      </c>
      <c r="AD200" s="46">
        <f>'Inputs (2)'!Y35</f>
        <v>19590</v>
      </c>
      <c r="AE200" s="46">
        <f>'Inputs (2)'!Z35</f>
        <v>19602</v>
      </c>
      <c r="AF200" s="46">
        <f>'Inputs (2)'!AA35</f>
        <v>19588</v>
      </c>
      <c r="AG200" s="12">
        <f>'Inputs (2)'!AB35</f>
        <v>19588</v>
      </c>
      <c r="AH200" s="12">
        <f>'Inputs (2)'!AC35</f>
        <v>22417</v>
      </c>
      <c r="AI200" s="12">
        <f>'Inputs (2)'!AD35</f>
        <v>20862</v>
      </c>
      <c r="AJ200" s="12">
        <f>AJ206</f>
        <v>20862</v>
      </c>
      <c r="AK200" s="12">
        <f>AK206</f>
        <v>20862</v>
      </c>
      <c r="AL200" s="12">
        <f>AK200</f>
        <v>20862</v>
      </c>
      <c r="AM200" s="12">
        <f>AM206</f>
        <v>20862</v>
      </c>
      <c r="AN200" s="12">
        <f>AN206</f>
        <v>20862</v>
      </c>
      <c r="AO200" s="12">
        <f>AO206</f>
        <v>20862</v>
      </c>
      <c r="AP200" s="12">
        <f>AP206</f>
        <v>20862</v>
      </c>
      <c r="AQ200" s="12">
        <f>AP200</f>
        <v>20862</v>
      </c>
      <c r="AR200" s="12">
        <f>AR206</f>
        <v>20862</v>
      </c>
      <c r="AS200" s="12">
        <f>AS206</f>
        <v>20862</v>
      </c>
      <c r="AT200" s="12">
        <f>AT206</f>
        <v>20862</v>
      </c>
      <c r="AU200" s="12">
        <f>AU206</f>
        <v>20862</v>
      </c>
      <c r="AV200" s="12">
        <f>AU200</f>
        <v>20862</v>
      </c>
      <c r="AW200" s="12">
        <f>AW206</f>
        <v>20862</v>
      </c>
      <c r="AX200" s="12">
        <f>AX206</f>
        <v>20862</v>
      </c>
      <c r="AY200" s="12">
        <f>AY206</f>
        <v>20862</v>
      </c>
      <c r="AZ200" s="12">
        <f>AZ206</f>
        <v>20862</v>
      </c>
      <c r="BA200" s="12">
        <f>AZ200</f>
        <v>20862</v>
      </c>
      <c r="BB200" s="12">
        <f>BB206</f>
        <v>20862</v>
      </c>
      <c r="BC200" s="12">
        <f>BC206</f>
        <v>20862</v>
      </c>
      <c r="BD200" s="12">
        <f>BD206</f>
        <v>20862</v>
      </c>
      <c r="BE200" s="12">
        <f>BE206</f>
        <v>20862</v>
      </c>
      <c r="BF200" s="12">
        <f>BE200</f>
        <v>20862</v>
      </c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hidden="1" outlineLevel="1">
      <c r="C202" s="57" t="inlineStr">
        <is>
          <t>Current portion of LTD</t>
        </is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>
        <f>AF195</f>
        <v>1589</v>
      </c>
      <c r="AI202" s="62" t="n"/>
      <c r="AJ202" s="62" t="n"/>
      <c r="AK202" s="62" t="n"/>
      <c r="AL202" s="12" t="n"/>
      <c r="AM202" s="12">
        <f>AK195</f>
        <v>2996</v>
      </c>
      <c r="AN202" s="62" t="n"/>
      <c r="AO202" s="62" t="n"/>
      <c r="AP202" s="62" t="n"/>
      <c r="AQ202" s="12" t="n"/>
      <c r="AR202" s="12">
        <f>AP195</f>
        <v>2996</v>
      </c>
      <c r="AS202" s="62" t="n"/>
      <c r="AT202" s="62" t="n"/>
      <c r="AU202" s="62" t="n"/>
      <c r="AV202" s="12" t="n"/>
      <c r="AW202" s="12">
        <f>AU195</f>
        <v>2996</v>
      </c>
      <c r="AX202" s="62" t="n"/>
      <c r="AY202" s="62" t="n"/>
      <c r="AZ202" s="62" t="n"/>
      <c r="BA202" s="12" t="n"/>
      <c r="BB202" s="12">
        <f>AZ195</f>
        <v>2996</v>
      </c>
      <c r="BC202" s="62" t="n"/>
      <c r="BD202" s="62" t="n"/>
      <c r="BE202" s="62" t="n"/>
      <c r="BF202" s="12" t="n"/>
      <c r="BG202" s="12" t="n"/>
      <c r="BH202" s="62" t="n"/>
      <c r="BI202" s="62" t="n"/>
      <c r="BJ202" s="62" t="n"/>
      <c r="BK202" s="12" t="n"/>
      <c r="BL202" s="12" t="n"/>
      <c r="BM202" s="62" t="n"/>
      <c r="BN202" s="62" t="n"/>
      <c r="BO202" s="62" t="n"/>
      <c r="BP202" s="12" t="n"/>
      <c r="BQ202" s="12" t="n"/>
      <c r="BR202" s="62" t="n"/>
      <c r="BS202" s="62" t="n"/>
      <c r="BT202" s="62" t="n"/>
      <c r="BU202" s="12" t="n"/>
      <c r="BV202" s="12" t="n"/>
      <c r="BW202" s="62" t="n"/>
      <c r="BX202" s="62" t="n"/>
      <c r="BY202" s="62" t="n"/>
      <c r="BZ202" s="12" t="n"/>
      <c r="CA202" s="12" t="n"/>
      <c r="CB202" s="62" t="n"/>
      <c r="CC202" s="62" t="n"/>
      <c r="CD202" s="62" t="n"/>
      <c r="CE202" s="12" t="n"/>
      <c r="CF202" s="12" t="n"/>
      <c r="CG202" s="62" t="n"/>
      <c r="CH202" s="62" t="n"/>
      <c r="CI202" s="62" t="n"/>
      <c r="CJ202" s="12" t="n"/>
      <c r="CK202" s="12" t="n"/>
      <c r="CL202" s="62" t="n"/>
      <c r="CM202" s="62" t="n"/>
      <c r="CN202" s="62" t="n"/>
      <c r="CO202" s="12" t="n"/>
      <c r="CP202" s="12" t="n"/>
      <c r="CQ202" s="62" t="n"/>
      <c r="CR202" s="62" t="n"/>
      <c r="CS202" s="62" t="n"/>
      <c r="CT202" s="12" t="n"/>
      <c r="CU202" s="12" t="n"/>
      <c r="CV202" s="62" t="n"/>
      <c r="CW202" s="62" t="n"/>
      <c r="CX202" s="62" t="n"/>
      <c r="CY202" s="12" t="n"/>
    </row>
    <row r="203" hidden="1" outlineLevel="1">
      <c r="C203" s="57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2" t="n"/>
      <c r="CF203" s="12" t="n"/>
      <c r="CG203" s="12" t="n"/>
      <c r="CH203" s="12" t="n"/>
      <c r="CI203" s="12" t="n"/>
      <c r="CJ203" s="12" t="n"/>
      <c r="CK203" s="12" t="n"/>
      <c r="CL203" s="12" t="n"/>
      <c r="CM203" s="12" t="n"/>
      <c r="CN203" s="12" t="n"/>
      <c r="CO203" s="12" t="n"/>
      <c r="CP203" s="12" t="n"/>
      <c r="CQ203" s="12" t="n"/>
      <c r="CR203" s="12" t="n"/>
      <c r="CS203" s="12" t="n"/>
      <c r="CT203" s="12" t="n"/>
      <c r="CU203" s="12" t="n"/>
      <c r="CV203" s="12" t="n"/>
      <c r="CW203" s="12" t="n"/>
      <c r="CX203" s="12" t="n"/>
      <c r="CY203" s="12" t="n"/>
    </row>
    <row r="204" hidden="1" outlineLevel="1">
      <c r="C204" s="57" t="inlineStr">
        <is>
          <t>Reclassification of LTD to CP of LTD</t>
        </is>
      </c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>
        <f>-AI202</f>
        <v>0</v>
      </c>
      <c r="AJ204" s="12">
        <f>-AJ202</f>
        <v>0</v>
      </c>
      <c r="AK204" s="12">
        <f>-AK202</f>
        <v>0</v>
      </c>
      <c r="AL204" s="12" t="n"/>
      <c r="AM204" s="12" t="n"/>
      <c r="AN204" s="12">
        <f>-AN202</f>
        <v>0</v>
      </c>
      <c r="AO204" s="12">
        <f>-AO202</f>
        <v>0</v>
      </c>
      <c r="AP204" s="12">
        <f>-AP202</f>
        <v>0</v>
      </c>
      <c r="AQ204" s="12" t="n"/>
      <c r="AR204" s="12" t="n"/>
      <c r="AS204" s="12">
        <f>-AS202</f>
        <v>0</v>
      </c>
      <c r="AT204" s="12">
        <f>-AT202</f>
        <v>0</v>
      </c>
      <c r="AU204" s="12">
        <f>-AU202</f>
        <v>0</v>
      </c>
      <c r="AV204" s="12" t="n"/>
      <c r="AW204" s="12" t="n"/>
      <c r="AX204" s="12">
        <f>-AX202</f>
        <v>0</v>
      </c>
      <c r="AY204" s="12">
        <f>-AY202</f>
        <v>0</v>
      </c>
      <c r="AZ204" s="12">
        <f>-AZ202</f>
        <v>0</v>
      </c>
      <c r="BA204" s="12" t="n"/>
      <c r="BB204" s="12" t="n"/>
      <c r="BC204" s="12">
        <f>-BC202</f>
        <v>0</v>
      </c>
      <c r="BD204" s="12">
        <f>-BD202</f>
        <v>0</v>
      </c>
      <c r="BE204" s="12">
        <f>-BE202</f>
        <v>0</v>
      </c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hidden="1" outlineLevel="1">
      <c r="C205" s="57" t="inlineStr">
        <is>
          <t>Discretionary (paydown)/borrowing of long term debt</t>
        </is>
      </c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62" t="n"/>
      <c r="AI205" s="62" t="n"/>
      <c r="AJ205" s="62" t="n"/>
      <c r="AK205" s="62" t="n"/>
      <c r="AL205" s="12" t="n"/>
      <c r="AM205" s="62" t="n"/>
      <c r="AN205" s="62" t="n"/>
      <c r="AO205" s="62" t="n"/>
      <c r="AP205" s="62" t="n"/>
      <c r="AQ205" s="12" t="n"/>
      <c r="AR205" s="62" t="n"/>
      <c r="AS205" s="62" t="n"/>
      <c r="AT205" s="62" t="n"/>
      <c r="AU205" s="62" t="n"/>
      <c r="AV205" s="12" t="n"/>
      <c r="AW205" s="62" t="n"/>
      <c r="AX205" s="62" t="n"/>
      <c r="AY205" s="62" t="n"/>
      <c r="AZ205" s="62" t="n"/>
      <c r="BA205" s="12" t="n"/>
      <c r="BB205" s="62" t="n"/>
      <c r="BC205" s="62" t="n"/>
      <c r="BD205" s="62" t="n"/>
      <c r="BE205" s="62" t="n"/>
      <c r="BF205" s="12" t="n"/>
      <c r="BG205" s="62" t="n"/>
      <c r="BH205" s="62" t="n"/>
      <c r="BI205" s="62" t="n"/>
      <c r="BJ205" s="62" t="n"/>
      <c r="BK205" s="12" t="n"/>
      <c r="BL205" s="62" t="n"/>
      <c r="BM205" s="62" t="n"/>
      <c r="BN205" s="62" t="n"/>
      <c r="BO205" s="62" t="n"/>
      <c r="BP205" s="12" t="n"/>
      <c r="BQ205" s="62" t="n"/>
      <c r="BR205" s="62" t="n"/>
      <c r="BS205" s="62" t="n"/>
      <c r="BT205" s="62" t="n"/>
      <c r="BU205" s="12" t="n"/>
      <c r="BV205" s="62" t="n"/>
      <c r="BW205" s="62" t="n"/>
      <c r="BX205" s="62" t="n"/>
      <c r="BY205" s="62" t="n"/>
      <c r="BZ205" s="12" t="n"/>
      <c r="CA205" s="62" t="n"/>
      <c r="CB205" s="62" t="n"/>
      <c r="CC205" s="62" t="n"/>
      <c r="CD205" s="62" t="n"/>
      <c r="CE205" s="12" t="n"/>
      <c r="CF205" s="62" t="n"/>
      <c r="CG205" s="62" t="n"/>
      <c r="CH205" s="62" t="n"/>
      <c r="CI205" s="62" t="n"/>
      <c r="CJ205" s="12" t="n"/>
      <c r="CK205" s="62" t="n"/>
      <c r="CL205" s="62" t="n"/>
      <c r="CM205" s="62" t="n"/>
      <c r="CN205" s="62" t="n"/>
      <c r="CO205" s="12" t="n"/>
      <c r="CP205" s="62" t="n"/>
      <c r="CQ205" s="62" t="n"/>
      <c r="CR205" s="62" t="n"/>
      <c r="CS205" s="62" t="n"/>
      <c r="CT205" s="12" t="n"/>
      <c r="CU205" s="62" t="n"/>
      <c r="CV205" s="62" t="n"/>
      <c r="CW205" s="62" t="n"/>
      <c r="CX205" s="62" t="n"/>
      <c r="CY205" s="12" t="n"/>
    </row>
    <row r="206" hidden="1" outlineLevel="1">
      <c r="C206" s="57" t="inlineStr">
        <is>
          <t>Long term debt</t>
        </is>
      </c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>
        <f>AH200</f>
        <v>22417</v>
      </c>
      <c r="AI206" s="12">
        <f>AI200</f>
        <v>20862</v>
      </c>
      <c r="AJ206" s="12">
        <f>AI206+SUM(AJ204:AJ205)</f>
        <v>20862</v>
      </c>
      <c r="AK206" s="12">
        <f>AJ206+SUM(AK204:AK205)</f>
        <v>20862</v>
      </c>
      <c r="AL206" s="12" t="n"/>
      <c r="AM206" s="12">
        <f>AK206+SUM(AM204:AM205)</f>
        <v>20862</v>
      </c>
      <c r="AN206" s="12">
        <f>AM206+SUM(AN204:AN205)</f>
        <v>20862</v>
      </c>
      <c r="AO206" s="12">
        <f>AN206+SUM(AO204:AO205)</f>
        <v>20862</v>
      </c>
      <c r="AP206" s="12">
        <f>AO206+SUM(AP204:AP205)</f>
        <v>20862</v>
      </c>
      <c r="AQ206" s="12" t="n"/>
      <c r="AR206" s="12">
        <f>AP206+SUM(AR204:AR205)</f>
        <v>20862</v>
      </c>
      <c r="AS206" s="12">
        <f>AR206+SUM(AS204:AS205)</f>
        <v>20862</v>
      </c>
      <c r="AT206" s="12">
        <f>AS206+SUM(AT204:AT205)</f>
        <v>20862</v>
      </c>
      <c r="AU206" s="12">
        <f>AT206+SUM(AU204:AU205)</f>
        <v>20862</v>
      </c>
      <c r="AV206" s="12" t="n"/>
      <c r="AW206" s="12">
        <f>AU206+SUM(AW204:AW205)</f>
        <v>20862</v>
      </c>
      <c r="AX206" s="12">
        <f>AW206+SUM(AX204:AX205)</f>
        <v>20862</v>
      </c>
      <c r="AY206" s="12">
        <f>AX206+SUM(AY204:AY205)</f>
        <v>20862</v>
      </c>
      <c r="AZ206" s="12">
        <f>AY206+SUM(AZ204:AZ205)</f>
        <v>20862</v>
      </c>
      <c r="BA206" s="12" t="n"/>
      <c r="BB206" s="12">
        <f>AZ206+SUM(BB204:BB205)</f>
        <v>20862</v>
      </c>
      <c r="BC206" s="12">
        <f>BB206+SUM(BC204:BC205)</f>
        <v>20862</v>
      </c>
      <c r="BD206" s="12">
        <f>BC206+SUM(BD204:BD205)</f>
        <v>20862</v>
      </c>
      <c r="BE206" s="12">
        <f>BD206+SUM(BE204:BE205)</f>
        <v>20862</v>
      </c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>Discretionary (paydown)/borrowing of convertible debt</t>
        </is>
      </c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62" t="n"/>
      <c r="AI208" s="62" t="n"/>
      <c r="AJ208" s="62" t="n"/>
      <c r="AK208" s="62" t="n"/>
      <c r="AL208" s="12" t="n"/>
      <c r="AM208" s="62" t="n"/>
      <c r="AN208" s="62" t="n"/>
      <c r="AO208" s="62" t="n"/>
      <c r="AP208" s="62" t="n"/>
      <c r="AQ208" s="12" t="n"/>
      <c r="AR208" s="62" t="n"/>
      <c r="AS208" s="62" t="n"/>
      <c r="AT208" s="62" t="n"/>
      <c r="AU208" s="62" t="n"/>
      <c r="AV208" s="12" t="n"/>
      <c r="AW208" s="62" t="n"/>
      <c r="AX208" s="62" t="n"/>
      <c r="AY208" s="62" t="n"/>
      <c r="AZ208" s="62" t="n"/>
      <c r="BA208" s="12" t="n"/>
      <c r="BB208" s="62" t="n"/>
      <c r="BC208" s="62" t="n"/>
      <c r="BD208" s="62" t="n"/>
      <c r="BE208" s="62" t="n"/>
      <c r="BF208" s="12" t="n"/>
      <c r="BG208" s="62" t="n"/>
      <c r="BH208" s="62" t="n"/>
      <c r="BI208" s="62" t="n"/>
      <c r="BJ208" s="62" t="n"/>
      <c r="BK208" s="12" t="n"/>
      <c r="BL208" s="62" t="n"/>
      <c r="BM208" s="62" t="n"/>
      <c r="BN208" s="62" t="n"/>
      <c r="BO208" s="62" t="n"/>
      <c r="BP208" s="12" t="n"/>
      <c r="BQ208" s="62" t="n"/>
      <c r="BR208" s="62" t="n"/>
      <c r="BS208" s="62" t="n"/>
      <c r="BT208" s="62" t="n"/>
      <c r="BU208" s="12" t="n"/>
      <c r="BV208" s="62" t="n"/>
      <c r="BW208" s="62" t="n"/>
      <c r="BX208" s="62" t="n"/>
      <c r="BY208" s="62" t="n"/>
      <c r="BZ208" s="12" t="n"/>
      <c r="CA208" s="62" t="n"/>
      <c r="CB208" s="62" t="n"/>
      <c r="CC208" s="62" t="n"/>
      <c r="CD208" s="62" t="n"/>
      <c r="CE208" s="12" t="n"/>
      <c r="CF208" s="62" t="n"/>
      <c r="CG208" s="62" t="n"/>
      <c r="CH208" s="62" t="n"/>
      <c r="CI208" s="62" t="n"/>
      <c r="CJ208" s="12" t="n"/>
      <c r="CK208" s="62" t="n"/>
      <c r="CL208" s="62" t="n"/>
      <c r="CM208" s="62" t="n"/>
      <c r="CN208" s="62" t="n"/>
      <c r="CO208" s="12" t="n"/>
      <c r="CP208" s="62" t="n"/>
      <c r="CQ208" s="62" t="n"/>
      <c r="CR208" s="62" t="n"/>
      <c r="CS208" s="62" t="n"/>
      <c r="CT208" s="12" t="n"/>
      <c r="CU208" s="62" t="n"/>
      <c r="CV208" s="62" t="n"/>
      <c r="CW208" s="62" t="n"/>
      <c r="CX208" s="62" t="n"/>
      <c r="CY208" s="12" t="n"/>
    </row>
    <row r="209" hidden="1" outlineLevel="1">
      <c r="C209" s="57" t="inlineStr">
        <is>
          <t>Convertible debt</t>
        </is>
      </c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>
        <f>AH221</f>
        <v>0</v>
      </c>
      <c r="AI209" s="12">
        <f>AH209+SUM(AI208)</f>
        <v>0</v>
      </c>
      <c r="AJ209" s="12">
        <f>AI209+SUM(AJ208)</f>
        <v>0</v>
      </c>
      <c r="AK209" s="12">
        <f>AJ209+SUM(AK208)</f>
        <v>0</v>
      </c>
      <c r="AL209" s="12" t="n"/>
      <c r="AM209" s="12">
        <f>AM221</f>
        <v>0</v>
      </c>
      <c r="AN209" s="12">
        <f>AM209+SUM(AN208)</f>
        <v>0</v>
      </c>
      <c r="AO209" s="12">
        <f>AN209+SUM(AO208)</f>
        <v>0</v>
      </c>
      <c r="AP209" s="12">
        <f>AO209+SUM(AP208)</f>
        <v>0</v>
      </c>
      <c r="AQ209" s="12" t="n"/>
      <c r="AR209" s="12">
        <f>AR221</f>
        <v>0</v>
      </c>
      <c r="AS209" s="12">
        <f>AR209+SUM(AS208)</f>
        <v>0</v>
      </c>
      <c r="AT209" s="12">
        <f>AS209+SUM(AT208)</f>
        <v>0</v>
      </c>
      <c r="AU209" s="12">
        <f>AT209+SUM(AU208)</f>
        <v>0</v>
      </c>
      <c r="AV209" s="12" t="n"/>
      <c r="AW209" s="12">
        <f>AW221</f>
        <v>0</v>
      </c>
      <c r="AX209" s="12">
        <f>AW209+SUM(AX208)</f>
        <v>0</v>
      </c>
      <c r="AY209" s="12">
        <f>AX209+SUM(AY208)</f>
        <v>0</v>
      </c>
      <c r="AZ209" s="12">
        <f>AY209+SUM(AZ208)</f>
        <v>0</v>
      </c>
      <c r="BA209" s="12" t="n"/>
      <c r="BB209" s="12">
        <f>BB221</f>
        <v>0</v>
      </c>
      <c r="BC209" s="12">
        <f>BB209+SUM(BC208)</f>
        <v>0</v>
      </c>
      <c r="BD209" s="12">
        <f>BC209+SUM(BD208)</f>
        <v>0</v>
      </c>
      <c r="BE209" s="12">
        <f>BD209+SUM(BE208)</f>
        <v>0</v>
      </c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I210" s="12" t="n"/>
      <c r="AJ210" s="12" t="n"/>
      <c r="AK210" s="12" t="n"/>
      <c r="AL210" s="12" t="n"/>
      <c r="AN210" s="12" t="n"/>
      <c r="AO210" s="12" t="n"/>
      <c r="AP210" s="12" t="n"/>
      <c r="AQ210" s="12" t="n"/>
      <c r="AS210" s="12" t="n"/>
      <c r="AT210" s="12" t="n"/>
      <c r="AU210" s="12" t="n"/>
      <c r="AV210" s="12" t="n"/>
      <c r="AX210" s="12" t="n"/>
      <c r="AY210" s="12" t="n"/>
      <c r="AZ210" s="12" t="n"/>
      <c r="BA210" s="12" t="n"/>
      <c r="BC210" s="12" t="n"/>
      <c r="BD210" s="12" t="n"/>
      <c r="BE210" s="12" t="n"/>
      <c r="BF210" s="12" t="n"/>
      <c r="BH210" s="12" t="n"/>
      <c r="BI210" s="12" t="n"/>
      <c r="BJ210" s="12" t="n"/>
      <c r="BK210" s="12" t="n"/>
      <c r="BM210" s="12" t="n"/>
      <c r="BN210" s="12" t="n"/>
      <c r="BO210" s="12" t="n"/>
      <c r="BP210" s="12" t="n"/>
      <c r="BR210" s="12" t="n"/>
      <c r="BS210" s="12" t="n"/>
      <c r="BT210" s="12" t="n"/>
      <c r="BU210" s="12" t="n"/>
      <c r="BW210" s="12" t="n"/>
      <c r="BX210" s="12" t="n"/>
      <c r="BY210" s="12" t="n"/>
      <c r="BZ210" s="12" t="n"/>
      <c r="CB210" s="12" t="n"/>
      <c r="CC210" s="12" t="n"/>
      <c r="CD210" s="12" t="n"/>
      <c r="CE210" s="12" t="n"/>
      <c r="CG210" s="12" t="n"/>
      <c r="CH210" s="12" t="n"/>
      <c r="CI210" s="12" t="n"/>
      <c r="CJ210" s="12" t="n"/>
      <c r="CL210" s="12" t="n"/>
      <c r="CM210" s="12" t="n"/>
      <c r="CN210" s="12" t="n"/>
      <c r="CO210" s="12" t="n"/>
      <c r="CQ210" s="12" t="n"/>
      <c r="CR210" s="12" t="n"/>
      <c r="CS210" s="12" t="n"/>
      <c r="CT210" s="12" t="n"/>
      <c r="CV210" s="12" t="n"/>
      <c r="CW210" s="12" t="n"/>
      <c r="CX210" s="12" t="n"/>
      <c r="CY210" s="12" t="n"/>
    </row>
    <row r="211" hidden="1" outlineLevel="1">
      <c r="C211" s="57" t="inlineStr">
        <is>
          <t>Calculation of short term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inlineStr">
        <is>
          <t>Cash @ beginning of the period (end of last period)</t>
        </is>
      </c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63">
        <f>AG127</f>
        <v>14756</v>
      </c>
      <c r="AI212" s="12" t="n"/>
      <c r="AJ212" s="12" t="n"/>
      <c r="AK212" s="12" t="n"/>
      <c r="AL212" s="12" t="n"/>
      <c r="AM212" s="63">
        <f>AL127</f>
        <v>26287.058033059</v>
      </c>
      <c r="AN212" s="12" t="n"/>
      <c r="AO212" s="12" t="n"/>
      <c r="AP212" s="12" t="n"/>
      <c r="AQ212" s="12" t="n"/>
      <c r="AR212" s="63">
        <f>AQ127</f>
        <v>59381.0882046507</v>
      </c>
      <c r="AS212" s="12" t="n"/>
      <c r="AT212" s="12" t="n"/>
      <c r="AU212" s="12" t="n"/>
      <c r="AV212" s="12" t="n"/>
      <c r="AW212" s="63">
        <f>AV127</f>
        <v>99782.3237428565</v>
      </c>
      <c r="AX212" s="12" t="n"/>
      <c r="AY212" s="12" t="n"/>
      <c r="AZ212" s="12" t="n"/>
      <c r="BA212" s="12" t="n"/>
      <c r="BB212" s="63">
        <f>BA127</f>
        <v>149735.302201347</v>
      </c>
      <c r="BC212" s="12" t="n"/>
      <c r="BD212" s="12" t="n"/>
      <c r="BE212" s="12" t="n"/>
      <c r="BF212" s="12" t="n"/>
      <c r="BG212" s="63" t="n"/>
      <c r="BH212" s="12" t="n"/>
      <c r="BI212" s="12" t="n"/>
      <c r="BJ212" s="12" t="n"/>
      <c r="BK212" s="12" t="n"/>
      <c r="BL212" s="63" t="n"/>
      <c r="BM212" s="12" t="n"/>
      <c r="BN212" s="12" t="n"/>
      <c r="BO212" s="12" t="n"/>
      <c r="BP212" s="12" t="n"/>
      <c r="BQ212" s="63" t="n"/>
      <c r="BR212" s="12" t="n"/>
      <c r="BS212" s="12" t="n"/>
      <c r="BT212" s="12" t="n"/>
      <c r="BU212" s="12" t="n"/>
      <c r="BV212" s="63" t="n"/>
      <c r="BW212" s="12" t="n"/>
      <c r="BX212" s="12" t="n"/>
      <c r="BY212" s="12" t="n"/>
      <c r="BZ212" s="12" t="n"/>
      <c r="CA212" s="63" t="n"/>
      <c r="CB212" s="12" t="n"/>
      <c r="CC212" s="12" t="n"/>
      <c r="CD212" s="12" t="n"/>
      <c r="CE212" s="12" t="n"/>
      <c r="CF212" s="63" t="n"/>
      <c r="CG212" s="12" t="n"/>
      <c r="CH212" s="12" t="n"/>
      <c r="CI212" s="12" t="n"/>
      <c r="CJ212" s="12" t="n"/>
      <c r="CK212" s="63" t="n"/>
      <c r="CL212" s="12" t="n"/>
      <c r="CM212" s="12" t="n"/>
      <c r="CN212" s="12" t="n"/>
      <c r="CO212" s="12" t="n"/>
      <c r="CP212" s="63" t="n"/>
      <c r="CQ212" s="12" t="n"/>
      <c r="CR212" s="12" t="n"/>
      <c r="CS212" s="12" t="n"/>
      <c r="CT212" s="12" t="n"/>
      <c r="CU212" s="63" t="n"/>
      <c r="CV212" s="12" t="n"/>
      <c r="CW212" s="12" t="n"/>
      <c r="CX212" s="12" t="n"/>
      <c r="CY212" s="12" t="n"/>
    </row>
    <row r="213" hidden="1" outlineLevel="1">
      <c r="C213" s="57" t="inlineStr">
        <is>
          <t>Plus: Free cash flows prior to debt during period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inlineStr">
        <is>
          <t>% of sales</t>
        </is>
      </c>
      <c r="AH213" s="64">
        <f>(AH275+AH282)+SUM(AH285:AH291)</f>
        <v>-8865</v>
      </c>
      <c r="AI213" s="64">
        <f>(AI275+AI282)+SUM(AI285:AI291)</f>
        <v>-6617</v>
      </c>
      <c r="AJ213" s="64">
        <f>(AJ275+AJ282)+SUM(AJ285:AJ291)</f>
        <v>0</v>
      </c>
      <c r="AK213" s="64">
        <f>(AK275+AK282)+SUM(AK285:AK291)</f>
        <v>0</v>
      </c>
      <c r="AL213" s="12" t="n"/>
      <c r="AM213" s="64">
        <f>(AM275+AM282)+SUM(AM285:AM291)</f>
        <v>0</v>
      </c>
      <c r="AN213" s="64">
        <f>(AN275+AN282)+SUM(AN285:AN291)</f>
        <v>0</v>
      </c>
      <c r="AO213" s="64">
        <f>(AO275+AO282)+SUM(AO285:AO291)</f>
        <v>0</v>
      </c>
      <c r="AP213" s="64">
        <f>(AP275+AP282)+SUM(AP285:AP291)</f>
        <v>0</v>
      </c>
      <c r="AQ213" s="12" t="n"/>
      <c r="AR213" s="64">
        <f>(AR275+AR282)+SUM(AR285:AR291)</f>
        <v>0</v>
      </c>
      <c r="AS213" s="64">
        <f>(AS275+AS282)+SUM(AS285:AS291)</f>
        <v>0</v>
      </c>
      <c r="AT213" s="64">
        <f>(AT275+AT282)+SUM(AT285:AT291)</f>
        <v>0</v>
      </c>
      <c r="AU213" s="64">
        <f>(AU275+AU282)+SUM(AU285:AU291)</f>
        <v>0</v>
      </c>
      <c r="AV213" s="12" t="n"/>
      <c r="AW213" s="64">
        <f>(AW275+AW282)+SUM(AW285:AW291)</f>
        <v>0</v>
      </c>
      <c r="AX213" s="64">
        <f>(AX275+AX282)+SUM(AX285:AX291)</f>
        <v>0</v>
      </c>
      <c r="AY213" s="64">
        <f>(AY275+AY282)+SUM(AY285:AY291)</f>
        <v>0</v>
      </c>
      <c r="AZ213" s="64">
        <f>(AZ275+AZ282)+SUM(AZ285:AZ291)</f>
        <v>0</v>
      </c>
      <c r="BA213" s="12" t="n"/>
      <c r="BB213" s="64">
        <f>(BB275+BB282)+SUM(BB285:BB291)</f>
        <v>0</v>
      </c>
      <c r="BC213" s="64">
        <f>(BC275+BC282)+SUM(BC285:BC291)</f>
        <v>0</v>
      </c>
      <c r="BD213" s="64">
        <f>(BD275+BD282)+SUM(BD285:BD291)</f>
        <v>0</v>
      </c>
      <c r="BE213" s="64">
        <f>(BE275+BE282)+SUM(BE285:BE291)</f>
        <v>0</v>
      </c>
      <c r="BF213" s="12" t="n"/>
      <c r="BG213" s="64" t="n"/>
      <c r="BH213" s="64" t="n"/>
      <c r="BI213" s="64" t="n"/>
      <c r="BJ213" s="64" t="n"/>
      <c r="BK213" s="12" t="n"/>
      <c r="BL213" s="64" t="n"/>
      <c r="BM213" s="64" t="n"/>
      <c r="BN213" s="64" t="n"/>
      <c r="BO213" s="64" t="n"/>
      <c r="BP213" s="12" t="n"/>
      <c r="BQ213" s="64" t="n"/>
      <c r="BR213" s="64" t="n"/>
      <c r="BS213" s="64" t="n"/>
      <c r="BT213" s="64" t="n"/>
      <c r="BU213" s="12" t="n"/>
      <c r="BV213" s="64" t="n"/>
      <c r="BW213" s="64" t="n"/>
      <c r="BX213" s="64" t="n"/>
      <c r="BY213" s="64" t="n"/>
      <c r="BZ213" s="12" t="n"/>
      <c r="CA213" s="64" t="n"/>
      <c r="CB213" s="64" t="n"/>
      <c r="CC213" s="64" t="n"/>
      <c r="CD213" s="64" t="n"/>
      <c r="CE213" s="12" t="n"/>
      <c r="CF213" s="64" t="n"/>
      <c r="CG213" s="64" t="n"/>
      <c r="CH213" s="64" t="n"/>
      <c r="CI213" s="64" t="n"/>
      <c r="CJ213" s="12" t="n"/>
      <c r="CK213" s="64" t="n"/>
      <c r="CL213" s="64" t="n"/>
      <c r="CM213" s="64" t="n"/>
      <c r="CN213" s="64" t="n"/>
      <c r="CO213" s="12" t="n"/>
      <c r="CP213" s="64" t="n"/>
      <c r="CQ213" s="64" t="n"/>
      <c r="CR213" s="64" t="n"/>
      <c r="CS213" s="64" t="n"/>
      <c r="CT213" s="12" t="n"/>
      <c r="CU213" s="64" t="n"/>
      <c r="CV213" s="64" t="n"/>
      <c r="CW213" s="64" t="n"/>
      <c r="CX213" s="64" t="n"/>
      <c r="CY213" s="12" t="n"/>
    </row>
    <row r="214" hidden="1" outlineLevel="1">
      <c r="C214" s="57" t="inlineStr">
        <is>
          <t>Less: Minimum cash balance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52" t="n"/>
      <c r="AH214" s="12">
        <f>($AG$214*AH15)</f>
        <v>0</v>
      </c>
      <c r="AI214" s="12">
        <f>($AG$214*AI15)</f>
        <v>0</v>
      </c>
      <c r="AJ214" s="12">
        <f>($AG$214*AJ15)</f>
        <v>0</v>
      </c>
      <c r="AK214" s="12">
        <f>($AG$214*AK15)</f>
        <v>0</v>
      </c>
      <c r="AL214" s="12" t="n"/>
      <c r="AM214" s="12">
        <f>($AG$214*AM15)</f>
        <v>0</v>
      </c>
      <c r="AN214" s="12">
        <f>($AG$214*AN15)</f>
        <v>0</v>
      </c>
      <c r="AO214" s="12">
        <f>($AG$214*AO15)</f>
        <v>0</v>
      </c>
      <c r="AP214" s="12">
        <f>($AG$214*AP15)</f>
        <v>0</v>
      </c>
      <c r="AQ214" s="12" t="n"/>
      <c r="AR214" s="12">
        <f>($AG$214*AR15)</f>
        <v>0</v>
      </c>
      <c r="AS214" s="12">
        <f>($AG$214*AS15)</f>
        <v>0</v>
      </c>
      <c r="AT214" s="12">
        <f>($AG$214*AT15)</f>
        <v>0</v>
      </c>
      <c r="AU214" s="12">
        <f>($AG$214*AU15)</f>
        <v>0</v>
      </c>
      <c r="AV214" s="12" t="n"/>
      <c r="AW214" s="12">
        <f>($AG$214*AW15)</f>
        <v>0</v>
      </c>
      <c r="AX214" s="12">
        <f>($AG$214*AX15)</f>
        <v>0</v>
      </c>
      <c r="AY214" s="12">
        <f>($AG$214*AY15)</f>
        <v>0</v>
      </c>
      <c r="AZ214" s="12">
        <f>($AG$214*AZ15)</f>
        <v>0</v>
      </c>
      <c r="BA214" s="12" t="n"/>
      <c r="BB214" s="12">
        <f>($AG$214*BB15)</f>
        <v>0</v>
      </c>
      <c r="BC214" s="12">
        <f>($AG$214*BC15)</f>
        <v>0</v>
      </c>
      <c r="BD214" s="12">
        <f>($AG$214*BD15)</f>
        <v>0</v>
      </c>
      <c r="BE214" s="12">
        <f>($AG$214*BE15)</f>
        <v>0</v>
      </c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inlineStr">
        <is>
          <t>Total cash available / (debt required) for short term debt paydown</t>
        </is>
      </c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3">
        <f>AH212+AH213-AH214-AF202+AH204+AH208</f>
        <v>5891</v>
      </c>
      <c r="AI215" s="3">
        <f>AI212+AI213-AI214-AG202+AI204+AI208</f>
        <v>-6617</v>
      </c>
      <c r="AJ215" s="3">
        <f>AJ212+AJ213-AJ214-AH202+AJ204+AJ208</f>
        <v>-1589</v>
      </c>
      <c r="AK215" s="3">
        <f>AK212+AK213-AK214-AI202+AK204+AK208</f>
        <v>0</v>
      </c>
      <c r="AL215" s="12" t="n"/>
      <c r="AM215" s="3">
        <f>AM212+AM213-AM214-AK202+AM204+AM208</f>
        <v>26287.058033059</v>
      </c>
      <c r="AN215" s="3">
        <f>AN212+AN213-AN214-AL202+AN204+AN208</f>
        <v>0</v>
      </c>
      <c r="AO215" s="3">
        <f>AO212+AO213-AO214-AM202+AO204+AO208</f>
        <v>-2996</v>
      </c>
      <c r="AP215" s="3">
        <f>AP212+AP213-AP214-AN202+AP204+AP208</f>
        <v>0</v>
      </c>
      <c r="AQ215" s="12" t="n"/>
      <c r="AR215" s="3">
        <f>AR212+AR213-AR214-AP202+AR204+AR208</f>
        <v>59381.0882046507</v>
      </c>
      <c r="AS215" s="3">
        <f>AS212+AS213-AS214-AQ202+AS204+AS208</f>
        <v>0</v>
      </c>
      <c r="AT215" s="3">
        <f>AT212+AT213-AT214-AR202+AT204+AT208</f>
        <v>-2996</v>
      </c>
      <c r="AU215" s="3">
        <f>AU212+AU213-AU214-AS202+AU204+AU208</f>
        <v>0</v>
      </c>
      <c r="AV215" s="12" t="n"/>
      <c r="AW215" s="3">
        <f>AW212+AW213-AW214-AU202+AW204+AW208</f>
        <v>99782.3237428565</v>
      </c>
      <c r="AX215" s="3">
        <f>AX212+AX213-AX214-AV202+AX204+AX208</f>
        <v>0</v>
      </c>
      <c r="AY215" s="3">
        <f>AY212+AY213-AY214-AW202+AY204+AY208</f>
        <v>-2996</v>
      </c>
      <c r="AZ215" s="3">
        <f>AZ212+AZ213-AZ214-AX202+AZ204+AZ208</f>
        <v>0</v>
      </c>
      <c r="BA215" s="12" t="n"/>
      <c r="BB215" s="3">
        <f>BB212+BB213-BB214-AZ202+BB204+BB208</f>
        <v>149735.302201347</v>
      </c>
      <c r="BC215" s="3">
        <f>BC212+BC213-BC214-BA202+BC204+BC208</f>
        <v>0</v>
      </c>
      <c r="BD215" s="3">
        <f>BD212+BD213-BD214-BB202+BD204+BD208</f>
        <v>-2996</v>
      </c>
      <c r="BE215" s="3">
        <f>BE212+BE213-BE214-BC202+BE204+BE208</f>
        <v>0</v>
      </c>
      <c r="BF215" s="12" t="n"/>
      <c r="BG215" s="3" t="n"/>
      <c r="BH215" s="3" t="n"/>
      <c r="BI215" s="3" t="n"/>
      <c r="BJ215" s="3" t="n"/>
      <c r="BK215" s="12" t="n"/>
      <c r="BL215" s="3" t="n"/>
      <c r="BM215" s="3" t="n"/>
      <c r="BN215" s="3" t="n"/>
      <c r="BO215" s="3" t="n"/>
      <c r="BP215" s="12" t="n"/>
      <c r="BQ215" s="3" t="n"/>
      <c r="BR215" s="3" t="n"/>
      <c r="BS215" s="3" t="n"/>
      <c r="BT215" s="3" t="n"/>
      <c r="BU215" s="12" t="n"/>
      <c r="BV215" s="3" t="n"/>
      <c r="BW215" s="3" t="n"/>
      <c r="BX215" s="3" t="n"/>
      <c r="BY215" s="3" t="n"/>
      <c r="BZ215" s="12" t="n"/>
      <c r="CA215" s="3" t="n"/>
      <c r="CB215" s="3" t="n"/>
      <c r="CC215" s="3" t="n"/>
      <c r="CD215" s="3" t="n"/>
      <c r="CE215" s="12" t="n"/>
      <c r="CF215" s="3" t="n"/>
      <c r="CG215" s="3" t="n"/>
      <c r="CH215" s="3" t="n"/>
      <c r="CI215" s="3" t="n"/>
      <c r="CJ215" s="12" t="n"/>
      <c r="CK215" s="3" t="n"/>
      <c r="CL215" s="3" t="n"/>
      <c r="CM215" s="3" t="n"/>
      <c r="CN215" s="3" t="n"/>
      <c r="CO215" s="12" t="n"/>
      <c r="CP215" s="3" t="n"/>
      <c r="CQ215" s="3" t="n"/>
      <c r="CR215" s="3" t="n"/>
      <c r="CS215" s="3" t="n"/>
      <c r="CT215" s="12" t="n"/>
      <c r="CU215" s="3" t="n"/>
      <c r="CV215" s="3" t="n"/>
      <c r="CW215" s="3" t="n"/>
      <c r="CX215" s="3" t="n"/>
      <c r="CY215" s="12" t="n"/>
    </row>
    <row r="216" hidden="1" outlineLevel="1">
      <c r="C216" s="57" t="inlineStr">
        <is>
          <t>Short term debt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>
        <f>AH196</f>
        <v>0</v>
      </c>
      <c r="AI216" s="12">
        <f>MAX(0,AH216-AI215)</f>
        <v>6617</v>
      </c>
      <c r="AJ216" s="12">
        <f>MAX(0,AI216-AJ215)</f>
        <v>8206</v>
      </c>
      <c r="AK216" s="12">
        <f>MAX(0,AJ216-AK215)</f>
        <v>8206</v>
      </c>
      <c r="AL216" s="12" t="n"/>
      <c r="AM216" s="12">
        <f>AM196</f>
        <v>0</v>
      </c>
      <c r="AN216" s="12">
        <f>MAX(0,AM216-AN215)</f>
        <v>0</v>
      </c>
      <c r="AO216" s="12">
        <f>MAX(0,AN216-AO215)</f>
        <v>2996</v>
      </c>
      <c r="AP216" s="12">
        <f>MAX(0,AO216-AP215)</f>
        <v>2996</v>
      </c>
      <c r="AQ216" s="12" t="n"/>
      <c r="AR216" s="12">
        <f>AR196</f>
        <v>0</v>
      </c>
      <c r="AS216" s="12">
        <f>MAX(0,AR216-AS215)</f>
        <v>0</v>
      </c>
      <c r="AT216" s="12">
        <f>MAX(0,AS216-AT215)</f>
        <v>2996</v>
      </c>
      <c r="AU216" s="12">
        <f>MAX(0,AT216-AU215)</f>
        <v>2996</v>
      </c>
      <c r="AV216" s="12" t="n"/>
      <c r="AW216" s="12">
        <f>AW196</f>
        <v>0</v>
      </c>
      <c r="AX216" s="12">
        <f>MAX(0,AW216-AX215)</f>
        <v>0</v>
      </c>
      <c r="AY216" s="12">
        <f>MAX(0,AX216-AY215)</f>
        <v>2996</v>
      </c>
      <c r="AZ216" s="12">
        <f>MAX(0,AY216-AZ215)</f>
        <v>2996</v>
      </c>
      <c r="BA216" s="12" t="n"/>
      <c r="BB216" s="12">
        <f>BB196</f>
        <v>0</v>
      </c>
      <c r="BC216" s="12">
        <f>MAX(0,BB216-BC215)</f>
        <v>0</v>
      </c>
      <c r="BD216" s="12">
        <f>MAX(0,BC216-BD215)</f>
        <v>2996</v>
      </c>
      <c r="BE216" s="12">
        <f>MAX(0,BD216-BE215)</f>
        <v>2996</v>
      </c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collapsed="1">
      <c r="C218" s="14" t="inlineStr">
        <is>
          <t>Long term operating leases</t>
        </is>
      </c>
      <c r="D218" s="46" t="n"/>
      <c r="E218" s="46" t="n"/>
      <c r="F218" s="46" t="n"/>
      <c r="G218" s="46" t="n"/>
      <c r="H218" s="12" t="n"/>
      <c r="I218" s="46">
        <f>'Inputs (2)'!D36</f>
        <v>0</v>
      </c>
      <c r="J218" s="46">
        <f>'Inputs (2)'!E36</f>
        <v>0</v>
      </c>
      <c r="K218" s="46">
        <f>'Inputs (2)'!F36</f>
        <v>0</v>
      </c>
      <c r="L218" s="46">
        <f>'Inputs (2)'!G36</f>
        <v>0</v>
      </c>
      <c r="M218" s="12">
        <f>'Inputs (2)'!H36</f>
        <v>0</v>
      </c>
      <c r="N218" s="46">
        <f>'Inputs (2)'!I36</f>
        <v>0</v>
      </c>
      <c r="O218" s="46">
        <f>'Inputs (2)'!J36</f>
        <v>0</v>
      </c>
      <c r="P218" s="46">
        <f>'Inputs (2)'!K36</f>
        <v>0</v>
      </c>
      <c r="Q218" s="46">
        <f>'Inputs (2)'!L36</f>
        <v>0</v>
      </c>
      <c r="R218" s="12">
        <f>'Inputs (2)'!M36</f>
        <v>0</v>
      </c>
      <c r="S218" s="46">
        <f>'Inputs (2)'!N36</f>
        <v>0</v>
      </c>
      <c r="T218" s="46">
        <f>'Inputs (2)'!O36</f>
        <v>0</v>
      </c>
      <c r="U218" s="46">
        <f>'Inputs (2)'!P36</f>
        <v>0</v>
      </c>
      <c r="V218" s="46">
        <f>'Inputs (2)'!Q36</f>
        <v>0</v>
      </c>
      <c r="W218" s="12">
        <f>'Inputs (2)'!R36</f>
        <v>0</v>
      </c>
      <c r="X218" s="46">
        <f>'Inputs (2)'!S36</f>
        <v>0</v>
      </c>
      <c r="Y218" s="46">
        <f>'Inputs (2)'!T36</f>
        <v>0</v>
      </c>
      <c r="Z218" s="46">
        <f>'Inputs (2)'!U36</f>
        <v>0</v>
      </c>
      <c r="AA218" s="46">
        <f>'Inputs (2)'!V36</f>
        <v>0</v>
      </c>
      <c r="AB218" s="12">
        <f>'Inputs (2)'!W36</f>
        <v>0</v>
      </c>
      <c r="AC218" s="46">
        <f>'Inputs (2)'!X36</f>
        <v>0</v>
      </c>
      <c r="AD218" s="46">
        <f>'Inputs (2)'!Y36</f>
        <v>0</v>
      </c>
      <c r="AE218" s="46">
        <f>'Inputs (2)'!Z36</f>
        <v>0</v>
      </c>
      <c r="AF218" s="46">
        <f>'Inputs (2)'!AA36</f>
        <v>0</v>
      </c>
      <c r="AG218" s="12">
        <f>'Inputs (2)'!AB36</f>
        <v>0</v>
      </c>
      <c r="AH218" s="12">
        <f>'Inputs (2)'!AC36</f>
        <v>0</v>
      </c>
      <c r="AI218" s="12">
        <f>'Inputs (2)'!AD36</f>
        <v>0</v>
      </c>
      <c r="AJ218" s="12">
        <f>AI218</f>
        <v>0</v>
      </c>
      <c r="AK218" s="12">
        <f>AJ218</f>
        <v>0</v>
      </c>
      <c r="AL218" s="12">
        <f>AK218</f>
        <v>0</v>
      </c>
      <c r="AM218" s="12">
        <f>AL218</f>
        <v>0</v>
      </c>
      <c r="AN218" s="12">
        <f>AM218</f>
        <v>0</v>
      </c>
      <c r="AO218" s="12">
        <f>AN218</f>
        <v>0</v>
      </c>
      <c r="AP218" s="12">
        <f>AO218</f>
        <v>0</v>
      </c>
      <c r="AQ218" s="12">
        <f>AP218</f>
        <v>0</v>
      </c>
      <c r="AR218" s="12">
        <f>AQ218</f>
        <v>0</v>
      </c>
      <c r="AS218" s="12">
        <f>AR218</f>
        <v>0</v>
      </c>
      <c r="AT218" s="12">
        <f>AS218</f>
        <v>0</v>
      </c>
      <c r="AU218" s="12">
        <f>AT218</f>
        <v>0</v>
      </c>
      <c r="AV218" s="12">
        <f>AU218</f>
        <v>0</v>
      </c>
      <c r="AW218" s="12">
        <f>AV218</f>
        <v>0</v>
      </c>
      <c r="AX218" s="12">
        <f>AW218</f>
        <v>0</v>
      </c>
      <c r="AY218" s="12">
        <f>AX218</f>
        <v>0</v>
      </c>
      <c r="AZ218" s="12">
        <f>AY218</f>
        <v>0</v>
      </c>
      <c r="BA218" s="12">
        <f>AZ218</f>
        <v>0</v>
      </c>
      <c r="BB218" s="12">
        <f>BA218</f>
        <v>0</v>
      </c>
      <c r="BC218" s="12">
        <f>BB218</f>
        <v>0</v>
      </c>
      <c r="BD218" s="12">
        <f>BC218</f>
        <v>0</v>
      </c>
      <c r="BE218" s="12">
        <f>BD218</f>
        <v>0</v>
      </c>
      <c r="BF218" s="12">
        <f>BE218</f>
        <v>0</v>
      </c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9" t="inlineStr">
        <is>
          <t>%(Var.)</t>
        </is>
      </c>
      <c r="D219" s="12" t="n"/>
      <c r="E219" s="40" t="n"/>
      <c r="F219" s="40" t="n"/>
      <c r="G219" s="40" t="n"/>
      <c r="H219" s="12" t="n"/>
      <c r="I219" s="40" t="str">
        <f>""</f>
        <v/>
      </c>
      <c r="J219" s="40" t="str">
        <f>IFERROR(IF(I218=0,"",J218/I218-1),"")</f>
        <v/>
      </c>
      <c r="K219" s="40" t="str">
        <f>IFERROR(IF(J218=0,"",K218/J218-1),"")</f>
        <v/>
      </c>
      <c r="L219" s="40" t="str">
        <f>IFERROR(IF(K218=0,"",L218/K218-1),"")</f>
        <v/>
      </c>
      <c r="M219" s="12" t="str">
        <f>IF(L218=0,"",M218/L218-1)</f>
        <v/>
      </c>
      <c r="N219" s="40" t="str">
        <f>IFERROR(IF(M218=0,"",N218/M218-1),"")</f>
        <v/>
      </c>
      <c r="O219" s="40" t="str">
        <f>IFERROR(IF(N218=0,"",O218/N218-1),"")</f>
        <v/>
      </c>
      <c r="P219" s="40" t="str">
        <f>IFERROR(IF(O218=0,"",P218/O218-1),"")</f>
        <v/>
      </c>
      <c r="Q219" s="40" t="str">
        <f>IFERROR(IF(P218=0,"",Q218/P218-1),"")</f>
        <v/>
      </c>
      <c r="R219" s="12" t="str">
        <f>IF(Q218=0,"",R218/Q218-1)</f>
        <v/>
      </c>
      <c r="S219" s="40" t="str">
        <f>IFERROR(IF(R218=0,"",S218/R218-1),"")</f>
        <v/>
      </c>
      <c r="T219" s="40" t="str">
        <f>IFERROR(IF(S218=0,"",T218/S218-1),"")</f>
        <v/>
      </c>
      <c r="U219" s="40" t="str">
        <f>IFERROR(IF(T218=0,"",U218/T218-1),"")</f>
        <v/>
      </c>
      <c r="V219" s="40" t="str">
        <f>IFERROR(IF(U218=0,"",V218/U218-1),"")</f>
        <v/>
      </c>
      <c r="W219" s="12" t="str">
        <f>IF(V218=0,"",W218/V218-1)</f>
        <v/>
      </c>
      <c r="X219" s="40" t="str">
        <f>IFERROR(IF(W218=0,"",X218/W218-1),"")</f>
        <v/>
      </c>
      <c r="Y219" s="40" t="str">
        <f>IFERROR(IF(X218=0,"",Y218/X218-1),"")</f>
        <v/>
      </c>
      <c r="Z219" s="40" t="str">
        <f>IFERROR(IF(Y218=0,"",Z218/Y218-1),"")</f>
        <v/>
      </c>
      <c r="AA219" s="40" t="str">
        <f>IFERROR(IF(Z218=0,"",AA218/Z218-1),"")</f>
        <v/>
      </c>
      <c r="AB219" s="12" t="str">
        <f>IF(AA218=0,"",AB218/AA218-1)</f>
        <v/>
      </c>
      <c r="AC219" s="40" t="str">
        <f>IFERROR(IF(AB218=0,"",AC218/AB218-1),"")</f>
        <v/>
      </c>
      <c r="AD219" s="40" t="str">
        <f>IFERROR(IF(AC218=0,"",AD218/AC218-1),"")</f>
        <v/>
      </c>
      <c r="AE219" s="40" t="str">
        <f>IFERROR(IF(AD218=0,"",AE218/AD218-1),"")</f>
        <v/>
      </c>
      <c r="AF219" s="41" t="str">
        <f>IFERROR(IF(AE218=0,"",AF218/AE218-1),"")</f>
        <v/>
      </c>
      <c r="AG219" s="12" t="str">
        <f>IF(AF218=0,"",AG218/AF218-1)</f>
        <v/>
      </c>
      <c r="AH219" s="11" t="str">
        <f>IFERROR(IF(AG218=0,"",AH218/AG218-1),"")</f>
        <v/>
      </c>
      <c r="AI219" s="11" t="str">
        <f>IFERROR(IF(AH218=0,"",AI218/AH218-1),"")</f>
        <v/>
      </c>
      <c r="AJ219" s="11" t="str">
        <f>IFERROR(IF(AI218=0,"",AJ218/AI218-1),"")</f>
        <v/>
      </c>
      <c r="AK219" s="11" t="str">
        <f>IFERROR(IF(AJ218=0,"",AK218/AJ218-1),"")</f>
        <v/>
      </c>
      <c r="AL219" s="12" t="str">
        <f>IFERROR(IF(AK218=0,"",AL218/AK218-1),"")</f>
        <v/>
      </c>
      <c r="AM219" s="11" t="str">
        <f>IFERROR(IF(AL218=0,"",AM218/AL218-1),"")</f>
        <v/>
      </c>
      <c r="AN219" s="11" t="str">
        <f>IFERROR(IF(AM218=0,"",AN218/AM218-1),"")</f>
        <v/>
      </c>
      <c r="AO219" s="11" t="str">
        <f>IFERROR(IF(AN218=0,"",AO218/AN218-1),"")</f>
        <v/>
      </c>
      <c r="AP219" s="11" t="str">
        <f>IFERROR(IF(AO218=0,"",AP218/AO218-1),"")</f>
        <v/>
      </c>
      <c r="AQ219" s="12" t="str">
        <f>IFERROR(IF(AP218=0,"",AQ218/AP218-1),"")</f>
        <v/>
      </c>
      <c r="AR219" s="11" t="str">
        <f>IFERROR(IF(AQ218=0,"",AR218/AQ218-1),"")</f>
        <v/>
      </c>
      <c r="AS219" s="11" t="str">
        <f>IFERROR(IF(AR218=0,"",AS218/AR218-1),"")</f>
        <v/>
      </c>
      <c r="AT219" s="11" t="str">
        <f>IFERROR(IF(AS218=0,"",AT218/AS218-1),"")</f>
        <v/>
      </c>
      <c r="AU219" s="11" t="str">
        <f>IFERROR(IF(AT218=0,"",AU218/AT218-1),"")</f>
        <v/>
      </c>
      <c r="AV219" s="12" t="str">
        <f>IFERROR(IF(AU218=0,"",AV218/AU218-1),"")</f>
        <v/>
      </c>
      <c r="AW219" s="11" t="str">
        <f>IFERROR(IF(AV218=0,"",AW218/AV218-1),"")</f>
        <v/>
      </c>
      <c r="AX219" s="11" t="str">
        <f>IFERROR(IF(AW218=0,"",AX218/AW218-1),"")</f>
        <v/>
      </c>
      <c r="AY219" s="11" t="str">
        <f>IFERROR(IF(AX218=0,"",AY218/AX218-1),"")</f>
        <v/>
      </c>
      <c r="AZ219" s="11" t="str">
        <f>IFERROR(IF(AY218=0,"",AZ218/AY218-1),"")</f>
        <v/>
      </c>
      <c r="BA219" s="12" t="str">
        <f>IFERROR(IF(AZ218=0,"",BA218/AZ218-1),"")</f>
        <v/>
      </c>
      <c r="BB219" s="11" t="str">
        <f>IFERROR(IF(BA218=0,"",BB218/BA218-1),"")</f>
        <v/>
      </c>
      <c r="BC219" s="11" t="str">
        <f>IFERROR(IF(BB218=0,"",BC218/BB218-1),"")</f>
        <v/>
      </c>
      <c r="BD219" s="11" t="str">
        <f>IFERROR(IF(BC218=0,"",BD218/BC218-1),"")</f>
        <v/>
      </c>
      <c r="BE219" s="11" t="str">
        <f>IFERROR(IF(BD218=0,"",BE218/BD218-1),"")</f>
        <v/>
      </c>
      <c r="BF219" s="12" t="str">
        <f>IFERROR(IF(BE218=0,"",BF218/BE218-1),"")</f>
        <v/>
      </c>
      <c r="BG219" s="11" t="n"/>
      <c r="BH219" s="11" t="n"/>
      <c r="BI219" s="11" t="n"/>
      <c r="BJ219" s="11" t="n"/>
      <c r="BK219" s="12" t="n"/>
      <c r="BL219" s="11" t="n"/>
      <c r="BM219" s="11" t="n"/>
      <c r="BN219" s="11" t="n"/>
      <c r="BO219" s="11" t="n"/>
      <c r="BP219" s="12" t="n"/>
      <c r="BQ219" s="11" t="n"/>
      <c r="BR219" s="11" t="n"/>
      <c r="BS219" s="11" t="n"/>
      <c r="BT219" s="11" t="n"/>
      <c r="BU219" s="12" t="n"/>
      <c r="BV219" s="11" t="n"/>
      <c r="BW219" s="11" t="n"/>
      <c r="BX219" s="11" t="n"/>
      <c r="BY219" s="11" t="n"/>
      <c r="BZ219" s="12" t="n"/>
      <c r="CA219" s="11" t="n"/>
      <c r="CB219" s="11" t="n"/>
      <c r="CC219" s="11" t="n"/>
      <c r="CD219" s="11" t="n"/>
      <c r="CE219" s="12" t="n"/>
      <c r="CF219" s="11" t="n"/>
      <c r="CG219" s="11" t="n"/>
      <c r="CH219" s="11" t="n"/>
      <c r="CI219" s="11" t="n"/>
      <c r="CJ219" s="12" t="n"/>
      <c r="CK219" s="11" t="n"/>
      <c r="CL219" s="11" t="n"/>
      <c r="CM219" s="11" t="n"/>
      <c r="CN219" s="11" t="n"/>
      <c r="CO219" s="12" t="n"/>
      <c r="CP219" s="11" t="n"/>
      <c r="CQ219" s="11" t="n"/>
      <c r="CR219" s="11" t="n"/>
      <c r="CS219" s="11" t="n"/>
      <c r="CT219" s="12" t="n"/>
      <c r="CU219" s="11" t="n"/>
      <c r="CV219" s="11" t="n"/>
      <c r="CW219" s="11" t="n"/>
      <c r="CX219" s="11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collapsed="1">
      <c r="C221" s="14" t="inlineStr">
        <is>
          <t>Convertible debt</t>
        </is>
      </c>
      <c r="D221" s="46" t="n"/>
      <c r="E221" s="46" t="n"/>
      <c r="F221" s="46" t="n"/>
      <c r="G221" s="46" t="n"/>
      <c r="H221" s="12" t="n"/>
      <c r="I221" s="46">
        <f>'Inputs (2)'!D37</f>
        <v>0</v>
      </c>
      <c r="J221" s="46">
        <f>'Inputs (2)'!E37</f>
        <v>0</v>
      </c>
      <c r="K221" s="46">
        <f>'Inputs (2)'!F37</f>
        <v>0</v>
      </c>
      <c r="L221" s="46">
        <f>'Inputs (2)'!G37</f>
        <v>0</v>
      </c>
      <c r="M221" s="12">
        <f>'Inputs (2)'!H37</f>
        <v>0</v>
      </c>
      <c r="N221" s="46">
        <f>'Inputs (2)'!I37</f>
        <v>0</v>
      </c>
      <c r="O221" s="46">
        <f>'Inputs (2)'!J37</f>
        <v>0</v>
      </c>
      <c r="P221" s="46">
        <f>'Inputs (2)'!K37</f>
        <v>0</v>
      </c>
      <c r="Q221" s="46">
        <f>'Inputs (2)'!L37</f>
        <v>0</v>
      </c>
      <c r="R221" s="12">
        <f>'Inputs (2)'!M37</f>
        <v>0</v>
      </c>
      <c r="S221" s="46">
        <f>'Inputs (2)'!N37</f>
        <v>0</v>
      </c>
      <c r="T221" s="46">
        <f>'Inputs (2)'!O37</f>
        <v>0</v>
      </c>
      <c r="U221" s="46">
        <f>'Inputs (2)'!P37</f>
        <v>0</v>
      </c>
      <c r="V221" s="46">
        <f>'Inputs (2)'!Q37</f>
        <v>0</v>
      </c>
      <c r="W221" s="12">
        <f>'Inputs (2)'!R37</f>
        <v>0</v>
      </c>
      <c r="X221" s="46">
        <f>'Inputs (2)'!S37</f>
        <v>0</v>
      </c>
      <c r="Y221" s="46">
        <f>'Inputs (2)'!T37</f>
        <v>0</v>
      </c>
      <c r="Z221" s="46">
        <f>'Inputs (2)'!U37</f>
        <v>0</v>
      </c>
      <c r="AA221" s="46">
        <f>'Inputs (2)'!V37</f>
        <v>0</v>
      </c>
      <c r="AB221" s="12">
        <f>'Inputs (2)'!W37</f>
        <v>0</v>
      </c>
      <c r="AC221" s="46">
        <f>'Inputs (2)'!X37</f>
        <v>0</v>
      </c>
      <c r="AD221" s="46">
        <f>'Inputs (2)'!Y37</f>
        <v>0</v>
      </c>
      <c r="AE221" s="46">
        <f>'Inputs (2)'!Z37</f>
        <v>0</v>
      </c>
      <c r="AF221" s="46">
        <f>'Inputs (2)'!AA37</f>
        <v>0</v>
      </c>
      <c r="AG221" s="12">
        <f>'Inputs (2)'!AB37</f>
        <v>0</v>
      </c>
      <c r="AH221" s="12">
        <f>'Inputs (2)'!AC37</f>
        <v>0</v>
      </c>
      <c r="AI221" s="12">
        <f>'Inputs (2)'!AD37</f>
        <v>0</v>
      </c>
      <c r="AJ221" s="12">
        <f>AI221</f>
        <v>0</v>
      </c>
      <c r="AK221" s="12">
        <f>AJ221</f>
        <v>0</v>
      </c>
      <c r="AL221" s="12">
        <f>AK221</f>
        <v>0</v>
      </c>
      <c r="AM221" s="12">
        <f>AL221</f>
        <v>0</v>
      </c>
      <c r="AN221" s="12">
        <f>AM221</f>
        <v>0</v>
      </c>
      <c r="AO221" s="12">
        <f>AN221</f>
        <v>0</v>
      </c>
      <c r="AP221" s="12">
        <f>AO221</f>
        <v>0</v>
      </c>
      <c r="AQ221" s="12">
        <f>AP221</f>
        <v>0</v>
      </c>
      <c r="AR221" s="12">
        <f>AQ221</f>
        <v>0</v>
      </c>
      <c r="AS221" s="12">
        <f>AR221</f>
        <v>0</v>
      </c>
      <c r="AT221" s="12">
        <f>AS221</f>
        <v>0</v>
      </c>
      <c r="AU221" s="12">
        <f>AT221</f>
        <v>0</v>
      </c>
      <c r="AV221" s="12">
        <f>AU221</f>
        <v>0</v>
      </c>
      <c r="AW221" s="12">
        <f>AV221</f>
        <v>0</v>
      </c>
      <c r="AX221" s="12">
        <f>AW221</f>
        <v>0</v>
      </c>
      <c r="AY221" s="12">
        <f>AX221</f>
        <v>0</v>
      </c>
      <c r="AZ221" s="12">
        <f>AY221</f>
        <v>0</v>
      </c>
      <c r="BA221" s="12">
        <f>AZ221</f>
        <v>0</v>
      </c>
      <c r="BB221" s="12">
        <f>BA221</f>
        <v>0</v>
      </c>
      <c r="BC221" s="12">
        <f>BB221</f>
        <v>0</v>
      </c>
      <c r="BD221" s="12">
        <f>BC221</f>
        <v>0</v>
      </c>
      <c r="BE221" s="12">
        <f>BD221</f>
        <v>0</v>
      </c>
      <c r="BF221" s="12">
        <f>BE221</f>
        <v>0</v>
      </c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>
      <c r="C222" s="14" t="inlineStr">
        <is>
          <t>Deferred income taxes</t>
        </is>
      </c>
      <c r="D222" s="46" t="n"/>
      <c r="E222" s="46" t="n"/>
      <c r="F222" s="46" t="n"/>
      <c r="G222" s="46" t="n"/>
      <c r="H222" s="12" t="n"/>
      <c r="I222" s="46">
        <f>'Inputs (2)'!D38</f>
        <v>5212</v>
      </c>
      <c r="J222" s="46">
        <f>'Inputs (2)'!E38</f>
        <v>6240</v>
      </c>
      <c r="K222" s="46">
        <f>'Inputs (2)'!F38</f>
        <v>6128</v>
      </c>
      <c r="L222" s="46">
        <f>'Inputs (2)'!G38</f>
        <v>6078</v>
      </c>
      <c r="M222" s="12">
        <f>'Inputs (2)'!H38</f>
        <v>6078</v>
      </c>
      <c r="N222" s="46">
        <f>'Inputs (2)'!I38</f>
        <v>6081</v>
      </c>
      <c r="O222" s="46">
        <f>'Inputs (2)'!J38</f>
        <v>5685</v>
      </c>
      <c r="P222" s="46">
        <f>'Inputs (2)'!K38</f>
        <v>5332</v>
      </c>
      <c r="Q222" s="46">
        <f>'Inputs (2)'!L38</f>
        <v>5443</v>
      </c>
      <c r="R222" s="12">
        <f>'Inputs (2)'!M38</f>
        <v>5443</v>
      </c>
      <c r="S222" s="46">
        <f>'Inputs (2)'!N38</f>
        <v>5462</v>
      </c>
      <c r="T222" s="46">
        <f>'Inputs (2)'!O38</f>
        <v>5380</v>
      </c>
      <c r="U222" s="46">
        <f>'Inputs (2)'!P38</f>
        <v>5114</v>
      </c>
      <c r="V222" s="46">
        <f>'Inputs (2)'!Q38</f>
        <v>5275</v>
      </c>
      <c r="W222" s="12">
        <f>'Inputs (2)'!R38</f>
        <v>5275</v>
      </c>
      <c r="X222" s="46">
        <f>'Inputs (2)'!S38</f>
        <v>5145</v>
      </c>
      <c r="Y222" s="46">
        <f>'Inputs (2)'!T38</f>
        <v>5119</v>
      </c>
      <c r="Z222" s="46">
        <f>'Inputs (2)'!U38</f>
        <v>5301</v>
      </c>
      <c r="AA222" s="46">
        <f>'Inputs (2)'!V38</f>
        <v>5192</v>
      </c>
      <c r="AB222" s="12">
        <f>'Inputs (2)'!W38</f>
        <v>5192</v>
      </c>
      <c r="AC222" s="46">
        <f>'Inputs (2)'!X38</f>
        <v>5160</v>
      </c>
      <c r="AD222" s="46">
        <f>'Inputs (2)'!Y38</f>
        <v>5755</v>
      </c>
      <c r="AE222" s="46">
        <f>'Inputs (2)'!Z38</f>
        <v>5549</v>
      </c>
      <c r="AF222" s="46">
        <f>'Inputs (2)'!AA38</f>
        <v>5241</v>
      </c>
      <c r="AG222" s="12">
        <f>'Inputs (2)'!AB38</f>
        <v>5241</v>
      </c>
      <c r="AH222" s="12">
        <f>'Inputs (2)'!AC38</f>
        <v>5893</v>
      </c>
      <c r="AI222" s="12">
        <f>'Inputs (2)'!AD38</f>
        <v>5219</v>
      </c>
      <c r="AJ222" s="12">
        <f>AI222</f>
        <v>5219</v>
      </c>
      <c r="AK222" s="12">
        <f>AJ222</f>
        <v>5219</v>
      </c>
      <c r="AL222" s="12">
        <f>AK222</f>
        <v>5219</v>
      </c>
      <c r="AM222" s="12">
        <f>AL222</f>
        <v>5219</v>
      </c>
      <c r="AN222" s="12">
        <f>AM222</f>
        <v>5219</v>
      </c>
      <c r="AO222" s="12">
        <f>AN222</f>
        <v>5219</v>
      </c>
      <c r="AP222" s="12">
        <f>AO222</f>
        <v>5219</v>
      </c>
      <c r="AQ222" s="12">
        <f>AP222</f>
        <v>5219</v>
      </c>
      <c r="AR222" s="12">
        <f>AQ222</f>
        <v>5219</v>
      </c>
      <c r="AS222" s="12">
        <f>AR222</f>
        <v>5219</v>
      </c>
      <c r="AT222" s="12">
        <f>AS222</f>
        <v>5219</v>
      </c>
      <c r="AU222" s="12">
        <f>AT222</f>
        <v>5219</v>
      </c>
      <c r="AV222" s="12">
        <f>AU222</f>
        <v>5219</v>
      </c>
      <c r="AW222" s="12">
        <f>AV222</f>
        <v>5219</v>
      </c>
      <c r="AX222" s="12">
        <f>AW222</f>
        <v>5219</v>
      </c>
      <c r="AY222" s="12">
        <f>AX222</f>
        <v>5219</v>
      </c>
      <c r="AZ222" s="12">
        <f>AY222</f>
        <v>5219</v>
      </c>
      <c r="BA222" s="12">
        <f>AZ222</f>
        <v>5219</v>
      </c>
      <c r="BB222" s="12">
        <f>BA222</f>
        <v>5219</v>
      </c>
      <c r="BC222" s="12">
        <f>BB222</f>
        <v>5219</v>
      </c>
      <c r="BD222" s="12">
        <f>BC222</f>
        <v>5219</v>
      </c>
      <c r="BE222" s="12">
        <f>BD222</f>
        <v>5219</v>
      </c>
      <c r="BF222" s="12">
        <f>BE222</f>
        <v>5219</v>
      </c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>
      <c r="C223" s="14" t="inlineStr">
        <is>
          <t>Other non-current liabilities</t>
        </is>
      </c>
      <c r="D223" s="46" t="n"/>
      <c r="E223" s="46" t="n"/>
      <c r="F223" s="46" t="n"/>
      <c r="G223" s="46" t="n"/>
      <c r="H223" s="12" t="n"/>
      <c r="I223" s="46">
        <f>'Inputs (2)'!D39</f>
        <v>3602</v>
      </c>
      <c r="J223" s="46">
        <f>'Inputs (2)'!E39</f>
        <v>3622</v>
      </c>
      <c r="K223" s="46">
        <f>'Inputs (2)'!F39</f>
        <v>3462</v>
      </c>
      <c r="L223" s="46">
        <f>'Inputs (2)'!G39</f>
        <v>3416</v>
      </c>
      <c r="M223" s="12">
        <f>'Inputs (2)'!H39</f>
        <v>3416</v>
      </c>
      <c r="N223" s="46">
        <f>'Inputs (2)'!I39</f>
        <v>3557</v>
      </c>
      <c r="O223" s="46">
        <f>'Inputs (2)'!J39</f>
        <v>3387</v>
      </c>
      <c r="P223" s="46">
        <f>'Inputs (2)'!K39</f>
        <v>3535</v>
      </c>
      <c r="Q223" s="46">
        <f>'Inputs (2)'!L39</f>
        <v>3180</v>
      </c>
      <c r="R223" s="12">
        <f>'Inputs (2)'!M39</f>
        <v>3180</v>
      </c>
      <c r="S223" s="46">
        <f>'Inputs (2)'!N39</f>
        <v>3025</v>
      </c>
      <c r="T223" s="46">
        <f>'Inputs (2)'!O39</f>
        <v>3083</v>
      </c>
      <c r="U223" s="46">
        <f>'Inputs (2)'!P39</f>
        <v>3091</v>
      </c>
      <c r="V223" s="46">
        <f>'Inputs (2)'!Q39</f>
        <v>3064</v>
      </c>
      <c r="W223" s="12">
        <f>'Inputs (2)'!R39</f>
        <v>3064</v>
      </c>
      <c r="X223" s="46">
        <f>'Inputs (2)'!S39</f>
        <v>2723</v>
      </c>
      <c r="Y223" s="46">
        <f>'Inputs (2)'!T39</f>
        <v>2978</v>
      </c>
      <c r="Z223" s="46">
        <f>'Inputs (2)'!U39</f>
        <v>2720</v>
      </c>
      <c r="AA223" s="46">
        <f>'Inputs (2)'!V39</f>
        <v>2629</v>
      </c>
      <c r="AB223" s="12">
        <f>'Inputs (2)'!W39</f>
        <v>2629</v>
      </c>
      <c r="AC223" s="46">
        <f>'Inputs (2)'!X39</f>
        <v>2468</v>
      </c>
      <c r="AD223" s="46">
        <f>'Inputs (2)'!Y39</f>
        <v>1588</v>
      </c>
      <c r="AE223" s="46">
        <f>'Inputs (2)'!Z39</f>
        <v>1519</v>
      </c>
      <c r="AF223" s="46">
        <f>'Inputs (2)'!AA39</f>
        <v>1717</v>
      </c>
      <c r="AG223" s="12">
        <f>'Inputs (2)'!AB39</f>
        <v>1717</v>
      </c>
      <c r="AH223" s="12">
        <f>'Inputs (2)'!AC39</f>
        <v>2002</v>
      </c>
      <c r="AI223" s="12">
        <f>'Inputs (2)'!AD39</f>
        <v>1864</v>
      </c>
      <c r="AJ223" s="12">
        <f>AI223</f>
        <v>1864</v>
      </c>
      <c r="AK223" s="12">
        <f>AJ223</f>
        <v>1864</v>
      </c>
      <c r="AL223" s="12">
        <f>AK223</f>
        <v>1864</v>
      </c>
      <c r="AM223" s="12">
        <f>AL223</f>
        <v>1864</v>
      </c>
      <c r="AN223" s="12">
        <f>AM223</f>
        <v>1864</v>
      </c>
      <c r="AO223" s="12">
        <f>AN223</f>
        <v>1864</v>
      </c>
      <c r="AP223" s="12">
        <f>AO223</f>
        <v>1864</v>
      </c>
      <c r="AQ223" s="12">
        <f>AP223</f>
        <v>1864</v>
      </c>
      <c r="AR223" s="12">
        <f>AQ223</f>
        <v>1864</v>
      </c>
      <c r="AS223" s="12">
        <f>AR223</f>
        <v>1864</v>
      </c>
      <c r="AT223" s="12">
        <f>AS223</f>
        <v>1864</v>
      </c>
      <c r="AU223" s="12">
        <f>AT223</f>
        <v>1864</v>
      </c>
      <c r="AV223" s="12">
        <f>AU223</f>
        <v>1864</v>
      </c>
      <c r="AW223" s="12">
        <f>AV223</f>
        <v>1864</v>
      </c>
      <c r="AX223" s="12">
        <f>AW223</f>
        <v>1864</v>
      </c>
      <c r="AY223" s="12">
        <f>AX223</f>
        <v>1864</v>
      </c>
      <c r="AZ223" s="12">
        <f>AY223</f>
        <v>1864</v>
      </c>
      <c r="BA223" s="12">
        <f>AZ223</f>
        <v>1864</v>
      </c>
      <c r="BB223" s="12">
        <f>BA223</f>
        <v>1864</v>
      </c>
      <c r="BC223" s="12">
        <f>BB223</f>
        <v>1864</v>
      </c>
      <c r="BD223" s="12">
        <f>BC223</f>
        <v>1864</v>
      </c>
      <c r="BE223" s="12">
        <f>BD223</f>
        <v>1864</v>
      </c>
      <c r="BF223" s="12">
        <f>BE223</f>
        <v>1864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 ht="12" customHeight="1">
      <c r="C224" s="59" t="inlineStr">
        <is>
          <t>%(Var.)</t>
        </is>
      </c>
      <c r="D224" s="12" t="n"/>
      <c r="E224" s="40" t="n"/>
      <c r="F224" s="40" t="n"/>
      <c r="G224" s="40" t="n"/>
      <c r="H224" s="12" t="n"/>
      <c r="I224" s="40" t="str">
        <f>""</f>
        <v/>
      </c>
      <c r="J224" s="40">
        <f>IF(I223=0,"",J223/I223-1)</f>
        <v>0.00555247084952804</v>
      </c>
      <c r="K224" s="40">
        <f>IF(J223=0,"",K223/J223-1)</f>
        <v>-0.0441744892324683</v>
      </c>
      <c r="L224" s="40">
        <f>IF(K223=0,"",L223/K223-1)</f>
        <v>-0.0132871172732525</v>
      </c>
      <c r="M224" s="12">
        <f>IF(L223=0,"",M223/L223-1)</f>
        <v>0</v>
      </c>
      <c r="N224" s="40">
        <f>IF(M223=0,"",N223/M223-1)</f>
        <v>0.0412763466042154</v>
      </c>
      <c r="O224" s="40">
        <f>IF(N223=0,"",O223/N223-1)</f>
        <v>-0.0477930840596008</v>
      </c>
      <c r="P224" s="40">
        <f>IF(O223=0,"",P223/O223-1)</f>
        <v>0.0436964865662828</v>
      </c>
      <c r="Q224" s="40">
        <f>IF(P223=0,"",Q223/P223-1)</f>
        <v>-0.1004243281471</v>
      </c>
      <c r="R224" s="12">
        <f>IF(Q223=0,"",R223/Q223-1)</f>
        <v>0</v>
      </c>
      <c r="S224" s="40">
        <f>IF(R223=0,"",S223/R223-1)</f>
        <v>-0.0487421383647799</v>
      </c>
      <c r="T224" s="40">
        <f>IF(S223=0,"",T223/S223-1)</f>
        <v>0.0191735537190083</v>
      </c>
      <c r="U224" s="40">
        <f>IF(T223=0,"",U223/T223-1)</f>
        <v>0.0025948751216347</v>
      </c>
      <c r="V224" s="40">
        <f>IF(U223=0,"",V223/U223-1)</f>
        <v>-0.00873503720478808</v>
      </c>
      <c r="W224" s="12">
        <f>IF(V223=0,"",W223/V223-1)</f>
        <v>0</v>
      </c>
      <c r="X224" s="40">
        <f>IF(W223=0,"",X223/W223-1)</f>
        <v>-0.111292428198433</v>
      </c>
      <c r="Y224" s="40">
        <f>IF(X223=0,"",Y223/X223-1)</f>
        <v>0.0936467131839882</v>
      </c>
      <c r="Z224" s="40">
        <f>IF(Y223=0,"",Z223/Y223-1)</f>
        <v>-0.0866353257219611</v>
      </c>
      <c r="AA224" s="40">
        <f>IF(Z223=0,"",AA223/Z223-1)</f>
        <v>-0.0334558823529412</v>
      </c>
      <c r="AB224" s="12">
        <f>IF(AA223=0,"",AB223/AA223-1)</f>
        <v>0</v>
      </c>
      <c r="AC224" s="40">
        <f>IF(AB223=0,"",AC223/AB223-1)</f>
        <v>-0.0612400152149106</v>
      </c>
      <c r="AD224" s="40">
        <f>IF(AC223=0,"",AD223/AC223-1)</f>
        <v>-0.356564019448947</v>
      </c>
      <c r="AE224" s="40">
        <f>IF(AD223=0,"",AE223/AD223-1)</f>
        <v>-0.0434508816120907</v>
      </c>
      <c r="AF224" s="41">
        <f>IF(AE223=0,"",AF223/AE223-1)</f>
        <v>0.130348913759052</v>
      </c>
      <c r="AG224" s="12">
        <f>IF(AF223=0,"",AG223/AF223-1)</f>
        <v>0</v>
      </c>
      <c r="AH224" s="41">
        <f>IF(AG223=0,"",AH223/AG223-1)</f>
        <v>0.16598718695399</v>
      </c>
      <c r="AI224" s="41">
        <f>IF(AH223=0,"",AI223/AH223-1)</f>
        <v>-0.0689310689310689</v>
      </c>
      <c r="AJ224" s="41">
        <f>IF(AI223=0,"",AJ223/AI223-1)</f>
        <v>0</v>
      </c>
      <c r="AK224" s="41">
        <f>IF(AJ223=0,"",AK223/AJ223-1)</f>
        <v>0</v>
      </c>
      <c r="AL224" s="12">
        <f>IF(AK223=0,"",AL223/AK223-1)</f>
        <v>0</v>
      </c>
      <c r="AM224" s="41">
        <f>IF(AL223=0,"",AM223/AL223-1)</f>
        <v>0</v>
      </c>
      <c r="AN224" s="41">
        <f>IF(AM223=0,"",AN223/AM223-1)</f>
        <v>0</v>
      </c>
      <c r="AO224" s="41">
        <f>IF(AN223=0,"",AO223/AN223-1)</f>
        <v>0</v>
      </c>
      <c r="AP224" s="41">
        <f>IF(AO223=0,"",AP223/AO223-1)</f>
        <v>0</v>
      </c>
      <c r="AQ224" s="12">
        <f>IF(AP223=0,"",AQ223/AP223-1)</f>
        <v>0</v>
      </c>
      <c r="AR224" s="41">
        <f>IF(AQ223=0,"",AR223/AQ223-1)</f>
        <v>0</v>
      </c>
      <c r="AS224" s="41">
        <f>IF(AR223=0,"",AS223/AR223-1)</f>
        <v>0</v>
      </c>
      <c r="AT224" s="41">
        <f>IF(AS223=0,"",AT223/AS223-1)</f>
        <v>0</v>
      </c>
      <c r="AU224" s="41">
        <f>IF(AT223=0,"",AU223/AT223-1)</f>
        <v>0</v>
      </c>
      <c r="AV224" s="12">
        <f>IF(AU223=0,"",AV223/AU223-1)</f>
        <v>0</v>
      </c>
      <c r="AW224" s="41">
        <f>IF(AV223=0,"",AW223/AV223-1)</f>
        <v>0</v>
      </c>
      <c r="AX224" s="41">
        <f>IF(AW223=0,"",AX223/AW223-1)</f>
        <v>0</v>
      </c>
      <c r="AY224" s="41">
        <f>IF(AX223=0,"",AY223/AX223-1)</f>
        <v>0</v>
      </c>
      <c r="AZ224" s="41">
        <f>IF(AY223=0,"",AZ223/AY223-1)</f>
        <v>0</v>
      </c>
      <c r="BA224" s="12">
        <f>IF(AZ223=0,"",BA223/AZ223-1)</f>
        <v>0</v>
      </c>
      <c r="BB224" s="41">
        <f>IF(BA223=0,"",BB223/BA223-1)</f>
        <v>0</v>
      </c>
      <c r="BC224" s="41">
        <f>IF(BB223=0,"",BC223/BB223-1)</f>
        <v>0</v>
      </c>
      <c r="BD224" s="41">
        <f>IF(BC223=0,"",BD223/BC223-1)</f>
        <v>0</v>
      </c>
      <c r="BE224" s="41">
        <f>IF(BD223=0,"",BE223/BD223-1)</f>
        <v>0</v>
      </c>
      <c r="BF224" s="12">
        <f>IF(BE223=0,"",BF223/BE223-1)</f>
        <v>0</v>
      </c>
      <c r="BG224" s="41" t="n"/>
      <c r="BH224" s="41" t="n"/>
      <c r="BI224" s="41" t="n"/>
      <c r="BJ224" s="41" t="n"/>
      <c r="BK224" s="12" t="n"/>
      <c r="BL224" s="41" t="n"/>
      <c r="BM224" s="41" t="n"/>
      <c r="BN224" s="41" t="n"/>
      <c r="BO224" s="41" t="n"/>
      <c r="BP224" s="12" t="n"/>
      <c r="BQ224" s="41" t="n"/>
      <c r="BR224" s="41" t="n"/>
      <c r="BS224" s="41" t="n"/>
      <c r="BT224" s="41" t="n"/>
      <c r="BU224" s="12" t="n"/>
      <c r="BV224" s="41" t="n"/>
      <c r="BW224" s="41" t="n"/>
      <c r="BX224" s="41" t="n"/>
      <c r="BY224" s="41" t="n"/>
      <c r="BZ224" s="12" t="n"/>
      <c r="CA224" s="41" t="n"/>
      <c r="CB224" s="41" t="n"/>
      <c r="CC224" s="41" t="n"/>
      <c r="CD224" s="41" t="n"/>
      <c r="CE224" s="12" t="n"/>
      <c r="CF224" s="41" t="n"/>
      <c r="CG224" s="41" t="n"/>
      <c r="CH224" s="41" t="n"/>
      <c r="CI224" s="41" t="n"/>
      <c r="CJ224" s="12" t="n"/>
      <c r="CK224" s="41" t="n"/>
      <c r="CL224" s="41" t="n"/>
      <c r="CM224" s="41" t="n"/>
      <c r="CN224" s="41" t="n"/>
      <c r="CO224" s="12" t="n"/>
      <c r="CP224" s="41" t="n"/>
      <c r="CQ224" s="41" t="n"/>
      <c r="CR224" s="41" t="n"/>
      <c r="CS224" s="41" t="n"/>
      <c r="CT224" s="12" t="n"/>
      <c r="CU224" s="41" t="n"/>
      <c r="CV224" s="41" t="n"/>
      <c r="CW224" s="41" t="n"/>
      <c r="CX224" s="41" t="n"/>
      <c r="CY224" s="12" t="n"/>
    </row>
    <row r="225" hidden="1" outlineLevel="1" ht="12" customHeight="1">
      <c r="C225" s="59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hidden="1" outlineLevel="1">
      <c r="C226" s="57" t="inlineStr">
        <is>
          <t>Contas a pagar pela aquisição de controladas</t>
        </is>
      </c>
      <c r="D226" s="11" t="n"/>
      <c r="E226" s="11" t="n"/>
      <c r="F226" s="11" t="n"/>
      <c r="G226" s="11" t="n"/>
      <c r="H226" s="12" t="n"/>
      <c r="I226" s="11" t="n"/>
      <c r="J226" s="11" t="n"/>
      <c r="K226" s="11" t="n"/>
      <c r="L226" s="11" t="n"/>
      <c r="M226" s="12" t="n"/>
      <c r="N226" s="11" t="n"/>
      <c r="O226" s="11" t="n"/>
      <c r="P226" s="11" t="n"/>
      <c r="Q226" s="11" t="n"/>
      <c r="R226" s="12" t="n"/>
      <c r="S226" s="11" t="n"/>
      <c r="T226" s="11" t="n"/>
      <c r="U226" s="11" t="n"/>
      <c r="V226" s="11" t="n"/>
      <c r="W226" s="12" t="n"/>
      <c r="X226" s="11" t="n"/>
      <c r="Y226" s="11" t="n"/>
      <c r="Z226" s="11" t="n"/>
      <c r="AA226" s="11" t="n"/>
      <c r="AB226" s="12" t="n"/>
      <c r="AC226" s="11" t="n"/>
      <c r="AD226" s="11" t="n"/>
      <c r="AE226" s="11" t="n"/>
      <c r="AF226" s="11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inlineStr">
        <is>
          <t xml:space="preserve">Outras Obrigações </t>
        </is>
      </c>
      <c r="D227" s="11" t="n"/>
      <c r="E227" s="11" t="n"/>
      <c r="F227" s="11" t="n"/>
      <c r="G227" s="11" t="n"/>
      <c r="H227" s="12" t="n"/>
      <c r="I227" s="11" t="n"/>
      <c r="J227" s="11" t="n"/>
      <c r="K227" s="11" t="n"/>
      <c r="L227" s="11" t="n"/>
      <c r="M227" s="12" t="n"/>
      <c r="N227" s="11" t="n"/>
      <c r="O227" s="11" t="n"/>
      <c r="P227" s="11" t="n"/>
      <c r="Q227" s="11" t="n"/>
      <c r="R227" s="12" t="n"/>
      <c r="S227" s="11" t="n"/>
      <c r="T227" s="11" t="n"/>
      <c r="U227" s="11" t="n"/>
      <c r="V227" s="11" t="n"/>
      <c r="W227" s="12" t="n"/>
      <c r="X227" s="11" t="n"/>
      <c r="Y227" s="11" t="n"/>
      <c r="Z227" s="11" t="n"/>
      <c r="AA227" s="11" t="n"/>
      <c r="AB227" s="12" t="n"/>
      <c r="AC227" s="11" t="n"/>
      <c r="AD227" s="11" t="n"/>
      <c r="AE227" s="11" t="n"/>
      <c r="AF227" s="11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 hidden="1" outlineLevel="1">
      <c r="C228" s="57" t="inlineStr">
        <is>
          <t xml:space="preserve">Provisão de Risco Cíveis, Trabalhistas e Tributários </t>
        </is>
      </c>
      <c r="D228" s="11" t="n"/>
      <c r="E228" s="11" t="n"/>
      <c r="F228" s="11" t="n"/>
      <c r="G228" s="11" t="n"/>
      <c r="H228" s="12" t="n"/>
      <c r="I228" s="11" t="n"/>
      <c r="J228" s="11" t="n"/>
      <c r="K228" s="11" t="n"/>
      <c r="L228" s="11" t="n"/>
      <c r="M228" s="12" t="n"/>
      <c r="N228" s="11" t="n"/>
      <c r="O228" s="11" t="n"/>
      <c r="P228" s="11" t="n"/>
      <c r="Q228" s="11" t="n"/>
      <c r="R228" s="12" t="n"/>
      <c r="S228" s="11" t="n"/>
      <c r="T228" s="11" t="n"/>
      <c r="U228" s="11" t="n"/>
      <c r="V228" s="11" t="n"/>
      <c r="W228" s="12" t="n"/>
      <c r="X228" s="11" t="n"/>
      <c r="Y228" s="11" t="n"/>
      <c r="Z228" s="11" t="n"/>
      <c r="AA228" s="11" t="n"/>
      <c r="AB228" s="12" t="n"/>
      <c r="AC228" s="11" t="n"/>
      <c r="AD228" s="11" t="n"/>
      <c r="AE228" s="11" t="n"/>
      <c r="AF228" s="11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  <c r="CN229" s="12" t="n"/>
      <c r="CO229" s="12" t="n"/>
      <c r="CP229" s="12" t="n"/>
      <c r="CQ229" s="12" t="n"/>
      <c r="CR229" s="12" t="n"/>
      <c r="CS229" s="12" t="n"/>
      <c r="CT229" s="12" t="n"/>
      <c r="CU229" s="12" t="n"/>
      <c r="CV229" s="12" t="n"/>
      <c r="CW229" s="12" t="n"/>
      <c r="CX229" s="12" t="n"/>
      <c r="CY229" s="12" t="n"/>
    </row>
    <row r="230" collapsed="1" customFormat="1" s="32">
      <c r="A230" s="30" t="n"/>
      <c r="B230" s="30" t="n"/>
      <c r="C230" s="65" t="inlineStr">
        <is>
          <t>Total Liabilities</t>
        </is>
      </c>
      <c r="D230" s="35" t="n"/>
      <c r="E230" s="35" t="n"/>
      <c r="F230" s="35" t="n"/>
      <c r="G230" s="35" t="n"/>
      <c r="H230" s="35" t="n"/>
      <c r="I230" s="35">
        <f>SUM(I181+I185+I187+I188+I195+I196+I197+I200+I218+I221+I222+I223)</f>
        <v>42499</v>
      </c>
      <c r="J230" s="35">
        <f>SUM(J181+J185+J187+J188+J195+J196+J197+J200+J218+J221+J222+J223)</f>
        <v>44881</v>
      </c>
      <c r="K230" s="35">
        <f>SUM(K181+K185+K187+K188+K195+K196+K197+K200+K218+K221+K222+K223)</f>
        <v>45307</v>
      </c>
      <c r="L230" s="35">
        <f>SUM(L181+L185+L187+L188+L195+L196+L197+L200+L218+L221+L222+L223)</f>
        <v>45735</v>
      </c>
      <c r="M230" s="35">
        <f>SUM(M181,M185,M187,M188,M195,M196,M200,M197,M218,M221,M222,M223)</f>
        <v>45735</v>
      </c>
      <c r="N230" s="35">
        <f>SUM(N181+N185+N187+N188+N195+N196+N197+N200+N218+N221+N222+N223)</f>
        <v>45819</v>
      </c>
      <c r="O230" s="35">
        <f>SUM(O181+O185+O187+O188+O195+O196+O197+O200+O218+O221+O222+O223)</f>
        <v>49927</v>
      </c>
      <c r="P230" s="35">
        <f>SUM(P181+P185+P187+P188+P195+P196+P197+P200+P218+P221+P222+P223)</f>
        <v>49920</v>
      </c>
      <c r="Q230" s="35">
        <f>SUM(Q181+Q185+Q187+Q188+Q195+Q196+Q197+Q200+Q218+Q221+Q222+Q223)</f>
        <v>48463</v>
      </c>
      <c r="R230" s="35">
        <f>SUM(R181,R185,R187,R188,R195,R196,R200,R197,R218,R221,R222,R223)</f>
        <v>48463</v>
      </c>
      <c r="S230" s="35">
        <f>SUM(S181+S185+S187+S188+S195+S196+S197+S200+S218+S221+S222+S223)</f>
        <v>48190</v>
      </c>
      <c r="T230" s="35">
        <f>SUM(T181+T185+T187+T188+T195+T196+T197+T200+T218+T221+T222+T223)</f>
        <v>50253</v>
      </c>
      <c r="U230" s="35">
        <f>SUM(U181+U185+U187+U188+U195+U196+U197+U200+U218+U221+U222+U223)</f>
        <v>51766</v>
      </c>
      <c r="V230" s="35">
        <f>SUM(V181+V185+V187+V188+V195+V196+V197+V200+V218+V221+V222+V223)</f>
        <v>51676</v>
      </c>
      <c r="W230" s="35">
        <f>SUM(W181,W185,W187,W188,W195,W196,W200,W197,W218,W221,W222,W223)</f>
        <v>51676</v>
      </c>
      <c r="X230" s="35">
        <f>SUM(X181+X185+X187+X188+X195+X196+X197+X200+X218+X221+X222+X223)</f>
        <v>51914</v>
      </c>
      <c r="Y230" s="35">
        <f>SUM(Y181+Y185+Y187+Y188+Y195+Y196+Y197+Y200+Y218+Y221+Y222+Y223)</f>
        <v>51311</v>
      </c>
      <c r="Z230" s="35">
        <f>SUM(Z181+Z185+Z187+Z188+Z195+Z196+Z197+Z200+Z218+Z221+Z222+Z223)</f>
        <v>55374</v>
      </c>
      <c r="AA230" s="35">
        <f>SUM(AA181+AA185+AA187+AA188+AA195+AA196+AA197+AA200+AA218+AA221+AA222+AA223)</f>
        <v>53592</v>
      </c>
      <c r="AB230" s="35">
        <f>SUM(AB181,AB185,AB187,AB188,AB195,AB196,AB200,AB197,AB218,AB221,AB222,AB223)</f>
        <v>53592</v>
      </c>
      <c r="AC230" s="35">
        <f>SUM(AC181+AC185+AC187+AC188+AC195+AC196+AC197+AC200+AC218+AC221+AC222+AC223)</f>
        <v>54823</v>
      </c>
      <c r="AD230" s="35">
        <f>SUM(AD181+AD185+AD187+AD188+AD195+AD196+AD197+AD200+AD218+AD221+AD222+AD223)</f>
        <v>61360</v>
      </c>
      <c r="AE230" s="35">
        <f>SUM(AE181+AE185+AE187+AE188+AE195+AE196+AE197+AE200+AE218+AE221+AE222+AE223)</f>
        <v>61718</v>
      </c>
      <c r="AF230" s="35">
        <f>SUM(AF181+AF185+AF187+AF188+AF195+AF196+AF197+AF200+AF218+AF221+AF222+AF223)</f>
        <v>58037</v>
      </c>
      <c r="AG230" s="35">
        <f>SUM(AG181,AG185,AG187,AG188,AG195,AG196,AG200,AG197,AG218,AG221,AG222,AG223)</f>
        <v>58037</v>
      </c>
      <c r="AH230" s="35">
        <f>SUM(AH181+AH185+AH187+AH188+AH195+AH196+AH197+AH200+AH218+AH221+AH222+AH223)</f>
        <v>59388</v>
      </c>
      <c r="AI230" s="35">
        <f>SUM(AI181+AI185+AI187+AI188+AI195+AI196+AI197+AI200+AI218+AI221+AI222+AI223)</f>
        <v>59412</v>
      </c>
      <c r="AJ230" s="35">
        <f>SUM(AJ181+AJ185+AJ187+AJ188+AJ195+AJ196+AJ197+AJ200+AJ218+AJ221+AJ222+AJ223)</f>
        <v>59891.0470997453</v>
      </c>
      <c r="AK230" s="35">
        <f>SUM(AK181+AK185+AK187+AK188+AK195+AK196+AK197+AK200+AK218+AK221+AK222+AK223)</f>
        <v>61062.7272902212</v>
      </c>
      <c r="AL230" s="35">
        <f>SUM(AL181,AL185,AL187,AL188,AL195,AL196,AL200,AL197,AL218,AL221,AL222,AL223)</f>
        <v>61062.7272902212</v>
      </c>
      <c r="AM230" s="35">
        <f>SUM(AM181+AM185+AM187+AM188+AM195+AM196+AM197+AM200+AM218+AM221+AM222+AM223)</f>
        <v>62392.9325386951</v>
      </c>
      <c r="AN230" s="35">
        <f>SUM(AN181+AN185+AN187+AN188+AN195+AN196+AN197+AN200+AN218+AN221+AN222+AN223)</f>
        <v>63903.1108428526</v>
      </c>
      <c r="AO230" s="35">
        <f>SUM(AO181+AO185+AO187+AO188+AO195+AO196+AO197+AO200+AO218+AO221+AO222+AO223)</f>
        <v>65617.6120545748</v>
      </c>
      <c r="AP230" s="35">
        <f>SUM(AP181+AP185+AP187+AP188+AP195+AP196+AP197+AP200+AP218+AP221+AP222+AP223)</f>
        <v>67564.0804927086</v>
      </c>
      <c r="AQ230" s="35">
        <f>SUM(AQ181,AQ185,AQ187,AQ188,AQ195,AQ196,AQ200,AQ197,AQ218,AQ221,AQ222,AQ223)</f>
        <v>67564.0804927086</v>
      </c>
      <c r="AR230" s="35">
        <f>SUM(AR181+AR185+AR187+AR188+AR195+AR196+AR197+AR200+AR218+AR221+AR222+AR223)</f>
        <v>69692.235272784</v>
      </c>
      <c r="AS230" s="35">
        <f>SUM(AS181+AS185+AS187+AS188+AS195+AS196+AS197+AS200+AS218+AS221+AS222+AS223)</f>
        <v>72097.6826780919</v>
      </c>
      <c r="AT230" s="35">
        <f>SUM(AT181+AT185+AT187+AT188+AT195+AT196+AT197+AT200+AT218+AT221+AT222+AT223)</f>
        <v>74816.5531633944</v>
      </c>
      <c r="AU230" s="35">
        <f>SUM(AU181+AU185+AU187+AU188+AU195+AU196+AU197+AU200+AU218+AU221+AU222+AU223)</f>
        <v>77889.6848808194</v>
      </c>
      <c r="AV230" s="35">
        <f>SUM(AV181,AV185,AV187,AV188,AV195,AV196,AV200,AV197,AV218,AV221,AV222,AV223)</f>
        <v>77889.6848808194</v>
      </c>
      <c r="AW230" s="35">
        <f>SUM(AW181+AW185+AW187+AW188+AW195+AW196+AW197+AW200+AW218+AW221+AW222+AW223)</f>
        <v>81229.9436552773</v>
      </c>
      <c r="AX230" s="35">
        <f>SUM(AX181+AX185+AX187+AX188+AX195+AX196+AX197+AX200+AX218+AX221+AX222+AX223)</f>
        <v>84988.7275269117</v>
      </c>
      <c r="AY230" s="35">
        <f>SUM(AY181+AY185+AY187+AY188+AY195+AY196+AY197+AY200+AY218+AY221+AY222+AY223)</f>
        <v>89218.4765217188</v>
      </c>
      <c r="AZ230" s="35">
        <f>SUM(AZ181+AZ185+AZ187+AZ188+AZ195+AZ196+AZ197+AZ200+AZ218+AZ221+AZ222+AZ223)</f>
        <v>93978.2012545198</v>
      </c>
      <c r="BA230" s="35">
        <f>SUM(BA181,BA185,BA187,BA188,BA195,BA196,BA200,BA197,BA218,BA221,BA222,BA223)</f>
        <v>93978.2012545198</v>
      </c>
      <c r="BB230" s="35">
        <f>SUM(BB181+BB185+BB187+BB188+BB195+BB196+BB197+BB200+BB218+BB221+BB222+BB223)</f>
        <v>99120.5701991205</v>
      </c>
      <c r="BC230" s="35">
        <f>SUM(BC181+BC185+BC187+BC188+BC195+BC196+BC197+BC200+BC218+BC221+BC222+BC223)</f>
        <v>104881.551768322</v>
      </c>
      <c r="BD230" s="35">
        <f>SUM(BD181+BD185+BD187+BD188+BD195+BD196+BD197+BD200+BD218+BD221+BD222+BD223)</f>
        <v>111335.563333464</v>
      </c>
      <c r="BE230" s="35">
        <f>SUM(BE181+BE185+BE187+BE188+BE195+BE196+BE197+BE200+BE218+BE221+BE222+BE223)</f>
        <v>118565.974467856</v>
      </c>
      <c r="BF230" s="35">
        <f>SUM(BF181,BF185,BF187,BF188,BF195,BF196,BF200,BF197,BF218,BF221,BF222,BF223)</f>
        <v>118565.974467856</v>
      </c>
      <c r="BG230" s="35" t="n"/>
      <c r="BH230" s="35" t="n"/>
      <c r="BI230" s="35" t="n"/>
      <c r="BJ230" s="35" t="n"/>
      <c r="BK230" s="35" t="n"/>
      <c r="BL230" s="35" t="n"/>
      <c r="BM230" s="35" t="n"/>
      <c r="BN230" s="35" t="n"/>
      <c r="BO230" s="35" t="n"/>
      <c r="BP230" s="35" t="n"/>
      <c r="BQ230" s="35" t="n"/>
      <c r="BR230" s="35" t="n"/>
      <c r="BS230" s="35" t="n"/>
      <c r="BT230" s="35" t="n"/>
      <c r="BU230" s="35" t="n"/>
      <c r="BV230" s="35" t="n"/>
      <c r="BW230" s="35" t="n"/>
      <c r="BX230" s="35" t="n"/>
      <c r="BY230" s="35" t="n"/>
      <c r="BZ230" s="35" t="n"/>
      <c r="CA230" s="35" t="n"/>
      <c r="CB230" s="35" t="n"/>
      <c r="CC230" s="35" t="n"/>
      <c r="CD230" s="35" t="n"/>
      <c r="CE230" s="35" t="n"/>
      <c r="CF230" s="35" t="n"/>
      <c r="CG230" s="35" t="n"/>
      <c r="CH230" s="35" t="n"/>
      <c r="CI230" s="35" t="n"/>
      <c r="CJ230" s="35" t="n"/>
      <c r="CK230" s="35" t="n"/>
      <c r="CL230" s="35" t="n"/>
      <c r="CM230" s="35" t="n"/>
      <c r="CN230" s="35" t="n"/>
      <c r="CO230" s="35" t="n"/>
      <c r="CP230" s="35" t="n"/>
      <c r="CQ230" s="35" t="n"/>
      <c r="CR230" s="35" t="n"/>
      <c r="CS230" s="35" t="n"/>
      <c r="CT230" s="35" t="n"/>
      <c r="CU230" s="35" t="n"/>
      <c r="CV230" s="35" t="n"/>
      <c r="CW230" s="35" t="n"/>
      <c r="CX230" s="35" t="n"/>
      <c r="CY230" s="35" t="n"/>
    </row>
    <row r="231">
      <c r="C231" s="14" t="inlineStr">
        <is>
          <t>Minority interest</t>
        </is>
      </c>
      <c r="D231" s="46" t="n"/>
      <c r="E231" s="46" t="n"/>
      <c r="F231" s="46" t="n"/>
      <c r="G231" s="46" t="n"/>
      <c r="H231" s="12" t="n"/>
      <c r="I231" s="46">
        <f>'Inputs (2)'!D41</f>
        <v>0</v>
      </c>
      <c r="J231" s="46">
        <f>'Inputs (2)'!E41</f>
        <v>0</v>
      </c>
      <c r="K231" s="46">
        <f>'Inputs (2)'!F41</f>
        <v>0</v>
      </c>
      <c r="L231" s="46">
        <f>'Inputs (2)'!G41</f>
        <v>0</v>
      </c>
      <c r="M231" s="12">
        <f>'Inputs (2)'!H41</f>
        <v>0</v>
      </c>
      <c r="N231" s="46">
        <f>'Inputs (2)'!I41</f>
        <v>0</v>
      </c>
      <c r="O231" s="46">
        <f>'Inputs (2)'!J41</f>
        <v>0</v>
      </c>
      <c r="P231" s="46">
        <f>'Inputs (2)'!K41</f>
        <v>0</v>
      </c>
      <c r="Q231" s="46">
        <f>'Inputs (2)'!L41</f>
        <v>0</v>
      </c>
      <c r="R231" s="12">
        <f>'Inputs (2)'!M41</f>
        <v>0</v>
      </c>
      <c r="S231" s="46">
        <f>'Inputs (2)'!N41</f>
        <v>0</v>
      </c>
      <c r="T231" s="46">
        <f>'Inputs (2)'!O41</f>
        <v>0</v>
      </c>
      <c r="U231" s="46">
        <f>'Inputs (2)'!P41</f>
        <v>0</v>
      </c>
      <c r="V231" s="46">
        <f>'Inputs (2)'!Q41</f>
        <v>0</v>
      </c>
      <c r="W231" s="12">
        <f>'Inputs (2)'!R41</f>
        <v>0</v>
      </c>
      <c r="X231" s="46">
        <f>'Inputs (2)'!S41</f>
        <v>0</v>
      </c>
      <c r="Y231" s="46">
        <f>'Inputs (2)'!T41</f>
        <v>0</v>
      </c>
      <c r="Z231" s="46">
        <f>'Inputs (2)'!U41</f>
        <v>0</v>
      </c>
      <c r="AA231" s="46">
        <f>'Inputs (2)'!V41</f>
        <v>0</v>
      </c>
      <c r="AB231" s="12">
        <f>'Inputs (2)'!W41</f>
        <v>0</v>
      </c>
      <c r="AC231" s="46">
        <f>'Inputs (2)'!X41</f>
        <v>0</v>
      </c>
      <c r="AD231" s="46">
        <f>'Inputs (2)'!Y41</f>
        <v>0</v>
      </c>
      <c r="AE231" s="46">
        <f>'Inputs (2)'!Z41</f>
        <v>0</v>
      </c>
      <c r="AF231" s="46">
        <f>'Inputs (2)'!AA41</f>
        <v>0</v>
      </c>
      <c r="AG231" s="12">
        <f>'Inputs (2)'!AB41</f>
        <v>0</v>
      </c>
      <c r="AH231" s="12">
        <f>'Inputs (2)'!AC41</f>
        <v>0</v>
      </c>
      <c r="AI231" s="12">
        <f>'Inputs (2)'!AD41</f>
        <v>0</v>
      </c>
      <c r="AJ231" s="12">
        <f>AI231</f>
        <v>0</v>
      </c>
      <c r="AK231" s="12">
        <f>AJ231</f>
        <v>0</v>
      </c>
      <c r="AL231" s="12">
        <f>AK231</f>
        <v>0</v>
      </c>
      <c r="AM231" s="12">
        <f>AL231</f>
        <v>0</v>
      </c>
      <c r="AN231" s="12">
        <f>AM231</f>
        <v>0</v>
      </c>
      <c r="AO231" s="12">
        <f>AN231</f>
        <v>0</v>
      </c>
      <c r="AP231" s="12">
        <f>AO231</f>
        <v>0</v>
      </c>
      <c r="AQ231" s="12">
        <f>AP231</f>
        <v>0</v>
      </c>
      <c r="AR231" s="12">
        <f>AQ231</f>
        <v>0</v>
      </c>
      <c r="AS231" s="12">
        <f>AR231</f>
        <v>0</v>
      </c>
      <c r="AT231" s="12">
        <f>AS231</f>
        <v>0</v>
      </c>
      <c r="AU231" s="12">
        <f>AT231</f>
        <v>0</v>
      </c>
      <c r="AV231" s="12">
        <f>AU231</f>
        <v>0</v>
      </c>
      <c r="AW231" s="12">
        <f>AV231</f>
        <v>0</v>
      </c>
      <c r="AX231" s="12">
        <f>AW231</f>
        <v>0</v>
      </c>
      <c r="AY231" s="12">
        <f>AX231</f>
        <v>0</v>
      </c>
      <c r="AZ231" s="12">
        <f>AY231</f>
        <v>0</v>
      </c>
      <c r="BA231" s="12">
        <f>AZ231</f>
        <v>0</v>
      </c>
      <c r="BB231" s="12">
        <f>BA231</f>
        <v>0</v>
      </c>
      <c r="BC231" s="12">
        <f>BB231</f>
        <v>0</v>
      </c>
      <c r="BD231" s="12">
        <f>BC231</f>
        <v>0</v>
      </c>
      <c r="BE231" s="12">
        <f>BD231</f>
        <v>0</v>
      </c>
      <c r="BF231" s="12">
        <f>BE231</f>
        <v>0</v>
      </c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 customFormat="1" s="66">
      <c r="A232" s="37" t="n"/>
      <c r="B232" s="37" t="n"/>
      <c r="C232" s="59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  <c r="CY232" s="42" t="n"/>
    </row>
    <row r="233" hidden="1" outlineLevel="1" customFormat="1" s="66">
      <c r="A233" s="37" t="n"/>
      <c r="B233" s="37" t="n"/>
      <c r="C233" s="57" t="inlineStr">
        <is>
          <t>Minority Interest Expense - % YoY</t>
        </is>
      </c>
      <c r="D233" s="42" t="n"/>
      <c r="E233" s="58" t="n"/>
      <c r="F233" s="42" t="n"/>
      <c r="G233" s="42" t="n"/>
      <c r="H233" s="58" t="n"/>
      <c r="I233" s="42" t="n"/>
      <c r="J233" s="58">
        <f>IF(I118=0,0,J118/I118-1)</f>
        <v>0</v>
      </c>
      <c r="K233" s="42" t="n"/>
      <c r="L233" s="42" t="n"/>
      <c r="M233" s="58" t="n"/>
      <c r="N233" s="58">
        <f>IF(I118=0,0,N118/I118-1)</f>
        <v>0</v>
      </c>
      <c r="O233" s="58">
        <f>IF(J118=0,0,O118/J118-1)</f>
        <v>0</v>
      </c>
      <c r="P233" s="58">
        <f>IF(K118=0,0,P118/K118-1)</f>
        <v>0</v>
      </c>
      <c r="Q233" s="58">
        <f>IF(L118=0,0,Q118/L118-1)</f>
        <v>0</v>
      </c>
      <c r="R233" s="58" t="n"/>
      <c r="S233" s="58">
        <f>IF(N118=0,0,S118/N118-1)</f>
        <v>0</v>
      </c>
      <c r="T233" s="58">
        <f>IF(O118=0,0,T118/O118-1)</f>
        <v>0</v>
      </c>
      <c r="U233" s="58">
        <f>IF(P118=0,0,U118/P118-1)</f>
        <v>0</v>
      </c>
      <c r="V233" s="58">
        <f>IF(Q118=0,0,V118/Q118-1)</f>
        <v>0</v>
      </c>
      <c r="W233" s="58">
        <f>IF(R119=0,0,W119/R119-1)</f>
        <v>0</v>
      </c>
      <c r="X233" s="58">
        <f>IF(S118=0,0,X118/S118-1)</f>
        <v>0</v>
      </c>
      <c r="Y233" s="58">
        <f>IF(T118=0,0,Y118/T118-1)</f>
        <v>0</v>
      </c>
      <c r="Z233" s="58">
        <f>IF(U118=0,0,Z118/U118-1)</f>
        <v>0</v>
      </c>
      <c r="AA233" s="58">
        <f>IF(V118=0,0,AA118/V118-1)</f>
        <v>0</v>
      </c>
      <c r="AB233" s="58">
        <f>IF(W119=0,0,AB119/W119-1)</f>
        <v>0</v>
      </c>
      <c r="AC233" s="58">
        <f>IF(X118=0,0,AC118/X118-1)</f>
        <v>0</v>
      </c>
      <c r="AD233" s="58">
        <f>IF(Y118=0,0,AD118/Y118-1)</f>
        <v>0</v>
      </c>
      <c r="AE233" s="58">
        <f>IF(Z118=0,0,AE118/Z118-1)</f>
        <v>0</v>
      </c>
      <c r="AF233" s="58">
        <f>IF(AA118=0,0,AF118/AA118-1)</f>
        <v>0</v>
      </c>
      <c r="AG233" s="58">
        <f>IF(AB119=0,0,AG119/AB119-1)</f>
        <v>0</v>
      </c>
      <c r="AH233" s="62">
        <f>IF(AC118=0,0,AH118/AC118-1)</f>
        <v>0</v>
      </c>
      <c r="AI233" s="62">
        <f>IF(AD118=0,0,AI118/AD118-1)</f>
        <v>0</v>
      </c>
      <c r="AJ233" s="62" t="n"/>
      <c r="AK233" s="62" t="n"/>
      <c r="AL233" s="58">
        <f>IF(AG119=0,0,AL119/AG119-1)</f>
        <v>0</v>
      </c>
      <c r="AM233" s="62" t="n"/>
      <c r="AN233" s="62" t="n"/>
      <c r="AO233" s="62" t="n"/>
      <c r="AP233" s="62" t="n"/>
      <c r="AQ233" s="58">
        <f>IF(AL119=0,0,AQ119/AL119-1)</f>
        <v>0</v>
      </c>
      <c r="AR233" s="62" t="n"/>
      <c r="AS233" s="62" t="n"/>
      <c r="AT233" s="62" t="n"/>
      <c r="AU233" s="62" t="n"/>
      <c r="AV233" s="58">
        <f>IF(AQ119=0,0,AV119/AQ119-1)</f>
        <v>0</v>
      </c>
      <c r="AW233" s="62" t="n"/>
      <c r="AX233" s="62" t="n"/>
      <c r="AY233" s="62" t="n"/>
      <c r="AZ233" s="62" t="n"/>
      <c r="BA233" s="58">
        <f>IF(AV119=0,0,BA119/AV119-1)</f>
        <v>0</v>
      </c>
      <c r="BB233" s="62" t="n"/>
      <c r="BC233" s="62" t="n"/>
      <c r="BD233" s="62" t="n"/>
      <c r="BE233" s="62" t="n"/>
      <c r="BF233" s="58">
        <f>IF(BA119=0,0,BF119/BA119-1)</f>
        <v>0</v>
      </c>
      <c r="BG233" s="62" t="n"/>
      <c r="BH233" s="62" t="n"/>
      <c r="BI233" s="62" t="n"/>
      <c r="BJ233" s="62" t="n"/>
      <c r="BK233" s="58" t="n"/>
      <c r="BL233" s="62" t="n"/>
      <c r="BM233" s="62" t="n"/>
      <c r="BN233" s="62" t="n"/>
      <c r="BO233" s="62" t="n"/>
      <c r="BP233" s="58" t="n"/>
      <c r="BQ233" s="62" t="n"/>
      <c r="BR233" s="62" t="n"/>
      <c r="BS233" s="62" t="n"/>
      <c r="BT233" s="62" t="n"/>
      <c r="BU233" s="58" t="n"/>
      <c r="BV233" s="62" t="n"/>
      <c r="BW233" s="62" t="n"/>
      <c r="BX233" s="62" t="n"/>
      <c r="BY233" s="62" t="n"/>
      <c r="BZ233" s="58" t="n"/>
      <c r="CA233" s="62" t="n"/>
      <c r="CB233" s="62" t="n"/>
      <c r="CC233" s="62" t="n"/>
      <c r="CD233" s="62" t="n"/>
      <c r="CE233" s="58" t="n"/>
      <c r="CF233" s="62" t="n"/>
      <c r="CG233" s="62" t="n"/>
      <c r="CH233" s="62" t="n"/>
      <c r="CI233" s="62" t="n"/>
      <c r="CJ233" s="58" t="n"/>
      <c r="CK233" s="62" t="n"/>
      <c r="CL233" s="62" t="n"/>
      <c r="CM233" s="62" t="n"/>
      <c r="CN233" s="62" t="n"/>
      <c r="CO233" s="58" t="n"/>
      <c r="CP233" s="62" t="n"/>
      <c r="CQ233" s="62" t="n"/>
      <c r="CR233" s="62" t="n"/>
      <c r="CS233" s="62" t="n"/>
      <c r="CT233" s="58" t="n"/>
      <c r="CU233" s="62" t="n"/>
      <c r="CV233" s="62" t="n"/>
      <c r="CW233" s="62" t="n"/>
      <c r="CX233" s="62" t="n"/>
      <c r="CY233" s="58" t="n"/>
    </row>
    <row r="234" hidden="1" outlineLevel="1" customFormat="1" s="66">
      <c r="A234" s="37" t="n"/>
      <c r="B234" s="37" t="n"/>
      <c r="C234" s="57" t="inlineStr">
        <is>
          <t>Dividends (enter as -)</t>
        </is>
      </c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62" t="n"/>
      <c r="AI234" s="62" t="n"/>
      <c r="AJ234" s="62" t="n"/>
      <c r="AK234" s="62" t="n"/>
      <c r="AL234" s="42" t="n"/>
      <c r="AM234" s="62" t="n"/>
      <c r="AN234" s="62" t="n"/>
      <c r="AO234" s="62" t="n"/>
      <c r="AP234" s="62" t="n"/>
      <c r="AQ234" s="42" t="n"/>
      <c r="AR234" s="62" t="n"/>
      <c r="AS234" s="62" t="n"/>
      <c r="AT234" s="62" t="n"/>
      <c r="AU234" s="62" t="n"/>
      <c r="AV234" s="42" t="n"/>
      <c r="AW234" s="62" t="n"/>
      <c r="AX234" s="62" t="n"/>
      <c r="AY234" s="62" t="n"/>
      <c r="AZ234" s="62" t="n"/>
      <c r="BA234" s="42" t="n"/>
      <c r="BB234" s="62" t="n"/>
      <c r="BC234" s="62" t="n"/>
      <c r="BD234" s="62" t="n"/>
      <c r="BE234" s="62" t="n"/>
      <c r="BF234" s="42" t="n"/>
      <c r="BG234" s="62" t="n"/>
      <c r="BH234" s="62" t="n"/>
      <c r="BI234" s="62" t="n"/>
      <c r="BJ234" s="62" t="n"/>
      <c r="BK234" s="42" t="n"/>
      <c r="BL234" s="62" t="n"/>
      <c r="BM234" s="62" t="n"/>
      <c r="BN234" s="62" t="n"/>
      <c r="BO234" s="62" t="n"/>
      <c r="BP234" s="42" t="n"/>
      <c r="BQ234" s="62" t="n"/>
      <c r="BR234" s="62" t="n"/>
      <c r="BS234" s="62" t="n"/>
      <c r="BT234" s="62" t="n"/>
      <c r="BU234" s="42" t="n"/>
      <c r="BV234" s="62" t="n"/>
      <c r="BW234" s="62" t="n"/>
      <c r="BX234" s="62" t="n"/>
      <c r="BY234" s="62" t="n"/>
      <c r="BZ234" s="42" t="n"/>
      <c r="CA234" s="62" t="n"/>
      <c r="CB234" s="62" t="n"/>
      <c r="CC234" s="62" t="n"/>
      <c r="CD234" s="62" t="n"/>
      <c r="CE234" s="42" t="n"/>
      <c r="CF234" s="62" t="n"/>
      <c r="CG234" s="62" t="n"/>
      <c r="CH234" s="62" t="n"/>
      <c r="CI234" s="62" t="n"/>
      <c r="CJ234" s="42" t="n"/>
      <c r="CK234" s="62" t="n"/>
      <c r="CL234" s="62" t="n"/>
      <c r="CM234" s="62" t="n"/>
      <c r="CN234" s="62" t="n"/>
      <c r="CO234" s="42" t="n"/>
      <c r="CP234" s="62" t="n"/>
      <c r="CQ234" s="62" t="n"/>
      <c r="CR234" s="62" t="n"/>
      <c r="CS234" s="62" t="n"/>
      <c r="CT234" s="42" t="n"/>
      <c r="CU234" s="62" t="n"/>
      <c r="CV234" s="62" t="n"/>
      <c r="CW234" s="62" t="n"/>
      <c r="CX234" s="62" t="n"/>
      <c r="CY234" s="42" t="n"/>
    </row>
    <row r="235" hidden="1" outlineLevel="1" customFormat="1" s="66">
      <c r="A235" s="37" t="n"/>
      <c r="B235" s="37" t="n"/>
      <c r="C235" s="59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  <c r="CY235" s="42" t="n"/>
    </row>
    <row r="236" collapsed="1">
      <c r="C236" s="14" t="inlineStr">
        <is>
          <t>Convertible Preferred Stock</t>
        </is>
      </c>
      <c r="D236" s="46" t="n"/>
      <c r="E236" s="46" t="n"/>
      <c r="F236" s="46" t="n"/>
      <c r="G236" s="46" t="n"/>
      <c r="H236" s="12" t="n"/>
      <c r="I236" s="46">
        <f>'Inputs (2)'!D42</f>
        <v>0</v>
      </c>
      <c r="J236" s="46">
        <f>'Inputs (2)'!E42</f>
        <v>0</v>
      </c>
      <c r="K236" s="46">
        <f>'Inputs (2)'!F42</f>
        <v>0</v>
      </c>
      <c r="L236" s="46">
        <f>'Inputs (2)'!G42</f>
        <v>0</v>
      </c>
      <c r="M236" s="12">
        <f>'Inputs (2)'!H42</f>
        <v>0</v>
      </c>
      <c r="N236" s="46">
        <f>'Inputs (2)'!I42</f>
        <v>0</v>
      </c>
      <c r="O236" s="46">
        <f>'Inputs (2)'!J42</f>
        <v>0</v>
      </c>
      <c r="P236" s="46">
        <f>'Inputs (2)'!K42</f>
        <v>0</v>
      </c>
      <c r="Q236" s="46">
        <f>'Inputs (2)'!L42</f>
        <v>0</v>
      </c>
      <c r="R236" s="12">
        <f>'Inputs (2)'!M42</f>
        <v>0</v>
      </c>
      <c r="S236" s="46">
        <f>'Inputs (2)'!N42</f>
        <v>0</v>
      </c>
      <c r="T236" s="46">
        <f>'Inputs (2)'!O42</f>
        <v>0</v>
      </c>
      <c r="U236" s="46">
        <f>'Inputs (2)'!P42</f>
        <v>0</v>
      </c>
      <c r="V236" s="46">
        <f>'Inputs (2)'!Q42</f>
        <v>0</v>
      </c>
      <c r="W236" s="12">
        <f>'Inputs (2)'!R42</f>
        <v>0</v>
      </c>
      <c r="X236" s="46">
        <f>'Inputs (2)'!S42</f>
        <v>0</v>
      </c>
      <c r="Y236" s="46">
        <f>'Inputs (2)'!T42</f>
        <v>0</v>
      </c>
      <c r="Z236" s="46">
        <f>'Inputs (2)'!U42</f>
        <v>0</v>
      </c>
      <c r="AA236" s="46">
        <f>'Inputs (2)'!V42</f>
        <v>0</v>
      </c>
      <c r="AB236" s="12">
        <f>'Inputs (2)'!W42</f>
        <v>0</v>
      </c>
      <c r="AC236" s="46">
        <f>'Inputs (2)'!X42</f>
        <v>0</v>
      </c>
      <c r="AD236" s="46">
        <f>'Inputs (2)'!Y42</f>
        <v>0</v>
      </c>
      <c r="AE236" s="46">
        <f>'Inputs (2)'!Z42</f>
        <v>0</v>
      </c>
      <c r="AF236" s="46">
        <f>'Inputs (2)'!AA42</f>
        <v>0</v>
      </c>
      <c r="AG236" s="12">
        <f>'Inputs (2)'!AB42</f>
        <v>0</v>
      </c>
      <c r="AH236" s="12">
        <f>'Inputs (2)'!AC42</f>
        <v>0</v>
      </c>
      <c r="AI236" s="12">
        <f>'Inputs (2)'!AD42</f>
        <v>0</v>
      </c>
      <c r="AJ236" s="12">
        <f>AI236</f>
        <v>0</v>
      </c>
      <c r="AK236" s="12">
        <f>AJ236</f>
        <v>0</v>
      </c>
      <c r="AL236" s="12">
        <f>AK236</f>
        <v>0</v>
      </c>
      <c r="AM236" s="12">
        <f>AL236</f>
        <v>0</v>
      </c>
      <c r="AN236" s="12">
        <f>AM236</f>
        <v>0</v>
      </c>
      <c r="AO236" s="12">
        <f>AN236</f>
        <v>0</v>
      </c>
      <c r="AP236" s="12">
        <f>AO236</f>
        <v>0</v>
      </c>
      <c r="AQ236" s="12">
        <f>AP236</f>
        <v>0</v>
      </c>
      <c r="AR236" s="12">
        <f>AQ236</f>
        <v>0</v>
      </c>
      <c r="AS236" s="12">
        <f>AR236</f>
        <v>0</v>
      </c>
      <c r="AT236" s="12">
        <f>AS236</f>
        <v>0</v>
      </c>
      <c r="AU236" s="12">
        <f>AT236</f>
        <v>0</v>
      </c>
      <c r="AV236" s="12">
        <f>AU236</f>
        <v>0</v>
      </c>
      <c r="AW236" s="12">
        <f>AV236</f>
        <v>0</v>
      </c>
      <c r="AX236" s="12">
        <f>AW236</f>
        <v>0</v>
      </c>
      <c r="AY236" s="12">
        <f>AX236</f>
        <v>0</v>
      </c>
      <c r="AZ236" s="12">
        <f>AY236</f>
        <v>0</v>
      </c>
      <c r="BA236" s="12">
        <f>AZ236</f>
        <v>0</v>
      </c>
      <c r="BB236" s="12">
        <f>BA236</f>
        <v>0</v>
      </c>
      <c r="BC236" s="12">
        <f>BB236</f>
        <v>0</v>
      </c>
      <c r="BD236" s="12">
        <f>BC236</f>
        <v>0</v>
      </c>
      <c r="BE236" s="12">
        <f>BD236</f>
        <v>0</v>
      </c>
      <c r="BF236" s="12">
        <f>BE236</f>
        <v>0</v>
      </c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>
      <c r="C237" s="13" t="inlineStr">
        <is>
          <t>Common Stock and APIC</t>
        </is>
      </c>
      <c r="D237" s="46" t="n"/>
      <c r="E237" s="46" t="n"/>
      <c r="F237" s="46" t="n"/>
      <c r="G237" s="46" t="n"/>
      <c r="H237" s="12" t="n"/>
      <c r="I237" s="46">
        <f>'Inputs (2)'!D43</f>
        <v>18505</v>
      </c>
      <c r="J237" s="46">
        <f>'Inputs (2)'!E43</f>
        <v>18787</v>
      </c>
      <c r="K237" s="46">
        <f>'Inputs (2)'!F43</f>
        <v>18855</v>
      </c>
      <c r="L237" s="46">
        <f>'Inputs (2)'!G43</f>
        <v>18776</v>
      </c>
      <c r="M237" s="12">
        <f>'Inputs (2)'!H43</f>
        <v>18776</v>
      </c>
      <c r="N237" s="46">
        <f>'Inputs (2)'!I43</f>
        <v>18876</v>
      </c>
      <c r="O237" s="46">
        <f>'Inputs (2)'!J43</f>
        <v>18962</v>
      </c>
      <c r="P237" s="46">
        <f>'Inputs (2)'!K43</f>
        <v>19545</v>
      </c>
      <c r="Q237" s="46">
        <f>'Inputs (2)'!L43</f>
        <v>19827</v>
      </c>
      <c r="R237" s="12">
        <f>'Inputs (2)'!M43</f>
        <v>19827</v>
      </c>
      <c r="S237" s="46">
        <f>'Inputs (2)'!N43</f>
        <v>20095</v>
      </c>
      <c r="T237" s="46">
        <f>'Inputs (2)'!O43</f>
        <v>20290</v>
      </c>
      <c r="U237" s="46">
        <f>'Inputs (2)'!P43</f>
        <v>20452</v>
      </c>
      <c r="V237" s="46">
        <f>'Inputs (2)'!Q43</f>
        <v>20490</v>
      </c>
      <c r="W237" s="12">
        <f>'Inputs (2)'!R43</f>
        <v>20490</v>
      </c>
      <c r="X237" s="46">
        <f>'Inputs (2)'!S43</f>
        <v>20709</v>
      </c>
      <c r="Y237" s="46">
        <f>'Inputs (2)'!T43</f>
        <v>20832</v>
      </c>
      <c r="Z237" s="46">
        <f>'Inputs (2)'!U43</f>
        <v>21229</v>
      </c>
      <c r="AA237" s="46">
        <f>'Inputs (2)'!V43</f>
        <v>21324</v>
      </c>
      <c r="AB237" s="12">
        <f>'Inputs (2)'!W43</f>
        <v>21324</v>
      </c>
      <c r="AC237" s="46">
        <f>'Inputs (2)'!X43</f>
        <v>21579</v>
      </c>
      <c r="AD237" s="46">
        <f>'Inputs (2)'!Y43</f>
        <v>21746</v>
      </c>
      <c r="AE237" s="46">
        <f>'Inputs (2)'!Z43</f>
        <v>21934</v>
      </c>
      <c r="AF237" s="46">
        <f>'Inputs (2)'!AA43</f>
        <v>21980</v>
      </c>
      <c r="AG237" s="12">
        <f>'Inputs (2)'!AB43</f>
        <v>21980</v>
      </c>
      <c r="AH237" s="12">
        <f>'Inputs (2)'!AC43</f>
        <v>22033</v>
      </c>
      <c r="AI237" s="12">
        <f>'Inputs (2)'!AD43</f>
        <v>22168</v>
      </c>
      <c r="AJ237" s="12">
        <f>AI237+AJ241</f>
        <v>22168</v>
      </c>
      <c r="AK237" s="12">
        <f>AJ237+AK241</f>
        <v>22168</v>
      </c>
      <c r="AL237" s="12">
        <f>AK237</f>
        <v>22168</v>
      </c>
      <c r="AM237" s="12">
        <f>AL237+AM241</f>
        <v>22168</v>
      </c>
      <c r="AN237" s="12">
        <f>AM237+AN241</f>
        <v>22168</v>
      </c>
      <c r="AO237" s="12">
        <f>AN237+AO241</f>
        <v>22168</v>
      </c>
      <c r="AP237" s="12">
        <f>AO237+AP241</f>
        <v>22168</v>
      </c>
      <c r="AQ237" s="12">
        <f>AP237</f>
        <v>22168</v>
      </c>
      <c r="AR237" s="12">
        <f>AQ237+AR241</f>
        <v>22168</v>
      </c>
      <c r="AS237" s="12">
        <f>AR237+AS241</f>
        <v>22168</v>
      </c>
      <c r="AT237" s="12">
        <f>AS237+AT241</f>
        <v>22168</v>
      </c>
      <c r="AU237" s="12">
        <f>AT237+AU241</f>
        <v>22168</v>
      </c>
      <c r="AV237" s="12">
        <f>AU237</f>
        <v>22168</v>
      </c>
      <c r="AW237" s="12">
        <f>AV237+AW241</f>
        <v>22168</v>
      </c>
      <c r="AX237" s="12">
        <f>AW237+AX241</f>
        <v>22168</v>
      </c>
      <c r="AY237" s="12">
        <f>AX237+AY241</f>
        <v>22168</v>
      </c>
      <c r="AZ237" s="12">
        <f>AY237+AZ241</f>
        <v>22168</v>
      </c>
      <c r="BA237" s="12">
        <f>AZ237</f>
        <v>22168</v>
      </c>
      <c r="BB237" s="12">
        <f>BA237+BB241</f>
        <v>22168</v>
      </c>
      <c r="BC237" s="12">
        <f>BB237+BC241</f>
        <v>22168</v>
      </c>
      <c r="BD237" s="12">
        <f>BC237+BD241</f>
        <v>22168</v>
      </c>
      <c r="BE237" s="12">
        <f>BD237+BE241</f>
        <v>22168</v>
      </c>
      <c r="BF237" s="12">
        <f>BE237</f>
        <v>22168</v>
      </c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hidden="1" outlineLevel="1" customFormat="1" s="66">
      <c r="A238" s="37" t="n"/>
      <c r="B238" s="37" t="n"/>
      <c r="C238" s="67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  <c r="CY238" s="42" t="n"/>
    </row>
    <row r="239" hidden="1" outlineLevel="1" customFormat="1" s="66">
      <c r="A239" s="37" t="n"/>
      <c r="B239" s="37" t="n"/>
      <c r="C239" s="67" t="inlineStr">
        <is>
          <t>Diluted Shares outstanding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  <c r="CY239" s="42" t="n"/>
    </row>
    <row r="240" hidden="1" outlineLevel="1" customFormat="1" s="66">
      <c r="A240" s="37" t="n"/>
      <c r="B240" s="37" t="n"/>
      <c r="C240" s="67" t="inlineStr">
        <is>
          <t>Treasury share $ repurchases</t>
        </is>
      </c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11" t="n"/>
      <c r="AI240" s="11" t="n"/>
      <c r="AJ240" s="11" t="n"/>
      <c r="AK240" s="11" t="n"/>
      <c r="AL240" s="42" t="n"/>
      <c r="AM240" s="11" t="n"/>
      <c r="AN240" s="11" t="n"/>
      <c r="AO240" s="11" t="n"/>
      <c r="AP240" s="11" t="n"/>
      <c r="AQ240" s="42" t="n"/>
      <c r="AR240" s="11" t="n"/>
      <c r="AS240" s="11" t="n"/>
      <c r="AT240" s="11" t="n"/>
      <c r="AU240" s="11" t="n"/>
      <c r="AV240" s="42" t="n"/>
      <c r="AW240" s="11" t="n"/>
      <c r="AX240" s="11" t="n"/>
      <c r="AY240" s="11" t="n"/>
      <c r="AZ240" s="11" t="n"/>
      <c r="BA240" s="42" t="n"/>
      <c r="BB240" s="11" t="n"/>
      <c r="BC240" s="11" t="n"/>
      <c r="BD240" s="11" t="n"/>
      <c r="BE240" s="11" t="n"/>
      <c r="BF240" s="42" t="n"/>
      <c r="BG240" s="11" t="n"/>
      <c r="BH240" s="11" t="n"/>
      <c r="BI240" s="11" t="n"/>
      <c r="BJ240" s="11" t="n"/>
      <c r="BK240" s="42" t="n"/>
      <c r="BL240" s="11" t="n"/>
      <c r="BM240" s="11" t="n"/>
      <c r="BN240" s="11" t="n"/>
      <c r="BO240" s="11" t="n"/>
      <c r="BP240" s="42" t="n"/>
      <c r="BQ240" s="11" t="n"/>
      <c r="BR240" s="11" t="n"/>
      <c r="BS240" s="11" t="n"/>
      <c r="BT240" s="11" t="n"/>
      <c r="BU240" s="42" t="n"/>
      <c r="BV240" s="11" t="n"/>
      <c r="BW240" s="11" t="n"/>
      <c r="BX240" s="11" t="n"/>
      <c r="BY240" s="11" t="n"/>
      <c r="BZ240" s="42" t="n"/>
      <c r="CA240" s="11" t="n"/>
      <c r="CB240" s="11" t="n"/>
      <c r="CC240" s="11" t="n"/>
      <c r="CD240" s="11" t="n"/>
      <c r="CE240" s="42" t="n"/>
      <c r="CF240" s="11" t="n"/>
      <c r="CG240" s="11" t="n"/>
      <c r="CH240" s="11" t="n"/>
      <c r="CI240" s="11" t="n"/>
      <c r="CJ240" s="42" t="n"/>
      <c r="CK240" s="11" t="n"/>
      <c r="CL240" s="11" t="n"/>
      <c r="CM240" s="11" t="n"/>
      <c r="CN240" s="11" t="n"/>
      <c r="CO240" s="42" t="n"/>
      <c r="CP240" s="11" t="n"/>
      <c r="CQ240" s="11" t="n"/>
      <c r="CR240" s="11" t="n"/>
      <c r="CS240" s="11" t="n"/>
      <c r="CT240" s="42" t="n"/>
      <c r="CU240" s="11" t="n"/>
      <c r="CV240" s="11" t="n"/>
      <c r="CW240" s="11" t="n"/>
      <c r="CX240" s="11" t="n"/>
      <c r="CY240" s="42" t="n"/>
    </row>
    <row r="241" hidden="1" outlineLevel="1" customFormat="1" s="66">
      <c r="A241" s="37" t="n"/>
      <c r="B241" s="37" t="n"/>
      <c r="C241" s="67" t="inlineStr">
        <is>
          <t>Value of shares issued</t>
        </is>
      </c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11" t="n"/>
      <c r="AI241" s="11" t="n"/>
      <c r="AJ241" s="11" t="n"/>
      <c r="AK241" s="11" t="n"/>
      <c r="AL241" s="42" t="n"/>
      <c r="AM241" s="11" t="n"/>
      <c r="AN241" s="11" t="n"/>
      <c r="AO241" s="11" t="n"/>
      <c r="AP241" s="11" t="n"/>
      <c r="AQ241" s="42" t="n"/>
      <c r="AR241" s="11" t="n"/>
      <c r="AS241" s="11" t="n"/>
      <c r="AT241" s="11" t="n"/>
      <c r="AU241" s="11" t="n"/>
      <c r="AV241" s="42" t="n"/>
      <c r="AW241" s="11" t="n"/>
      <c r="AX241" s="11" t="n"/>
      <c r="AY241" s="11" t="n"/>
      <c r="AZ241" s="11" t="n"/>
      <c r="BA241" s="42" t="n"/>
      <c r="BB241" s="11" t="n"/>
      <c r="BC241" s="11" t="n"/>
      <c r="BD241" s="11" t="n"/>
      <c r="BE241" s="11" t="n"/>
      <c r="BF241" s="42" t="n"/>
      <c r="BG241" s="11" t="n"/>
      <c r="BH241" s="11" t="n"/>
      <c r="BI241" s="11" t="n"/>
      <c r="BJ241" s="11" t="n"/>
      <c r="BK241" s="42" t="n"/>
      <c r="BL241" s="11" t="n"/>
      <c r="BM241" s="11" t="n"/>
      <c r="BN241" s="11" t="n"/>
      <c r="BO241" s="11" t="n"/>
      <c r="BP241" s="42" t="n"/>
      <c r="BQ241" s="11" t="n"/>
      <c r="BR241" s="11" t="n"/>
      <c r="BS241" s="11" t="n"/>
      <c r="BT241" s="11" t="n"/>
      <c r="BU241" s="42" t="n"/>
      <c r="BV241" s="11" t="n"/>
      <c r="BW241" s="11" t="n"/>
      <c r="BX241" s="11" t="n"/>
      <c r="BY241" s="11" t="n"/>
      <c r="BZ241" s="42" t="n"/>
      <c r="CA241" s="11" t="n"/>
      <c r="CB241" s="11" t="n"/>
      <c r="CC241" s="11" t="n"/>
      <c r="CD241" s="11" t="n"/>
      <c r="CE241" s="42" t="n"/>
      <c r="CF241" s="11" t="n"/>
      <c r="CG241" s="11" t="n"/>
      <c r="CH241" s="11" t="n"/>
      <c r="CI241" s="11" t="n"/>
      <c r="CJ241" s="42" t="n"/>
      <c r="CK241" s="11" t="n"/>
      <c r="CL241" s="11" t="n"/>
      <c r="CM241" s="11" t="n"/>
      <c r="CN241" s="11" t="n"/>
      <c r="CO241" s="42" t="n"/>
      <c r="CP241" s="11" t="n"/>
      <c r="CQ241" s="11" t="n"/>
      <c r="CR241" s="11" t="n"/>
      <c r="CS241" s="11" t="n"/>
      <c r="CT241" s="42" t="n"/>
      <c r="CU241" s="11" t="n"/>
      <c r="CV241" s="11" t="n"/>
      <c r="CW241" s="11" t="n"/>
      <c r="CX241" s="11" t="n"/>
      <c r="CY241" s="42" t="n"/>
    </row>
    <row r="242" hidden="1" outlineLevel="1" customFormat="1" s="66">
      <c r="A242" s="37" t="n"/>
      <c r="B242" s="37" t="n"/>
      <c r="C242" s="67" t="inlineStr">
        <is>
          <t>Expected average share price</t>
        </is>
      </c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68">
        <f>AF242*(1+AH243)</f>
        <v>0</v>
      </c>
      <c r="AI242" s="68">
        <f>AH242*(1+AI243)</f>
        <v>0</v>
      </c>
      <c r="AJ242" s="68">
        <f>AH242*(1+AJ243)</f>
        <v>0</v>
      </c>
      <c r="AK242" s="68">
        <f>AJ242*(1+AK243)</f>
        <v>0</v>
      </c>
      <c r="AL242" s="42" t="n"/>
      <c r="AM242" s="68">
        <f>AK242*(1+AM243)</f>
        <v>0</v>
      </c>
      <c r="AN242" s="68">
        <f>AM242*(1+AN243)</f>
        <v>0</v>
      </c>
      <c r="AO242" s="68">
        <f>AM242*(1+AO243)</f>
        <v>0</v>
      </c>
      <c r="AP242" s="68">
        <f>AO242*(1+AP243)</f>
        <v>0</v>
      </c>
      <c r="AQ242" s="42" t="n"/>
      <c r="AR242" s="68">
        <f>AP242*(1+AR243)</f>
        <v>0</v>
      </c>
      <c r="AS242" s="68">
        <f>AR242*(1+AS243)</f>
        <v>0</v>
      </c>
      <c r="AT242" s="68">
        <f>AR242*(1+AT243)</f>
        <v>0</v>
      </c>
      <c r="AU242" s="68">
        <f>AT242*(1+AU243)</f>
        <v>0</v>
      </c>
      <c r="AV242" s="42" t="n"/>
      <c r="AW242" s="68">
        <f>AU242*(1+AW243)</f>
        <v>0</v>
      </c>
      <c r="AX242" s="68">
        <f>AW242*(1+AX243)</f>
        <v>0</v>
      </c>
      <c r="AY242" s="68">
        <f>AW242*(1+AY243)</f>
        <v>0</v>
      </c>
      <c r="AZ242" s="68">
        <f>AY242*(1+AZ243)</f>
        <v>0</v>
      </c>
      <c r="BA242" s="42" t="n"/>
      <c r="BB242" s="68">
        <f>AZ242*(1+BB243)</f>
        <v>0</v>
      </c>
      <c r="BC242" s="68">
        <f>BB242*(1+BC243)</f>
        <v>0</v>
      </c>
      <c r="BD242" s="68">
        <f>BB242*(1+BD243)</f>
        <v>0</v>
      </c>
      <c r="BE242" s="68">
        <f>BD242*(1+BE243)</f>
        <v>0</v>
      </c>
      <c r="BF242" s="42" t="n"/>
      <c r="BG242" s="68" t="n"/>
      <c r="BH242" s="68" t="n"/>
      <c r="BI242" s="68" t="n"/>
      <c r="BJ242" s="68" t="n"/>
      <c r="BK242" s="42" t="n"/>
      <c r="BL242" s="68" t="n"/>
      <c r="BM242" s="68" t="n"/>
      <c r="BN242" s="68" t="n"/>
      <c r="BO242" s="68" t="n"/>
      <c r="BP242" s="42" t="n"/>
      <c r="BQ242" s="68" t="n"/>
      <c r="BR242" s="68" t="n"/>
      <c r="BS242" s="68" t="n"/>
      <c r="BT242" s="68" t="n"/>
      <c r="BU242" s="42" t="n"/>
      <c r="BV242" s="68" t="n"/>
      <c r="BW242" s="68" t="n"/>
      <c r="BX242" s="68" t="n"/>
      <c r="BY242" s="68" t="n"/>
      <c r="BZ242" s="42" t="n"/>
      <c r="CA242" s="68" t="n"/>
      <c r="CB242" s="68" t="n"/>
      <c r="CC242" s="68" t="n"/>
      <c r="CD242" s="68" t="n"/>
      <c r="CE242" s="42" t="n"/>
      <c r="CF242" s="68" t="n"/>
      <c r="CG242" s="68" t="n"/>
      <c r="CH242" s="68" t="n"/>
      <c r="CI242" s="68" t="n"/>
      <c r="CJ242" s="42" t="n"/>
      <c r="CK242" s="68" t="n"/>
      <c r="CL242" s="68" t="n"/>
      <c r="CM242" s="68" t="n"/>
      <c r="CN242" s="68" t="n"/>
      <c r="CO242" s="42" t="n"/>
      <c r="CP242" s="68" t="n"/>
      <c r="CQ242" s="68" t="n"/>
      <c r="CR242" s="68" t="n"/>
      <c r="CS242" s="68" t="n"/>
      <c r="CT242" s="42" t="n"/>
      <c r="CU242" s="68" t="n"/>
      <c r="CV242" s="68" t="n"/>
      <c r="CW242" s="68" t="n"/>
      <c r="CX242" s="68" t="n"/>
      <c r="CY242" s="42" t="n"/>
    </row>
    <row r="243" hidden="1" outlineLevel="1" customFormat="1" s="66">
      <c r="A243" s="37" t="n"/>
      <c r="B243" s="37" t="n"/>
      <c r="C243" s="67" t="inlineStr">
        <is>
          <t>Consensus EPS growth</t>
        </is>
      </c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58">
        <f>$AL$248</f>
        <v>0</v>
      </c>
      <c r="AI243" s="58">
        <f>$AL$248</f>
        <v>0</v>
      </c>
      <c r="AJ243" s="58">
        <f>$AL$248</f>
        <v>0</v>
      </c>
      <c r="AK243" s="58">
        <f>$AL$248</f>
        <v>0</v>
      </c>
      <c r="AL243" s="42" t="n"/>
      <c r="AM243" s="58">
        <f>$AL$248</f>
        <v>0</v>
      </c>
      <c r="AN243" s="58">
        <f>$AL$248</f>
        <v>0</v>
      </c>
      <c r="AO243" s="58">
        <f>$AL$248</f>
        <v>0</v>
      </c>
      <c r="AP243" s="58">
        <f>$AL$248</f>
        <v>0</v>
      </c>
      <c r="AQ243" s="42" t="n"/>
      <c r="AR243" s="58">
        <f>$AL$248</f>
        <v>0</v>
      </c>
      <c r="AS243" s="58">
        <f>$AL$248</f>
        <v>0</v>
      </c>
      <c r="AT243" s="58">
        <f>$AL$248</f>
        <v>0</v>
      </c>
      <c r="AU243" s="58">
        <f>$AL$248</f>
        <v>0</v>
      </c>
      <c r="AV243" s="42" t="n"/>
      <c r="AW243" s="58">
        <f>$AL$248</f>
        <v>0</v>
      </c>
      <c r="AX243" s="58">
        <f>$AL$248</f>
        <v>0</v>
      </c>
      <c r="AY243" s="58">
        <f>$AL$248</f>
        <v>0</v>
      </c>
      <c r="AZ243" s="58">
        <f>$AL$248</f>
        <v>0</v>
      </c>
      <c r="BA243" s="42" t="n"/>
      <c r="BB243" s="58">
        <f>$AL$248</f>
        <v>0</v>
      </c>
      <c r="BC243" s="58">
        <f>$AL$248</f>
        <v>0</v>
      </c>
      <c r="BD243" s="58">
        <f>$AL$248</f>
        <v>0</v>
      </c>
      <c r="BE243" s="58">
        <f>$AL$248</f>
        <v>0</v>
      </c>
      <c r="BF243" s="42" t="n"/>
      <c r="BG243" s="58" t="n"/>
      <c r="BH243" s="58" t="n"/>
      <c r="BI243" s="58" t="n"/>
      <c r="BJ243" s="58" t="n"/>
      <c r="BK243" s="42" t="n"/>
      <c r="BL243" s="58" t="n"/>
      <c r="BM243" s="58" t="n"/>
      <c r="BN243" s="58" t="n"/>
      <c r="BO243" s="58" t="n"/>
      <c r="BP243" s="42" t="n"/>
      <c r="BQ243" s="58" t="n"/>
      <c r="BR243" s="58" t="n"/>
      <c r="BS243" s="58" t="n"/>
      <c r="BT243" s="58" t="n"/>
      <c r="BU243" s="42" t="n"/>
      <c r="BV243" s="58" t="n"/>
      <c r="BW243" s="58" t="n"/>
      <c r="BX243" s="58" t="n"/>
      <c r="BY243" s="58" t="n"/>
      <c r="BZ243" s="42" t="n"/>
      <c r="CA243" s="58" t="n"/>
      <c r="CB243" s="58" t="n"/>
      <c r="CC243" s="58" t="n"/>
      <c r="CD243" s="58" t="n"/>
      <c r="CE243" s="42" t="n"/>
      <c r="CF243" s="58" t="n"/>
      <c r="CG243" s="58" t="n"/>
      <c r="CH243" s="58" t="n"/>
      <c r="CI243" s="58" t="n"/>
      <c r="CJ243" s="42" t="n"/>
      <c r="CK243" s="58" t="n"/>
      <c r="CL243" s="58" t="n"/>
      <c r="CM243" s="58" t="n"/>
      <c r="CN243" s="58" t="n"/>
      <c r="CO243" s="42" t="n"/>
      <c r="CP243" s="58" t="n"/>
      <c r="CQ243" s="58" t="n"/>
      <c r="CR243" s="58" t="n"/>
      <c r="CS243" s="58" t="n"/>
      <c r="CT243" s="42" t="n"/>
      <c r="CU243" s="58" t="n"/>
      <c r="CV243" s="58" t="n"/>
      <c r="CW243" s="58" t="n"/>
      <c r="CX243" s="58" t="n"/>
      <c r="CY243" s="42" t="n"/>
    </row>
    <row r="244" hidden="1" outlineLevel="1" customFormat="1" s="66">
      <c r="A244" s="37" t="n"/>
      <c r="B244" s="37" t="n"/>
      <c r="C244" s="67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12" t="n"/>
      <c r="AI244" s="12" t="n"/>
      <c r="AJ244" s="12" t="n"/>
      <c r="AK244" s="12" t="n"/>
      <c r="AL244" s="42" t="n"/>
      <c r="AM244" s="12" t="n"/>
      <c r="AN244" s="12" t="n"/>
      <c r="AO244" s="12" t="n"/>
      <c r="AP244" s="12" t="n"/>
      <c r="AQ244" s="42" t="n"/>
      <c r="AR244" s="12" t="n"/>
      <c r="AS244" s="12" t="n"/>
      <c r="AT244" s="12" t="n"/>
      <c r="AU244" s="12" t="n"/>
      <c r="AV244" s="42" t="n"/>
      <c r="AW244" s="12" t="n"/>
      <c r="AX244" s="12" t="n"/>
      <c r="AY244" s="12" t="n"/>
      <c r="AZ244" s="12" t="n"/>
      <c r="BA244" s="42" t="n"/>
      <c r="BB244" s="12" t="n"/>
      <c r="BC244" s="12" t="n"/>
      <c r="BD244" s="12" t="n"/>
      <c r="BE244" s="12" t="n"/>
      <c r="BF244" s="42" t="n"/>
      <c r="BG244" s="12" t="n"/>
      <c r="BH244" s="12" t="n"/>
      <c r="BI244" s="12" t="n"/>
      <c r="BJ244" s="12" t="n"/>
      <c r="BK244" s="42" t="n"/>
      <c r="BL244" s="12" t="n"/>
      <c r="BM244" s="12" t="n"/>
      <c r="BN244" s="12" t="n"/>
      <c r="BO244" s="12" t="n"/>
      <c r="BP244" s="42" t="n"/>
      <c r="BQ244" s="12" t="n"/>
      <c r="BR244" s="12" t="n"/>
      <c r="BS244" s="12" t="n"/>
      <c r="BT244" s="12" t="n"/>
      <c r="BU244" s="42" t="n"/>
      <c r="BV244" s="12" t="n"/>
      <c r="BW244" s="12" t="n"/>
      <c r="BX244" s="12" t="n"/>
      <c r="BY244" s="12" t="n"/>
      <c r="BZ244" s="42" t="n"/>
      <c r="CA244" s="12" t="n"/>
      <c r="CB244" s="12" t="n"/>
      <c r="CC244" s="12" t="n"/>
      <c r="CD244" s="12" t="n"/>
      <c r="CE244" s="42" t="n"/>
      <c r="CF244" s="12" t="n"/>
      <c r="CG244" s="12" t="n"/>
      <c r="CH244" s="12" t="n"/>
      <c r="CI244" s="12" t="n"/>
      <c r="CJ244" s="42" t="n"/>
      <c r="CK244" s="12" t="n"/>
      <c r="CL244" s="12" t="n"/>
      <c r="CM244" s="12" t="n"/>
      <c r="CN244" s="12" t="n"/>
      <c r="CO244" s="42" t="n"/>
      <c r="CP244" s="12" t="n"/>
      <c r="CQ244" s="12" t="n"/>
      <c r="CR244" s="12" t="n"/>
      <c r="CS244" s="12" t="n"/>
      <c r="CT244" s="42" t="n"/>
      <c r="CU244" s="12" t="n"/>
      <c r="CV244" s="12" t="n"/>
      <c r="CW244" s="12" t="n"/>
      <c r="CX244" s="12" t="n"/>
      <c r="CY244" s="42" t="n"/>
    </row>
    <row r="245" hidden="1" outlineLevel="1" customFormat="1" s="66">
      <c r="A245" s="37" t="n"/>
      <c r="B245" s="37" t="n"/>
      <c r="C245" s="67" t="inlineStr">
        <is>
          <t>Shares repurchased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69" t="str">
        <f>IFERROR(-AH240/AH242,"")</f>
        <v/>
      </c>
      <c r="AI245" s="69" t="str">
        <f>IFERROR(-AI240/AI242,"")</f>
        <v/>
      </c>
      <c r="AJ245" s="69" t="str">
        <f>IFERROR(-AJ240/AJ242,"")</f>
        <v/>
      </c>
      <c r="AK245" s="69" t="str">
        <f>IFERROR(-AK240/AK242,"")</f>
        <v/>
      </c>
      <c r="AL245" s="42" t="n"/>
      <c r="AM245" s="69" t="str">
        <f>IFERROR(-AM240/AM242,"")</f>
        <v/>
      </c>
      <c r="AN245" s="69" t="str">
        <f>IFERROR(-AN240/AN242,"")</f>
        <v/>
      </c>
      <c r="AO245" s="69" t="str">
        <f>IFERROR(-AO240/AO242,"")</f>
        <v/>
      </c>
      <c r="AP245" s="69" t="str">
        <f>IFERROR(-AP240/AP242,"")</f>
        <v/>
      </c>
      <c r="AQ245" s="42" t="n"/>
      <c r="AR245" s="69" t="str">
        <f>IFERROR(-AR240/AR242,"")</f>
        <v/>
      </c>
      <c r="AS245" s="69" t="str">
        <f>IFERROR(-AS240/AS242,"")</f>
        <v/>
      </c>
      <c r="AT245" s="69" t="str">
        <f>IFERROR(-AT240/AT242,"")</f>
        <v/>
      </c>
      <c r="AU245" s="69" t="str">
        <f>IFERROR(-AU240/AU242,"")</f>
        <v/>
      </c>
      <c r="AV245" s="42" t="n"/>
      <c r="AW245" s="69" t="str">
        <f>IFERROR(-AW240/AW242,"")</f>
        <v/>
      </c>
      <c r="AX245" s="69" t="str">
        <f>IFERROR(-AX240/AX242,"")</f>
        <v/>
      </c>
      <c r="AY245" s="69" t="str">
        <f>IFERROR(-AY240/AY242,"")</f>
        <v/>
      </c>
      <c r="AZ245" s="69" t="str">
        <f>IFERROR(-AZ240/AZ242,"")</f>
        <v/>
      </c>
      <c r="BA245" s="42" t="n"/>
      <c r="BB245" s="69" t="str">
        <f>IFERROR(-BB240/BB242,"")</f>
        <v/>
      </c>
      <c r="BC245" s="69" t="str">
        <f>IFERROR(-BC240/BC242,"")</f>
        <v/>
      </c>
      <c r="BD245" s="69" t="str">
        <f>IFERROR(-BD240/BD242,"")</f>
        <v/>
      </c>
      <c r="BE245" s="69" t="str">
        <f>IFERROR(-BE240/BE242,"")</f>
        <v/>
      </c>
      <c r="BF245" s="42" t="n"/>
      <c r="BG245" s="69" t="n"/>
      <c r="BH245" s="69" t="n"/>
      <c r="BI245" s="69" t="n"/>
      <c r="BJ245" s="69" t="n"/>
      <c r="BK245" s="42" t="n"/>
      <c r="BL245" s="69" t="n"/>
      <c r="BM245" s="69" t="n"/>
      <c r="BN245" s="69" t="n"/>
      <c r="BO245" s="69" t="n"/>
      <c r="BP245" s="42" t="n"/>
      <c r="BQ245" s="69" t="n"/>
      <c r="BR245" s="69" t="n"/>
      <c r="BS245" s="69" t="n"/>
      <c r="BT245" s="69" t="n"/>
      <c r="BU245" s="42" t="n"/>
      <c r="BV245" s="69" t="n"/>
      <c r="BW245" s="69" t="n"/>
      <c r="BX245" s="69" t="n"/>
      <c r="BY245" s="69" t="n"/>
      <c r="BZ245" s="42" t="n"/>
      <c r="CA245" s="69" t="n"/>
      <c r="CB245" s="69" t="n"/>
      <c r="CC245" s="69" t="n"/>
      <c r="CD245" s="69" t="n"/>
      <c r="CE245" s="42" t="n"/>
      <c r="CF245" s="69" t="n"/>
      <c r="CG245" s="69" t="n"/>
      <c r="CH245" s="69" t="n"/>
      <c r="CI245" s="69" t="n"/>
      <c r="CJ245" s="42" t="n"/>
      <c r="CK245" s="69" t="n"/>
      <c r="CL245" s="69" t="n"/>
      <c r="CM245" s="69" t="n"/>
      <c r="CN245" s="69" t="n"/>
      <c r="CO245" s="42" t="n"/>
      <c r="CP245" s="69" t="n"/>
      <c r="CQ245" s="69" t="n"/>
      <c r="CR245" s="69" t="n"/>
      <c r="CS245" s="69" t="n"/>
      <c r="CT245" s="42" t="n"/>
      <c r="CU245" s="69" t="n"/>
      <c r="CV245" s="69" t="n"/>
      <c r="CW245" s="69" t="n"/>
      <c r="CX245" s="69" t="n"/>
      <c r="CY245" s="42" t="n"/>
    </row>
    <row r="246" hidden="1" outlineLevel="1" customFormat="1" s="66">
      <c r="A246" s="37" t="n"/>
      <c r="B246" s="37" t="n"/>
      <c r="C246" s="67" t="inlineStr">
        <is>
          <t>Shares issued</t>
        </is>
      </c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9" t="n"/>
      <c r="AG246" s="42" t="n"/>
      <c r="AH246" s="69" t="str">
        <f>IFERROR(AH241/AH242,"")</f>
        <v/>
      </c>
      <c r="AI246" s="69" t="str">
        <f>IFERROR(AI241/AI242,"")</f>
        <v/>
      </c>
      <c r="AJ246" s="69" t="str">
        <f>IFERROR(AJ241/AJ242,"")</f>
        <v/>
      </c>
      <c r="AK246" s="69" t="str">
        <f>IFERROR(AK241/AK242,"")</f>
        <v/>
      </c>
      <c r="AL246" s="42" t="n"/>
      <c r="AM246" s="69" t="str">
        <f>IFERROR(AM241/AM242,"")</f>
        <v/>
      </c>
      <c r="AN246" s="69" t="str">
        <f>IFERROR(AN241/AN242,"")</f>
        <v/>
      </c>
      <c r="AO246" s="69" t="str">
        <f>IFERROR(AO241/AO242,"")</f>
        <v/>
      </c>
      <c r="AP246" s="69" t="str">
        <f>IFERROR(AP241/AP242,"")</f>
        <v/>
      </c>
      <c r="AQ246" s="42" t="n"/>
      <c r="AR246" s="69" t="str">
        <f>IFERROR(AR241/AR242,"")</f>
        <v/>
      </c>
      <c r="AS246" s="69" t="str">
        <f>IFERROR(AS241/AS242,"")</f>
        <v/>
      </c>
      <c r="AT246" s="69" t="str">
        <f>IFERROR(AT241/AT242,"")</f>
        <v/>
      </c>
      <c r="AU246" s="69" t="str">
        <f>IFERROR(AU241/AU242,"")</f>
        <v/>
      </c>
      <c r="AV246" s="42" t="n"/>
      <c r="AW246" s="69" t="str">
        <f>IFERROR(AW241/AW242,"")</f>
        <v/>
      </c>
      <c r="AX246" s="69" t="str">
        <f>IFERROR(AX241/AX242,"")</f>
        <v/>
      </c>
      <c r="AY246" s="69" t="str">
        <f>IFERROR(AY241/AY242,"")</f>
        <v/>
      </c>
      <c r="AZ246" s="69" t="str">
        <f>IFERROR(AZ241/AZ242,"")</f>
        <v/>
      </c>
      <c r="BA246" s="42" t="n"/>
      <c r="BB246" s="69" t="str">
        <f>IFERROR(BB241/BB242,"")</f>
        <v/>
      </c>
      <c r="BC246" s="69" t="str">
        <f>IFERROR(BC241/BC242,"")</f>
        <v/>
      </c>
      <c r="BD246" s="69" t="str">
        <f>IFERROR(BD241/BD242,"")</f>
        <v/>
      </c>
      <c r="BE246" s="69" t="str">
        <f>IFERROR(BE241/BE242,"")</f>
        <v/>
      </c>
      <c r="BF246" s="42" t="n"/>
      <c r="BG246" s="69" t="n"/>
      <c r="BH246" s="69" t="n"/>
      <c r="BI246" s="69" t="n"/>
      <c r="BJ246" s="69" t="n"/>
      <c r="BK246" s="42" t="n"/>
      <c r="BL246" s="69" t="n"/>
      <c r="BM246" s="69" t="n"/>
      <c r="BN246" s="69" t="n"/>
      <c r="BO246" s="69" t="n"/>
      <c r="BP246" s="42" t="n"/>
      <c r="BQ246" s="69" t="n"/>
      <c r="BR246" s="69" t="n"/>
      <c r="BS246" s="69" t="n"/>
      <c r="BT246" s="69" t="n"/>
      <c r="BU246" s="42" t="n"/>
      <c r="BV246" s="69" t="n"/>
      <c r="BW246" s="69" t="n"/>
      <c r="BX246" s="69" t="n"/>
      <c r="BY246" s="69" t="n"/>
      <c r="BZ246" s="42" t="n"/>
      <c r="CA246" s="69" t="n"/>
      <c r="CB246" s="69" t="n"/>
      <c r="CC246" s="69" t="n"/>
      <c r="CD246" s="69" t="n"/>
      <c r="CE246" s="42" t="n"/>
      <c r="CF246" s="69" t="n"/>
      <c r="CG246" s="69" t="n"/>
      <c r="CH246" s="69" t="n"/>
      <c r="CI246" s="69" t="n"/>
      <c r="CJ246" s="42" t="n"/>
      <c r="CK246" s="69" t="n"/>
      <c r="CL246" s="69" t="n"/>
      <c r="CM246" s="69" t="n"/>
      <c r="CN246" s="69" t="n"/>
      <c r="CO246" s="42" t="n"/>
      <c r="CP246" s="69" t="n"/>
      <c r="CQ246" s="69" t="n"/>
      <c r="CR246" s="69" t="n"/>
      <c r="CS246" s="69" t="n"/>
      <c r="CT246" s="42" t="n"/>
      <c r="CU246" s="69" t="n"/>
      <c r="CV246" s="69" t="n"/>
      <c r="CW246" s="69" t="n"/>
      <c r="CX246" s="69" t="n"/>
      <c r="CY246" s="42" t="n"/>
    </row>
    <row r="247" hidden="1" outlineLevel="1" customFormat="1" s="66">
      <c r="A247" s="37" t="n"/>
      <c r="B247" s="37" t="n"/>
      <c r="C247" s="67" t="inlineStr">
        <is>
          <t>End of period basic shares outstanding</t>
        </is>
      </c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3" t="str">
        <f>IFERROR(AG247+AH246-AH245,"")</f>
        <v/>
      </c>
      <c r="AI247" s="3" t="str">
        <f>IFERROR(AH247+AI246-AI245,"")</f>
        <v/>
      </c>
      <c r="AJ247" s="69" t="str">
        <f>IFERROR(AH247+AJ246-AJ245,"")</f>
        <v/>
      </c>
      <c r="AK247" s="69" t="str">
        <f>IFERROR(AJ247+AK246-AK245,"")</f>
        <v/>
      </c>
      <c r="AL247" s="42" t="n"/>
      <c r="AM247" s="3" t="str">
        <f>IFERROR(AK247+AM246-AM245,"")</f>
        <v/>
      </c>
      <c r="AN247" s="3" t="str">
        <f>IFERROR(AM247+AN246-AN245,"")</f>
        <v/>
      </c>
      <c r="AO247" s="69" t="str">
        <f>IFERROR(AM247+AO246-AO245,"")</f>
        <v/>
      </c>
      <c r="AP247" s="69" t="str">
        <f>IFERROR(AO247+AP246-AP245,"")</f>
        <v/>
      </c>
      <c r="AQ247" s="42" t="n"/>
      <c r="AR247" s="3" t="str">
        <f>IFERROR(AP247+AR246-AR245,"")</f>
        <v/>
      </c>
      <c r="AS247" s="3" t="str">
        <f>IFERROR(AR247+AS246-AS245,"")</f>
        <v/>
      </c>
      <c r="AT247" s="69" t="str">
        <f>IFERROR(AR247+AT246-AT245,"")</f>
        <v/>
      </c>
      <c r="AU247" s="69" t="str">
        <f>IFERROR(AT247+AU246-AU245,"")</f>
        <v/>
      </c>
      <c r="AV247" s="42" t="n"/>
      <c r="AW247" s="3" t="str">
        <f>IFERROR(AU247+AW246-AW245,"")</f>
        <v/>
      </c>
      <c r="AX247" s="3" t="str">
        <f>IFERROR(AW247+AX246-AX245,"")</f>
        <v/>
      </c>
      <c r="AY247" s="69" t="str">
        <f>IFERROR(AW247+AY246-AY245,"")</f>
        <v/>
      </c>
      <c r="AZ247" s="69" t="str">
        <f>IFERROR(AY247+AZ246-AZ245,"")</f>
        <v/>
      </c>
      <c r="BA247" s="42" t="n"/>
      <c r="BB247" s="3" t="str">
        <f>IFERROR(AZ247+BB246-BB245,"")</f>
        <v/>
      </c>
      <c r="BC247" s="3" t="str">
        <f>IFERROR(BB247+BC246-BC245,"")</f>
        <v/>
      </c>
      <c r="BD247" s="69" t="str">
        <f>IFERROR(BB247+BD246-BD245,"")</f>
        <v/>
      </c>
      <c r="BE247" s="69" t="str">
        <f>IFERROR(BD247+BE246-BE245,"")</f>
        <v/>
      </c>
      <c r="BF247" s="42" t="n"/>
      <c r="BG247" s="3" t="n"/>
      <c r="BH247" s="3" t="n"/>
      <c r="BI247" s="69" t="n"/>
      <c r="BJ247" s="69" t="n"/>
      <c r="BK247" s="42" t="n"/>
      <c r="BL247" s="3" t="n"/>
      <c r="BM247" s="3" t="n"/>
      <c r="BN247" s="69" t="n"/>
      <c r="BO247" s="69" t="n"/>
      <c r="BP247" s="42" t="n"/>
      <c r="BQ247" s="3" t="n"/>
      <c r="BR247" s="3" t="n"/>
      <c r="BS247" s="69" t="n"/>
      <c r="BT247" s="69" t="n"/>
      <c r="BU247" s="42" t="n"/>
      <c r="BV247" s="3" t="n"/>
      <c r="BW247" s="3" t="n"/>
      <c r="BX247" s="69" t="n"/>
      <c r="BY247" s="69" t="n"/>
      <c r="BZ247" s="42" t="n"/>
      <c r="CA247" s="3" t="n"/>
      <c r="CB247" s="3" t="n"/>
      <c r="CC247" s="69" t="n"/>
      <c r="CD247" s="69" t="n"/>
      <c r="CE247" s="42" t="n"/>
      <c r="CF247" s="3" t="n"/>
      <c r="CG247" s="3" t="n"/>
      <c r="CH247" s="69" t="n"/>
      <c r="CI247" s="69" t="n"/>
      <c r="CJ247" s="42" t="n"/>
      <c r="CK247" s="3" t="n"/>
      <c r="CL247" s="3" t="n"/>
      <c r="CM247" s="69" t="n"/>
      <c r="CN247" s="69" t="n"/>
      <c r="CO247" s="42" t="n"/>
      <c r="CP247" s="3" t="n"/>
      <c r="CQ247" s="3" t="n"/>
      <c r="CR247" s="69" t="n"/>
      <c r="CS247" s="69" t="n"/>
      <c r="CT247" s="42" t="n"/>
      <c r="CU247" s="3" t="n"/>
      <c r="CV247" s="3" t="n"/>
      <c r="CW247" s="69" t="n"/>
      <c r="CX247" s="69" t="n"/>
      <c r="CY247" s="42" t="n"/>
    </row>
    <row r="248" hidden="1" outlineLevel="1" customFormat="1" s="66">
      <c r="A248" s="37" t="n"/>
      <c r="B248" s="37" t="n"/>
      <c r="C248" s="67" t="inlineStr">
        <is>
          <t>Weighted average basic shares outstanding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69" t="str">
        <f>IFERROR(AVERAGE(AG247,AH247),"")</f>
        <v/>
      </c>
      <c r="AI248" s="69" t="str">
        <f>IFERROR(AVERAGE(AH247,AI247),"")</f>
        <v/>
      </c>
      <c r="AJ248" s="69" t="str">
        <f>IFERROR(AVERAGE(AH247,AJ247),"")</f>
        <v/>
      </c>
      <c r="AK248" s="69" t="str">
        <f>IFERROR(AVERAGE(AJ247,AK247),"")</f>
        <v/>
      </c>
      <c r="AL248" s="42" t="n"/>
      <c r="AM248" s="69" t="str">
        <f>IFERROR(AVERAGE(AL247,AM247),"")</f>
        <v/>
      </c>
      <c r="AN248" s="69" t="str">
        <f>IFERROR(AVERAGE(AM247,AN247),"")</f>
        <v/>
      </c>
      <c r="AO248" s="69" t="str">
        <f>IFERROR(AVERAGE(AM247,AO247),"")</f>
        <v/>
      </c>
      <c r="AP248" s="69" t="str">
        <f>IFERROR(AVERAGE(AO247,AP247),"")</f>
        <v/>
      </c>
      <c r="AQ248" s="42" t="n"/>
      <c r="AR248" s="69" t="str">
        <f>IFERROR(AVERAGE(AQ247,AR247),"")</f>
        <v/>
      </c>
      <c r="AS248" s="69" t="str">
        <f>IFERROR(AVERAGE(AR247,AS247),"")</f>
        <v/>
      </c>
      <c r="AT248" s="69" t="str">
        <f>IFERROR(AVERAGE(AR247,AT247),"")</f>
        <v/>
      </c>
      <c r="AU248" s="69" t="str">
        <f>IFERROR(AVERAGE(AT247,AU247),"")</f>
        <v/>
      </c>
      <c r="AV248" s="42" t="n"/>
      <c r="AW248" s="69" t="str">
        <f>IFERROR(AVERAGE(AV247,AW247),"")</f>
        <v/>
      </c>
      <c r="AX248" s="69" t="str">
        <f>IFERROR(AVERAGE(AW247,AX247),"")</f>
        <v/>
      </c>
      <c r="AY248" s="69" t="str">
        <f>IFERROR(AVERAGE(AW247,AY247),"")</f>
        <v/>
      </c>
      <c r="AZ248" s="69" t="str">
        <f>IFERROR(AVERAGE(AY247,AZ247),"")</f>
        <v/>
      </c>
      <c r="BA248" s="42" t="n"/>
      <c r="BB248" s="69" t="str">
        <f>IFERROR(AVERAGE(BA247,BB247),"")</f>
        <v/>
      </c>
      <c r="BC248" s="69" t="str">
        <f>IFERROR(AVERAGE(BB247,BC247),"")</f>
        <v/>
      </c>
      <c r="BD248" s="69" t="str">
        <f>IFERROR(AVERAGE(BB247,BD247),"")</f>
        <v/>
      </c>
      <c r="BE248" s="69" t="str">
        <f>IFERROR(AVERAGE(BD247,BE247),"")</f>
        <v/>
      </c>
      <c r="BF248" s="42" t="n"/>
      <c r="BG248" s="69" t="n"/>
      <c r="BH248" s="69" t="n"/>
      <c r="BI248" s="69" t="n"/>
      <c r="BJ248" s="69" t="n"/>
      <c r="BK248" s="42" t="n"/>
      <c r="BL248" s="69" t="n"/>
      <c r="BM248" s="69" t="n"/>
      <c r="BN248" s="69" t="n"/>
      <c r="BO248" s="69" t="n"/>
      <c r="BP248" s="42" t="n"/>
      <c r="BQ248" s="69" t="n"/>
      <c r="BR248" s="69" t="n"/>
      <c r="BS248" s="69" t="n"/>
      <c r="BT248" s="69" t="n"/>
      <c r="BU248" s="42" t="n"/>
      <c r="BV248" s="69" t="n"/>
      <c r="BW248" s="69" t="n"/>
      <c r="BX248" s="69" t="n"/>
      <c r="BY248" s="69" t="n"/>
      <c r="BZ248" s="42" t="n"/>
      <c r="CA248" s="69" t="n"/>
      <c r="CB248" s="69" t="n"/>
      <c r="CC248" s="69" t="n"/>
      <c r="CD248" s="69" t="n"/>
      <c r="CE248" s="42" t="n"/>
      <c r="CF248" s="69" t="n"/>
      <c r="CG248" s="69" t="n"/>
      <c r="CH248" s="69" t="n"/>
      <c r="CI248" s="69" t="n"/>
      <c r="CJ248" s="42" t="n"/>
      <c r="CK248" s="69" t="n"/>
      <c r="CL248" s="69" t="n"/>
      <c r="CM248" s="69" t="n"/>
      <c r="CN248" s="69" t="n"/>
      <c r="CO248" s="42" t="n"/>
      <c r="CP248" s="69" t="n"/>
      <c r="CQ248" s="69" t="n"/>
      <c r="CR248" s="69" t="n"/>
      <c r="CS248" s="69" t="n"/>
      <c r="CT248" s="42" t="n"/>
      <c r="CU248" s="69" t="n"/>
      <c r="CV248" s="69" t="n"/>
      <c r="CW248" s="69" t="n"/>
      <c r="CX248" s="69" t="n"/>
      <c r="CY248" s="42" t="n"/>
    </row>
    <row r="249" hidden="1" outlineLevel="1" customFormat="1" s="66">
      <c r="A249" s="37" t="n"/>
      <c r="B249" s="37" t="n"/>
      <c r="C249" s="67" t="n"/>
      <c r="D249" s="42" t="n"/>
      <c r="E249" s="42" t="n"/>
      <c r="F249" s="42" t="n"/>
      <c r="G249" s="42" t="n"/>
      <c r="H249" s="12" t="n"/>
      <c r="I249" s="42" t="n"/>
      <c r="J249" s="42" t="n"/>
      <c r="K249" s="42" t="n"/>
      <c r="L249" s="42" t="n"/>
      <c r="M249" s="12" t="n"/>
      <c r="N249" s="42" t="n"/>
      <c r="O249" s="42" t="n"/>
      <c r="P249" s="42" t="n"/>
      <c r="Q249" s="42" t="n"/>
      <c r="R249" s="12" t="n"/>
      <c r="S249" s="42" t="n"/>
      <c r="T249" s="42" t="n"/>
      <c r="U249" s="42" t="n"/>
      <c r="V249" s="42" t="n"/>
      <c r="W249" s="12" t="n"/>
      <c r="X249" s="42" t="n"/>
      <c r="Y249" s="42" t="n"/>
      <c r="Z249" s="42" t="n"/>
      <c r="AA249" s="42" t="n"/>
      <c r="AB249" s="12" t="n"/>
      <c r="AC249" s="42" t="n"/>
      <c r="AD249" s="42" t="n"/>
      <c r="AE249" s="42" t="n"/>
      <c r="AF249" s="42" t="n"/>
      <c r="AG249" s="12" t="n"/>
      <c r="AH249" s="42" t="n"/>
      <c r="AI249" s="42" t="n"/>
      <c r="AJ249" s="42" t="n"/>
      <c r="AK249" s="42" t="n"/>
      <c r="AL249" s="12" t="n"/>
      <c r="AM249" s="42" t="n"/>
      <c r="AN249" s="42" t="n"/>
      <c r="AO249" s="42" t="n"/>
      <c r="AP249" s="42" t="n"/>
      <c r="AQ249" s="12" t="n"/>
      <c r="AR249" s="42" t="n"/>
      <c r="AS249" s="42" t="n"/>
      <c r="AT249" s="42" t="n"/>
      <c r="AU249" s="42" t="n"/>
      <c r="AV249" s="12" t="n"/>
      <c r="AW249" s="42" t="n"/>
      <c r="AX249" s="42" t="n"/>
      <c r="AY249" s="42" t="n"/>
      <c r="AZ249" s="42" t="n"/>
      <c r="BA249" s="12" t="n"/>
      <c r="BB249" s="42" t="n"/>
      <c r="BC249" s="42" t="n"/>
      <c r="BD249" s="42" t="n"/>
      <c r="BE249" s="42" t="n"/>
      <c r="BF249" s="12" t="n"/>
      <c r="BG249" s="42" t="n"/>
      <c r="BH249" s="42" t="n"/>
      <c r="BI249" s="42" t="n"/>
      <c r="BJ249" s="42" t="n"/>
      <c r="BK249" s="12" t="n"/>
      <c r="BL249" s="42" t="n"/>
      <c r="BM249" s="42" t="n"/>
      <c r="BN249" s="42" t="n"/>
      <c r="BO249" s="42" t="n"/>
      <c r="BP249" s="12" t="n"/>
      <c r="BQ249" s="42" t="n"/>
      <c r="BR249" s="42" t="n"/>
      <c r="BS249" s="42" t="n"/>
      <c r="BT249" s="42" t="n"/>
      <c r="BU249" s="12" t="n"/>
      <c r="BV249" s="42" t="n"/>
      <c r="BW249" s="42" t="n"/>
      <c r="BX249" s="42" t="n"/>
      <c r="BY249" s="42" t="n"/>
      <c r="BZ249" s="12" t="n"/>
      <c r="CA249" s="42" t="n"/>
      <c r="CB249" s="42" t="n"/>
      <c r="CC249" s="42" t="n"/>
      <c r="CD249" s="42" t="n"/>
      <c r="CE249" s="12" t="n"/>
      <c r="CF249" s="42" t="n"/>
      <c r="CG249" s="42" t="n"/>
      <c r="CH249" s="42" t="n"/>
      <c r="CI249" s="42" t="n"/>
      <c r="CJ249" s="12" t="n"/>
      <c r="CK249" s="42" t="n"/>
      <c r="CL249" s="42" t="n"/>
      <c r="CM249" s="42" t="n"/>
      <c r="CN249" s="42" t="n"/>
      <c r="CO249" s="12" t="n"/>
      <c r="CP249" s="42" t="n"/>
      <c r="CQ249" s="42" t="n"/>
      <c r="CR249" s="42" t="n"/>
      <c r="CS249" s="42" t="n"/>
      <c r="CT249" s="12" t="n"/>
      <c r="CU249" s="42" t="n"/>
      <c r="CV249" s="42" t="n"/>
      <c r="CW249" s="42" t="n"/>
      <c r="CX249" s="42" t="n"/>
      <c r="CY249" s="12" t="n"/>
    </row>
    <row r="250" collapsed="1">
      <c r="C250" s="14" t="inlineStr">
        <is>
          <t>Treasury stock (contra account)</t>
        </is>
      </c>
      <c r="D250" s="46" t="n"/>
      <c r="E250" s="46" t="n"/>
      <c r="F250" s="46" t="n"/>
      <c r="G250" s="46" t="n"/>
      <c r="H250" s="12" t="n"/>
      <c r="I250" s="46">
        <f>'Inputs (2)'!D44</f>
        <v>0</v>
      </c>
      <c r="J250" s="46">
        <f>'Inputs (2)'!E44</f>
        <v>0</v>
      </c>
      <c r="K250" s="46">
        <f>'Inputs (2)'!F44</f>
        <v>0</v>
      </c>
      <c r="L250" s="46">
        <f>'Inputs (2)'!G44</f>
        <v>0</v>
      </c>
      <c r="M250" s="12">
        <f>'Inputs (2)'!H44</f>
        <v>0</v>
      </c>
      <c r="N250" s="46">
        <f>'Inputs (2)'!I44</f>
        <v>0</v>
      </c>
      <c r="O250" s="46">
        <f>'Inputs (2)'!J44</f>
        <v>0</v>
      </c>
      <c r="P250" s="46">
        <f>'Inputs (2)'!K44</f>
        <v>0</v>
      </c>
      <c r="Q250" s="46">
        <f>'Inputs (2)'!L44</f>
        <v>0</v>
      </c>
      <c r="R250" s="12">
        <f>'Inputs (2)'!M44</f>
        <v>0</v>
      </c>
      <c r="S250" s="46">
        <f>'Inputs (2)'!N44</f>
        <v>0</v>
      </c>
      <c r="T250" s="46">
        <f>'Inputs (2)'!O44</f>
        <v>0</v>
      </c>
      <c r="U250" s="46">
        <f>'Inputs (2)'!P44</f>
        <v>0</v>
      </c>
      <c r="V250" s="46">
        <f>'Inputs (2)'!Q44</f>
        <v>0</v>
      </c>
      <c r="W250" s="12">
        <f>'Inputs (2)'!R44</f>
        <v>0</v>
      </c>
      <c r="X250" s="46">
        <f>'Inputs (2)'!S44</f>
        <v>0</v>
      </c>
      <c r="Y250" s="46">
        <f>'Inputs (2)'!T44</f>
        <v>0</v>
      </c>
      <c r="Z250" s="46">
        <f>'Inputs (2)'!U44</f>
        <v>0</v>
      </c>
      <c r="AA250" s="46">
        <f>'Inputs (2)'!V44</f>
        <v>0</v>
      </c>
      <c r="AB250" s="12">
        <f>'Inputs (2)'!W44</f>
        <v>0</v>
      </c>
      <c r="AC250" s="46">
        <f>'Inputs (2)'!X44</f>
        <v>0</v>
      </c>
      <c r="AD250" s="46">
        <f>'Inputs (2)'!Y44</f>
        <v>0</v>
      </c>
      <c r="AE250" s="46">
        <f>'Inputs (2)'!Z44</f>
        <v>0</v>
      </c>
      <c r="AF250" s="46">
        <f>'Inputs (2)'!AA44</f>
        <v>0</v>
      </c>
      <c r="AG250" s="12">
        <f>'Inputs (2)'!AB44</f>
        <v>0</v>
      </c>
      <c r="AH250" s="12">
        <f>'Inputs (2)'!AC44</f>
        <v>0</v>
      </c>
      <c r="AI250" s="12">
        <f>'Inputs (2)'!AD44</f>
        <v>0</v>
      </c>
      <c r="AJ250" s="12">
        <f>AI250</f>
        <v>0</v>
      </c>
      <c r="AK250" s="12">
        <f>AJ250</f>
        <v>0</v>
      </c>
      <c r="AL250" s="12">
        <f>AK250</f>
        <v>0</v>
      </c>
      <c r="AM250" s="12">
        <f>AL250</f>
        <v>0</v>
      </c>
      <c r="AN250" s="12">
        <f>AM250</f>
        <v>0</v>
      </c>
      <c r="AO250" s="12">
        <f>AN250</f>
        <v>0</v>
      </c>
      <c r="AP250" s="12">
        <f>AO250</f>
        <v>0</v>
      </c>
      <c r="AQ250" s="12">
        <f>AP250</f>
        <v>0</v>
      </c>
      <c r="AR250" s="12">
        <f>AQ250</f>
        <v>0</v>
      </c>
      <c r="AS250" s="12">
        <f>AR250</f>
        <v>0</v>
      </c>
      <c r="AT250" s="12">
        <f>AS250</f>
        <v>0</v>
      </c>
      <c r="AU250" s="12">
        <f>AT250</f>
        <v>0</v>
      </c>
      <c r="AV250" s="12">
        <f>AU250</f>
        <v>0</v>
      </c>
      <c r="AW250" s="12">
        <f>AV250</f>
        <v>0</v>
      </c>
      <c r="AX250" s="12">
        <f>AW250</f>
        <v>0</v>
      </c>
      <c r="AY250" s="12">
        <f>AX250</f>
        <v>0</v>
      </c>
      <c r="AZ250" s="12">
        <f>AY250</f>
        <v>0</v>
      </c>
      <c r="BA250" s="12">
        <f>AZ250</f>
        <v>0</v>
      </c>
      <c r="BB250" s="12">
        <f>BA250</f>
        <v>0</v>
      </c>
      <c r="BC250" s="12">
        <f>BB250</f>
        <v>0</v>
      </c>
      <c r="BD250" s="12">
        <f>BC250</f>
        <v>0</v>
      </c>
      <c r="BE250" s="12">
        <f>BD250</f>
        <v>0</v>
      </c>
      <c r="BF250" s="12">
        <f>BE250</f>
        <v>0</v>
      </c>
      <c r="BG250" s="12" t="n"/>
      <c r="BH250" s="12" t="n"/>
      <c r="BI250" s="12" t="n"/>
      <c r="BJ250" s="12" t="n"/>
      <c r="BK250" s="12" t="n"/>
      <c r="BL250" s="12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  <c r="CN250" s="12" t="n"/>
      <c r="CO250" s="12" t="n"/>
      <c r="CP250" s="12" t="n"/>
      <c r="CQ250" s="12" t="n"/>
      <c r="CR250" s="12" t="n"/>
      <c r="CS250" s="12" t="n"/>
      <c r="CT250" s="12" t="n"/>
      <c r="CU250" s="12" t="n"/>
      <c r="CV250" s="12" t="n"/>
      <c r="CW250" s="12" t="n"/>
      <c r="CX250" s="12" t="n"/>
      <c r="CY250" s="12" t="n"/>
    </row>
    <row r="251">
      <c r="C251" s="14" t="inlineStr">
        <is>
          <t>Comprehensive (accumulated) loss</t>
        </is>
      </c>
      <c r="D251" s="46" t="n"/>
      <c r="E251" s="46" t="n"/>
      <c r="F251" s="46" t="n"/>
      <c r="G251" s="46" t="n"/>
      <c r="H251" s="12" t="n"/>
      <c r="I251" s="46">
        <f>'Inputs (2)'!D45</f>
        <v>372</v>
      </c>
      <c r="J251" s="46">
        <f>'Inputs (2)'!E45</f>
        <v>601</v>
      </c>
      <c r="K251" s="46">
        <f>'Inputs (2)'!F45</f>
        <v>436</v>
      </c>
      <c r="L251" s="46">
        <f>'Inputs (2)'!G45</f>
        <v>-72</v>
      </c>
      <c r="M251" s="12">
        <f>'Inputs (2)'!H45</f>
        <v>-72</v>
      </c>
      <c r="N251" s="46">
        <f>'Inputs (2)'!I45</f>
        <v>-405</v>
      </c>
      <c r="O251" s="46">
        <f>'Inputs (2)'!J45</f>
        <v>-1267</v>
      </c>
      <c r="P251" s="46">
        <f>'Inputs (2)'!K45</f>
        <v>-2369</v>
      </c>
      <c r="Q251" s="46">
        <f>'Inputs (2)'!L45</f>
        <v>-1259</v>
      </c>
      <c r="R251" s="12">
        <f>'Inputs (2)'!M45</f>
        <v>-1259</v>
      </c>
      <c r="S251" s="46">
        <f>'Inputs (2)'!N45</f>
        <v>-990</v>
      </c>
      <c r="T251" s="46">
        <f>'Inputs (2)'!O45</f>
        <v>-978</v>
      </c>
      <c r="U251" s="46">
        <f>'Inputs (2)'!P45</f>
        <v>-1317</v>
      </c>
      <c r="V251" s="46">
        <f>'Inputs (2)'!Q45</f>
        <v>-655</v>
      </c>
      <c r="W251" s="12">
        <f>'Inputs (2)'!R45</f>
        <v>-655</v>
      </c>
      <c r="X251" s="46">
        <f>'Inputs (2)'!S45</f>
        <v>-998</v>
      </c>
      <c r="Y251" s="46">
        <f>'Inputs (2)'!T45</f>
        <v>-1060</v>
      </c>
      <c r="Z251" s="46">
        <f>'Inputs (2)'!U45</f>
        <v>-308</v>
      </c>
      <c r="AA251" s="46">
        <f>'Inputs (2)'!V45</f>
        <v>-1247</v>
      </c>
      <c r="AB251" s="12">
        <f>'Inputs (2)'!W45</f>
        <v>-1247</v>
      </c>
      <c r="AC251" s="46">
        <f>'Inputs (2)'!X45</f>
        <v>-827</v>
      </c>
      <c r="AD251" s="46">
        <f>'Inputs (2)'!Y45</f>
        <v>209</v>
      </c>
      <c r="AE251" s="46">
        <f>'Inputs (2)'!Z45</f>
        <v>0</v>
      </c>
      <c r="AF251" s="46">
        <f>'Inputs (2)'!AA45</f>
        <v>247</v>
      </c>
      <c r="AG251" s="12">
        <f>'Inputs (2)'!AB45</f>
        <v>247</v>
      </c>
      <c r="AH251" s="12">
        <f>'Inputs (2)'!AC45</f>
        <v>22</v>
      </c>
      <c r="AI251" s="12">
        <f>'Inputs (2)'!AD45</f>
        <v>-146</v>
      </c>
      <c r="AJ251" s="12">
        <f>AI251</f>
        <v>-146</v>
      </c>
      <c r="AK251" s="12">
        <f>AJ251</f>
        <v>-146</v>
      </c>
      <c r="AL251" s="12">
        <f>AK251</f>
        <v>-146</v>
      </c>
      <c r="AM251" s="12">
        <f>AL251</f>
        <v>-146</v>
      </c>
      <c r="AN251" s="12">
        <f>AM251</f>
        <v>-146</v>
      </c>
      <c r="AO251" s="12">
        <f>AN251</f>
        <v>-146</v>
      </c>
      <c r="AP251" s="12">
        <f>AO251</f>
        <v>-146</v>
      </c>
      <c r="AQ251" s="12">
        <f>AP251</f>
        <v>-146</v>
      </c>
      <c r="AR251" s="12">
        <f>AQ251</f>
        <v>-146</v>
      </c>
      <c r="AS251" s="12">
        <f>AR251</f>
        <v>-146</v>
      </c>
      <c r="AT251" s="12">
        <f>AS251</f>
        <v>-146</v>
      </c>
      <c r="AU251" s="12">
        <f>AT251</f>
        <v>-146</v>
      </c>
      <c r="AV251" s="12">
        <f>AU251</f>
        <v>-146</v>
      </c>
      <c r="AW251" s="12">
        <f>AV251</f>
        <v>-146</v>
      </c>
      <c r="AX251" s="12">
        <f>AW251</f>
        <v>-146</v>
      </c>
      <c r="AY251" s="12">
        <f>AX251</f>
        <v>-146</v>
      </c>
      <c r="AZ251" s="12">
        <f>AY251</f>
        <v>-146</v>
      </c>
      <c r="BA251" s="12">
        <f>AZ251</f>
        <v>-146</v>
      </c>
      <c r="BB251" s="12">
        <f>BA251</f>
        <v>-146</v>
      </c>
      <c r="BC251" s="12">
        <f>BB251</f>
        <v>-146</v>
      </c>
      <c r="BD251" s="12">
        <f>BC251</f>
        <v>-146</v>
      </c>
      <c r="BE251" s="12">
        <f>BD251</f>
        <v>-146</v>
      </c>
      <c r="BF251" s="12">
        <f>BE251</f>
        <v>-146</v>
      </c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>
      <c r="C252" s="14" t="inlineStr">
        <is>
          <t>Other equity account</t>
        </is>
      </c>
      <c r="D252" s="46" t="n"/>
      <c r="E252" s="46" t="n"/>
      <c r="F252" s="46" t="n"/>
      <c r="G252" s="46" t="n"/>
      <c r="H252" s="12" t="n"/>
      <c r="I252" s="46">
        <f>'Inputs (2)'!D46</f>
        <v>3306</v>
      </c>
      <c r="J252" s="46">
        <f>'Inputs (2)'!E46</f>
        <v>3108</v>
      </c>
      <c r="K252" s="46">
        <f>'Inputs (2)'!F46</f>
        <v>2947</v>
      </c>
      <c r="L252" s="46">
        <f>'Inputs (2)'!G46</f>
        <v>2884</v>
      </c>
      <c r="M252" s="12">
        <f>'Inputs (2)'!H46</f>
        <v>2884</v>
      </c>
      <c r="N252" s="46">
        <f>'Inputs (2)'!I46</f>
        <v>2867</v>
      </c>
      <c r="O252" s="46">
        <f>'Inputs (2)'!J46</f>
        <v>2828</v>
      </c>
      <c r="P252" s="46">
        <f>'Inputs (2)'!K46</f>
        <v>2289</v>
      </c>
      <c r="Q252" s="46">
        <f>'Inputs (2)'!L46</f>
        <v>1953</v>
      </c>
      <c r="R252" s="12">
        <f>'Inputs (2)'!M46</f>
        <v>1953</v>
      </c>
      <c r="S252" s="46">
        <f>'Inputs (2)'!N46</f>
        <v>1850</v>
      </c>
      <c r="T252" s="46">
        <f>'Inputs (2)'!O46</f>
        <v>1761</v>
      </c>
      <c r="U252" s="46">
        <f>'Inputs (2)'!P46</f>
        <v>1558</v>
      </c>
      <c r="V252" s="46">
        <f>'Inputs (2)'!Q46</f>
        <v>1476</v>
      </c>
      <c r="W252" s="12">
        <f>'Inputs (2)'!R46</f>
        <v>1476</v>
      </c>
      <c r="X252" s="46">
        <f>'Inputs (2)'!S46</f>
        <v>1427</v>
      </c>
      <c r="Y252" s="46">
        <f>'Inputs (2)'!T46</f>
        <v>1379</v>
      </c>
      <c r="Z252" s="46">
        <f>'Inputs (2)'!U46</f>
        <v>927</v>
      </c>
      <c r="AA252" s="46">
        <f>'Inputs (2)'!V46</f>
        <v>781</v>
      </c>
      <c r="AB252" s="12">
        <f>'Inputs (2)'!W46</f>
        <v>781</v>
      </c>
      <c r="AC252" s="46">
        <f>'Inputs (2)'!X46</f>
        <v>760</v>
      </c>
      <c r="AD252" s="46">
        <f>'Inputs (2)'!Y46</f>
        <v>753</v>
      </c>
      <c r="AE252" s="46">
        <f>'Inputs (2)'!Z46</f>
        <v>869</v>
      </c>
      <c r="AF252" s="46">
        <f>'Inputs (2)'!AA46</f>
        <v>532</v>
      </c>
      <c r="AG252" s="12">
        <f>'Inputs (2)'!AB46</f>
        <v>532</v>
      </c>
      <c r="AH252" s="12">
        <f>'Inputs (2)'!AC46</f>
        <v>484</v>
      </c>
      <c r="AI252" s="12">
        <f>'Inputs (2)'!AD46</f>
        <v>403</v>
      </c>
      <c r="AJ252" s="12">
        <f>AI252</f>
        <v>403</v>
      </c>
      <c r="AK252" s="12">
        <f>AJ252</f>
        <v>403</v>
      </c>
      <c r="AL252" s="12">
        <f>AK252</f>
        <v>403</v>
      </c>
      <c r="AM252" s="12">
        <f>AL252</f>
        <v>403</v>
      </c>
      <c r="AN252" s="12">
        <f>AM252</f>
        <v>403</v>
      </c>
      <c r="AO252" s="12">
        <f>AN252</f>
        <v>403</v>
      </c>
      <c r="AP252" s="12">
        <f>AO252</f>
        <v>403</v>
      </c>
      <c r="AQ252" s="12">
        <f>AP252</f>
        <v>403</v>
      </c>
      <c r="AR252" s="12">
        <f>AQ252</f>
        <v>403</v>
      </c>
      <c r="AS252" s="12">
        <f>AR252</f>
        <v>403</v>
      </c>
      <c r="AT252" s="12">
        <f>AS252</f>
        <v>403</v>
      </c>
      <c r="AU252" s="12">
        <f>AT252</f>
        <v>403</v>
      </c>
      <c r="AV252" s="12">
        <f>AU252</f>
        <v>403</v>
      </c>
      <c r="AW252" s="12">
        <f>AV252</f>
        <v>403</v>
      </c>
      <c r="AX252" s="12">
        <f>AW252</f>
        <v>403</v>
      </c>
      <c r="AY252" s="12">
        <f>AX252</f>
        <v>403</v>
      </c>
      <c r="AZ252" s="12">
        <f>AY252</f>
        <v>403</v>
      </c>
      <c r="BA252" s="12">
        <f>AZ252</f>
        <v>403</v>
      </c>
      <c r="BB252" s="12">
        <f>BA252</f>
        <v>403</v>
      </c>
      <c r="BC252" s="12">
        <f>BB252</f>
        <v>403</v>
      </c>
      <c r="BD252" s="12">
        <f>BC252</f>
        <v>403</v>
      </c>
      <c r="BE252" s="12">
        <f>BD252</f>
        <v>403</v>
      </c>
      <c r="BF252" s="12">
        <f>BE252</f>
        <v>403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>
      <c r="C253" s="15" t="inlineStr">
        <is>
          <t>Retained earnings</t>
        </is>
      </c>
      <c r="D253" s="46" t="n"/>
      <c r="E253" s="46" t="n"/>
      <c r="F253" s="46" t="n"/>
      <c r="G253" s="46" t="n"/>
      <c r="H253" s="12" t="n"/>
      <c r="I253" s="46">
        <f>'Inputs (2)'!D47</f>
        <v>15513</v>
      </c>
      <c r="J253" s="46">
        <f>'Inputs (2)'!E47</f>
        <v>15294</v>
      </c>
      <c r="K253" s="46">
        <f>'Inputs (2)'!F47</f>
        <v>15351</v>
      </c>
      <c r="L253" s="46">
        <f>'Inputs (2)'!G47</f>
        <v>14606</v>
      </c>
      <c r="M253" s="12">
        <f>'Inputs (2)'!H47</f>
        <v>14606</v>
      </c>
      <c r="N253" s="46">
        <f>'Inputs (2)'!I47</f>
        <v>14651</v>
      </c>
      <c r="O253" s="46">
        <f>'Inputs (2)'!J47</f>
        <v>14960</v>
      </c>
      <c r="P253" s="46">
        <f>'Inputs (2)'!K47</f>
        <v>16116</v>
      </c>
      <c r="Q253" s="46">
        <f>'Inputs (2)'!L47</f>
        <v>16403</v>
      </c>
      <c r="R253" s="12">
        <f>'Inputs (2)'!M47</f>
        <v>16403</v>
      </c>
      <c r="S253" s="46">
        <f>'Inputs (2)'!N47</f>
        <v>17610</v>
      </c>
      <c r="T253" s="46">
        <f>'Inputs (2)'!O47</f>
        <v>17908</v>
      </c>
      <c r="U253" s="46">
        <f>'Inputs (2)'!P47</f>
        <v>18040</v>
      </c>
      <c r="V253" s="46">
        <f>'Inputs (2)'!Q47</f>
        <v>18422</v>
      </c>
      <c r="W253" s="12">
        <f>'Inputs (2)'!R47</f>
        <v>18422</v>
      </c>
      <c r="X253" s="46">
        <f>'Inputs (2)'!S47</f>
        <v>19347</v>
      </c>
      <c r="Y253" s="46">
        <f>'Inputs (2)'!T47</f>
        <v>18578</v>
      </c>
      <c r="Z253" s="46">
        <f>'Inputs (2)'!U47</f>
        <v>17289</v>
      </c>
      <c r="AA253" s="46">
        <f>'Inputs (2)'!V47</f>
        <v>17438</v>
      </c>
      <c r="AB253" s="12">
        <f>'Inputs (2)'!W47</f>
        <v>17438</v>
      </c>
      <c r="AC253" s="46">
        <f>'Inputs (2)'!X47</f>
        <v>16518</v>
      </c>
      <c r="AD253" s="46">
        <f>'Inputs (2)'!Y47</f>
        <v>15956</v>
      </c>
      <c r="AE253" s="46">
        <f>'Inputs (2)'!Z47</f>
        <v>15106</v>
      </c>
      <c r="AF253" s="46">
        <f>'Inputs (2)'!AA47</f>
        <v>16018</v>
      </c>
      <c r="AG253" s="12">
        <f>'Inputs (2)'!AB47</f>
        <v>16018</v>
      </c>
      <c r="AH253" s="12">
        <f>'Inputs (2)'!AC47</f>
        <v>13122</v>
      </c>
      <c r="AI253" s="12">
        <f>'Inputs (2)'!AD47</f>
        <v>12753</v>
      </c>
      <c r="AJ253" s="12">
        <f>AI253+AJ120+AJ121</f>
        <v>19045.1190101839</v>
      </c>
      <c r="AK253" s="12">
        <f>AJ253+AK120+AK121</f>
        <v>25441.0896675892</v>
      </c>
      <c r="AL253" s="12">
        <f>AK253</f>
        <v>25441.0896675892</v>
      </c>
      <c r="AM253" s="12">
        <f>AL253+AM120+AM121</f>
        <v>32030.0953076829</v>
      </c>
      <c r="AN253" s="12">
        <f>AM253+AN120+AN121</f>
        <v>38855.5541332581</v>
      </c>
      <c r="AO253" s="12">
        <f>AN253+AO120+AO121</f>
        <v>45998.979275549</v>
      </c>
      <c r="AP253" s="12">
        <f>AO253+AP120+AP121</f>
        <v>53260.3069029374</v>
      </c>
      <c r="AQ253" s="12">
        <f>AP253</f>
        <v>53260.3069029374</v>
      </c>
      <c r="AR253" s="12">
        <f>AQ253+AR120+AR121</f>
        <v>60707.841578945</v>
      </c>
      <c r="AS253" s="12">
        <f>AR253+AS120+AS121</f>
        <v>68422.6386302358</v>
      </c>
      <c r="AT253" s="12">
        <f>AS253+AT120+AT121</f>
        <v>76496.8321214284</v>
      </c>
      <c r="AU253" s="12">
        <f>AT253+AU120+AU121</f>
        <v>84704.2904622984</v>
      </c>
      <c r="AV253" s="12">
        <f>AU253</f>
        <v>84704.2904622984</v>
      </c>
      <c r="AW253" s="12">
        <f>AV253+AW120+AW121</f>
        <v>93084.9804368823</v>
      </c>
      <c r="AX253" s="12">
        <f>AW253+AX120+AX121</f>
        <v>101766.420016075</v>
      </c>
      <c r="AY253" s="12">
        <f>AX253+AY120+AY121</f>
        <v>110852.287405519</v>
      </c>
      <c r="AZ253" s="12">
        <f>AY253+AZ120+AZ121</f>
        <v>120088.117358179</v>
      </c>
      <c r="BA253" s="12">
        <f>AZ253</f>
        <v>120088.117358179</v>
      </c>
      <c r="BB253" s="12">
        <f>BA253+BB120+BB121</f>
        <v>129476.980934656</v>
      </c>
      <c r="BC253" s="12">
        <f>BB253+BC120+BC121</f>
        <v>139202.77345337</v>
      </c>
      <c r="BD253" s="12">
        <f>BC253+BD120+BD121</f>
        <v>149381.645318593</v>
      </c>
      <c r="BE253" s="12">
        <f>BD253+BE120+BE121</f>
        <v>159728.519824636</v>
      </c>
      <c r="BF253" s="12">
        <f>BE253</f>
        <v>159728.519824636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 customFormat="1" s="32">
      <c r="A254" s="30" t="inlineStr">
        <is>
          <t xml:space="preserve"> </t>
        </is>
      </c>
      <c r="B254" s="30" t="n"/>
      <c r="C254" s="65" t="inlineStr">
        <is>
          <t>Total Shareholders' Equity</t>
        </is>
      </c>
      <c r="D254" s="35" t="n"/>
      <c r="E254" s="35" t="n"/>
      <c r="F254" s="35" t="n"/>
      <c r="G254" s="35" t="n"/>
      <c r="H254" s="35" t="n"/>
      <c r="I254" s="35">
        <f>SUM(I231+I236+I237+I250+I251+I252+I253)</f>
        <v>37696</v>
      </c>
      <c r="J254" s="35">
        <f>SUM(J231+J236+J237+J250+J251+J252+J253)</f>
        <v>37790</v>
      </c>
      <c r="K254" s="35">
        <f>SUM(K231+K236+K237+K250+K251+K252+K253)</f>
        <v>37589</v>
      </c>
      <c r="L254" s="35">
        <f>SUM(L231+L236+L237+L250+L251+L252+L253)</f>
        <v>36194</v>
      </c>
      <c r="M254" s="35">
        <f>SUM(M231,M236,M237,M250,M251,M252,M253)</f>
        <v>36194</v>
      </c>
      <c r="N254" s="35">
        <f>SUM(N231+N236+N237+N250+N251+N252+N253)</f>
        <v>35989</v>
      </c>
      <c r="O254" s="35">
        <f>SUM(O231+O236+O237+O250+O251+O252+O253)</f>
        <v>35483</v>
      </c>
      <c r="P254" s="35">
        <f>SUM(P231+P236+P237+P250+P251+P252+P253)</f>
        <v>35581</v>
      </c>
      <c r="Q254" s="35">
        <f>SUM(Q231+Q236+Q237+Q250+Q251+Q252+Q253)</f>
        <v>36924</v>
      </c>
      <c r="R254" s="35">
        <f>SUM(R231,R236,R237,R250,R251,R252,R253)</f>
        <v>36924</v>
      </c>
      <c r="S254" s="35">
        <f>SUM(S231+S236+S237+S250+S251+S252+S253)</f>
        <v>38565</v>
      </c>
      <c r="T254" s="35">
        <f>SUM(T231+T236+T237+T250+T251+T252+T253)</f>
        <v>38981</v>
      </c>
      <c r="U254" s="35">
        <f>SUM(U231+U236+U237+U250+U251+U252+U253)</f>
        <v>38733</v>
      </c>
      <c r="V254" s="35">
        <f>SUM(V231+V236+V237+V250+V251+V252+V253)</f>
        <v>39733</v>
      </c>
      <c r="W254" s="35">
        <f>SUM(W231,W236,W237,W250,W251,W252,W253)</f>
        <v>39733</v>
      </c>
      <c r="X254" s="35">
        <f>SUM(X231+X236+X237+X250+X251+X252+X253)</f>
        <v>40485</v>
      </c>
      <c r="Y254" s="35">
        <f>SUM(Y231+Y236+Y237+Y250+Y251+Y252+Y253)</f>
        <v>39729</v>
      </c>
      <c r="Z254" s="35">
        <f>SUM(Z231+Z236+Z237+Z250+Z251+Z252+Z253)</f>
        <v>39137</v>
      </c>
      <c r="AA254" s="35">
        <f>SUM(AA231+AA236+AA237+AA250+AA251+AA252+AA253)</f>
        <v>38296</v>
      </c>
      <c r="AB254" s="35">
        <f>SUM(AB231,AB236,AB237,AB250,AB251,AB252,AB253)</f>
        <v>38296</v>
      </c>
      <c r="AC254" s="35">
        <f>SUM(AC231+AC236+AC237+AC250+AC251+AC252+AC253)</f>
        <v>38030</v>
      </c>
      <c r="AD254" s="35">
        <f>SUM(AD231+AD236+AD237+AD250+AD251+AD252+AD253)</f>
        <v>38664</v>
      </c>
      <c r="AE254" s="35">
        <f>SUM(AE231+AE236+AE237+AE250+AE251+AE252+AE253)</f>
        <v>37909</v>
      </c>
      <c r="AF254" s="35">
        <f>SUM(AF231+AF236+AF237+AF250+AF251+AF252+AF253)</f>
        <v>38777</v>
      </c>
      <c r="AG254" s="35">
        <f>SUM(AG231,AG236,AG237,AG250,AG251,AG252,AG253)</f>
        <v>38777</v>
      </c>
      <c r="AH254" s="35">
        <f>SUM(AH231+AH236+AH237+AH250+AH251+AH252+AH253)</f>
        <v>35661</v>
      </c>
      <c r="AI254" s="35">
        <f>SUM(AI231+AI236+AI237+AI250+AI251+AI252+AI253)</f>
        <v>35178</v>
      </c>
      <c r="AJ254" s="35">
        <f>SUM(AJ231+AJ236+AJ237+AJ250+AJ251+AJ252+AJ253)</f>
        <v>41470.1190101839</v>
      </c>
      <c r="AK254" s="35">
        <f>SUM(AK231+AK236+AK237+AK250+AK251+AK252+AK253)</f>
        <v>47866.0896675892</v>
      </c>
      <c r="AL254" s="35">
        <f>SUM(AL231,AL236,AL237,AL250,AL251,AL252,AL253)</f>
        <v>47866.0896675892</v>
      </c>
      <c r="AM254" s="35">
        <f>SUM(AM231+AM236+AM237+AM250+AM251+AM252+AM253)</f>
        <v>54455.0953076828</v>
      </c>
      <c r="AN254" s="35">
        <f>SUM(AN231+AN236+AN237+AN250+AN251+AN252+AN253)</f>
        <v>61280.5541332581</v>
      </c>
      <c r="AO254" s="35">
        <f>SUM(AO231+AO236+AO237+AO250+AO251+AO252+AO253)</f>
        <v>68423.979275549</v>
      </c>
      <c r="AP254" s="35">
        <f>SUM(AP231+AP236+AP237+AP250+AP251+AP252+AP253)</f>
        <v>75685.3069029374</v>
      </c>
      <c r="AQ254" s="35">
        <f>SUM(AQ231,AQ236,AQ237,AQ250,AQ251,AQ252,AQ253)</f>
        <v>75685.3069029374</v>
      </c>
      <c r="AR254" s="35">
        <f>SUM(AR231+AR236+AR237+AR250+AR251+AR252+AR253)</f>
        <v>83132.841578945</v>
      </c>
      <c r="AS254" s="35">
        <f>SUM(AS231+AS236+AS237+AS250+AS251+AS252+AS253)</f>
        <v>90847.6386302358</v>
      </c>
      <c r="AT254" s="35">
        <f>SUM(AT231+AT236+AT237+AT250+AT251+AT252+AT253)</f>
        <v>98921.8321214284</v>
      </c>
      <c r="AU254" s="35">
        <f>SUM(AU231+AU236+AU237+AU250+AU251+AU252+AU253)</f>
        <v>107129.290462298</v>
      </c>
      <c r="AV254" s="35">
        <f>SUM(AV231,AV236,AV237,AV250,AV251,AV252,AV253)</f>
        <v>107129.290462298</v>
      </c>
      <c r="AW254" s="35">
        <f>SUM(AW231+AW236+AW237+AW250+AW251+AW252+AW253)</f>
        <v>115509.980436882</v>
      </c>
      <c r="AX254" s="35">
        <f>SUM(AX231+AX236+AX237+AX250+AX251+AX252+AX253)</f>
        <v>124191.420016075</v>
      </c>
      <c r="AY254" s="35">
        <f>SUM(AY231+AY236+AY237+AY250+AY251+AY252+AY253)</f>
        <v>133277.287405519</v>
      </c>
      <c r="AZ254" s="35">
        <f>SUM(AZ231+AZ236+AZ237+AZ250+AZ251+AZ252+AZ253)</f>
        <v>142513.117358179</v>
      </c>
      <c r="BA254" s="35">
        <f>SUM(BA231,BA236,BA237,BA250,BA251,BA252,BA253)</f>
        <v>142513.117358179</v>
      </c>
      <c r="BB254" s="35">
        <f>SUM(BB231+BB236+BB237+BB250+BB251+BB252+BB253)</f>
        <v>151901.980934656</v>
      </c>
      <c r="BC254" s="35">
        <f>SUM(BC231+BC236+BC237+BC250+BC251+BC252+BC253)</f>
        <v>161627.77345337</v>
      </c>
      <c r="BD254" s="35">
        <f>SUM(BD231+BD236+BD237+BD250+BD251+BD252+BD253)</f>
        <v>171806.645318593</v>
      </c>
      <c r="BE254" s="35">
        <f>SUM(BE231+BE236+BE237+BE250+BE251+BE252+BE253)</f>
        <v>182153.519824636</v>
      </c>
      <c r="BF254" s="35">
        <f>SUM(BF231,BF236,BF237,BF250,BF251,BF252,BF253)</f>
        <v>182153.519824636</v>
      </c>
      <c r="BG254" s="35" t="n"/>
      <c r="BH254" s="35" t="n"/>
      <c r="BI254" s="35" t="n"/>
      <c r="BJ254" s="35" t="n"/>
      <c r="BK254" s="35" t="n"/>
      <c r="BL254" s="35" t="n"/>
      <c r="BM254" s="35" t="n"/>
      <c r="BN254" s="35" t="n"/>
      <c r="BO254" s="35" t="n"/>
      <c r="BP254" s="35" t="n"/>
      <c r="BQ254" s="35" t="n"/>
      <c r="BR254" s="35" t="n"/>
      <c r="BS254" s="35" t="n"/>
      <c r="BT254" s="35" t="n"/>
      <c r="BU254" s="35" t="n"/>
      <c r="BV254" s="35" t="n"/>
      <c r="BW254" s="35" t="n"/>
      <c r="BX254" s="35" t="n"/>
      <c r="BY254" s="35" t="n"/>
      <c r="BZ254" s="35" t="n"/>
      <c r="CA254" s="35" t="n"/>
      <c r="CB254" s="35" t="n"/>
      <c r="CC254" s="35" t="n"/>
      <c r="CD254" s="35" t="n"/>
      <c r="CE254" s="35" t="n"/>
      <c r="CF254" s="35" t="n"/>
      <c r="CG254" s="35" t="n"/>
      <c r="CH254" s="35" t="n"/>
      <c r="CI254" s="35" t="n"/>
      <c r="CJ254" s="35" t="n"/>
      <c r="CK254" s="35" t="n"/>
      <c r="CL254" s="35" t="n"/>
      <c r="CM254" s="35" t="n"/>
      <c r="CN254" s="35" t="n"/>
      <c r="CO254" s="35" t="n"/>
      <c r="CP254" s="35" t="n"/>
      <c r="CQ254" s="35" t="n"/>
      <c r="CR254" s="35" t="n"/>
      <c r="CS254" s="35" t="n"/>
      <c r="CT254" s="35" t="n"/>
      <c r="CU254" s="35" t="n"/>
      <c r="CV254" s="35" t="n"/>
      <c r="CW254" s="35" t="n"/>
      <c r="CX254" s="35" t="n"/>
      <c r="CY254" s="35" t="n"/>
    </row>
    <row r="255">
      <c r="C255" s="10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 customFormat="1" s="32">
      <c r="A256" s="30" t="n"/>
      <c r="B256" s="3" t="n"/>
      <c r="C256" s="33" t="inlineStr">
        <is>
          <t>Total Liabilities + Shareholders' Equity</t>
        </is>
      </c>
      <c r="D256" s="35" t="n"/>
      <c r="E256" s="35" t="n"/>
      <c r="F256" s="35" t="n"/>
      <c r="G256" s="35" t="n"/>
      <c r="H256" s="35" t="n"/>
      <c r="I256" s="35">
        <f>I254+I230</f>
        <v>80195</v>
      </c>
      <c r="J256" s="35">
        <f>J254+J230</f>
        <v>82671</v>
      </c>
      <c r="K256" s="35">
        <f>K254+K230</f>
        <v>82896</v>
      </c>
      <c r="L256" s="35">
        <f>L254+L230</f>
        <v>81929</v>
      </c>
      <c r="M256" s="35">
        <f>M254+M230</f>
        <v>81929</v>
      </c>
      <c r="N256" s="35">
        <f>N254+N230</f>
        <v>81808</v>
      </c>
      <c r="O256" s="35">
        <f>O254+O230</f>
        <v>85410</v>
      </c>
      <c r="P256" s="35">
        <f>P254+P230</f>
        <v>85501</v>
      </c>
      <c r="Q256" s="35">
        <f>Q254+Q230</f>
        <v>85387</v>
      </c>
      <c r="R256" s="35">
        <f>R254+R230</f>
        <v>85387</v>
      </c>
      <c r="S256" s="35">
        <f>S254+S230</f>
        <v>86755</v>
      </c>
      <c r="T256" s="35">
        <f>T254+T230</f>
        <v>89234</v>
      </c>
      <c r="U256" s="35">
        <f>U254+U230</f>
        <v>90499</v>
      </c>
      <c r="V256" s="35">
        <f>V254+V230</f>
        <v>91409</v>
      </c>
      <c r="W256" s="35">
        <f>W254+W230</f>
        <v>91409</v>
      </c>
      <c r="X256" s="35">
        <f>X254+X230</f>
        <v>92399</v>
      </c>
      <c r="Y256" s="35">
        <f>Y254+Y230</f>
        <v>91040</v>
      </c>
      <c r="Z256" s="35">
        <f>Z254+Z230</f>
        <v>94511</v>
      </c>
      <c r="AA256" s="35">
        <f>AA254+AA230</f>
        <v>91888</v>
      </c>
      <c r="AB256" s="35">
        <f>AB254+AB230</f>
        <v>91888</v>
      </c>
      <c r="AC256" s="35">
        <f>AC254+AC230</f>
        <v>92853</v>
      </c>
      <c r="AD256" s="35">
        <f>AD254+AD230</f>
        <v>100024</v>
      </c>
      <c r="AE256" s="35">
        <f>AE254+AE230</f>
        <v>99627</v>
      </c>
      <c r="AF256" s="35">
        <f>AF254+AF230</f>
        <v>96814</v>
      </c>
      <c r="AG256" s="35">
        <f>AG254+AG230</f>
        <v>96814</v>
      </c>
      <c r="AH256" s="35">
        <f>AH254+AH230</f>
        <v>95049</v>
      </c>
      <c r="AI256" s="35">
        <f>AI254+AI230</f>
        <v>94590</v>
      </c>
      <c r="AJ256" s="35">
        <f>AJ254+AJ230</f>
        <v>101361.166109929</v>
      </c>
      <c r="AK256" s="35">
        <f>AK254+AK230</f>
        <v>108928.81695781</v>
      </c>
      <c r="AL256" s="35">
        <f>AL254+AL230</f>
        <v>108928.81695781</v>
      </c>
      <c r="AM256" s="35">
        <f>AM254+AM230</f>
        <v>116848.027846378</v>
      </c>
      <c r="AN256" s="35">
        <f>AN254+AN230</f>
        <v>125183.664976111</v>
      </c>
      <c r="AO256" s="35">
        <f>AO254+AO230</f>
        <v>134041.591330124</v>
      </c>
      <c r="AP256" s="35">
        <f>AP254+AP230</f>
        <v>143249.387395646</v>
      </c>
      <c r="AQ256" s="35">
        <f>AQ254+AQ230</f>
        <v>143249.387395646</v>
      </c>
      <c r="AR256" s="35">
        <f>AR254+AR230</f>
        <v>152825.076851729</v>
      </c>
      <c r="AS256" s="35">
        <f>AS254+AS230</f>
        <v>162945.321308328</v>
      </c>
      <c r="AT256" s="35">
        <f>AT254+AT230</f>
        <v>173738.385284823</v>
      </c>
      <c r="AU256" s="35">
        <f>AU254+AU230</f>
        <v>185018.975343118</v>
      </c>
      <c r="AV256" s="35">
        <f>AV254+AV230</f>
        <v>185018.975343118</v>
      </c>
      <c r="AW256" s="35">
        <f>AW254+AW230</f>
        <v>196739.92409216</v>
      </c>
      <c r="AX256" s="35">
        <f>AX254+AX230</f>
        <v>209180.147542987</v>
      </c>
      <c r="AY256" s="35">
        <f>AY254+AY230</f>
        <v>222495.763927238</v>
      </c>
      <c r="AZ256" s="35">
        <f>AZ254+AZ230</f>
        <v>236491.318612699</v>
      </c>
      <c r="BA256" s="35">
        <f>BA254+BA230</f>
        <v>236491.318612699</v>
      </c>
      <c r="BB256" s="35">
        <f>BB254+BB230</f>
        <v>251022.551133777</v>
      </c>
      <c r="BC256" s="35">
        <f>BC254+BC230</f>
        <v>266509.325221692</v>
      </c>
      <c r="BD256" s="35">
        <f>BD254+BD230</f>
        <v>283142.208652057</v>
      </c>
      <c r="BE256" s="35">
        <f>BE254+BE230</f>
        <v>300719.494292491</v>
      </c>
      <c r="BF256" s="35">
        <f>BF254+BF230</f>
        <v>300719.494292491</v>
      </c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  <c r="CO256" s="35" t="n"/>
      <c r="CP256" s="35" t="n"/>
      <c r="CQ256" s="35" t="n"/>
      <c r="CR256" s="35" t="n"/>
      <c r="CS256" s="35" t="n"/>
      <c r="CT256" s="35" t="n"/>
      <c r="CU256" s="35" t="n"/>
      <c r="CV256" s="35" t="n"/>
      <c r="CW256" s="35" t="n"/>
      <c r="CX256" s="35" t="n"/>
      <c r="CY256" s="35" t="n"/>
    </row>
    <row r="257">
      <c r="C257" s="18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  <c r="CU257" s="3" t="n"/>
      <c r="CV257" s="3" t="n"/>
      <c r="CW257" s="3" t="n"/>
      <c r="CX257" s="3" t="n"/>
      <c r="CY257" s="3" t="n"/>
    </row>
    <row r="258" customFormat="1" s="32">
      <c r="A258" s="30" t="n"/>
      <c r="B258" s="30" t="n"/>
      <c r="C258" s="31" t="inlineStr">
        <is>
          <t>Cash Flow Statement</t>
        </is>
      </c>
      <c r="D258" s="70" t="n"/>
      <c r="E258" s="70" t="n"/>
      <c r="F258" s="70" t="n"/>
      <c r="G258" s="70" t="n"/>
      <c r="H258" s="70" t="n"/>
      <c r="I258" s="70" t="str">
        <f>I125</f>
        <v>1Q21</v>
      </c>
      <c r="J258" s="70" t="str">
        <f>J125</f>
        <v>2Q21</v>
      </c>
      <c r="K258" s="70" t="str">
        <f>K125</f>
        <v>3Q21</v>
      </c>
      <c r="L258" s="70" t="str">
        <f>L125</f>
        <v>4Q21</v>
      </c>
      <c r="M258" s="70">
        <f>M125</f>
        <v>2021</v>
      </c>
      <c r="N258" s="70" t="str">
        <f>N125</f>
        <v>1Q22</v>
      </c>
      <c r="O258" s="70" t="str">
        <f>O125</f>
        <v>2Q22</v>
      </c>
      <c r="P258" s="70" t="str">
        <f>P125</f>
        <v>3Q22</v>
      </c>
      <c r="Q258" s="70" t="str">
        <f>Q125</f>
        <v>4Q22</v>
      </c>
      <c r="R258" s="70">
        <f>R125</f>
        <v>2022</v>
      </c>
      <c r="S258" s="70" t="str">
        <f>S125</f>
        <v>1Q23</v>
      </c>
      <c r="T258" s="70" t="str">
        <f>T125</f>
        <v>2Q23</v>
      </c>
      <c r="U258" s="70" t="str">
        <f>U125</f>
        <v>3Q23</v>
      </c>
      <c r="V258" s="70" t="str">
        <f>V125</f>
        <v>4Q23</v>
      </c>
      <c r="W258" s="70">
        <f>W125</f>
        <v>2023</v>
      </c>
      <c r="X258" s="70" t="str">
        <f>X125</f>
        <v>1Q24</v>
      </c>
      <c r="Y258" s="70" t="str">
        <f>Y125</f>
        <v>2Q24</v>
      </c>
      <c r="Z258" s="70" t="str">
        <f>Z125</f>
        <v>3Q24</v>
      </c>
      <c r="AA258" s="70" t="str">
        <f>AA125</f>
        <v>4Q24</v>
      </c>
      <c r="AB258" s="70">
        <f>AB125</f>
        <v>2024</v>
      </c>
      <c r="AC258" s="70" t="str">
        <f>AC125</f>
        <v>1Q25</v>
      </c>
      <c r="AD258" s="70" t="str">
        <f>AD125</f>
        <v>2Q25</v>
      </c>
      <c r="AE258" s="70" t="str">
        <f>AE125</f>
        <v>3Q25</v>
      </c>
      <c r="AF258" s="70" t="str">
        <f>AF125</f>
        <v>4Q25</v>
      </c>
      <c r="AG258" s="70">
        <f>AG125</f>
        <v>2025</v>
      </c>
      <c r="AH258" s="70" t="str">
        <f>AH125</f>
        <v>1Q26</v>
      </c>
      <c r="AI258" s="70" t="str">
        <f>AI125</f>
        <v>2Q26</v>
      </c>
      <c r="AJ258" s="70" t="str">
        <f>AJ125</f>
        <v>3Q26</v>
      </c>
      <c r="AK258" s="70" t="str">
        <f>AK125</f>
        <v>4Q26</v>
      </c>
      <c r="AL258" s="70">
        <f>AL125</f>
        <v>2026</v>
      </c>
      <c r="AM258" s="70" t="str">
        <f>AM125</f>
        <v>1Q27</v>
      </c>
      <c r="AN258" s="70" t="str">
        <f>AN125</f>
        <v>2Q27</v>
      </c>
      <c r="AO258" s="70" t="str">
        <f>AO125</f>
        <v>3Q27</v>
      </c>
      <c r="AP258" s="70" t="str">
        <f>AP125</f>
        <v>4Q27</v>
      </c>
      <c r="AQ258" s="70">
        <f>AQ125</f>
        <v>2027</v>
      </c>
      <c r="AR258" s="70" t="str">
        <f>AR125</f>
        <v>1Q28</v>
      </c>
      <c r="AS258" s="70" t="str">
        <f>AS125</f>
        <v>2Q28</v>
      </c>
      <c r="AT258" s="70" t="str">
        <f>AT125</f>
        <v>3Q28</v>
      </c>
      <c r="AU258" s="70" t="str">
        <f>AU125</f>
        <v>4Q28</v>
      </c>
      <c r="AV258" s="70">
        <f>AV125</f>
        <v>2028</v>
      </c>
      <c r="AW258" s="70" t="str">
        <f>AW125</f>
        <v>1Q29</v>
      </c>
      <c r="AX258" s="70" t="str">
        <f>AX125</f>
        <v>2Q29</v>
      </c>
      <c r="AY258" s="70" t="str">
        <f>AY125</f>
        <v>3Q29</v>
      </c>
      <c r="AZ258" s="70" t="str">
        <f>AZ125</f>
        <v>4Q29</v>
      </c>
      <c r="BA258" s="70">
        <f>BA125</f>
        <v>2029</v>
      </c>
      <c r="BB258" s="70" t="str">
        <f>BB125</f>
        <v>1Q30</v>
      </c>
      <c r="BC258" s="70" t="str">
        <f>BC125</f>
        <v>2Q30</v>
      </c>
      <c r="BD258" s="70" t="str">
        <f>BD125</f>
        <v>3Q30</v>
      </c>
      <c r="BE258" s="70" t="str">
        <f>BE125</f>
        <v>4Q30</v>
      </c>
      <c r="BF258" s="70">
        <f>BF125</f>
        <v>2030</v>
      </c>
      <c r="BG258" s="70" t="n"/>
      <c r="BH258" s="70" t="n"/>
      <c r="BI258" s="70" t="n"/>
      <c r="BJ258" s="70" t="n"/>
      <c r="BK258" s="70" t="n"/>
      <c r="BL258" s="70" t="n"/>
      <c r="BM258" s="70" t="n"/>
      <c r="BN258" s="70" t="n"/>
      <c r="BO258" s="70" t="n"/>
      <c r="BP258" s="70" t="n"/>
      <c r="BQ258" s="70" t="n"/>
      <c r="BR258" s="70" t="n"/>
      <c r="BS258" s="70" t="n"/>
      <c r="BT258" s="70" t="n"/>
      <c r="BU258" s="70" t="n"/>
      <c r="BV258" s="70" t="n"/>
      <c r="BW258" s="70" t="n"/>
      <c r="BX258" s="70" t="n"/>
      <c r="BY258" s="70" t="n"/>
      <c r="BZ258" s="70" t="n"/>
      <c r="CA258" s="70" t="n"/>
      <c r="CB258" s="70" t="n"/>
      <c r="CC258" s="70" t="n"/>
      <c r="CD258" s="70" t="n"/>
      <c r="CE258" s="70" t="n"/>
      <c r="CF258" s="70" t="n"/>
      <c r="CG258" s="70" t="n"/>
      <c r="CH258" s="70" t="n"/>
      <c r="CI258" s="70" t="n"/>
      <c r="CJ258" s="70" t="n"/>
      <c r="CK258" s="70" t="n"/>
      <c r="CL258" s="70" t="n"/>
      <c r="CM258" s="70" t="n"/>
      <c r="CN258" s="70" t="n"/>
      <c r="CO258" s="70" t="n"/>
      <c r="CP258" s="70" t="n"/>
      <c r="CQ258" s="70" t="n"/>
      <c r="CR258" s="70" t="n"/>
      <c r="CS258" s="70" t="n"/>
      <c r="CT258" s="70" t="n"/>
      <c r="CU258" s="70" t="n"/>
      <c r="CV258" s="70" t="n"/>
      <c r="CW258" s="70" t="n"/>
      <c r="CX258" s="70" t="n"/>
      <c r="CY258" s="70" t="n"/>
    </row>
    <row r="259">
      <c r="C259" s="18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  <c r="CU259" s="3" t="n"/>
      <c r="CV259" s="3" t="n"/>
      <c r="CW259" s="3" t="n"/>
      <c r="CX259" s="3" t="n"/>
      <c r="CY259" s="3" t="n"/>
    </row>
    <row r="260">
      <c r="C260" s="10" t="inlineStr">
        <is>
          <t>Net Income</t>
        </is>
      </c>
      <c r="D260" s="12" t="n"/>
      <c r="E260" s="12" t="n"/>
      <c r="F260" s="12" t="n"/>
      <c r="G260" s="12" t="n"/>
      <c r="H260" s="12" t="n"/>
      <c r="I260" s="12" t="n"/>
      <c r="J260" s="12">
        <f>J120</f>
        <v>2575</v>
      </c>
      <c r="K260" s="12">
        <f>K120</f>
        <v>3584</v>
      </c>
      <c r="L260" s="12">
        <f>L120</f>
        <v>3959</v>
      </c>
      <c r="M260" s="12" t="n"/>
      <c r="N260" s="12">
        <f>N120</f>
        <v>3647</v>
      </c>
      <c r="O260" s="12">
        <f>O120</f>
        <v>3411</v>
      </c>
      <c r="P260" s="12">
        <f>P120</f>
        <v>3940</v>
      </c>
      <c r="Q260" s="12">
        <f>Q120</f>
        <v>4179</v>
      </c>
      <c r="R260" s="12">
        <f>SUM(N260:Q260)</f>
        <v>15177</v>
      </c>
      <c r="S260" s="12">
        <f>S120</f>
        <v>4257</v>
      </c>
      <c r="T260" s="12">
        <f>T120</f>
        <v>4156</v>
      </c>
      <c r="U260" s="12">
        <f>U120</f>
        <v>4681</v>
      </c>
      <c r="V260" s="12">
        <f>V120</f>
        <v>4890</v>
      </c>
      <c r="W260" s="12">
        <f>SUM(S260:V260)</f>
        <v>17984</v>
      </c>
      <c r="X260" s="12">
        <f>X120</f>
        <v>4663</v>
      </c>
      <c r="Y260" s="12">
        <f>Y120</f>
        <v>4872</v>
      </c>
      <c r="Z260" s="12">
        <f>Z120</f>
        <v>5318</v>
      </c>
      <c r="AA260" s="12">
        <f>AA120</f>
        <v>5119</v>
      </c>
      <c r="AB260" s="12">
        <f>SUM(X260:AA260)</f>
        <v>19972</v>
      </c>
      <c r="AC260" s="12">
        <f>AC120</f>
        <v>4577</v>
      </c>
      <c r="AD260" s="12">
        <f>AD120</f>
        <v>5272</v>
      </c>
      <c r="AE260" s="12">
        <f>AE120</f>
        <v>5090</v>
      </c>
      <c r="AF260" s="12">
        <f>AF120</f>
        <v>5853</v>
      </c>
      <c r="AG260" s="12">
        <f>SUM(AC260:AF260)</f>
        <v>20792</v>
      </c>
      <c r="AH260" s="12">
        <f>AH120</f>
        <v>6021</v>
      </c>
      <c r="AI260" s="12">
        <f>AI120</f>
        <v>5628</v>
      </c>
      <c r="AJ260" s="12">
        <f>AJ120</f>
        <v>6292.11901018386</v>
      </c>
      <c r="AK260" s="12">
        <f>AK120</f>
        <v>6395.97065740529</v>
      </c>
      <c r="AL260" s="12">
        <f>SUM(AH260:AK260)</f>
        <v>24337.0896675892</v>
      </c>
      <c r="AM260" s="12">
        <f>AM120</f>
        <v>6589.0056400937</v>
      </c>
      <c r="AN260" s="12">
        <f>AN120</f>
        <v>6825.45882557524</v>
      </c>
      <c r="AO260" s="12">
        <f>AO120</f>
        <v>7143.42514229091</v>
      </c>
      <c r="AP260" s="12">
        <f>AP120</f>
        <v>7261.3276273884</v>
      </c>
      <c r="AQ260" s="12">
        <f>SUM(AM260:AP260)</f>
        <v>27819.2172353483</v>
      </c>
      <c r="AR260" s="12">
        <f>AR120</f>
        <v>7447.53467600756</v>
      </c>
      <c r="AS260" s="12">
        <f>AS120</f>
        <v>7714.79705129083</v>
      </c>
      <c r="AT260" s="12">
        <f>AT120</f>
        <v>8074.1934911926</v>
      </c>
      <c r="AU260" s="12">
        <f>AU120</f>
        <v>8207.45834087006</v>
      </c>
      <c r="AV260" s="12">
        <f>SUM(AR260:AU260)</f>
        <v>31443.983559361</v>
      </c>
      <c r="AW260" s="12">
        <f>AW120</f>
        <v>8380.68997458391</v>
      </c>
      <c r="AX260" s="12">
        <f>AX120</f>
        <v>8681.43957919275</v>
      </c>
      <c r="AY260" s="12">
        <f>AY120</f>
        <v>9085.86738944372</v>
      </c>
      <c r="AZ260" s="12">
        <f>AZ120</f>
        <v>9235.82995266001</v>
      </c>
      <c r="BA260" s="12">
        <f>SUM(AW260:AZ260)</f>
        <v>35383.8268958804</v>
      </c>
      <c r="BB260" s="12">
        <f>BB120</f>
        <v>9388.86357647719</v>
      </c>
      <c r="BC260" s="12">
        <f>BC120</f>
        <v>9725.79251871408</v>
      </c>
      <c r="BD260" s="12">
        <f>BD120</f>
        <v>10178.8718652232</v>
      </c>
      <c r="BE260" s="12">
        <f>BE120</f>
        <v>10346.8745060423</v>
      </c>
      <c r="BF260" s="12">
        <f>SUM(BB260:BE260)</f>
        <v>39640.4024664568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>
      <c r="C261" s="10" t="inlineStr">
        <is>
          <t>Depreciation &amp; amortization</t>
        </is>
      </c>
      <c r="D261" s="12" t="n"/>
      <c r="E261" s="12" t="n"/>
      <c r="F261" s="12" t="n"/>
      <c r="G261" s="12" t="n"/>
      <c r="H261" s="12" t="n"/>
      <c r="I261" s="12" t="n"/>
      <c r="J261" s="12">
        <f>-J53</f>
        <v>204</v>
      </c>
      <c r="K261" s="12">
        <f>-K53</f>
        <v>202</v>
      </c>
      <c r="L261" s="12">
        <f>-L53</f>
        <v>198</v>
      </c>
      <c r="M261" s="12" t="n"/>
      <c r="N261" s="12">
        <f>-N53</f>
        <v>207</v>
      </c>
      <c r="O261" s="12">
        <f>-O53</f>
        <v>230</v>
      </c>
      <c r="P261" s="12">
        <f>-P53</f>
        <v>226</v>
      </c>
      <c r="Q261" s="12">
        <f>-Q53</f>
        <v>227</v>
      </c>
      <c r="R261" s="12">
        <f>SUM(N261:Q261)</f>
        <v>890</v>
      </c>
      <c r="S261" s="12">
        <f>-S53</f>
        <v>234</v>
      </c>
      <c r="T261" s="12">
        <f>-T53</f>
        <v>235</v>
      </c>
      <c r="U261" s="12">
        <f>-U53</f>
        <v>247</v>
      </c>
      <c r="V261" s="12">
        <f>-V53</f>
        <v>247</v>
      </c>
      <c r="W261" s="12">
        <f>SUM(S261:V261)</f>
        <v>963</v>
      </c>
      <c r="X261" s="12">
        <f>-X53</f>
        <v>249</v>
      </c>
      <c r="Y261" s="12">
        <f>-Y53</f>
        <v>264</v>
      </c>
      <c r="Z261" s="12">
        <f>-Z53</f>
        <v>274</v>
      </c>
      <c r="AA261" s="12">
        <f>-AA53</f>
        <v>282</v>
      </c>
      <c r="AB261" s="12">
        <f>SUM(X261:AA261)</f>
        <v>1069</v>
      </c>
      <c r="AC261" s="12">
        <f>-AC53</f>
        <v>305</v>
      </c>
      <c r="AD261" s="12">
        <f>-AD53</f>
        <v>317</v>
      </c>
      <c r="AE261" s="12">
        <f>-AE53</f>
        <v>316</v>
      </c>
      <c r="AF261" s="12">
        <f>-AF53</f>
        <v>326</v>
      </c>
      <c r="AG261" s="12">
        <f>SUM(AC261:AF261)</f>
        <v>1264</v>
      </c>
      <c r="AH261" s="12">
        <f>-AH53</f>
        <v>333</v>
      </c>
      <c r="AI261" s="12">
        <f>-AI53</f>
        <v>367</v>
      </c>
      <c r="AJ261" s="12">
        <f>-AJ53</f>
        <v>372.406086609189</v>
      </c>
      <c r="AK261" s="12">
        <f>-AK53</f>
        <v>378.552662264712</v>
      </c>
      <c r="AL261" s="12">
        <f>SUM(AH261:AK261)</f>
        <v>1450.9587488739</v>
      </c>
      <c r="AM261" s="12">
        <f>-AM53</f>
        <v>389.977653172435</v>
      </c>
      <c r="AN261" s="12">
        <f>-AN53</f>
        <v>403.972398873993</v>
      </c>
      <c r="AO261" s="12">
        <f>-AO53</f>
        <v>422.791590229078</v>
      </c>
      <c r="AP261" s="12">
        <f>-AP53</f>
        <v>429.769780407234</v>
      </c>
      <c r="AQ261" s="12">
        <f>SUM(AM261:AP261)</f>
        <v>1646.51142268274</v>
      </c>
      <c r="AR261" s="12">
        <f>-AR53</f>
        <v>440.790652416024</v>
      </c>
      <c r="AS261" s="12">
        <f>-AS53</f>
        <v>456.608874403883</v>
      </c>
      <c r="AT261" s="12">
        <f>-AT53</f>
        <v>477.880153842252</v>
      </c>
      <c r="AU261" s="12">
        <f>-AU53</f>
        <v>485.767582714881</v>
      </c>
      <c r="AV261" s="12">
        <f>SUM(AR261:AU261)</f>
        <v>1861.04726337704</v>
      </c>
      <c r="AW261" s="12">
        <f>-AW53</f>
        <v>496.020490309902</v>
      </c>
      <c r="AX261" s="12">
        <f>-AX53</f>
        <v>513.820691342395</v>
      </c>
      <c r="AY261" s="12">
        <f>-AY53</f>
        <v>537.757202696952</v>
      </c>
      <c r="AZ261" s="12">
        <f>-AZ53</f>
        <v>546.632904382643</v>
      </c>
      <c r="BA261" s="12">
        <f>SUM(AW261:AZ261)</f>
        <v>2094.23128873189</v>
      </c>
      <c r="BB261" s="12">
        <f>-BB53</f>
        <v>555.690370217784</v>
      </c>
      <c r="BC261" s="12">
        <f>-BC53</f>
        <v>575.631885729606</v>
      </c>
      <c r="BD261" s="12">
        <f>-BD53</f>
        <v>602.447892560343</v>
      </c>
      <c r="BE261" s="12">
        <f>-BE53</f>
        <v>612.391316374515</v>
      </c>
      <c r="BF261" s="12">
        <f>SUM(BB261:BE261)</f>
        <v>2346.16146488225</v>
      </c>
      <c r="BG261" s="12" t="n"/>
      <c r="BH261" s="12" t="n"/>
      <c r="BI261" s="12" t="n"/>
      <c r="BJ261" s="12" t="n"/>
      <c r="BK261" s="12" t="n"/>
      <c r="BL261" s="12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  <c r="CA261" s="12" t="n"/>
      <c r="CB261" s="12" t="n"/>
      <c r="CC261" s="12" t="n"/>
      <c r="CD261" s="12" t="n"/>
      <c r="CE261" s="12" t="n"/>
      <c r="CF261" s="12" t="n"/>
      <c r="CG261" s="12" t="n"/>
      <c r="CH261" s="12" t="n"/>
      <c r="CI261" s="12" t="n"/>
      <c r="CJ261" s="12" t="n"/>
      <c r="CK261" s="12" t="n"/>
      <c r="CL261" s="12" t="n"/>
      <c r="CM261" s="12" t="n"/>
      <c r="CN261" s="12" t="n"/>
      <c r="CO261" s="12" t="n"/>
      <c r="CP261" s="12" t="n"/>
      <c r="CQ261" s="12" t="n"/>
      <c r="CR261" s="12" t="n"/>
      <c r="CS261" s="12" t="n"/>
      <c r="CT261" s="12" t="n"/>
      <c r="CU261" s="12" t="n"/>
      <c r="CV261" s="12" t="n"/>
      <c r="CW261" s="12" t="n"/>
      <c r="CX261" s="12" t="n"/>
      <c r="CY261" s="12" t="n"/>
    </row>
    <row r="262">
      <c r="C262" s="10" t="inlineStr">
        <is>
          <t xml:space="preserve">Changes in working capital </t>
        </is>
      </c>
      <c r="D262" s="12" t="n"/>
      <c r="E262" s="12" t="n"/>
      <c r="F262" s="12" t="n"/>
      <c r="G262" s="12" t="n"/>
      <c r="H262" s="12" t="n"/>
      <c r="I262" s="12" t="n"/>
      <c r="J262" s="12">
        <f>SUM(J263:J272)</f>
        <v>2739</v>
      </c>
      <c r="K262" s="12">
        <f>SUM(K263:K272)</f>
        <v>-507</v>
      </c>
      <c r="L262" s="12">
        <f>SUM(L263:L272)</f>
        <v>465</v>
      </c>
      <c r="M262" s="12" t="n"/>
      <c r="N262" s="12">
        <f>SUM(N263:N272)</f>
        <v>-770</v>
      </c>
      <c r="O262" s="12">
        <f>SUM(O263:O272)</f>
        <v>-1622</v>
      </c>
      <c r="P262" s="12">
        <f>SUM(P263:P272)</f>
        <v>1598</v>
      </c>
      <c r="Q262" s="12">
        <f>SUM(Q263:Q272)</f>
        <v>852</v>
      </c>
      <c r="R262" s="12">
        <f>SUM(N262:Q262)</f>
        <v>58</v>
      </c>
      <c r="S262" s="12">
        <f>SUM(S263:S272)</f>
        <v>-527</v>
      </c>
      <c r="T262" s="12">
        <f>SUM(T263:T272)</f>
        <v>786</v>
      </c>
      <c r="U262" s="12">
        <f>SUM(U263:U272)</f>
        <v>436</v>
      </c>
      <c r="V262" s="12">
        <f>SUM(V263:V272)</f>
        <v>-2198</v>
      </c>
      <c r="W262" s="12">
        <f>SUM(S262:V262)</f>
        <v>-1503</v>
      </c>
      <c r="X262" s="12">
        <f>SUM(X263:X272)</f>
        <v>38</v>
      </c>
      <c r="Y262" s="12">
        <f>SUM(Y263:Y272)</f>
        <v>833</v>
      </c>
      <c r="Z262" s="12">
        <f>SUM(Z263:Z272)</f>
        <v>121</v>
      </c>
      <c r="AA262" s="12">
        <f>SUM(AA263:AA272)</f>
        <v>339</v>
      </c>
      <c r="AB262" s="12">
        <f>SUM(X262:AA262)</f>
        <v>1331</v>
      </c>
      <c r="AC262" s="12">
        <f>SUM(AC263:AC272)</f>
        <v>294</v>
      </c>
      <c r="AD262" s="12">
        <f>SUM(AD263:AD272)</f>
        <v>2935</v>
      </c>
      <c r="AE262" s="12">
        <f>SUM(AE263:AE272)</f>
        <v>1098</v>
      </c>
      <c r="AF262" s="12">
        <f>SUM(AF263:AF272)</f>
        <v>476</v>
      </c>
      <c r="AG262" s="12">
        <f>SUM(AC262:AF262)</f>
        <v>4803</v>
      </c>
      <c r="AH262" s="12">
        <f>SUM(AH263:AH272)</f>
        <v>-713</v>
      </c>
      <c r="AI262" s="12">
        <f>SUM(AI263:AI272)</f>
        <v>858</v>
      </c>
      <c r="AJ262" s="12">
        <f>SUM(AJ263:AJ272)</f>
        <v>463.983247885107</v>
      </c>
      <c r="AK262" s="12">
        <f>SUM(AK263:AK272)</f>
        <v>1113.21830108951</v>
      </c>
      <c r="AL262" s="12">
        <f>SUM(AH262:AK262)</f>
        <v>1722.20154897462</v>
      </c>
      <c r="AM262" s="12">
        <f>SUM(AM263:AM272)</f>
        <v>1139.11230557709</v>
      </c>
      <c r="AN262" s="12">
        <f>SUM(AN263:AN272)</f>
        <v>1417.27357305948</v>
      </c>
      <c r="AO262" s="12">
        <f>SUM(AO263:AO272)</f>
        <v>1577.72942672574</v>
      </c>
      <c r="AP262" s="12">
        <f>SUM(AP263:AP272)</f>
        <v>1880.09681836115</v>
      </c>
      <c r="AQ262" s="12">
        <f>SUM(AM262:AP262)</f>
        <v>6014.21212372347</v>
      </c>
      <c r="AR262" s="12">
        <f>SUM(AR263:AR272)</f>
        <v>1977.26071002946</v>
      </c>
      <c r="AS262" s="12">
        <f>SUM(AS263:AS272)</f>
        <v>2253.34232617228</v>
      </c>
      <c r="AT262" s="12">
        <f>SUM(AT263:AT272)</f>
        <v>2564.27771863948</v>
      </c>
      <c r="AU262" s="12">
        <f>SUM(AU263:AU272)</f>
        <v>2998.11206093058</v>
      </c>
      <c r="AV262" s="12">
        <f>SUM(AR262:AU262)</f>
        <v>9792.99281577179</v>
      </c>
      <c r="AW262" s="12">
        <f>SUM(AW263:AW272)</f>
        <v>3137.90042473385</v>
      </c>
      <c r="AX262" s="12">
        <f>SUM(AX263:AX272)</f>
        <v>3640.61645897255</v>
      </c>
      <c r="AY262" s="12">
        <f>SUM(AY263:AY272)</f>
        <v>4055.7861861625</v>
      </c>
      <c r="AZ262" s="12">
        <f>SUM(AZ263:AZ272)</f>
        <v>4675.30532283101</v>
      </c>
      <c r="BA262" s="12">
        <f>SUM(AW262:AZ262)</f>
        <v>15509.6083926999</v>
      </c>
      <c r="BB262" s="12">
        <f>SUM(BB263:BB272)</f>
        <v>4938.76884242745</v>
      </c>
      <c r="BC262" s="12">
        <f>SUM(BC263:BC272)</f>
        <v>5628.59894676432</v>
      </c>
      <c r="BD262" s="12">
        <f>SUM(BD263:BD272)</f>
        <v>6259.12151638691</v>
      </c>
      <c r="BE262" s="12">
        <f>SUM(BE263:BE272)</f>
        <v>7135.83630513373</v>
      </c>
      <c r="BF262" s="12">
        <f>SUM(BB262:BE262)</f>
        <v>23962.3256107124</v>
      </c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  <c r="CU262" s="12" t="n"/>
      <c r="CV262" s="12" t="n"/>
      <c r="CW262" s="12" t="n"/>
      <c r="CX262" s="12" t="n"/>
      <c r="CY262" s="12" t="n"/>
    </row>
    <row r="263" hidden="1" outlineLevel="1">
      <c r="C263" s="10" t="inlineStr">
        <is>
          <t>Accounts receivable</t>
        </is>
      </c>
      <c r="D263" s="12" t="n"/>
      <c r="E263" s="12" t="n"/>
      <c r="F263" s="12" t="n"/>
      <c r="G263" s="12" t="n"/>
      <c r="H263" s="12" t="n"/>
      <c r="I263" s="12" t="n"/>
      <c r="J263" s="12">
        <f>(J128-I128)*-1</f>
        <v>-61</v>
      </c>
      <c r="K263" s="12">
        <f>(K128-J128)*-1</f>
        <v>-116</v>
      </c>
      <c r="L263" s="12">
        <f>(L128-K128)*-1</f>
        <v>-200</v>
      </c>
      <c r="M263" s="12" t="n"/>
      <c r="N263" s="12">
        <f>(N128-M128)*-1</f>
        <v>33</v>
      </c>
      <c r="O263" s="12">
        <f>(O128-N128)*-1</f>
        <v>114</v>
      </c>
      <c r="P263" s="12">
        <f>(P128-O128)*-1</f>
        <v>1</v>
      </c>
      <c r="Q263" s="12">
        <f>(Q128-P128)*-1</f>
        <v>-93</v>
      </c>
      <c r="R263" s="12">
        <f>SUM(N263:Q263)</f>
        <v>55</v>
      </c>
      <c r="S263" s="12">
        <f>(S128-R128)*-1</f>
        <v>-9</v>
      </c>
      <c r="T263" s="12">
        <f>(T128-S128)*-1</f>
        <v>-160</v>
      </c>
      <c r="U263" s="12">
        <f>(U128-T128)*-1</f>
        <v>-9</v>
      </c>
      <c r="V263" s="12">
        <f>(V128-U128)*-1</f>
        <v>-215</v>
      </c>
      <c r="W263" s="12">
        <f>SUM(S263:V263)</f>
        <v>-393</v>
      </c>
      <c r="X263" s="12">
        <f>(X128-W128)*-1</f>
        <v>234</v>
      </c>
      <c r="Y263" s="12">
        <f>(Y128-X128)*-1</f>
        <v>-249</v>
      </c>
      <c r="Z263" s="12">
        <f>(Z128-Y128)*-1</f>
        <v>-40</v>
      </c>
      <c r="AA263" s="12">
        <f>(AA128-Z128)*-1</f>
        <v>-29</v>
      </c>
      <c r="AB263" s="12">
        <f>SUM(X263:AA263)</f>
        <v>-84</v>
      </c>
      <c r="AC263" s="12">
        <f>(AC128-AB128)*-1</f>
        <v>-129</v>
      </c>
      <c r="AD263" s="12">
        <f>(AD128-AC128)*-1</f>
        <v>-201</v>
      </c>
      <c r="AE263" s="12">
        <f>(AE128-AD128)*-1</f>
        <v>-206</v>
      </c>
      <c r="AF263" s="12">
        <f>(AF128-AE128)*-1</f>
        <v>-105</v>
      </c>
      <c r="AG263" s="12">
        <f>SUM(AC263:AF263)</f>
        <v>-641</v>
      </c>
      <c r="AH263" s="12">
        <f>(AH128-AG128)*-1</f>
        <v>-174</v>
      </c>
      <c r="AI263" s="12">
        <f>(AI128-AH128)*-1</f>
        <v>-122</v>
      </c>
      <c r="AJ263" s="12">
        <f>(AJ128-AI128)*-1</f>
        <v>-15.0638518601982</v>
      </c>
      <c r="AK263" s="12">
        <f>(AK128-AJ128)*-1</f>
        <v>-58.4618893863535</v>
      </c>
      <c r="AL263" s="12">
        <f>SUM(AH263:AK263)</f>
        <v>-369.525741246552</v>
      </c>
      <c r="AM263" s="12">
        <f>(AM128-AL128)*-1</f>
        <v>-191.092942896888</v>
      </c>
      <c r="AN263" s="12">
        <f>(AN128-AM128)*-1</f>
        <v>-92.9047310979736</v>
      </c>
      <c r="AO263" s="12">
        <f>(AO128-AN128)*-1</f>
        <v>-136.771784996472</v>
      </c>
      <c r="AP263" s="12">
        <f>(AP128-AO128)*-1</f>
        <v>-66.371619772669</v>
      </c>
      <c r="AQ263" s="12">
        <f>SUM(AM263:AP263)</f>
        <v>-487.141078764003</v>
      </c>
      <c r="AR263" s="12">
        <f>(AR128-AQ128)*-1</f>
        <v>-150.894070045882</v>
      </c>
      <c r="AS263" s="12">
        <f>(AS128-AR128)*-1</f>
        <v>-152.105079135596</v>
      </c>
      <c r="AT263" s="12">
        <f>(AT128-AS128)*-1</f>
        <v>-154.592766663073</v>
      </c>
      <c r="AU263" s="12">
        <f>(AU128-AT128)*-1</f>
        <v>-75.0196564944381</v>
      </c>
      <c r="AV263" s="12">
        <f>SUM(AR263:AU263)</f>
        <v>-532.611572338989</v>
      </c>
      <c r="AW263" s="12">
        <f>(AW128-AV128)*-1</f>
        <v>-202.358349724043</v>
      </c>
      <c r="AX263" s="12">
        <f>(AX128-AW128)*-1</f>
        <v>-118.167412661847</v>
      </c>
      <c r="AY263" s="12">
        <f>(AY128-AX128)*-1</f>
        <v>-173.962808644611</v>
      </c>
      <c r="AZ263" s="12">
        <f>(AZ128-AY128)*-1</f>
        <v>-84.4194099699989</v>
      </c>
      <c r="BA263" s="12">
        <f>SUM(AW263:AZ263)</f>
        <v>-578.907981000501</v>
      </c>
      <c r="BB263" s="12">
        <f>(BB128-BA128)*-1</f>
        <v>-203.600102173219</v>
      </c>
      <c r="BC263" s="12">
        <f>(BC128-BB128)*-1</f>
        <v>-132.382622437057</v>
      </c>
      <c r="BD263" s="12">
        <f>(BD128-BC128)*-1</f>
        <v>-194.890048754745</v>
      </c>
      <c r="BE263" s="12">
        <f>(BE128-BD128)*-1</f>
        <v>-94.5748292585386</v>
      </c>
      <c r="BF263" s="12">
        <f>SUM(BB263:BE263)</f>
        <v>-625.44760262356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 hidden="1" outlineLevel="1">
      <c r="C264" s="10" t="inlineStr">
        <is>
          <t>Inventories</t>
        </is>
      </c>
      <c r="D264" s="12" t="n"/>
      <c r="E264" s="12" t="n"/>
      <c r="F264" s="12" t="n"/>
      <c r="G264" s="12" t="n"/>
      <c r="H264" s="12" t="n"/>
      <c r="I264" s="12" t="n"/>
      <c r="J264" s="12">
        <f>(J132-I132)*-1</f>
        <v>0</v>
      </c>
      <c r="K264" s="12">
        <f>(K132-J132)*-1</f>
        <v>0</v>
      </c>
      <c r="L264" s="12">
        <f>(L132-K132)*-1</f>
        <v>0</v>
      </c>
      <c r="M264" s="12" t="n"/>
      <c r="N264" s="12">
        <f>(N132-M132)*-1</f>
        <v>0</v>
      </c>
      <c r="O264" s="12">
        <f>(O132-N132)*-1</f>
        <v>0</v>
      </c>
      <c r="P264" s="12">
        <f>(P132-O132)*-1</f>
        <v>0</v>
      </c>
      <c r="Q264" s="12">
        <f>(Q132-P132)*-1</f>
        <v>0</v>
      </c>
      <c r="R264" s="12">
        <f>SUM(N264:Q264)</f>
        <v>0</v>
      </c>
      <c r="S264" s="12">
        <f>(S132-R132)*-1</f>
        <v>0</v>
      </c>
      <c r="T264" s="12">
        <f>(T132-S132)*-1</f>
        <v>0</v>
      </c>
      <c r="U264" s="12">
        <f>(U132-T132)*-1</f>
        <v>0</v>
      </c>
      <c r="V264" s="12">
        <f>(V132-U132)*-1</f>
        <v>0</v>
      </c>
      <c r="W264" s="12">
        <f>SUM(S264:V264)</f>
        <v>0</v>
      </c>
      <c r="X264" s="12">
        <f>(X132-W132)*-1</f>
        <v>0</v>
      </c>
      <c r="Y264" s="12">
        <f>(Y132-X132)*-1</f>
        <v>0</v>
      </c>
      <c r="Z264" s="12">
        <f>(Z132-Y132)*-1</f>
        <v>0</v>
      </c>
      <c r="AA264" s="12">
        <f>(AA132-Z132)*-1</f>
        <v>0</v>
      </c>
      <c r="AB264" s="12">
        <f>SUM(X264:AA264)</f>
        <v>0</v>
      </c>
      <c r="AC264" s="12">
        <f>(AC132-AB132)*-1</f>
        <v>0</v>
      </c>
      <c r="AD264" s="12">
        <f>(AD132-AC132)*-1</f>
        <v>0</v>
      </c>
      <c r="AE264" s="12">
        <f>(AE132-AD132)*-1</f>
        <v>0</v>
      </c>
      <c r="AF264" s="12">
        <f>(AF132-AE132)*-1</f>
        <v>0</v>
      </c>
      <c r="AG264" s="12">
        <f>SUM(AC264:AF264)</f>
        <v>0</v>
      </c>
      <c r="AH264" s="12">
        <f>(AH132-AG132)*-1</f>
        <v>0</v>
      </c>
      <c r="AI264" s="12">
        <f>(AI132-AH132)*-1</f>
        <v>0</v>
      </c>
      <c r="AJ264" s="12">
        <f>(AJ132-AI132)*-1</f>
        <v>0</v>
      </c>
      <c r="AK264" s="12">
        <f>(AK132-AJ132)*-1</f>
        <v>0</v>
      </c>
      <c r="AL264" s="12">
        <f>SUM(AH264:AK264)</f>
        <v>0</v>
      </c>
      <c r="AM264" s="12">
        <f>(AM132-AL132)*-1</f>
        <v>0</v>
      </c>
      <c r="AN264" s="12">
        <f>(AN132-AM132)*-1</f>
        <v>0</v>
      </c>
      <c r="AO264" s="12">
        <f>(AO132-AN132)*-1</f>
        <v>0</v>
      </c>
      <c r="AP264" s="12">
        <f>(AP132-AO132)*-1</f>
        <v>0</v>
      </c>
      <c r="AQ264" s="12">
        <f>SUM(AM264:AP264)</f>
        <v>0</v>
      </c>
      <c r="AR264" s="12">
        <f>(AR132-AQ132)*-1</f>
        <v>0</v>
      </c>
      <c r="AS264" s="12">
        <f>(AS132-AR132)*-1</f>
        <v>0</v>
      </c>
      <c r="AT264" s="12">
        <f>(AT132-AS132)*-1</f>
        <v>0</v>
      </c>
      <c r="AU264" s="12">
        <f>(AU132-AT132)*-1</f>
        <v>0</v>
      </c>
      <c r="AV264" s="12">
        <f>SUM(AR264:AU264)</f>
        <v>0</v>
      </c>
      <c r="AW264" s="12">
        <f>(AW132-AV132)*-1</f>
        <v>0</v>
      </c>
      <c r="AX264" s="12">
        <f>(AX132-AW132)*-1</f>
        <v>0</v>
      </c>
      <c r="AY264" s="12">
        <f>(AY132-AX132)*-1</f>
        <v>0</v>
      </c>
      <c r="AZ264" s="12">
        <f>(AZ132-AY132)*-1</f>
        <v>0</v>
      </c>
      <c r="BA264" s="12">
        <f>SUM(AW264:AZ264)</f>
        <v>0</v>
      </c>
      <c r="BB264" s="12">
        <f>(BB132-BA132)*-1</f>
        <v>0</v>
      </c>
      <c r="BC264" s="12">
        <f>(BC132-BB132)*-1</f>
        <v>0</v>
      </c>
      <c r="BD264" s="12">
        <f>(BD132-BC132)*-1</f>
        <v>0</v>
      </c>
      <c r="BE264" s="12">
        <f>(BE132-BD132)*-1</f>
        <v>0</v>
      </c>
      <c r="BF264" s="12">
        <f>SUM(BB264:BE264)</f>
        <v>0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 hidden="1" outlineLevel="1">
      <c r="C265" s="10" t="inlineStr">
        <is>
          <t>Deferred income taxes</t>
        </is>
      </c>
      <c r="D265" s="12" t="n"/>
      <c r="E265" s="12" t="n"/>
      <c r="F265" s="12" t="n"/>
      <c r="G265" s="12" t="n"/>
      <c r="H265" s="12" t="n"/>
      <c r="I265" s="12" t="n"/>
      <c r="J265" s="12">
        <f>(J136-I136)*-1</f>
        <v>0</v>
      </c>
      <c r="K265" s="12">
        <f>(K136-J136)*-1</f>
        <v>0</v>
      </c>
      <c r="L265" s="12">
        <f>(L136-K136)*-1</f>
        <v>0</v>
      </c>
      <c r="M265" s="12" t="n"/>
      <c r="N265" s="12">
        <f>(N136-M136)*-1</f>
        <v>0</v>
      </c>
      <c r="O265" s="12">
        <f>(O136-N136)*-1</f>
        <v>0</v>
      </c>
      <c r="P265" s="12">
        <f>(P136-O136)*-1</f>
        <v>0</v>
      </c>
      <c r="Q265" s="12">
        <f>(Q136-P136)*-1</f>
        <v>0</v>
      </c>
      <c r="R265" s="12">
        <f>SUM(N265:Q265)</f>
        <v>0</v>
      </c>
      <c r="S265" s="12">
        <f>(S136-R136)*-1</f>
        <v>0</v>
      </c>
      <c r="T265" s="12">
        <f>(T136-S136)*-1</f>
        <v>0</v>
      </c>
      <c r="U265" s="12">
        <f>(U136-T136)*-1</f>
        <v>0</v>
      </c>
      <c r="V265" s="12">
        <f>(V136-U136)*-1</f>
        <v>0</v>
      </c>
      <c r="W265" s="12">
        <f>SUM(S265:V265)</f>
        <v>0</v>
      </c>
      <c r="X265" s="12">
        <f>(X136-W136)*-1</f>
        <v>0</v>
      </c>
      <c r="Y265" s="12">
        <f>(Y136-X136)*-1</f>
        <v>0</v>
      </c>
      <c r="Z265" s="12">
        <f>(Z136-Y136)*-1</f>
        <v>0</v>
      </c>
      <c r="AA265" s="12">
        <f>(AA136-Z136)*-1</f>
        <v>0</v>
      </c>
      <c r="AB265" s="12">
        <f>SUM(X265:AA265)</f>
        <v>0</v>
      </c>
      <c r="AC265" s="12">
        <f>(AC136-AB136)*-1</f>
        <v>0</v>
      </c>
      <c r="AD265" s="12">
        <f>(AD136-AC136)*-1</f>
        <v>0</v>
      </c>
      <c r="AE265" s="12">
        <f>(AE136-AD136)*-1</f>
        <v>0</v>
      </c>
      <c r="AF265" s="12">
        <f>(AF136-AE136)*-1</f>
        <v>0</v>
      </c>
      <c r="AG265" s="12">
        <f>SUM(AC265:AF265)</f>
        <v>0</v>
      </c>
      <c r="AH265" s="12">
        <f>(AH136-AG136)*-1</f>
        <v>0</v>
      </c>
      <c r="AI265" s="12">
        <f>(AI136-AH136)*-1</f>
        <v>0</v>
      </c>
      <c r="AJ265" s="12">
        <f>(AJ136-AI136)*-1</f>
        <v>0</v>
      </c>
      <c r="AK265" s="12">
        <f>(AK136-AJ136)*-1</f>
        <v>0</v>
      </c>
      <c r="AL265" s="12">
        <f>SUM(AH265:AK265)</f>
        <v>0</v>
      </c>
      <c r="AM265" s="12">
        <f>(AM136-AL136)*-1</f>
        <v>0</v>
      </c>
      <c r="AN265" s="12">
        <f>(AN136-AM136)*-1</f>
        <v>0</v>
      </c>
      <c r="AO265" s="12">
        <f>(AO136-AN136)*-1</f>
        <v>0</v>
      </c>
      <c r="AP265" s="12">
        <f>(AP136-AO136)*-1</f>
        <v>0</v>
      </c>
      <c r="AQ265" s="12">
        <f>SUM(AM265:AP265)</f>
        <v>0</v>
      </c>
      <c r="AR265" s="12">
        <f>(AR136-AQ136)*-1</f>
        <v>0</v>
      </c>
      <c r="AS265" s="12">
        <f>(AS136-AR136)*-1</f>
        <v>0</v>
      </c>
      <c r="AT265" s="12">
        <f>(AT136-AS136)*-1</f>
        <v>0</v>
      </c>
      <c r="AU265" s="12">
        <f>(AU136-AT136)*-1</f>
        <v>0</v>
      </c>
      <c r="AV265" s="12">
        <f>SUM(AR265:AU265)</f>
        <v>0</v>
      </c>
      <c r="AW265" s="12">
        <f>(AW136-AV136)*-1</f>
        <v>0</v>
      </c>
      <c r="AX265" s="12">
        <f>(AX136-AW136)*-1</f>
        <v>0</v>
      </c>
      <c r="AY265" s="12">
        <f>(AY136-AX136)*-1</f>
        <v>0</v>
      </c>
      <c r="AZ265" s="12">
        <f>(AZ136-AY136)*-1</f>
        <v>0</v>
      </c>
      <c r="BA265" s="12">
        <f>SUM(AW265:AZ265)</f>
        <v>0</v>
      </c>
      <c r="BB265" s="12">
        <f>(BB136-BA136)*-1</f>
        <v>0</v>
      </c>
      <c r="BC265" s="12">
        <f>(BC136-BB136)*-1</f>
        <v>0</v>
      </c>
      <c r="BD265" s="12">
        <f>(BD136-BC136)*-1</f>
        <v>0</v>
      </c>
      <c r="BE265" s="12">
        <f>(BE136-BD136)*-1</f>
        <v>0</v>
      </c>
      <c r="BF265" s="12">
        <f>SUM(BB265:BE265)</f>
        <v>0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 hidden="1" outlineLevel="1">
      <c r="C266" s="10" t="inlineStr">
        <is>
          <t>Prepaid expenses</t>
        </is>
      </c>
      <c r="D266" s="12" t="n"/>
      <c r="E266" s="12" t="n"/>
      <c r="F266" s="12" t="n"/>
      <c r="G266" s="12" t="n"/>
      <c r="H266" s="12" t="n"/>
      <c r="I266" s="12" t="n"/>
      <c r="J266" s="12">
        <f>(J137-I137)*-1</f>
        <v>0</v>
      </c>
      <c r="K266" s="12">
        <f>(K137-J137)*-1</f>
        <v>0</v>
      </c>
      <c r="L266" s="12">
        <f>(L137-K137)*-1</f>
        <v>0</v>
      </c>
      <c r="M266" s="12" t="n"/>
      <c r="N266" s="12">
        <f>(N137-M137)*-1</f>
        <v>0</v>
      </c>
      <c r="O266" s="12">
        <f>(O137-N137)*-1</f>
        <v>0</v>
      </c>
      <c r="P266" s="12">
        <f>(P137-O137)*-1</f>
        <v>0</v>
      </c>
      <c r="Q266" s="12">
        <f>(Q137-P137)*-1</f>
        <v>0</v>
      </c>
      <c r="R266" s="12">
        <f>SUM(N266:Q266)</f>
        <v>0</v>
      </c>
      <c r="S266" s="12">
        <f>(S137-R137)*-1</f>
        <v>0</v>
      </c>
      <c r="T266" s="12">
        <f>(T137-S137)*-1</f>
        <v>0</v>
      </c>
      <c r="U266" s="12">
        <f>(U137-T137)*-1</f>
        <v>0</v>
      </c>
      <c r="V266" s="12">
        <f>(V137-U137)*-1</f>
        <v>0</v>
      </c>
      <c r="W266" s="12">
        <f>SUM(S266:V266)</f>
        <v>0</v>
      </c>
      <c r="X266" s="12">
        <f>(X137-W137)*-1</f>
        <v>0</v>
      </c>
      <c r="Y266" s="12">
        <f>(Y137-X137)*-1</f>
        <v>0</v>
      </c>
      <c r="Z266" s="12">
        <f>(Z137-Y137)*-1</f>
        <v>0</v>
      </c>
      <c r="AA266" s="12">
        <f>(AA137-Z137)*-1</f>
        <v>0</v>
      </c>
      <c r="AB266" s="12">
        <f>SUM(X266:AA266)</f>
        <v>0</v>
      </c>
      <c r="AC266" s="12">
        <f>(AC137-AB137)*-1</f>
        <v>0</v>
      </c>
      <c r="AD266" s="12">
        <f>(AD137-AC137)*-1</f>
        <v>0</v>
      </c>
      <c r="AE266" s="12">
        <f>(AE137-AD137)*-1</f>
        <v>0</v>
      </c>
      <c r="AF266" s="12">
        <f>(AF137-AE137)*-1</f>
        <v>0</v>
      </c>
      <c r="AG266" s="12">
        <f>SUM(AC266:AF266)</f>
        <v>0</v>
      </c>
      <c r="AH266" s="12">
        <f>(AH137-AG137)*-1</f>
        <v>0</v>
      </c>
      <c r="AI266" s="12">
        <f>(AI137-AH137)*-1</f>
        <v>0</v>
      </c>
      <c r="AJ266" s="12">
        <f>(AJ137-AI137)*-1</f>
        <v>0</v>
      </c>
      <c r="AK266" s="12">
        <f>(AK137-AJ137)*-1</f>
        <v>0</v>
      </c>
      <c r="AL266" s="12">
        <f>SUM(AH266:AK266)</f>
        <v>0</v>
      </c>
      <c r="AM266" s="12">
        <f>(AM137-AL137)*-1</f>
        <v>0</v>
      </c>
      <c r="AN266" s="12">
        <f>(AN137-AM137)*-1</f>
        <v>0</v>
      </c>
      <c r="AO266" s="12">
        <f>(AO137-AN137)*-1</f>
        <v>0</v>
      </c>
      <c r="AP266" s="12">
        <f>(AP137-AO137)*-1</f>
        <v>0</v>
      </c>
      <c r="AQ266" s="12">
        <f>SUM(AM266:AP266)</f>
        <v>0</v>
      </c>
      <c r="AR266" s="12">
        <f>(AR137-AQ137)*-1</f>
        <v>0</v>
      </c>
      <c r="AS266" s="12">
        <f>(AS137-AR137)*-1</f>
        <v>0</v>
      </c>
      <c r="AT266" s="12">
        <f>(AT137-AS137)*-1</f>
        <v>0</v>
      </c>
      <c r="AU266" s="12">
        <f>(AU137-AT137)*-1</f>
        <v>0</v>
      </c>
      <c r="AV266" s="12">
        <f>SUM(AR266:AU266)</f>
        <v>0</v>
      </c>
      <c r="AW266" s="12">
        <f>(AW137-AV137)*-1</f>
        <v>0</v>
      </c>
      <c r="AX266" s="12">
        <f>(AX137-AW137)*-1</f>
        <v>0</v>
      </c>
      <c r="AY266" s="12">
        <f>(AY137-AX137)*-1</f>
        <v>0</v>
      </c>
      <c r="AZ266" s="12">
        <f>(AZ137-AY137)*-1</f>
        <v>0</v>
      </c>
      <c r="BA266" s="12">
        <f>SUM(AW266:AZ266)</f>
        <v>0</v>
      </c>
      <c r="BB266" s="12">
        <f>(BB137-BA137)*-1</f>
        <v>0</v>
      </c>
      <c r="BC266" s="12">
        <f>(BC137-BB137)*-1</f>
        <v>0</v>
      </c>
      <c r="BD266" s="12">
        <f>(BD137-BC137)*-1</f>
        <v>0</v>
      </c>
      <c r="BE266" s="12">
        <f>(BE137-BD137)*-1</f>
        <v>0</v>
      </c>
      <c r="BF266" s="12">
        <f>SUM(BB266:BE266)</f>
        <v>0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 hidden="1" outlineLevel="1">
      <c r="C267" s="10" t="inlineStr">
        <is>
          <t>Other current assets</t>
        </is>
      </c>
      <c r="D267" s="12" t="n"/>
      <c r="E267" s="12" t="n"/>
      <c r="F267" s="12" t="n"/>
      <c r="G267" s="12" t="n"/>
      <c r="H267" s="12" t="n"/>
      <c r="I267" s="12" t="n"/>
      <c r="J267" s="12">
        <f>(J138-I138)*-1</f>
        <v>460</v>
      </c>
      <c r="K267" s="12">
        <f>(K138-J138)*-1</f>
        <v>-996</v>
      </c>
      <c r="L267" s="12">
        <f>(L138-K138)*-1</f>
        <v>134</v>
      </c>
      <c r="M267" s="12" t="n"/>
      <c r="N267" s="12">
        <f>(N138-M138)*-1</f>
        <v>-639</v>
      </c>
      <c r="O267" s="12">
        <f>(O138-N138)*-1</f>
        <v>-3246</v>
      </c>
      <c r="P267" s="12">
        <f>(P138-O138)*-1</f>
        <v>407</v>
      </c>
      <c r="Q267" s="12">
        <f>(Q138-P138)*-1</f>
        <v>84</v>
      </c>
      <c r="R267" s="12">
        <f>SUM(N267:Q267)</f>
        <v>-3394</v>
      </c>
      <c r="S267" s="12">
        <f>(S138-R138)*-1</f>
        <v>-281</v>
      </c>
      <c r="T267" s="12">
        <f>(T138-S138)*-1</f>
        <v>-1105</v>
      </c>
      <c r="U267" s="12">
        <f>(U138-T138)*-1</f>
        <v>-1157</v>
      </c>
      <c r="V267" s="12">
        <f>(V138-U138)*-1</f>
        <v>-1680</v>
      </c>
      <c r="W267" s="12">
        <f>SUM(S267:V267)</f>
        <v>-4223</v>
      </c>
      <c r="X267" s="12">
        <f>(X138-W138)*-1</f>
        <v>-875</v>
      </c>
      <c r="Y267" s="12">
        <f>(Y138-X138)*-1</f>
        <v>1939</v>
      </c>
      <c r="Z267" s="12">
        <f>(Z138-Y138)*-1</f>
        <v>-3926</v>
      </c>
      <c r="AA267" s="12">
        <f>(AA138-Z138)*-1</f>
        <v>1832</v>
      </c>
      <c r="AB267" s="12">
        <f>SUM(X267:AA267)</f>
        <v>-1030</v>
      </c>
      <c r="AC267" s="12">
        <f>(AC138-AB138)*-1</f>
        <v>-816</v>
      </c>
      <c r="AD267" s="12">
        <f>(AD138-AC138)*-1</f>
        <v>95</v>
      </c>
      <c r="AE267" s="12">
        <f>(AE138-AD138)*-1</f>
        <v>910</v>
      </c>
      <c r="AF267" s="12">
        <f>(AF138-AE138)*-1</f>
        <v>466</v>
      </c>
      <c r="AG267" s="12">
        <f>SUM(AC267:AF267)</f>
        <v>655</v>
      </c>
      <c r="AH267" s="12">
        <f>(AH138-AG138)*-1</f>
        <v>1194</v>
      </c>
      <c r="AI267" s="12">
        <f>(AI138-AH138)*-1</f>
        <v>700</v>
      </c>
      <c r="AJ267" s="12">
        <f>(AJ138-AI138)*-1</f>
        <v>0</v>
      </c>
      <c r="AK267" s="12">
        <f>(AK138-AJ138)*-1</f>
        <v>0</v>
      </c>
      <c r="AL267" s="12">
        <f>SUM(AH267:AK267)</f>
        <v>1894</v>
      </c>
      <c r="AM267" s="12">
        <f>(AM138-AL138)*-1</f>
        <v>0</v>
      </c>
      <c r="AN267" s="12">
        <f>(AN138-AM138)*-1</f>
        <v>0</v>
      </c>
      <c r="AO267" s="12">
        <f>(AO138-AN138)*-1</f>
        <v>0</v>
      </c>
      <c r="AP267" s="12">
        <f>(AP138-AO138)*-1</f>
        <v>0</v>
      </c>
      <c r="AQ267" s="12">
        <f>SUM(AM267:AP267)</f>
        <v>0</v>
      </c>
      <c r="AR267" s="12">
        <f>(AR138-AQ138)*-1</f>
        <v>0</v>
      </c>
      <c r="AS267" s="12">
        <f>(AS138-AR138)*-1</f>
        <v>0</v>
      </c>
      <c r="AT267" s="12">
        <f>(AT138-AS138)*-1</f>
        <v>0</v>
      </c>
      <c r="AU267" s="12">
        <f>(AU138-AT138)*-1</f>
        <v>0</v>
      </c>
      <c r="AV267" s="12">
        <f>SUM(AR267:AU267)</f>
        <v>0</v>
      </c>
      <c r="AW267" s="12">
        <f>(AW138-AV138)*-1</f>
        <v>0</v>
      </c>
      <c r="AX267" s="12">
        <f>(AX138-AW138)*-1</f>
        <v>0</v>
      </c>
      <c r="AY267" s="12">
        <f>(AY138-AX138)*-1</f>
        <v>0</v>
      </c>
      <c r="AZ267" s="12">
        <f>(AZ138-AY138)*-1</f>
        <v>0</v>
      </c>
      <c r="BA267" s="12">
        <f>SUM(AW267:AZ267)</f>
        <v>0</v>
      </c>
      <c r="BB267" s="12">
        <f>(BB138-BA138)*-1</f>
        <v>0</v>
      </c>
      <c r="BC267" s="12">
        <f>(BC138-BB138)*-1</f>
        <v>0</v>
      </c>
      <c r="BD267" s="12">
        <f>(BD138-BC138)*-1</f>
        <v>0</v>
      </c>
      <c r="BE267" s="12">
        <f>(BE138-BD138)*-1</f>
        <v>0</v>
      </c>
      <c r="BF267" s="12">
        <f>SUM(BB267:BE267)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Accounts payable</t>
        </is>
      </c>
      <c r="D268" s="12" t="n"/>
      <c r="E268" s="12" t="n"/>
      <c r="F268" s="12" t="n"/>
      <c r="G268" s="12" t="n"/>
      <c r="H268" s="12" t="n"/>
      <c r="I268" s="12" t="n"/>
      <c r="J268" s="12">
        <f>J181-I181</f>
        <v>46</v>
      </c>
      <c r="K268" s="12">
        <f>K181-J181</f>
        <v>94</v>
      </c>
      <c r="L268" s="12">
        <f>L181-K181</f>
        <v>-14</v>
      </c>
      <c r="M268" s="12" t="n"/>
      <c r="N268" s="12">
        <f>N181-M181</f>
        <v>-70</v>
      </c>
      <c r="O268" s="12">
        <f>O181-N181</f>
        <v>46</v>
      </c>
      <c r="P268" s="12">
        <f>P181-O181</f>
        <v>112</v>
      </c>
      <c r="Q268" s="12">
        <f>Q181-P181</f>
        <v>-82</v>
      </c>
      <c r="R268" s="12">
        <f>SUM(N268:Q268)</f>
        <v>6</v>
      </c>
      <c r="S268" s="12">
        <f>S181-R181</f>
        <v>22</v>
      </c>
      <c r="T268" s="12">
        <f>T181-S181</f>
        <v>1</v>
      </c>
      <c r="U268" s="12">
        <f>U181-T181</f>
        <v>94</v>
      </c>
      <c r="V268" s="12">
        <f>V181-U181</f>
        <v>-27</v>
      </c>
      <c r="W268" s="12">
        <f>SUM(S268:V268)</f>
        <v>90</v>
      </c>
      <c r="X268" s="12">
        <f>X181-W181</f>
        <v>-10</v>
      </c>
      <c r="Y268" s="12">
        <f>Y181-X181</f>
        <v>-7</v>
      </c>
      <c r="Z268" s="12">
        <f>Z181-Y181</f>
        <v>148</v>
      </c>
      <c r="AA268" s="12">
        <f>AA181-Z181</f>
        <v>-74</v>
      </c>
      <c r="AB268" s="12">
        <f>SUM(X268:AA268)</f>
        <v>57</v>
      </c>
      <c r="AC268" s="12">
        <f>AC181-AB181</f>
        <v>16</v>
      </c>
      <c r="AD268" s="12">
        <f>AD181-AC181</f>
        <v>41</v>
      </c>
      <c r="AE268" s="12">
        <f>AE181-AD181</f>
        <v>93</v>
      </c>
      <c r="AF268" s="12">
        <f>AF181-AE181</f>
        <v>-122</v>
      </c>
      <c r="AG268" s="12">
        <f>SUM(AC268:AF268)</f>
        <v>28</v>
      </c>
      <c r="AH268" s="12">
        <f>AH181-AG181</f>
        <v>124</v>
      </c>
      <c r="AI268" s="12">
        <f>AI181-AH181</f>
        <v>-4</v>
      </c>
      <c r="AJ268" s="12">
        <f>AJ181-AI181</f>
        <v>-553</v>
      </c>
      <c r="AK268" s="12">
        <f>AK181-AJ181</f>
        <v>0</v>
      </c>
      <c r="AL268" s="12">
        <f>SUM(AH268:AK268)</f>
        <v>-433</v>
      </c>
      <c r="AM268" s="12">
        <f>AM181-AL181</f>
        <v>0</v>
      </c>
      <c r="AN268" s="12">
        <f>AN181-AM181</f>
        <v>0</v>
      </c>
      <c r="AO268" s="12">
        <f>AO181-AN181</f>
        <v>0</v>
      </c>
      <c r="AP268" s="12">
        <f>AP181-AO181</f>
        <v>0</v>
      </c>
      <c r="AQ268" s="12">
        <f>SUM(AM268:AP268)</f>
        <v>0</v>
      </c>
      <c r="AR268" s="12">
        <f>AR181-AQ181</f>
        <v>0</v>
      </c>
      <c r="AS268" s="12">
        <f>AS181-AR181</f>
        <v>0</v>
      </c>
      <c r="AT268" s="12">
        <f>AT181-AS181</f>
        <v>0</v>
      </c>
      <c r="AU268" s="12">
        <f>AU181-AT181</f>
        <v>0</v>
      </c>
      <c r="AV268" s="12">
        <f>SUM(AR268:AU268)</f>
        <v>0</v>
      </c>
      <c r="AW268" s="12">
        <f>AW181-AV181</f>
        <v>0</v>
      </c>
      <c r="AX268" s="12">
        <f>AX181-AW181</f>
        <v>0</v>
      </c>
      <c r="AY268" s="12">
        <f>AY181-AX181</f>
        <v>0</v>
      </c>
      <c r="AZ268" s="12">
        <f>AZ181-AY181</f>
        <v>0</v>
      </c>
      <c r="BA268" s="12">
        <f>SUM(AW268:AZ268)</f>
        <v>0</v>
      </c>
      <c r="BB268" s="12">
        <f>BB181-BA181</f>
        <v>0</v>
      </c>
      <c r="BC268" s="12">
        <f>BC181-BB181</f>
        <v>0</v>
      </c>
      <c r="BD268" s="12">
        <f>BD181-BC181</f>
        <v>0</v>
      </c>
      <c r="BE268" s="12">
        <f>BE181-BD181</f>
        <v>0</v>
      </c>
      <c r="BF268" s="12">
        <f>SUM(BB268:BE268)</f>
        <v>0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Accrued expenses</t>
        </is>
      </c>
      <c r="D269" s="12" t="n"/>
      <c r="E269" s="12" t="n"/>
      <c r="F269" s="12" t="n"/>
      <c r="G269" s="12" t="n"/>
      <c r="H269" s="12" t="n"/>
      <c r="I269" s="12" t="n"/>
      <c r="J269" s="12">
        <f>J185-I185</f>
        <v>358</v>
      </c>
      <c r="K269" s="12">
        <f>K185-J185</f>
        <v>305</v>
      </c>
      <c r="L269" s="12">
        <f>L185-K185</f>
        <v>145</v>
      </c>
      <c r="M269" s="12" t="n"/>
      <c r="N269" s="12">
        <f>N185-M185</f>
        <v>359</v>
      </c>
      <c r="O269" s="12">
        <f>O185-N185</f>
        <v>360</v>
      </c>
      <c r="P269" s="12">
        <f>P185-O185</f>
        <v>676</v>
      </c>
      <c r="Q269" s="12">
        <f>Q185-P185</f>
        <v>-409</v>
      </c>
      <c r="R269" s="12">
        <f>SUM(N269:Q269)</f>
        <v>986</v>
      </c>
      <c r="S269" s="12">
        <f>S185-R185</f>
        <v>-52</v>
      </c>
      <c r="T269" s="12">
        <f>T185-S185</f>
        <v>666</v>
      </c>
      <c r="U269" s="12">
        <f>U185-T185</f>
        <v>1231</v>
      </c>
      <c r="V269" s="12">
        <f>V185-U185</f>
        <v>-628</v>
      </c>
      <c r="W269" s="12">
        <f>SUM(S269:V269)</f>
        <v>1217</v>
      </c>
      <c r="X269" s="12">
        <f>X185-W185</f>
        <v>-442</v>
      </c>
      <c r="Y269" s="12">
        <f>Y185-X185</f>
        <v>532</v>
      </c>
      <c r="Z269" s="12">
        <f>Z185-Y185</f>
        <v>464</v>
      </c>
      <c r="AA269" s="12">
        <f>AA185-Z185</f>
        <v>-531</v>
      </c>
      <c r="AB269" s="12">
        <f>SUM(X269:AA269)</f>
        <v>23</v>
      </c>
      <c r="AC269" s="12">
        <f>AC185-AB185</f>
        <v>-184</v>
      </c>
      <c r="AD269" s="12">
        <f>AD185-AC185</f>
        <v>649</v>
      </c>
      <c r="AE269" s="12">
        <f>AE185-AD185</f>
        <v>948</v>
      </c>
      <c r="AF269" s="12">
        <f>AF185-AE185</f>
        <v>-595</v>
      </c>
      <c r="AG269" s="12">
        <f>SUM(AC269:AF269)</f>
        <v>818</v>
      </c>
      <c r="AH269" s="12">
        <f>AH185-AG185</f>
        <v>328</v>
      </c>
      <c r="AI269" s="12">
        <f>AI185-AH185</f>
        <v>566</v>
      </c>
      <c r="AJ269" s="12">
        <f>AJ185-AI185</f>
        <v>1032.0470997453</v>
      </c>
      <c r="AK269" s="12">
        <f>AK185-AJ185</f>
        <v>1171.68019047586</v>
      </c>
      <c r="AL269" s="12">
        <f>SUM(AH269:AK269)</f>
        <v>3097.72729022117</v>
      </c>
      <c r="AM269" s="12">
        <f>AM185-AL185</f>
        <v>1330.20524847398</v>
      </c>
      <c r="AN269" s="12">
        <f>AN185-AM185</f>
        <v>1510.17830415746</v>
      </c>
      <c r="AO269" s="12">
        <f>AO185-AN185</f>
        <v>1714.50121172222</v>
      </c>
      <c r="AP269" s="12">
        <f>AP185-AO185</f>
        <v>1946.46843813382</v>
      </c>
      <c r="AQ269" s="12">
        <f>SUM(AM269:AP269)</f>
        <v>6501.35320248747</v>
      </c>
      <c r="AR269" s="12">
        <f>AR185-AQ185</f>
        <v>2128.15478007534</v>
      </c>
      <c r="AS269" s="12">
        <f>AS185-AR185</f>
        <v>2405.44740530787</v>
      </c>
      <c r="AT269" s="12">
        <f>AT185-AS185</f>
        <v>2718.87048530255</v>
      </c>
      <c r="AU269" s="12">
        <f>AU185-AT185</f>
        <v>3073.13171742502</v>
      </c>
      <c r="AV269" s="12">
        <f>SUM(AR269:AU269)</f>
        <v>10325.6043881108</v>
      </c>
      <c r="AW269" s="12">
        <f>AW185-AV185</f>
        <v>3340.25877445789</v>
      </c>
      <c r="AX269" s="12">
        <f>AX185-AW185</f>
        <v>3758.7838716344</v>
      </c>
      <c r="AY269" s="12">
        <f>AY185-AX185</f>
        <v>4229.74899480711</v>
      </c>
      <c r="AZ269" s="12">
        <f>AZ185-AY185</f>
        <v>4759.72473280101</v>
      </c>
      <c r="BA269" s="12">
        <f>SUM(AW269:AZ269)</f>
        <v>16088.5163737004</v>
      </c>
      <c r="BB269" s="12">
        <f>BB185-BA185</f>
        <v>5142.36894460067</v>
      </c>
      <c r="BC269" s="12">
        <f>BC185-BB185</f>
        <v>5760.98156920138</v>
      </c>
      <c r="BD269" s="12">
        <f>BD185-BC185</f>
        <v>6454.01156514166</v>
      </c>
      <c r="BE269" s="12">
        <f>BE185-BD185</f>
        <v>7230.41113439226</v>
      </c>
      <c r="BF269" s="12">
        <f>SUM(BB269:BE269)</f>
        <v>24587.773213336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Taxes payable</t>
        </is>
      </c>
      <c r="D270" s="12" t="n"/>
      <c r="E270" s="12" t="n"/>
      <c r="F270" s="12" t="n"/>
      <c r="G270" s="12" t="n"/>
      <c r="H270" s="12" t="n"/>
      <c r="I270" s="12" t="n"/>
      <c r="J270" s="12">
        <f>J187-I187</f>
        <v>0</v>
      </c>
      <c r="K270" s="12">
        <f>K187-J187</f>
        <v>0</v>
      </c>
      <c r="L270" s="12">
        <f>L187-K187</f>
        <v>0</v>
      </c>
      <c r="M270" s="12" t="n"/>
      <c r="N270" s="12">
        <f>N187-M187</f>
        <v>0</v>
      </c>
      <c r="O270" s="12">
        <f>O187-N187</f>
        <v>0</v>
      </c>
      <c r="P270" s="12">
        <f>P187-O187</f>
        <v>0</v>
      </c>
      <c r="Q270" s="12">
        <f>Q187-P187</f>
        <v>0</v>
      </c>
      <c r="R270" s="12">
        <f>SUM(N270:Q270)</f>
        <v>0</v>
      </c>
      <c r="S270" s="12">
        <f>S187-R187</f>
        <v>0</v>
      </c>
      <c r="T270" s="12">
        <f>T187-S187</f>
        <v>0</v>
      </c>
      <c r="U270" s="12">
        <f>U187-T187</f>
        <v>0</v>
      </c>
      <c r="V270" s="12">
        <f>V187-U187</f>
        <v>0</v>
      </c>
      <c r="W270" s="12">
        <f>SUM(S270:V270)</f>
        <v>0</v>
      </c>
      <c r="X270" s="12">
        <f>X187-W187</f>
        <v>0</v>
      </c>
      <c r="Y270" s="12">
        <f>Y187-X187</f>
        <v>0</v>
      </c>
      <c r="Z270" s="12">
        <f>Z187-Y187</f>
        <v>0</v>
      </c>
      <c r="AA270" s="12">
        <f>AA187-Z187</f>
        <v>0</v>
      </c>
      <c r="AB270" s="12">
        <f>SUM(X270:AA270)</f>
        <v>0</v>
      </c>
      <c r="AC270" s="12">
        <f>AC187-AB187</f>
        <v>0</v>
      </c>
      <c r="AD270" s="12">
        <f>AD187-AC187</f>
        <v>0</v>
      </c>
      <c r="AE270" s="12">
        <f>AE187-AD187</f>
        <v>0</v>
      </c>
      <c r="AF270" s="12">
        <f>AF187-AE187</f>
        <v>0</v>
      </c>
      <c r="AG270" s="12">
        <f>SUM(AC270:AF270)</f>
        <v>0</v>
      </c>
      <c r="AH270" s="12">
        <f>AH187-AG187</f>
        <v>0</v>
      </c>
      <c r="AI270" s="12">
        <f>AI187-AH187</f>
        <v>0</v>
      </c>
      <c r="AJ270" s="12">
        <f>AJ187-AI187</f>
        <v>0</v>
      </c>
      <c r="AK270" s="12">
        <f>AK187-AJ187</f>
        <v>0</v>
      </c>
      <c r="AL270" s="12">
        <f>SUM(AH270:AK270)</f>
        <v>0</v>
      </c>
      <c r="AM270" s="12">
        <f>AM187-AL187</f>
        <v>0</v>
      </c>
      <c r="AN270" s="12">
        <f>AN187-AM187</f>
        <v>0</v>
      </c>
      <c r="AO270" s="12">
        <f>AO187-AN187</f>
        <v>0</v>
      </c>
      <c r="AP270" s="12">
        <f>AP187-AO187</f>
        <v>0</v>
      </c>
      <c r="AQ270" s="12">
        <f>SUM(AM270:AP270)</f>
        <v>0</v>
      </c>
      <c r="AR270" s="12">
        <f>AR187-AQ187</f>
        <v>0</v>
      </c>
      <c r="AS270" s="12">
        <f>AS187-AR187</f>
        <v>0</v>
      </c>
      <c r="AT270" s="12">
        <f>AT187-AS187</f>
        <v>0</v>
      </c>
      <c r="AU270" s="12">
        <f>AU187-AT187</f>
        <v>0</v>
      </c>
      <c r="AV270" s="12">
        <f>SUM(AR270:AU270)</f>
        <v>0</v>
      </c>
      <c r="AW270" s="12">
        <f>AW187-AV187</f>
        <v>0</v>
      </c>
      <c r="AX270" s="12">
        <f>AX187-AW187</f>
        <v>0</v>
      </c>
      <c r="AY270" s="12">
        <f>AY187-AX187</f>
        <v>0</v>
      </c>
      <c r="AZ270" s="12">
        <f>AZ187-AY187</f>
        <v>0</v>
      </c>
      <c r="BA270" s="12">
        <f>SUM(AW270:AZ270)</f>
        <v>0</v>
      </c>
      <c r="BB270" s="12">
        <f>BB187-BA187</f>
        <v>0</v>
      </c>
      <c r="BC270" s="12">
        <f>BC187-BB187</f>
        <v>0</v>
      </c>
      <c r="BD270" s="12">
        <f>BD187-BC187</f>
        <v>0</v>
      </c>
      <c r="BE270" s="12">
        <f>BE187-BD187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Other current liabilities (non-debt)</t>
        </is>
      </c>
      <c r="D271" s="12" t="n"/>
      <c r="E271" s="12" t="n"/>
      <c r="F271" s="12" t="n"/>
      <c r="G271" s="12" t="n"/>
      <c r="H271" s="12" t="n"/>
      <c r="I271" s="12" t="n"/>
      <c r="J271" s="12">
        <f>J188-I188</f>
        <v>908</v>
      </c>
      <c r="K271" s="12">
        <f>K188-J188</f>
        <v>318</v>
      </c>
      <c r="L271" s="12">
        <f>L188-K188</f>
        <v>450</v>
      </c>
      <c r="M271" s="12" t="n"/>
      <c r="N271" s="12">
        <f>N188-M188</f>
        <v>-456</v>
      </c>
      <c r="O271" s="12">
        <f>O188-N188</f>
        <v>1500</v>
      </c>
      <c r="P271" s="12">
        <f>P188-O188</f>
        <v>755</v>
      </c>
      <c r="Q271" s="12">
        <f>Q188-P188</f>
        <v>1241</v>
      </c>
      <c r="R271" s="12">
        <f>SUM(N271:Q271)</f>
        <v>3040</v>
      </c>
      <c r="S271" s="12">
        <f>S188-R188</f>
        <v>-226</v>
      </c>
      <c r="T271" s="12">
        <f>T188-S188</f>
        <v>1466</v>
      </c>
      <c r="U271" s="12">
        <f>U188-T188</f>
        <v>543</v>
      </c>
      <c r="V271" s="12">
        <f>V188-U188</f>
        <v>191</v>
      </c>
      <c r="W271" s="12">
        <f>SUM(S271:V271)</f>
        <v>1974</v>
      </c>
      <c r="X271" s="12">
        <f>X188-W188</f>
        <v>1261</v>
      </c>
      <c r="Y271" s="12">
        <f>Y188-X188</f>
        <v>-1356</v>
      </c>
      <c r="Z271" s="12">
        <f>Z188-Y188</f>
        <v>3293</v>
      </c>
      <c r="AA271" s="12">
        <f>AA188-Z188</f>
        <v>-750</v>
      </c>
      <c r="AB271" s="12">
        <f>SUM(X271:AA271)</f>
        <v>2448</v>
      </c>
      <c r="AC271" s="12">
        <f>AC188-AB188</f>
        <v>1439</v>
      </c>
      <c r="AD271" s="12">
        <f>AD188-AC188</f>
        <v>1756</v>
      </c>
      <c r="AE271" s="12">
        <f>AE188-AD188</f>
        <v>-441</v>
      </c>
      <c r="AF271" s="12">
        <f>AF188-AE188</f>
        <v>1140</v>
      </c>
      <c r="AG271" s="12">
        <f>SUM(AC271:AF271)</f>
        <v>3894</v>
      </c>
      <c r="AH271" s="12">
        <f>AH188-AG188</f>
        <v>-2837</v>
      </c>
      <c r="AI271" s="12">
        <f>AI188-AH188</f>
        <v>392</v>
      </c>
      <c r="AJ271" s="12">
        <f>AJ188-AI188</f>
        <v>0</v>
      </c>
      <c r="AK271" s="12">
        <f>AK188-AJ188</f>
        <v>0</v>
      </c>
      <c r="AL271" s="12">
        <f>SUM(AH271:AK271)</f>
        <v>-2445</v>
      </c>
      <c r="AM271" s="12">
        <f>AM188-AL188</f>
        <v>0</v>
      </c>
      <c r="AN271" s="12">
        <f>AN188-AM188</f>
        <v>0</v>
      </c>
      <c r="AO271" s="12">
        <f>AO188-AN188</f>
        <v>0</v>
      </c>
      <c r="AP271" s="12">
        <f>AP188-AO188</f>
        <v>0</v>
      </c>
      <c r="AQ271" s="12">
        <f>SUM(AM271:AP271)</f>
        <v>0</v>
      </c>
      <c r="AR271" s="12">
        <f>AR188-AQ188</f>
        <v>0</v>
      </c>
      <c r="AS271" s="12">
        <f>AS188-AR188</f>
        <v>0</v>
      </c>
      <c r="AT271" s="12">
        <f>AT188-AS188</f>
        <v>0</v>
      </c>
      <c r="AU271" s="12">
        <f>AU188-AT188</f>
        <v>0</v>
      </c>
      <c r="AV271" s="12">
        <f>SUM(AR271:AU271)</f>
        <v>0</v>
      </c>
      <c r="AW271" s="12">
        <f>AW188-AV188</f>
        <v>0</v>
      </c>
      <c r="AX271" s="12">
        <f>AX188-AW188</f>
        <v>0</v>
      </c>
      <c r="AY271" s="12">
        <f>AY188-AX188</f>
        <v>0</v>
      </c>
      <c r="AZ271" s="12">
        <f>AZ188-AY188</f>
        <v>0</v>
      </c>
      <c r="BA271" s="12">
        <f>SUM(AW271:AZ271)</f>
        <v>0</v>
      </c>
      <c r="BB271" s="12">
        <f>BB188-BA188</f>
        <v>0</v>
      </c>
      <c r="BC271" s="12">
        <f>BC188-BB188</f>
        <v>0</v>
      </c>
      <c r="BD271" s="12">
        <f>BD188-BC188</f>
        <v>0</v>
      </c>
      <c r="BE271" s="12">
        <f>BE188-BD188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Deferred income taxes</t>
        </is>
      </c>
      <c r="D272" s="12" t="n"/>
      <c r="E272" s="12" t="n"/>
      <c r="F272" s="12" t="n"/>
      <c r="G272" s="12" t="n"/>
      <c r="H272" s="12" t="n"/>
      <c r="I272" s="12" t="n"/>
      <c r="J272" s="12">
        <f>J222-I222</f>
        <v>1028</v>
      </c>
      <c r="K272" s="12">
        <f>K222-J222</f>
        <v>-112</v>
      </c>
      <c r="L272" s="12">
        <f>L222-K222</f>
        <v>-50</v>
      </c>
      <c r="M272" s="12" t="n"/>
      <c r="N272" s="12">
        <f>N222-M222</f>
        <v>3</v>
      </c>
      <c r="O272" s="12">
        <f>O222-N222</f>
        <v>-396</v>
      </c>
      <c r="P272" s="12">
        <f>P222-O222</f>
        <v>-353</v>
      </c>
      <c r="Q272" s="12">
        <f>Q222-P222</f>
        <v>111</v>
      </c>
      <c r="R272" s="12">
        <f>SUM(N272:Q272)</f>
        <v>-635</v>
      </c>
      <c r="S272" s="12">
        <f>S222-R222</f>
        <v>19</v>
      </c>
      <c r="T272" s="12">
        <f>T222-S222</f>
        <v>-82</v>
      </c>
      <c r="U272" s="12">
        <f>U222-T222</f>
        <v>-266</v>
      </c>
      <c r="V272" s="12">
        <f>V222-U222</f>
        <v>161</v>
      </c>
      <c r="W272" s="12">
        <f>SUM(S272:V272)</f>
        <v>-168</v>
      </c>
      <c r="X272" s="12">
        <f>X222-W222</f>
        <v>-130</v>
      </c>
      <c r="Y272" s="12">
        <f>Y222-X222</f>
        <v>-26</v>
      </c>
      <c r="Z272" s="12">
        <f>Z222-Y222</f>
        <v>182</v>
      </c>
      <c r="AA272" s="12">
        <f>AA222-Z222</f>
        <v>-109</v>
      </c>
      <c r="AB272" s="12">
        <f>SUM(X272:AA272)</f>
        <v>-83</v>
      </c>
      <c r="AC272" s="12">
        <f>AC222-AB222</f>
        <v>-32</v>
      </c>
      <c r="AD272" s="12">
        <f>AD222-AC222</f>
        <v>595</v>
      </c>
      <c r="AE272" s="12">
        <f>AE222-AD222</f>
        <v>-206</v>
      </c>
      <c r="AF272" s="12">
        <f>AF222-AE222</f>
        <v>-308</v>
      </c>
      <c r="AG272" s="12">
        <f>SUM(AC272:AF272)</f>
        <v>49</v>
      </c>
      <c r="AH272" s="12">
        <f>AH222-AG222</f>
        <v>652</v>
      </c>
      <c r="AI272" s="12">
        <f>AI222-AH222</f>
        <v>-674</v>
      </c>
      <c r="AJ272" s="12">
        <f>AJ222-AI222</f>
        <v>0</v>
      </c>
      <c r="AK272" s="12">
        <f>AK222-AJ222</f>
        <v>0</v>
      </c>
      <c r="AL272" s="12">
        <f>SUM(AH272:AK272)</f>
        <v>-22</v>
      </c>
      <c r="AM272" s="12">
        <f>AM222-AL222</f>
        <v>0</v>
      </c>
      <c r="AN272" s="12">
        <f>AN222-AM222</f>
        <v>0</v>
      </c>
      <c r="AO272" s="12">
        <f>AO222-AN222</f>
        <v>0</v>
      </c>
      <c r="AP272" s="12">
        <f>AP222-AO222</f>
        <v>0</v>
      </c>
      <c r="AQ272" s="12">
        <f>SUM(AM272:AP272)</f>
        <v>0</v>
      </c>
      <c r="AR272" s="12">
        <f>AR222-AQ222</f>
        <v>0</v>
      </c>
      <c r="AS272" s="12">
        <f>AS222-AR222</f>
        <v>0</v>
      </c>
      <c r="AT272" s="12">
        <f>AT222-AS222</f>
        <v>0</v>
      </c>
      <c r="AU272" s="12">
        <f>AU222-AT222</f>
        <v>0</v>
      </c>
      <c r="AV272" s="12">
        <f>SUM(AR272:AU272)</f>
        <v>0</v>
      </c>
      <c r="AW272" s="12">
        <f>AW222-AV222</f>
        <v>0</v>
      </c>
      <c r="AX272" s="12">
        <f>AX222-AW222</f>
        <v>0</v>
      </c>
      <c r="AY272" s="12">
        <f>AY222-AX222</f>
        <v>0</v>
      </c>
      <c r="AZ272" s="12">
        <f>AZ222-AY222</f>
        <v>0</v>
      </c>
      <c r="BA272" s="12">
        <f>SUM(AW272:AZ272)</f>
        <v>0</v>
      </c>
      <c r="BB272" s="12">
        <f>BB222-BA222</f>
        <v>0</v>
      </c>
      <c r="BC272" s="12">
        <f>BC222-BB222</f>
        <v>0</v>
      </c>
      <c r="BD272" s="12">
        <f>BD222-BC222</f>
        <v>0</v>
      </c>
      <c r="BE272" s="12">
        <f>BE222-BD222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ollapsed="1">
      <c r="C273" s="10" t="inlineStr">
        <is>
          <t>Equity income in affiliates</t>
        </is>
      </c>
      <c r="D273" s="12" t="n"/>
      <c r="E273" s="12" t="n"/>
      <c r="F273" s="12" t="n"/>
      <c r="G273" s="12" t="n"/>
      <c r="H273" s="12" t="n"/>
      <c r="I273" s="12" t="n"/>
      <c r="J273" s="12">
        <f>(J144-I144)*-1</f>
        <v>0</v>
      </c>
      <c r="K273" s="12">
        <f>(K144-J144)*-1</f>
        <v>0</v>
      </c>
      <c r="L273" s="12">
        <f>(L144-K144)*-1</f>
        <v>0</v>
      </c>
      <c r="M273" s="12" t="n"/>
      <c r="N273" s="12">
        <f>(N144-M144)*-1</f>
        <v>0</v>
      </c>
      <c r="O273" s="12">
        <f>(O144-N144)*-1</f>
        <v>0</v>
      </c>
      <c r="P273" s="12">
        <f>(P144-O144)*-1</f>
        <v>0</v>
      </c>
      <c r="Q273" s="12">
        <f>(Q144-P144)*-1</f>
        <v>0</v>
      </c>
      <c r="R273" s="12">
        <f>SUM(N273:Q273)</f>
        <v>0</v>
      </c>
      <c r="S273" s="12">
        <f>(S144-R144)*-1</f>
        <v>0</v>
      </c>
      <c r="T273" s="12">
        <f>(T144-S144)*-1</f>
        <v>0</v>
      </c>
      <c r="U273" s="12">
        <f>(U144-T144)*-1</f>
        <v>0</v>
      </c>
      <c r="V273" s="12">
        <f>(V144-U144)*-1</f>
        <v>0</v>
      </c>
      <c r="W273" s="12">
        <f>SUM(S273:V273)</f>
        <v>0</v>
      </c>
      <c r="X273" s="12">
        <f>(X144-W144)*-1</f>
        <v>0</v>
      </c>
      <c r="Y273" s="12">
        <f>(Y144-X144)*-1</f>
        <v>0</v>
      </c>
      <c r="Z273" s="12">
        <f>(Z144-Y144)*-1</f>
        <v>0</v>
      </c>
      <c r="AA273" s="12">
        <f>(AA144-Z144)*-1</f>
        <v>0</v>
      </c>
      <c r="AB273" s="12">
        <f>SUM(X273:AA273)</f>
        <v>0</v>
      </c>
      <c r="AC273" s="12">
        <f>(AC144-AB144)*-1</f>
        <v>0</v>
      </c>
      <c r="AD273" s="12">
        <f>(AD144-AC144)*-1</f>
        <v>0</v>
      </c>
      <c r="AE273" s="12">
        <f>(AE144-AD144)*-1</f>
        <v>0</v>
      </c>
      <c r="AF273" s="12">
        <f>(AF144-AE144)*-1</f>
        <v>0</v>
      </c>
      <c r="AG273" s="12">
        <f>SUM(AC273:AF273)</f>
        <v>0</v>
      </c>
      <c r="AH273" s="12">
        <f>(AH144-AG144)*-1</f>
        <v>0</v>
      </c>
      <c r="AI273" s="12">
        <f>(AI144-AH144)*-1</f>
        <v>0</v>
      </c>
      <c r="AJ273" s="12">
        <f>(AJ144-AI144)*-1</f>
        <v>0</v>
      </c>
      <c r="AK273" s="12">
        <f>(AK144-AJ144)*-1</f>
        <v>0</v>
      </c>
      <c r="AL273" s="12">
        <f>SUM(AH273:AK273)</f>
        <v>0</v>
      </c>
      <c r="AM273" s="12">
        <f>(AM144-AL144)*-1</f>
        <v>0</v>
      </c>
      <c r="AN273" s="12">
        <f>(AN144-AM144)*-1</f>
        <v>0</v>
      </c>
      <c r="AO273" s="12">
        <f>(AO144-AN144)*-1</f>
        <v>0</v>
      </c>
      <c r="AP273" s="12">
        <f>(AP144-AO144)*-1</f>
        <v>0</v>
      </c>
      <c r="AQ273" s="12">
        <f>SUM(AM273:AP273)</f>
        <v>0</v>
      </c>
      <c r="AR273" s="12">
        <f>(AR144-AQ144)*-1</f>
        <v>0</v>
      </c>
      <c r="AS273" s="12">
        <f>(AS144-AR144)*-1</f>
        <v>0</v>
      </c>
      <c r="AT273" s="12">
        <f>(AT144-AS144)*-1</f>
        <v>0</v>
      </c>
      <c r="AU273" s="12">
        <f>(AU144-AT144)*-1</f>
        <v>0</v>
      </c>
      <c r="AV273" s="12">
        <f>SUM(AR273:AU273)</f>
        <v>0</v>
      </c>
      <c r="AW273" s="12">
        <f>(AW144-AV144)*-1</f>
        <v>0</v>
      </c>
      <c r="AX273" s="12">
        <f>(AX144-AW144)*-1</f>
        <v>0</v>
      </c>
      <c r="AY273" s="12">
        <f>(AY144-AX144)*-1</f>
        <v>0</v>
      </c>
      <c r="AZ273" s="12">
        <f>(AZ144-AY144)*-1</f>
        <v>0</v>
      </c>
      <c r="BA273" s="12">
        <f>SUM(AW273:AZ273)</f>
        <v>0</v>
      </c>
      <c r="BB273" s="12">
        <f>(BB144-BA144)*-1</f>
        <v>0</v>
      </c>
      <c r="BC273" s="12">
        <f>(BC144-BB144)*-1</f>
        <v>0</v>
      </c>
      <c r="BD273" s="12">
        <f>(BD144-BC144)*-1</f>
        <v>0</v>
      </c>
      <c r="BE273" s="12">
        <f>(BE144-BD144)*-1</f>
        <v>0</v>
      </c>
      <c r="BF273" s="12">
        <f>SUM(BB273:BE273)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>
      <c r="C274" s="10" t="inlineStr">
        <is>
          <t>Dividends received from affiliates</t>
        </is>
      </c>
      <c r="D274" s="12" t="n"/>
      <c r="E274" s="12" t="n"/>
      <c r="F274" s="12" t="n"/>
      <c r="G274" s="12" t="n"/>
      <c r="H274" s="12" t="n"/>
      <c r="I274" s="12" t="n"/>
      <c r="J274" s="12">
        <f>-J147</f>
        <v>0</v>
      </c>
      <c r="K274" s="12">
        <f>-K147</f>
        <v>0</v>
      </c>
      <c r="L274" s="12">
        <f>-L147</f>
        <v>0</v>
      </c>
      <c r="M274" s="12" t="n"/>
      <c r="N274" s="12">
        <f>-N147</f>
        <v>0</v>
      </c>
      <c r="O274" s="12">
        <f>-O147</f>
        <v>0</v>
      </c>
      <c r="P274" s="12">
        <f>-P147</f>
        <v>0</v>
      </c>
      <c r="Q274" s="12">
        <f>-Q147</f>
        <v>0</v>
      </c>
      <c r="R274" s="12">
        <f>SUM(N274:Q274)</f>
        <v>0</v>
      </c>
      <c r="S274" s="12">
        <f>-S147</f>
        <v>0</v>
      </c>
      <c r="T274" s="12">
        <f>-T147</f>
        <v>0</v>
      </c>
      <c r="U274" s="12">
        <f>-U147</f>
        <v>0</v>
      </c>
      <c r="V274" s="12">
        <f>-V147</f>
        <v>0</v>
      </c>
      <c r="W274" s="12">
        <f>SUM(S274:V274)</f>
        <v>0</v>
      </c>
      <c r="X274" s="12">
        <f>-X147</f>
        <v>0</v>
      </c>
      <c r="Y274" s="12">
        <f>-Y147</f>
        <v>0</v>
      </c>
      <c r="Z274" s="12">
        <f>-Z147</f>
        <v>0</v>
      </c>
      <c r="AA274" s="12">
        <f>-AA147</f>
        <v>0</v>
      </c>
      <c r="AB274" s="12">
        <f>SUM(X274:AA274)</f>
        <v>0</v>
      </c>
      <c r="AC274" s="12">
        <f>-AC147</f>
        <v>0</v>
      </c>
      <c r="AD274" s="12">
        <f>-AD147</f>
        <v>0</v>
      </c>
      <c r="AE274" s="12">
        <f>-AE147</f>
        <v>0</v>
      </c>
      <c r="AF274" s="12">
        <f>-AF147</f>
        <v>0</v>
      </c>
      <c r="AG274" s="12">
        <f>SUM(AC274:AF274)</f>
        <v>0</v>
      </c>
      <c r="AH274" s="12">
        <f>-AH147</f>
        <v>0</v>
      </c>
      <c r="AI274" s="12">
        <f>-AI147</f>
        <v>0</v>
      </c>
      <c r="AJ274" s="12">
        <f>-AJ147</f>
        <v>0</v>
      </c>
      <c r="AK274" s="12">
        <f>-AK147</f>
        <v>0</v>
      </c>
      <c r="AL274" s="12">
        <f>SUM(AH274:AK274)</f>
        <v>0</v>
      </c>
      <c r="AM274" s="12">
        <f>-AM147</f>
        <v>0</v>
      </c>
      <c r="AN274" s="12">
        <f>-AN147</f>
        <v>0</v>
      </c>
      <c r="AO274" s="12">
        <f>-AO147</f>
        <v>0</v>
      </c>
      <c r="AP274" s="12">
        <f>-AP147</f>
        <v>0</v>
      </c>
      <c r="AQ274" s="12">
        <f>SUM(AM274:AP274)</f>
        <v>0</v>
      </c>
      <c r="AR274" s="12">
        <f>-AR147</f>
        <v>0</v>
      </c>
      <c r="AS274" s="12">
        <f>-AS147</f>
        <v>0</v>
      </c>
      <c r="AT274" s="12">
        <f>-AT147</f>
        <v>0</v>
      </c>
      <c r="AU274" s="12">
        <f>-AU147</f>
        <v>0</v>
      </c>
      <c r="AV274" s="12">
        <f>SUM(AR274:AU274)</f>
        <v>0</v>
      </c>
      <c r="AW274" s="12">
        <f>-AW147</f>
        <v>0</v>
      </c>
      <c r="AX274" s="12">
        <f>-AX147</f>
        <v>0</v>
      </c>
      <c r="AY274" s="12">
        <f>-AY147</f>
        <v>0</v>
      </c>
      <c r="AZ274" s="12">
        <f>-AZ147</f>
        <v>0</v>
      </c>
      <c r="BA274" s="12">
        <f>SUM(AW274:AZ274)</f>
        <v>0</v>
      </c>
      <c r="BB274" s="12">
        <f>-BB147</f>
        <v>0</v>
      </c>
      <c r="BC274" s="12">
        <f>-BC147</f>
        <v>0</v>
      </c>
      <c r="BD274" s="12">
        <f>-BD147</f>
        <v>0</v>
      </c>
      <c r="BE274" s="12">
        <f>-BE147</f>
        <v>0</v>
      </c>
      <c r="BF274" s="12">
        <f>SUM(BB274:BE274)</f>
        <v>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>
      <c r="C275" s="71" t="inlineStr">
        <is>
          <t>Minority interest expense</t>
        </is>
      </c>
      <c r="D275" s="12" t="n"/>
      <c r="E275" s="12" t="n"/>
      <c r="F275" s="12" t="n"/>
      <c r="G275" s="12" t="n"/>
      <c r="H275" s="12" t="n"/>
      <c r="I275" s="12" t="n"/>
      <c r="J275" s="12">
        <f>-J119</f>
        <v>0</v>
      </c>
      <c r="K275" s="12">
        <f>-K119</f>
        <v>0</v>
      </c>
      <c r="L275" s="12">
        <f>-L119</f>
        <v>0</v>
      </c>
      <c r="M275" s="12" t="n"/>
      <c r="N275" s="12">
        <f>-N119</f>
        <v>0</v>
      </c>
      <c r="O275" s="12">
        <f>-O119</f>
        <v>0</v>
      </c>
      <c r="P275" s="12">
        <f>-P119</f>
        <v>0</v>
      </c>
      <c r="Q275" s="12">
        <f>-Q119</f>
        <v>0</v>
      </c>
      <c r="R275" s="12">
        <f>SUM(N275:Q275)</f>
        <v>0</v>
      </c>
      <c r="S275" s="12">
        <f>-S119</f>
        <v>0</v>
      </c>
      <c r="T275" s="12">
        <f>-T119</f>
        <v>0</v>
      </c>
      <c r="U275" s="12">
        <f>-U119</f>
        <v>0</v>
      </c>
      <c r="V275" s="12">
        <f>-V119</f>
        <v>0</v>
      </c>
      <c r="W275" s="12">
        <f>SUM(S275:V275)</f>
        <v>0</v>
      </c>
      <c r="X275" s="12">
        <f>-X119</f>
        <v>0</v>
      </c>
      <c r="Y275" s="12">
        <f>-Y119</f>
        <v>0</v>
      </c>
      <c r="Z275" s="12">
        <f>-Z119</f>
        <v>0</v>
      </c>
      <c r="AA275" s="12">
        <f>-AA119</f>
        <v>0</v>
      </c>
      <c r="AB275" s="12">
        <f>SUM(X275:AA275)</f>
        <v>0</v>
      </c>
      <c r="AC275" s="12">
        <f>-AC119</f>
        <v>0</v>
      </c>
      <c r="AD275" s="12">
        <f>-AD119</f>
        <v>0</v>
      </c>
      <c r="AE275" s="12">
        <f>-AE119</f>
        <v>0</v>
      </c>
      <c r="AF275" s="12">
        <f>-AF119</f>
        <v>0</v>
      </c>
      <c r="AG275" s="12">
        <f>SUM(AC275:AF275)</f>
        <v>0</v>
      </c>
      <c r="AH275" s="12">
        <f>-AH119</f>
        <v>0</v>
      </c>
      <c r="AI275" s="12">
        <f>-AI119</f>
        <v>0</v>
      </c>
      <c r="AJ275" s="12">
        <f>-AJ119</f>
        <v>0</v>
      </c>
      <c r="AK275" s="12">
        <f>-AK119</f>
        <v>0</v>
      </c>
      <c r="AL275" s="12">
        <f>SUM(AH275:AK275)</f>
        <v>0</v>
      </c>
      <c r="AM275" s="12">
        <f>-AM119</f>
        <v>0</v>
      </c>
      <c r="AN275" s="12">
        <f>-AN119</f>
        <v>0</v>
      </c>
      <c r="AO275" s="12">
        <f>-AO119</f>
        <v>0</v>
      </c>
      <c r="AP275" s="12">
        <f>-AP119</f>
        <v>0</v>
      </c>
      <c r="AQ275" s="12">
        <f>SUM(AM275:AP275)</f>
        <v>0</v>
      </c>
      <c r="AR275" s="12">
        <f>-AR119</f>
        <v>0</v>
      </c>
      <c r="AS275" s="12">
        <f>-AS119</f>
        <v>0</v>
      </c>
      <c r="AT275" s="12">
        <f>-AT119</f>
        <v>0</v>
      </c>
      <c r="AU275" s="12">
        <f>-AU119</f>
        <v>0</v>
      </c>
      <c r="AV275" s="12">
        <f>SUM(AR275:AU275)</f>
        <v>0</v>
      </c>
      <c r="AW275" s="12">
        <f>-AW119</f>
        <v>0</v>
      </c>
      <c r="AX275" s="12">
        <f>-AX119</f>
        <v>0</v>
      </c>
      <c r="AY275" s="12">
        <f>-AY119</f>
        <v>0</v>
      </c>
      <c r="AZ275" s="12">
        <f>-AZ119</f>
        <v>0</v>
      </c>
      <c r="BA275" s="12">
        <f>SUM(AW275:AZ275)</f>
        <v>0</v>
      </c>
      <c r="BB275" s="12">
        <f>-BB119</f>
        <v>0</v>
      </c>
      <c r="BC275" s="12">
        <f>-BC119</f>
        <v>0</v>
      </c>
      <c r="BD275" s="12">
        <f>-BD119</f>
        <v>0</v>
      </c>
      <c r="BE275" s="12">
        <f>-BE119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4" t="inlineStr">
        <is>
          <t>Cash from operations</t>
        </is>
      </c>
      <c r="D276" s="12" t="n"/>
      <c r="E276" s="12" t="n"/>
      <c r="F276" s="12" t="n"/>
      <c r="G276" s="12" t="n"/>
      <c r="H276" s="12" t="n"/>
      <c r="I276" s="12" t="n"/>
      <c r="J276" s="12">
        <f>SUM(J260,J261,J262,J273,J274,J275)</f>
        <v>5518</v>
      </c>
      <c r="K276" s="12">
        <f>SUM(K260,K261,K262,K273,K274,K275)</f>
        <v>3279</v>
      </c>
      <c r="L276" s="12">
        <f>SUM(L260,L261,L262,L273,L274,L275)</f>
        <v>4622</v>
      </c>
      <c r="M276" s="12" t="n"/>
      <c r="N276" s="12">
        <f>SUM(N260,N261,N262,N273,N274,N275)</f>
        <v>3084</v>
      </c>
      <c r="O276" s="12">
        <f>SUM(O260,O261,O262,O273,O274,O275)</f>
        <v>2019</v>
      </c>
      <c r="P276" s="12">
        <f>SUM(P260,P261,P262,P273,P274,P275)</f>
        <v>5764</v>
      </c>
      <c r="Q276" s="12">
        <f>SUM(Q260,Q261,Q262,Q273,Q274,Q275)</f>
        <v>5258</v>
      </c>
      <c r="R276" s="12">
        <f>SUM(R260,R261,R262,R273,R274,R275)</f>
        <v>16125</v>
      </c>
      <c r="S276" s="12">
        <f>SUM(S260,S261,S262,S273,S274,S275)</f>
        <v>3964</v>
      </c>
      <c r="T276" s="12">
        <f>SUM(T260,T261,T262,T273,T274,T275)</f>
        <v>5177</v>
      </c>
      <c r="U276" s="12">
        <f>SUM(U260,U261,U262,U273,U274,U275)</f>
        <v>5364</v>
      </c>
      <c r="V276" s="12">
        <f>SUM(V260,V261,V262,V273,V274,V275)</f>
        <v>2939</v>
      </c>
      <c r="W276" s="12">
        <f>SUM(W260,W261,W262,W273,W274,W275)</f>
        <v>17444</v>
      </c>
      <c r="X276" s="12">
        <f>SUM(X260,X261,X262,X273,X274,X275)</f>
        <v>4950</v>
      </c>
      <c r="Y276" s="12">
        <f>SUM(Y260,Y261,Y262,Y273,Y274,Y275)</f>
        <v>5969</v>
      </c>
      <c r="Z276" s="12">
        <f>SUM(Z260,Z261,Z262,Z273,Z274,Z275)</f>
        <v>5713</v>
      </c>
      <c r="AA276" s="12">
        <f>SUM(AA260,AA261,AA262,AA273,AA274,AA275)</f>
        <v>5740</v>
      </c>
      <c r="AB276" s="12">
        <f>SUM(AB260,AB261,AB262,AB273,AB274,AB275)</f>
        <v>22372</v>
      </c>
      <c r="AC276" s="12">
        <f>SUM(AC260,AC261,AC262,AC273,AC274,AC275)</f>
        <v>5176</v>
      </c>
      <c r="AD276" s="12">
        <f>SUM(AD260,AD261,AD262,AD273,AD274,AD275)</f>
        <v>8524</v>
      </c>
      <c r="AE276" s="12">
        <f>SUM(AE260,AE261,AE262,AE273,AE274,AE275)</f>
        <v>6504</v>
      </c>
      <c r="AF276" s="12">
        <f>SUM(AF260,AF261,AF262,AF273,AF274,AF275)</f>
        <v>6655</v>
      </c>
      <c r="AG276" s="12">
        <f>SUM(AG260,AG261,AG262,AG273,AG274,AG275)</f>
        <v>26859</v>
      </c>
      <c r="AH276" s="12">
        <f>SUM(AH260,AH261,AH262,AH273,AH274,AH275)</f>
        <v>5641</v>
      </c>
      <c r="AI276" s="12">
        <f>SUM(AI260,AI261,AI262,AI273,AI274,AI275)</f>
        <v>6853</v>
      </c>
      <c r="AJ276" s="12">
        <f>SUM(AJ260,AJ261,AJ262,AJ273,AJ274,AJ275)</f>
        <v>7128.50834467816</v>
      </c>
      <c r="AK276" s="12">
        <f>SUM(AK260,AK261,AK262,AK273,AK274,AK275)</f>
        <v>7887.74162075951</v>
      </c>
      <c r="AL276" s="12">
        <f>SUM(AL260,AL261,AL262,AL273,AL274,AL275)</f>
        <v>27510.2499654377</v>
      </c>
      <c r="AM276" s="12">
        <f>SUM(AM260,AM261,AM262,AM273,AM274,AM275)</f>
        <v>8118.09559884322</v>
      </c>
      <c r="AN276" s="12">
        <f>SUM(AN260,AN261,AN262,AN273,AN274,AN275)</f>
        <v>8646.70479750872</v>
      </c>
      <c r="AO276" s="12">
        <f>SUM(AO260,AO261,AO262,AO273,AO274,AO275)</f>
        <v>9143.94615924573</v>
      </c>
      <c r="AP276" s="12">
        <f>SUM(AP260,AP261,AP262,AP273,AP274,AP275)</f>
        <v>9571.19422615679</v>
      </c>
      <c r="AQ276" s="12">
        <f>SUM(AQ260,AQ261,AQ262,AQ273,AQ274,AQ275)</f>
        <v>35479.9407817545</v>
      </c>
      <c r="AR276" s="12">
        <f>SUM(AR260,AR261,AR262,AR273,AR274,AR275)</f>
        <v>9865.58603845304</v>
      </c>
      <c r="AS276" s="12">
        <f>SUM(AS260,AS261,AS262,AS273,AS274,AS275)</f>
        <v>10424.748251867</v>
      </c>
      <c r="AT276" s="12">
        <f>SUM(AT260,AT261,AT262,AT273,AT274,AT275)</f>
        <v>11116.3513636743</v>
      </c>
      <c r="AU276" s="12">
        <f>SUM(AU260,AU261,AU262,AU273,AU274,AU275)</f>
        <v>11691.3379845155</v>
      </c>
      <c r="AV276" s="12">
        <f>SUM(AV260,AV261,AV262,AV273,AV274,AV275)</f>
        <v>43098.0236385099</v>
      </c>
      <c r="AW276" s="12">
        <f>SUM(AW260,AW261,AW262,AW273,AW274,AW275)</f>
        <v>12014.6108896277</v>
      </c>
      <c r="AX276" s="12">
        <f>SUM(AX260,AX261,AX262,AX273,AX274,AX275)</f>
        <v>12835.8767295077</v>
      </c>
      <c r="AY276" s="12">
        <f>SUM(AY260,AY261,AY262,AY273,AY274,AY275)</f>
        <v>13679.4107783032</v>
      </c>
      <c r="AZ276" s="12">
        <f>SUM(AZ260,AZ261,AZ262,AZ273,AZ274,AZ275)</f>
        <v>14457.7681798737</v>
      </c>
      <c r="BA276" s="12">
        <f>SUM(BA260,BA261,BA262,BA273,BA274,BA275)</f>
        <v>52987.6665773122</v>
      </c>
      <c r="BB276" s="12">
        <f>SUM(BB260,BB261,BB262,BB273,BB274,BB275)</f>
        <v>14883.3227891224</v>
      </c>
      <c r="BC276" s="12">
        <f>SUM(BC260,BC261,BC262,BC273,BC274,BC275)</f>
        <v>15930.023351208</v>
      </c>
      <c r="BD276" s="12">
        <f>SUM(BD260,BD261,BD262,BD273,BD274,BD275)</f>
        <v>17040.4412741704</v>
      </c>
      <c r="BE276" s="12">
        <f>SUM(BE260,BE261,BE262,BE273,BE274,BE275)</f>
        <v>18095.1021275506</v>
      </c>
      <c r="BF276" s="12">
        <f>SUM(BF260,BF261,BF262,BF273,BF274,BF275)</f>
        <v>65948.8895420514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14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Purchase of fixed assets (capital expenditures)</t>
        </is>
      </c>
      <c r="D278" s="12" t="n"/>
      <c r="E278" s="12" t="n"/>
      <c r="F278" s="12" t="n"/>
      <c r="G278" s="12" t="n"/>
      <c r="H278" s="12" t="n"/>
      <c r="I278" s="12" t="n"/>
      <c r="J278" s="12">
        <f>-J151</f>
        <v>-227</v>
      </c>
      <c r="K278" s="12">
        <f>-K151</f>
        <v>-210</v>
      </c>
      <c r="L278" s="12">
        <f>-L151</f>
        <v>-391</v>
      </c>
      <c r="M278" s="12" t="n"/>
      <c r="N278" s="12">
        <f>-N151</f>
        <v>-419</v>
      </c>
      <c r="O278" s="12">
        <f>-O151</f>
        <v>-256</v>
      </c>
      <c r="P278" s="12">
        <f>-P151</f>
        <v>-303</v>
      </c>
      <c r="Q278" s="12">
        <f>-Q151</f>
        <v>-240</v>
      </c>
      <c r="R278" s="12">
        <f>SUM(N278:Q278)</f>
        <v>-1218</v>
      </c>
      <c r="S278" s="12">
        <f>-S151</f>
        <v>-357</v>
      </c>
      <c r="T278" s="12">
        <f>-T151</f>
        <v>-246</v>
      </c>
      <c r="U278" s="12">
        <f>-U151</f>
        <v>-302</v>
      </c>
      <c r="V278" s="12">
        <f>-V151</f>
        <v>-294</v>
      </c>
      <c r="W278" s="12">
        <f>SUM(S278:V278)</f>
        <v>-1199</v>
      </c>
      <c r="X278" s="12">
        <f>-X151</f>
        <v>-407</v>
      </c>
      <c r="Y278" s="12">
        <f>-Y151</f>
        <v>-400</v>
      </c>
      <c r="Z278" s="12">
        <f>-Z151</f>
        <v>-332</v>
      </c>
      <c r="AA278" s="12">
        <f>-AA151</f>
        <v>-432</v>
      </c>
      <c r="AB278" s="12">
        <f>SUM(X278:AA278)</f>
        <v>-1571</v>
      </c>
      <c r="AC278" s="12">
        <f>-AC151</f>
        <v>-354</v>
      </c>
      <c r="AD278" s="12">
        <f>-AD151</f>
        <v>-437</v>
      </c>
      <c r="AE278" s="12">
        <f>-AE151</f>
        <v>-409</v>
      </c>
      <c r="AF278" s="12">
        <f>-AF151</f>
        <v>-366</v>
      </c>
      <c r="AG278" s="12">
        <f>SUM(AC278:AF278)</f>
        <v>-1566</v>
      </c>
      <c r="AH278" s="12">
        <f>-AH151</f>
        <v>-835</v>
      </c>
      <c r="AI278" s="12">
        <f>-AI151</f>
        <v>-447</v>
      </c>
      <c r="AJ278" s="12">
        <f>-AJ151</f>
        <v>-539.642556431412</v>
      </c>
      <c r="AK278" s="12">
        <f>-AK151</f>
        <v>-548.549375947298</v>
      </c>
      <c r="AL278" s="12">
        <f>SUM(AH278:AK278)</f>
        <v>-2370.19193237871</v>
      </c>
      <c r="AM278" s="12">
        <f>-AM151</f>
        <v>-565.104989623718</v>
      </c>
      <c r="AN278" s="12">
        <f>-AN151</f>
        <v>-585.384358351978</v>
      </c>
      <c r="AO278" s="12">
        <f>-AO151</f>
        <v>-612.654687430911</v>
      </c>
      <c r="AP278" s="12">
        <f>-AP151</f>
        <v>-622.766574756095</v>
      </c>
      <c r="AQ278" s="12">
        <f>SUM(AM278:AP278)</f>
        <v>-2385.9106101627</v>
      </c>
      <c r="AR278" s="12">
        <f>-AR151</f>
        <v>-638.736591785295</v>
      </c>
      <c r="AS278" s="12">
        <f>-AS151</f>
        <v>-661.658305631197</v>
      </c>
      <c r="AT278" s="12">
        <f>-AT151</f>
        <v>-692.481882440065</v>
      </c>
      <c r="AU278" s="12">
        <f>-AU151</f>
        <v>-703.911320447514</v>
      </c>
      <c r="AV278" s="12">
        <f>SUM(AR278:AU278)</f>
        <v>-2696.78810030407</v>
      </c>
      <c r="AW278" s="12">
        <f>-AW151</f>
        <v>-718.768503142379</v>
      </c>
      <c r="AX278" s="12">
        <f>-AX151</f>
        <v>-744.562243727096</v>
      </c>
      <c r="AY278" s="12">
        <f>-AY151</f>
        <v>-779.247928639057</v>
      </c>
      <c r="AZ278" s="12">
        <f>-AZ151</f>
        <v>-792.109443313535</v>
      </c>
      <c r="BA278" s="12">
        <f>SUM(AW278:AZ278)</f>
        <v>-3034.68811882207</v>
      </c>
      <c r="BB278" s="12">
        <f>-BB151</f>
        <v>-805.234346997494</v>
      </c>
      <c r="BC278" s="12">
        <f>-BC151</f>
        <v>-834.131002548695</v>
      </c>
      <c r="BD278" s="12">
        <f>-BD151</f>
        <v>-872.989278500042</v>
      </c>
      <c r="BE278" s="12">
        <f>-BE151</f>
        <v>-887.397997475658</v>
      </c>
      <c r="BF278" s="12">
        <f>SUM(BB278:BE278)</f>
        <v>-3399.75262552189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>Proceeds from sale of fixed assets</t>
        </is>
      </c>
      <c r="D279" s="12" t="n"/>
      <c r="E279" s="12" t="n"/>
      <c r="F279" s="12" t="n"/>
      <c r="G279" s="12" t="n"/>
      <c r="H279" s="12" t="n"/>
      <c r="I279" s="12" t="n"/>
      <c r="J279" s="12">
        <f>-J152</f>
        <v>0</v>
      </c>
      <c r="K279" s="12">
        <f>-K152</f>
        <v>0</v>
      </c>
      <c r="L279" s="12">
        <f>-L152</f>
        <v>0</v>
      </c>
      <c r="M279" s="12" t="n"/>
      <c r="N279" s="12">
        <f>-N152</f>
        <v>0</v>
      </c>
      <c r="O279" s="12">
        <f>-O152</f>
        <v>0</v>
      </c>
      <c r="P279" s="12">
        <f>-P152</f>
        <v>0</v>
      </c>
      <c r="Q279" s="12">
        <f>-Q152</f>
        <v>0</v>
      </c>
      <c r="R279" s="12">
        <f>SUM(N279:Q279)</f>
        <v>0</v>
      </c>
      <c r="S279" s="12">
        <f>-S152</f>
        <v>0</v>
      </c>
      <c r="T279" s="12">
        <f>-T152</f>
        <v>0</v>
      </c>
      <c r="U279" s="12">
        <f>-U152</f>
        <v>0</v>
      </c>
      <c r="V279" s="12">
        <f>-V152</f>
        <v>0</v>
      </c>
      <c r="W279" s="12">
        <f>SUM(S279:V279)</f>
        <v>0</v>
      </c>
      <c r="X279" s="12">
        <f>-X152</f>
        <v>0</v>
      </c>
      <c r="Y279" s="12">
        <f>-Y152</f>
        <v>0</v>
      </c>
      <c r="Z279" s="12">
        <f>-Z152</f>
        <v>0</v>
      </c>
      <c r="AA279" s="12">
        <f>-AA152</f>
        <v>0</v>
      </c>
      <c r="AB279" s="12">
        <f>SUM(X279:AA279)</f>
        <v>0</v>
      </c>
      <c r="AC279" s="12">
        <f>-AC152</f>
        <v>0</v>
      </c>
      <c r="AD279" s="12">
        <f>-AD152</f>
        <v>0</v>
      </c>
      <c r="AE279" s="12">
        <f>-AE152</f>
        <v>0</v>
      </c>
      <c r="AF279" s="12">
        <f>-AF152</f>
        <v>0</v>
      </c>
      <c r="AG279" s="12">
        <f>SUM(AC279:AF279)</f>
        <v>0</v>
      </c>
      <c r="AH279" s="12">
        <f>-AH152</f>
        <v>0</v>
      </c>
      <c r="AI279" s="12">
        <f>-AI152</f>
        <v>0</v>
      </c>
      <c r="AJ279" s="12">
        <f>-AJ152</f>
        <v>0</v>
      </c>
      <c r="AK279" s="12">
        <f>-AK152</f>
        <v>0</v>
      </c>
      <c r="AL279" s="12">
        <f>SUM(AH279:AK279)</f>
        <v>0</v>
      </c>
      <c r="AM279" s="12">
        <f>-AM152</f>
        <v>0</v>
      </c>
      <c r="AN279" s="12">
        <f>-AN152</f>
        <v>0</v>
      </c>
      <c r="AO279" s="12">
        <f>-AO152</f>
        <v>0</v>
      </c>
      <c r="AP279" s="12">
        <f>-AP152</f>
        <v>0</v>
      </c>
      <c r="AQ279" s="12">
        <f>SUM(AM279:AP279)</f>
        <v>0</v>
      </c>
      <c r="AR279" s="12">
        <f>-AR152</f>
        <v>0</v>
      </c>
      <c r="AS279" s="12">
        <f>-AS152</f>
        <v>0</v>
      </c>
      <c r="AT279" s="12">
        <f>-AT152</f>
        <v>0</v>
      </c>
      <c r="AU279" s="12">
        <f>-AU152</f>
        <v>0</v>
      </c>
      <c r="AV279" s="12">
        <f>SUM(AR279:AU279)</f>
        <v>0</v>
      </c>
      <c r="AW279" s="12">
        <f>-AW152</f>
        <v>0</v>
      </c>
      <c r="AX279" s="12">
        <f>-AX152</f>
        <v>0</v>
      </c>
      <c r="AY279" s="12">
        <f>-AY152</f>
        <v>0</v>
      </c>
      <c r="AZ279" s="12">
        <f>-AZ152</f>
        <v>0</v>
      </c>
      <c r="BA279" s="12">
        <f>SUM(AW279:AZ279)</f>
        <v>0</v>
      </c>
      <c r="BB279" s="12">
        <f>-BB152</f>
        <v>0</v>
      </c>
      <c r="BC279" s="12">
        <f>-BC152</f>
        <v>0</v>
      </c>
      <c r="BD279" s="12">
        <f>-BD152</f>
        <v>0</v>
      </c>
      <c r="BE279" s="12">
        <f>-BE152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0" t="inlineStr">
        <is>
          <t>Var.Right-of-use-assets</t>
        </is>
      </c>
      <c r="D280" s="12" t="n"/>
      <c r="E280" s="12" t="n"/>
      <c r="F280" s="12" t="n"/>
      <c r="G280" s="12" t="n"/>
      <c r="H280" s="12" t="n"/>
      <c r="I280" s="12" t="n"/>
      <c r="J280" s="12">
        <f>(J159-I159)*-1</f>
        <v>0</v>
      </c>
      <c r="K280" s="12">
        <f>(K159-J159)*-1</f>
        <v>0</v>
      </c>
      <c r="L280" s="12">
        <f>(L159-K159)*-1</f>
        <v>0</v>
      </c>
      <c r="M280" s="12" t="n"/>
      <c r="N280" s="12">
        <f>(N159-M159)*-1</f>
        <v>0</v>
      </c>
      <c r="O280" s="12">
        <f>(O159-N159)*-1</f>
        <v>0</v>
      </c>
      <c r="P280" s="12">
        <f>(P159-O159)*-1</f>
        <v>0</v>
      </c>
      <c r="Q280" s="12">
        <f>(Q159-P159)*-1</f>
        <v>0</v>
      </c>
      <c r="R280" s="12">
        <f>SUM(N280:Q280)</f>
        <v>0</v>
      </c>
      <c r="S280" s="12">
        <f>(S159-R159)*-1</f>
        <v>0</v>
      </c>
      <c r="T280" s="12">
        <f>(T159-S159)*-1</f>
        <v>0</v>
      </c>
      <c r="U280" s="12">
        <f>(U159-T159)*-1</f>
        <v>0</v>
      </c>
      <c r="V280" s="12">
        <f>(V159-U159)*-1</f>
        <v>0</v>
      </c>
      <c r="W280" s="12">
        <f>SUM(S280:V280)</f>
        <v>0</v>
      </c>
      <c r="X280" s="12">
        <f>(X159-W159)*-1</f>
        <v>0</v>
      </c>
      <c r="Y280" s="12">
        <f>(Y159-X159)*-1</f>
        <v>0</v>
      </c>
      <c r="Z280" s="12">
        <f>(Z159-Y159)*-1</f>
        <v>0</v>
      </c>
      <c r="AA280" s="12">
        <f>(AA159-Z159)*-1</f>
        <v>0</v>
      </c>
      <c r="AB280" s="12">
        <f>SUM(X280:AA280)</f>
        <v>0</v>
      </c>
      <c r="AC280" s="12">
        <f>(AC159-AB159)*-1</f>
        <v>0</v>
      </c>
      <c r="AD280" s="12">
        <f>(AD159-AC159)*-1</f>
        <v>0</v>
      </c>
      <c r="AE280" s="12">
        <f>(AE159-AD159)*-1</f>
        <v>0</v>
      </c>
      <c r="AF280" s="12">
        <f>(AF159-AE159)*-1</f>
        <v>0</v>
      </c>
      <c r="AG280" s="12">
        <f>SUM(AC280:AF280)</f>
        <v>0</v>
      </c>
      <c r="AH280" s="12">
        <f>(AH159-AG159)*-1</f>
        <v>0</v>
      </c>
      <c r="AI280" s="12">
        <f>(AI159-AH159)*-1</f>
        <v>0</v>
      </c>
      <c r="AJ280" s="12">
        <f>(AJ159-AI159)*-1</f>
        <v>0</v>
      </c>
      <c r="AK280" s="12">
        <f>(AK159-AJ159)*-1</f>
        <v>0</v>
      </c>
      <c r="AL280" s="12">
        <f>SUM(AH280:AK280)</f>
        <v>0</v>
      </c>
      <c r="AM280" s="12">
        <f>(AM159-AL159)*-1</f>
        <v>0</v>
      </c>
      <c r="AN280" s="12">
        <f>(AN159-AM159)*-1</f>
        <v>0</v>
      </c>
      <c r="AO280" s="12">
        <f>(AO159-AN159)*-1</f>
        <v>0</v>
      </c>
      <c r="AP280" s="12">
        <f>(AP159-AO159)*-1</f>
        <v>0</v>
      </c>
      <c r="AQ280" s="12">
        <f>SUM(AM280:AP280)</f>
        <v>0</v>
      </c>
      <c r="AR280" s="12">
        <f>(AR159-AQ159)*-1</f>
        <v>0</v>
      </c>
      <c r="AS280" s="12">
        <f>(AS159-AR159)*-1</f>
        <v>0</v>
      </c>
      <c r="AT280" s="12">
        <f>(AT159-AS159)*-1</f>
        <v>0</v>
      </c>
      <c r="AU280" s="12">
        <f>(AU159-AT159)*-1</f>
        <v>0</v>
      </c>
      <c r="AV280" s="12">
        <f>SUM(AR280:AU280)</f>
        <v>0</v>
      </c>
      <c r="AW280" s="12">
        <f>(AW159-AV159)*-1</f>
        <v>0</v>
      </c>
      <c r="AX280" s="12">
        <f>(AX159-AW159)*-1</f>
        <v>0</v>
      </c>
      <c r="AY280" s="12">
        <f>(AY159-AX159)*-1</f>
        <v>0</v>
      </c>
      <c r="AZ280" s="12">
        <f>(AZ159-AY159)*-1</f>
        <v>0</v>
      </c>
      <c r="BA280" s="12">
        <f>SUM(AW280:AZ280)</f>
        <v>0</v>
      </c>
      <c r="BB280" s="12">
        <f>(BB159-BA159)*-1</f>
        <v>0</v>
      </c>
      <c r="BC280" s="12">
        <f>(BC159-BB159)*-1</f>
        <v>0</v>
      </c>
      <c r="BD280" s="12">
        <f>(BD159-BC159)*-1</f>
        <v>0</v>
      </c>
      <c r="BE280" s="12">
        <f>(BE159-BD159)*-1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  <c r="CZ280" s="12" t="n"/>
      <c r="DA280" s="12" t="n"/>
      <c r="DB280" s="12" t="n"/>
      <c r="DC280" s="12" t="n"/>
    </row>
    <row r="281">
      <c r="C281" s="10" t="inlineStr">
        <is>
          <t>Purchases of intangible assets</t>
        </is>
      </c>
      <c r="D281" s="12" t="n"/>
      <c r="E281" s="12" t="n"/>
      <c r="F281" s="12" t="n"/>
      <c r="G281" s="12" t="n"/>
      <c r="H281" s="12" t="n"/>
      <c r="I281" s="12" t="n"/>
      <c r="J281" s="12">
        <f>((J163-I163)*-1)+((J162-I162)*-1)</f>
        <v>-241</v>
      </c>
      <c r="K281" s="12">
        <f>((K163-J163)*-1)+((K162-J162)*-1)</f>
        <v>422</v>
      </c>
      <c r="L281" s="12">
        <f>((L163-K163)*-1)+((L162-K162)*-1)</f>
        <v>-205</v>
      </c>
      <c r="M281" s="12" t="n"/>
      <c r="N281" s="12">
        <f>((N163-M163)*-1)+((N162-M162)*-1)</f>
        <v>-1322</v>
      </c>
      <c r="O281" s="12">
        <f>((O163-N163)*-1)+((O162-N162)*-1)</f>
        <v>1079</v>
      </c>
      <c r="P281" s="12">
        <f>((P163-O163)*-1)+((P162-O162)*-1)</f>
        <v>1218</v>
      </c>
      <c r="Q281" s="12">
        <f>((Q163-P163)*-1)+((Q162-P162)*-1)</f>
        <v>-1479</v>
      </c>
      <c r="R281" s="12">
        <f>SUM(N281:Q281)</f>
        <v>-504</v>
      </c>
      <c r="S281" s="12">
        <f>((S163-R163)*-1)+((S162-R162)*-1)</f>
        <v>-321</v>
      </c>
      <c r="T281" s="12">
        <f>((T163-S163)*-1)+((T162-S162)*-1)</f>
        <v>-6</v>
      </c>
      <c r="U281" s="12">
        <f>((U163-T163)*-1)+((U162-T162)*-1)</f>
        <v>557</v>
      </c>
      <c r="V281" s="12">
        <f>((V163-U163)*-1)+((V162-U162)*-1)</f>
        <v>-758</v>
      </c>
      <c r="W281" s="12">
        <f>SUM(S281:V281)</f>
        <v>-528</v>
      </c>
      <c r="X281" s="12">
        <f>((X163-W163)*-1)+((X162-W162)*-1)</f>
        <v>-353</v>
      </c>
      <c r="Y281" s="12">
        <f>((Y163-X163)*-1)+((Y162-X162)*-1)</f>
        <v>153</v>
      </c>
      <c r="Z281" s="12">
        <f>((Z163-Y163)*-1)+((Z162-Y162)*-1)</f>
        <v>-771</v>
      </c>
      <c r="AA281" s="12">
        <f>((AA163-Z163)*-1)+((AA162-Z162)*-1)</f>
        <v>393</v>
      </c>
      <c r="AB281" s="12">
        <f>SUM(X281:AA281)</f>
        <v>-578</v>
      </c>
      <c r="AC281" s="12">
        <f>((AC163-AB163)*-1)+((AC162-AB162)*-1)</f>
        <v>-612</v>
      </c>
      <c r="AD281" s="12">
        <f>((AD163-AC163)*-1)+((AD162-AC162)*-1)</f>
        <v>-1491</v>
      </c>
      <c r="AE281" s="12">
        <f>((AE163-AD163)*-1)+((AE162-AD162)*-1)</f>
        <v>15</v>
      </c>
      <c r="AF281" s="12">
        <f>((AF163-AE163)*-1)+((AF162-AE162)*-1)</f>
        <v>-24</v>
      </c>
      <c r="AG281" s="12">
        <f>SUM(AC281:AF281)</f>
        <v>-2112</v>
      </c>
      <c r="AH281" s="12">
        <f>((AH163-AG163)*-1)+((AH162-AG162)*-1)</f>
        <v>-1092</v>
      </c>
      <c r="AI281" s="12">
        <f>((AI163-AH163)*-1)+((AI162-AH162)*-1)</f>
        <v>284</v>
      </c>
      <c r="AJ281" s="12">
        <f>((AJ163-AI163)*-1)+((AJ162-AI162)*-1)</f>
        <v>0</v>
      </c>
      <c r="AK281" s="12">
        <f>((AK163-AJ163)*-1)+((AK162-AJ162)*-1)</f>
        <v>0</v>
      </c>
      <c r="AL281" s="12">
        <f>SUM(AH281:AK281)</f>
        <v>-808</v>
      </c>
      <c r="AM281" s="12">
        <f>((AM163-AL163)*-1)+((AM162-AL162)*-1)</f>
        <v>0</v>
      </c>
      <c r="AN281" s="12">
        <f>((AN163-AM163)*-1)+((AN162-AM162)*-1)</f>
        <v>0</v>
      </c>
      <c r="AO281" s="12">
        <f>((AO163-AN163)*-1)+((AO162-AN162)*-1)</f>
        <v>0</v>
      </c>
      <c r="AP281" s="12">
        <f>((AP163-AO163)*-1)+((AP162-AO162)*-1)</f>
        <v>0</v>
      </c>
      <c r="AQ281" s="12">
        <f>SUM(AM281:AP281)</f>
        <v>0</v>
      </c>
      <c r="AR281" s="12">
        <f>((AR163-AQ163)*-1)+((AR162-AQ162)*-1)</f>
        <v>0</v>
      </c>
      <c r="AS281" s="12">
        <f>((AS163-AR163)*-1)+((AS162-AR162)*-1)</f>
        <v>0</v>
      </c>
      <c r="AT281" s="12">
        <f>((AT163-AS163)*-1)+((AT162-AS162)*-1)</f>
        <v>0</v>
      </c>
      <c r="AU281" s="12">
        <f>((AU163-AT163)*-1)+((AU162-AT162)*-1)</f>
        <v>0</v>
      </c>
      <c r="AV281" s="12">
        <f>SUM(AR281:AU281)</f>
        <v>0</v>
      </c>
      <c r="AW281" s="12">
        <f>((AW163-AV163)*-1)+((AW162-AV162)*-1)</f>
        <v>0</v>
      </c>
      <c r="AX281" s="12">
        <f>((AX163-AW163)*-1)+((AX162-AW162)*-1)</f>
        <v>0</v>
      </c>
      <c r="AY281" s="12">
        <f>((AY163-AX163)*-1)+((AY162-AX162)*-1)</f>
        <v>0</v>
      </c>
      <c r="AZ281" s="12">
        <f>((AZ163-AY163)*-1)+((AZ162-AY162)*-1)</f>
        <v>0</v>
      </c>
      <c r="BA281" s="12">
        <f>SUM(AW281:AZ281)</f>
        <v>0</v>
      </c>
      <c r="BB281" s="12">
        <f>((BB163-BA163)*-1)+((BB162-BA162)*-1)</f>
        <v>0</v>
      </c>
      <c r="BC281" s="12">
        <f>((BC163-BB163)*-1)+((BC162-BB162)*-1)</f>
        <v>0</v>
      </c>
      <c r="BD281" s="12">
        <f>((BD163-BC163)*-1)+((BD162-BC162)*-1)</f>
        <v>0</v>
      </c>
      <c r="BE281" s="12">
        <f>((BE163-BD163)*-1)+((BE162-BD162)*-1)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  <c r="CZ281" s="12" t="n"/>
      <c r="DA281" s="12" t="n"/>
      <c r="DB281" s="12" t="n"/>
      <c r="DC281" s="12" t="n"/>
    </row>
    <row r="282">
      <c r="C282" s="71" t="inlineStr">
        <is>
          <t>Purchases/Proceeds from other long-term assets</t>
        </is>
      </c>
      <c r="D282" s="12" t="n"/>
      <c r="E282" s="12" t="n"/>
      <c r="F282" s="12" t="n"/>
      <c r="G282" s="12" t="n"/>
      <c r="H282" s="12" t="n"/>
      <c r="I282" s="12" t="n"/>
      <c r="J282" s="12">
        <f>((J172-I172)*-1)+(J223-I223)</f>
        <v>-1051</v>
      </c>
      <c r="K282" s="12">
        <f>((K172-J172)*-1)+(K223-J223)</f>
        <v>-1234</v>
      </c>
      <c r="L282" s="12">
        <f>((L172-K172)*-1)+(L223-K223)</f>
        <v>-382</v>
      </c>
      <c r="M282" s="12" t="n"/>
      <c r="N282" s="12">
        <f>((N172-M172)*-1)+(N223-M223)</f>
        <v>-19</v>
      </c>
      <c r="O282" s="12">
        <f>((O172-N172)*-1)+(O223-N223)</f>
        <v>55</v>
      </c>
      <c r="P282" s="12">
        <f>((P172-O172)*-1)+(P223-O223)</f>
        <v>150</v>
      </c>
      <c r="Q282" s="12">
        <f>((Q172-P172)*-1)+(Q223-P223)</f>
        <v>-1095</v>
      </c>
      <c r="R282" s="12">
        <f>SUM(N282:Q282)</f>
        <v>-909</v>
      </c>
      <c r="S282" s="12">
        <f>((S172-R172)*-1)+(S223-R223)</f>
        <v>-281</v>
      </c>
      <c r="T282" s="12">
        <f>((T172-S172)*-1)+(T223-S223)</f>
        <v>609</v>
      </c>
      <c r="U282" s="12">
        <f>((U172-T172)*-1)+(U223-T223)</f>
        <v>103</v>
      </c>
      <c r="V282" s="12">
        <f>((V172-U172)*-1)+(V223-U223)</f>
        <v>-932</v>
      </c>
      <c r="W282" s="12">
        <f>SUM(S282:V282)</f>
        <v>-501</v>
      </c>
      <c r="X282" s="12">
        <f>((X172-W172)*-1)+(X223-W223)</f>
        <v>-777</v>
      </c>
      <c r="Y282" s="12">
        <f>((Y172-X172)*-1)+(Y223-X223)</f>
        <v>-139</v>
      </c>
      <c r="Z282" s="12">
        <f>((Z172-Y172)*-1)+(Z223-Y223)</f>
        <v>94</v>
      </c>
      <c r="AA282" s="12">
        <f>((AA172-Z172)*-1)+(AA223-Z223)</f>
        <v>878</v>
      </c>
      <c r="AB282" s="12">
        <f>SUM(X282:AA282)</f>
        <v>56</v>
      </c>
      <c r="AC282" s="12">
        <f>((AC172-AB172)*-1)+(AC223-AB223)</f>
        <v>-153</v>
      </c>
      <c r="AD282" s="12">
        <f>((AD172-AC172)*-1)+(AD223-AC223)</f>
        <v>-976</v>
      </c>
      <c r="AE282" s="12">
        <f>((AE172-AD172)*-1)+(AE223-AD223)</f>
        <v>-226</v>
      </c>
      <c r="AF282" s="12">
        <f>((AF172-AE172)*-1)+(AF223-AE223)</f>
        <v>306</v>
      </c>
      <c r="AG282" s="12">
        <f>SUM(AC282:AF282)</f>
        <v>-1049</v>
      </c>
      <c r="AH282" s="12">
        <f>((AH172-AG172)*-1)+(AH223-AG223)</f>
        <v>272</v>
      </c>
      <c r="AI282" s="12">
        <f>((AI172-AH172)*-1)+(AI223-AH223)</f>
        <v>-506</v>
      </c>
      <c r="AJ282" s="12">
        <f>((AJ172-AI172)*-1)+(AJ223-AI223)</f>
        <v>0</v>
      </c>
      <c r="AK282" s="12">
        <f>((AK172-AJ172)*-1)+(AK223-AJ223)</f>
        <v>0</v>
      </c>
      <c r="AL282" s="12">
        <f>SUM(AH282:AK282)</f>
        <v>-234</v>
      </c>
      <c r="AM282" s="12">
        <f>((AM172-AL172)*-1)+(AM223-AL223)</f>
        <v>0</v>
      </c>
      <c r="AN282" s="12">
        <f>((AN172-AM172)*-1)+(AN223-AM223)</f>
        <v>0</v>
      </c>
      <c r="AO282" s="12">
        <f>((AO172-AN172)*-1)+(AO223-AN223)</f>
        <v>0</v>
      </c>
      <c r="AP282" s="12">
        <f>((AP172-AO172)*-1)+(AP223-AO223)</f>
        <v>0</v>
      </c>
      <c r="AQ282" s="12">
        <f>SUM(AM282:AP282)</f>
        <v>0</v>
      </c>
      <c r="AR282" s="12">
        <f>((AR172-AQ172)*-1)+(AR223-AQ223)</f>
        <v>0</v>
      </c>
      <c r="AS282" s="12">
        <f>((AS172-AR172)*-1)+(AS223-AR223)</f>
        <v>0</v>
      </c>
      <c r="AT282" s="12">
        <f>((AT172-AS172)*-1)+(AT223-AS223)</f>
        <v>0</v>
      </c>
      <c r="AU282" s="12">
        <f>((AU172-AT172)*-1)+(AU223-AT223)</f>
        <v>0</v>
      </c>
      <c r="AV282" s="12">
        <f>SUM(AR282:AU282)</f>
        <v>0</v>
      </c>
      <c r="AW282" s="12">
        <f>((AW172-AV172)*-1)+(AW223-AV223)</f>
        <v>0</v>
      </c>
      <c r="AX282" s="12">
        <f>((AX172-AW172)*-1)+(AX223-AW223)</f>
        <v>0</v>
      </c>
      <c r="AY282" s="12">
        <f>((AY172-AX172)*-1)+(AY223-AX223)</f>
        <v>0</v>
      </c>
      <c r="AZ282" s="12">
        <f>((AZ172-AY172)*-1)+(AZ223-AY223)</f>
        <v>0</v>
      </c>
      <c r="BA282" s="12">
        <f>SUM(AW282:AZ282)</f>
        <v>0</v>
      </c>
      <c r="BB282" s="12">
        <f>((BB172-BA172)*-1)+(BB223-BA223)</f>
        <v>0</v>
      </c>
      <c r="BC282" s="12">
        <f>((BC172-BB172)*-1)+(BC223-BB223)</f>
        <v>0</v>
      </c>
      <c r="BD282" s="12">
        <f>((BD172-BC172)*-1)+(BD223-BC223)</f>
        <v>0</v>
      </c>
      <c r="BE282" s="12">
        <f>((BE172-BD172)*-1)+(BE223-BD223)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4" t="inlineStr">
        <is>
          <t>Cash from investing</t>
        </is>
      </c>
      <c r="D283" s="12" t="n"/>
      <c r="E283" s="12" t="n"/>
      <c r="F283" s="12" t="n"/>
      <c r="G283" s="12" t="n"/>
      <c r="H283" s="12" t="n"/>
      <c r="I283" s="12" t="n"/>
      <c r="J283" s="12">
        <f>SUM(J278,J279,J281,J282,J280)</f>
        <v>-1519</v>
      </c>
      <c r="K283" s="12">
        <f>SUM(K278,K279,K281,K282,K280)</f>
        <v>-1022</v>
      </c>
      <c r="L283" s="12">
        <f>SUM(L278,L279,L281,L282,L280)</f>
        <v>-978</v>
      </c>
      <c r="M283" s="12" t="n"/>
      <c r="N283" s="12">
        <f>SUM(N278,N279,N281,N282,N280)</f>
        <v>-1760</v>
      </c>
      <c r="O283" s="12">
        <f>SUM(O278,O279,O281,O282,O280)</f>
        <v>878</v>
      </c>
      <c r="P283" s="12">
        <f>SUM(P278,P279,P281,P282,P280)</f>
        <v>1065</v>
      </c>
      <c r="Q283" s="12">
        <f>SUM(Q278,Q279,Q281,Q282,Q280)</f>
        <v>-2814</v>
      </c>
      <c r="R283" s="12">
        <f>SUM(R278,R279,R281,R282)</f>
        <v>-2631</v>
      </c>
      <c r="S283" s="12">
        <f>SUM(S278,S279,S281,S282,S280)</f>
        <v>-959</v>
      </c>
      <c r="T283" s="12">
        <f>SUM(T278,T279,T281,T282,T280)</f>
        <v>357</v>
      </c>
      <c r="U283" s="12">
        <f>SUM(U278,U279,U281,U282,U280)</f>
        <v>358</v>
      </c>
      <c r="V283" s="12">
        <f>SUM(V278,V279,V281,V282,V280)</f>
        <v>-1984</v>
      </c>
      <c r="W283" s="12">
        <f>SUM(W278,W279,W281,W282)</f>
        <v>-2228</v>
      </c>
      <c r="X283" s="12">
        <f>SUM(X278,X279,X281,X282,X280)</f>
        <v>-1537</v>
      </c>
      <c r="Y283" s="12">
        <f>SUM(Y278,Y279,Y281,Y282,Y280)</f>
        <v>-386</v>
      </c>
      <c r="Z283" s="12">
        <f>SUM(Z278,Z279,Z281,Z282,Z280)</f>
        <v>-1009</v>
      </c>
      <c r="AA283" s="12">
        <f>SUM(AA278,AA279,AA281,AA282,AA280)</f>
        <v>839</v>
      </c>
      <c r="AB283" s="12">
        <f>SUM(AB278,AB279,AB281,AB282)</f>
        <v>-2093</v>
      </c>
      <c r="AC283" s="12">
        <f>SUM(AC278,AC279,AC281,AC282,AC280)</f>
        <v>-1119</v>
      </c>
      <c r="AD283" s="12">
        <f>SUM(AD278,AD279,AD281,AD282,AD280)</f>
        <v>-2904</v>
      </c>
      <c r="AE283" s="12">
        <f>SUM(AE278,AE279,AE281,AE282,AE280)</f>
        <v>-620</v>
      </c>
      <c r="AF283" s="12">
        <f>SUM(AF278,AF279,AF281,AF282,AF280)</f>
        <v>-84</v>
      </c>
      <c r="AG283" s="12">
        <f>SUM(AG278,AG279,AG281,AG282)</f>
        <v>-4727</v>
      </c>
      <c r="AH283" s="12">
        <f>SUM(AH278,AH279,AH281,AH282,AH280)</f>
        <v>-1655</v>
      </c>
      <c r="AI283" s="12">
        <f>SUM(AI278,AI279,AI281,AI282,AI280)</f>
        <v>-669</v>
      </c>
      <c r="AJ283" s="12">
        <f>SUM(AJ278,AJ279,AJ281,AJ282,AJ280)</f>
        <v>-539.642556431412</v>
      </c>
      <c r="AK283" s="12">
        <f>SUM(AK278,AK279,AK281,AK282,AK280)</f>
        <v>-548.549375947298</v>
      </c>
      <c r="AL283" s="12">
        <f>SUM(AL278,AL279,AL281,AL282)</f>
        <v>-3412.19193237871</v>
      </c>
      <c r="AM283" s="12">
        <f>SUM(AM278,AM279,AM281,AM282,AM280)</f>
        <v>-565.104989623718</v>
      </c>
      <c r="AN283" s="12">
        <f>SUM(AN278,AN279,AN281,AN282,AN280)</f>
        <v>-585.384358351978</v>
      </c>
      <c r="AO283" s="12">
        <f>SUM(AO278,AO279,AO281,AO282,AO280)</f>
        <v>-612.654687430911</v>
      </c>
      <c r="AP283" s="12">
        <f>SUM(AP278,AP279,AP281,AP282,AP280)</f>
        <v>-622.766574756095</v>
      </c>
      <c r="AQ283" s="12">
        <f>SUM(AQ278,AQ279,AQ281,AQ282)</f>
        <v>-2385.9106101627</v>
      </c>
      <c r="AR283" s="12">
        <f>SUM(AR278,AR279,AR281,AR282,AR280)</f>
        <v>-638.736591785295</v>
      </c>
      <c r="AS283" s="12">
        <f>SUM(AS278,AS279,AS281,AS282,AS280)</f>
        <v>-661.658305631197</v>
      </c>
      <c r="AT283" s="12">
        <f>SUM(AT278,AT279,AT281,AT282,AT280)</f>
        <v>-692.481882440065</v>
      </c>
      <c r="AU283" s="12">
        <f>SUM(AU278,AU279,AU281,AU282,AU280)</f>
        <v>-703.911320447514</v>
      </c>
      <c r="AV283" s="12">
        <f>SUM(AV278,AV279,AV281,AV282)</f>
        <v>-2696.78810030407</v>
      </c>
      <c r="AW283" s="12">
        <f>SUM(AW278,AW279,AW281,AW282,AW280)</f>
        <v>-718.768503142379</v>
      </c>
      <c r="AX283" s="12">
        <f>SUM(AX278,AX279,AX281,AX282,AX280)</f>
        <v>-744.562243727096</v>
      </c>
      <c r="AY283" s="12">
        <f>SUM(AY278,AY279,AY281,AY282,AY280)</f>
        <v>-779.247928639057</v>
      </c>
      <c r="AZ283" s="12">
        <f>SUM(AZ278,AZ279,AZ281,AZ282,AZ280)</f>
        <v>-792.109443313535</v>
      </c>
      <c r="BA283" s="12">
        <f>SUM(BA278,BA279,BA281,BA282)</f>
        <v>-3034.68811882207</v>
      </c>
      <c r="BB283" s="12">
        <f>SUM(BB278,BB279,BB281,BB282,BB280)</f>
        <v>-805.234346997494</v>
      </c>
      <c r="BC283" s="12">
        <f>SUM(BC278,BC279,BC281,BC282,BC280)</f>
        <v>-834.131002548695</v>
      </c>
      <c r="BD283" s="12">
        <f>SUM(BD278,BD279,BD281,BD282,BD280)</f>
        <v>-872.989278500042</v>
      </c>
      <c r="BE283" s="12">
        <f>SUM(BE278,BE279,BE281,BE282,BE280)</f>
        <v>-887.397997475658</v>
      </c>
      <c r="BF283" s="12">
        <f>SUM(BF278,BF279,BF281,BF282)</f>
        <v>-3399.75262552189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4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4" t="inlineStr">
        <is>
          <t>Convertible preferred stock</t>
        </is>
      </c>
      <c r="D285" s="12" t="n"/>
      <c r="E285" s="12" t="n"/>
      <c r="F285" s="12" t="n"/>
      <c r="G285" s="12" t="n"/>
      <c r="H285" s="12" t="n"/>
      <c r="I285" s="12" t="n"/>
      <c r="J285" s="12">
        <f>J236-I236</f>
        <v>0</v>
      </c>
      <c r="K285" s="12">
        <f>K236-J236</f>
        <v>0</v>
      </c>
      <c r="L285" s="12">
        <f>L236-K236</f>
        <v>0</v>
      </c>
      <c r="M285" s="12" t="n"/>
      <c r="N285" s="12">
        <f>N236-M236</f>
        <v>0</v>
      </c>
      <c r="O285" s="12">
        <f>O236-N236</f>
        <v>0</v>
      </c>
      <c r="P285" s="12">
        <f>P236-O236</f>
        <v>0</v>
      </c>
      <c r="Q285" s="12">
        <f>Q236-P236</f>
        <v>0</v>
      </c>
      <c r="R285" s="12">
        <f>SUM(N285:Q285)</f>
        <v>0</v>
      </c>
      <c r="S285" s="12">
        <f>S236-R236</f>
        <v>0</v>
      </c>
      <c r="T285" s="12">
        <f>T236-S236</f>
        <v>0</v>
      </c>
      <c r="U285" s="12">
        <f>U236-T236</f>
        <v>0</v>
      </c>
      <c r="V285" s="12">
        <f>V236-U236</f>
        <v>0</v>
      </c>
      <c r="W285" s="12">
        <f>SUM(S285:V285)</f>
        <v>0</v>
      </c>
      <c r="X285" s="12">
        <f>X236-W236</f>
        <v>0</v>
      </c>
      <c r="Y285" s="12">
        <f>Y236-X236</f>
        <v>0</v>
      </c>
      <c r="Z285" s="12">
        <f>Z236-Y236</f>
        <v>0</v>
      </c>
      <c r="AA285" s="12">
        <f>AA236-Z236</f>
        <v>0</v>
      </c>
      <c r="AB285" s="12">
        <f>SUM(X285:AA285)</f>
        <v>0</v>
      </c>
      <c r="AC285" s="12">
        <f>AC236-AB236</f>
        <v>0</v>
      </c>
      <c r="AD285" s="12">
        <f>AD236-AC236</f>
        <v>0</v>
      </c>
      <c r="AE285" s="12">
        <f>AE236-AD236</f>
        <v>0</v>
      </c>
      <c r="AF285" s="12">
        <f>AF236-AE236</f>
        <v>0</v>
      </c>
      <c r="AG285" s="12">
        <f>SUM(AC285:AF285)</f>
        <v>0</v>
      </c>
      <c r="AH285" s="12">
        <f>AH236-AG236</f>
        <v>0</v>
      </c>
      <c r="AI285" s="12">
        <f>AI236-AH236</f>
        <v>0</v>
      </c>
      <c r="AJ285" s="12">
        <f>AJ236-AI236</f>
        <v>0</v>
      </c>
      <c r="AK285" s="12">
        <f>AK236-AJ236</f>
        <v>0</v>
      </c>
      <c r="AL285" s="12">
        <f>SUM(AH285:AK285)</f>
        <v>0</v>
      </c>
      <c r="AM285" s="12">
        <f>AM236-AL236</f>
        <v>0</v>
      </c>
      <c r="AN285" s="12">
        <f>AN236-AM236</f>
        <v>0</v>
      </c>
      <c r="AO285" s="12">
        <f>AO236-AN236</f>
        <v>0</v>
      </c>
      <c r="AP285" s="12">
        <f>AP236-AO236</f>
        <v>0</v>
      </c>
      <c r="AQ285" s="12">
        <f>SUM(AM285:AP285)</f>
        <v>0</v>
      </c>
      <c r="AR285" s="12">
        <f>AR236-AQ236</f>
        <v>0</v>
      </c>
      <c r="AS285" s="12">
        <f>AS236-AR236</f>
        <v>0</v>
      </c>
      <c r="AT285" s="12">
        <f>AT236-AS236</f>
        <v>0</v>
      </c>
      <c r="AU285" s="12">
        <f>AU236-AT236</f>
        <v>0</v>
      </c>
      <c r="AV285" s="12">
        <f>SUM(AR285:AU285)</f>
        <v>0</v>
      </c>
      <c r="AW285" s="12">
        <f>AW236-AV236</f>
        <v>0</v>
      </c>
      <c r="AX285" s="12">
        <f>AX236-AW236</f>
        <v>0</v>
      </c>
      <c r="AY285" s="12">
        <f>AY236-AX236</f>
        <v>0</v>
      </c>
      <c r="AZ285" s="12">
        <f>AZ236-AY236</f>
        <v>0</v>
      </c>
      <c r="BA285" s="12">
        <f>SUM(AW285:AZ285)</f>
        <v>0</v>
      </c>
      <c r="BB285" s="12">
        <f>BB236-BA236</f>
        <v>0</v>
      </c>
      <c r="BC285" s="12">
        <f>BC236-BB236</f>
        <v>0</v>
      </c>
      <c r="BD285" s="12">
        <f>BD236-BC236</f>
        <v>0</v>
      </c>
      <c r="BE285" s="12">
        <f>BE236-BD236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14" t="inlineStr">
        <is>
          <t>Common stock and APIC</t>
        </is>
      </c>
      <c r="D286" s="12" t="n"/>
      <c r="E286" s="12" t="n"/>
      <c r="F286" s="12" t="n"/>
      <c r="G286" s="12" t="n"/>
      <c r="H286" s="12" t="n"/>
      <c r="I286" s="12" t="n"/>
      <c r="J286" s="12">
        <f>J237-I237</f>
        <v>282</v>
      </c>
      <c r="K286" s="12">
        <f>K237-J237</f>
        <v>68</v>
      </c>
      <c r="L286" s="12">
        <f>L237-K237</f>
        <v>-79</v>
      </c>
      <c r="M286" s="12" t="n"/>
      <c r="N286" s="12">
        <f>N237-M237</f>
        <v>100</v>
      </c>
      <c r="O286" s="12">
        <f>O237-N237</f>
        <v>86</v>
      </c>
      <c r="P286" s="12">
        <f>P237-O237</f>
        <v>583</v>
      </c>
      <c r="Q286" s="12">
        <f>Q237-P237</f>
        <v>282</v>
      </c>
      <c r="R286" s="12">
        <f>SUM(N286:Q286)</f>
        <v>1051</v>
      </c>
      <c r="S286" s="12">
        <f>S237-R237</f>
        <v>268</v>
      </c>
      <c r="T286" s="12">
        <f>T237-S237</f>
        <v>195</v>
      </c>
      <c r="U286" s="12">
        <f>U237-T237</f>
        <v>162</v>
      </c>
      <c r="V286" s="12">
        <f>V237-U237</f>
        <v>38</v>
      </c>
      <c r="W286" s="12">
        <f>SUM(S286:V286)</f>
        <v>663</v>
      </c>
      <c r="X286" s="12">
        <f>X237-W237</f>
        <v>219</v>
      </c>
      <c r="Y286" s="12">
        <f>Y237-X237</f>
        <v>123</v>
      </c>
      <c r="Z286" s="12">
        <f>Z237-Y237</f>
        <v>397</v>
      </c>
      <c r="AA286" s="12">
        <f>AA237-Z237</f>
        <v>95</v>
      </c>
      <c r="AB286" s="12">
        <f>SUM(X286:AA286)</f>
        <v>834</v>
      </c>
      <c r="AC286" s="12">
        <f>AC237-AB237</f>
        <v>255</v>
      </c>
      <c r="AD286" s="12">
        <f>AD237-AC237</f>
        <v>167</v>
      </c>
      <c r="AE286" s="12">
        <f>AE237-AD237</f>
        <v>188</v>
      </c>
      <c r="AF286" s="12">
        <f>AF237-AE237</f>
        <v>46</v>
      </c>
      <c r="AG286" s="12">
        <f>SUM(AC286:AF286)</f>
        <v>656</v>
      </c>
      <c r="AH286" s="12">
        <f>AH237-AG237</f>
        <v>53</v>
      </c>
      <c r="AI286" s="12">
        <f>AI237-AH237</f>
        <v>135</v>
      </c>
      <c r="AJ286" s="12">
        <f>AJ237-AI237</f>
        <v>0</v>
      </c>
      <c r="AK286" s="12">
        <f>AK237-AJ237</f>
        <v>0</v>
      </c>
      <c r="AL286" s="12">
        <f>SUM(AH286:AK286)</f>
        <v>188</v>
      </c>
      <c r="AM286" s="12">
        <f>AM237-AL237</f>
        <v>0</v>
      </c>
      <c r="AN286" s="12">
        <f>AN237-AM237</f>
        <v>0</v>
      </c>
      <c r="AO286" s="12">
        <f>AO237-AN237</f>
        <v>0</v>
      </c>
      <c r="AP286" s="12">
        <f>AP237-AO237</f>
        <v>0</v>
      </c>
      <c r="AQ286" s="12">
        <f>SUM(AM286:AP286)</f>
        <v>0</v>
      </c>
      <c r="AR286" s="12">
        <f>AR237-AQ237</f>
        <v>0</v>
      </c>
      <c r="AS286" s="12">
        <f>AS237-AR237</f>
        <v>0</v>
      </c>
      <c r="AT286" s="12">
        <f>AT237-AS237</f>
        <v>0</v>
      </c>
      <c r="AU286" s="12">
        <f>AU237-AT237</f>
        <v>0</v>
      </c>
      <c r="AV286" s="12">
        <f>SUM(AR286:AU286)</f>
        <v>0</v>
      </c>
      <c r="AW286" s="12">
        <f>AW237-AV237</f>
        <v>0</v>
      </c>
      <c r="AX286" s="12">
        <f>AX237-AW237</f>
        <v>0</v>
      </c>
      <c r="AY286" s="12">
        <f>AY237-AX237</f>
        <v>0</v>
      </c>
      <c r="AZ286" s="12">
        <f>AZ237-AY237</f>
        <v>0</v>
      </c>
      <c r="BA286" s="12">
        <f>SUM(AW286:AZ286)</f>
        <v>0</v>
      </c>
      <c r="BB286" s="12">
        <f>BB237-BA237</f>
        <v>0</v>
      </c>
      <c r="BC286" s="12">
        <f>BC237-BB237</f>
        <v>0</v>
      </c>
      <c r="BD286" s="12">
        <f>BD237-BC237</f>
        <v>0</v>
      </c>
      <c r="BE286" s="12">
        <f>BE237-BD237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inlineStr">
        <is>
          <t>Treasury stock repurchases</t>
        </is>
      </c>
      <c r="D287" s="12" t="n"/>
      <c r="E287" s="12" t="n"/>
      <c r="F287" s="12" t="n"/>
      <c r="G287" s="12" t="n"/>
      <c r="H287" s="12" t="n"/>
      <c r="I287" s="12" t="n"/>
      <c r="J287" s="12">
        <f>J250-I250</f>
        <v>0</v>
      </c>
      <c r="K287" s="12">
        <f>K250-J250</f>
        <v>0</v>
      </c>
      <c r="L287" s="12">
        <f>L250-K250</f>
        <v>0</v>
      </c>
      <c r="M287" s="12" t="n"/>
      <c r="N287" s="12">
        <f>N250-M250</f>
        <v>0</v>
      </c>
      <c r="O287" s="12">
        <f>O250-N250</f>
        <v>0</v>
      </c>
      <c r="P287" s="12">
        <f>P250-O250</f>
        <v>0</v>
      </c>
      <c r="Q287" s="12">
        <f>Q250-P250</f>
        <v>0</v>
      </c>
      <c r="R287" s="12">
        <f>SUM(N287:Q287)</f>
        <v>0</v>
      </c>
      <c r="S287" s="12">
        <f>S250-R250</f>
        <v>0</v>
      </c>
      <c r="T287" s="12">
        <f>T250-S250</f>
        <v>0</v>
      </c>
      <c r="U287" s="12">
        <f>U250-T250</f>
        <v>0</v>
      </c>
      <c r="V287" s="12">
        <f>V250-U250</f>
        <v>0</v>
      </c>
      <c r="W287" s="12">
        <f>SUM(S287:V287)</f>
        <v>0</v>
      </c>
      <c r="X287" s="12">
        <f>X250-W250</f>
        <v>0</v>
      </c>
      <c r="Y287" s="12">
        <f>Y250-X250</f>
        <v>0</v>
      </c>
      <c r="Z287" s="12">
        <f>Z250-Y250</f>
        <v>0</v>
      </c>
      <c r="AA287" s="12">
        <f>AA250-Z250</f>
        <v>0</v>
      </c>
      <c r="AB287" s="12">
        <f>SUM(X287:AA287)</f>
        <v>0</v>
      </c>
      <c r="AC287" s="12">
        <f>AC250-AB250</f>
        <v>0</v>
      </c>
      <c r="AD287" s="12">
        <f>AD250-AC250</f>
        <v>0</v>
      </c>
      <c r="AE287" s="12">
        <f>AE250-AD250</f>
        <v>0</v>
      </c>
      <c r="AF287" s="12">
        <f>AF250-AE250</f>
        <v>0</v>
      </c>
      <c r="AG287" s="12">
        <f>SUM(AC287:AF287)</f>
        <v>0</v>
      </c>
      <c r="AH287" s="12">
        <f>AH250-AG250</f>
        <v>0</v>
      </c>
      <c r="AI287" s="12">
        <f>AI250-AH250</f>
        <v>0</v>
      </c>
      <c r="AJ287" s="12">
        <f>AJ250-AI250</f>
        <v>0</v>
      </c>
      <c r="AK287" s="12">
        <f>AK250-AJ250</f>
        <v>0</v>
      </c>
      <c r="AL287" s="12">
        <f>SUM(AH287:AK287)</f>
        <v>0</v>
      </c>
      <c r="AM287" s="12">
        <f>AM250-AL250</f>
        <v>0</v>
      </c>
      <c r="AN287" s="12">
        <f>AN250-AM250</f>
        <v>0</v>
      </c>
      <c r="AO287" s="12">
        <f>AO250-AN250</f>
        <v>0</v>
      </c>
      <c r="AP287" s="12">
        <f>AP250-AO250</f>
        <v>0</v>
      </c>
      <c r="AQ287" s="12">
        <f>SUM(AM287:AP287)</f>
        <v>0</v>
      </c>
      <c r="AR287" s="12">
        <f>AR250-AQ250</f>
        <v>0</v>
      </c>
      <c r="AS287" s="12">
        <f>AS250-AR250</f>
        <v>0</v>
      </c>
      <c r="AT287" s="12">
        <f>AT250-AS250</f>
        <v>0</v>
      </c>
      <c r="AU287" s="12">
        <f>AU250-AT250</f>
        <v>0</v>
      </c>
      <c r="AV287" s="12">
        <f>SUM(AR287:AU287)</f>
        <v>0</v>
      </c>
      <c r="AW287" s="12">
        <f>AW250-AV250</f>
        <v>0</v>
      </c>
      <c r="AX287" s="12">
        <f>AX250-AW250</f>
        <v>0</v>
      </c>
      <c r="AY287" s="12">
        <f>AY250-AX250</f>
        <v>0</v>
      </c>
      <c r="AZ287" s="12">
        <f>AZ250-AY250</f>
        <v>0</v>
      </c>
      <c r="BA287" s="12">
        <f>SUM(AW287:AZ287)</f>
        <v>0</v>
      </c>
      <c r="BB287" s="12">
        <f>BB250-BA250</f>
        <v>0</v>
      </c>
      <c r="BC287" s="12">
        <f>BC250-BB250</f>
        <v>0</v>
      </c>
      <c r="BD287" s="12">
        <f>BD250-BC250</f>
        <v>0</v>
      </c>
      <c r="BE287" s="12">
        <f>BE250-BD250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Comprehensive accumulated loss</t>
        </is>
      </c>
      <c r="D288" s="12" t="n"/>
      <c r="E288" s="12" t="n"/>
      <c r="F288" s="12" t="n"/>
      <c r="G288" s="12" t="n"/>
      <c r="H288" s="12" t="n"/>
      <c r="I288" s="12" t="n"/>
      <c r="J288" s="12">
        <f>J251-I251</f>
        <v>229</v>
      </c>
      <c r="K288" s="12">
        <f>K251-J251</f>
        <v>-165</v>
      </c>
      <c r="L288" s="12">
        <f>L251-K251</f>
        <v>-508</v>
      </c>
      <c r="M288" s="12" t="n"/>
      <c r="N288" s="12">
        <f>N251-M251</f>
        <v>-333</v>
      </c>
      <c r="O288" s="12">
        <f>O251-N251</f>
        <v>-862</v>
      </c>
      <c r="P288" s="12">
        <f>P251-O251</f>
        <v>-1102</v>
      </c>
      <c r="Q288" s="12">
        <f>Q251-P251</f>
        <v>1110</v>
      </c>
      <c r="R288" s="12">
        <f>SUM(N288:Q288)</f>
        <v>-1187</v>
      </c>
      <c r="S288" s="12">
        <f>S251-R251</f>
        <v>269</v>
      </c>
      <c r="T288" s="12">
        <f>T251-S251</f>
        <v>12</v>
      </c>
      <c r="U288" s="12">
        <f>U251-T251</f>
        <v>-339</v>
      </c>
      <c r="V288" s="12">
        <f>V251-U251</f>
        <v>662</v>
      </c>
      <c r="W288" s="12">
        <f>SUM(S288:V288)</f>
        <v>604</v>
      </c>
      <c r="X288" s="12">
        <f>X251-W251</f>
        <v>-343</v>
      </c>
      <c r="Y288" s="12">
        <f>Y251-X251</f>
        <v>-62</v>
      </c>
      <c r="Z288" s="12">
        <f>Z251-Y251</f>
        <v>752</v>
      </c>
      <c r="AA288" s="12">
        <f>AA251-Z251</f>
        <v>-939</v>
      </c>
      <c r="AB288" s="12">
        <f>SUM(X288:AA288)</f>
        <v>-592</v>
      </c>
      <c r="AC288" s="12">
        <f>AC251-AB251</f>
        <v>420</v>
      </c>
      <c r="AD288" s="12">
        <f>AD251-AC251</f>
        <v>1036</v>
      </c>
      <c r="AE288" s="12">
        <f>AE251-AD251</f>
        <v>-209</v>
      </c>
      <c r="AF288" s="12">
        <f>AF251-AE251</f>
        <v>247</v>
      </c>
      <c r="AG288" s="12">
        <f>SUM(AC288:AF288)</f>
        <v>1494</v>
      </c>
      <c r="AH288" s="12">
        <f>AH251-AG251</f>
        <v>-225</v>
      </c>
      <c r="AI288" s="12">
        <f>AI251-AH251</f>
        <v>-168</v>
      </c>
      <c r="AJ288" s="12">
        <f>AJ251-AI251</f>
        <v>0</v>
      </c>
      <c r="AK288" s="12">
        <f>AK251-AJ251</f>
        <v>0</v>
      </c>
      <c r="AL288" s="12">
        <f>SUM(AH288:AK288)</f>
        <v>-393</v>
      </c>
      <c r="AM288" s="12">
        <f>AM251-AL251</f>
        <v>0</v>
      </c>
      <c r="AN288" s="12">
        <f>AN251-AM251</f>
        <v>0</v>
      </c>
      <c r="AO288" s="12">
        <f>AO251-AN251</f>
        <v>0</v>
      </c>
      <c r="AP288" s="12">
        <f>AP251-AO251</f>
        <v>0</v>
      </c>
      <c r="AQ288" s="12">
        <f>SUM(AM288:AP288)</f>
        <v>0</v>
      </c>
      <c r="AR288" s="12">
        <f>AR251-AQ251</f>
        <v>0</v>
      </c>
      <c r="AS288" s="12">
        <f>AS251-AR251</f>
        <v>0</v>
      </c>
      <c r="AT288" s="12">
        <f>AT251-AS251</f>
        <v>0</v>
      </c>
      <c r="AU288" s="12">
        <f>AU251-AT251</f>
        <v>0</v>
      </c>
      <c r="AV288" s="12">
        <f>SUM(AR288:AU288)</f>
        <v>0</v>
      </c>
      <c r="AW288" s="12">
        <f>AW251-AV251</f>
        <v>0</v>
      </c>
      <c r="AX288" s="12">
        <f>AX251-AW251</f>
        <v>0</v>
      </c>
      <c r="AY288" s="12">
        <f>AY251-AX251</f>
        <v>0</v>
      </c>
      <c r="AZ288" s="12">
        <f>AZ251-AY251</f>
        <v>0</v>
      </c>
      <c r="BA288" s="12">
        <f>SUM(AW288:AZ288)</f>
        <v>0</v>
      </c>
      <c r="BB288" s="12">
        <f>BB251-BA251</f>
        <v>0</v>
      </c>
      <c r="BC288" s="12">
        <f>BC251-BB251</f>
        <v>0</v>
      </c>
      <c r="BD288" s="12">
        <f>BD251-BC251</f>
        <v>0</v>
      </c>
      <c r="BE288" s="12">
        <f>BE251-BD251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inlineStr">
        <is>
          <t>Other equity account</t>
        </is>
      </c>
      <c r="D289" s="12" t="n"/>
      <c r="E289" s="12" t="n"/>
      <c r="F289" s="12" t="n"/>
      <c r="G289" s="12" t="n"/>
      <c r="H289" s="12" t="n"/>
      <c r="I289" s="12" t="n"/>
      <c r="J289" s="12">
        <f>J252-I252</f>
        <v>-198</v>
      </c>
      <c r="K289" s="12">
        <f>K252-J252</f>
        <v>-161</v>
      </c>
      <c r="L289" s="12">
        <f>L252-K252</f>
        <v>-63</v>
      </c>
      <c r="M289" s="12" t="n"/>
      <c r="N289" s="12">
        <f>N252-M252</f>
        <v>-17</v>
      </c>
      <c r="O289" s="12">
        <f>O252-N252</f>
        <v>-39</v>
      </c>
      <c r="P289" s="12">
        <f>P252-O252</f>
        <v>-539</v>
      </c>
      <c r="Q289" s="12">
        <f>Q252-P252</f>
        <v>-336</v>
      </c>
      <c r="R289" s="12">
        <f>SUM(N289:Q289)</f>
        <v>-931</v>
      </c>
      <c r="S289" s="12">
        <f>S252-R252</f>
        <v>-103</v>
      </c>
      <c r="T289" s="12">
        <f>T252-S252</f>
        <v>-89</v>
      </c>
      <c r="U289" s="12">
        <f>U252-T252</f>
        <v>-203</v>
      </c>
      <c r="V289" s="12">
        <f>V252-U252</f>
        <v>-82</v>
      </c>
      <c r="W289" s="12">
        <f>SUM(S289:V289)</f>
        <v>-477</v>
      </c>
      <c r="X289" s="12">
        <f>X252-W252</f>
        <v>-49</v>
      </c>
      <c r="Y289" s="12">
        <f>Y252-X252</f>
        <v>-48</v>
      </c>
      <c r="Z289" s="12">
        <f>Z252-Y252</f>
        <v>-452</v>
      </c>
      <c r="AA289" s="12">
        <f>AA252-Z252</f>
        <v>-146</v>
      </c>
      <c r="AB289" s="12">
        <f>SUM(X289:AA289)</f>
        <v>-695</v>
      </c>
      <c r="AC289" s="12">
        <f>AC252-AB252</f>
        <v>-21</v>
      </c>
      <c r="AD289" s="12">
        <f>AD252-AC252</f>
        <v>-7</v>
      </c>
      <c r="AE289" s="12">
        <f>AE252-AD252</f>
        <v>116</v>
      </c>
      <c r="AF289" s="12">
        <f>AF252-AE252</f>
        <v>-337</v>
      </c>
      <c r="AG289" s="12">
        <f>SUM(AC289:AF289)</f>
        <v>-249</v>
      </c>
      <c r="AH289" s="12">
        <f>AH252-AG252</f>
        <v>-48</v>
      </c>
      <c r="AI289" s="12">
        <f>AI252-AH252</f>
        <v>-81</v>
      </c>
      <c r="AJ289" s="12">
        <f>AJ252-AI252</f>
        <v>0</v>
      </c>
      <c r="AK289" s="12">
        <f>AK252-AJ252</f>
        <v>0</v>
      </c>
      <c r="AL289" s="12">
        <f>SUM(AH289:AK289)</f>
        <v>-129</v>
      </c>
      <c r="AM289" s="12">
        <f>AM252-AL252</f>
        <v>0</v>
      </c>
      <c r="AN289" s="12">
        <f>AN252-AM252</f>
        <v>0</v>
      </c>
      <c r="AO289" s="12">
        <f>AO252-AN252</f>
        <v>0</v>
      </c>
      <c r="AP289" s="12">
        <f>AP252-AO252</f>
        <v>0</v>
      </c>
      <c r="AQ289" s="12">
        <f>SUM(AM289:AP289)</f>
        <v>0</v>
      </c>
      <c r="AR289" s="12">
        <f>AR252-AQ252</f>
        <v>0</v>
      </c>
      <c r="AS289" s="12">
        <f>AS252-AR252</f>
        <v>0</v>
      </c>
      <c r="AT289" s="12">
        <f>AT252-AS252</f>
        <v>0</v>
      </c>
      <c r="AU289" s="12">
        <f>AU252-AT252</f>
        <v>0</v>
      </c>
      <c r="AV289" s="12">
        <f>SUM(AR289:AU289)</f>
        <v>0</v>
      </c>
      <c r="AW289" s="12">
        <f>AW252-AV252</f>
        <v>0</v>
      </c>
      <c r="AX289" s="12">
        <f>AX252-AW252</f>
        <v>0</v>
      </c>
      <c r="AY289" s="12">
        <f>AY252-AX252</f>
        <v>0</v>
      </c>
      <c r="AZ289" s="12">
        <f>AZ252-AY252</f>
        <v>0</v>
      </c>
      <c r="BA289" s="12">
        <f>SUM(AW289:AZ289)</f>
        <v>0</v>
      </c>
      <c r="BB289" s="12">
        <f>BB252-BA252</f>
        <v>0</v>
      </c>
      <c r="BC289" s="12">
        <f>BC252-BB252</f>
        <v>0</v>
      </c>
      <c r="BD289" s="12">
        <f>BD252-BC252</f>
        <v>0</v>
      </c>
      <c r="BE289" s="12">
        <f>BE252-BD252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0" t="inlineStr">
        <is>
          <t>Common and preferred dividends</t>
        </is>
      </c>
      <c r="D290" s="12" t="n"/>
      <c r="E290" s="12" t="n"/>
      <c r="F290" s="12" t="n"/>
      <c r="G290" s="12" t="n"/>
      <c r="H290" s="12" t="n"/>
      <c r="I290" s="12" t="n"/>
      <c r="J290" s="12">
        <f>(J253-I253)-J260</f>
        <v>-2794</v>
      </c>
      <c r="K290" s="12">
        <f>(K253-J253)-K260</f>
        <v>-3527</v>
      </c>
      <c r="L290" s="12">
        <f>(L253-K253)-L260</f>
        <v>-4704</v>
      </c>
      <c r="M290" s="12" t="n"/>
      <c r="N290" s="12">
        <f>(N253-M253)-N260</f>
        <v>-3602</v>
      </c>
      <c r="O290" s="12">
        <f>(O253-N253)-O260</f>
        <v>-3102</v>
      </c>
      <c r="P290" s="12">
        <f>(P253-O253)-P260</f>
        <v>-2784</v>
      </c>
      <c r="Q290" s="12">
        <f>(Q253-P253)-Q260</f>
        <v>-3892</v>
      </c>
      <c r="R290" s="12">
        <f>SUM(N290:Q290)</f>
        <v>-13380</v>
      </c>
      <c r="S290" s="12">
        <f>(S253-R253)-S260</f>
        <v>-3050</v>
      </c>
      <c r="T290" s="12">
        <f>(T253-S253)-T260</f>
        <v>-3858</v>
      </c>
      <c r="U290" s="12">
        <f>(U253-T253)-U260</f>
        <v>-4549</v>
      </c>
      <c r="V290" s="12">
        <f>(V253-U253)-V260</f>
        <v>-4508</v>
      </c>
      <c r="W290" s="12">
        <f>SUM(S290:V290)</f>
        <v>-15965</v>
      </c>
      <c r="X290" s="12">
        <f>(X253-W253)-X260</f>
        <v>-3738</v>
      </c>
      <c r="Y290" s="12">
        <f>(Y253-X253)-Y260</f>
        <v>-5641</v>
      </c>
      <c r="Z290" s="12">
        <f>(Z253-Y253)-Z260</f>
        <v>-6607</v>
      </c>
      <c r="AA290" s="12">
        <f>(AA253-Z253)-AA260</f>
        <v>-4970</v>
      </c>
      <c r="AB290" s="12">
        <f>SUM(X290:AA290)</f>
        <v>-20956</v>
      </c>
      <c r="AC290" s="12">
        <f>(AC253-AB253)-AC260</f>
        <v>-5497</v>
      </c>
      <c r="AD290" s="12">
        <f>(AD253-AC253)-AD260</f>
        <v>-5834</v>
      </c>
      <c r="AE290" s="12">
        <f>(AE253-AD253)-AE260</f>
        <v>-5940</v>
      </c>
      <c r="AF290" s="12">
        <f>(AF253-AE253)-AF260</f>
        <v>-4941</v>
      </c>
      <c r="AG290" s="12">
        <f>SUM(AC290:AF290)</f>
        <v>-22212</v>
      </c>
      <c r="AH290" s="12">
        <f>(AH253-AG253)-AH260</f>
        <v>-8917</v>
      </c>
      <c r="AI290" s="12">
        <f>(AI253-AH253)-AI260</f>
        <v>-5997</v>
      </c>
      <c r="AJ290" s="12">
        <f>(AJ253-AI253)-AJ260</f>
        <v>0</v>
      </c>
      <c r="AK290" s="12">
        <f>(AK253-AJ253)-AK260</f>
        <v>0</v>
      </c>
      <c r="AL290" s="12">
        <f>SUM(AH290:AK290)</f>
        <v>-14914</v>
      </c>
      <c r="AM290" s="12">
        <f>(AM253-AL253)-AM260</f>
        <v>0</v>
      </c>
      <c r="AN290" s="12">
        <f>(AN253-AM253)-AN260</f>
        <v>0</v>
      </c>
      <c r="AO290" s="12">
        <f>(AO253-AN253)-AO260</f>
        <v>0</v>
      </c>
      <c r="AP290" s="12">
        <f>(AP253-AO253)-AP260</f>
        <v>0</v>
      </c>
      <c r="AQ290" s="12">
        <f>SUM(AM290:AP290)</f>
        <v>0</v>
      </c>
      <c r="AR290" s="12">
        <f>(AR253-AQ253)-AR260</f>
        <v>0</v>
      </c>
      <c r="AS290" s="12">
        <f>(AS253-AR253)-AS260</f>
        <v>0</v>
      </c>
      <c r="AT290" s="12">
        <f>(AT253-AS253)-AT260</f>
        <v>0</v>
      </c>
      <c r="AU290" s="12">
        <f>(AU253-AT253)-AU260</f>
        <v>0</v>
      </c>
      <c r="AV290" s="12">
        <f>SUM(AR290:AU290)</f>
        <v>0</v>
      </c>
      <c r="AW290" s="12">
        <f>(AW253-AV253)-AW260</f>
        <v>0</v>
      </c>
      <c r="AX290" s="12">
        <f>(AX253-AW253)-AX260</f>
        <v>0</v>
      </c>
      <c r="AY290" s="12">
        <f>(AY253-AX253)-AY260</f>
        <v>0</v>
      </c>
      <c r="AZ290" s="12">
        <f>(AZ253-AY253)-AZ260</f>
        <v>0</v>
      </c>
      <c r="BA290" s="12">
        <f>SUM(AW290:AZ290)</f>
        <v>0</v>
      </c>
      <c r="BB290" s="12">
        <f>(BB253-BA253)-BB260</f>
        <v>0</v>
      </c>
      <c r="BC290" s="12">
        <f>(BC253-BB253)-BC260</f>
        <v>0</v>
      </c>
      <c r="BD290" s="12">
        <f>(BD253-BC253)-BD260</f>
        <v>0</v>
      </c>
      <c r="BE290" s="12">
        <f>(BE253-BD253)-BE260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Dividends to minority interests</t>
        </is>
      </c>
      <c r="D291" s="12" t="n"/>
      <c r="E291" s="12" t="n"/>
      <c r="F291" s="12" t="n"/>
      <c r="G291" s="12" t="n"/>
      <c r="H291" s="12" t="n"/>
      <c r="I291" s="12" t="n"/>
      <c r="J291" s="12">
        <f>(J231-I231)+J119</f>
        <v>0</v>
      </c>
      <c r="K291" s="12">
        <f>(K231-J231)+K119</f>
        <v>0</v>
      </c>
      <c r="L291" s="12">
        <f>(L231-K231)+L119</f>
        <v>0</v>
      </c>
      <c r="M291" s="12" t="n"/>
      <c r="N291" s="12">
        <f>(N231-M231)+N119</f>
        <v>0</v>
      </c>
      <c r="O291" s="12">
        <f>(O231-N231)+O119</f>
        <v>0</v>
      </c>
      <c r="P291" s="12">
        <f>(P231-O231)+P119</f>
        <v>0</v>
      </c>
      <c r="Q291" s="12">
        <f>(Q231-P231)+Q119</f>
        <v>0</v>
      </c>
      <c r="R291" s="12">
        <f>SUM(N291:Q291)</f>
        <v>0</v>
      </c>
      <c r="S291" s="12">
        <f>(S231-R231)+S119</f>
        <v>0</v>
      </c>
      <c r="T291" s="12">
        <f>(T231-S231)+T119</f>
        <v>0</v>
      </c>
      <c r="U291" s="12">
        <f>(U231-T231)+U119</f>
        <v>0</v>
      </c>
      <c r="V291" s="12">
        <f>(V231-U231)+V119</f>
        <v>0</v>
      </c>
      <c r="W291" s="12">
        <f>SUM(S291:V291)</f>
        <v>0</v>
      </c>
      <c r="X291" s="12">
        <f>(X231-W231)+X119</f>
        <v>0</v>
      </c>
      <c r="Y291" s="12">
        <f>(Y231-X231)+Y119</f>
        <v>0</v>
      </c>
      <c r="Z291" s="12">
        <f>(Z231-Y231)+Z119</f>
        <v>0</v>
      </c>
      <c r="AA291" s="12">
        <f>(AA231-Z231)+AA119</f>
        <v>0</v>
      </c>
      <c r="AB291" s="12">
        <f>SUM(X291:AA291)</f>
        <v>0</v>
      </c>
      <c r="AC291" s="12">
        <f>(AC231-AB231)+AC119</f>
        <v>0</v>
      </c>
      <c r="AD291" s="12">
        <f>(AD231-AC231)+AD119</f>
        <v>0</v>
      </c>
      <c r="AE291" s="12">
        <f>(AE231-AD231)+AE119</f>
        <v>0</v>
      </c>
      <c r="AF291" s="12">
        <f>(AF231-AE231)+AF119</f>
        <v>0</v>
      </c>
      <c r="AG291" s="12">
        <f>SUM(AC291:AF291)</f>
        <v>0</v>
      </c>
      <c r="AH291" s="12">
        <f>(AH231-AG231)+AH119</f>
        <v>0</v>
      </c>
      <c r="AI291" s="12">
        <f>(AI231-AH231)+AI119</f>
        <v>0</v>
      </c>
      <c r="AJ291" s="12">
        <f>(AJ231-AI231)+AJ119</f>
        <v>0</v>
      </c>
      <c r="AK291" s="12">
        <f>(AK231-AJ231)+AK119</f>
        <v>0</v>
      </c>
      <c r="AL291" s="12">
        <f>SUM(AH291:AK291)</f>
        <v>0</v>
      </c>
      <c r="AM291" s="12">
        <f>(AM231-AL231)+AM119</f>
        <v>0</v>
      </c>
      <c r="AN291" s="12">
        <f>(AN231-AM231)+AN119</f>
        <v>0</v>
      </c>
      <c r="AO291" s="12">
        <f>(AO231-AN231)+AO119</f>
        <v>0</v>
      </c>
      <c r="AP291" s="12">
        <f>(AP231-AO231)+AP119</f>
        <v>0</v>
      </c>
      <c r="AQ291" s="12">
        <f>SUM(AM291:AP291)</f>
        <v>0</v>
      </c>
      <c r="AR291" s="12">
        <f>(AR231-AQ231)+AR119</f>
        <v>0</v>
      </c>
      <c r="AS291" s="12">
        <f>(AS231-AR231)+AS119</f>
        <v>0</v>
      </c>
      <c r="AT291" s="12">
        <f>(AT231-AS231)+AT119</f>
        <v>0</v>
      </c>
      <c r="AU291" s="12">
        <f>(AU231-AT231)+AU119</f>
        <v>0</v>
      </c>
      <c r="AV291" s="12">
        <f>SUM(AR291:AU291)</f>
        <v>0</v>
      </c>
      <c r="AW291" s="12">
        <f>(AW231-AV231)+AW119</f>
        <v>0</v>
      </c>
      <c r="AX291" s="12">
        <f>(AX231-AW231)+AX119</f>
        <v>0</v>
      </c>
      <c r="AY291" s="12">
        <f>(AY231-AX231)+AY119</f>
        <v>0</v>
      </c>
      <c r="AZ291" s="12">
        <f>(AZ231-AY231)+AZ119</f>
        <v>0</v>
      </c>
      <c r="BA291" s="12">
        <f>SUM(AW291:AZ291)</f>
        <v>0</v>
      </c>
      <c r="BB291" s="12">
        <f>(BB231-BA231)+BB119</f>
        <v>0</v>
      </c>
      <c r="BC291" s="12">
        <f>(BC231-BB231)+BC119</f>
        <v>0</v>
      </c>
      <c r="BD291" s="12">
        <f>(BD231-BC231)+BD119</f>
        <v>0</v>
      </c>
      <c r="BE291" s="12">
        <f>(BE231-BD231)+BE119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5" t="inlineStr">
        <is>
          <t>Increases / (decreases) in debt</t>
        </is>
      </c>
      <c r="D292" s="12" t="n"/>
      <c r="E292" s="12" t="n"/>
      <c r="F292" s="12" t="n"/>
      <c r="G292" s="12" t="n"/>
      <c r="H292" s="12" t="n"/>
      <c r="I292" s="12" t="n"/>
      <c r="J292" s="12">
        <f>SUM(J195:J197,J200,J221,J218)-SUM(I195:I197,I200,I221,I218)</f>
        <v>22</v>
      </c>
      <c r="K292" s="12">
        <f>SUM(K195:K197,K200,K221,K218)-SUM(J195:J197,J200,J221,J218)</f>
        <v>-19</v>
      </c>
      <c r="L292" s="12">
        <f>SUM(L195:L197,L200,L221,L218)-SUM(K195:K197,K200,K221,K218)</f>
        <v>-57</v>
      </c>
      <c r="M292" s="12" t="n"/>
      <c r="N292" s="12">
        <f>SUM(N195:N197,N200,N221,N218)-SUM(M195:M197,M200,M221,M218)</f>
        <v>107</v>
      </c>
      <c r="O292" s="12">
        <f>SUM(O195:O197,O200,O221,O218)-SUM(N195:N197,N200,N221,N218)</f>
        <v>2768</v>
      </c>
      <c r="P292" s="12">
        <f>SUM(P195:P197,P200,P221,P218)-SUM(O195:O197,O200,O221,O218)</f>
        <v>-1345</v>
      </c>
      <c r="Q292" s="12">
        <f>SUM(Q195:Q197,Q200,Q221,Q218)-SUM(P195:P197,P200,P221,P218)</f>
        <v>-1963</v>
      </c>
      <c r="R292" s="12">
        <f>SUM(N292:Q292)</f>
        <v>-433</v>
      </c>
      <c r="S292" s="12">
        <f>SUM(S195:S197,S200,S221,S218)-SUM(R195:R197,R200,R221,R218)</f>
        <v>119</v>
      </c>
      <c r="T292" s="12">
        <f>SUM(T195:T197,T200,T221,T218)-SUM(S195:S197,S200,S221,S218)</f>
        <v>-46</v>
      </c>
      <c r="U292" s="12">
        <f>SUM(U195:U197,U200,U221,U218)-SUM(T195:T197,T200,T221,T218)</f>
        <v>-97</v>
      </c>
      <c r="V292" s="12">
        <f>SUM(V195:V197,V200,V221,V218)-SUM(U195:U197,U200,U221,U218)</f>
        <v>240</v>
      </c>
      <c r="W292" s="12">
        <f>SUM(S292:V292)</f>
        <v>216</v>
      </c>
      <c r="X292" s="12">
        <f>SUM(X195:X197,X200,X221,X218)-SUM(W195:W197,W200,W221,W218)</f>
        <v>-100</v>
      </c>
      <c r="Y292" s="12">
        <f>SUM(Y195:Y197,Y200,Y221,Y218)-SUM(X195:X197,X200,X221,X218)</f>
        <v>-1</v>
      </c>
      <c r="Z292" s="12">
        <f>SUM(Z195:Z197,Z200,Z221,Z218)-SUM(Y195:Y197,Y200,Y221,Y218)</f>
        <v>234</v>
      </c>
      <c r="AA292" s="12">
        <f>SUM(AA195:AA197,AA200,AA221,AA218)-SUM(Z195:Z197,Z200,Z221,Z218)</f>
        <v>-227</v>
      </c>
      <c r="AB292" s="12">
        <f>SUM(X292:AA292)</f>
        <v>-94</v>
      </c>
      <c r="AC292" s="12">
        <f>SUM(AC195:AC197,AC200,AC221,AC218)-SUM(AB195:AB197,AB200,AB221,AB218)</f>
        <v>153</v>
      </c>
      <c r="AD292" s="12">
        <f>SUM(AD195:AD197,AD200,AD221,AD218)-SUM(AC195:AC197,AC200,AC221,AC218)</f>
        <v>4376</v>
      </c>
      <c r="AE292" s="12">
        <f>SUM(AE195:AE197,AE200,AE221,AE218)-SUM(AD195:AD197,AD200,AD221,AD218)</f>
        <v>33</v>
      </c>
      <c r="AF292" s="12">
        <f>SUM(AF195:AF197,AF200,AF221,AF218)-SUM(AE195:AE197,AE200,AE221,AE218)</f>
        <v>-3994</v>
      </c>
      <c r="AG292" s="12">
        <f>SUM(AC292:AF292)</f>
        <v>568</v>
      </c>
      <c r="AH292" s="12">
        <f>SUM(AH195:AH197,AH200,AH221,AH218)-SUM(AG195:AG197,AG200,AG221,AG218)</f>
        <v>2799</v>
      </c>
      <c r="AI292" s="12">
        <f>SUM(AI195:AI197,AI200,AI221,AI218)-SUM(AH195:AH197,AH200,AH221,AH218)</f>
        <v>-118</v>
      </c>
      <c r="AJ292" s="12">
        <f>SUM(AJ195:AJ197,AJ200,AJ221,AJ218)-SUM(AI195:AI197,AI200,AI221,AI218)</f>
        <v>0</v>
      </c>
      <c r="AK292" s="12">
        <f>SUM(AK195:AK197,AK200,AK221,AK218)-SUM(AJ195:AJ197,AJ200,AJ221,AJ218)</f>
        <v>0</v>
      </c>
      <c r="AL292" s="12">
        <f>SUM(AH292:AK292)</f>
        <v>2681</v>
      </c>
      <c r="AM292" s="12">
        <f>SUM(AM195:AM197,AM200,AM221,AM218)-SUM(AL195:AL197,AL200,AL221,AL218)</f>
        <v>0</v>
      </c>
      <c r="AN292" s="12">
        <f>SUM(AN195:AN197,AN200,AN221,AN218)-SUM(AM195:AM197,AM200,AM221,AM218)</f>
        <v>0</v>
      </c>
      <c r="AO292" s="12">
        <f>SUM(AO195:AO197,AO200,AO221,AO218)-SUM(AN195:AN197,AN200,AN221,AN218)</f>
        <v>0</v>
      </c>
      <c r="AP292" s="12">
        <f>SUM(AP195:AP197,AP200,AP221,AP218)-SUM(AO195:AO197,AO200,AO221,AO218)</f>
        <v>0</v>
      </c>
      <c r="AQ292" s="12">
        <f>SUM(AM292:AP292)</f>
        <v>0</v>
      </c>
      <c r="AR292" s="12">
        <f>SUM(AR195:AR197,AR200,AR221,AR218)-SUM(AQ195:AQ197,AQ200,AQ221,AQ218)</f>
        <v>0</v>
      </c>
      <c r="AS292" s="12">
        <f>SUM(AS195:AS197,AS200,AS221,AS218)-SUM(AR195:AR197,AR200,AR221,AR218)</f>
        <v>0</v>
      </c>
      <c r="AT292" s="12">
        <f>SUM(AT195:AT197,AT200,AT221,AT218)-SUM(AS195:AS197,AS200,AS221,AS218)</f>
        <v>0</v>
      </c>
      <c r="AU292" s="12">
        <f>SUM(AU195:AU197,AU200,AU221,AU218)-SUM(AT195:AT197,AT200,AT221,AT218)</f>
        <v>0</v>
      </c>
      <c r="AV292" s="12">
        <f>SUM(AR292:AU292)</f>
        <v>0</v>
      </c>
      <c r="AW292" s="12">
        <f>SUM(AW195:AW197,AW200,AW221,AW218)-SUM(AV195:AV197,AV200,AV221,AV218)</f>
        <v>0</v>
      </c>
      <c r="AX292" s="12">
        <f>SUM(AX195:AX197,AX200,AX221,AX218)-SUM(AW195:AW197,AW200,AW221,AW218)</f>
        <v>0</v>
      </c>
      <c r="AY292" s="12">
        <f>SUM(AY195:AY197,AY200,AY221,AY218)-SUM(AX195:AX197,AX200,AX221,AX218)</f>
        <v>0</v>
      </c>
      <c r="AZ292" s="12">
        <f>SUM(AZ195:AZ197,AZ200,AZ221,AZ218)-SUM(AY195:AY197,AY200,AY221,AY218)</f>
        <v>0</v>
      </c>
      <c r="BA292" s="12">
        <f>SUM(AW292:AZ292)</f>
        <v>0</v>
      </c>
      <c r="BB292" s="12">
        <f>SUM(BB195:BB197,BB200,BB221,BB218)-SUM(BA195:BA197,BA200,BA221,BA218)</f>
        <v>0</v>
      </c>
      <c r="BC292" s="12">
        <f>SUM(BC195:BC197,BC200,BC221,BC218)-SUM(BB195:BB197,BB200,BB221,BB218)</f>
        <v>0</v>
      </c>
      <c r="BD292" s="12">
        <f>SUM(BD195:BD197,BD200,BD221,BD218)-SUM(BC195:BC197,BC200,BC221,BC218)</f>
        <v>0</v>
      </c>
      <c r="BE292" s="12">
        <f>SUM(BE195:BE197,BE200,BE221,BE218)-SUM(BD195:BD197,BD200,BD221,BD218)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  <c r="CZ292" s="12" t="n"/>
      <c r="DA292" s="12" t="n"/>
      <c r="DB292" s="12" t="n"/>
      <c r="DC292" s="12" t="n"/>
    </row>
    <row r="293">
      <c r="C293" s="14" t="inlineStr">
        <is>
          <t>Cash from financing</t>
        </is>
      </c>
      <c r="D293" s="12" t="n"/>
      <c r="E293" s="12" t="n"/>
      <c r="F293" s="12" t="n"/>
      <c r="G293" s="12" t="n"/>
      <c r="H293" s="12" t="n"/>
      <c r="I293" s="12" t="n"/>
      <c r="J293" s="12">
        <f>SUM(J285,J286,J287,J288,J289,J290,J291,J292)</f>
        <v>-2459</v>
      </c>
      <c r="K293" s="12">
        <f>SUM(K285,K286,K287,K288,K289,K290,K291,K292)</f>
        <v>-3804</v>
      </c>
      <c r="L293" s="12">
        <f>SUM(L285,L286,L287,L288,L289,L290,L291,L292)</f>
        <v>-5411</v>
      </c>
      <c r="M293" s="12" t="n"/>
      <c r="N293" s="12">
        <f>SUM(N285,N286,N287,N288,N289,N290,N291,N292)</f>
        <v>-3745</v>
      </c>
      <c r="O293" s="12">
        <f>SUM(O285,O286,O287,O288,O289,O290,O291,O292)</f>
        <v>-1149</v>
      </c>
      <c r="P293" s="12">
        <f>SUM(P285,P286,P287,P288,P289,P290,P291,P292)</f>
        <v>-5187</v>
      </c>
      <c r="Q293" s="12">
        <f>SUM(Q285,Q286,Q287,Q288,Q289,Q290,Q291,Q292)</f>
        <v>-4799</v>
      </c>
      <c r="R293" s="12">
        <f>SUM(R285,R286,R287,R288,R289,R290,R291,R292)</f>
        <v>-14880</v>
      </c>
      <c r="S293" s="12">
        <f>SUM(S285,S286,S287,S288,S289,S290,S291,S292)</f>
        <v>-2497</v>
      </c>
      <c r="T293" s="12">
        <f>SUM(T285,T286,T287,T288,T289,T290,T291,T292)</f>
        <v>-3786</v>
      </c>
      <c r="U293" s="12">
        <f>SUM(U285,U286,U287,U288,U289,U290,U291,U292)</f>
        <v>-5026</v>
      </c>
      <c r="V293" s="12">
        <f>SUM(V285,V286,V287,V288,V289,V290,V291,V292)</f>
        <v>-3650</v>
      </c>
      <c r="W293" s="12">
        <f>SUM(W285,W286,W287,W288,W289,W290,W291,W292)</f>
        <v>-14959</v>
      </c>
      <c r="X293" s="12">
        <f>SUM(X285,X286,X287,X288,X289,X290,X291,X292)</f>
        <v>-4011</v>
      </c>
      <c r="Y293" s="12">
        <f>SUM(Y285,Y286,Y287,Y288,Y289,Y290,Y291,Y292)</f>
        <v>-5629</v>
      </c>
      <c r="Z293" s="12">
        <f>SUM(Z285,Z286,Z287,Z288,Z289,Z290,Z291,Z292)</f>
        <v>-5676</v>
      </c>
      <c r="AA293" s="12">
        <f>SUM(AA285,AA286,AA287,AA288,AA289,AA290,AA291,AA292)</f>
        <v>-6187</v>
      </c>
      <c r="AB293" s="12">
        <f>SUM(AB285,AB286,AB287,AB288,AB289,AB290,AB291,AB292)</f>
        <v>-21503</v>
      </c>
      <c r="AC293" s="12">
        <f>SUM(AC285,AC286,AC287,AC288,AC289,AC290,AC291,AC292)</f>
        <v>-4690</v>
      </c>
      <c r="AD293" s="12">
        <f>SUM(AD285,AD286,AD287,AD288,AD289,AD290,AD291,AD292)</f>
        <v>-262</v>
      </c>
      <c r="AE293" s="12">
        <f>SUM(AE285,AE286,AE287,AE288,AE289,AE290,AE291,AE292)</f>
        <v>-5812</v>
      </c>
      <c r="AF293" s="12">
        <f>SUM(AF285,AF286,AF287,AF288,AF289,AF290,AF291,AF292)</f>
        <v>-8979</v>
      </c>
      <c r="AG293" s="12">
        <f>SUM(AG285,AG286,AG287,AG288,AG289,AG290,AG291,AG292)</f>
        <v>-19743</v>
      </c>
      <c r="AH293" s="12">
        <f>SUM(AH285,AH286,AH287,AH288,AH289,AH290,AH291,AH292)</f>
        <v>-6338</v>
      </c>
      <c r="AI293" s="12">
        <f>SUM(AI285,AI286,AI287,AI288,AI289,AI290,AI291,AI292)</f>
        <v>-6229</v>
      </c>
      <c r="AJ293" s="12">
        <f>SUM(AJ285,AJ286,AJ287,AJ288,AJ289,AJ290,AJ291,AJ292)</f>
        <v>0</v>
      </c>
      <c r="AK293" s="12">
        <f>SUM(AK285,AK286,AK287,AK288,AK289,AK290,AK291,AK292)</f>
        <v>0</v>
      </c>
      <c r="AL293" s="12">
        <f>SUM(AL285,AL286,AL287,AL288,AL289,AL290,AL291,AL292)</f>
        <v>-12567</v>
      </c>
      <c r="AM293" s="12">
        <f>SUM(AM285,AM286,AM287,AM288,AM289,AM290,AM291,AM292)</f>
        <v>0</v>
      </c>
      <c r="AN293" s="12">
        <f>SUM(AN285,AN286,AN287,AN288,AN289,AN290,AN291,AN292)</f>
        <v>0</v>
      </c>
      <c r="AO293" s="12">
        <f>SUM(AO285,AO286,AO287,AO288,AO289,AO290,AO291,AO292)</f>
        <v>0</v>
      </c>
      <c r="AP293" s="12">
        <f>SUM(AP285,AP286,AP287,AP288,AP289,AP290,AP291,AP292)</f>
        <v>0</v>
      </c>
      <c r="AQ293" s="12">
        <f>SUM(AQ285,AQ286,AQ287,AQ288,AQ289,AQ290,AQ291,AQ292)</f>
        <v>0</v>
      </c>
      <c r="AR293" s="12">
        <f>SUM(AR285,AR286,AR287,AR288,AR289,AR290,AR291,AR292)</f>
        <v>0</v>
      </c>
      <c r="AS293" s="12">
        <f>SUM(AS285,AS286,AS287,AS288,AS289,AS290,AS291,AS292)</f>
        <v>0</v>
      </c>
      <c r="AT293" s="12">
        <f>SUM(AT285,AT286,AT287,AT288,AT289,AT290,AT291,AT292)</f>
        <v>0</v>
      </c>
      <c r="AU293" s="12">
        <f>SUM(AU285,AU286,AU287,AU288,AU289,AU290,AU291,AU292)</f>
        <v>0</v>
      </c>
      <c r="AV293" s="12">
        <f>SUM(AV285,AV286,AV287,AV288,AV289,AV290,AV291,AV292)</f>
        <v>0</v>
      </c>
      <c r="AW293" s="12">
        <f>SUM(AW285,AW286,AW287,AW288,AW289,AW290,AW291,AW292)</f>
        <v>0</v>
      </c>
      <c r="AX293" s="12">
        <f>SUM(AX285,AX286,AX287,AX288,AX289,AX290,AX291,AX292)</f>
        <v>0</v>
      </c>
      <c r="AY293" s="12">
        <f>SUM(AY285,AY286,AY287,AY288,AY289,AY290,AY291,AY292)</f>
        <v>0</v>
      </c>
      <c r="AZ293" s="12">
        <f>SUM(AZ285,AZ286,AZ287,AZ288,AZ289,AZ290,AZ291,AZ292)</f>
        <v>0</v>
      </c>
      <c r="BA293" s="12">
        <f>SUM(BA285,BA286,BA287,BA288,BA289,BA290,BA291,BA292)</f>
        <v>0</v>
      </c>
      <c r="BB293" s="12">
        <f>SUM(BB285,BB286,BB287,BB288,BB289,BB290,BB291,BB292)</f>
        <v>0</v>
      </c>
      <c r="BC293" s="12">
        <f>SUM(BC285,BC286,BC287,BC288,BC289,BC290,BC291,BC292)</f>
        <v>0</v>
      </c>
      <c r="BD293" s="12">
        <f>SUM(BD285,BD286,BD287,BD288,BD289,BD290,BD291,BD292)</f>
        <v>0</v>
      </c>
      <c r="BE293" s="12">
        <f>SUM(BE285,BE286,BE287,BE288,BE289,BE290,BE291,BE292)</f>
        <v>0</v>
      </c>
      <c r="BF293" s="12">
        <f>SUM(BF285,BF286,BF287,BF288,BF289,BF290,BF291,BF292)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4" t="inlineStr">
        <is>
          <t>Others / cash reconciliation plug</t>
        </is>
      </c>
      <c r="D295" s="12" t="n"/>
      <c r="E295" s="12" t="n"/>
      <c r="F295" s="12" t="n"/>
      <c r="G295" s="12" t="n"/>
      <c r="H295" s="12" t="n"/>
      <c r="I295" s="12" t="n"/>
      <c r="J295" s="12">
        <f>J127-I127-SUM(J276,J283,J293)</f>
        <v>0</v>
      </c>
      <c r="K295" s="12">
        <f>K127-J127-SUM(K276,K283,K293)</f>
        <v>0</v>
      </c>
      <c r="L295" s="12">
        <f>L127-K127-SUM(L276,L283,L293)</f>
        <v>0</v>
      </c>
      <c r="M295" s="12" t="n"/>
      <c r="N295" s="12">
        <f>N127-M127-SUM(N276,N283,N293)</f>
        <v>0</v>
      </c>
      <c r="O295" s="12">
        <f>O127-N127-SUM(O276,O283,O293)</f>
        <v>0</v>
      </c>
      <c r="P295" s="12">
        <f>P127-O127-SUM(P276,P283,P293)</f>
        <v>0</v>
      </c>
      <c r="Q295" s="12">
        <f>Q127-P127-SUM(Q276,Q283,Q293)</f>
        <v>0</v>
      </c>
      <c r="R295" s="12">
        <f>SUM(N295:Q295)</f>
        <v>0</v>
      </c>
      <c r="S295" s="12">
        <f>S127-R127-SUM(S276,S283,S293)</f>
        <v>0</v>
      </c>
      <c r="T295" s="12">
        <f>T127-S127-SUM(T276,T283,T293)</f>
        <v>0</v>
      </c>
      <c r="U295" s="12">
        <f>U127-T127-SUM(U276,U283,U293)</f>
        <v>0</v>
      </c>
      <c r="V295" s="12">
        <f>V127-U127-SUM(V276,V283,V293)</f>
        <v>0</v>
      </c>
      <c r="W295" s="12">
        <f>SUM(S295:V295)</f>
        <v>0</v>
      </c>
      <c r="X295" s="12">
        <f>X127-W127-SUM(X276,X283,X293)</f>
        <v>0</v>
      </c>
      <c r="Y295" s="12">
        <f>Y127-X127-SUM(Y276,Y283,Y293)</f>
        <v>0</v>
      </c>
      <c r="Z295" s="12">
        <f>Z127-Y127-SUM(Z276,Z283,Z293)</f>
        <v>0</v>
      </c>
      <c r="AA295" s="12">
        <f>AA127-Z127-SUM(AA276,AA283,AA293)</f>
        <v>0</v>
      </c>
      <c r="AB295" s="12">
        <f>SUM(X295:AA295)</f>
        <v>0</v>
      </c>
      <c r="AC295" s="12">
        <f>AC127-AB127-SUM(AC276,AC283,AC293)</f>
        <v>0</v>
      </c>
      <c r="AD295" s="12">
        <f>AD127-AC127-SUM(AD276,AD283,AD293)</f>
        <v>0</v>
      </c>
      <c r="AE295" s="12">
        <f>AE127-AD127-SUM(AE276,AE283,AE293)</f>
        <v>0</v>
      </c>
      <c r="AF295" s="12">
        <f>AF127-AE127-SUM(AF276,AF283,AF293)</f>
        <v>0</v>
      </c>
      <c r="AG295" s="12">
        <f>SUM(AC295:AF295)</f>
        <v>0</v>
      </c>
      <c r="AH295" s="12">
        <f>AH127-AG127-SUM(AH276,AH283,AH293)</f>
        <v>0</v>
      </c>
      <c r="AI295" s="12">
        <f>AI127-AH127-SUM(AI276,AI283,AI293)</f>
        <v>0</v>
      </c>
      <c r="AJ295" s="12">
        <f>AJ127-AI127-SUM(AJ276,AJ283,AJ293)</f>
        <v>0</v>
      </c>
      <c r="AK295" s="12">
        <f>AK127-AJ127-SUM(AK276,AK283,AK293)</f>
        <v>0</v>
      </c>
      <c r="AL295" s="12">
        <f>SUM(AH295:AK295)</f>
        <v>0</v>
      </c>
      <c r="AM295" s="12">
        <f>AM127-AL127-SUM(AM276,AM283,AM293)</f>
        <v>0</v>
      </c>
      <c r="AN295" s="12">
        <f>AN127-AM127-SUM(AN276,AN283,AN293)</f>
        <v>0</v>
      </c>
      <c r="AO295" s="12">
        <f>AO127-AN127-SUM(AO276,AO283,AO293)</f>
        <v>0</v>
      </c>
      <c r="AP295" s="12">
        <f>AP127-AO127-SUM(AP276,AP283,AP293)</f>
        <v>0</v>
      </c>
      <c r="AQ295" s="12">
        <f>SUM(AM295:AP295)</f>
        <v>0</v>
      </c>
      <c r="AR295" s="12">
        <f>AR127-AQ127-SUM(AR276,AR283,AR293)</f>
        <v>0</v>
      </c>
      <c r="AS295" s="12">
        <f>AS127-AR127-SUM(AS276,AS283,AS293)</f>
        <v>0</v>
      </c>
      <c r="AT295" s="12">
        <f>AT127-AS127-SUM(AT276,AT283,AT293)</f>
        <v>0</v>
      </c>
      <c r="AU295" s="12">
        <f>AU127-AT127-SUM(AU276,AU283,AU293)</f>
        <v>0</v>
      </c>
      <c r="AV295" s="12">
        <f>SUM(AR295:AU295)</f>
        <v>0</v>
      </c>
      <c r="AW295" s="12">
        <f>AW127-AV127-SUM(AW276,AW283,AW293)</f>
        <v>0</v>
      </c>
      <c r="AX295" s="12">
        <f>AX127-AW127-SUM(AX276,AX283,AX293)</f>
        <v>0</v>
      </c>
      <c r="AY295" s="12">
        <f>AY127-AX127-SUM(AY276,AY283,AY293)</f>
        <v>0</v>
      </c>
      <c r="AZ295" s="12">
        <f>AZ127-AY127-SUM(AZ276,AZ283,AZ293)</f>
        <v>0</v>
      </c>
      <c r="BA295" s="12">
        <f>SUM(AW295:AZ295)</f>
        <v>0</v>
      </c>
      <c r="BB295" s="12">
        <f>BB127-BA127-SUM(BB276,BB283,BB293)</f>
        <v>0</v>
      </c>
      <c r="BC295" s="12">
        <f>BC127-BB127-SUM(BC276,BC283,BC293)</f>
        <v>0</v>
      </c>
      <c r="BD295" s="12">
        <f>BD127-BC127-SUM(BD276,BD283,BD293)</f>
        <v>0</v>
      </c>
      <c r="BE295" s="12">
        <f>BE127-BD127-SUM(BE276,BE283,BE293)</f>
        <v>-7.6397554948926e-11</v>
      </c>
      <c r="BF295" s="12">
        <f>SUM(BB295:BE295)</f>
        <v>-7.6397554948926e-11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4" t="inlineStr">
        <is>
          <t>Total increase/decrease of cash</t>
        </is>
      </c>
      <c r="D297" s="12" t="n"/>
      <c r="E297" s="12" t="n"/>
      <c r="F297" s="12" t="n"/>
      <c r="G297" s="12" t="n"/>
      <c r="H297" s="12" t="n"/>
      <c r="I297" s="12" t="n"/>
      <c r="J297" s="12">
        <f>SUM(J276,J283,J293,J295)</f>
        <v>1540</v>
      </c>
      <c r="K297" s="12">
        <f>SUM(K276,K283,K293,K295)</f>
        <v>-1547</v>
      </c>
      <c r="L297" s="12">
        <f>SUM(L276,L283,L293,L295)</f>
        <v>-1767</v>
      </c>
      <c r="M297" s="12" t="n"/>
      <c r="N297" s="12">
        <f>SUM(N276,N283,N293,N295)</f>
        <v>-2421</v>
      </c>
      <c r="O297" s="12">
        <f>SUM(O276,O283,O293,O295)</f>
        <v>1748</v>
      </c>
      <c r="P297" s="12">
        <f>SUM(P276,P283,P293,P295)</f>
        <v>1642</v>
      </c>
      <c r="Q297" s="12">
        <f>SUM(Q276,Q283,Q293,Q295)</f>
        <v>-2355</v>
      </c>
      <c r="R297" s="12">
        <f>SUM(N297:Q297)</f>
        <v>-1386</v>
      </c>
      <c r="S297" s="12">
        <f>SUM(S276,S283,S293,S295)</f>
        <v>508</v>
      </c>
      <c r="T297" s="12">
        <f>SUM(T276,T283,T293,T295)</f>
        <v>1748</v>
      </c>
      <c r="U297" s="12">
        <f>SUM(U276,U283,U293,U295)</f>
        <v>696</v>
      </c>
      <c r="V297" s="12">
        <f>SUM(V276,V283,V293,V295)</f>
        <v>-2695</v>
      </c>
      <c r="W297" s="12">
        <f>SUM(S297:V297)</f>
        <v>257</v>
      </c>
      <c r="X297" s="12">
        <f>SUM(X276,X283,X293,X295)</f>
        <v>-598</v>
      </c>
      <c r="Y297" s="12">
        <f>SUM(Y276,Y283,Y293,Y295)</f>
        <v>-46</v>
      </c>
      <c r="Z297" s="12">
        <f>SUM(Z276,Z283,Z293,Z295)</f>
        <v>-972</v>
      </c>
      <c r="AA297" s="12">
        <f>SUM(AA276,AA283,AA293,AA295)</f>
        <v>392</v>
      </c>
      <c r="AB297" s="12">
        <f>SUM(X297:AA297)</f>
        <v>-1224</v>
      </c>
      <c r="AC297" s="12">
        <f>SUM(AC276,AC283,AC293,AC295)</f>
        <v>-633</v>
      </c>
      <c r="AD297" s="12">
        <f>SUM(AD276,AD283,AD293,AD295)</f>
        <v>5358</v>
      </c>
      <c r="AE297" s="12">
        <f>SUM(AE276,AE283,AE293,AE295)</f>
        <v>72</v>
      </c>
      <c r="AF297" s="12">
        <f>SUM(AF276,AF283,AF293,AF295)</f>
        <v>-2408</v>
      </c>
      <c r="AG297" s="12">
        <f>SUM(AC297:AF297)</f>
        <v>2389</v>
      </c>
      <c r="AH297" s="12">
        <f>SUM(AH276,AH283,AH293,AH295)</f>
        <v>-2352</v>
      </c>
      <c r="AI297" s="12">
        <f>SUM(AI276,AI283,AI293,AI295)</f>
        <v>-45</v>
      </c>
      <c r="AJ297" s="12">
        <f>SUM(AJ276,AJ283,AJ293,AJ295)</f>
        <v>6588.86578824675</v>
      </c>
      <c r="AK297" s="12">
        <f>SUM(AK276,AK283,AK293,AK295)</f>
        <v>7339.19224481221</v>
      </c>
      <c r="AL297" s="12">
        <f>SUM(AH297:AK297)</f>
        <v>11531.058033059</v>
      </c>
      <c r="AM297" s="12">
        <f>SUM(AM276,AM283,AM293,AM295)</f>
        <v>7552.9906092195</v>
      </c>
      <c r="AN297" s="12">
        <f>SUM(AN276,AN283,AN293,AN295)</f>
        <v>8061.32043915674</v>
      </c>
      <c r="AO297" s="12">
        <f>SUM(AO276,AO283,AO293,AO295)</f>
        <v>8531.29147181482</v>
      </c>
      <c r="AP297" s="12">
        <f>SUM(AP276,AP283,AP293,AP295)</f>
        <v>8948.42765140069</v>
      </c>
      <c r="AQ297" s="12">
        <f>SUM(AM297:AP297)</f>
        <v>33094.0301715918</v>
      </c>
      <c r="AR297" s="12">
        <f>SUM(AR276,AR283,AR293,AR295)</f>
        <v>9226.84944666775</v>
      </c>
      <c r="AS297" s="12">
        <f>SUM(AS276,AS283,AS293,AS295)</f>
        <v>9763.08994623579</v>
      </c>
      <c r="AT297" s="12">
        <f>SUM(AT276,AT283,AT293,AT295)</f>
        <v>10423.8694812343</v>
      </c>
      <c r="AU297" s="12">
        <f>SUM(AU276,AU283,AU293,AU295)</f>
        <v>10987.426664068</v>
      </c>
      <c r="AV297" s="12">
        <f>SUM(AR297:AU297)</f>
        <v>40401.2355382058</v>
      </c>
      <c r="AW297" s="12">
        <f>SUM(AW276,AW283,AW293,AW295)</f>
        <v>11295.8423864853</v>
      </c>
      <c r="AX297" s="12">
        <f>SUM(AX276,AX283,AX293,AX295)</f>
        <v>12091.3144857806</v>
      </c>
      <c r="AY297" s="12">
        <f>SUM(AY276,AY283,AY293,AY295)</f>
        <v>12900.1628496641</v>
      </c>
      <c r="AZ297" s="12">
        <f>SUM(AZ276,AZ283,AZ293,AZ295)</f>
        <v>13665.6587365601</v>
      </c>
      <c r="BA297" s="12">
        <f>SUM(AW297:AZ297)</f>
        <v>49952.9784584901</v>
      </c>
      <c r="BB297" s="12">
        <f>SUM(BB276,BB283,BB293,BB295)</f>
        <v>14078.0884421249</v>
      </c>
      <c r="BC297" s="12">
        <f>SUM(BC276,BC283,BC293,BC295)</f>
        <v>15095.8923486593</v>
      </c>
      <c r="BD297" s="12">
        <f>SUM(BD276,BD283,BD293,BD295)</f>
        <v>16167.4519956704</v>
      </c>
      <c r="BE297" s="12">
        <f>SUM(BE276,BE283,BE293,BE295)</f>
        <v>17207.7041300748</v>
      </c>
      <c r="BF297" s="12">
        <f>SUM(BB297:BE297)</f>
        <v>62549.1369165295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</row>
    <row r="298">
      <c r="C298" s="4" t="inlineStr">
        <is>
          <t>Check</t>
        </is>
      </c>
      <c r="E298" s="72" t="n"/>
      <c r="F298" s="72" t="n"/>
      <c r="G298" s="72" t="n"/>
      <c r="I298" s="72" t="str">
        <f>""</f>
        <v/>
      </c>
      <c r="J298" s="72">
        <f>J127-I127-J297</f>
        <v>0</v>
      </c>
      <c r="K298" s="72">
        <f>K127-J127-K297</f>
        <v>0</v>
      </c>
      <c r="L298" s="72">
        <f>L127-K127-L297</f>
        <v>0</v>
      </c>
      <c r="M298" s="4" t="str">
        <f>""</f>
        <v/>
      </c>
      <c r="N298" s="72">
        <f>N127-M127-N297</f>
        <v>0</v>
      </c>
      <c r="O298" s="72">
        <f>O127-N127-O297</f>
        <v>0</v>
      </c>
      <c r="P298" s="72">
        <f>P127-O127-P297</f>
        <v>0</v>
      </c>
      <c r="Q298" s="72">
        <f>Q127-P127-Q297</f>
        <v>0</v>
      </c>
      <c r="R298" s="4">
        <f>R127-M127-R297</f>
        <v>0</v>
      </c>
      <c r="S298" s="72">
        <f>S127-R127-S297</f>
        <v>0</v>
      </c>
      <c r="T298" s="72">
        <f>T127-S127-T297</f>
        <v>0</v>
      </c>
      <c r="U298" s="72">
        <f>U127-T127-U297</f>
        <v>0</v>
      </c>
      <c r="V298" s="72">
        <f>V127-U127-V297</f>
        <v>0</v>
      </c>
      <c r="W298" s="4">
        <f>W127-R127-W297</f>
        <v>0</v>
      </c>
      <c r="X298" s="72">
        <f>X127-W127-X297</f>
        <v>0</v>
      </c>
      <c r="Y298" s="72">
        <f>Y127-X127-Y297</f>
        <v>0</v>
      </c>
      <c r="Z298" s="72">
        <f>Z127-Y127-Z297</f>
        <v>0</v>
      </c>
      <c r="AA298" s="72">
        <f>AA127-Z127-AA297</f>
        <v>0</v>
      </c>
      <c r="AB298" s="4">
        <f>AB127-W127-AB297</f>
        <v>0</v>
      </c>
      <c r="AC298" s="72">
        <f>AC127-AB127-AC297</f>
        <v>0</v>
      </c>
      <c r="AD298" s="72">
        <f>AD127-AC127-AD297</f>
        <v>0</v>
      </c>
      <c r="AE298" s="72">
        <f>AE127-AD127-AE297</f>
        <v>0</v>
      </c>
      <c r="AF298" s="72">
        <f>AF127-AE127-AF297</f>
        <v>0</v>
      </c>
      <c r="AG298" s="4">
        <f>AG127-AB127-AG297</f>
        <v>0</v>
      </c>
      <c r="AH298" s="72">
        <f>AH127-AG127-AH297</f>
        <v>0</v>
      </c>
      <c r="AI298" s="72">
        <f>AI127-AH127-AI297</f>
        <v>0</v>
      </c>
      <c r="AJ298" s="72">
        <f>AJ127-AI127-AJ297</f>
        <v>0</v>
      </c>
      <c r="AK298" s="72">
        <f>AK127-AJ127-AK297</f>
        <v>0</v>
      </c>
      <c r="AL298" s="4">
        <f>AL127-AG127-AL297</f>
        <v>0</v>
      </c>
      <c r="AM298" s="72">
        <f>AM127-AL127-AM297</f>
        <v>0</v>
      </c>
      <c r="AN298" s="72">
        <f>AN127-AM127-AN297</f>
        <v>0</v>
      </c>
      <c r="AO298" s="72">
        <f>AO127-AN127-AO297</f>
        <v>0</v>
      </c>
      <c r="AP298" s="72">
        <f>AP127-AO127-AP297</f>
        <v>0</v>
      </c>
      <c r="AQ298" s="4">
        <f>AQ127-AL127-AQ297</f>
        <v>0</v>
      </c>
      <c r="AR298" s="72">
        <f>AR127-AQ127-AR297</f>
        <v>0</v>
      </c>
      <c r="AS298" s="72">
        <f>AS127-AR127-AS297</f>
        <v>0</v>
      </c>
      <c r="AT298" s="72">
        <f>AT127-AS127-AT297</f>
        <v>0</v>
      </c>
      <c r="AU298" s="72">
        <f>AU127-AT127-AU297</f>
        <v>0</v>
      </c>
      <c r="AV298" s="4">
        <f>AV127-AQ127-AV297</f>
        <v>0</v>
      </c>
      <c r="AW298" s="72">
        <f>AW127-AV127-AW297</f>
        <v>0</v>
      </c>
      <c r="AX298" s="72">
        <f>AX127-AW127-AX297</f>
        <v>0</v>
      </c>
      <c r="AY298" s="72">
        <f>AY127-AX127-AY297</f>
        <v>0</v>
      </c>
      <c r="AZ298" s="72">
        <f>AZ127-AY127-AZ297</f>
        <v>0</v>
      </c>
      <c r="BA298" s="4">
        <f>BA127-AV127-BA297</f>
        <v>0</v>
      </c>
      <c r="BB298" s="72">
        <f>BB127-BA127-BB297</f>
        <v>0</v>
      </c>
      <c r="BC298" s="72">
        <f>BC127-BB127-BC297</f>
        <v>0</v>
      </c>
      <c r="BD298" s="72">
        <f>BD127-BC127-BD297</f>
        <v>0</v>
      </c>
      <c r="BE298" s="72">
        <f>BE127-BD127-BE297</f>
        <v>0</v>
      </c>
      <c r="BF298" s="4">
        <f>BF127-BA127-BF297</f>
        <v>0</v>
      </c>
      <c r="BG298" s="72" t="n"/>
      <c r="BH298" s="72" t="n"/>
      <c r="BI298" s="72" t="n"/>
      <c r="BJ298" s="72" t="n"/>
      <c r="BL298" s="72" t="n"/>
      <c r="BM298" s="72" t="n"/>
      <c r="BN298" s="72" t="n"/>
      <c r="BO298" s="72" t="n"/>
      <c r="BQ298" s="72" t="n"/>
      <c r="BR298" s="72" t="n"/>
      <c r="BS298" s="72" t="n"/>
      <c r="BT298" s="72" t="n"/>
      <c r="BV298" s="72" t="n"/>
      <c r="BW298" s="72" t="n"/>
      <c r="BX298" s="72" t="n"/>
      <c r="BY298" s="72" t="n"/>
      <c r="CA298" s="72" t="n"/>
      <c r="CB298" s="72" t="n"/>
      <c r="CC298" s="72" t="n"/>
      <c r="CD298" s="72" t="n"/>
      <c r="CF298" s="72" t="n"/>
      <c r="CG298" s="72" t="n"/>
      <c r="CH298" s="72" t="n"/>
      <c r="CI298" s="72" t="n"/>
      <c r="CK298" s="72" t="n"/>
      <c r="CL298" s="72" t="n"/>
      <c r="CM298" s="72" t="n"/>
      <c r="CN298" s="72" t="n"/>
      <c r="CP298" s="72" t="n"/>
      <c r="CQ298" s="72" t="n"/>
      <c r="CR298" s="72" t="n"/>
      <c r="CS298" s="72" t="n"/>
      <c r="CU298" s="72" t="n"/>
      <c r="CV298" s="72" t="n"/>
      <c r="CW298" s="72" t="n"/>
      <c r="CX298" s="72" t="n"/>
    </row>
    <row r="299"/>
    <row r="300">
      <c r="C300" s="73" t="inlineStr">
        <is>
          <t>Ratio Analysis</t>
        </is>
      </c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  <c r="AM300" s="73" t="n"/>
      <c r="AN300" s="73" t="n"/>
      <c r="AO300" s="73" t="n"/>
      <c r="AP300" s="73" t="n"/>
      <c r="AQ300" s="73" t="n"/>
      <c r="AR300" s="73" t="n"/>
      <c r="AS300" s="73" t="n"/>
      <c r="AT300" s="73" t="n"/>
      <c r="AU300" s="73" t="n"/>
      <c r="AV300" s="73" t="n"/>
      <c r="AW300" s="73" t="n"/>
      <c r="AX300" s="73" t="n"/>
      <c r="AY300" s="73" t="n"/>
      <c r="AZ300" s="73" t="n"/>
      <c r="BA300" s="73" t="n"/>
      <c r="BB300" s="73" t="n"/>
      <c r="BC300" s="73" t="n"/>
      <c r="BD300" s="73" t="n"/>
      <c r="BE300" s="73" t="n"/>
      <c r="BF300" s="73" t="n"/>
      <c r="BG300" s="73" t="n"/>
      <c r="BH300" s="73" t="n"/>
      <c r="BI300" s="73" t="n"/>
      <c r="BJ300" s="73" t="n"/>
      <c r="BK300" s="73" t="n"/>
      <c r="BL300" s="73" t="n"/>
      <c r="BM300" s="73" t="n"/>
      <c r="BN300" s="73" t="n"/>
      <c r="BO300" s="73" t="n"/>
      <c r="BP300" s="73" t="n"/>
      <c r="BQ300" s="73" t="n"/>
      <c r="BR300" s="73" t="n"/>
      <c r="BS300" s="73" t="n"/>
      <c r="BT300" s="73" t="n"/>
      <c r="BU300" s="73" t="n"/>
      <c r="BV300" s="73" t="n"/>
      <c r="BW300" s="73" t="n"/>
      <c r="BX300" s="73" t="n"/>
      <c r="BY300" s="73" t="n"/>
      <c r="BZ300" s="73" t="n"/>
      <c r="CA300" s="73" t="n"/>
      <c r="CB300" s="73" t="n"/>
      <c r="CC300" s="73" t="n"/>
      <c r="CD300" s="73" t="n"/>
      <c r="CE300" s="73" t="n"/>
      <c r="CF300" s="73" t="n"/>
      <c r="CG300" s="73" t="n"/>
      <c r="CH300" s="73" t="n"/>
      <c r="CI300" s="73" t="n"/>
      <c r="CJ300" s="73" t="n"/>
      <c r="CK300" s="73" t="n"/>
      <c r="CL300" s="73" t="n"/>
      <c r="CM300" s="73" t="n"/>
      <c r="CN300" s="73" t="n"/>
      <c r="CO300" s="73" t="n"/>
      <c r="CP300" s="73" t="n"/>
      <c r="CQ300" s="73" t="n"/>
      <c r="CR300" s="73" t="n"/>
      <c r="CS300" s="73" t="n"/>
      <c r="CT300" s="73" t="n"/>
      <c r="CU300" s="73" t="n"/>
      <c r="CV300" s="73" t="n"/>
      <c r="CW300" s="73" t="n"/>
      <c r="CX300" s="73" t="n"/>
      <c r="CY300" s="73" t="n"/>
    </row>
    <row r="301"/>
    <row r="302" customFormat="1" s="74">
      <c r="C302" s="74" t="inlineStr">
        <is>
          <t>YEAR</t>
        </is>
      </c>
      <c r="D302">
        <f>IFERROR(D258,"")</f>
        <v>0</v>
      </c>
      <c r="E302" s="75">
        <f>IFERROR(E258,"")</f>
        <v>0</v>
      </c>
      <c r="F302" s="75">
        <f>IFERROR(F258,"")</f>
        <v>0</v>
      </c>
      <c r="G302" s="75">
        <f>IFERROR(G258,"")</f>
        <v>0</v>
      </c>
      <c r="H302" s="75">
        <f>IFERROR(H258,"")</f>
        <v>0</v>
      </c>
      <c r="I302" s="75" t="str">
        <f>IFERROR(I258,"")</f>
        <v>1Q21</v>
      </c>
      <c r="J302" s="75" t="str">
        <f>IFERROR(J258,"")</f>
        <v>2Q21</v>
      </c>
      <c r="K302" s="75" t="str">
        <f>IFERROR(K258,"")</f>
        <v>3Q21</v>
      </c>
      <c r="L302" s="75" t="str">
        <f>IFERROR(L258,"")</f>
        <v>4Q21</v>
      </c>
      <c r="M302" s="75">
        <f>IFERROR(M258,"")</f>
        <v>2021</v>
      </c>
      <c r="N302" s="75" t="str">
        <f>IFERROR(N258,"")</f>
        <v>1Q22</v>
      </c>
      <c r="O302" s="75" t="str">
        <f>IFERROR(O258,"")</f>
        <v>2Q22</v>
      </c>
      <c r="P302" s="75" t="str">
        <f>IFERROR(P258,"")</f>
        <v>3Q22</v>
      </c>
      <c r="Q302" s="75" t="str">
        <f>IFERROR(Q258,"")</f>
        <v>4Q22</v>
      </c>
      <c r="R302" s="75">
        <f>IFERROR(R258,"")</f>
        <v>2022</v>
      </c>
      <c r="S302" s="75" t="str">
        <f>IFERROR(S258,"")</f>
        <v>1Q23</v>
      </c>
      <c r="T302" s="75" t="str">
        <f>IFERROR(T258,"")</f>
        <v>2Q23</v>
      </c>
      <c r="U302" s="75" t="str">
        <f>IFERROR(U258,"")</f>
        <v>3Q23</v>
      </c>
      <c r="V302" s="75" t="str">
        <f>IFERROR(V258,"")</f>
        <v>4Q23</v>
      </c>
      <c r="W302" s="75">
        <f>IFERROR(W258,"")</f>
        <v>2023</v>
      </c>
      <c r="X302" s="75" t="str">
        <f>IFERROR(X258,"")</f>
        <v>1Q24</v>
      </c>
      <c r="Y302" s="75" t="str">
        <f>IFERROR(Y258,"")</f>
        <v>2Q24</v>
      </c>
      <c r="Z302" s="75" t="str">
        <f>IFERROR(Z258,"")</f>
        <v>3Q24</v>
      </c>
      <c r="AA302" s="75" t="str">
        <f>IFERROR(AA258,"")</f>
        <v>4Q24</v>
      </c>
      <c r="AB302" s="75">
        <f>IFERROR(AB258,"")</f>
        <v>2024</v>
      </c>
      <c r="AC302" s="75" t="str">
        <f>IFERROR(AC258,"")</f>
        <v>1Q25</v>
      </c>
      <c r="AD302" s="75" t="str">
        <f>IFERROR(AD258,"")</f>
        <v>2Q25</v>
      </c>
      <c r="AE302" s="75" t="str">
        <f>IFERROR(AE258,"")</f>
        <v>3Q25</v>
      </c>
      <c r="AF302" s="75" t="str">
        <f>IFERROR(AF258,"")</f>
        <v>4Q25</v>
      </c>
      <c r="AG302" s="75">
        <f>IFERROR(AG258,"")</f>
        <v>2025</v>
      </c>
      <c r="AH302" s="75" t="str">
        <f>IFERROR(AH258,"")</f>
        <v>1Q26</v>
      </c>
      <c r="AI302" s="75" t="str">
        <f>IFERROR(AI258,"")</f>
        <v>2Q26</v>
      </c>
      <c r="AJ302" s="75" t="str">
        <f>IFERROR(AJ258,"")</f>
        <v>3Q26</v>
      </c>
      <c r="AK302" s="75" t="str">
        <f>IFERROR(AK258,"")</f>
        <v>4Q26</v>
      </c>
      <c r="AL302" s="75">
        <f>IFERROR(AL258,"")</f>
        <v>2026</v>
      </c>
      <c r="AM302" s="75" t="str">
        <f>IFERROR(AM258,"")</f>
        <v>1Q27</v>
      </c>
      <c r="AN302" s="75" t="str">
        <f>IFERROR(AN258,"")</f>
        <v>2Q27</v>
      </c>
      <c r="AO302" s="75" t="str">
        <f>IFERROR(AO258,"")</f>
        <v>3Q27</v>
      </c>
      <c r="AP302" s="75" t="str">
        <f>IFERROR(AP258,"")</f>
        <v>4Q27</v>
      </c>
      <c r="AQ302" s="75">
        <f>IFERROR(AQ258,"")</f>
        <v>2027</v>
      </c>
      <c r="AR302" s="75" t="str">
        <f>IFERROR(AR258,"")</f>
        <v>1Q28</v>
      </c>
      <c r="AS302" s="75" t="str">
        <f>IFERROR(AS258,"")</f>
        <v>2Q28</v>
      </c>
      <c r="AT302" s="75" t="str">
        <f>IFERROR(AT258,"")</f>
        <v>3Q28</v>
      </c>
      <c r="AU302" s="75" t="str">
        <f>IFERROR(AU258,"")</f>
        <v>4Q28</v>
      </c>
      <c r="AV302" s="75">
        <f>IFERROR(AV258,"")</f>
        <v>2028</v>
      </c>
      <c r="AW302" s="75" t="str">
        <f>IFERROR(AW258,"")</f>
        <v>1Q29</v>
      </c>
      <c r="AX302" s="75" t="str">
        <f>IFERROR(AX258,"")</f>
        <v>2Q29</v>
      </c>
      <c r="AY302" s="75" t="str">
        <f>IFERROR(AY258,"")</f>
        <v>3Q29</v>
      </c>
      <c r="AZ302" s="75" t="str">
        <f>IFERROR(AZ258,"")</f>
        <v>4Q29</v>
      </c>
      <c r="BA302" s="75">
        <f>IFERROR(BA258,"")</f>
        <v>2029</v>
      </c>
      <c r="BB302" s="75" t="str">
        <f>IFERROR(BB258,"")</f>
        <v>1Q30</v>
      </c>
      <c r="BC302" s="75" t="str">
        <f>IFERROR(BC258,"")</f>
        <v>2Q30</v>
      </c>
      <c r="BD302" s="75" t="str">
        <f>IFERROR(BD258,"")</f>
        <v>3Q30</v>
      </c>
      <c r="BE302" s="75" t="str">
        <f>IFERROR(BE258,"")</f>
        <v>4Q30</v>
      </c>
      <c r="BF302" s="75">
        <f>IFERROR(BF258,"")</f>
        <v>2030</v>
      </c>
      <c r="BG302" s="75" t="n"/>
      <c r="BH302" s="75" t="n"/>
      <c r="BI302" s="75" t="n"/>
      <c r="BJ302" s="75" t="n"/>
      <c r="BK302" s="75" t="n"/>
      <c r="BL302" s="75" t="n"/>
      <c r="BM302" s="75" t="n"/>
      <c r="BN302" s="75" t="n"/>
      <c r="BO302" s="75" t="n"/>
      <c r="BP302" s="75" t="n"/>
      <c r="BQ302" s="75" t="n"/>
      <c r="BR302" s="75" t="n"/>
      <c r="BS302" s="75" t="n"/>
      <c r="BT302" s="75" t="n"/>
      <c r="BU302" s="75" t="n"/>
      <c r="BV302" s="75" t="n"/>
      <c r="BW302" s="75" t="n"/>
      <c r="BX302" s="75" t="n"/>
      <c r="BY302" s="75" t="n"/>
      <c r="BZ302" s="75" t="n"/>
      <c r="CA302" s="75" t="n"/>
      <c r="CB302" s="75" t="n"/>
      <c r="CC302" s="75" t="n"/>
      <c r="CD302" s="75" t="n"/>
      <c r="CE302" s="75" t="n"/>
      <c r="CF302" s="75" t="n"/>
      <c r="CG302" s="75" t="n"/>
      <c r="CH302" s="75" t="n"/>
      <c r="CI302" s="75" t="n"/>
      <c r="CJ302" s="75" t="n"/>
      <c r="CK302" s="75" t="n"/>
      <c r="CL302" s="75" t="n"/>
      <c r="CM302" s="75" t="n"/>
      <c r="CN302" s="75" t="n"/>
      <c r="CO302" s="75" t="n"/>
      <c r="CP302" s="75" t="n"/>
      <c r="CQ302" s="75" t="n"/>
      <c r="CR302" s="75" t="n"/>
      <c r="CS302" s="75" t="n"/>
      <c r="CT302" s="75" t="n"/>
      <c r="CU302" s="75" t="n"/>
      <c r="CV302" s="75" t="n"/>
      <c r="CW302" s="75" t="n"/>
      <c r="CX302" s="75" t="n"/>
      <c r="CY302" s="75" t="n"/>
    </row>
    <row r="303" customFormat="1" s="77">
      <c r="A303" s="76" t="n"/>
      <c r="B303" s="76" t="n"/>
      <c r="C303" s="74" t="inlineStr">
        <is>
          <t>GROWTH &amp; MARGINS</t>
        </is>
      </c>
    </row>
    <row r="304" customFormat="1" s="77">
      <c r="A304" s="76" t="n"/>
      <c r="B304" s="76" t="n"/>
      <c r="C304" s="77" t="inlineStr">
        <is>
          <t>NET REVENUE GROWTH (YoY)</t>
        </is>
      </c>
      <c r="E304" s="78" t="str">
        <f>IFERROR(E15/D15-1,"")</f>
        <v/>
      </c>
      <c r="F304" s="78" t="str">
        <f>IFERROR(F15/E15-1,"")</f>
        <v/>
      </c>
      <c r="G304" s="78" t="str">
        <f>IFERROR(G15/F15-1,"")</f>
        <v/>
      </c>
      <c r="H304" s="257" t="str">
        <f>""</f>
        <v/>
      </c>
      <c r="I304" s="257" t="str">
        <f>""</f>
        <v/>
      </c>
      <c r="J304" s="257" t="str">
        <f>""</f>
        <v/>
      </c>
      <c r="K304" s="257" t="str">
        <f>""</f>
        <v/>
      </c>
      <c r="L304" s="257" t="str">
        <f>""</f>
        <v/>
      </c>
      <c r="M304" s="257" t="str">
        <f>IFERROR(IF(AND(ISNUMBER(M15),ISNUMBER(H15),H15&lt;&gt;0),M15/H15-1,""),"")</f>
        <v/>
      </c>
      <c r="N304" s="257">
        <f>IFERROR(IF(AND(ISNUMBER(N15),ISNUMBER(I15),I15&lt;&gt;0),N15/I15-1,""),"")</f>
        <v>0.254843777273521</v>
      </c>
      <c r="O304" s="257">
        <f>IFERROR(IF(AND(ISNUMBER(O15),ISNUMBER(J15),J15&lt;&gt;0),O15/J15-1,""),"")</f>
        <v>0.186786296900489</v>
      </c>
      <c r="P304" s="257">
        <f>IFERROR(IF(AND(ISNUMBER(P15),ISNUMBER(K15),K15&lt;&gt;0),P15/K15-1,""),"")</f>
        <v>0.187223662143619</v>
      </c>
      <c r="Q304" s="257">
        <f>IFERROR(IF(AND(ISNUMBER(Q15),ISNUMBER(L15),L15&lt;&gt;0),Q15/L15-1,""),"")</f>
        <v>0.124238560702649</v>
      </c>
      <c r="R304" s="257">
        <f>IFERROR(IF(AND(ISNUMBER(R15),ISNUMBER(M15),M15&lt;&gt;0),R15/M15-1,""),"")</f>
        <v>0.184872630215488</v>
      </c>
      <c r="S304" s="257">
        <f>IFERROR(IF(AND(ISNUMBER(S15),ISNUMBER(N15),N15&lt;&gt;0),S15/N15-1,""),"")</f>
        <v>0.110724718319655</v>
      </c>
      <c r="T304" s="257">
        <f>IFERROR(IF(AND(ISNUMBER(T15),ISNUMBER(O15),O15&lt;&gt;0),T15/O15-1,""),"")</f>
        <v>0.116563573883161</v>
      </c>
      <c r="U304" s="257">
        <f>IFERROR(IF(AND(ISNUMBER(U15),ISNUMBER(P15),P15&lt;&gt;0),U15/P15-1,""),"")</f>
        <v>0.105560549634005</v>
      </c>
      <c r="V304" s="257">
        <f>IFERROR(IF(AND(ISNUMBER(V15),ISNUMBER(Q15),Q15&lt;&gt;0),V15/Q15-1,""),"")</f>
        <v>0.087953629032258</v>
      </c>
      <c r="W304" s="257">
        <f>IFERROR(IF(AND(ISNUMBER(W15),ISNUMBER(R15),R15&lt;&gt;0),W15/R15-1,""),"")</f>
        <v>0.104813330241495</v>
      </c>
      <c r="X304" s="257">
        <f>IFERROR(IF(AND(ISNUMBER(X15),ISNUMBER(S15),S15&lt;&gt;0),X15/S15-1,""),"")</f>
        <v>0.0989355040701314</v>
      </c>
      <c r="Y304" s="257">
        <f>IFERROR(IF(AND(ISNUMBER(Y15),ISNUMBER(T15),T15&lt;&gt;0),Y15/T15-1,""),"")</f>
        <v>0.0956543149082851</v>
      </c>
      <c r="Z304" s="257">
        <f>IFERROR(IF(AND(ISNUMBER(Z15),ISNUMBER(U15),U15&lt;&gt;0),Z15/U15-1,""),"")</f>
        <v>0.117086769659658</v>
      </c>
      <c r="AA304" s="257">
        <f>IFERROR(IF(AND(ISNUMBER(AA15),ISNUMBER(V15),V15&lt;&gt;0),AA15/V15-1,""),"")</f>
        <v>0.101459346768589</v>
      </c>
      <c r="AB304" s="257">
        <f>IFERROR(IF(AND(ISNUMBER(AB15),ISNUMBER(W15),W15&lt;&gt;0),AB15/W15-1,""),"")</f>
        <v>0.103475158166172</v>
      </c>
      <c r="AC304" s="257">
        <f>IFERROR(IF(AND(ISNUMBER(AC15),ISNUMBER(X15),X15&lt;&gt;0),AC15/X15-1,""),"")</f>
        <v>0.0933333333333333</v>
      </c>
      <c r="AD304" s="257">
        <f>IFERROR(IF(AND(ISNUMBER(AD15),ISNUMBER(Y15),Y15&lt;&gt;0),AD15/Y15-1,""),"")</f>
        <v>0.142921348314607</v>
      </c>
      <c r="AE304" s="257">
        <f>IFERROR(IF(AND(ISNUMBER(AE15),ISNUMBER(Z15),Z15&lt;&gt;0),AE15/Z15-1,""),"")</f>
        <v>0.115108661744827</v>
      </c>
      <c r="AF304" s="257">
        <f>IFERROR(IF(AND(ISNUMBER(AF15),ISNUMBER(AA15),AA15&lt;&gt;0),AF15/AA15-1,""),"")</f>
        <v>0.146267087276551</v>
      </c>
      <c r="AG304" s="257">
        <f>IFERROR(IF(AND(ISNUMBER(AG15),ISNUMBER(AB15),AB15&lt;&gt;0),AG15/AB15-1,""),"")</f>
        <v>0.124694310091843</v>
      </c>
      <c r="AH304" s="257">
        <f>IFERROR(IF(AND(ISNUMBER(AH15),ISNUMBER(AC15),AC15&lt;&gt;0),AH15/AC15-1,""),"")</f>
        <v>0.170523243693975</v>
      </c>
      <c r="AI304" s="257">
        <f>IFERROR(IF(AND(ISNUMBER(AI15),ISNUMBER(AD15),AD15&lt;&gt;0),AI15/AD15-1,""),"")</f>
        <v>0.143629571372395</v>
      </c>
      <c r="AJ304" s="257">
        <f>IFERROR(IF(AND(ISNUMBER(AJ15),ISNUMBER(AE15),AE15&lt;&gt;0),AJ15/AE15-1,""),"")</f>
        <v>0.135297207622615</v>
      </c>
      <c r="AK304" s="257">
        <f>IFERROR(IF(AND(ISNUMBER(AK15),ISNUMBER(AF15),AF15&lt;&gt;0),AK15/AF15-1,""),"")</f>
        <v>0.135297207622615</v>
      </c>
      <c r="AL304" s="257">
        <f>IFERROR(IF(AND(ISNUMBER(AL15),ISNUMBER(AG15),AG15&lt;&gt;0),AL15/AG15-1,""),"")</f>
        <v>0.145509944549275</v>
      </c>
      <c r="AM304" s="257">
        <f>IFERROR(IF(AND(ISNUMBER(AM15),ISNUMBER(AH15),AH15&lt;&gt;0),AM15/AH15-1,""),"")</f>
        <v>0.135297207622615</v>
      </c>
      <c r="AN304" s="257">
        <f>IFERROR(IF(AND(ISNUMBER(AN15),ISNUMBER(AI15),AI15&lt;&gt;0),AN15/AI15-1,""),"")</f>
        <v>0.135297207622615</v>
      </c>
      <c r="AO304" s="257">
        <f>IFERROR(IF(AND(ISNUMBER(AO15),ISNUMBER(AJ15),AJ15&lt;&gt;0),AO15/AJ15-1,""),"")</f>
        <v>0.135297207622615</v>
      </c>
      <c r="AP304" s="257">
        <f>IFERROR(IF(AND(ISNUMBER(AP15),ISNUMBER(AK15),AK15&lt;&gt;0),AP15/AK15-1,""),"")</f>
        <v>0.135297207622615</v>
      </c>
      <c r="AQ304" s="257">
        <f>IFERROR(IF(AND(ISNUMBER(AQ15),ISNUMBER(AL15),AL15&lt;&gt;0),AQ15/AL15-1,""),"")</f>
        <v>0.135297207622615</v>
      </c>
      <c r="AR304" s="257">
        <f>IFERROR(IF(AND(ISNUMBER(AR15),ISNUMBER(AM15),AM15&lt;&gt;0),AR15/AM15-1,""),"")</f>
        <v>0.130297207622615</v>
      </c>
      <c r="AS304" s="257">
        <f>IFERROR(IF(AND(ISNUMBER(AS15),ISNUMBER(AN15),AN15&lt;&gt;0),AS15/AN15-1,""),"")</f>
        <v>0.130297207622615</v>
      </c>
      <c r="AT304" s="257">
        <f>IFERROR(IF(AND(ISNUMBER(AT15),ISNUMBER(AO15),AO15&lt;&gt;0),AT15/AO15-1,""),"")</f>
        <v>0.130297207622615</v>
      </c>
      <c r="AU304" s="257">
        <f>IFERROR(IF(AND(ISNUMBER(AU15),ISNUMBER(AP15),AP15&lt;&gt;0),AU15/AP15-1,""),"")</f>
        <v>0.130297207622615</v>
      </c>
      <c r="AV304" s="257">
        <f>IFERROR(IF(AND(ISNUMBER(AV15),ISNUMBER(AQ15),AQ15&lt;&gt;0),AV15/AQ15-1,""),"")</f>
        <v>0.130297207622615</v>
      </c>
      <c r="AW304" s="257">
        <f>IFERROR(IF(AND(ISNUMBER(AW15),ISNUMBER(AR15),AR15&lt;&gt;0),AW15/AR15-1,""),"")</f>
        <v>0.125297207622615</v>
      </c>
      <c r="AX304" s="257">
        <f>IFERROR(IF(AND(ISNUMBER(AX15),ISNUMBER(AS15),AS15&lt;&gt;0),AX15/AS15-1,""),"")</f>
        <v>0.125297207622615</v>
      </c>
      <c r="AY304" s="257">
        <f>IFERROR(IF(AND(ISNUMBER(AY15),ISNUMBER(AT15),AT15&lt;&gt;0),AY15/AT15-1,""),"")</f>
        <v>0.125297207622614</v>
      </c>
      <c r="AZ304" s="257">
        <f>IFERROR(IF(AND(ISNUMBER(AZ15),ISNUMBER(AU15),AU15&lt;&gt;0),AZ15/AU15-1,""),"")</f>
        <v>0.125297207622615</v>
      </c>
      <c r="BA304" s="257">
        <f>IFERROR(IF(AND(ISNUMBER(BA15),ISNUMBER(AV15),AV15&lt;&gt;0),BA15/AV15-1,""),"")</f>
        <v>0.125297207622614</v>
      </c>
      <c r="BB304" s="257">
        <f>IFERROR(IF(AND(ISNUMBER(BB15),ISNUMBER(AW15),AW15&lt;&gt;0),BB15/AW15-1,""),"")</f>
        <v>0.120297207622615</v>
      </c>
      <c r="BC304" s="257">
        <f>IFERROR(IF(AND(ISNUMBER(BC15),ISNUMBER(AX15),AX15&lt;&gt;0),BC15/AX15-1,""),"")</f>
        <v>0.120297207622615</v>
      </c>
      <c r="BD304" s="257">
        <f>IFERROR(IF(AND(ISNUMBER(BD15),ISNUMBER(AY15),AY15&lt;&gt;0),BD15/AY15-1,""),"")</f>
        <v>0.120297207622615</v>
      </c>
      <c r="BE304" s="257">
        <f>IFERROR(IF(AND(ISNUMBER(BE15),ISNUMBER(AZ15),AZ15&lt;&gt;0),BE15/AZ15-1,""),"")</f>
        <v>0.120297207622615</v>
      </c>
      <c r="BF304" s="257">
        <f>IFERROR(IF(AND(ISNUMBER(BF15),ISNUMBER(BA15),BA15&lt;&gt;0),BF15/BA15-1,""),"")</f>
        <v>0.120297207622615</v>
      </c>
      <c r="BG304" s="79" t="n"/>
      <c r="BH304" s="79" t="n"/>
      <c r="BI304" s="79" t="n"/>
      <c r="BJ304" s="79" t="n"/>
      <c r="BK304" s="78" t="n"/>
      <c r="BL304" s="79" t="n"/>
      <c r="BM304" s="79" t="n"/>
      <c r="BN304" s="79" t="n"/>
      <c r="BO304" s="79" t="n"/>
      <c r="BP304" s="78" t="n"/>
      <c r="BQ304" s="79" t="n"/>
      <c r="BR304" s="79" t="n"/>
      <c r="BS304" s="79" t="n"/>
      <c r="BT304" s="79" t="n"/>
      <c r="BU304" s="78" t="n"/>
      <c r="BV304" s="79" t="n"/>
      <c r="BW304" s="79" t="n"/>
      <c r="BX304" s="79" t="n"/>
      <c r="BY304" s="79" t="n"/>
      <c r="BZ304" s="78" t="n"/>
      <c r="CA304" s="79" t="n"/>
      <c r="CB304" s="79" t="n"/>
      <c r="CC304" s="79" t="n"/>
      <c r="CD304" s="79" t="n"/>
      <c r="CE304" s="78" t="n"/>
      <c r="CF304" s="79" t="n"/>
      <c r="CG304" s="79" t="n"/>
      <c r="CH304" s="79" t="n"/>
      <c r="CI304" s="79" t="n"/>
      <c r="CJ304" s="78" t="n"/>
      <c r="CK304" s="79" t="n"/>
      <c r="CL304" s="79" t="n"/>
      <c r="CM304" s="79" t="n"/>
      <c r="CN304" s="79" t="n"/>
      <c r="CO304" s="78" t="n"/>
      <c r="CP304" s="79" t="n"/>
      <c r="CQ304" s="79" t="n"/>
      <c r="CR304" s="79" t="n"/>
      <c r="CS304" s="79" t="n"/>
      <c r="CT304" s="78" t="n"/>
      <c r="CU304" s="79" t="n"/>
      <c r="CV304" s="79" t="n"/>
      <c r="CW304" s="79" t="n"/>
      <c r="CX304" s="79" t="n"/>
      <c r="CY304" s="78" t="n"/>
    </row>
    <row r="305" customFormat="1" s="77">
      <c r="A305" s="76" t="n"/>
      <c r="B305" s="76" t="n"/>
      <c r="C305" s="77" t="inlineStr">
        <is>
          <t>GROSS MARGIN</t>
        </is>
      </c>
      <c r="D305" s="79" t="str">
        <f>IFERROR(SUM(D15,D37)/D15,"")</f>
        <v/>
      </c>
      <c r="E305" s="79" t="str">
        <f>IFERROR(SUM(E15,E37)/E15,"")</f>
        <v/>
      </c>
      <c r="F305" s="79" t="str">
        <f>IFERROR(SUM(F15,F37)/F15,"")</f>
        <v/>
      </c>
      <c r="G305" s="79" t="str">
        <f>IFERROR(SUM(G15,G37)/G15,"")</f>
        <v/>
      </c>
      <c r="H305" s="258" t="str">
        <f>IFERROR(IF(N(H15)&lt;&gt;0,(H15+H37)/H15,""),"")</f>
        <v/>
      </c>
      <c r="I305" s="258">
        <f>IFERROR(IF(N(I15)&lt;&gt;0,(I15+I37)/I15,""),"")</f>
        <v>1</v>
      </c>
      <c r="J305" s="258">
        <f>IFERROR(IF(N(J15)&lt;&gt;0,(J15+J37)/J15,""),"")</f>
        <v>1</v>
      </c>
      <c r="K305" s="258">
        <f>IFERROR(IF(N(K15)&lt;&gt;0,(K15+K37)/K15,""),"")</f>
        <v>1</v>
      </c>
      <c r="L305" s="258">
        <f>IFERROR(IF(N(L15)&lt;&gt;0,(L15+L37)/L15,""),"")</f>
        <v>1</v>
      </c>
      <c r="M305" s="258">
        <f>IFERROR(IF(N(M15)&lt;&gt;0,(M15+M37)/M15,""),"")</f>
        <v>1</v>
      </c>
      <c r="N305" s="258">
        <f>IFERROR(IF(N(N15)&lt;&gt;0,(N15+N37)/N15,""),"")</f>
        <v>1</v>
      </c>
      <c r="O305" s="258">
        <f>IFERROR(IF(N(O15)&lt;&gt;0,(O15+O37)/O15,""),"")</f>
        <v>1</v>
      </c>
      <c r="P305" s="258">
        <f>IFERROR(IF(N(P15)&lt;&gt;0,(P15+P37)/P15,""),"")</f>
        <v>1</v>
      </c>
      <c r="Q305" s="258">
        <f>IFERROR(IF(N(Q15)&lt;&gt;0,(Q15+Q37)/Q15,""),"")</f>
        <v>1</v>
      </c>
      <c r="R305" s="258">
        <f>IFERROR(IF(N(R15)&lt;&gt;0,(R15+R37)/R15,""),"")</f>
        <v>1</v>
      </c>
      <c r="S305" s="258">
        <f>IFERROR(IF(N(S15)&lt;&gt;0,(S15+S37)/S15,""),"")</f>
        <v>1</v>
      </c>
      <c r="T305" s="258">
        <f>IFERROR(IF(N(T15)&lt;&gt;0,(T15+T37)/T15,""),"")</f>
        <v>1</v>
      </c>
      <c r="U305" s="258">
        <f>IFERROR(IF(N(U15)&lt;&gt;0,(U15+U37)/U15,""),"")</f>
        <v>1</v>
      </c>
      <c r="V305" s="258">
        <f>IFERROR(IF(N(V15)&lt;&gt;0,(V15+V37)/V15,""),"")</f>
        <v>1</v>
      </c>
      <c r="W305" s="258">
        <f>IFERROR(IF(N(W15)&lt;&gt;0,(W15+W37)/W15,""),"")</f>
        <v>1</v>
      </c>
      <c r="X305" s="258">
        <f>IFERROR(IF(N(X15)&lt;&gt;0,(X15+X37)/X15,""),"")</f>
        <v>1</v>
      </c>
      <c r="Y305" s="258">
        <f>IFERROR(IF(N(Y15)&lt;&gt;0,(Y15+Y37)/Y15,""),"")</f>
        <v>1</v>
      </c>
      <c r="Z305" s="258">
        <f>IFERROR(IF(N(Z15)&lt;&gt;0,(Z15+Z37)/Z15,""),"")</f>
        <v>1</v>
      </c>
      <c r="AA305" s="258">
        <f>IFERROR(IF(N(AA15)&lt;&gt;0,(AA15+AA37)/AA15,""),"")</f>
        <v>1</v>
      </c>
      <c r="AB305" s="258">
        <f>IFERROR(IF(N(AB15)&lt;&gt;0,(AB15+AB37)/AB15,""),"")</f>
        <v>1</v>
      </c>
      <c r="AC305" s="258">
        <f>IFERROR(IF(N(AC15)&lt;&gt;0,(AC15+AC37)/AC15,""),"")</f>
        <v>1</v>
      </c>
      <c r="AD305" s="258">
        <f>IFERROR(IF(N(AD15)&lt;&gt;0,(AD15+AD37)/AD15,""),"")</f>
        <v>1</v>
      </c>
      <c r="AE305" s="258">
        <f>IFERROR(IF(N(AE15)&lt;&gt;0,(AE15+AE37)/AE15,""),"")</f>
        <v>1</v>
      </c>
      <c r="AF305" s="258">
        <f>IFERROR(IF(N(AF15)&lt;&gt;0,(AF15+AF37)/AF15,""),"")</f>
        <v>1</v>
      </c>
      <c r="AG305" s="258">
        <f>IFERROR(IF(N(AG15)&lt;&gt;0,(AG15+AG37)/AG15,""),"")</f>
        <v>1</v>
      </c>
      <c r="AH305" s="258">
        <f>IFERROR(IF(N(AH15)&lt;&gt;0,(AH15+AH37)/AH15,""),"")</f>
        <v>1</v>
      </c>
      <c r="AI305" s="258">
        <f>IFERROR(IF(N(AI15)&lt;&gt;0,(AI15+AI37)/AI15,""),"")</f>
        <v>1</v>
      </c>
      <c r="AJ305" s="258">
        <f>IFERROR(IF(N(AJ15)&lt;&gt;0,(AJ15+AJ37)/AJ15,""),"")</f>
        <v>1</v>
      </c>
      <c r="AK305" s="258">
        <f>IFERROR(IF(N(AK15)&lt;&gt;0,(AK15+AK37)/AK15,""),"")</f>
        <v>1</v>
      </c>
      <c r="AL305" s="258">
        <f>IFERROR(IF(N(AL15)&lt;&gt;0,(AL15+AL37)/AL15,""),"")</f>
        <v>1</v>
      </c>
      <c r="AM305" s="258">
        <f>IFERROR(IF(N(AM15)&lt;&gt;0,(AM15+AM37)/AM15,""),"")</f>
        <v>1</v>
      </c>
      <c r="AN305" s="258">
        <f>IFERROR(IF(N(AN15)&lt;&gt;0,(AN15+AN37)/AN15,""),"")</f>
        <v>1</v>
      </c>
      <c r="AO305" s="258">
        <f>IFERROR(IF(N(AO15)&lt;&gt;0,(AO15+AO37)/AO15,""),"")</f>
        <v>1</v>
      </c>
      <c r="AP305" s="258">
        <f>IFERROR(IF(N(AP15)&lt;&gt;0,(AP15+AP37)/AP15,""),"")</f>
        <v>1</v>
      </c>
      <c r="AQ305" s="258">
        <f>IFERROR(IF(N(AQ15)&lt;&gt;0,(AQ15+AQ37)/AQ15,""),"")</f>
        <v>1</v>
      </c>
      <c r="AR305" s="258">
        <f>IFERROR(IF(N(AR15)&lt;&gt;0,(AR15+AR37)/AR15,""),"")</f>
        <v>1</v>
      </c>
      <c r="AS305" s="258">
        <f>IFERROR(IF(N(AS15)&lt;&gt;0,(AS15+AS37)/AS15,""),"")</f>
        <v>1</v>
      </c>
      <c r="AT305" s="258">
        <f>IFERROR(IF(N(AT15)&lt;&gt;0,(AT15+AT37)/AT15,""),"")</f>
        <v>1</v>
      </c>
      <c r="AU305" s="258">
        <f>IFERROR(IF(N(AU15)&lt;&gt;0,(AU15+AU37)/AU15,""),"")</f>
        <v>1</v>
      </c>
      <c r="AV305" s="258">
        <f>IFERROR(IF(N(AV15)&lt;&gt;0,(AV15+AV37)/AV15,""),"")</f>
        <v>1</v>
      </c>
      <c r="AW305" s="258">
        <f>IFERROR(IF(N(AW15)&lt;&gt;0,(AW15+AW37)/AW15,""),"")</f>
        <v>1</v>
      </c>
      <c r="AX305" s="258">
        <f>IFERROR(IF(N(AX15)&lt;&gt;0,(AX15+AX37)/AX15,""),"")</f>
        <v>1</v>
      </c>
      <c r="AY305" s="258">
        <f>IFERROR(IF(N(AY15)&lt;&gt;0,(AY15+AY37)/AY15,""),"")</f>
        <v>1</v>
      </c>
      <c r="AZ305" s="258">
        <f>IFERROR(IF(N(AZ15)&lt;&gt;0,(AZ15+AZ37)/AZ15,""),"")</f>
        <v>1</v>
      </c>
      <c r="BA305" s="258">
        <f>IFERROR(IF(N(BA15)&lt;&gt;0,(BA15+BA37)/BA15,""),"")</f>
        <v>1</v>
      </c>
      <c r="BB305" s="258">
        <f>IFERROR(IF(N(BB15)&lt;&gt;0,(BB15+BB37)/BB15,""),"")</f>
        <v>1</v>
      </c>
      <c r="BC305" s="258">
        <f>IFERROR(IF(N(BC15)&lt;&gt;0,(BC15+BC37)/BC15,""),"")</f>
        <v>1</v>
      </c>
      <c r="BD305" s="258">
        <f>IFERROR(IF(N(BD15)&lt;&gt;0,(BD15+BD37)/BD15,""),"")</f>
        <v>1</v>
      </c>
      <c r="BE305" s="258">
        <f>IFERROR(IF(N(BE15)&lt;&gt;0,(BE15+BE37)/BE15,""),"")</f>
        <v>1</v>
      </c>
      <c r="BF305" s="258">
        <f>IFERROR(IF(N(BF15)&lt;&gt;0,(BF15+BF37)/BF15,""),"")</f>
        <v>1</v>
      </c>
      <c r="BG305" s="80" t="n"/>
      <c r="BH305" s="80" t="n"/>
      <c r="BI305" s="80" t="n"/>
      <c r="BJ305" s="80" t="n"/>
      <c r="BL305" s="80" t="n"/>
      <c r="BM305" s="80" t="n"/>
      <c r="BN305" s="80" t="n"/>
      <c r="BO305" s="80" t="n"/>
      <c r="BQ305" s="80" t="n"/>
      <c r="BR305" s="80" t="n"/>
      <c r="BS305" s="80" t="n"/>
      <c r="BT305" s="80" t="n"/>
      <c r="BV305" s="80" t="n"/>
      <c r="BW305" s="80" t="n"/>
      <c r="BX305" s="80" t="n"/>
      <c r="BY305" s="80" t="n"/>
      <c r="CA305" s="80" t="n"/>
      <c r="CB305" s="80" t="n"/>
      <c r="CC305" s="80" t="n"/>
      <c r="CD305" s="80" t="n"/>
      <c r="CF305" s="80" t="n"/>
      <c r="CG305" s="80" t="n"/>
      <c r="CH305" s="80" t="n"/>
      <c r="CI305" s="80" t="n"/>
      <c r="CK305" s="80" t="n"/>
      <c r="CL305" s="80" t="n"/>
      <c r="CM305" s="80" t="n"/>
      <c r="CN305" s="80" t="n"/>
      <c r="CP305" s="80" t="n"/>
      <c r="CQ305" s="80" t="n"/>
      <c r="CR305" s="80" t="n"/>
      <c r="CS305" s="80" t="n"/>
      <c r="CU305" s="80" t="n"/>
      <c r="CV305" s="80" t="n"/>
      <c r="CW305" s="80" t="n"/>
      <c r="CX305" s="80" t="n"/>
    </row>
    <row r="306" customFormat="1" s="77">
      <c r="A306" s="76" t="n"/>
      <c r="B306" s="76" t="n"/>
      <c r="C306" s="77" t="inlineStr">
        <is>
          <t>EBIT MARGIN</t>
        </is>
      </c>
      <c r="D306" s="78" t="str">
        <f>IFERROR((D56/D15),"")</f>
        <v/>
      </c>
      <c r="E306" s="78" t="str">
        <f>IFERROR((E56/E15),"")</f>
        <v/>
      </c>
      <c r="F306" s="78" t="str">
        <f>IFERROR((F56/F15),"")</f>
        <v/>
      </c>
      <c r="G306" s="78" t="str">
        <f>IFERROR((G56/G15),"")</f>
        <v/>
      </c>
      <c r="H306" s="258" t="str">
        <f>IFERROR(IF(N(H15)&lt;&gt;0,H56/H15,""),"")</f>
        <v/>
      </c>
      <c r="I306" s="257">
        <f>IFERROR(IF(N(I15)&lt;&gt;0,I56/I15,""),"")</f>
        <v>0.625065456449642</v>
      </c>
      <c r="J306" s="257">
        <f>IFERROR(IF(N(J15)&lt;&gt;0,J56/J15,""),"")</f>
        <v>0.662969004893964</v>
      </c>
      <c r="K306" s="257">
        <f>IFERROR(IF(N(K15)&lt;&gt;0,K56/K15,""),"")</f>
        <v>0.657874676017686</v>
      </c>
      <c r="L306" s="257">
        <f>IFERROR(IF(N(L15)&lt;&gt;0,L56/L15,""),"")</f>
        <v>0.676583085422864</v>
      </c>
      <c r="M306" s="258">
        <f>IFERROR(IF(N(M15)&lt;&gt;0,M56/M15,""),"")</f>
        <v>0.656906229147859</v>
      </c>
      <c r="N306" s="257">
        <f>IFERROR(IF(N(N15)&lt;&gt;0,N56/N15,""),"")</f>
        <v>0.667964946445959</v>
      </c>
      <c r="O306" s="257">
        <f>IFERROR(IF(N(O15)&lt;&gt;0,O56/O15,""),"")</f>
        <v>0.570171821305842</v>
      </c>
      <c r="P306" s="257">
        <f>IFERROR(IF(N(P15)&lt;&gt;0,P56/P15,""),"")</f>
        <v>0.65326826762553</v>
      </c>
      <c r="Q306" s="257">
        <f>IFERROR(IF(N(Q15)&lt;&gt;0,Q56/Q15,""),"")</f>
        <v>0.641381048387097</v>
      </c>
      <c r="R306" s="258">
        <f>IFERROR(IF(N(R15)&lt;&gt;0,R56/R15,""),"")</f>
        <v>0.633617119952297</v>
      </c>
      <c r="S306" s="257">
        <f>IFERROR(IF(N(S15)&lt;&gt;0,S56/S15,""),"")</f>
        <v>0.668252974326863</v>
      </c>
      <c r="T306" s="257">
        <f>IFERROR(IF(N(T15)&lt;&gt;0,T56/T15,""),"")</f>
        <v>0.618490705404407</v>
      </c>
      <c r="U306" s="257">
        <f>IFERROR(IF(N(U15)&lt;&gt;0,U56/U15,""),"")</f>
        <v>0.64467417818562</v>
      </c>
      <c r="V306" s="257">
        <f>IFERROR(IF(N(V15)&lt;&gt;0,V56/V15,""),"")</f>
        <v>0.689599258744499</v>
      </c>
      <c r="W306" s="258">
        <f>IFERROR(IF(N(W15)&lt;&gt;0,W56/W15,""),"")</f>
        <v>0.655572546550328</v>
      </c>
      <c r="X306" s="257">
        <f>IFERROR(IF(N(X15)&lt;&gt;0,X56/X15,""),"")</f>
        <v>0.61014245014245</v>
      </c>
      <c r="Y306" s="257">
        <f>IFERROR(IF(N(Y15)&lt;&gt;0,Y56/Y15,""),"")</f>
        <v>0.667191011235955</v>
      </c>
      <c r="Z306" s="257">
        <f>IFERROR(IF(N(Z15)&lt;&gt;0,Z56/Z15,""),"")</f>
        <v>0.660185088905064</v>
      </c>
      <c r="AA306" s="257">
        <f>IFERROR(IF(N(AA15)&lt;&gt;0,AA56/AA15,""),"")</f>
        <v>0.655520504731861</v>
      </c>
      <c r="AB306" s="258">
        <f>IFERROR(IF(N(AB15)&lt;&gt;0,AB56/AB15,""),"")</f>
        <v>0.648741916200207</v>
      </c>
      <c r="AC306" s="257">
        <f>IFERROR(IF(N(AC15)&lt;&gt;0,AC56/AC15,""),"")</f>
        <v>0.566499895768189</v>
      </c>
      <c r="AD306" s="257">
        <f>IFERROR(IF(N(AD15)&lt;&gt;0,AD56/AD15,""),"")</f>
        <v>0.607255210381439</v>
      </c>
      <c r="AE306" s="257">
        <f>IFERROR(IF(N(AE15)&lt;&gt;0,AE56/AE15,""),"")</f>
        <v>0.573293547183887</v>
      </c>
      <c r="AF306" s="257">
        <f>IFERROR(IF(N(AF15)&lt;&gt;0,AF56/AF15,""),"")</f>
        <v>0.618016695715989</v>
      </c>
      <c r="AG306" s="258">
        <f>IFERROR(IF(N(AG15)&lt;&gt;0,AG56/AG15,""),"")</f>
        <v>0.591843637505738</v>
      </c>
      <c r="AH306" s="257">
        <f>IFERROR(IF(N(AH15)&lt;&gt;0,AH56/AH15,""),"")</f>
        <v>0.644167408726625</v>
      </c>
      <c r="AI306" s="257">
        <f>IFERROR(IF(N(AI15)&lt;&gt;0,AI56/AI15,""),"")</f>
        <v>0.591163070575088</v>
      </c>
      <c r="AJ306" s="257">
        <f>IFERROR(IF(N(AJ15)&lt;&gt;0,AJ56/AJ15,""),"")</f>
        <v>0.60006597139187</v>
      </c>
      <c r="AK306" s="257">
        <f>IFERROR(IF(N(AK15)&lt;&gt;0,AK56/AK15,""),"")</f>
        <v>0.60006597139187</v>
      </c>
      <c r="AL306" s="258">
        <f>IFERROR(IF(N(AL15)&lt;&gt;0,AL56/AL15,""),"")</f>
        <v>0.608327103775199</v>
      </c>
      <c r="AM306" s="257">
        <f>IFERROR(IF(N(AM15)&lt;&gt;0,AM56/AM15,""),"")</f>
        <v>0.60006597139187</v>
      </c>
      <c r="AN306" s="257">
        <f>IFERROR(IF(N(AN15)&lt;&gt;0,AN56/AN15,""),"")</f>
        <v>0.60006597139187</v>
      </c>
      <c r="AO306" s="257">
        <f>IFERROR(IF(N(AO15)&lt;&gt;0,AO56/AO15,""),"")</f>
        <v>0.60006597139187</v>
      </c>
      <c r="AP306" s="257">
        <f>IFERROR(IF(N(AP15)&lt;&gt;0,AP56/AP15,""),"")</f>
        <v>0.60006597139187</v>
      </c>
      <c r="AQ306" s="258">
        <f>IFERROR(IF(N(AQ15)&lt;&gt;0,AQ56/AQ15,""),"")</f>
        <v>0.60006597139187</v>
      </c>
      <c r="AR306" s="257">
        <f>IFERROR(IF(N(AR15)&lt;&gt;0,AR56/AR15,""),"")</f>
        <v>0.60006597139187</v>
      </c>
      <c r="AS306" s="257">
        <f>IFERROR(IF(N(AS15)&lt;&gt;0,AS56/AS15,""),"")</f>
        <v>0.60006597139187</v>
      </c>
      <c r="AT306" s="257">
        <f>IFERROR(IF(N(AT15)&lt;&gt;0,AT56/AT15,""),"")</f>
        <v>0.60006597139187</v>
      </c>
      <c r="AU306" s="257">
        <f>IFERROR(IF(N(AU15)&lt;&gt;0,AU56/AU15,""),"")</f>
        <v>0.60006597139187</v>
      </c>
      <c r="AV306" s="258">
        <f>IFERROR(IF(N(AV15)&lt;&gt;0,AV56/AV15,""),"")</f>
        <v>0.600065971391869</v>
      </c>
      <c r="AW306" s="257">
        <f>IFERROR(IF(N(AW15)&lt;&gt;0,AW56/AW15,""),"")</f>
        <v>0.60006597139187</v>
      </c>
      <c r="AX306" s="257">
        <f>IFERROR(IF(N(AX15)&lt;&gt;0,AX56/AX15,""),"")</f>
        <v>0.60006597139187</v>
      </c>
      <c r="AY306" s="257">
        <f>IFERROR(IF(N(AY15)&lt;&gt;0,AY56/AY15,""),"")</f>
        <v>0.60006597139187</v>
      </c>
      <c r="AZ306" s="257">
        <f>IFERROR(IF(N(AZ15)&lt;&gt;0,AZ56/AZ15,""),"")</f>
        <v>0.60006597139187</v>
      </c>
      <c r="BA306" s="258">
        <f>IFERROR(IF(N(BA15)&lt;&gt;0,BA56/BA15,""),"")</f>
        <v>0.60006597139187</v>
      </c>
      <c r="BB306" s="257">
        <f>IFERROR(IF(N(BB15)&lt;&gt;0,BB56/BB15,""),"")</f>
        <v>0.600065971391869</v>
      </c>
      <c r="BC306" s="257">
        <f>IFERROR(IF(N(BC15)&lt;&gt;0,BC56/BC15,""),"")</f>
        <v>0.60006597139187</v>
      </c>
      <c r="BD306" s="257">
        <f>IFERROR(IF(N(BD15)&lt;&gt;0,BD56/BD15,""),"")</f>
        <v>0.60006597139187</v>
      </c>
      <c r="BE306" s="257">
        <f>IFERROR(IF(N(BE15)&lt;&gt;0,BE56/BE15,""),"")</f>
        <v>0.60006597139187</v>
      </c>
      <c r="BF306" s="258">
        <f>IFERROR(IF(N(BF15)&lt;&gt;0,BF56/BF15,""),"")</f>
        <v>0.60006597139187</v>
      </c>
      <c r="BG306" s="81" t="n"/>
      <c r="BH306" s="81" t="n"/>
      <c r="BI306" s="81" t="n"/>
      <c r="BJ306" s="81" t="n"/>
      <c r="BL306" s="81" t="n"/>
      <c r="BM306" s="81" t="n"/>
      <c r="BN306" s="81" t="n"/>
      <c r="BO306" s="81" t="n"/>
      <c r="BQ306" s="81" t="n"/>
      <c r="BR306" s="81" t="n"/>
      <c r="BS306" s="81" t="n"/>
      <c r="BT306" s="81" t="n"/>
      <c r="BV306" s="81" t="n"/>
      <c r="BW306" s="81" t="n"/>
      <c r="BX306" s="81" t="n"/>
      <c r="BY306" s="81" t="n"/>
      <c r="CA306" s="81" t="n"/>
      <c r="CB306" s="81" t="n"/>
      <c r="CC306" s="81" t="n"/>
      <c r="CD306" s="81" t="n"/>
      <c r="CF306" s="81" t="n"/>
      <c r="CG306" s="81" t="n"/>
      <c r="CH306" s="81" t="n"/>
      <c r="CI306" s="81" t="n"/>
      <c r="CK306" s="81" t="n"/>
      <c r="CL306" s="81" t="n"/>
      <c r="CM306" s="81" t="n"/>
      <c r="CN306" s="81" t="n"/>
      <c r="CP306" s="81" t="n"/>
      <c r="CQ306" s="81" t="n"/>
      <c r="CR306" s="81" t="n"/>
      <c r="CS306" s="81" t="n"/>
      <c r="CU306" s="81" t="n"/>
      <c r="CV306" s="81" t="n"/>
      <c r="CW306" s="81" t="n"/>
      <c r="CX306" s="81" t="n"/>
    </row>
    <row r="307" customFormat="1" s="77">
      <c r="A307" s="76" t="n"/>
      <c r="B307" s="76" t="n"/>
      <c r="C307" s="77" t="inlineStr">
        <is>
          <t>EBITDA MARGIN</t>
        </is>
      </c>
      <c r="D307" s="78" t="str">
        <f>IFERROR(D52/D15,"")</f>
        <v/>
      </c>
      <c r="E307" s="78" t="str">
        <f>IFERROR(E52/E15,"")</f>
        <v/>
      </c>
      <c r="F307" s="78" t="str">
        <f>IFERROR(F52/F15,"")</f>
        <v/>
      </c>
      <c r="G307" s="78" t="str">
        <f>IFERROR(G52/G15,"")</f>
        <v/>
      </c>
      <c r="H307" s="258" t="str">
        <f>IFERROR(IF(N(H15)&lt;&gt;0,H52/H15,""),"")</f>
        <v/>
      </c>
      <c r="I307" s="257">
        <f>IFERROR(IF(N(I15)&lt;&gt;0,I52/I15,""),"")</f>
        <v>0.660150113457846</v>
      </c>
      <c r="J307" s="257">
        <f>IFERROR(IF(N(J15)&lt;&gt;0,J52/J15,""),"")</f>
        <v>0.696247960848287</v>
      </c>
      <c r="K307" s="257">
        <f>IFERROR(IF(N(K15)&lt;&gt;0,K52/K15,""),"")</f>
        <v>0.688672053666718</v>
      </c>
      <c r="L307" s="257">
        <f>IFERROR(IF(N(L15)&lt;&gt;0,L52/L15,""),"")</f>
        <v>0.704632384190395</v>
      </c>
      <c r="M307" s="258">
        <f>IFERROR(IF(N(M15)&lt;&gt;0,M52/M15,""),"")</f>
        <v>0.688503355968128</v>
      </c>
      <c r="N307" s="257">
        <f>IFERROR(IF(N(N15)&lt;&gt;0,N52/N15,""),"")</f>
        <v>0.696758937265266</v>
      </c>
      <c r="O307" s="257">
        <f>IFERROR(IF(N(O15)&lt;&gt;0,O52/O15,""),"")</f>
        <v>0.601786941580756</v>
      </c>
      <c r="P307" s="257">
        <f>IFERROR(IF(N(P15)&lt;&gt;0,P52/P15,""),"")</f>
        <v>0.682290997816874</v>
      </c>
      <c r="Q307" s="257">
        <f>IFERROR(IF(N(Q15)&lt;&gt;0,Q52/Q15,""),"")</f>
        <v>0.669984879032258</v>
      </c>
      <c r="R307" s="258">
        <f>IFERROR(IF(N(R15)&lt;&gt;0,R52/R15,""),"")</f>
        <v>0.663100009938053</v>
      </c>
      <c r="S307" s="257">
        <f>IFERROR(IF(N(S15)&lt;&gt;0,S52/S15,""),"")</f>
        <v>0.697557921102066</v>
      </c>
      <c r="T307" s="257">
        <f>IFERROR(IF(N(T15)&lt;&gt;0,T52/T15,""),"")</f>
        <v>0.647420903607042</v>
      </c>
      <c r="U307" s="257">
        <f>IFERROR(IF(N(U15)&lt;&gt;0,U52/U15,""),"")</f>
        <v>0.673365083052619</v>
      </c>
      <c r="V307" s="257">
        <f>IFERROR(IF(N(V15)&lt;&gt;0,V52/V15,""),"")</f>
        <v>0.718207088255733</v>
      </c>
      <c r="W307" s="258">
        <f>IFERROR(IF(N(W15)&lt;&gt;0,W52/W15,""),"")</f>
        <v>0.684447242961231</v>
      </c>
      <c r="X307" s="257">
        <f>IFERROR(IF(N(X15)&lt;&gt;0,X52/X15,""),"")</f>
        <v>0.638518518518519</v>
      </c>
      <c r="Y307" s="257">
        <f>IFERROR(IF(N(Y15)&lt;&gt;0,Y52/Y15,""),"")</f>
        <v>0.69685393258427</v>
      </c>
      <c r="Z307" s="257">
        <f>IFERROR(IF(N(Z15)&lt;&gt;0,Z52/Z15,""),"")</f>
        <v>0.6886763023812</v>
      </c>
      <c r="AA307" s="257">
        <f>IFERROR(IF(N(AA15)&lt;&gt;0,AA52/AA15,""),"")</f>
        <v>0.685173501577287</v>
      </c>
      <c r="AB307" s="258">
        <f>IFERROR(IF(N(AB15)&lt;&gt;0,AB52/AB15,""),"")</f>
        <v>0.677789250584207</v>
      </c>
      <c r="AC307" s="257">
        <f>IFERROR(IF(N(AC15)&lt;&gt;0,AC52/AC15,""),"")</f>
        <v>0.598290598290598</v>
      </c>
      <c r="AD307" s="257">
        <f>IFERROR(IF(N(AD15)&lt;&gt;0,AD52/AD15,""),"")</f>
        <v>0.63841918993315</v>
      </c>
      <c r="AE307" s="257">
        <f>IFERROR(IF(N(AE15)&lt;&gt;0,AE52/AE15,""),"")</f>
        <v>0.602760164117867</v>
      </c>
      <c r="AF307" s="257">
        <f>IFERROR(IF(N(AF15)&lt;&gt;0,AF52/AF15,""),"")</f>
        <v>0.647922208971654</v>
      </c>
      <c r="AG307" s="258">
        <f>IFERROR(IF(N(AG15)&lt;&gt;0,AG52/AG15,""),"")</f>
        <v>0.622381677176198</v>
      </c>
      <c r="AH307" s="257">
        <f>IFERROR(IF(N(AH15)&lt;&gt;0,AH52/AH15,""),"")</f>
        <v>0.673820124666073</v>
      </c>
      <c r="AI307" s="257">
        <f>IFERROR(IF(N(AI15)&lt;&gt;0,AI52/AI15,""),"")</f>
        <v>0.622711252471418</v>
      </c>
      <c r="AJ307" s="257">
        <f>IFERROR(IF(N(AJ15)&lt;&gt;0,AJ52/AJ15,""),"")</f>
        <v>0.630653923075127</v>
      </c>
      <c r="AK307" s="257">
        <f>IFERROR(IF(N(AK15)&lt;&gt;0,AK52/AK15,""),"")</f>
        <v>0.630653923075127</v>
      </c>
      <c r="AL307" s="258">
        <f>IFERROR(IF(N(AL15)&lt;&gt;0,AL52/AL15,""),"")</f>
        <v>0.638929137026184</v>
      </c>
      <c r="AM307" s="257">
        <f>IFERROR(IF(N(AM15)&lt;&gt;0,AM52/AM15,""),"")</f>
        <v>0.630653923075127</v>
      </c>
      <c r="AN307" s="257">
        <f>IFERROR(IF(N(AN15)&lt;&gt;0,AN52/AN15,""),"")</f>
        <v>0.630653923075127</v>
      </c>
      <c r="AO307" s="257">
        <f>IFERROR(IF(N(AO15)&lt;&gt;0,AO52/AO15,""),"")</f>
        <v>0.630653923075127</v>
      </c>
      <c r="AP307" s="257">
        <f>IFERROR(IF(N(AP15)&lt;&gt;0,AP52/AP15,""),"")</f>
        <v>0.630653923075127</v>
      </c>
      <c r="AQ307" s="258">
        <f>IFERROR(IF(N(AQ15)&lt;&gt;0,AQ52/AQ15,""),"")</f>
        <v>0.630653923075127</v>
      </c>
      <c r="AR307" s="257">
        <f>IFERROR(IF(N(AR15)&lt;&gt;0,AR52/AR15,""),"")</f>
        <v>0.630653923075127</v>
      </c>
      <c r="AS307" s="257">
        <f>IFERROR(IF(N(AS15)&lt;&gt;0,AS52/AS15,""),"")</f>
        <v>0.630653923075127</v>
      </c>
      <c r="AT307" s="257">
        <f>IFERROR(IF(N(AT15)&lt;&gt;0,AT52/AT15,""),"")</f>
        <v>0.630653923075127</v>
      </c>
      <c r="AU307" s="257">
        <f>IFERROR(IF(N(AU15)&lt;&gt;0,AU52/AU15,""),"")</f>
        <v>0.630653923075127</v>
      </c>
      <c r="AV307" s="258">
        <f>IFERROR(IF(N(AV15)&lt;&gt;0,AV52/AV15,""),"")</f>
        <v>0.630653923075127</v>
      </c>
      <c r="AW307" s="257">
        <f>IFERROR(IF(N(AW15)&lt;&gt;0,AW52/AW15,""),"")</f>
        <v>0.630653923075127</v>
      </c>
      <c r="AX307" s="257">
        <f>IFERROR(IF(N(AX15)&lt;&gt;0,AX52/AX15,""),"")</f>
        <v>0.630653923075127</v>
      </c>
      <c r="AY307" s="257">
        <f>IFERROR(IF(N(AY15)&lt;&gt;0,AY52/AY15,""),"")</f>
        <v>0.630653923075127</v>
      </c>
      <c r="AZ307" s="257">
        <f>IFERROR(IF(N(AZ15)&lt;&gt;0,AZ52/AZ15,""),"")</f>
        <v>0.630653923075127</v>
      </c>
      <c r="BA307" s="258">
        <f>IFERROR(IF(N(BA15)&lt;&gt;0,BA52/BA15,""),"")</f>
        <v>0.630653923075127</v>
      </c>
      <c r="BB307" s="257">
        <f>IFERROR(IF(N(BB15)&lt;&gt;0,BB52/BB15,""),"")</f>
        <v>0.630653923075127</v>
      </c>
      <c r="BC307" s="257">
        <f>IFERROR(IF(N(BC15)&lt;&gt;0,BC52/BC15,""),"")</f>
        <v>0.630653923075127</v>
      </c>
      <c r="BD307" s="257">
        <f>IFERROR(IF(N(BD15)&lt;&gt;0,BD52/BD15,""),"")</f>
        <v>0.630653923075127</v>
      </c>
      <c r="BE307" s="257">
        <f>IFERROR(IF(N(BE15)&lt;&gt;0,BE52/BE15,""),"")</f>
        <v>0.630653923075127</v>
      </c>
      <c r="BF307" s="258">
        <f>IFERROR(IF(N(BF15)&lt;&gt;0,BF52/BF15,""),"")</f>
        <v>0.630653923075127</v>
      </c>
      <c r="BG307" s="81" t="n"/>
      <c r="BH307" s="81" t="n"/>
      <c r="BI307" s="81" t="n"/>
      <c r="BJ307" s="81" t="n"/>
      <c r="BL307" s="81" t="n"/>
      <c r="BM307" s="81" t="n"/>
      <c r="BN307" s="81" t="n"/>
      <c r="BO307" s="81" t="n"/>
      <c r="BQ307" s="81" t="n"/>
      <c r="BR307" s="81" t="n"/>
      <c r="BS307" s="81" t="n"/>
      <c r="BT307" s="81" t="n"/>
      <c r="BV307" s="81" t="n"/>
      <c r="BW307" s="81" t="n"/>
      <c r="BX307" s="81" t="n"/>
      <c r="BY307" s="81" t="n"/>
      <c r="CA307" s="81" t="n"/>
      <c r="CB307" s="81" t="n"/>
      <c r="CC307" s="81" t="n"/>
      <c r="CD307" s="81" t="n"/>
      <c r="CF307" s="81" t="n"/>
      <c r="CG307" s="81" t="n"/>
      <c r="CH307" s="81" t="n"/>
      <c r="CI307" s="81" t="n"/>
      <c r="CK307" s="81" t="n"/>
      <c r="CL307" s="81" t="n"/>
      <c r="CM307" s="81" t="n"/>
      <c r="CN307" s="81" t="n"/>
      <c r="CP307" s="81" t="n"/>
      <c r="CQ307" s="81" t="n"/>
      <c r="CR307" s="81" t="n"/>
      <c r="CS307" s="81" t="n"/>
      <c r="CU307" s="81" t="n"/>
      <c r="CV307" s="81" t="n"/>
      <c r="CW307" s="81" t="n"/>
      <c r="CX307" s="81" t="n"/>
    </row>
    <row r="308" customFormat="1" s="77">
      <c r="A308" s="76" t="n"/>
      <c r="B308" s="76" t="n"/>
      <c r="C308" s="77" t="inlineStr">
        <is>
          <t>ETR</t>
        </is>
      </c>
      <c r="D308" s="78" t="str">
        <f>IFERROR(-D114/D113,"")</f>
        <v/>
      </c>
      <c r="E308" s="78" t="str">
        <f>IFERROR(-E114/E113,"")</f>
        <v/>
      </c>
      <c r="F308" s="78" t="str">
        <f>IFERROR(-F114/F113,"")</f>
        <v/>
      </c>
      <c r="G308" s="78" t="str">
        <f>IFERROR(-G114/G113,"")</f>
        <v/>
      </c>
      <c r="H308" s="258" t="str">
        <f>IFERROR(IF(N(H113)&lt;&gt;0,-H114/H113,""),"")</f>
        <v/>
      </c>
      <c r="I308" s="257">
        <f>IFERROR(IF(N(I113)&lt;&gt;0,-I114/I113,""),"")</f>
        <v>0.16593164277839</v>
      </c>
      <c r="J308" s="257">
        <f>IFERROR(IF(N(J113)&lt;&gt;0,-J114/J113,""),"")</f>
        <v>0.413305992253361</v>
      </c>
      <c r="K308" s="257">
        <f>IFERROR(IF(N(K113)&lt;&gt;0,-K114/K113,""),"")</f>
        <v>0.166123778501629</v>
      </c>
      <c r="L308" s="257">
        <f>IFERROR(IF(N(L113)&lt;&gt;0,-L114/L113,""),"")</f>
        <v>0.191545844394527</v>
      </c>
      <c r="M308" s="258">
        <f>IFERROR(IF(N(M113)&lt;&gt;0,-M114/M113,""),"")</f>
        <v>0.236346734836161</v>
      </c>
      <c r="N308" s="257">
        <f>IFERROR(IF(N(N113)&lt;&gt;0,-N114/N113,""),"")</f>
        <v>0.19704975781594</v>
      </c>
      <c r="O308" s="257">
        <f>IFERROR(IF(N(O113)&lt;&gt;0,-O114/O113,""),"")</f>
        <v>0.109166884303996</v>
      </c>
      <c r="P308" s="257">
        <f>IFERROR(IF(N(P113)&lt;&gt;0,-P114/P113,""),"")</f>
        <v>0.19063270336894</v>
      </c>
      <c r="Q308" s="257">
        <f>IFERROR(IF(N(Q113)&lt;&gt;0,-Q114/Q113,""),"")</f>
        <v>0.160337552742616</v>
      </c>
      <c r="R308" s="258">
        <f>IFERROR(IF(N(R113)&lt;&gt;0,-R114/R113,""),"")</f>
        <v>0.166831357048748</v>
      </c>
      <c r="S308" s="257">
        <f>IFERROR(IF(N(S113)&lt;&gt;0,-S114/S113,""),"")</f>
        <v>0.193444486547935</v>
      </c>
      <c r="T308" s="257">
        <f>IFERROR(IF(N(T113)&lt;&gt;0,-T114/T113,""),"")</f>
        <v>0.192382432957637</v>
      </c>
      <c r="U308" s="257">
        <f>IFERROR(IF(N(U113)&lt;&gt;0,-U114/U113,""),"")</f>
        <v>0.1694464158978</v>
      </c>
      <c r="V308" s="257">
        <f>IFERROR(IF(N(V113)&lt;&gt;0,-V114/V113,""),"")</f>
        <v>0.190665342601788</v>
      </c>
      <c r="W308" s="258">
        <f>IFERROR(IF(N(W113)&lt;&gt;0,-W114/W113,""),"")</f>
        <v>0.186317980273278</v>
      </c>
      <c r="X308" s="257">
        <f>IFERROR(IF(N(X113)&lt;&gt;0,-X114/X113,""),"")</f>
        <v>0.154181026664248</v>
      </c>
      <c r="Y308" s="257">
        <f>IFERROR(IF(N(Y113)&lt;&gt;0,-Y114/Y113,""),"")</f>
        <v>0.186508599098347</v>
      </c>
      <c r="Z308" s="257">
        <f>IFERROR(IF(N(Z113)&lt;&gt;0,-Z114/Z113,""),"")</f>
        <v>0.16541117388575</v>
      </c>
      <c r="AA308" s="257">
        <f>IFERROR(IF(N(AA113)&lt;&gt;0,-AA114/AA113,""),"")</f>
        <v>0.174354838709677</v>
      </c>
      <c r="AB308" s="258">
        <f>IFERROR(IF(N(AB113)&lt;&gt;0,-AB114/AB113,""),"")</f>
        <v>0.170391293511672</v>
      </c>
      <c r="AC308" s="257">
        <f>IFERROR(IF(N(AC113)&lt;&gt;0,-AC114/AC113,""),"")</f>
        <v>0.158330268481059</v>
      </c>
      <c r="AD308" s="257">
        <f>IFERROR(IF(N(AD113)&lt;&gt;0,-AD114/AD113,""),"")</f>
        <v>0.167535133428075</v>
      </c>
      <c r="AE308" s="257">
        <f>IFERROR(IF(N(AE113)&lt;&gt;0,-AE114/AE113,""),"")</f>
        <v>0.182066527398361</v>
      </c>
      <c r="AF308" s="257">
        <f>IFERROR(IF(N(AF113)&lt;&gt;0,-AF114/AF113,""),"")</f>
        <v>0.129794826048171</v>
      </c>
      <c r="AG308" s="258">
        <f>IFERROR(IF(N(AG113)&lt;&gt;0,-AG114/AG113,""),"")</f>
        <v>0.158899676375405</v>
      </c>
      <c r="AH308" s="257">
        <f>IFERROR(IF(N(AH113)&lt;&gt;0,-AH114/AH113,""),"")</f>
        <v>0.160719264008921</v>
      </c>
      <c r="AI308" s="257">
        <f>IFERROR(IF(N(AI113)&lt;&gt;0,-AI114/AI113,""),"")</f>
        <v>0.176350065856871</v>
      </c>
      <c r="AJ308" s="257">
        <f>IFERROR(IF(N(AJ113)&lt;&gt;0,-AJ114/AJ113,""),"")</f>
        <v>0.162466014203576</v>
      </c>
      <c r="AK308" s="257">
        <f>IFERROR(IF(N(AK113)&lt;&gt;0,-AK114/AK113,""),"")</f>
        <v>0.162466014203576</v>
      </c>
      <c r="AL308" s="258">
        <f>IFERROR(IF(N(AL113)&lt;&gt;0,-AL114/AL113,""),"")</f>
        <v>0.165290049402602</v>
      </c>
      <c r="AM308" s="257">
        <f>IFERROR(IF(N(AM113)&lt;&gt;0,-AM114/AM113,""),"")</f>
        <v>0.162466014203576</v>
      </c>
      <c r="AN308" s="257">
        <f>IFERROR(IF(N(AN113)&lt;&gt;0,-AN114/AN113,""),"")</f>
        <v>0.162466014203576</v>
      </c>
      <c r="AO308" s="257">
        <f>IFERROR(IF(N(AO113)&lt;&gt;0,-AO114/AO113,""),"")</f>
        <v>0.162466014203576</v>
      </c>
      <c r="AP308" s="257">
        <f>IFERROR(IF(N(AP113)&lt;&gt;0,-AP114/AP113,""),"")</f>
        <v>0.162466014203576</v>
      </c>
      <c r="AQ308" s="258">
        <f>IFERROR(IF(N(AQ113)&lt;&gt;0,-AQ114/AQ113,""),"")</f>
        <v>0.162466014203576</v>
      </c>
      <c r="AR308" s="257">
        <f>IFERROR(IF(N(AR113)&lt;&gt;0,-AR114/AR113,""),"")</f>
        <v>0.162466014203576</v>
      </c>
      <c r="AS308" s="257">
        <f>IFERROR(IF(N(AS113)&lt;&gt;0,-AS114/AS113,""),"")</f>
        <v>0.162466014203576</v>
      </c>
      <c r="AT308" s="257">
        <f>IFERROR(IF(N(AT113)&lt;&gt;0,-AT114/AT113,""),"")</f>
        <v>0.162466014203576</v>
      </c>
      <c r="AU308" s="257">
        <f>IFERROR(IF(N(AU113)&lt;&gt;0,-AU114/AU113,""),"")</f>
        <v>0.162466014203576</v>
      </c>
      <c r="AV308" s="258">
        <f>IFERROR(IF(N(AV113)&lt;&gt;0,-AV114/AV113,""),"")</f>
        <v>0.162466014203576</v>
      </c>
      <c r="AW308" s="257">
        <f>IFERROR(IF(N(AW113)&lt;&gt;0,-AW114/AW113,""),"")</f>
        <v>0.162466014203576</v>
      </c>
      <c r="AX308" s="257">
        <f>IFERROR(IF(N(AX113)&lt;&gt;0,-AX114/AX113,""),"")</f>
        <v>0.162466014203576</v>
      </c>
      <c r="AY308" s="257">
        <f>IFERROR(IF(N(AY113)&lt;&gt;0,-AY114/AY113,""),"")</f>
        <v>0.162466014203576</v>
      </c>
      <c r="AZ308" s="257">
        <f>IFERROR(IF(N(AZ113)&lt;&gt;0,-AZ114/AZ113,""),"")</f>
        <v>0.162466014203576</v>
      </c>
      <c r="BA308" s="258">
        <f>IFERROR(IF(N(BA113)&lt;&gt;0,-BA114/BA113,""),"")</f>
        <v>0.162466014203576</v>
      </c>
      <c r="BB308" s="257">
        <f>IFERROR(IF(N(BB113)&lt;&gt;0,-BB114/BB113,""),"")</f>
        <v>0.162466014203576</v>
      </c>
      <c r="BC308" s="257">
        <f>IFERROR(IF(N(BC113)&lt;&gt;0,-BC114/BC113,""),"")</f>
        <v>0.162466014203576</v>
      </c>
      <c r="BD308" s="257">
        <f>IFERROR(IF(N(BD113)&lt;&gt;0,-BD114/BD113,""),"")</f>
        <v>0.162466014203576</v>
      </c>
      <c r="BE308" s="257">
        <f>IFERROR(IF(N(BE113)&lt;&gt;0,-BE114/BE113,""),"")</f>
        <v>0.162466014203576</v>
      </c>
      <c r="BF308" s="258">
        <f>IFERROR(IF(N(BF113)&lt;&gt;0,-BF114/BF113,""),"")</f>
        <v>0.162466014203576</v>
      </c>
      <c r="BG308" s="81" t="n"/>
      <c r="BH308" s="81" t="n"/>
      <c r="BI308" s="81" t="n"/>
      <c r="BJ308" s="81" t="n"/>
      <c r="BL308" s="81" t="n"/>
      <c r="BM308" s="81" t="n"/>
      <c r="BN308" s="81" t="n"/>
      <c r="BO308" s="81" t="n"/>
      <c r="BQ308" s="81" t="n"/>
      <c r="BR308" s="81" t="n"/>
      <c r="BS308" s="81" t="n"/>
      <c r="BT308" s="81" t="n"/>
      <c r="BV308" s="81" t="n"/>
      <c r="BW308" s="81" t="n"/>
      <c r="BX308" s="81" t="n"/>
      <c r="BY308" s="81" t="n"/>
      <c r="CA308" s="81" t="n"/>
      <c r="CB308" s="81" t="n"/>
      <c r="CC308" s="81" t="n"/>
      <c r="CD308" s="81" t="n"/>
      <c r="CF308" s="81" t="n"/>
      <c r="CG308" s="81" t="n"/>
      <c r="CH308" s="81" t="n"/>
      <c r="CI308" s="81" t="n"/>
      <c r="CK308" s="81" t="n"/>
      <c r="CL308" s="81" t="n"/>
      <c r="CM308" s="81" t="n"/>
      <c r="CN308" s="81" t="n"/>
      <c r="CP308" s="81" t="n"/>
      <c r="CQ308" s="81" t="n"/>
      <c r="CR308" s="81" t="n"/>
      <c r="CS308" s="81" t="n"/>
      <c r="CU308" s="81" t="n"/>
      <c r="CV308" s="81" t="n"/>
      <c r="CW308" s="81" t="n"/>
      <c r="CX308" s="81" t="n"/>
    </row>
    <row r="309" customFormat="1" s="77">
      <c r="A309" s="76" t="n"/>
      <c r="B309" s="76" t="n"/>
    </row>
    <row r="310" customFormat="1" s="77">
      <c r="A310" s="76" t="n"/>
      <c r="B310" s="76" t="n"/>
      <c r="C310" s="74" t="inlineStr">
        <is>
          <t>CAPITAL STRUCTURE</t>
        </is>
      </c>
    </row>
    <row r="311" customFormat="1" s="77">
      <c r="A311" s="76" t="n"/>
      <c r="B311" s="76" t="n"/>
      <c r="C311" s="77" t="inlineStr">
        <is>
          <t>TOTAL DEBT / EQUITY (BOOK VALUE)</t>
        </is>
      </c>
      <c r="H311" s="262" t="str">
        <f>IFERROR(IF(N(H254)&lt;&gt;0,(N(H195)+N(H196)+N(H197)+N(H200)+N(H218)+N(H221))/H254,""),"")</f>
        <v/>
      </c>
      <c r="I311" s="262">
        <f>IFERROR(IF(N(I254)&lt;&gt;0,(N(I195)+N(I196)+N(I197)+N(I200)+N(I218)+N(I221))/I254,""),"")</f>
        <v>0.556398556876061</v>
      </c>
      <c r="J311" s="262">
        <f>IFERROR(IF(N(J254)&lt;&gt;0,(N(J195)+N(J196)+N(J197)+N(J200)+N(J218)+N(J221))/J254,""),"")</f>
        <v>0.555596718708653</v>
      </c>
      <c r="K311" s="262">
        <f>IFERROR(IF(N(K254)&lt;&gt;0,(N(K195)+N(K196)+N(K197)+N(K200)+N(K218)+N(K221))/K254,""),"")</f>
        <v>0.558062199047594</v>
      </c>
      <c r="L311" s="262">
        <f>IFERROR(IF(N(L254)&lt;&gt;0,(N(L195)+N(L196)+N(L197)+N(L200)+N(L218)+N(L221))/L254,""),"")</f>
        <v>0.577996352986683</v>
      </c>
      <c r="M311" s="262">
        <f>IFERROR(IF(N(M254)&lt;&gt;0,(N(M195)+N(M196)+N(M197)+N(M200)+N(M218)+N(M221))/M254,""),"")</f>
        <v>0.577996352986683</v>
      </c>
      <c r="N311" s="262">
        <f>IFERROR(IF(N(N254)&lt;&gt;0,(N(N195)+N(N196)+N(N197)+N(N200)+N(N218)+N(N221))/N254,""),"")</f>
        <v>0.58426185778988</v>
      </c>
      <c r="O311" s="262">
        <f>IFERROR(IF(N(O254)&lt;&gt;0,(N(O195)+N(O196)+N(O197)+N(O200)+N(O218)+N(O221))/O254,""),"")</f>
        <v>0.670602823887495</v>
      </c>
      <c r="P311" s="262">
        <f>IFERROR(IF(N(P254)&lt;&gt;0,(N(P195)+N(P196)+N(P197)+N(P200)+N(P218)+N(P221))/P254,""),"")</f>
        <v>0.630954723026334</v>
      </c>
      <c r="Q311" s="262">
        <f>IFERROR(IF(N(Q254)&lt;&gt;0,(N(Q195)+N(Q196)+N(Q197)+N(Q200)+N(Q218)+N(Q221))/Q254,""),"")</f>
        <v>0.554842378940527</v>
      </c>
      <c r="R311" s="262">
        <f>IFERROR(IF(N(R254)&lt;&gt;0,(N(R195)+N(R196)+N(R197)+N(R200)+N(R218)+N(R221))/R254,""),"")</f>
        <v>0.554842378940527</v>
      </c>
      <c r="S311" s="262">
        <f>IFERROR(IF(N(S254)&lt;&gt;0,(N(S195)+N(S196)+N(S197)+N(S200)+N(S218)+N(S221))/S254,""),"")</f>
        <v>0.53431868274342</v>
      </c>
      <c r="T311" s="262">
        <f>IFERROR(IF(N(T254)&lt;&gt;0,(N(T195)+N(T196)+N(T197)+N(T200)+N(T218)+N(T221))/T254,""),"")</f>
        <v>0.5274364433955</v>
      </c>
      <c r="U311" s="262">
        <f>IFERROR(IF(N(U254)&lt;&gt;0,(N(U195)+N(U196)+N(U197)+N(U200)+N(U218)+N(U221))/U254,""),"")</f>
        <v>0.528309193710789</v>
      </c>
      <c r="V311" s="262">
        <f>IFERROR(IF(N(V254)&lt;&gt;0,(N(V195)+N(V196)+N(V197)+N(V200)+N(V218)+N(V221))/V254,""),"")</f>
        <v>0.521053028968364</v>
      </c>
      <c r="W311" s="262">
        <f>IFERROR(IF(N(W254)&lt;&gt;0,(N(W195)+N(W196)+N(W197)+N(W200)+N(W218)+N(W221))/W254,""),"")</f>
        <v>0.521053028968364</v>
      </c>
      <c r="X311" s="262">
        <f>IFERROR(IF(N(X254)&lt;&gt;0,(N(X195)+N(X196)+N(X197)+N(X200)+N(X218)+N(X221))/X254,""),"")</f>
        <v>0.508904532542917</v>
      </c>
      <c r="Y311" s="262">
        <f>IFERROR(IF(N(Y254)&lt;&gt;0,(N(Y195)+N(Y196)+N(Y197)+N(Y200)+N(Y218)+N(Y221))/Y254,""),"")</f>
        <v>0.518563266128017</v>
      </c>
      <c r="Z311" s="262">
        <f>IFERROR(IF(N(Z254)&lt;&gt;0,(N(Z195)+N(Z196)+N(Z197)+N(Z200)+N(Z218)+N(Z221))/Z254,""),"")</f>
        <v>0.532386232976467</v>
      </c>
      <c r="AA311" s="262">
        <f>IFERROR(IF(N(AA254)&lt;&gt;0,(N(AA195)+N(AA196)+N(AA197)+N(AA200)+N(AA218)+N(AA221))/AA254,""),"")</f>
        <v>0.538150198454147</v>
      </c>
      <c r="AB311" s="262">
        <f>IFERROR(IF(N(AB254)&lt;&gt;0,(N(AB195)+N(AB196)+N(AB197)+N(AB200)+N(AB218)+N(AB221))/AB254,""),"")</f>
        <v>0.538150198454147</v>
      </c>
      <c r="AC311" s="262">
        <f>IFERROR(IF(N(AC254)&lt;&gt;0,(N(AC195)+N(AC196)+N(AC197)+N(AC200)+N(AC218)+N(AC221))/AC254,""),"")</f>
        <v>0.545937417828031</v>
      </c>
      <c r="AD311" s="262">
        <f>IFERROR(IF(N(AD254)&lt;&gt;0,(N(AD195)+N(AD196)+N(AD197)+N(AD200)+N(AD218)+N(AD221))/AD254,""),"")</f>
        <v>0.650165528657149</v>
      </c>
      <c r="AE311" s="262">
        <f>IFERROR(IF(N(AE254)&lt;&gt;0,(N(AE195)+N(AE196)+N(AE197)+N(AE200)+N(AE218)+N(AE221))/AE254,""),"")</f>
        <v>0.663984805718959</v>
      </c>
      <c r="AF311" s="262">
        <f>IFERROR(IF(N(AF254)&lt;&gt;0,(N(AF195)+N(AF196)+N(AF197)+N(AF200)+N(AF218)+N(AF221))/AF254,""),"")</f>
        <v>0.546122701601465</v>
      </c>
      <c r="AG311" s="262">
        <f>IFERROR(IF(N(AG254)&lt;&gt;0,(N(AG195)+N(AG196)+N(AG197)+N(AG200)+N(AG218)+N(AG221))/AG254,""),"")</f>
        <v>0.546122701601465</v>
      </c>
      <c r="AH311" s="262">
        <f>IFERROR(IF(N(AH254)&lt;&gt;0,(N(AH195)+N(AH196)+N(AH197)+N(AH200)+N(AH218)+N(AH221))/AH254,""),"")</f>
        <v>0.672331118028098</v>
      </c>
      <c r="AI311" s="262">
        <f>IFERROR(IF(N(AI254)&lt;&gt;0,(N(AI195)+N(AI196)+N(AI197)+N(AI200)+N(AI218)+N(AI221))/AI254,""),"")</f>
        <v>0.678207970890898</v>
      </c>
      <c r="AJ311" s="262">
        <f>IFERROR(IF(N(AJ254)&lt;&gt;0,(N(AJ195)+N(AJ196)+N(AJ197)+N(AJ200)+N(AJ218)+N(AJ221))/AJ254,""),"")</f>
        <v>0.575305800162791</v>
      </c>
      <c r="AK311" s="262">
        <f>IFERROR(IF(N(AK254)&lt;&gt;0,(N(AK195)+N(AK196)+N(AK197)+N(AK200)+N(AK218)+N(AK221))/AK254,""),"")</f>
        <v>0.498432192094325</v>
      </c>
      <c r="AL311" s="262">
        <f>IFERROR(IF(N(AL254)&lt;&gt;0,(N(AL195)+N(AL196)+N(AL197)+N(AL200)+N(AL218)+N(AL221))/AL254,""),"")</f>
        <v>0.498432192094325</v>
      </c>
      <c r="AM311" s="262">
        <f>IFERROR(IF(N(AM254)&lt;&gt;0,(N(AM195)+N(AM196)+N(AM197)+N(AM200)+N(AM218)+N(AM221))/AM254,""),"")</f>
        <v>0.438122454201893</v>
      </c>
      <c r="AN311" s="262">
        <f>IFERROR(IF(N(AN254)&lt;&gt;0,(N(AN195)+N(AN196)+N(AN197)+N(AN200)+N(AN218)+N(AN221))/AN254,""),"")</f>
        <v>0.389324155720254</v>
      </c>
      <c r="AO311" s="262">
        <f>IFERROR(IF(N(AO254)&lt;&gt;0,(N(AO195)+N(AO196)+N(AO197)+N(AO200)+N(AO218)+N(AO221))/AO254,""),"")</f>
        <v>0.348678931751716</v>
      </c>
      <c r="AP311" s="262">
        <f>IFERROR(IF(N(AP254)&lt;&gt;0,(N(AP195)+N(AP196)+N(AP197)+N(AP200)+N(AP218)+N(AP221))/AP254,""),"")</f>
        <v>0.315226309785553</v>
      </c>
      <c r="AQ311" s="262">
        <f>IFERROR(IF(N(AQ254)&lt;&gt;0,(N(AQ195)+N(AQ196)+N(AQ197)+N(AQ200)+N(AQ218)+N(AQ221))/AQ254,""),"")</f>
        <v>0.315226309785553</v>
      </c>
      <c r="AR311" s="262">
        <f>IFERROR(IF(N(AR254)&lt;&gt;0,(N(AR195)+N(AR196)+N(AR197)+N(AR200)+N(AR218)+N(AR221))/AR254,""),"")</f>
        <v>0.286986461028688</v>
      </c>
      <c r="AS311" s="262">
        <f>IFERROR(IF(N(AS254)&lt;&gt;0,(N(AS195)+N(AS196)+N(AS197)+N(AS200)+N(AS218)+N(AS221))/AS254,""),"")</f>
        <v>0.262615521544878</v>
      </c>
      <c r="AT311" s="262">
        <f>IFERROR(IF(N(AT254)&lt;&gt;0,(N(AT195)+N(AT196)+N(AT197)+N(AT200)+N(AT218)+N(AT221))/AT254,""),"")</f>
        <v>0.241180328834932</v>
      </c>
      <c r="AU311" s="262">
        <f>IFERROR(IF(N(AU254)&lt;&gt;0,(N(AU195)+N(AU196)+N(AU197)+N(AU200)+N(AU218)+N(AU221))/AU254,""),"")</f>
        <v>0.222702865827308</v>
      </c>
      <c r="AV311" s="262">
        <f>IFERROR(IF(N(AV254)&lt;&gt;0,(N(AV195)+N(AV196)+N(AV197)+N(AV200)+N(AV218)+N(AV221))/AV254,""),"")</f>
        <v>0.222702865827308</v>
      </c>
      <c r="AW311" s="262">
        <f>IFERROR(IF(N(AW254)&lt;&gt;0,(N(AW195)+N(AW196)+N(AW197)+N(AW200)+N(AW218)+N(AW221))/AW254,""),"")</f>
        <v>0.206544922869558</v>
      </c>
      <c r="AX311" s="262">
        <f>IFERROR(IF(N(AX254)&lt;&gt;0,(N(AX195)+N(AX196)+N(AX197)+N(AX200)+N(AX218)+N(AX221))/AX254,""),"")</f>
        <v>0.192106668857735</v>
      </c>
      <c r="AY311" s="262">
        <f>IFERROR(IF(N(AY254)&lt;&gt;0,(N(AY195)+N(AY196)+N(AY197)+N(AY200)+N(AY218)+N(AY221))/AY254,""),"")</f>
        <v>0.179010245964926</v>
      </c>
      <c r="AZ311" s="262">
        <f>IFERROR(IF(N(AZ254)&lt;&gt;0,(N(AZ195)+N(AZ196)+N(AZ197)+N(AZ200)+N(AZ218)+N(AZ221))/AZ254,""),"")</f>
        <v>0.16740915111721</v>
      </c>
      <c r="BA311" s="262">
        <f>IFERROR(IF(N(BA254)&lt;&gt;0,(N(BA195)+N(BA196)+N(BA197)+N(BA200)+N(BA218)+N(BA221))/BA254,""),"")</f>
        <v>0.16740915111721</v>
      </c>
      <c r="BB311" s="262">
        <f>IFERROR(IF(N(BB254)&lt;&gt;0,(N(BB195)+N(BB196)+N(BB197)+N(BB200)+N(BB218)+N(BB221))/BB254,""),"")</f>
        <v>0.157061809551141</v>
      </c>
      <c r="BC311" s="262">
        <f>IFERROR(IF(N(BC254)&lt;&gt;0,(N(BC195)+N(BC196)+N(BC197)+N(BC200)+N(BC218)+N(BC221))/BC254,""),"")</f>
        <v>0.147610769425609</v>
      </c>
      <c r="BD311" s="262">
        <f>IFERROR(IF(N(BD254)&lt;&gt;0,(N(BD195)+N(BD196)+N(BD197)+N(BD200)+N(BD218)+N(BD221))/BD254,""),"")</f>
        <v>0.138865408586254</v>
      </c>
      <c r="BE311" s="262">
        <f>IFERROR(IF(N(BE254)&lt;&gt;0,(N(BE195)+N(BE196)+N(BE197)+N(BE200)+N(BE218)+N(BE221))/BE254,""),"")</f>
        <v>0.130977430592441</v>
      </c>
      <c r="BF311" s="262">
        <f>IFERROR(IF(N(BF254)&lt;&gt;0,(N(BF195)+N(BF196)+N(BF197)+N(BF200)+N(BF218)+N(BF221))/BF254,""),"")</f>
        <v>0.130977430592441</v>
      </c>
    </row>
    <row r="312" customFormat="1" s="77">
      <c r="A312" s="76" t="n"/>
      <c r="B312" s="76" t="n"/>
      <c r="C312" s="77" t="inlineStr">
        <is>
          <t>NET DEBT / (NET DEBT + EQUITY) (BOOK VALUE)</t>
        </is>
      </c>
      <c r="H312" s="258" t="str">
        <f>IFERROR(IF(((N(H195)+N(H196)+N(H197)+N(H200)+N(H218)+N(H221))-N(H127)+N(H254))&lt;&gt;0,((N(H195)+N(H196)+N(H197)+N(H200)+N(H218)+N(H221))-N(H127))/((N(H195)+N(H196)+N(H197)+N(H200)+N(H218)+N(H221))-N(H127)+H254),""),"")</f>
        <v/>
      </c>
      <c r="I312" s="258">
        <f>IFERROR(IF(((N(I195)+N(I196)+N(I197)+N(I200)+N(I218)+N(I221))-N(I127)+N(I254))&lt;&gt;0,((N(I195)+N(I196)+N(I197)+N(I200)+N(I218)+N(I221))-N(I127))/((N(I195)+N(I196)+N(I197)+N(I200)+N(I218)+N(I221))-N(I127)+I254),""),"")</f>
        <v>0.106221547799697</v>
      </c>
      <c r="J312" s="258">
        <f>IFERROR(IF(((N(J195)+N(J196)+N(J197)+N(J200)+N(J218)+N(J221))-N(J127)+N(J254))&lt;&gt;0,((N(J195)+N(J196)+N(J197)+N(J200)+N(J218)+N(J221))-N(J127))/((N(J195)+N(J196)+N(J197)+N(J200)+N(J218)+N(J221))-N(J127)+J254),""),"")</f>
        <v>0.0726835492736553</v>
      </c>
      <c r="K312" s="258">
        <f>IFERROR(IF(((N(K195)+N(K196)+N(K197)+N(K200)+N(K218)+N(K221))-N(K127)+N(K254))&lt;&gt;0,((N(K195)+N(K196)+N(K197)+N(K200)+N(K218)+N(K221))-N(K127))/((N(K195)+N(K196)+N(K197)+N(K200)+N(K218)+N(K221))-N(K127)+K254),""),"")</f>
        <v>0.106704056655339</v>
      </c>
      <c r="L312" s="258">
        <f>IFERROR(IF(((N(L195)+N(L196)+N(L197)+N(L200)+N(L218)+N(L221))-N(L127)+N(L254))&lt;&gt;0,((N(L195)+N(L196)+N(L197)+N(L200)+N(L218)+N(L221))-N(L127))/((N(L195)+N(L196)+N(L197)+N(L200)+N(L218)+N(L221))-N(L127)+L254),""),"")</f>
        <v>0.146247110440157</v>
      </c>
      <c r="M312" s="258">
        <f>IFERROR(IF(((N(M195)+N(M196)+N(M197)+N(M200)+N(M218)+N(M221))-N(M127)+N(M254))&lt;&gt;0,((N(M195)+N(M196)+N(M197)+N(M200)+N(M218)+N(M221))-N(M127))/((N(M195)+N(M196)+N(M197)+N(M200)+N(M218)+N(M221))-N(M127)+M254),""),"")</f>
        <v>0.146247110440157</v>
      </c>
      <c r="N312" s="258">
        <f>IFERROR(IF(((N(N195)+N(N196)+N(N197)+N(N200)+N(N218)+N(N221))-N(N127)+N(N254))&lt;&gt;0,((N(N195)+N(N196)+N(N197)+N(N200)+N(N218)+N(N221))-N(N127))/((N(N195)+N(N196)+N(N197)+N(N200)+N(N218)+N(N221))-N(N127)+N254),""),"")</f>
        <v>0.195183040007156</v>
      </c>
      <c r="O312" s="258">
        <f>IFERROR(IF(((N(O195)+N(O196)+N(O197)+N(O200)+N(O218)+N(O221))-N(O127)+N(O254))&lt;&gt;0,((N(O195)+N(O196)+N(O197)+N(O200)+N(O218)+N(O221))-N(O127))/((N(O195)+N(O196)+N(O197)+N(O200)+N(O218)+N(O221))-N(O127)+O254),""),"")</f>
        <v>0.215515907231766</v>
      </c>
      <c r="P312" s="258">
        <f>IFERROR(IF(((N(P195)+N(P196)+N(P197)+N(P200)+N(P218)+N(P221))-N(P127)+N(P254))&lt;&gt;0,((N(P195)+N(P196)+N(P197)+N(P200)+N(P218)+N(P221))-N(P127))/((N(P195)+N(P196)+N(P197)+N(P200)+N(P218)+N(P221))-N(P127)+P254),""),"")</f>
        <v>0.159675971848283</v>
      </c>
      <c r="Q312" s="258">
        <f>IFERROR(IF(((N(Q195)+N(Q196)+N(Q197)+N(Q200)+N(Q218)+N(Q221))-N(Q127)+N(Q254))&lt;&gt;0,((N(Q195)+N(Q196)+N(Q197)+N(Q200)+N(Q218)+N(Q221))-N(Q127))/((N(Q195)+N(Q196)+N(Q197)+N(Q200)+N(Q218)+N(Q221))-N(Q127)+Q254),""),"")</f>
        <v>0.162284184495315</v>
      </c>
      <c r="R312" s="258">
        <f>IFERROR(IF(((N(R195)+N(R196)+N(R197)+N(R200)+N(R218)+N(R221))-N(R127)+N(R254))&lt;&gt;0,((N(R195)+N(R196)+N(R197)+N(R200)+N(R218)+N(R221))-N(R127))/((N(R195)+N(R196)+N(R197)+N(R200)+N(R218)+N(R221))-N(R127)+R254),""),"")</f>
        <v>0.162284184495315</v>
      </c>
      <c r="S312" s="258">
        <f>IFERROR(IF(((N(S195)+N(S196)+N(S197)+N(S200)+N(S218)+N(S221))-N(S127)+N(S254))&lt;&gt;0,((N(S195)+N(S196)+N(S197)+N(S200)+N(S218)+N(S221))-N(S127))/((N(S195)+N(S196)+N(S197)+N(S200)+N(S218)+N(S221))-N(S127)+S254),""),"")</f>
        <v>0.149220146043372</v>
      </c>
      <c r="T312" s="258">
        <f>IFERROR(IF(((N(T195)+N(T196)+N(T197)+N(T200)+N(T218)+N(T221))-N(T127)+N(T254))&lt;&gt;0,((N(T195)+N(T196)+N(T197)+N(T200)+N(T218)+N(T221))-N(T127))/((N(T195)+N(T196)+N(T197)+N(T200)+N(T218)+N(T221))-N(T127)+T254),""),"")</f>
        <v>0.113080475984619</v>
      </c>
      <c r="U312" s="258">
        <f>IFERROR(IF(((N(U195)+N(U196)+N(U197)+N(U200)+N(U218)+N(U221))-N(U127)+N(U254))&lt;&gt;0,((N(U195)+N(U196)+N(U197)+N(U200)+N(U218)+N(U221))-N(U127))/((N(U195)+N(U196)+N(U197)+N(U200)+N(U218)+N(U221))-N(U127)+U254),""),"")</f>
        <v>0.0973432766254952</v>
      </c>
      <c r="V312" s="258">
        <f>IFERROR(IF(((N(V195)+N(V196)+N(V197)+N(V200)+N(V218)+N(V221))-N(V127)+N(V254))&lt;&gt;0,((N(V195)+N(V196)+N(V197)+N(V200)+N(V218)+N(V221))-N(V127))/((N(V195)+N(V196)+N(V197)+N(V200)+N(V218)+N(V221))-N(V127)+V254),""),"")</f>
        <v>0.151819831358736</v>
      </c>
      <c r="W312" s="258">
        <f>IFERROR(IF(((N(W195)+N(W196)+N(W197)+N(W200)+N(W218)+N(W221))-N(W127)+N(W254))&lt;&gt;0,((N(W195)+N(W196)+N(W197)+N(W200)+N(W218)+N(W221))-N(W127))/((N(W195)+N(W196)+N(W197)+N(W200)+N(W218)+N(W221))-N(W127)+W254),""),"")</f>
        <v>0.151819831358736</v>
      </c>
      <c r="X312" s="258">
        <f>IFERROR(IF(((N(X195)+N(X196)+N(X197)+N(X200)+N(X218)+N(X221))-N(X127)+N(X254))&lt;&gt;0,((N(X195)+N(X196)+N(X197)+N(X200)+N(X218)+N(X221))-N(X127))/((N(X195)+N(X196)+N(X197)+N(X200)+N(X218)+N(X221))-N(X127)+X254),""),"")</f>
        <v>0.158228506081713</v>
      </c>
      <c r="Y312" s="258">
        <f>IFERROR(IF(((N(Y195)+N(Y196)+N(Y197)+N(Y200)+N(Y218)+N(Y221))-N(Y127)+N(Y254))&lt;&gt;0,((N(Y195)+N(Y196)+N(Y197)+N(Y200)+N(Y218)+N(Y221))-N(Y127))/((N(Y195)+N(Y196)+N(Y197)+N(Y200)+N(Y218)+N(Y221))-N(Y127)+Y254),""),"")</f>
        <v>0.161552422758737</v>
      </c>
      <c r="Z312" s="258">
        <f>IFERROR(IF(((N(Z195)+N(Z196)+N(Z197)+N(Z200)+N(Z218)+N(Z221))-N(Z127)+N(Z254))&lt;&gt;0,((N(Z195)+N(Z196)+N(Z197)+N(Z200)+N(Z218)+N(Z221))-N(Z127))/((N(Z195)+N(Z196)+N(Z197)+N(Z200)+N(Z218)+N(Z221))-N(Z127)+Z254),""),"")</f>
        <v>0.184611858827451</v>
      </c>
      <c r="AA312" s="258">
        <f>IFERROR(IF(((N(AA195)+N(AA196)+N(AA197)+N(AA200)+N(AA218)+N(AA221))-N(AA127)+N(AA254))&lt;&gt;0,((N(AA195)+N(AA196)+N(AA197)+N(AA200)+N(AA218)+N(AA221))-N(AA127))/((N(AA195)+N(AA196)+N(AA197)+N(AA200)+N(AA218)+N(AA221))-N(AA127)+AA254),""),"")</f>
        <v>0.177102582835532</v>
      </c>
      <c r="AB312" s="258">
        <f>IFERROR(IF(((N(AB195)+N(AB196)+N(AB197)+N(AB200)+N(AB218)+N(AB221))-N(AB127)+N(AB254))&lt;&gt;0,((N(AB195)+N(AB196)+N(AB197)+N(AB200)+N(AB218)+N(AB221))-N(AB127))/((N(AB195)+N(AB196)+N(AB197)+N(AB200)+N(AB218)+N(AB221))-N(AB127)+AB254),""),"")</f>
        <v>0.177102582835532</v>
      </c>
      <c r="AC312" s="258">
        <f>IFERROR(IF(((N(AC195)+N(AC196)+N(AC197)+N(AC200)+N(AC218)+N(AC221))-N(AC127)+N(AC254))&lt;&gt;0,((N(AC195)+N(AC196)+N(AC197)+N(AC200)+N(AC218)+N(AC221))-N(AC127))/((N(AC195)+N(AC196)+N(AC197)+N(AC200)+N(AC218)+N(AC221))-N(AC127)+AC254),""),"")</f>
        <v>0.191848357346254</v>
      </c>
      <c r="AD312" s="258">
        <f>IFERROR(IF(((N(AD195)+N(AD196)+N(AD197)+N(AD200)+N(AD218)+N(AD221))-N(AD127)+N(AD254))&lt;&gt;0,((N(AD195)+N(AD196)+N(AD197)+N(AD200)+N(AD218)+N(AD221))-N(AD127))/((N(AD195)+N(AD196)+N(AD197)+N(AD200)+N(AD218)+N(AD221))-N(AD127)+AD254),""),"")</f>
        <v>0.172254335260116</v>
      </c>
      <c r="AE312" s="258">
        <f>IFERROR(IF(((N(AE195)+N(AE196)+N(AE197)+N(AE200)+N(AE218)+N(AE221))-N(AE127)+N(AE254))&lt;&gt;0,((N(AE195)+N(AE196)+N(AE197)+N(AE200)+N(AE218)+N(AE221))-N(AE127))/((N(AE195)+N(AE196)+N(AE197)+N(AE200)+N(AE218)+N(AE221))-N(AE127)+AE254),""),"")</f>
        <v>0.174383657112989</v>
      </c>
      <c r="AF312" s="258">
        <f>IFERROR(IF(((N(AF195)+N(AF196)+N(AF197)+N(AF200)+N(AF218)+N(AF221))-N(AF127)+N(AF254))&lt;&gt;0,((N(AF195)+N(AF196)+N(AF197)+N(AF200)+N(AF218)+N(AF221))-N(AF127))/((N(AF195)+N(AF196)+N(AF197)+N(AF200)+N(AF218)+N(AF221))-N(AF127)+AF254),""),"")</f>
        <v>0.142063808133103</v>
      </c>
      <c r="AG312" s="258">
        <f>IFERROR(IF(((N(AG195)+N(AG196)+N(AG197)+N(AG200)+N(AG218)+N(AG221))-N(AG127)+N(AG254))&lt;&gt;0,((N(AG195)+N(AG196)+N(AG197)+N(AG200)+N(AG218)+N(AG221))-N(AG127))/((N(AG195)+N(AG196)+N(AG197)+N(AG200)+N(AG218)+N(AG221))-N(AG127)+AG254),""),"")</f>
        <v>0.142063808133103</v>
      </c>
      <c r="AH312" s="258">
        <f>IFERROR(IF(((N(AH195)+N(AH196)+N(AH197)+N(AH200)+N(AH218)+N(AH221))-N(AH127)+N(AH254))&lt;&gt;0,((N(AH195)+N(AH196)+N(AH197)+N(AH200)+N(AH218)+N(AH221))-N(AH127))/((N(AH195)+N(AH196)+N(AH197)+N(AH200)+N(AH218)+N(AH221))-N(AH127)+AH254),""),"")</f>
        <v>0.24499820041073</v>
      </c>
      <c r="AI312" s="258">
        <f>IFERROR(IF(((N(AI195)+N(AI196)+N(AI197)+N(AI200)+N(AI218)+N(AI221))-N(AI127)+N(AI254))&lt;&gt;0,((N(AI195)+N(AI196)+N(AI197)+N(AI200)+N(AI218)+N(AI221))-N(AI127))/((N(AI195)+N(AI196)+N(AI197)+N(AI200)+N(AI218)+N(AI221))-N(AI127)+AI254),""),"")</f>
        <v>0.246352593354329</v>
      </c>
      <c r="AJ312" s="258">
        <f>IFERROR(IF(((N(AJ195)+N(AJ196)+N(AJ197)+N(AJ200)+N(AJ218)+N(AJ221))-N(AJ127)+N(AJ254))&lt;&gt;0,((N(AJ195)+N(AJ196)+N(AJ197)+N(AJ200)+N(AJ218)+N(AJ221))-N(AJ127))/((N(AJ195)+N(AJ196)+N(AJ197)+N(AJ200)+N(AJ218)+N(AJ221))-N(AJ127)+AJ254),""),"")</f>
        <v>0.105866912546972</v>
      </c>
      <c r="AK312" s="258">
        <f>IFERROR(IF(((N(AK195)+N(AK196)+N(AK197)+N(AK200)+N(AK218)+N(AK221))-N(AK127)+N(AK254))&lt;&gt;0,((N(AK195)+N(AK196)+N(AK197)+N(AK200)+N(AK218)+N(AK221))-N(AK127))/((N(AK195)+N(AK196)+N(AK197)+N(AK200)+N(AK218)+N(AK221))-N(AK127)+AK254),""),"")</f>
        <v>-0.0534598750331435</v>
      </c>
      <c r="AL312" s="258">
        <f>IFERROR(IF(((N(AL195)+N(AL196)+N(AL197)+N(AL200)+N(AL218)+N(AL221))-N(AL127)+N(AL254))&lt;&gt;0,((N(AL195)+N(AL196)+N(AL197)+N(AL200)+N(AL218)+N(AL221))-N(AL127))/((N(AL195)+N(AL196)+N(AL197)+N(AL200)+N(AL218)+N(AL221))-N(AL127)+AL254),""),"")</f>
        <v>-0.0534598750331435</v>
      </c>
      <c r="AM312" s="258">
        <f>IFERROR(IF(((N(AM195)+N(AM196)+N(AM197)+N(AM200)+N(AM218)+N(AM221))-N(AM127)+N(AM254))&lt;&gt;0,((N(AM195)+N(AM196)+N(AM197)+N(AM200)+N(AM218)+N(AM221))-N(AM127))/((N(AM195)+N(AM196)+N(AM197)+N(AM200)+N(AM218)+N(AM221))-N(AM127)+AM254),""),"")</f>
        <v>-0.224451648599184</v>
      </c>
      <c r="AN312" s="258">
        <f>IFERROR(IF(((N(AN195)+N(AN196)+N(AN197)+N(AN200)+N(AN218)+N(AN221))-N(AN127)+N(AN254))&lt;&gt;0,((N(AN195)+N(AN196)+N(AN197)+N(AN200)+N(AN218)+N(AN221))-N(AN127))/((N(AN195)+N(AN196)+N(AN197)+N(AN200)+N(AN218)+N(AN221))-N(AN127)+AN254),""),"")</f>
        <v>-0.417311373527414</v>
      </c>
      <c r="AO312" s="258">
        <f>IFERROR(IF(((N(AO195)+N(AO196)+N(AO197)+N(AO200)+N(AO218)+N(AO221))-N(AO127)+N(AO254))&lt;&gt;0,((N(AO195)+N(AO196)+N(AO197)+N(AO200)+N(AO218)+N(AO221))-N(AO127))/((N(AO195)+N(AO196)+N(AO197)+N(AO200)+N(AO218)+N(AO221))-N(AO127)+AO254),""),"")</f>
        <v>-0.635008200004222</v>
      </c>
      <c r="AP312" s="258">
        <f>IFERROR(IF(((N(AP195)+N(AP196)+N(AP197)+N(AP200)+N(AP218)+N(AP221))-N(AP127)+N(AP254))&lt;&gt;0,((N(AP195)+N(AP196)+N(AP197)+N(AP200)+N(AP218)+N(AP221))-N(AP127))/((N(AP195)+N(AP196)+N(AP197)+N(AP200)+N(AP218)+N(AP221))-N(AP127)+AP254),""),"")</f>
        <v>-0.884490183959038</v>
      </c>
      <c r="AQ312" s="258">
        <f>IFERROR(IF(((N(AQ195)+N(AQ196)+N(AQ197)+N(AQ200)+N(AQ218)+N(AQ221))-N(AQ127)+N(AQ254))&lt;&gt;0,((N(AQ195)+N(AQ196)+N(AQ197)+N(AQ200)+N(AQ218)+N(AQ221))-N(AQ127))/((N(AQ195)+N(AQ196)+N(AQ197)+N(AQ200)+N(AQ218)+N(AQ221))-N(AQ127)+AQ254),""),"")</f>
        <v>-0.884490183959038</v>
      </c>
      <c r="AR312" s="258">
        <f>IFERROR(IF(((N(AR195)+N(AR196)+N(AR197)+N(AR200)+N(AR218)+N(AR221))-N(AR127)+N(AR254))&lt;&gt;0,((N(AR195)+N(AR196)+N(AR197)+N(AR200)+N(AR218)+N(AR221))-N(AR127))/((N(AR195)+N(AR196)+N(AR197)+N(AR200)+N(AR218)+N(AR221))-N(AR127)+AR254),""),"")</f>
        <v>-1.16588202225911</v>
      </c>
      <c r="AS312" s="258">
        <f>IFERROR(IF(((N(AS195)+N(AS196)+N(AS197)+N(AS200)+N(AS218)+N(AS221))-N(AS127)+N(AS254))&lt;&gt;0,((N(AS195)+N(AS196)+N(AS197)+N(AS200)+N(AS218)+N(AS221))-N(AS127))/((N(AS195)+N(AS196)+N(AS197)+N(AS200)+N(AS218)+N(AS221))-N(AS127)+AS254),""),"")</f>
        <v>-1.50030579792149</v>
      </c>
      <c r="AT312" s="258">
        <f>IFERROR(IF(((N(AT195)+N(AT196)+N(AT197)+N(AT200)+N(AT218)+N(AT221))-N(AT127)+N(AT254))&lt;&gt;0,((N(AT195)+N(AT196)+N(AT197)+N(AT200)+N(AT218)+N(AT221))-N(AT127))/((N(AT195)+N(AT196)+N(AT197)+N(AT200)+N(AT218)+N(AT221))-N(AT127)+AT254),""),"")</f>
        <v>-1.9107553684394</v>
      </c>
      <c r="AU312" s="258">
        <f>IFERROR(IF(((N(AU195)+N(AU196)+N(AU197)+N(AU200)+N(AU218)+N(AU221))-N(AU127)+N(AU254))&lt;&gt;0,((N(AU195)+N(AU196)+N(AU197)+N(AU200)+N(AU218)+N(AU221))-N(AU127))/((N(AU195)+N(AU196)+N(AU197)+N(AU200)+N(AU218)+N(AU221))-N(AU127)+AU254),""),"")</f>
        <v>-2.43308459276621</v>
      </c>
      <c r="AV312" s="258">
        <f>IFERROR(IF(((N(AV195)+N(AV196)+N(AV197)+N(AV200)+N(AV218)+N(AV221))-N(AV127)+N(AV254))&lt;&gt;0,((N(AV195)+N(AV196)+N(AV197)+N(AV200)+N(AV218)+N(AV221))-N(AV127))/((N(AV195)+N(AV196)+N(AV197)+N(AV200)+N(AV218)+N(AV221))-N(AV127)+AV254),""),"")</f>
        <v>-2.43308459276621</v>
      </c>
      <c r="AW312" s="258">
        <f>IFERROR(IF(((N(AW195)+N(AW196)+N(AW197)+N(AW200)+N(AW218)+N(AW221))-N(AW127)+N(AW254))&lt;&gt;0,((N(AW195)+N(AW196)+N(AW197)+N(AW200)+N(AW218)+N(AW221))-N(AW127))/((N(AW195)+N(AW196)+N(AW197)+N(AW200)+N(AW218)+N(AW221))-N(AW127)+AW254),""),"")</f>
        <v>-3.08309433144966</v>
      </c>
      <c r="AX312" s="258">
        <f>IFERROR(IF(((N(AX195)+N(AX196)+N(AX197)+N(AX200)+N(AX218)+N(AX221))-N(AX127)+N(AX254))&lt;&gt;0,((N(AX195)+N(AX196)+N(AX197)+N(AX200)+N(AX218)+N(AX221))-N(AX127))/((N(AX195)+N(AX196)+N(AX197)+N(AX200)+N(AX218)+N(AX221))-N(AX127)+AX254),""),"")</f>
        <v>-3.99162871800723</v>
      </c>
      <c r="AY312" s="258">
        <f>IFERROR(IF(((N(AY195)+N(AY196)+N(AY197)+N(AY200)+N(AY218)+N(AY221))-N(AY127)+N(AY254))&lt;&gt;0,((N(AY195)+N(AY196)+N(AY197)+N(AY200)+N(AY218)+N(AY221))-N(AY127))/((N(AY195)+N(AY196)+N(AY197)+N(AY200)+N(AY218)+N(AY221))-N(AY127)+AY254),""),"")</f>
        <v>-5.32676066207571</v>
      </c>
      <c r="AZ312" s="258">
        <f>IFERROR(IF(((N(AZ195)+N(AZ196)+N(AZ197)+N(AZ200)+N(AZ218)+N(AZ221))-N(AZ127)+N(AZ254))&lt;&gt;0,((N(AZ195)+N(AZ196)+N(AZ197)+N(AZ200)+N(AZ218)+N(AZ221))-N(AZ127))/((N(AZ195)+N(AZ196)+N(AZ197)+N(AZ200)+N(AZ218)+N(AZ221))-N(AZ127)+AZ254),""),"")</f>
        <v>-7.56664467684047</v>
      </c>
      <c r="BA312" s="258">
        <f>IFERROR(IF(((N(BA195)+N(BA196)+N(BA197)+N(BA200)+N(BA218)+N(BA221))-N(BA127)+N(BA254))&lt;&gt;0,((N(BA195)+N(BA196)+N(BA197)+N(BA200)+N(BA218)+N(BA221))-N(BA127))/((N(BA195)+N(BA196)+N(BA197)+N(BA200)+N(BA218)+N(BA221))-N(BA127)+BA254),""),"")</f>
        <v>-7.56664467684047</v>
      </c>
      <c r="BB312" s="258">
        <f>IFERROR(IF(((N(BB195)+N(BB196)+N(BB197)+N(BB200)+N(BB218)+N(BB221))-N(BB127)+N(BB254))&lt;&gt;0,((N(BB195)+N(BB196)+N(BB197)+N(BB200)+N(BB218)+N(BB221))-N(BB127))/((N(BB195)+N(BB196)+N(BB197)+N(BB200)+N(BB218)+N(BB221))-N(BB127)+BB254),""),"")</f>
        <v>-11.7150908528893</v>
      </c>
      <c r="BC312" s="258">
        <f>IFERROR(IF(((N(BC195)+N(BC196)+N(BC197)+N(BC200)+N(BC218)+N(BC221))-N(BC127)+N(BC254))&lt;&gt;0,((N(BC195)+N(BC196)+N(BC197)+N(BC200)+N(BC218)+N(BC221))-N(BC127))/((N(BC195)+N(BC196)+N(BC197)+N(BC200)+N(BC218)+N(BC221))-N(BC127)+BC254),""),"")</f>
        <v>-23.5765996934046</v>
      </c>
      <c r="BD312" s="258">
        <f>IFERROR(IF(((N(BD195)+N(BD196)+N(BD197)+N(BD200)+N(BD218)+N(BD221))-N(BD127)+N(BD254))&lt;&gt;0,((N(BD195)+N(BD196)+N(BD197)+N(BD200)+N(BD218)+N(BD221))-N(BD127))/((N(BD195)+N(BD196)+N(BD197)+N(BD200)+N(BD218)+N(BD221))-N(BD127)+BD254),""),"")</f>
        <v>-291.232737409375</v>
      </c>
      <c r="BE312" s="258">
        <f>IFERROR(IF(((N(BE195)+N(BE196)+N(BE197)+N(BE200)+N(BE218)+N(BE221))-N(BE127)+N(BE254))&lt;&gt;0,((N(BE195)+N(BE196)+N(BE197)+N(BE200)+N(BE218)+N(BE221))-N(BE127))/((N(BE195)+N(BE196)+N(BE197)+N(BE200)+N(BE218)+N(BE221))-N(BE127)+BE254),""),"")</f>
        <v>30.0380780159116</v>
      </c>
      <c r="BF312" s="258">
        <f>IFERROR(IF(((N(BF195)+N(BF196)+N(BF197)+N(BF200)+N(BF218)+N(BF221))-N(BF127)+N(BF254))&lt;&gt;0,((N(BF195)+N(BF196)+N(BF197)+N(BF200)+N(BF218)+N(BF221))-N(BF127))/((N(BF195)+N(BF196)+N(BF197)+N(BF200)+N(BF218)+N(BF221))-N(BF127)+BF254),""),"")</f>
        <v>30.0380780159116</v>
      </c>
    </row>
    <row r="313" customFormat="1" s="77">
      <c r="A313" s="76" t="n"/>
      <c r="B313" s="76" t="n"/>
    </row>
    <row r="314" customFormat="1" s="77">
      <c r="A314" s="76" t="n"/>
      <c r="B314" s="76" t="n"/>
      <c r="C314" s="74" t="inlineStr">
        <is>
          <t>FINANCIAL RISK RATIOS</t>
        </is>
      </c>
    </row>
    <row r="315" customFormat="1" s="77">
      <c r="A315" s="76" t="n"/>
      <c r="B315" s="76" t="n"/>
      <c r="C315" s="77" t="inlineStr">
        <is>
          <t>EBITDA / TOTAL INTEREST (LTM)</t>
        </is>
      </c>
      <c r="D315" s="82" t="str">
        <f>IFERROR(D52/-D57,"")</f>
        <v/>
      </c>
      <c r="E315" s="82" t="str">
        <f>IFERROR(E52/-E57,"")</f>
        <v/>
      </c>
      <c r="F315" s="82" t="str">
        <f>IFERROR(F52/-F57,"")</f>
        <v/>
      </c>
      <c r="G315" s="82" t="str">
        <f>IFERROR(G52/-G57,"")</f>
        <v/>
      </c>
      <c r="H315" s="262" t="str">
        <f>IFERROR(IF(AND(COUNT(H52)=1,(H57)&lt;&gt;0),(H52)/-(H57),""),"")</f>
        <v/>
      </c>
      <c r="I315" s="262" t="str">
        <f>""</f>
        <v/>
      </c>
      <c r="J315" s="262" t="str">
        <f>""</f>
        <v/>
      </c>
      <c r="K315" s="262" t="str">
        <f>""</f>
        <v/>
      </c>
      <c r="L315" s="262" t="str">
        <f>IFERROR(IF(AND(COUNT(I52,J52,K52,L52)=4,(I57+J57+K57+L57)&lt;&gt;0),(I52+J52+K52+L52)/-(I57+J57+K57+L57),""),"")</f>
        <v/>
      </c>
      <c r="M315" s="262" t="str">
        <f>IFERROR(IF(AND(COUNT(I52,J52,K52,L52)=4,(I57+J57+K57+L57)&lt;&gt;0),(I52+J52+K52+L52)/-(I57+J57+K57+L57),""),"")</f>
        <v/>
      </c>
      <c r="N315" s="262" t="str">
        <f>IFERROR(IF(AND(COUNT(J52,K52,L52,N52)=4,(J57+K57+L57+N57)&lt;&gt;0),(J52+K52+L52+N52)/-(J57+K57+L57+N57),""),"")</f>
        <v/>
      </c>
      <c r="O315" s="262" t="str">
        <f>IFERROR(IF(AND(COUNT(K52,L52,N52,O52)=4,(K57+L57+N57+O57)&lt;&gt;0),(K52+L52+N52+O52)/-(K57+L57+N57+O57),""),"")</f>
        <v/>
      </c>
      <c r="P315" s="262" t="str">
        <f>IFERROR(IF(AND(COUNT(L52,N52,O52,P52)=4,(L57+N57+O57+P57)&lt;&gt;0),(L52+N52+O52+P52)/-(L57+N57+O57+P57),""),"")</f>
        <v/>
      </c>
      <c r="Q315" s="262" t="str">
        <f>IFERROR(IF(AND(COUNT(N52,O52,P52,Q52)=4,(N57+O57+P57+Q57)&lt;&gt;0),(N52+O52+P52+Q52)/-(N57+O57+P57+Q57),""),"")</f>
        <v/>
      </c>
      <c r="R315" s="262" t="str">
        <f>IFERROR(IF(AND(COUNT(N52,O52,P52,Q52)=4,(N57+O57+P57+Q57)&lt;&gt;0),(N52+O52+P52+Q52)/-(N57+O57+P57+Q57),""),"")</f>
        <v/>
      </c>
      <c r="S315" s="262" t="str">
        <f>IFERROR(IF(AND(COUNT(O52,P52,Q52,S52)=4,(O57+P57+Q57+S57)&lt;&gt;0),(O52+P52+Q52+S52)/-(O57+P57+Q57+S57),""),"")</f>
        <v/>
      </c>
      <c r="T315" s="262">
        <f>IFERROR(IF(AND(COUNT(P52,Q52,S52,T52)=4,(P57+Q57+S57+T57)&lt;&gt;0),(P52+Q52+S52+T52)/-(P57+Q57+S57+T57),""),"")</f>
        <v>117.906593406593</v>
      </c>
      <c r="U315" s="262">
        <f>IFERROR(IF(AND(COUNT(Q52,S52,T52,U52)=4,(Q57+S57+T57+U57)&lt;&gt;0),(Q52+S52+T52+U52)/-(Q57+S57+T57+U57),""),"")</f>
        <v>60.1178082191781</v>
      </c>
      <c r="V315" s="262">
        <f>IFERROR(IF(AND(COUNT(S52,T52,U52,V52)=4,(S57+T57+U57+V57)&lt;&gt;0),(S52+T52+U52+V52)/-(S57+T57+U57+V57),""),"")</f>
        <v>41.3532608695652</v>
      </c>
      <c r="W315" s="262">
        <f>IFERROR(IF(AND(COUNT(S52,T52,U52,V52)=4,(S57+T57+U57+V57)&lt;&gt;0),(S52+T52+U52+V52)/-(S57+T57+U57+V57),""),"")</f>
        <v>41.3532608695652</v>
      </c>
      <c r="X315" s="262">
        <f>IFERROR(IF(AND(COUNT(T52,U52,V52,X52)=4,(T57+U57+V57+X57)&lt;&gt;0),(T52+U52+V52+X52)/-(T57+U57+V57+X57),""),"")</f>
        <v>36.0567823343849</v>
      </c>
      <c r="Y315" s="262">
        <f>IFERROR(IF(AND(COUNT(U52,V52,X52,Y52)=4,(U57+V57+X57+Y57)&lt;&gt;0),(U52+V52+X52+Y52)/-(U57+V57+X57+Y57),""),"")</f>
        <v>36.733024691358</v>
      </c>
      <c r="Z315" s="262">
        <f>IFERROR(IF(AND(COUNT(V52,X52,Y52,Z52)=4,(V57+X57+Y57+Z57)&lt;&gt;0),(V52+X52+Y52+Z52)/-(V57+X57+Y57+Z57),""),"")</f>
        <v>38.4227769110764</v>
      </c>
      <c r="AA315" s="262">
        <f>IFERROR(IF(AND(COUNT(X52,Y52,Z52,AA52)=4,(X57+Y57+Z57+AA57)&lt;&gt;0),(X52+Y52+Z52+AA52)/-(X57+Y57+Z57+AA57),""),"")</f>
        <v>39.2201257861635</v>
      </c>
      <c r="AB315" s="262">
        <f>IFERROR(IF(AND(COUNT(X52,Y52,Z52,AA52)=4,(X57+Y57+Z57+AA57)&lt;&gt;0),(X52+Y52+Z52+AA52)/-(X57+Y57+Z57+AA57),""),"")</f>
        <v>39.2201257861635</v>
      </c>
      <c r="AC315" s="262">
        <f>IFERROR(IF(AND(COUNT(Y52,Z52,AA52,AC52)=4,(Y57+Z57+AA57+AC57)&lt;&gt;0),(Y52+Z52+AA52+AC52)/-(Y57+Z57+AA57+AC57),""),"")</f>
        <v>35.2261235955056</v>
      </c>
      <c r="AD315" s="262">
        <f>IFERROR(IF(AND(COUNT(Z52,AA52,AC52,AD52)=4,(Z57+AA57+AC57+AD57)&lt;&gt;0),(Z52+AA52+AC52+AD52)/-(Z57+AA57+AC57+AD57),""),"")</f>
        <v>45.7171171171171</v>
      </c>
      <c r="AE315" s="262">
        <f>IFERROR(IF(AND(COUNT(AA52,AC52,AD52,AE52)=4,(AA57+AC57+AD57+AE57)&lt;&gt;0),(AA52+AC52+AD52+AE52)/-(AA57+AC57+AD57+AE57),""),"")</f>
        <v>42.8081494057725</v>
      </c>
      <c r="AF315" s="262">
        <f>IFERROR(IF(AND(COUNT(AB52,AD52,AE52,AF52)=4,(AB57+AD57+AE57+AF57)&lt;&gt;0),(AB52+AD52+AE52+AF52)/-(AB57+AD57+AE57+AF57),""),"")</f>
        <v>41.6728452270621</v>
      </c>
      <c r="AG315" s="262">
        <f>IFERROR(IF(AND(COUNT(AC52,AD52,AE52,AF52)=4,(AC57+AD57+AE57+AF57)&lt;&gt;0),(AC52+AD52+AE52+AF52)/-(AC57+AD57+AE57+AF57),""),"")</f>
        <v>42.8635607321131</v>
      </c>
      <c r="AH315" s="262">
        <f>IFERROR(IF(AND(COUNT(AD52,AF52,AG52,AH52)=4,(AD57+AF57+AG57+AH57)&lt;&gt;0),(AD52+AF52+AG52+AH52)/-(AD57+AF57+AG57+AH57),""),"")</f>
        <v>46.3290513833992</v>
      </c>
      <c r="AI315" s="262">
        <f>IFERROR(IF(AND(COUNT(AE52,AG52,AH52,AI52)=4,(AE57+AG57+AH57+AI57)&lt;&gt;0),(AE52+AG52+AH52+AI52)/-(AE57+AG57+AH57+AI57),""),"")</f>
        <v>39.759932375317</v>
      </c>
      <c r="AJ315" s="262" t="str">
        <f>IFERROR(IF(AND(COUNT(AF52,AH52,AI52,AJ52)=4,(AF57+AH57+AI57+AJ57)&lt;&gt;0),(AF52+AH52+AI52+AJ52)/-(AF57+AH57+AI57+AJ57),""),"")</f>
        <v/>
      </c>
      <c r="AK315" s="262" t="str">
        <f>IFERROR(IF(AND(COUNT(AH52,AI52,AJ52,AK52)=4,(AH57+AI57+AJ57+AK57)&lt;&gt;0),(AH52+AI52+AJ52+AK52)/-(AH57+AI57+AJ57+AK57),""),"")</f>
        <v/>
      </c>
      <c r="AL315" s="262" t="str">
        <f>IFERROR(IF(AND(COUNT(AH52,AI52,AJ52,AK52)=4,(AH57+AI57+AJ57+AK57)&lt;&gt;0),(AH52+AI52+AJ52+AK52)/-(AH57+AI57+AJ57+AK57),""),"")</f>
        <v/>
      </c>
      <c r="AM315" s="262" t="str">
        <f>IFERROR(IF(AND(COUNT(AI52,AJ52,AK52,AM52)=4,(AI57+AJ57+AK57+AM57)&lt;&gt;0),(AI52+AJ52+AK52+AM52)/-(AI57+AJ57+AK57+AM57),""),"")</f>
        <v/>
      </c>
      <c r="AN315" s="262" t="str">
        <f>IFERROR(IF(AND(COUNT(AJ52,AK52,AM52,AN52)=4,(AJ57+AK57+AM57+AN57)&lt;&gt;0),(AJ52+AK52+AM52+AN52)/-(AJ57+AK57+AM57+AN57),""),"")</f>
        <v/>
      </c>
      <c r="AO315" s="262" t="str">
        <f>IFERROR(IF(AND(COUNT(AK52,AM52,AN52,AO52)=4,(AK57+AM57+AN57+AO57)&lt;&gt;0),(AK52+AM52+AN52+AO52)/-(AK57+AM57+AN57+AO57),""),"")</f>
        <v/>
      </c>
      <c r="AP315" s="262" t="str">
        <f>IFERROR(IF(AND(COUNT(AM52,AN52,AO52,AP52)=4,(AM57+AN57+AO57+AP57)&lt;&gt;0),(AM52+AN52+AO52+AP52)/-(AM57+AN57+AO57+AP57),""),"")</f>
        <v/>
      </c>
      <c r="AQ315" s="262" t="str">
        <f>IFERROR(IF(AND(COUNT(AM52,AN52,AO52,AP52)=4,(AM57+AN57+AO57+AP57)&lt;&gt;0),(AM52+AN52+AO52+AP52)/-(AM57+AN57+AO57+AP57),""),"")</f>
        <v/>
      </c>
      <c r="AR315" s="262" t="str">
        <f>IFERROR(IF(AND(COUNT(AN52,AO52,AP52,AR52)=4,(AN57+AO57+AP57+AR57)&lt;&gt;0),(AN52+AO52+AP52+AR52)/-(AN57+AO57+AP57+AR57),""),"")</f>
        <v/>
      </c>
      <c r="AS315" s="262" t="str">
        <f>IFERROR(IF(AND(COUNT(AO52,AP52,AR52,AS52)=4,(AO57+AP57+AR57+AS57)&lt;&gt;0),(AO52+AP52+AR52+AS52)/-(AO57+AP57+AR57+AS57),""),"")</f>
        <v/>
      </c>
      <c r="AT315" s="262" t="str">
        <f>IFERROR(IF(AND(COUNT(AP52,AR52,AS52,AT52)=4,(AP57+AR57+AS57+AT57)&lt;&gt;0),(AP52+AR52+AS52+AT52)/-(AP57+AR57+AS57+AT57),""),"")</f>
        <v/>
      </c>
      <c r="AU315" s="262" t="str">
        <f>IFERROR(IF(AND(COUNT(AR52,AS52,AT52,AU52)=4,(AR57+AS57+AT57+AU57)&lt;&gt;0),(AR52+AS52+AT52+AU52)/-(AR57+AS57+AT57+AU57),""),"")</f>
        <v/>
      </c>
      <c r="AV315" s="262" t="str">
        <f>IFERROR(IF(AND(COUNT(AR52,AS52,AT52,AU52)=4,(AR57+AS57+AT57+AU57)&lt;&gt;0),(AR52+AS52+AT52+AU52)/-(AR57+AS57+AT57+AU57),""),"")</f>
        <v/>
      </c>
      <c r="AW315" s="262" t="str">
        <f>IFERROR(IF(AND(COUNT(AS52,AT52,AU52,AW52)=4,(AS57+AT57+AU57+AW57)&lt;&gt;0),(AS52+AT52+AU52+AW52)/-(AS57+AT57+AU57+AW57),""),"")</f>
        <v/>
      </c>
      <c r="AX315" s="262" t="str">
        <f>IFERROR(IF(AND(COUNT(AT52,AU52,AW52,AX52)=4,(AT57+AU57+AW57+AX57)&lt;&gt;0),(AT52+AU52+AW52+AX52)/-(AT57+AU57+AW57+AX57),""),"")</f>
        <v/>
      </c>
      <c r="AY315" s="262" t="str">
        <f>IFERROR(IF(AND(COUNT(AU52,AW52,AX52,AY52)=4,(AU57+AW57+AX57+AY57)&lt;&gt;0),(AU52+AW52+AX52+AY52)/-(AU57+AW57+AX57+AY57),""),"")</f>
        <v/>
      </c>
      <c r="AZ315" s="262" t="str">
        <f>IFERROR(IF(AND(COUNT(AW52,AX52,AY52,AZ52)=4,(AW57+AX57+AY57+AZ57)&lt;&gt;0),(AW52+AX52+AY52+AZ52)/-(AW57+AX57+AY57+AZ57),""),"")</f>
        <v/>
      </c>
      <c r="BA315" s="262" t="str">
        <f>IFERROR(IF(AND(COUNT(AW52,AX52,AY52,AZ52)=4,(AW57+AX57+AY57+AZ57)&lt;&gt;0),(AW52+AX52+AY52+AZ52)/-(AW57+AX57+AY57+AZ57),""),"")</f>
        <v/>
      </c>
      <c r="BB315" s="262" t="str">
        <f>IFERROR(IF(AND(COUNT(AX52,AY52,AZ52,BB52)=4,(AX57+AY57+AZ57+BB57)&lt;&gt;0),(AX52+AY52+AZ52+BB52)/-(AX57+AY57+AZ57+BB57),""),"")</f>
        <v/>
      </c>
      <c r="BC315" s="262" t="str">
        <f>IFERROR(IF(AND(COUNT(AY52,AZ52,BB52,BC52)=4,(AY57+AZ57+BB57+BC57)&lt;&gt;0),(AY52+AZ52+BB52+BC52)/-(AY57+AZ57+BB57+BC57),""),"")</f>
        <v/>
      </c>
      <c r="BD315" s="262" t="str">
        <f>IFERROR(IF(AND(COUNT(AZ52,BB52,BC52,BD52)=4,(AZ57+BB57+BC57+BD57)&lt;&gt;0),(AZ52+BB52+BC52+BD52)/-(AZ57+BB57+BC57+BD57),""),"")</f>
        <v/>
      </c>
      <c r="BE315" s="262" t="str">
        <f>IFERROR(IF(AND(COUNT(BB52,BC52,BD52,BE52)=4,(BB57+BC57+BD57+BE57)&lt;&gt;0),(BB52+BC52+BD52+BE52)/-(BB57+BC57+BD57+BE57),""),"")</f>
        <v/>
      </c>
      <c r="BF315" s="262" t="str">
        <f>IFERROR(IF(AND(COUNT(BB52,BC52,BD52,BE52)=4,(BB57+BC57+BD57+BE57)&lt;&gt;0),(BB52+BC52+BD52+BE52)/-(BB57+BC57+BD57+BE57),""),"")</f>
        <v/>
      </c>
      <c r="BG315" s="82" t="n"/>
      <c r="BH315" s="82" t="n"/>
      <c r="BI315" s="82" t="n"/>
      <c r="BJ315" s="82" t="n"/>
      <c r="BL315" s="82" t="n"/>
      <c r="BM315" s="82" t="n"/>
      <c r="BN315" s="82" t="n"/>
      <c r="BO315" s="82" t="n"/>
      <c r="BQ315" s="82" t="n"/>
      <c r="BR315" s="82" t="n"/>
      <c r="BS315" s="82" t="n"/>
      <c r="BT315" s="82" t="n"/>
      <c r="BV315" s="82" t="n"/>
      <c r="BW315" s="82" t="n"/>
      <c r="BX315" s="82" t="n"/>
      <c r="BY315" s="82" t="n"/>
      <c r="CA315" s="82" t="n"/>
      <c r="CB315" s="82" t="n"/>
      <c r="CC315" s="82" t="n"/>
      <c r="CD315" s="82" t="n"/>
      <c r="CF315" s="82" t="n"/>
      <c r="CG315" s="82" t="n"/>
      <c r="CH315" s="82" t="n"/>
      <c r="CI315" s="82" t="n"/>
      <c r="CK315" s="82" t="n"/>
      <c r="CL315" s="82" t="n"/>
      <c r="CM315" s="82" t="n"/>
      <c r="CN315" s="82" t="n"/>
      <c r="CP315" s="82" t="n"/>
      <c r="CQ315" s="82" t="n"/>
      <c r="CR315" s="82" t="n"/>
      <c r="CS315" s="82" t="n"/>
      <c r="CU315" s="82" t="n"/>
      <c r="CV315" s="82" t="n"/>
      <c r="CW315" s="82" t="n"/>
      <c r="CX315" s="82" t="n"/>
    </row>
    <row r="316" customFormat="1" s="77">
      <c r="A316" s="76" t="n"/>
      <c r="B316" s="76" t="n"/>
      <c r="C316" s="77" t="inlineStr">
        <is>
          <t>(EBITDA - CAPEX) / TOTAL INTEREST (LTM)</t>
        </is>
      </c>
      <c r="D316" s="82" t="str">
        <f>IFERROR((D52-D151)/-D57,"")</f>
        <v/>
      </c>
      <c r="E316" s="82" t="str">
        <f>IFERROR((E52-E151)/-E57,"")</f>
        <v/>
      </c>
      <c r="F316" s="82" t="str">
        <f>IFERROR((F52-F151)/-F57,"")</f>
        <v/>
      </c>
      <c r="G316" s="82" t="str">
        <f>IFERROR((G52-G151)/-G57,"")</f>
        <v/>
      </c>
      <c r="H316" s="262" t="str">
        <f>IFERROR(IF(AND(COUNT(H52)=1,(H57)&lt;&gt;0),((H52)-(H151))/-(H57),""),"")</f>
        <v/>
      </c>
      <c r="I316" s="262" t="str">
        <f>""</f>
        <v/>
      </c>
      <c r="J316" s="262" t="str">
        <f>""</f>
        <v/>
      </c>
      <c r="K316" s="262" t="str">
        <f>""</f>
        <v/>
      </c>
      <c r="L316" s="262" t="str">
        <f>IFERROR(IF(AND(COUNT(I52,J52,K52,L52)=4,(I57+J57+K57+L57)&lt;&gt;0),((I52+J52+K52+L52)-(I151+J151+K151+L151))/-(I57+J57+K57+L57),""),"")</f>
        <v/>
      </c>
      <c r="M316" s="262" t="str">
        <f>IFERROR(IF(AND(COUNT(I52,J52,K52,L52)=4,(I57+J57+K57+L57)&lt;&gt;0),((I52+J52+K52+L52)-(I151+J151+K151+L151))/-(I57+J57+K57+L57),""),"")</f>
        <v/>
      </c>
      <c r="N316" s="262" t="str">
        <f>IFERROR(IF(AND(COUNT(J52,K52,L52,N52)=4,(J57+K57+L57+N57)&lt;&gt;0),((J52+K52+L52+N52)-(J151+K151+L151+N151))/-(J57+K57+L57+N57),""),"")</f>
        <v/>
      </c>
      <c r="O316" s="262" t="str">
        <f>IFERROR(IF(AND(COUNT(K52,L52,N52,O52)=4,(K57+L57+N57+O57)&lt;&gt;0),((K52+L52+N52+O52)-(K151+L151+N151+O151))/-(K57+L57+N57+O57),""),"")</f>
        <v/>
      </c>
      <c r="P316" s="262" t="str">
        <f>IFERROR(IF(AND(COUNT(L52,N52,O52,P52)=4,(L57+N57+O57+P57)&lt;&gt;0),((L52+N52+O52+P52)-(L151+N151+O151+P151))/-(L57+N57+O57+P57),""),"")</f>
        <v/>
      </c>
      <c r="Q316" s="262" t="str">
        <f>IFERROR(IF(AND(COUNT(N52,O52,P52,Q52)=4,(N57+O57+P57+Q57)&lt;&gt;0),((N52+O52+P52+Q52)-(N151+O151+P151+Q151))/-(N57+O57+P57+Q57),""),"")</f>
        <v/>
      </c>
      <c r="R316" s="262" t="str">
        <f>IFERROR(IF(AND(COUNT(N52,O52,P52,Q52)=4,(N57+O57+P57+Q57)&lt;&gt;0),((N52+O52+P52+Q52)-(N151+O151+P151+Q151))/-(N57+O57+P57+Q57),""),"")</f>
        <v/>
      </c>
      <c r="S316" s="262" t="str">
        <f>IFERROR(IF(AND(COUNT(O52,P52,Q52,S52)=4,(O57+P57+Q57+S57)&lt;&gt;0),((O52+P52+Q52+S52)-(O151+P151+Q151+S151))/-(O57+P57+Q57+S57),""),"")</f>
        <v/>
      </c>
      <c r="T316" s="262">
        <f>IFERROR(IF(AND(COUNT(P52,Q52,S52,T52)=4,(P57+Q57+S57+T57)&lt;&gt;0),((P52+Q52+S52+T52)-(P151+Q151+S151+T151))/-(P57+Q57+S57+T57),""),"")</f>
        <v>111.60989010989</v>
      </c>
      <c r="U316" s="262">
        <f>IFERROR(IF(AND(COUNT(Q52,S52,T52,U52)=4,(Q57+S57+T57+U57)&lt;&gt;0),((Q52+S52+T52+U52)-(Q151+S151+T151+U151))/-(Q57+S57+T57+U57),""),"")</f>
        <v>56.9808219178082</v>
      </c>
      <c r="V316" s="262">
        <f>IFERROR(IF(AND(COUNT(S52,T52,U52,V52)=4,(S57+T57+U57+V57)&lt;&gt;0),((S52+T52+U52+V52)-(S151+T151+U151+V151))/-(S57+T57+U57+V57),""),"")</f>
        <v>39.1811594202899</v>
      </c>
      <c r="W316" s="262">
        <f>IFERROR(IF(AND(COUNT(S52,T52,U52,V52)=4,(S57+T57+U57+V57)&lt;&gt;0),((S52+T52+U52+V52)-(S151+T151+U151+V151))/-(S57+T57+U57+V57),""),"")</f>
        <v>39.1811594202899</v>
      </c>
      <c r="X316" s="262">
        <f>IFERROR(IF(AND(COUNT(T52,U52,V52,X52)=4,(T57+U57+V57+X57)&lt;&gt;0),((T52+U52+V52+X52)-(T151+U151+V151+X151))/-(T57+U57+V57+X57),""),"")</f>
        <v>34.0867507886435</v>
      </c>
      <c r="Y316" s="262">
        <f>IFERROR(IF(AND(COUNT(U52,V52,X52,Y52)=4,(U57+V57+X57+Y57)&lt;&gt;0),((U52+V52+X52+Y52)-(U151+V151+X151+Y151))/-(U57+V57+X57+Y57),""),"")</f>
        <v>34.5679012345679</v>
      </c>
      <c r="Z316" s="262">
        <f>IFERROR(IF(AND(COUNT(V52,X52,Y52,Z52)=4,(V57+X57+Y57+Z57)&lt;&gt;0),((V52+X52+Y52+Z52)-(V151+X151+Y151+Z151))/-(V57+X57+Y57+Z57),""),"")</f>
        <v>36.1872074882995</v>
      </c>
      <c r="AA316" s="262">
        <f>IFERROR(IF(AND(COUNT(X52,Y52,Z52,AA52)=4,(X57+Y57+Z57+AA57)&lt;&gt;0),((X52+Y52+Z52+AA52)-(X151+Y151+Z151+AA151))/-(X57+Y57+Z57+AA57),""),"")</f>
        <v>36.75</v>
      </c>
      <c r="AB316" s="262">
        <f>IFERROR(IF(AND(COUNT(X52,Y52,Z52,AA52)=4,(X57+Y57+Z57+AA57)&lt;&gt;0),((X52+Y52+Z52+AA52)-(X151+Y151+Z151+AA151))/-(X57+Y57+Z57+AA57),""),"")</f>
        <v>36.75</v>
      </c>
      <c r="AC316" s="262">
        <f>IFERROR(IF(AND(COUNT(Y52,Z52,AA52,AC52)=4,(Y57+Z57+AA57+AC57)&lt;&gt;0),((Y52+Z52+AA52+AC52)-(Y151+Z151+AA151+AC151))/-(Y57+Z57+AA57+AC57),""),"")</f>
        <v>33.0941011235955</v>
      </c>
      <c r="AD316" s="262">
        <f>IFERROR(IF(AND(COUNT(Z52,AA52,AC52,AD52)=4,(Z57+AA57+AC57+AD57)&lt;&gt;0),((Z52+AA52+AC52+AD52)-(Z151+AA151+AC151+AD151))/-(Z57+AA57+AC57+AD57),""),"")</f>
        <v>42.9153153153153</v>
      </c>
      <c r="AE316" s="262">
        <f>IFERROR(IF(AND(COUNT(AA52,AC52,AD52,AE52)=4,(AA57+AC57+AD57+AE57)&lt;&gt;0),((AA52+AC52+AD52+AE52)-(AA151+AC151+AD151+AE151))/-(AA57+AC57+AD57+AE57),""),"")</f>
        <v>40.0373514431239</v>
      </c>
      <c r="AF316" s="262">
        <f>IFERROR(IF(AND(COUNT(AB52,AD52,AE52,AF52)=4,(AB57+AD57+AE57+AF57)&lt;&gt;0),((AB52+AD52+AE52+AF52)-(AB151+AD151+AE151+AF151))/-(AB57+AD57+AE57+AF57),""),"")</f>
        <v>40.5495829471733</v>
      </c>
      <c r="AG316" s="262">
        <f>IFERROR(IF(AND(COUNT(AC52,AD52,AE52,AF52)=4,(AC57+AD57+AE57+AF57)&lt;&gt;0),((AC52+AD52+AE52+AF52)-(AC151+AD151+AE151+AF151))/-(AC57+AD57+AE57+AF57),""),"")</f>
        <v>40.2579034941764</v>
      </c>
      <c r="AH316" s="262">
        <f>IFERROR(IF(AND(COUNT(AD52,AF52,AG52,AH52)=4,(AD57+AF57+AG57+AH57)&lt;&gt;0),((AD52+AF52+AG52+AH52)-(AD151+AF151+AG151+AH151))/-(AD57+AF57+AG57+AH57),""),"")</f>
        <v>43.1630434782609</v>
      </c>
      <c r="AI316" s="262">
        <f>IFERROR(IF(AND(COUNT(AE52,AG52,AH52,AI52)=4,(AE57+AG57+AH57+AI57)&lt;&gt;0),((AE52+AG52+AH52+AI52)-(AE151+AG151+AH151+AI151))/-(AE57+AG57+AH57+AI57),""),"")</f>
        <v>37.0067624683009</v>
      </c>
      <c r="AJ316" s="262" t="str">
        <f>IFERROR(IF(AND(COUNT(AF52,AH52,AI52,AJ52)=4,(AF57+AH57+AI57+AJ57)&lt;&gt;0),((AF52+AH52+AI52+AJ52)-(AF151+AH151+AI151+AJ151))/-(AF57+AH57+AI57+AJ57),""),"")</f>
        <v/>
      </c>
      <c r="AK316" s="262" t="str">
        <f>IFERROR(IF(AND(COUNT(AH52,AI52,AJ52,AK52)=4,(AH57+AI57+AJ57+AK57)&lt;&gt;0),((AH52+AI52+AJ52+AK52)-(AH151+AI151+AJ151+AK151))/-(AH57+AI57+AJ57+AK57),""),"")</f>
        <v/>
      </c>
      <c r="AL316" s="262" t="str">
        <f>IFERROR(IF(AND(COUNT(AH52,AI52,AJ52,AK52)=4,(AH57+AI57+AJ57+AK57)&lt;&gt;0),((AH52+AI52+AJ52+AK52)-(AH151+AI151+AJ151+AK151))/-(AH57+AI57+AJ57+AK57),""),"")</f>
        <v/>
      </c>
      <c r="AM316" s="262" t="str">
        <f>IFERROR(IF(AND(COUNT(AI52,AJ52,AK52,AM52)=4,(AI57+AJ57+AK57+AM57)&lt;&gt;0),((AI52+AJ52+AK52+AM52)-(AI151+AJ151+AK151+AM151))/-(AI57+AJ57+AK57+AM57),""),"")</f>
        <v/>
      </c>
      <c r="AN316" s="262" t="str">
        <f>IFERROR(IF(AND(COUNT(AJ52,AK52,AM52,AN52)=4,(AJ57+AK57+AM57+AN57)&lt;&gt;0),((AJ52+AK52+AM52+AN52)-(AJ151+AK151+AM151+AN151))/-(AJ57+AK57+AM57+AN57),""),"")</f>
        <v/>
      </c>
      <c r="AO316" s="262" t="str">
        <f>IFERROR(IF(AND(COUNT(AK52,AM52,AN52,AO52)=4,(AK57+AM57+AN57+AO57)&lt;&gt;0),((AK52+AM52+AN52+AO52)-(AK151+AM151+AN151+AO151))/-(AK57+AM57+AN57+AO57),""),"")</f>
        <v/>
      </c>
      <c r="AP316" s="262" t="str">
        <f>IFERROR(IF(AND(COUNT(AM52,AN52,AO52,AP52)=4,(AM57+AN57+AO57+AP57)&lt;&gt;0),((AM52+AN52+AO52+AP52)-(AM151+AN151+AO151+AP151))/-(AM57+AN57+AO57+AP57),""),"")</f>
        <v/>
      </c>
      <c r="AQ316" s="262" t="str">
        <f>IFERROR(IF(AND(COUNT(AM52,AN52,AO52,AP52)=4,(AM57+AN57+AO57+AP57)&lt;&gt;0),((AM52+AN52+AO52+AP52)-(AM151+AN151+AO151+AP151))/-(AM57+AN57+AO57+AP57),""),"")</f>
        <v/>
      </c>
      <c r="AR316" s="262" t="str">
        <f>IFERROR(IF(AND(COUNT(AN52,AO52,AP52,AR52)=4,(AN57+AO57+AP57+AR57)&lt;&gt;0),((AN52+AO52+AP52+AR52)-(AN151+AO151+AP151+AR151))/-(AN57+AO57+AP57+AR57),""),"")</f>
        <v/>
      </c>
      <c r="AS316" s="262" t="str">
        <f>IFERROR(IF(AND(COUNT(AO52,AP52,AR52,AS52)=4,(AO57+AP57+AR57+AS57)&lt;&gt;0),((AO52+AP52+AR52+AS52)-(AO151+AP151+AR151+AS151))/-(AO57+AP57+AR57+AS57),""),"")</f>
        <v/>
      </c>
      <c r="AT316" s="262" t="str">
        <f>IFERROR(IF(AND(COUNT(AP52,AR52,AS52,AT52)=4,(AP57+AR57+AS57+AT57)&lt;&gt;0),((AP52+AR52+AS52+AT52)-(AP151+AR151+AS151+AT151))/-(AP57+AR57+AS57+AT57),""),"")</f>
        <v/>
      </c>
      <c r="AU316" s="262" t="str">
        <f>IFERROR(IF(AND(COUNT(AR52,AS52,AT52,AU52)=4,(AR57+AS57+AT57+AU57)&lt;&gt;0),((AR52+AS52+AT52+AU52)-(AR151+AS151+AT151+AU151))/-(AR57+AS57+AT57+AU57),""),"")</f>
        <v/>
      </c>
      <c r="AV316" s="262" t="str">
        <f>IFERROR(IF(AND(COUNT(AR52,AS52,AT52,AU52)=4,(AR57+AS57+AT57+AU57)&lt;&gt;0),((AR52+AS52+AT52+AU52)-(AR151+AS151+AT151+AU151))/-(AR57+AS57+AT57+AU57),""),"")</f>
        <v/>
      </c>
      <c r="AW316" s="262" t="str">
        <f>IFERROR(IF(AND(COUNT(AS52,AT52,AU52,AW52)=4,(AS57+AT57+AU57+AW57)&lt;&gt;0),((AS52+AT52+AU52+AW52)-(AS151+AT151+AU151+AW151))/-(AS57+AT57+AU57+AW57),""),"")</f>
        <v/>
      </c>
      <c r="AX316" s="262" t="str">
        <f>IFERROR(IF(AND(COUNT(AT52,AU52,AW52,AX52)=4,(AT57+AU57+AW57+AX57)&lt;&gt;0),((AT52+AU52+AW52+AX52)-(AT151+AU151+AW151+AX151))/-(AT57+AU57+AW57+AX57),""),"")</f>
        <v/>
      </c>
      <c r="AY316" s="262" t="str">
        <f>IFERROR(IF(AND(COUNT(AU52,AW52,AX52,AY52)=4,(AU57+AW57+AX57+AY57)&lt;&gt;0),((AU52+AW52+AX52+AY52)-(AU151+AW151+AX151+AY151))/-(AU57+AW57+AX57+AY57),""),"")</f>
        <v/>
      </c>
      <c r="AZ316" s="262" t="str">
        <f>IFERROR(IF(AND(COUNT(AW52,AX52,AY52,AZ52)=4,(AW57+AX57+AY57+AZ57)&lt;&gt;0),((AW52+AX52+AY52+AZ52)-(AW151+AX151+AY151+AZ151))/-(AW57+AX57+AY57+AZ57),""),"")</f>
        <v/>
      </c>
      <c r="BA316" s="262" t="str">
        <f>IFERROR(IF(AND(COUNT(AW52,AX52,AY52,AZ52)=4,(AW57+AX57+AY57+AZ57)&lt;&gt;0),((AW52+AX52+AY52+AZ52)-(AW151+AX151+AY151+AZ151))/-(AW57+AX57+AY57+AZ57),""),"")</f>
        <v/>
      </c>
      <c r="BB316" s="262" t="str">
        <f>IFERROR(IF(AND(COUNT(AX52,AY52,AZ52,BB52)=4,(AX57+AY57+AZ57+BB57)&lt;&gt;0),((AX52+AY52+AZ52+BB52)-(AX151+AY151+AZ151+BB151))/-(AX57+AY57+AZ57+BB57),""),"")</f>
        <v/>
      </c>
      <c r="BC316" s="262" t="str">
        <f>IFERROR(IF(AND(COUNT(AY52,AZ52,BB52,BC52)=4,(AY57+AZ57+BB57+BC57)&lt;&gt;0),((AY52+AZ52+BB52+BC52)-(AY151+AZ151+BB151+BC151))/-(AY57+AZ57+BB57+BC57),""),"")</f>
        <v/>
      </c>
      <c r="BD316" s="262" t="str">
        <f>IFERROR(IF(AND(COUNT(AZ52,BB52,BC52,BD52)=4,(AZ57+BB57+BC57+BD57)&lt;&gt;0),((AZ52+BB52+BC52+BD52)-(AZ151+BB151+BC151+BD151))/-(AZ57+BB57+BC57+BD57),""),"")</f>
        <v/>
      </c>
      <c r="BE316" s="262" t="str">
        <f>IFERROR(IF(AND(COUNT(BB52,BC52,BD52,BE52)=4,(BB57+BC57+BD57+BE57)&lt;&gt;0),((BB52+BC52+BD52+BE52)-(BB151+BC151+BD151+BE151))/-(BB57+BC57+BD57+BE57),""),"")</f>
        <v/>
      </c>
      <c r="BF316" s="262" t="str">
        <f>IFERROR(IF(AND(COUNT(BB52,BC52,BD52,BE52)=4,(BB57+BC57+BD57+BE57)&lt;&gt;0),((BB52+BC52+BD52+BE52)-(BB151+BC151+BD151+BE151))/-(BB57+BC57+BD57+BE57),""),"")</f>
        <v/>
      </c>
      <c r="BG316" s="82" t="n"/>
      <c r="BH316" s="82" t="n"/>
      <c r="BI316" s="82" t="n"/>
      <c r="BJ316" s="82" t="n"/>
      <c r="BL316" s="82" t="n"/>
      <c r="BM316" s="82" t="n"/>
      <c r="BN316" s="82" t="n"/>
      <c r="BO316" s="82" t="n"/>
      <c r="BQ316" s="82" t="n"/>
      <c r="BR316" s="82" t="n"/>
      <c r="BS316" s="82" t="n"/>
      <c r="BT316" s="82" t="n"/>
      <c r="BV316" s="82" t="n"/>
      <c r="BW316" s="82" t="n"/>
      <c r="BX316" s="82" t="n"/>
      <c r="BY316" s="82" t="n"/>
      <c r="CA316" s="82" t="n"/>
      <c r="CB316" s="82" t="n"/>
      <c r="CC316" s="82" t="n"/>
      <c r="CD316" s="82" t="n"/>
      <c r="CF316" s="82" t="n"/>
      <c r="CG316" s="82" t="n"/>
      <c r="CH316" s="82" t="n"/>
      <c r="CI316" s="82" t="n"/>
      <c r="CK316" s="82" t="n"/>
      <c r="CL316" s="82" t="n"/>
      <c r="CM316" s="82" t="n"/>
      <c r="CN316" s="82" t="n"/>
      <c r="CP316" s="82" t="n"/>
      <c r="CQ316" s="82" t="n"/>
      <c r="CR316" s="82" t="n"/>
      <c r="CS316" s="82" t="n"/>
      <c r="CU316" s="82" t="n"/>
      <c r="CV316" s="82" t="n"/>
      <c r="CW316" s="82" t="n"/>
      <c r="CX316" s="82" t="n"/>
    </row>
    <row r="317" customFormat="1" s="77">
      <c r="A317" s="76" t="n"/>
      <c r="B317" s="76" t="n"/>
      <c r="C317" s="77" t="inlineStr">
        <is>
          <t>TOTAL DEBT / EBITDA (LTM)</t>
        </is>
      </c>
      <c r="D317" s="82" t="str">
        <f>IFERROR(SUM(D195,D196,D197,D200,D218,D221)/D52,"")</f>
        <v/>
      </c>
      <c r="E317" s="82" t="str">
        <f>IFERROR(SUM(E195,E196,E197,E200,E218,E221)/E52,"")</f>
        <v/>
      </c>
      <c r="F317" s="82" t="str">
        <f>IFERROR(SUM(F195,F196,F197,F200,F218,F221)/F52,"")</f>
        <v/>
      </c>
      <c r="G317" s="82" t="str">
        <f>IFERROR(SUM(G195,G196,G197,G200,G218,G221)/G52,"")</f>
        <v/>
      </c>
      <c r="H317" s="262" t="str">
        <f>IFERROR(IF(AND(COUNT(H52)=1,(H52)&lt;&gt;0),(N(H195)+N(H196)+N(H197)+N(H200)+N(H218)+N(H221))/(H52),""),"")</f>
        <v/>
      </c>
      <c r="I317" s="262" t="str">
        <f>""</f>
        <v/>
      </c>
      <c r="J317" s="262" t="str">
        <f>""</f>
        <v/>
      </c>
      <c r="K317" s="262" t="str">
        <f>""</f>
        <v/>
      </c>
      <c r="L317" s="262">
        <f>IFERROR(IF(AND(COUNT(I52,J52,K52,L52)=4,(I52+J52+K52+L52)&lt;&gt;0),(N(L195)+N(L196)+N(L197)+N(L200)+N(L218)+N(L221))/(I52+J52+K52+L52),""),"")</f>
        <v>1.1926343994071</v>
      </c>
      <c r="M317" s="262">
        <f>IFERROR(IF(AND(COUNT(I52,J52,K52,L52)=4,(I52+J52+K52+L52)&lt;&gt;0),(N(M195)+N(M196)+N(M197)+N(M200)+N(M218)+N(M221))/(I52+J52+K52+L52),""),"")</f>
        <v>1.1926343994071</v>
      </c>
      <c r="N317" s="262">
        <f>IFERROR(IF(AND(COUNT(J52,K52,L52,N52)=4,(J52+K52+L52+N52)&lt;&gt;0),(N(N195)+N(N196)+N(N197)+N(N200)+N(N218)+N(N221))/(J52+K52+L52+N52),""),"")</f>
        <v>1.12036445012788</v>
      </c>
      <c r="O317" s="262">
        <f>IFERROR(IF(AND(COUNT(K52,L52,N52,O52)=4,(K52+L52+N52+O52)&lt;&gt;0),(N(O195)+N(O196)+N(O197)+N(O200)+N(O218)+N(O221))/(K52+L52+N52+O52),""),"")</f>
        <v>1.26046191333828</v>
      </c>
      <c r="P317" s="262">
        <f>IFERROR(IF(AND(COUNT(L52,N52,O52,P52)=4,(L52+N52+O52+P52)&lt;&gt;0),(N(P195)+N(P196)+N(P197)+N(P200)+N(P218)+N(P221))/(L52+N52+O52+P52),""),"")</f>
        <v>1.14109992884009</v>
      </c>
      <c r="Q317" s="262">
        <f>IFERROR(IF(AND(COUNT(N52,O52,P52,Q52)=4,(N52+O52+P52+Q52)&lt;&gt;0),(N(Q195)+N(Q196)+N(Q197)+N(Q200)+N(Q218)+N(Q221))/(N52+O52+P52+Q52),""),"")</f>
        <v>1.02348004196433</v>
      </c>
      <c r="R317" s="262">
        <f>IFERROR(IF(AND(COUNT(N52,O52,P52,Q52)=4,(N52+O52+P52+Q52)&lt;&gt;0),(N(R195)+N(R196)+N(R197)+N(R200)+N(R218)+N(R221))/(N52+O52+P52+Q52),""),"")</f>
        <v>1.02348004196433</v>
      </c>
      <c r="S317" s="262">
        <f>IFERROR(IF(AND(COUNT(O52,P52,Q52,S52)=4,(O52+P52+Q52+S52)&lt;&gt;0),(N(S195)+N(S196)+N(S197)+N(S200)+N(S218)+N(S221))/(O52+P52+Q52+S52),""),"")</f>
        <v>1.00136067645058</v>
      </c>
      <c r="T317" s="262">
        <f>IFERROR(IF(AND(COUNT(P52,Q52,S52,T52)=4,(P52+Q52+S52+T52)&lt;&gt;0),(N(T195)+N(T196)+N(T197)+N(T200)+N(T218)+N(T221))/(P52+Q52+S52+T52),""),"")</f>
        <v>0.958106155925253</v>
      </c>
      <c r="U317" s="262">
        <f>IFERROR(IF(AND(COUNT(Q52,S52,T52,U52)=4,(Q52+S52+T52+U52)&lt;&gt;0),(N(U195)+N(U196)+N(U197)+N(U200)+N(U218)+N(U221))/(Q52+S52+T52+U52),""),"")</f>
        <v>0.932552522444515</v>
      </c>
      <c r="V317" s="262">
        <f>IFERROR(IF(AND(COUNT(S52,T52,U52,V52)=4,(S52+T52+U52+V52)&lt;&gt;0),(N(V195)+N(V196)+N(V197)+N(V200)+N(V218)+N(V221))/(S52+T52+U52+V52),""),"")</f>
        <v>0.906952293336838</v>
      </c>
      <c r="W317" s="262">
        <f>IFERROR(IF(AND(COUNT(S52,T52,U52,V52)=4,(S52+T52+U52+V52)&lt;&gt;0),(N(W195)+N(W196)+N(W197)+N(W200)+N(W218)+N(W221))/(S52+T52+U52+V52),""),"")</f>
        <v>0.906952293336838</v>
      </c>
      <c r="X317" s="262">
        <f>IFERROR(IF(AND(COUNT(T52,U52,V52,X52)=4,(T52+U52+V52+X52)&lt;&gt;0),(N(X195)+N(X196)+N(X197)+N(X200)+N(X218)+N(X221))/(T52+U52+V52+X52),""),"")</f>
        <v>0.901268591426072</v>
      </c>
      <c r="Y317" s="262">
        <f>IFERROR(IF(AND(COUNT(U52,V52,X52,Y52)=4,(U52+V52+X52+Y52)&lt;&gt;0),(N(Y195)+N(Y196)+N(Y197)+N(Y200)+N(Y218)+N(Y221))/(U52+V52+X52+Y52),""),"")</f>
        <v>0.865521152795866</v>
      </c>
      <c r="Z317" s="262">
        <f>IFERROR(IF(AND(COUNT(V52,X52,Y52,Z52)=4,(V52+X52+Y52+Z52)&lt;&gt;0),(N(Z195)+N(Z196)+N(Z197)+N(Z200)+N(Z218)+N(Z221))/(V52+X52+Y52+Z52),""),"")</f>
        <v>0.84599455925941</v>
      </c>
      <c r="AA317" s="262">
        <f>IFERROR(IF(AND(COUNT(X52,Y52,Z52,AA52)=4,(X52+Y52+Z52+AA52)&lt;&gt;0),(N(AA195)+N(AA196)+N(AA197)+N(AA200)+N(AA218)+N(AA221))/(X52+Y52+Z52+AA52),""),"")</f>
        <v>0.826210711994869</v>
      </c>
      <c r="AB317" s="262">
        <f>IFERROR(IF(AND(COUNT(X52,Y52,Z52,AA52)=4,(X52+Y52+Z52+AA52)&lt;&gt;0),(N(AB195)+N(AB196)+N(AB197)+N(AB200)+N(AB218)+N(AB221))/(X52+Y52+Z52+AA52),""),"")</f>
        <v>0.826210711994869</v>
      </c>
      <c r="AC317" s="262">
        <f>IFERROR(IF(AND(COUNT(Y52,Z52,AA52,AC52)=4,(Y52+Z52+AA52+AC52)&lt;&gt;0),(N(AC195)+N(AC196)+N(AC197)+N(AC200)+N(AC218)+N(AC221))/(Y52+Z52+AA52+AC52),""),"")</f>
        <v>0.827797934691599</v>
      </c>
      <c r="AD317" s="262">
        <f>IFERROR(IF(AND(COUNT(Z52,AA52,AC52,AD52)=4,(Z52+AA52+AC52+AD52)&lt;&gt;0),(N(AD195)+N(AD196)+N(AD197)+N(AD200)+N(AD218)+N(AD221))/(Z52+AA52+AC52+AD52),""),"")</f>
        <v>0.990738186260986</v>
      </c>
      <c r="AE317" s="262">
        <f>IFERROR(IF(AND(COUNT(AA52,AC52,AD52,AE52)=4,(AA52+AC52+AD52+AE52)&lt;&gt;0),(N(AE195)+N(AE196)+N(AE197)+N(AE200)+N(AE218)+N(AE221))/(AA52+AC52+AD52+AE52),""),"")</f>
        <v>0.998294598239074</v>
      </c>
      <c r="AF317" s="262">
        <f>IFERROR(IF(AND(COUNT(AB52,AD52,AE52,AF52)=4,(AB52+AD52+AE52+AF52)&lt;&gt;0),(N(AF195)+N(AF196)+N(AF197)+N(AF200)+N(AF218)+N(AF221))/(AB52+AD52+AE52+AF52),""),"")</f>
        <v>0.470966307127766</v>
      </c>
      <c r="AG317" s="262">
        <f>IFERROR(IF(AND(COUNT(AC52,AD52,AE52,AF52)=4,(AC52+AD52+AE52+AF52)&lt;&gt;0),(N(AG195)+N(AG196)+N(AG197)+N(AG200)+N(AG218)+N(AG221))/(AC52+AD52+AE52+AF52),""),"")</f>
        <v>0.822056597181787</v>
      </c>
      <c r="AH317" s="262">
        <f>IFERROR(IF(AND(COUNT(AD52,AF52,AG52,AH52)=4,(AD52+AF52+AG52+AH52)&lt;&gt;0),(N(AH195)+N(AH196)+N(AH197)+N(AH200)+N(AH218)+N(AH221))/(AD52+AF52+AG52+AH52),""),"")</f>
        <v>0.511378905833422</v>
      </c>
      <c r="AI317" s="262">
        <f>IFERROR(IF(AND(COUNT(AE52,AG52,AH52,AI52)=4,(AE52+AG52+AH52+AI52)&lt;&gt;0),(N(AI195)+N(AI196)+N(AI197)+N(AI200)+N(AI218)+N(AI221))/(AE52+AG52+AH52+AI52),""),"")</f>
        <v>0.507228505825325</v>
      </c>
      <c r="AJ317" s="262">
        <f>IFERROR(IF(AND(COUNT(AF52,AH52,AI52,AJ52)=4,(AF52+AH52+AI52+AJ52)&lt;&gt;0),(N(AJ195)+N(AJ196)+N(AJ197)+N(AJ200)+N(AJ218)+N(AJ221))/(AF52+AH52+AI52+AJ52),""),"")</f>
        <v>0.807318160492049</v>
      </c>
      <c r="AK317" s="262">
        <f>IFERROR(IF(AND(COUNT(AH52,AI52,AJ52,AK52)=4,(AH52+AI52+AJ52+AK52)&lt;&gt;0),(N(AK195)+N(AK196)+N(AK197)+N(AK200)+N(AK218)+N(AK221))/(AH52+AI52+AJ52+AK52),""),"")</f>
        <v>0.787547138322784</v>
      </c>
      <c r="AL317" s="262">
        <f>IFERROR(IF(AND(COUNT(AH52,AI52,AJ52,AK52)=4,(AH52+AI52+AJ52+AK52)&lt;&gt;0),(N(AL195)+N(AL196)+N(AL197)+N(AL200)+N(AL218)+N(AL221))/(AH52+AI52+AJ52+AK52),""),"")</f>
        <v>0.787547138322784</v>
      </c>
      <c r="AM317" s="262">
        <f>IFERROR(IF(AND(COUNT(AI52,AJ52,AK52,AM52)=4,(AI52+AJ52+AK52+AM52)&lt;&gt;0),(N(AM195)+N(AM196)+N(AM197)+N(AM200)+N(AM218)+N(AM221))/(AI52+AJ52+AK52+AM52),""),"")</f>
        <v>0.775428340594601</v>
      </c>
      <c r="AN317" s="262">
        <f>IFERROR(IF(AND(COUNT(AJ52,AK52,AM52,AN52)=4,(AJ52+AK52+AM52+AN52)&lt;&gt;0),(N(AN195)+N(AN196)+N(AN197)+N(AN200)+N(AN218)+N(AN221))/(AJ52+AK52+AM52+AN52),""),"")</f>
        <v>0.749014940924964</v>
      </c>
      <c r="AO317" s="262">
        <f>IFERROR(IF(AND(COUNT(AK52,AM52,AN52,AO52)=4,(AK52+AM52+AN52+AO52)&lt;&gt;0),(N(AO195)+N(AO196)+N(AO197)+N(AO200)+N(AO218)+N(AO221))/(AK52+AM52+AN52+AO52),""),"")</f>
        <v>0.725358180595588</v>
      </c>
      <c r="AP317" s="262">
        <f>IFERROR(IF(AND(COUNT(AM52,AN52,AO52,AP52)=4,(AM52+AN52+AO52+AP52)&lt;&gt;0),(N(AP195)+N(AP196)+N(AP197)+N(AP200)+N(AP218)+N(AP221))/(AM52+AN52+AO52+AP52),""),"")</f>
        <v>0.702794865747352</v>
      </c>
      <c r="AQ317" s="262">
        <f>IFERROR(IF(AND(COUNT(AM52,AN52,AO52,AP52)=4,(AM52+AN52+AO52+AP52)&lt;&gt;0),(N(AQ195)+N(AQ196)+N(AQ197)+N(AQ200)+N(AQ218)+N(AQ221))/(AM52+AN52+AO52+AP52),""),"")</f>
        <v>0.702794865747352</v>
      </c>
      <c r="AR317" s="262">
        <f>IFERROR(IF(AND(COUNT(AN52,AO52,AP52,AR52)=4,(AN52+AO52+AP52+AR52)&lt;&gt;0),(N(AR195)+N(AR196)+N(AR197)+N(AR200)+N(AR218)+N(AR221))/(AN52+AO52+AP52+AR52),""),"")</f>
        <v>0.681755213857415</v>
      </c>
      <c r="AS317" s="262">
        <f>IFERROR(IF(AND(COUNT(AO52,AP52,AR52,AS52)=4,(AO52+AP52+AR52+AS52)&lt;&gt;0),(N(AS195)+N(AS196)+N(AS197)+N(AS200)+N(AS218)+N(AS221))/(AO52+AP52+AR52+AS52),""),"")</f>
        <v>0.661248931869203</v>
      </c>
      <c r="AT317" s="262">
        <f>IFERROR(IF(AND(COUNT(AP52,AR52,AS52,AT52)=4,(AP52+AR52+AS52+AT52)&lt;&gt;0),(N(AT195)+N(AT196)+N(AT197)+N(AT200)+N(AT218)+N(AT221))/(AP52+AR52+AS52+AT52),""),"")</f>
        <v>0.641068180796688</v>
      </c>
      <c r="AU317" s="262">
        <f>IFERROR(IF(AND(COUNT(AR52,AS52,AT52,AU52)=4,(AR52+AS52+AT52+AU52)&lt;&gt;0),(N(AU195)+N(AU196)+N(AU197)+N(AU200)+N(AU218)+N(AU221))/(AR52+AS52+AT52+AU52),""),"")</f>
        <v>0.621778821541601</v>
      </c>
      <c r="AV317" s="262">
        <f>IFERROR(IF(AND(COUNT(AR52,AS52,AT52,AU52)=4,(AR52+AS52+AT52+AU52)&lt;&gt;0),(N(AV195)+N(AV196)+N(AV197)+N(AV200)+N(AV218)+N(AV221))/(AR52+AS52+AT52+AU52),""),"")</f>
        <v>0.621778821541601</v>
      </c>
      <c r="AW317" s="262">
        <f>IFERROR(IF(AND(COUNT(AS52,AT52,AU52,AW52)=4,(AS52+AT52+AU52+AW52)&lt;&gt;0),(N(AW195)+N(AW196)+N(AW197)+N(AW200)+N(AW218)+N(AW221))/(AS52+AT52+AU52+AW52),""),"")</f>
        <v>0.603858269499929</v>
      </c>
      <c r="AX317" s="262">
        <f>IFERROR(IF(AND(COUNT(AT52,AU52,AW52,AX52)=4,(AT52+AU52+AW52+AX52)&lt;&gt;0),(N(AX195)+N(AX196)+N(AX197)+N(AX200)+N(AX218)+N(AX221))/(AT52+AU52+AW52+AX52),""),"")</f>
        <v>0.586352304073591</v>
      </c>
      <c r="AY317" s="262">
        <f>IFERROR(IF(AND(COUNT(AU52,AW52,AX52,AY52)=4,(AU52+AW52+AX52+AY52)&lt;&gt;0),(N(AY195)+N(AY196)+N(AY197)+N(AY200)+N(AY218)+N(AY221))/(AU52+AW52+AX52+AY52),""),"")</f>
        <v>0.569085837473005</v>
      </c>
      <c r="AZ317" s="262">
        <f>IFERROR(IF(AND(COUNT(AW52,AX52,AY52,AZ52)=4,(AW52+AX52+AY52+AZ52)&lt;&gt;0),(N(AZ195)+N(AZ196)+N(AZ197)+N(AZ200)+N(AZ218)+N(AZ221))/(AW52+AX52+AY52+AZ52),""),"")</f>
        <v>0.55254631161417</v>
      </c>
      <c r="BA317" s="262">
        <f>IFERROR(IF(AND(COUNT(AW52,AX52,AY52,AZ52)=4,(AW52+AX52+AY52+AZ52)&lt;&gt;0),(N(BA195)+N(BA196)+N(BA197)+N(BA200)+N(BA218)+N(BA221))/(AW52+AX52+AY52+AZ52),""),"")</f>
        <v>0.55254631161417</v>
      </c>
      <c r="BB317" s="262">
        <f>IFERROR(IF(AND(COUNT(AX52,AY52,AZ52,BB52)=4,(AX52+AY52+AZ52+BB52)&lt;&gt;0),(N(BB195)+N(BB196)+N(BB197)+N(BB200)+N(BB218)+N(BB221))/(AX52+AY52+AZ52+BB52),""),"")</f>
        <v>0.537239029860671</v>
      </c>
      <c r="BC317" s="262">
        <f>IFERROR(IF(AND(COUNT(AY52,AZ52,BB52,BC52)=4,(AY52+AZ52+BB52+BC52)&lt;&gt;0),(N(BC195)+N(BC196)+N(BC197)+N(BC200)+N(BC218)+N(BC221))/(AY52+AZ52+BB52+BC52),""),"")</f>
        <v>0.52225180197801</v>
      </c>
      <c r="BD317" s="262">
        <f>IFERROR(IF(AND(COUNT(AZ52,BB52,BC52,BD52)=4,(AZ52+BB52+BC52+BD52)&lt;&gt;0),(N(BD195)+N(BD196)+N(BD197)+N(BD200)+N(BD218)+N(BD221))/(AZ52+BB52+BC52+BD52),""),"")</f>
        <v>0.507436513378245</v>
      </c>
      <c r="BE317" s="262">
        <f>IFERROR(IF(AND(COUNT(BB52,BC52,BD52,BE52)=4,(BB52+BC52+BD52+BE52)&lt;&gt;0),(N(BE195)+N(BE196)+N(BE197)+N(BE200)+N(BE218)+N(BE221))/(BB52+BC52+BD52+BE52),""),"")</f>
        <v>0.493214039858878</v>
      </c>
      <c r="BF317" s="262">
        <f>IFERROR(IF(AND(COUNT(BB52,BC52,BD52,BE52)=4,(BB52+BC52+BD52+BE52)&lt;&gt;0),(N(BF195)+N(BF196)+N(BF197)+N(BF200)+N(BF218)+N(BF221))/(BB52+BC52+BD52+BE52),""),"")</f>
        <v>0.493214039858878</v>
      </c>
      <c r="BG317" s="82" t="n"/>
      <c r="BH317" s="82" t="n"/>
      <c r="BI317" s="82" t="n"/>
      <c r="BJ317" s="82" t="n"/>
      <c r="BL317" s="82" t="n"/>
      <c r="BM317" s="82" t="n"/>
      <c r="BN317" s="82" t="n"/>
      <c r="BO317" s="82" t="n"/>
      <c r="BQ317" s="82" t="n"/>
      <c r="BR317" s="82" t="n"/>
      <c r="BS317" s="82" t="n"/>
      <c r="BT317" s="82" t="n"/>
      <c r="BV317" s="82" t="n"/>
      <c r="BW317" s="82" t="n"/>
      <c r="BX317" s="82" t="n"/>
      <c r="BY317" s="82" t="n"/>
      <c r="CA317" s="82" t="n"/>
      <c r="CB317" s="82" t="n"/>
      <c r="CC317" s="82" t="n"/>
      <c r="CD317" s="82" t="n"/>
      <c r="CF317" s="82" t="n"/>
      <c r="CG317" s="82" t="n"/>
      <c r="CH317" s="82" t="n"/>
      <c r="CI317" s="82" t="n"/>
      <c r="CK317" s="82" t="n"/>
      <c r="CL317" s="82" t="n"/>
      <c r="CM317" s="82" t="n"/>
      <c r="CN317" s="82" t="n"/>
      <c r="CP317" s="82" t="n"/>
      <c r="CQ317" s="82" t="n"/>
      <c r="CR317" s="82" t="n"/>
      <c r="CS317" s="82" t="n"/>
      <c r="CU317" s="82" t="n"/>
      <c r="CV317" s="82" t="n"/>
      <c r="CW317" s="82" t="n"/>
      <c r="CX317" s="82" t="n"/>
    </row>
    <row r="318" customFormat="1" s="77">
      <c r="A318" s="76" t="n"/>
      <c r="B318" s="76" t="n"/>
      <c r="C318" s="77" t="inlineStr">
        <is>
          <t>TOTAL DEBT / TOTAL CAPITALIZATION</t>
        </is>
      </c>
      <c r="D318" s="80" t="str">
        <f>IFERROR(SUM(D195+D196+D197+D200+D218+D221)/(SUM(D195+D196+D197+D200+D218+D221)+D254),"")</f>
        <v/>
      </c>
      <c r="E318" s="80" t="str">
        <f>IFERROR(SUM(E195+E196+E197+E200+E218+E221)/(SUM(E195+E196+E197+E200+E218+E221)+E254),"")</f>
        <v/>
      </c>
      <c r="F318" s="80" t="str">
        <f>IFERROR(SUM(F195+F196+F197+F200+F218+F221)/(SUM(F195+F196+F197+F200+F218+F221)+F254),"")</f>
        <v/>
      </c>
      <c r="G318" s="80" t="str">
        <f>IFERROR(SUM(G195+G196+G197+G200+G218+G221)/(SUM(G195+G196+G197+G200+G218+G221)+G254),"")</f>
        <v/>
      </c>
      <c r="H318" s="258" t="str">
        <f>IFERROR(IF(((N(H195)+N(H196)+N(H197)+N(H200)+N(H218)+N(H221))+N(H254))&lt;&gt;0,(N(H195)+N(H196)+N(H197)+N(H200)+N(H218)+N(H221))/((N(H195)+N(H196)+N(H197)+N(H200)+N(H218)+N(H221))+H254),""),"")</f>
        <v/>
      </c>
      <c r="I318" s="258">
        <f>IFERROR(IF(((N(I195)+N(I196)+N(I197)+N(I200)+N(I218)+N(I221))+N(I254))&lt;&gt;0,(N(I195)+N(I196)+N(I197)+N(I200)+N(I218)+N(I221))/((N(I195)+N(I196)+N(I197)+N(I200)+N(I218)+N(I221))+I254),""),"")</f>
        <v>0.357491051644793</v>
      </c>
      <c r="J318" s="258">
        <f>IFERROR(IF(((N(J195)+N(J196)+N(J197)+N(J200)+N(J218)+N(J221))+N(J254))&lt;&gt;0,(N(J195)+N(J196)+N(J197)+N(J200)+N(J218)+N(J221))/((N(J195)+N(J196)+N(J197)+N(J200)+N(J218)+N(J221))+J254),""),"")</f>
        <v>0.357159867995781</v>
      </c>
      <c r="K318" s="258">
        <f>IFERROR(IF(((N(K195)+N(K196)+N(K197)+N(K200)+N(K218)+N(K221))+N(K254))&lt;&gt;0,(N(K195)+N(K196)+N(K197)+N(K200)+N(K218)+N(K221))/((N(K195)+N(K196)+N(K197)+N(K200)+N(K218)+N(K221))+K254),""),"")</f>
        <v>0.358177099340915</v>
      </c>
      <c r="L318" s="258">
        <f>IFERROR(IF(((N(L195)+N(L196)+N(L197)+N(L200)+N(L218)+N(L221))+N(L254))&lt;&gt;0,(N(L195)+N(L196)+N(L197)+N(L200)+N(L218)+N(L221))/((N(L195)+N(L196)+N(L197)+N(L200)+N(L218)+N(L221))+L254),""),"")</f>
        <v>0.366284973911825</v>
      </c>
      <c r="M318" s="258">
        <f>IFERROR(IF(((N(M195)+N(M196)+N(M197)+N(M200)+N(M218)+N(M221))+N(M254))&lt;&gt;0,(N(M195)+N(M196)+N(M197)+N(M200)+N(M218)+N(M221))/((N(M195)+N(M196)+N(M197)+N(M200)+N(M218)+N(M221))+M254),""),"")</f>
        <v>0.366284973911825</v>
      </c>
      <c r="N318" s="258">
        <f>IFERROR(IF(((N(N195)+N(N196)+N(N197)+N(N200)+N(N218)+N(N221))+N(N254))&lt;&gt;0,(N(N195)+N(N196)+N(N197)+N(N200)+N(N218)+N(N221))/((N(N195)+N(N196)+N(N197)+N(N200)+N(N218)+N(N221))+N254),""),"")</f>
        <v>0.368791216500631</v>
      </c>
      <c r="O318" s="258">
        <f>IFERROR(IF(((N(O195)+N(O196)+N(O197)+N(O200)+N(O218)+N(O221))+N(O254))&lt;&gt;0,(N(O195)+N(O196)+N(O197)+N(O200)+N(O218)+N(O221))/((N(O195)+N(O196)+N(O197)+N(O200)+N(O218)+N(O221))+O254),""),"")</f>
        <v>0.401413677924356</v>
      </c>
      <c r="P318" s="258">
        <f>IFERROR(IF(((N(P195)+N(P196)+N(P197)+N(P200)+N(P218)+N(P221))+N(P254))&lt;&gt;0,(N(P195)+N(P196)+N(P197)+N(P200)+N(P218)+N(P221))/((N(P195)+N(P196)+N(P197)+N(P200)+N(P218)+N(P221))+P254),""),"")</f>
        <v>0.386862194344402</v>
      </c>
      <c r="Q318" s="258">
        <f>IFERROR(IF(((N(Q195)+N(Q196)+N(Q197)+N(Q200)+N(Q218)+N(Q221))+N(Q254))&lt;&gt;0,(N(Q195)+N(Q196)+N(Q197)+N(Q200)+N(Q218)+N(Q221))/((N(Q195)+N(Q196)+N(Q197)+N(Q200)+N(Q218)+N(Q221))+Q254),""),"")</f>
        <v>0.356847990803156</v>
      </c>
      <c r="R318" s="258">
        <f>IFERROR(IF(((N(R195)+N(R196)+N(R197)+N(R200)+N(R218)+N(R221))+N(R254))&lt;&gt;0,(N(R195)+N(R196)+N(R197)+N(R200)+N(R218)+N(R221))/((N(R195)+N(R196)+N(R197)+N(R200)+N(R218)+N(R221))+R254),""),"")</f>
        <v>0.356847990803156</v>
      </c>
      <c r="S318" s="258">
        <f>IFERROR(IF(((N(S195)+N(S196)+N(S197)+N(S200)+N(S218)+N(S221))+N(S254))&lt;&gt;0,(N(S195)+N(S196)+N(S197)+N(S200)+N(S218)+N(S221))/((N(S195)+N(S196)+N(S197)+N(S200)+N(S218)+N(S221))+S254),""),"")</f>
        <v>0.348244917273664</v>
      </c>
      <c r="T318" s="258">
        <f>IFERROR(IF(((N(T195)+N(T196)+N(T197)+N(T200)+N(T218)+N(T221))+N(T254))&lt;&gt;0,(N(T195)+N(T196)+N(T197)+N(T200)+N(T218)+N(T221))/((N(T195)+N(T196)+N(T197)+N(T200)+N(T218)+N(T221))+T254),""),"")</f>
        <v>0.345308274970189</v>
      </c>
      <c r="U318" s="258">
        <f>IFERROR(IF(((N(U195)+N(U196)+N(U197)+N(U200)+N(U218)+N(U221))+N(U254))&lt;&gt;0,(N(U195)+N(U196)+N(U197)+N(U200)+N(U218)+N(U221))/((N(U195)+N(U196)+N(U197)+N(U200)+N(U218)+N(U221))+U254),""),"")</f>
        <v>0.345682140685181</v>
      </c>
      <c r="V318" s="258">
        <f>IFERROR(IF(((N(V195)+N(V196)+N(V197)+N(V200)+N(V218)+N(V221))+N(V254))&lt;&gt;0,(N(V195)+N(V196)+N(V197)+N(V200)+N(V218)+N(V221))/((N(V195)+N(V196)+N(V197)+N(V200)+N(V218)+N(V221))+V254),""),"")</f>
        <v>0.34256072539546</v>
      </c>
      <c r="W318" s="258">
        <f>IFERROR(IF(((N(W195)+N(W196)+N(W197)+N(W200)+N(W218)+N(W221))+N(W254))&lt;&gt;0,(N(W195)+N(W196)+N(W197)+N(W200)+N(W218)+N(W221))/((N(W195)+N(W196)+N(W197)+N(W200)+N(W218)+N(W221))+W254),""),"")</f>
        <v>0.34256072539546</v>
      </c>
      <c r="X318" s="258">
        <f>IFERROR(IF(((N(X195)+N(X196)+N(X197)+N(X200)+N(X218)+N(X221))+N(X254))&lt;&gt;0,(N(X195)+N(X196)+N(X197)+N(X200)+N(X218)+N(X221))/((N(X195)+N(X196)+N(X197)+N(X200)+N(X218)+N(X221))+X254),""),"")</f>
        <v>0.337267548454688</v>
      </c>
      <c r="Y318" s="258">
        <f>IFERROR(IF(((N(Y195)+N(Y196)+N(Y197)+N(Y200)+N(Y218)+N(Y221))+N(Y254))&lt;&gt;0,(N(Y195)+N(Y196)+N(Y197)+N(Y200)+N(Y218)+N(Y221))/((N(Y195)+N(Y196)+N(Y197)+N(Y200)+N(Y218)+N(Y221))+Y254),""),"")</f>
        <v>0.34148281977756</v>
      </c>
      <c r="Z318" s="258">
        <f>IFERROR(IF(((N(Z195)+N(Z196)+N(Z197)+N(Z200)+N(Z218)+N(Z221))+N(Z254))&lt;&gt;0,(N(Z195)+N(Z196)+N(Z197)+N(Z200)+N(Z218)+N(Z221))/((N(Z195)+N(Z196)+N(Z197)+N(Z200)+N(Z218)+N(Z221))+Z254),""),"")</f>
        <v>0.347423007019826</v>
      </c>
      <c r="AA318" s="258">
        <f>IFERROR(IF(((N(AA195)+N(AA196)+N(AA197)+N(AA200)+N(AA218)+N(AA221))+N(AA254))&lt;&gt;0,(N(AA195)+N(AA196)+N(AA197)+N(AA200)+N(AA218)+N(AA221))/((N(AA195)+N(AA196)+N(AA197)+N(AA200)+N(AA218)+N(AA221))+AA254),""),"")</f>
        <v>0.349868432221373</v>
      </c>
      <c r="AB318" s="258">
        <f>IFERROR(IF(((N(AB195)+N(AB196)+N(AB197)+N(AB200)+N(AB218)+N(AB221))+N(AB254))&lt;&gt;0,(N(AB195)+N(AB196)+N(AB197)+N(AB200)+N(AB218)+N(AB221))/((N(AB195)+N(AB196)+N(AB197)+N(AB200)+N(AB218)+N(AB221))+AB254),""),"")</f>
        <v>0.349868432221373</v>
      </c>
      <c r="AC318" s="258">
        <f>IFERROR(IF(((N(AC195)+N(AC196)+N(AC197)+N(AC200)+N(AC218)+N(AC221))+N(AC254))&lt;&gt;0,(N(AC195)+N(AC196)+N(AC197)+N(AC200)+N(AC218)+N(AC221))/((N(AC195)+N(AC196)+N(AC197)+N(AC200)+N(AC218)+N(AC221))+AC254),""),"")</f>
        <v>0.353143284800653</v>
      </c>
      <c r="AD318" s="258">
        <f>IFERROR(IF(((N(AD195)+N(AD196)+N(AD197)+N(AD200)+N(AD218)+N(AD221))+N(AD254))&lt;&gt;0,(N(AD195)+N(AD196)+N(AD197)+N(AD200)+N(AD218)+N(AD221))/((N(AD195)+N(AD196)+N(AD197)+N(AD200)+N(AD218)+N(AD221))+AD254),""),"")</f>
        <v>0.394000188081878</v>
      </c>
      <c r="AE318" s="258">
        <f>IFERROR(IF(((N(AE195)+N(AE196)+N(AE197)+N(AE200)+N(AE218)+N(AE221))+N(AE254))&lt;&gt;0,(N(AE195)+N(AE196)+N(AE197)+N(AE200)+N(AE218)+N(AE221))/((N(AE195)+N(AE196)+N(AE197)+N(AE200)+N(AE218)+N(AE221))+AE254),""),"")</f>
        <v>0.399032974001268</v>
      </c>
      <c r="AF318" s="258">
        <f>IFERROR(IF(((N(AF195)+N(AF196)+N(AF197)+N(AF200)+N(AF218)+N(AF221))+N(AF254))&lt;&gt;0,(N(AF195)+N(AF196)+N(AF197)+N(AF200)+N(AF218)+N(AF221))/((N(AF195)+N(AF196)+N(AF197)+N(AF200)+N(AF218)+N(AF221))+AF254),""),"")</f>
        <v>0.353220802615338</v>
      </c>
      <c r="AG318" s="258">
        <f>IFERROR(IF(((N(AG195)+N(AG196)+N(AG197)+N(AG200)+N(AG218)+N(AG221))+N(AG254))&lt;&gt;0,(N(AG195)+N(AG196)+N(AG197)+N(AG200)+N(AG218)+N(AG221))/((N(AG195)+N(AG196)+N(AG197)+N(AG200)+N(AG218)+N(AG221))+AG254),""),"")</f>
        <v>0.353220802615338</v>
      </c>
      <c r="AH318" s="258">
        <f>IFERROR(IF(((N(AH195)+N(AH196)+N(AH197)+N(AH200)+N(AH218)+N(AH221))+N(AH254))&lt;&gt;0,(N(AH195)+N(AH196)+N(AH197)+N(AH200)+N(AH218)+N(AH221))/((N(AH195)+N(AH196)+N(AH197)+N(AH200)+N(AH218)+N(AH221))+AH254),""),"")</f>
        <v>0.402032295387092</v>
      </c>
      <c r="AI318" s="258">
        <f>IFERROR(IF(((N(AI195)+N(AI196)+N(AI197)+N(AI200)+N(AI218)+N(AI221))+N(AI254))&lt;&gt;0,(N(AI195)+N(AI196)+N(AI197)+N(AI200)+N(AI218)+N(AI221))/((N(AI195)+N(AI196)+N(AI197)+N(AI200)+N(AI218)+N(AI221))+AI254),""),"")</f>
        <v>0.4041262958195</v>
      </c>
      <c r="AJ318" s="258">
        <f>IFERROR(IF(((N(AJ195)+N(AJ196)+N(AJ197)+N(AJ200)+N(AJ218)+N(AJ221))+N(AJ254))&lt;&gt;0,(N(AJ195)+N(AJ196)+N(AJ197)+N(AJ200)+N(AJ218)+N(AJ221))/((N(AJ195)+N(AJ196)+N(AJ197)+N(AJ200)+N(AJ218)+N(AJ221))+AJ254),""),"")</f>
        <v>0.365202616598847</v>
      </c>
      <c r="AK318" s="258">
        <f>IFERROR(IF(((N(AK195)+N(AK196)+N(AK197)+N(AK200)+N(AK218)+N(AK221))+N(AK254))&lt;&gt;0,(N(AK195)+N(AK196)+N(AK197)+N(AK200)+N(AK218)+N(AK221))/((N(AK195)+N(AK196)+N(AK197)+N(AK200)+N(AK218)+N(AK221))+AK254),""),"")</f>
        <v>0.332635800754973</v>
      </c>
      <c r="AL318" s="258">
        <f>IFERROR(IF(((N(AL195)+N(AL196)+N(AL197)+N(AL200)+N(AL218)+N(AL221))+N(AL254))&lt;&gt;0,(N(AL195)+N(AL196)+N(AL197)+N(AL200)+N(AL218)+N(AL221))/((N(AL195)+N(AL196)+N(AL197)+N(AL200)+N(AL218)+N(AL221))+AL254),""),"")</f>
        <v>0.332635800754973</v>
      </c>
      <c r="AM318" s="258">
        <f>IFERROR(IF(((N(AM195)+N(AM196)+N(AM197)+N(AM200)+N(AM218)+N(AM221))+N(AM254))&lt;&gt;0,(N(AM195)+N(AM196)+N(AM197)+N(AM200)+N(AM218)+N(AM221))/((N(AM195)+N(AM196)+N(AM197)+N(AM200)+N(AM218)+N(AM221))+AM254),""),"")</f>
        <v>0.304648921183166</v>
      </c>
      <c r="AN318" s="258">
        <f>IFERROR(IF(((N(AN195)+N(AN196)+N(AN197)+N(AN200)+N(AN218)+N(AN221))+N(AN254))&lt;&gt;0,(N(AN195)+N(AN196)+N(AN197)+N(AN200)+N(AN218)+N(AN221))/((N(AN195)+N(AN196)+N(AN197)+N(AN200)+N(AN218)+N(AN221))+AN254),""),"")</f>
        <v>0.280225571633008</v>
      </c>
      <c r="AO318" s="258">
        <f>IFERROR(IF(((N(AO195)+N(AO196)+N(AO197)+N(AO200)+N(AO218)+N(AO221))+N(AO254))&lt;&gt;0,(N(AO195)+N(AO196)+N(AO197)+N(AO200)+N(AO218)+N(AO221))/((N(AO195)+N(AO196)+N(AO197)+N(AO200)+N(AO218)+N(AO221))+AO254),""),"")</f>
        <v>0.258533683253166</v>
      </c>
      <c r="AP318" s="258">
        <f>IFERROR(IF(((N(AP195)+N(AP196)+N(AP197)+N(AP200)+N(AP218)+N(AP221))+N(AP254))&lt;&gt;0,(N(AP195)+N(AP196)+N(AP197)+N(AP200)+N(AP218)+N(AP221))/((N(AP195)+N(AP196)+N(AP197)+N(AP200)+N(AP218)+N(AP221))+AP254),""),"")</f>
        <v>0.239674577249713</v>
      </c>
      <c r="AQ318" s="258">
        <f>IFERROR(IF(((N(AQ195)+N(AQ196)+N(AQ197)+N(AQ200)+N(AQ218)+N(AQ221))+N(AQ254))&lt;&gt;0,(N(AQ195)+N(AQ196)+N(AQ197)+N(AQ200)+N(AQ218)+N(AQ221))/((N(AQ195)+N(AQ196)+N(AQ197)+N(AQ200)+N(AQ218)+N(AQ221))+AQ254),""),"")</f>
        <v>0.239674577249713</v>
      </c>
      <c r="AR318" s="258">
        <f>IFERROR(IF(((N(AR195)+N(AR196)+N(AR197)+N(AR200)+N(AR218)+N(AR221))+N(AR254))&lt;&gt;0,(N(AR195)+N(AR196)+N(AR197)+N(AR200)+N(AR218)+N(AR221))/((N(AR195)+N(AR196)+N(AR197)+N(AR200)+N(AR218)+N(AR221))+AR254),""),"")</f>
        <v>0.222991049027276</v>
      </c>
      <c r="AS318" s="258">
        <f>IFERROR(IF(((N(AS195)+N(AS196)+N(AS197)+N(AS200)+N(AS218)+N(AS221))+N(AS254))&lt;&gt;0,(N(AS195)+N(AS196)+N(AS197)+N(AS200)+N(AS218)+N(AS221))/((N(AS195)+N(AS196)+N(AS197)+N(AS200)+N(AS218)+N(AS221))+AS254),""),"")</f>
        <v>0.207993262449011</v>
      </c>
      <c r="AT318" s="258">
        <f>IFERROR(IF(((N(AT195)+N(AT196)+N(AT197)+N(AT200)+N(AT218)+N(AT221))+N(AT254))&lt;&gt;0,(N(AT195)+N(AT196)+N(AT197)+N(AT200)+N(AT218)+N(AT221))/((N(AT195)+N(AT196)+N(AT197)+N(AT200)+N(AT218)+N(AT221))+AT254),""),"")</f>
        <v>0.19431530071164</v>
      </c>
      <c r="AU318" s="258">
        <f>IFERROR(IF(((N(AU195)+N(AU196)+N(AU197)+N(AU200)+N(AU218)+N(AU221))+N(AU254))&lt;&gt;0,(N(AU195)+N(AU196)+N(AU197)+N(AU200)+N(AU218)+N(AU221))/((N(AU195)+N(AU196)+N(AU197)+N(AU200)+N(AU218)+N(AU221))+AU254),""),"")</f>
        <v>0.182139808494374</v>
      </c>
      <c r="AV318" s="258">
        <f>IFERROR(IF(((N(AV195)+N(AV196)+N(AV197)+N(AV200)+N(AV218)+N(AV221))+N(AV254))&lt;&gt;0,(N(AV195)+N(AV196)+N(AV197)+N(AV200)+N(AV218)+N(AV221))/((N(AV195)+N(AV196)+N(AV197)+N(AV200)+N(AV218)+N(AV221))+AV254),""),"")</f>
        <v>0.182139808494374</v>
      </c>
      <c r="AW318" s="258">
        <f>IFERROR(IF(((N(AW195)+N(AW196)+N(AW197)+N(AW200)+N(AW218)+N(AW221))+N(AW254))&lt;&gt;0,(N(AW195)+N(AW196)+N(AW197)+N(AW200)+N(AW218)+N(AW221))/((N(AW195)+N(AW196)+N(AW197)+N(AW200)+N(AW218)+N(AW221))+AW254),""),"")</f>
        <v>0.1711870971023</v>
      </c>
      <c r="AX318" s="258">
        <f>IFERROR(IF(((N(AX195)+N(AX196)+N(AX197)+N(AX200)+N(AX218)+N(AX221))+N(AX254))&lt;&gt;0,(N(AX195)+N(AX196)+N(AX197)+N(AX200)+N(AX218)+N(AX221))/((N(AX195)+N(AX196)+N(AX197)+N(AX200)+N(AX218)+N(AX221))+AX254),""),"")</f>
        <v>0.161148892021391</v>
      </c>
      <c r="AY318" s="258">
        <f>IFERROR(IF(((N(AY195)+N(AY196)+N(AY197)+N(AY200)+N(AY218)+N(AY221))+N(AY254))&lt;&gt;0,(N(AY195)+N(AY196)+N(AY197)+N(AY200)+N(AY218)+N(AY221))/((N(AY195)+N(AY196)+N(AY197)+N(AY200)+N(AY218)+N(AY221))+AY254),""),"")</f>
        <v>0.15183095022081</v>
      </c>
      <c r="AZ318" s="258">
        <f>IFERROR(IF(((N(AZ195)+N(AZ196)+N(AZ197)+N(AZ200)+N(AZ218)+N(AZ221))+N(AZ254))&lt;&gt;0,(N(AZ195)+N(AZ196)+N(AZ197)+N(AZ200)+N(AZ218)+N(AZ221))/((N(AZ195)+N(AZ196)+N(AZ197)+N(AZ200)+N(AZ218)+N(AZ221))+AZ254),""),"")</f>
        <v>0.143402294694195</v>
      </c>
      <c r="BA318" s="258">
        <f>IFERROR(IF(((N(BA195)+N(BA196)+N(BA197)+N(BA200)+N(BA218)+N(BA221))+N(BA254))&lt;&gt;0,(N(BA195)+N(BA196)+N(BA197)+N(BA200)+N(BA218)+N(BA221))/((N(BA195)+N(BA196)+N(BA197)+N(BA200)+N(BA218)+N(BA221))+BA254),""),"")</f>
        <v>0.143402294694195</v>
      </c>
      <c r="BB318" s="258">
        <f>IFERROR(IF(((N(BB195)+N(BB196)+N(BB197)+N(BB200)+N(BB218)+N(BB221))+N(BB254))&lt;&gt;0,(N(BB195)+N(BB196)+N(BB197)+N(BB200)+N(BB218)+N(BB221))/((N(BB195)+N(BB196)+N(BB197)+N(BB200)+N(BB218)+N(BB221))+BB254),""),"")</f>
        <v>0.135741935525527</v>
      </c>
      <c r="BC318" s="258">
        <f>IFERROR(IF(((N(BC195)+N(BC196)+N(BC197)+N(BC200)+N(BC218)+N(BC221))+N(BC254))&lt;&gt;0,(N(BC195)+N(BC196)+N(BC197)+N(BC200)+N(BC218)+N(BC221))/((N(BC195)+N(BC196)+N(BC197)+N(BC200)+N(BC218)+N(BC221))+BC254),""),"")</f>
        <v>0.128624419845319</v>
      </c>
      <c r="BD318" s="258">
        <f>IFERROR(IF(((N(BD195)+N(BD196)+N(BD197)+N(BD200)+N(BD218)+N(BD221))+N(BD254))&lt;&gt;0,(N(BD195)+N(BD196)+N(BD197)+N(BD200)+N(BD218)+N(BD221))/((N(BD195)+N(BD196)+N(BD197)+N(BD200)+N(BD218)+N(BD221))+BD254),""),"")</f>
        <v>0.121933116538008</v>
      </c>
      <c r="BE318" s="258">
        <f>IFERROR(IF(((N(BE195)+N(BE196)+N(BE197)+N(BE200)+N(BE218)+N(BE221))+N(BE254))&lt;&gt;0,(N(BE195)+N(BE196)+N(BE197)+N(BE200)+N(BE218)+N(BE221))/((N(BE195)+N(BE196)+N(BE197)+N(BE200)+N(BE218)+N(BE221))+BE254),""),"")</f>
        <v>0.115809057766812</v>
      </c>
      <c r="BF318" s="258">
        <f>IFERROR(IF(((N(BF195)+N(BF196)+N(BF197)+N(BF200)+N(BF218)+N(BF221))+N(BF254))&lt;&gt;0,(N(BF195)+N(BF196)+N(BF197)+N(BF200)+N(BF218)+N(BF221))/((N(BF195)+N(BF196)+N(BF197)+N(BF200)+N(BF218)+N(BF221))+BF254),""),"")</f>
        <v>0.115809057766812</v>
      </c>
      <c r="BG318" s="80" t="n"/>
      <c r="BH318" s="80" t="n"/>
      <c r="BI318" s="80" t="n"/>
      <c r="BJ318" s="80" t="n"/>
      <c r="BL318" s="80" t="n"/>
      <c r="BM318" s="80" t="n"/>
      <c r="BN318" s="80" t="n"/>
      <c r="BO318" s="80" t="n"/>
      <c r="BQ318" s="80" t="n"/>
      <c r="BR318" s="80" t="n"/>
      <c r="BS318" s="80" t="n"/>
      <c r="BT318" s="80" t="n"/>
      <c r="BV318" s="80" t="n"/>
      <c r="BW318" s="80" t="n"/>
      <c r="BX318" s="80" t="n"/>
      <c r="BY318" s="80" t="n"/>
      <c r="CA318" s="80" t="n"/>
      <c r="CB318" s="80" t="n"/>
      <c r="CC318" s="80" t="n"/>
      <c r="CD318" s="80" t="n"/>
      <c r="CF318" s="80" t="n"/>
      <c r="CG318" s="80" t="n"/>
      <c r="CH318" s="80" t="n"/>
      <c r="CI318" s="80" t="n"/>
      <c r="CK318" s="80" t="n"/>
      <c r="CL318" s="80" t="n"/>
      <c r="CM318" s="80" t="n"/>
      <c r="CN318" s="80" t="n"/>
      <c r="CP318" s="80" t="n"/>
      <c r="CQ318" s="80" t="n"/>
      <c r="CR318" s="80" t="n"/>
      <c r="CS318" s="80" t="n"/>
      <c r="CU318" s="80" t="n"/>
      <c r="CV318" s="80" t="n"/>
      <c r="CW318" s="80" t="n"/>
      <c r="CX318" s="80" t="n"/>
    </row>
    <row r="319" customFormat="1" s="77">
      <c r="A319" s="76" t="n"/>
      <c r="B319" s="76" t="n"/>
      <c r="C319" s="77" t="inlineStr">
        <is>
          <t>NET DEBT / EBITDA (LTM)</t>
        </is>
      </c>
      <c r="D319" s="82" t="str">
        <f>IFERROR(SUM((D195+D196+D197+D200+D218)-D127)/(D52*4),"")</f>
        <v/>
      </c>
      <c r="E319" s="82" t="str">
        <f>IFERROR(SUM((E195+E196+E197+E200+E218)-E127)/(E52*4),"")</f>
        <v/>
      </c>
      <c r="F319" s="82" t="str">
        <f>IFERROR(SUM((F195+F196+F197+F200+F218)-F127)/(F52*4),"")</f>
        <v/>
      </c>
      <c r="G319" s="82" t="str">
        <f>IFERROR(SUM((G195+G196+G197+G200+G218)-G127)/(G52*4),"")</f>
        <v/>
      </c>
      <c r="H319" s="262" t="str">
        <f>IFERROR(IF(AND(COUNT(H52)=1,(H52)&lt;&gt;0),((N(H195)+N(H196)+N(H197)+N(H200)+N(H218)+N(H221))-N(H127))/(H52),""),"")</f>
        <v/>
      </c>
      <c r="I319" s="262" t="str">
        <f>""</f>
        <v/>
      </c>
      <c r="J319" s="262" t="str">
        <f>""</f>
        <v/>
      </c>
      <c r="K319" s="262" t="str">
        <f>""</f>
        <v/>
      </c>
      <c r="L319" s="262">
        <f>IFERROR(IF(AND(COUNT(I52,J52,K52,L52)=4,(I52+J52+K52+L52)&lt;&gt;0),((N(L195)+N(L196)+N(L197)+N(L200)+N(L218)+N(L221))-N(L127))/(I52+J52+K52+L52),""),"")</f>
        <v>0.353457613591015</v>
      </c>
      <c r="M319" s="262">
        <f>IFERROR(IF(AND(COUNT(I52,J52,K52,L52)=4,(I52+J52+K52+L52)&lt;&gt;0),((N(M195)+N(M196)+N(M197)+N(M200)+N(M218)+N(M221))-N(M127))/(I52+J52+K52+L52),""),"")</f>
        <v>0.353457613591015</v>
      </c>
      <c r="N319" s="262">
        <f>IFERROR(IF(AND(COUNT(J52,K52,L52,N52)=4,(J52+K52+L52+N52)&lt;&gt;0),((N(N195)+N(N196)+N(N197)+N(N200)+N(N218)+N(N221))-N(N127))/(J52+K52+L52+N52),""),"")</f>
        <v>0.465046888320546</v>
      </c>
      <c r="O319" s="262">
        <f>IFERROR(IF(AND(COUNT(K52,L52,N52,O52)=4,(K52+L52+N52+O52)&lt;&gt;0),((N(O195)+N(O196)+N(O197)+N(O200)+N(O218)+N(O221))-N(O127))/(K52+L52+N52+O52),""),"")</f>
        <v>0.516368259349507</v>
      </c>
      <c r="P319" s="262">
        <f>IFERROR(IF(AND(COUNT(L52,N52,O52,P52)=4,(L52+N52+O52+P52)&lt;&gt;0),((N(P195)+N(P196)+N(P197)+N(P200)+N(P218)+N(P221))-N(P127))/(L52+N52+O52+P52),""),"")</f>
        <v>0.343651519772288</v>
      </c>
      <c r="Q319" s="262">
        <f>IFERROR(IF(AND(COUNT(N52,O52,P52,Q52)=4,(N52+O52+P52+Q52)&lt;&gt;0),((N(Q195)+N(Q196)+N(Q197)+N(Q200)+N(Q218)+N(Q221))-N(Q127))/(N52+O52+P52+Q52),""),"")</f>
        <v>0.35734625568267</v>
      </c>
      <c r="R319" s="262">
        <f>IFERROR(IF(AND(COUNT(N52,O52,P52,Q52)=4,(N52+O52+P52+Q52)&lt;&gt;0),((N(R195)+N(R196)+N(R197)+N(R200)+N(R218)+N(R221))-N(R127))/(N52+O52+P52+Q52),""),"")</f>
        <v>0.35734625568267</v>
      </c>
      <c r="S319" s="262">
        <f>IFERROR(IF(AND(COUNT(O52,P52,Q52,S52)=4,(O52+P52+Q52+S52)&lt;&gt;0),((N(S195)+N(S196)+N(S197)+N(S200)+N(S218)+N(S221))-N(S127))/(O52+P52+Q52+S52),""),"")</f>
        <v>0.328700553989698</v>
      </c>
      <c r="T319" s="262">
        <f>IFERROR(IF(AND(COUNT(P52,Q52,S52,T52)=4,(P52+Q52+S52+T52)&lt;&gt;0),((N(T195)+N(T196)+N(T197)+N(T200)+N(T218)+N(T221))-N(T127))/(P52+Q52+S52+T52),""),"")</f>
        <v>0.231604455007223</v>
      </c>
      <c r="U319" s="262">
        <f>IFERROR(IF(AND(COUNT(Q52,S52,T52,U52)=4,(Q52+S52+T52+U52)&lt;&gt;0),((N(U195)+N(U196)+N(U197)+N(U200)+N(U218)+N(U221))-N(U127))/(Q52+S52+T52+U52),""),"")</f>
        <v>0.190356833614364</v>
      </c>
      <c r="V319" s="262">
        <f>IFERROR(IF(AND(COUNT(S52,T52,U52,V52)=4,(S52+T52+U52+V52)&lt;&gt;0),((N(V195)+N(V196)+N(V197)+N(V200)+N(V218)+N(V221))-N(V127))/(S52+T52+U52+V52),""),"")</f>
        <v>0.311560870898497</v>
      </c>
      <c r="W319" s="262">
        <f>IFERROR(IF(AND(COUNT(S52,T52,U52,V52)=4,(S52+T52+U52+V52)&lt;&gt;0),((N(W195)+N(W196)+N(W197)+N(W200)+N(W218)+N(W221))-N(W127))/(S52+T52+U52+V52),""),"")</f>
        <v>0.311560870898497</v>
      </c>
      <c r="X319" s="262">
        <f>IFERROR(IF(AND(COUNT(T52,U52,V52,X52)=4,(T52+U52+V52+X52)&lt;&gt;0),((N(X195)+N(X196)+N(X197)+N(X200)+N(X218)+N(X221))-N(X127))/(T52+U52+V52+X52),""),"")</f>
        <v>0.332895888013998</v>
      </c>
      <c r="Y319" s="262">
        <f>IFERROR(IF(AND(COUNT(U52,V52,X52,Y52)=4,(U52+V52+X52+Y52)&lt;&gt;0),((N(Y195)+N(Y196)+N(Y197)+N(Y200)+N(Y218)+N(Y221))-N(Y127))/(U52+V52+X52+Y52),""),"")</f>
        <v>0.3215981178843</v>
      </c>
      <c r="Z319" s="262">
        <f>IFERROR(IF(AND(COUNT(V52,X52,Y52,Z52)=4,(V52+X52+Y52+Z52)&lt;&gt;0),((N(Z195)+N(Z196)+N(Z197)+N(Z200)+N(Z218)+N(Z221))-N(Z127))/(V52+X52+Y52+Z52),""),"")</f>
        <v>0.359779122173048</v>
      </c>
      <c r="AA319" s="262">
        <f>IFERROR(IF(AND(COUNT(X52,Y52,Z52,AA52)=4,(X52+Y52+Z52+AA52)&lt;&gt;0),((N(AA195)+N(AA196)+N(AA197)+N(AA200)+N(AA218)+N(AA221))-N(AA127))/(X52+Y52+Z52+AA52),""),"")</f>
        <v>0.3304201411161</v>
      </c>
      <c r="AB319" s="262">
        <f>IFERROR(IF(AND(COUNT(X52,Y52,Z52,AA52)=4,(X52+Y52+Z52+AA52)&lt;&gt;0),((N(AB195)+N(AB196)+N(AB197)+N(AB200)+N(AB218)+N(AB221))-N(AB127))/(X52+Y52+Z52+AA52),""),"")</f>
        <v>0.3304201411161</v>
      </c>
      <c r="AC319" s="262">
        <f>IFERROR(IF(AND(COUNT(Y52,Z52,AA52,AC52)=4,(Y52+Z52+AA52+AC52)&lt;&gt;0),((N(AC195)+N(AC196)+N(AC197)+N(AC200)+N(AC218)+N(AC221))-N(AC127))/(Y52+Z52+AA52+AC52),""),"")</f>
        <v>0.359953749850484</v>
      </c>
      <c r="AD319" s="262">
        <f>IFERROR(IF(AND(COUNT(Z52,AA52,AC52,AD52)=4,(Z52+AA52+AC52+AD52)&lt;&gt;0),((N(AD195)+N(AD196)+N(AD197)+N(AD200)+N(AD218)+N(AD221))-N(AD127))/(Z52+AA52+AC52+AD52),""),"")</f>
        <v>0.317108737634493</v>
      </c>
      <c r="AE319" s="262">
        <f>IFERROR(IF(AND(COUNT(AA52,AC52,AD52,AE52)=4,(AA52+AC52+AD52+AE52)&lt;&gt;0),((N(AE195)+N(AE196)+N(AE197)+N(AE200)+N(AE218)+N(AE221))-N(AE127))/(AA52+AC52+AD52+AE52),""),"")</f>
        <v>0.317561672086936</v>
      </c>
      <c r="AF319" s="262">
        <f>IFERROR(IF(AND(COUNT(AB52,AD52,AE52,AF52)=4,(AB52+AD52+AE52+AF52)&lt;&gt;0),((N(AF195)+N(AF196)+N(AF197)+N(AF200)+N(AF218)+N(AF221))-N(AF127))/(AB52+AD52+AE52+AF52),""),"")</f>
        <v>0.142799955520961</v>
      </c>
      <c r="AG319" s="262">
        <f>IFERROR(IF(AND(COUNT(AC52,AD52,AE52,AF52)=4,(AC52+AD52+AE52+AF52)&lt;&gt;0),((N(AG195)+N(AG196)+N(AG197)+N(AG200)+N(AG218)+N(AG221))-N(AG127))/(AC52+AD52+AE52+AF52),""),"")</f>
        <v>0.249252746399596</v>
      </c>
      <c r="AH319" s="262">
        <f>IFERROR(IF(AND(COUNT(AD52,AF52,AG52,AH52)=4,(AD52+AF52+AG52+AH52)&lt;&gt;0),((N(AH195)+N(AH196)+N(AH197)+N(AH200)+N(AH218)+N(AH221))-N(AH127))/(AD52+AF52+AG52+AH52),""),"")</f>
        <v>0.246816679108457</v>
      </c>
      <c r="AI319" s="262">
        <f>IFERROR(IF(AND(COUNT(AE52,AG52,AH52,AI52)=4,(AE52+AG52+AH52+AI52)&lt;&gt;0),((N(AI195)+N(AI196)+N(AI197)+N(AI200)+N(AI218)+N(AI221))-N(AI127))/(AE52+AG52+AH52+AI52),""),"")</f>
        <v>0.244472319074751</v>
      </c>
      <c r="AJ319" s="262">
        <f>IFERROR(IF(AND(COUNT(AF52,AH52,AI52,AJ52)=4,(AF52+AH52+AI52+AJ52)&lt;&gt;0),((N(AJ195)+N(AJ196)+N(AJ197)+N(AJ200)+N(AJ218)+N(AJ221))-N(AJ127))/(AF52+AH52+AI52+AJ52),""),"")</f>
        <v>0.166151417537166</v>
      </c>
      <c r="AK319" s="262">
        <f>IFERROR(IF(AND(COUNT(AH52,AI52,AJ52,AK52)=4,(AH52+AI52+AJ52+AK52)&lt;&gt;0),((N(AK195)+N(AK196)+N(AK197)+N(AK200)+N(AK218)+N(AK221))-N(AK127))/(AH52+AI52+AJ52+AK52),""),"")</f>
        <v>-0.0801826516370007</v>
      </c>
      <c r="AL319" s="262">
        <f>IFERROR(IF(AND(COUNT(AH52,AI52,AJ52,AK52)=4,(AH52+AI52+AJ52+AK52)&lt;&gt;0),((N(AL195)+N(AL196)+N(AL197)+N(AL200)+N(AL218)+N(AL221))-N(AL127))/(AH52+AI52+AJ52+AK52),""),"")</f>
        <v>-0.0801826516370007</v>
      </c>
      <c r="AM319" s="262">
        <f>IFERROR(IF(AND(COUNT(AI52,AJ52,AK52,AM52)=4,(AI52+AJ52+AK52+AM52)&lt;&gt;0),((N(AM195)+N(AM196)+N(AM197)+N(AM200)+N(AM218)+N(AM221))-N(AM127))/(AI52+AJ52+AK52+AM52),""),"")</f>
        <v>-0.324434714327126</v>
      </c>
      <c r="AN319" s="262">
        <f>IFERROR(IF(AND(COUNT(AJ52,AK52,AM52,AN52)=4,(AJ52+AK52+AM52+AN52)&lt;&gt;0),((N(AN195)+N(AN196)+N(AN197)+N(AN200)+N(AN218)+N(AN221))-N(AN127))/(AJ52+AK52+AM52+AN52),""),"")</f>
        <v>-0.56646630172766</v>
      </c>
      <c r="AO319" s="262">
        <f>IFERROR(IF(AND(COUNT(AK52,AM52,AN52,AO52)=4,(AK52+AM52+AN52+AO52)&lt;&gt;0),((N(AO195)+N(AO196)+N(AO197)+N(AO200)+N(AO218)+N(AO221))-N(AO127))/(AK52+AM52+AN52+AO52),""),"")</f>
        <v>-0.807953199297963</v>
      </c>
      <c r="AP319" s="262">
        <f>IFERROR(IF(AND(COUNT(AM52,AN52,AO52,AP52)=4,(AM52+AN52+AO52+AP52)&lt;&gt;0),((N(AP195)+N(AP196)+N(AP197)+N(AP200)+N(AP218)+N(AP221))-N(AP127))/(AM52+AN52+AO52+AP52),""),"")</f>
        <v>-1.04641814090531</v>
      </c>
      <c r="AQ319" s="262">
        <f>IFERROR(IF(AND(COUNT(AM52,AN52,AO52,AP52)=4,(AM52+AN52+AO52+AP52)&lt;&gt;0),((N(AQ195)+N(AQ196)+N(AQ197)+N(AQ200)+N(AQ218)+N(AQ221))-N(AQ127))/(AM52+AN52+AO52+AP52),""),"")</f>
        <v>-1.04641814090531</v>
      </c>
      <c r="AR319" s="262">
        <f>IFERROR(IF(AND(COUNT(AN52,AO52,AP52,AR52)=4,(AN52+AO52+AP52+AR52)&lt;&gt;0),((N(AR195)+N(AR196)+N(AR197)+N(AR200)+N(AR218)+N(AR221))-N(AR127))/(AN52+AO52+AP52+AR52),""),"")</f>
        <v>-1.2787535968472</v>
      </c>
      <c r="AS319" s="262">
        <f>IFERROR(IF(AND(COUNT(AO52,AP52,AR52,AS52)=4,(AO52+AP52+AR52+AS52)&lt;&gt;0),((N(AS195)+N(AS196)+N(AS197)+N(AS200)+N(AS218)+N(AS221))-N(AS127))/(AO52+AP52+AR52+AS52),""),"")</f>
        <v>-1.5108844526716</v>
      </c>
      <c r="AT319" s="262">
        <f>IFERROR(IF(AND(COUNT(AP52,AR52,AS52,AT52)=4,(AP52+AR52+AS52+AT52)&lt;&gt;0),((N(AT195)+N(AT196)+N(AT197)+N(AT200)+N(AT218)+N(AT221))-N(AT127))/(AP52+AR52+AS52+AT52),""),"")</f>
        <v>-1.74486455180152</v>
      </c>
      <c r="AU319" s="262">
        <f>IFERROR(IF(AND(COUNT(AR52,AS52,AT52,AU52)=4,(AR52+AS52+AT52+AU52)&lt;&gt;0),((N(AU195)+N(AU196)+N(AU197)+N(AU200)+N(AU218)+N(AU221))-N(AU127))/(AR52+AS52+AT52+AU52),""),"")</f>
        <v>-1.97871307499272</v>
      </c>
      <c r="AV319" s="262">
        <f>IFERROR(IF(AND(COUNT(AR52,AS52,AT52,AU52)=4,(AR52+AS52+AT52+AU52)&lt;&gt;0),((N(AV195)+N(AV196)+N(AV197)+N(AV200)+N(AV218)+N(AV221))-N(AV127))/(AR52+AS52+AT52+AU52),""),"")</f>
        <v>-1.97871307499272</v>
      </c>
      <c r="AW319" s="262">
        <f>IFERROR(IF(AND(COUNT(AS52,AT52,AU52,AW52)=4,(AS52+AT52+AU52+AW52)&lt;&gt;0),((N(AW195)+N(AW196)+N(AW197)+N(AW200)+N(AW218)+N(AW221))-N(AW127))/(AS52+AT52+AU52+AW52),""),"")</f>
        <v>-2.2075873327337</v>
      </c>
      <c r="AX319" s="262">
        <f>IFERROR(IF(AND(COUNT(AT52,AU52,AW52,AX52)=4,(AT52+AU52+AW52+AX52)&lt;&gt;0),((N(AX195)+N(AX196)+N(AX197)+N(AX200)+N(AX218)+N(AX221))-N(AX127))/(AT52+AU52+AW52+AX52),""),"")</f>
        <v>-2.44075427444198</v>
      </c>
      <c r="AY319" s="262">
        <f>IFERROR(IF(AND(COUNT(AU52,AW52,AX52,AY52)=4,(AU52+AW52+AX52+AY52)&lt;&gt;0),((N(AY195)+N(AY196)+N(AY197)+N(AY200)+N(AY218)+N(AY221))-N(AY127))/(AU52+AW52+AX52+AY52),""),"")</f>
        <v>-2.67658886308074</v>
      </c>
      <c r="AZ319" s="262">
        <f>IFERROR(IF(AND(COUNT(AW52,AX52,AY52,AZ52)=4,(AW52+AX52+AY52+AZ52)&lt;&gt;0),((N(AZ195)+N(AZ196)+N(AZ197)+N(AZ200)+N(AZ218)+N(AZ221))-N(AZ127))/(AW52+AX52+AY52+AZ52),""),"")</f>
        <v>-2.91529210526014</v>
      </c>
      <c r="BA319" s="262">
        <f>IFERROR(IF(AND(COUNT(AW52,AX52,AY52,AZ52)=4,(AW52+AX52+AY52+AZ52)&lt;&gt;0),((N(BA195)+N(BA196)+N(BA197)+N(BA200)+N(BA218)+N(BA221))-N(BA127))/(AW52+AX52+AY52+AZ52),""),"")</f>
        <v>-2.91529210526014</v>
      </c>
      <c r="BB319" s="262">
        <f>IFERROR(IF(AND(COUNT(AX52,AY52,AZ52,BB52)=4,(AX52+AY52+AZ52+BB52)&lt;&gt;0),((N(BB195)+N(BB196)+N(BB197)+N(BB200)+N(BB218)+N(BB221))-N(BB127))/(AX52+AY52+AZ52+BB52),""),"")</f>
        <v>-3.15154238800695</v>
      </c>
      <c r="BC319" s="262">
        <f>IFERROR(IF(AND(COUNT(AY52,AZ52,BB52,BC52)=4,(AY52+AZ52+BB52+BC52)&lt;&gt;0),((N(BC195)+N(BC196)+N(BC197)+N(BC200)+N(BC218)+N(BC221))-N(BC127))/(AY52+AZ52+BB52+BC52),""),"")</f>
        <v>-3.39407376735865</v>
      </c>
      <c r="BD319" s="262">
        <f>IFERROR(IF(AND(COUNT(AZ52,BB52,BC52,BD52)=4,(AZ52+BB52+BC52+BD52)&lt;&gt;0),((N(BD195)+N(BD196)+N(BD197)+N(BD200)+N(BD218)+N(BD221))-N(BD127))/(AZ52+BB52+BC52+BD52),""),"")</f>
        <v>-3.64165637971513</v>
      </c>
      <c r="BE319" s="262">
        <f>IFERROR(IF(AND(COUNT(BB52,BC52,BD52,BE52)=4,(BB52+BC52+BD52+BE52)&lt;&gt;0),((N(BE195)+N(BE196)+N(BE197)+N(BE200)+N(BE218)+N(BE221))-N(BE127))/(BB52+BC52+BD52+BE52),""),"")</f>
        <v>-3.89532086736318</v>
      </c>
      <c r="BF319" s="262">
        <f>IFERROR(IF(AND(COUNT(BB52,BC52,BD52,BE52)=4,(BB52+BC52+BD52+BE52)&lt;&gt;0),((N(BF195)+N(BF196)+N(BF197)+N(BF200)+N(BF218)+N(BF221))-N(BF127))/(BB52+BC52+BD52+BE52),""),"")</f>
        <v>-3.89532086736318</v>
      </c>
      <c r="BG319" s="82" t="n"/>
      <c r="BH319" s="82" t="n"/>
      <c r="BI319" s="82" t="n"/>
      <c r="BJ319" s="82" t="n"/>
      <c r="BL319" s="82" t="n"/>
      <c r="BM319" s="82" t="n"/>
      <c r="BN319" s="82" t="n"/>
      <c r="BO319" s="82" t="n"/>
      <c r="BQ319" s="82" t="n"/>
      <c r="BR319" s="82" t="n"/>
      <c r="BS319" s="82" t="n"/>
      <c r="BT319" s="82" t="n"/>
      <c r="BV319" s="82" t="n"/>
      <c r="BW319" s="82" t="n"/>
      <c r="BX319" s="82" t="n"/>
      <c r="BY319" s="82" t="n"/>
      <c r="CA319" s="82" t="n"/>
      <c r="CB319" s="82" t="n"/>
      <c r="CC319" s="82" t="n"/>
      <c r="CD319" s="82" t="n"/>
      <c r="CF319" s="82" t="n"/>
      <c r="CG319" s="82" t="n"/>
      <c r="CH319" s="82" t="n"/>
      <c r="CI319" s="82" t="n"/>
      <c r="CK319" s="82" t="n"/>
      <c r="CL319" s="82" t="n"/>
      <c r="CM319" s="82" t="n"/>
      <c r="CN319" s="82" t="n"/>
      <c r="CP319" s="82" t="n"/>
      <c r="CQ319" s="82" t="n"/>
      <c r="CR319" s="82" t="n"/>
      <c r="CS319" s="82" t="n"/>
      <c r="CU319" s="82" t="n"/>
      <c r="CV319" s="82" t="n"/>
      <c r="CW319" s="82" t="n"/>
      <c r="CX319" s="82" t="n"/>
    </row>
    <row r="320" customFormat="1" s="77">
      <c r="A320" s="76" t="n"/>
      <c r="B320" s="76" t="n"/>
      <c r="C320" s="83" t="inlineStr">
        <is>
          <t>NET DEBT (EX IFRS 16.) / EBITDA (LTM)</t>
        </is>
      </c>
      <c r="D320" s="82" t="str">
        <f>IFERROR(SUM((D195+D196+D200)-D127)/(D52*4),"")</f>
        <v/>
      </c>
      <c r="E320" s="82" t="str">
        <f>IFERROR(SUM((E195+E196+E200)-E127)/(E52*4),"")</f>
        <v/>
      </c>
      <c r="F320" s="82" t="str">
        <f>IFERROR(SUM((F195+F196+F200)-F127)/(F52*4),"")</f>
        <v/>
      </c>
      <c r="G320" s="82" t="str">
        <f>IFERROR(SUM((G195+G196+G200)-G127)/(G52*4),"")</f>
        <v/>
      </c>
      <c r="H320" s="262" t="str">
        <f>IFERROR(IF(AND(COUNT(H52)=1,(H52)&lt;&gt;0),((N(H195)+N(H196)+N(H200)+N(H221))-N(H127))/(H52),""),"")</f>
        <v/>
      </c>
      <c r="I320" s="262" t="str">
        <f>""</f>
        <v/>
      </c>
      <c r="J320" s="262" t="str">
        <f>""</f>
        <v/>
      </c>
      <c r="K320" s="262" t="str">
        <f>""</f>
        <v/>
      </c>
      <c r="L320" s="262">
        <f>IFERROR(IF(AND(COUNT(I52,J52,K52,L52)=4,(I52+J52+K52+L52)&lt;&gt;0),((N(L195)+N(L196)+N(L200)+N(L221))-N(L127))/(I52+J52+K52+L52),""),"")</f>
        <v>0.353457613591015</v>
      </c>
      <c r="M320" s="262">
        <f>IFERROR(IF(AND(COUNT(I52,J52,K52,L52)=4,(I52+J52+K52+L52)&lt;&gt;0),((N(M195)+N(M196)+N(M200)+N(M221))-N(M127))/(I52+J52+K52+L52),""),"")</f>
        <v>0.353457613591015</v>
      </c>
      <c r="N320" s="262">
        <f>IFERROR(IF(AND(COUNT(J52,K52,L52,N52)=4,(J52+K52+L52+N52)&lt;&gt;0),((N(N195)+N(N196)+N(N200)+N(N221))-N(N127))/(J52+K52+L52+N52),""),"")</f>
        <v>0.465046888320546</v>
      </c>
      <c r="O320" s="262">
        <f>IFERROR(IF(AND(COUNT(K52,L52,N52,O52)=4,(K52+L52+N52+O52)&lt;&gt;0),((N(O195)+N(O196)+N(O200)+N(O221))-N(O127))/(K52+L52+N52+O52),""),"")</f>
        <v>0.516368259349507</v>
      </c>
      <c r="P320" s="262">
        <f>IFERROR(IF(AND(COUNT(L52,N52,O52,P52)=4,(L52+N52+O52+P52)&lt;&gt;0),((N(P195)+N(P196)+N(P200)+N(P221))-N(P127))/(L52+N52+O52+P52),""),"")</f>
        <v>0.343651519772288</v>
      </c>
      <c r="Q320" s="262">
        <f>IFERROR(IF(AND(COUNT(N52,O52,P52,Q52)=4,(N52+O52+P52+Q52)&lt;&gt;0),((N(Q195)+N(Q196)+N(Q200)+N(Q221))-N(Q127))/(N52+O52+P52+Q52),""),"")</f>
        <v>0.35734625568267</v>
      </c>
      <c r="R320" s="262">
        <f>IFERROR(IF(AND(COUNT(N52,O52,P52,Q52)=4,(N52+O52+P52+Q52)&lt;&gt;0),((N(R195)+N(R196)+N(R200)+N(R221))-N(R127))/(N52+O52+P52+Q52),""),"")</f>
        <v>0.35734625568267</v>
      </c>
      <c r="S320" s="262">
        <f>IFERROR(IF(AND(COUNT(O52,P52,Q52,S52)=4,(O52+P52+Q52+S52)&lt;&gt;0),((N(S195)+N(S196)+N(S200)+N(S221))-N(S127))/(O52+P52+Q52+S52),""),"")</f>
        <v>0.328700553989698</v>
      </c>
      <c r="T320" s="262">
        <f>IFERROR(IF(AND(COUNT(P52,Q52,S52,T52)=4,(P52+Q52+S52+T52)&lt;&gt;0),((N(T195)+N(T196)+N(T200)+N(T221))-N(T127))/(P52+Q52+S52+T52),""),"")</f>
        <v>0.231604455007223</v>
      </c>
      <c r="U320" s="262">
        <f>IFERROR(IF(AND(COUNT(Q52,S52,T52,U52)=4,(Q52+S52+T52+U52)&lt;&gt;0),((N(U195)+N(U196)+N(U200)+N(U221))-N(U127))/(Q52+S52+T52+U52),""),"")</f>
        <v>0.190356833614364</v>
      </c>
      <c r="V320" s="262">
        <f>IFERROR(IF(AND(COUNT(S52,T52,U52,V52)=4,(S52+T52+U52+V52)&lt;&gt;0),((N(V195)+N(V196)+N(V200)+N(V221))-N(V127))/(S52+T52+U52+V52),""),"")</f>
        <v>0.311560870898497</v>
      </c>
      <c r="W320" s="262">
        <f>IFERROR(IF(AND(COUNT(S52,T52,U52,V52)=4,(S52+T52+U52+V52)&lt;&gt;0),((N(W195)+N(W196)+N(W200)+N(W221))-N(W127))/(S52+T52+U52+V52),""),"")</f>
        <v>0.311560870898497</v>
      </c>
      <c r="X320" s="262">
        <f>IFERROR(IF(AND(COUNT(T52,U52,V52,X52)=4,(T52+U52+V52+X52)&lt;&gt;0),((N(X195)+N(X196)+N(X200)+N(X221))-N(X127))/(T52+U52+V52+X52),""),"")</f>
        <v>0.332895888013998</v>
      </c>
      <c r="Y320" s="262">
        <f>IFERROR(IF(AND(COUNT(U52,V52,X52,Y52)=4,(U52+V52+X52+Y52)&lt;&gt;0),((N(Y195)+N(Y196)+N(Y200)+N(Y221))-N(Y127))/(U52+V52+X52+Y52),""),"")</f>
        <v>0.3215981178843</v>
      </c>
      <c r="Z320" s="262">
        <f>IFERROR(IF(AND(COUNT(V52,X52,Y52,Z52)=4,(V52+X52+Y52+Z52)&lt;&gt;0),((N(Z195)+N(Z196)+N(Z200)+N(Z221))-N(Z127))/(V52+X52+Y52+Z52),""),"")</f>
        <v>0.359779122173048</v>
      </c>
      <c r="AA320" s="262">
        <f>IFERROR(IF(AND(COUNT(X52,Y52,Z52,AA52)=4,(X52+Y52+Z52+AA52)&lt;&gt;0),((N(AA195)+N(AA196)+N(AA200)+N(AA221))-N(AA127))/(X52+Y52+Z52+AA52),""),"")</f>
        <v>0.3304201411161</v>
      </c>
      <c r="AB320" s="262">
        <f>IFERROR(IF(AND(COUNT(X52,Y52,Z52,AA52)=4,(X52+Y52+Z52+AA52)&lt;&gt;0),((N(AB195)+N(AB196)+N(AB200)+N(AB221))-N(AB127))/(X52+Y52+Z52+AA52),""),"")</f>
        <v>0.3304201411161</v>
      </c>
      <c r="AC320" s="262">
        <f>IFERROR(IF(AND(COUNT(Y52,Z52,AA52,AC52)=4,(Y52+Z52+AA52+AC52)&lt;&gt;0),((N(AC195)+N(AC196)+N(AC200)+N(AC221))-N(AC127))/(Y52+Z52+AA52+AC52),""),"")</f>
        <v>0.359953749850484</v>
      </c>
      <c r="AD320" s="262">
        <f>IFERROR(IF(AND(COUNT(Z52,AA52,AC52,AD52)=4,(Z52+AA52+AC52+AD52)&lt;&gt;0),((N(AD195)+N(AD196)+N(AD200)+N(AD221))-N(AD127))/(Z52+AA52+AC52+AD52),""),"")</f>
        <v>0.317108737634493</v>
      </c>
      <c r="AE320" s="262">
        <f>IFERROR(IF(AND(COUNT(AA52,AC52,AD52,AE52)=4,(AA52+AC52+AD52+AE52)&lt;&gt;0),((N(AE195)+N(AE196)+N(AE200)+N(AE221))-N(AE127))/(AA52+AC52+AD52+AE52),""),"")</f>
        <v>0.317561672086936</v>
      </c>
      <c r="AF320" s="262">
        <f>IFERROR(IF(AND(COUNT(AB52,AD52,AE52,AF52)=4,(AB52+AD52+AE52+AF52)&lt;&gt;0),((N(AF195)+N(AF196)+N(AF200)+N(AF221))-N(AF127))/(AB52+AD52+AE52+AF52),""),"")</f>
        <v>0.142799955520961</v>
      </c>
      <c r="AG320" s="262">
        <f>IFERROR(IF(AND(COUNT(AC52,AD52,AE52,AF52)=4,(AC52+AD52+AE52+AF52)&lt;&gt;0),((N(AG195)+N(AG196)+N(AG200)+N(AG221))-N(AG127))/(AC52+AD52+AE52+AF52),""),"")</f>
        <v>0.249252746399596</v>
      </c>
      <c r="AH320" s="262">
        <f>IFERROR(IF(AND(COUNT(AD52,AF52,AG52,AH52)=4,(AD52+AF52+AG52+AH52)&lt;&gt;0),((N(AH195)+N(AH196)+N(AH200)+N(AH221))-N(AH127))/(AD52+AF52+AG52+AH52),""),"")</f>
        <v>0.246816679108457</v>
      </c>
      <c r="AI320" s="262">
        <f>IFERROR(IF(AND(COUNT(AE52,AG52,AH52,AI52)=4,(AE52+AG52+AH52+AI52)&lt;&gt;0),((N(AI195)+N(AI196)+N(AI200)+N(AI221))-N(AI127))/(AE52+AG52+AH52+AI52),""),"")</f>
        <v>0.244472319074751</v>
      </c>
      <c r="AJ320" s="262">
        <f>IFERROR(IF(AND(COUNT(AF52,AH52,AI52,AJ52)=4,(AF52+AH52+AI52+AJ52)&lt;&gt;0),((N(AJ195)+N(AJ196)+N(AJ200)+N(AJ221))-N(AJ127))/(AF52+AH52+AI52+AJ52),""),"")</f>
        <v>0.166151417537166</v>
      </c>
      <c r="AK320" s="262">
        <f>IFERROR(IF(AND(COUNT(AH52,AI52,AJ52,AK52)=4,(AH52+AI52+AJ52+AK52)&lt;&gt;0),((N(AK195)+N(AK196)+N(AK200)+N(AK221))-N(AK127))/(AH52+AI52+AJ52+AK52),""),"")</f>
        <v>-0.0801826516370007</v>
      </c>
      <c r="AL320" s="262">
        <f>IFERROR(IF(AND(COUNT(AH52,AI52,AJ52,AK52)=4,(AH52+AI52+AJ52+AK52)&lt;&gt;0),((N(AL195)+N(AL196)+N(AL200)+N(AL221))-N(AL127))/(AH52+AI52+AJ52+AK52),""),"")</f>
        <v>-0.0801826516370007</v>
      </c>
      <c r="AM320" s="262">
        <f>IFERROR(IF(AND(COUNT(AI52,AJ52,AK52,AM52)=4,(AI52+AJ52+AK52+AM52)&lt;&gt;0),((N(AM195)+N(AM196)+N(AM200)+N(AM221))-N(AM127))/(AI52+AJ52+AK52+AM52),""),"")</f>
        <v>-0.324434714327126</v>
      </c>
      <c r="AN320" s="262">
        <f>IFERROR(IF(AND(COUNT(AJ52,AK52,AM52,AN52)=4,(AJ52+AK52+AM52+AN52)&lt;&gt;0),((N(AN195)+N(AN196)+N(AN200)+N(AN221))-N(AN127))/(AJ52+AK52+AM52+AN52),""),"")</f>
        <v>-0.56646630172766</v>
      </c>
      <c r="AO320" s="262">
        <f>IFERROR(IF(AND(COUNT(AK52,AM52,AN52,AO52)=4,(AK52+AM52+AN52+AO52)&lt;&gt;0),((N(AO195)+N(AO196)+N(AO200)+N(AO221))-N(AO127))/(AK52+AM52+AN52+AO52),""),"")</f>
        <v>-0.807953199297963</v>
      </c>
      <c r="AP320" s="262">
        <f>IFERROR(IF(AND(COUNT(AM52,AN52,AO52,AP52)=4,(AM52+AN52+AO52+AP52)&lt;&gt;0),((N(AP195)+N(AP196)+N(AP200)+N(AP221))-N(AP127))/(AM52+AN52+AO52+AP52),""),"")</f>
        <v>-1.04641814090531</v>
      </c>
      <c r="AQ320" s="262">
        <f>IFERROR(IF(AND(COUNT(AM52,AN52,AO52,AP52)=4,(AM52+AN52+AO52+AP52)&lt;&gt;0),((N(AQ195)+N(AQ196)+N(AQ200)+N(AQ221))-N(AQ127))/(AM52+AN52+AO52+AP52),""),"")</f>
        <v>-1.04641814090531</v>
      </c>
      <c r="AR320" s="262">
        <f>IFERROR(IF(AND(COUNT(AN52,AO52,AP52,AR52)=4,(AN52+AO52+AP52+AR52)&lt;&gt;0),((N(AR195)+N(AR196)+N(AR200)+N(AR221))-N(AR127))/(AN52+AO52+AP52+AR52),""),"")</f>
        <v>-1.2787535968472</v>
      </c>
      <c r="AS320" s="262">
        <f>IFERROR(IF(AND(COUNT(AO52,AP52,AR52,AS52)=4,(AO52+AP52+AR52+AS52)&lt;&gt;0),((N(AS195)+N(AS196)+N(AS200)+N(AS221))-N(AS127))/(AO52+AP52+AR52+AS52),""),"")</f>
        <v>-1.5108844526716</v>
      </c>
      <c r="AT320" s="262">
        <f>IFERROR(IF(AND(COUNT(AP52,AR52,AS52,AT52)=4,(AP52+AR52+AS52+AT52)&lt;&gt;0),((N(AT195)+N(AT196)+N(AT200)+N(AT221))-N(AT127))/(AP52+AR52+AS52+AT52),""),"")</f>
        <v>-1.74486455180152</v>
      </c>
      <c r="AU320" s="262">
        <f>IFERROR(IF(AND(COUNT(AR52,AS52,AT52,AU52)=4,(AR52+AS52+AT52+AU52)&lt;&gt;0),((N(AU195)+N(AU196)+N(AU200)+N(AU221))-N(AU127))/(AR52+AS52+AT52+AU52),""),"")</f>
        <v>-1.97871307499272</v>
      </c>
      <c r="AV320" s="262">
        <f>IFERROR(IF(AND(COUNT(AR52,AS52,AT52,AU52)=4,(AR52+AS52+AT52+AU52)&lt;&gt;0),((N(AV195)+N(AV196)+N(AV200)+N(AV221))-N(AV127))/(AR52+AS52+AT52+AU52),""),"")</f>
        <v>-1.97871307499272</v>
      </c>
      <c r="AW320" s="262">
        <f>IFERROR(IF(AND(COUNT(AS52,AT52,AU52,AW52)=4,(AS52+AT52+AU52+AW52)&lt;&gt;0),((N(AW195)+N(AW196)+N(AW200)+N(AW221))-N(AW127))/(AS52+AT52+AU52+AW52),""),"")</f>
        <v>-2.2075873327337</v>
      </c>
      <c r="AX320" s="262">
        <f>IFERROR(IF(AND(COUNT(AT52,AU52,AW52,AX52)=4,(AT52+AU52+AW52+AX52)&lt;&gt;0),((N(AX195)+N(AX196)+N(AX200)+N(AX221))-N(AX127))/(AT52+AU52+AW52+AX52),""),"")</f>
        <v>-2.44075427444198</v>
      </c>
      <c r="AY320" s="262">
        <f>IFERROR(IF(AND(COUNT(AU52,AW52,AX52,AY52)=4,(AU52+AW52+AX52+AY52)&lt;&gt;0),((N(AY195)+N(AY196)+N(AY200)+N(AY221))-N(AY127))/(AU52+AW52+AX52+AY52),""),"")</f>
        <v>-2.67658886308074</v>
      </c>
      <c r="AZ320" s="262">
        <f>IFERROR(IF(AND(COUNT(AW52,AX52,AY52,AZ52)=4,(AW52+AX52+AY52+AZ52)&lt;&gt;0),((N(AZ195)+N(AZ196)+N(AZ200)+N(AZ221))-N(AZ127))/(AW52+AX52+AY52+AZ52),""),"")</f>
        <v>-2.91529210526014</v>
      </c>
      <c r="BA320" s="262">
        <f>IFERROR(IF(AND(COUNT(AW52,AX52,AY52,AZ52)=4,(AW52+AX52+AY52+AZ52)&lt;&gt;0),((N(BA195)+N(BA196)+N(BA200)+N(BA221))-N(BA127))/(AW52+AX52+AY52+AZ52),""),"")</f>
        <v>-2.91529210526014</v>
      </c>
      <c r="BB320" s="262">
        <f>IFERROR(IF(AND(COUNT(AX52,AY52,AZ52,BB52)=4,(AX52+AY52+AZ52+BB52)&lt;&gt;0),((N(BB195)+N(BB196)+N(BB200)+N(BB221))-N(BB127))/(AX52+AY52+AZ52+BB52),""),"")</f>
        <v>-3.15154238800695</v>
      </c>
      <c r="BC320" s="262">
        <f>IFERROR(IF(AND(COUNT(AY52,AZ52,BB52,BC52)=4,(AY52+AZ52+BB52+BC52)&lt;&gt;0),((N(BC195)+N(BC196)+N(BC200)+N(BC221))-N(BC127))/(AY52+AZ52+BB52+BC52),""),"")</f>
        <v>-3.39407376735865</v>
      </c>
      <c r="BD320" s="262">
        <f>IFERROR(IF(AND(COUNT(AZ52,BB52,BC52,BD52)=4,(AZ52+BB52+BC52+BD52)&lt;&gt;0),((N(BD195)+N(BD196)+N(BD200)+N(BD221))-N(BD127))/(AZ52+BB52+BC52+BD52),""),"")</f>
        <v>-3.64165637971513</v>
      </c>
      <c r="BE320" s="262">
        <f>IFERROR(IF(AND(COUNT(BB52,BC52,BD52,BE52)=4,(BB52+BC52+BD52+BE52)&lt;&gt;0),((N(BE195)+N(BE196)+N(BE200)+N(BE221))-N(BE127))/(BB52+BC52+BD52+BE52),""),"")</f>
        <v>-3.89532086736318</v>
      </c>
      <c r="BF320" s="262">
        <f>IFERROR(IF(AND(COUNT(BB52,BC52,BD52,BE52)=4,(BB52+BC52+BD52+BE52)&lt;&gt;0),((N(BF195)+N(BF196)+N(BF200)+N(BF221))-N(BF127))/(BB52+BC52+BD52+BE52),""),"")</f>
        <v>-3.89532086736318</v>
      </c>
      <c r="BG320" s="82" t="n"/>
      <c r="BH320" s="82" t="n"/>
      <c r="BI320" s="82" t="n"/>
      <c r="BJ320" s="82" t="n"/>
      <c r="BL320" s="82" t="n"/>
      <c r="BM320" s="82" t="n"/>
      <c r="BN320" s="82" t="n"/>
      <c r="BO320" s="82" t="n"/>
      <c r="BQ320" s="82" t="n"/>
      <c r="BR320" s="82" t="n"/>
      <c r="BS320" s="82" t="n"/>
      <c r="BT320" s="82" t="n"/>
      <c r="BV320" s="82" t="n"/>
      <c r="BW320" s="82" t="n"/>
      <c r="BX320" s="82" t="n"/>
      <c r="BY320" s="82" t="n"/>
      <c r="CA320" s="82" t="n"/>
      <c r="CB320" s="82" t="n"/>
      <c r="CC320" s="82" t="n"/>
      <c r="CD320" s="82" t="n"/>
      <c r="CF320" s="82" t="n"/>
      <c r="CG320" s="82" t="n"/>
      <c r="CH320" s="82" t="n"/>
      <c r="CI320" s="82" t="n"/>
      <c r="CK320" s="82" t="n"/>
      <c r="CL320" s="82" t="n"/>
      <c r="CM320" s="82" t="n"/>
      <c r="CN320" s="82" t="n"/>
      <c r="CP320" s="82" t="n"/>
      <c r="CQ320" s="82" t="n"/>
      <c r="CR320" s="82" t="n"/>
      <c r="CS320" s="82" t="n"/>
      <c r="CU320" s="82" t="n"/>
      <c r="CV320" s="82" t="n"/>
      <c r="CW320" s="82" t="n"/>
      <c r="CX320" s="82" t="n"/>
    </row>
    <row r="321" customFormat="1" s="77">
      <c r="A321" s="76" t="n"/>
      <c r="B321" s="76" t="n"/>
      <c r="C321" s="77" t="inlineStr">
        <is>
          <t>INTEREST COVERAGE (EBIT / INTEREST, LTM)</t>
        </is>
      </c>
      <c r="D321" s="82" t="str">
        <f>IFERROR(D56/-D57,"")</f>
        <v/>
      </c>
      <c r="E321" s="82" t="str">
        <f>IFERROR(E56/-E57,"")</f>
        <v/>
      </c>
      <c r="F321" s="82" t="str">
        <f>IFERROR(F56/-F57,"")</f>
        <v/>
      </c>
      <c r="G321" s="82" t="str">
        <f>IFERROR(G56/-G57,"")</f>
        <v/>
      </c>
      <c r="H321" s="262" t="str">
        <f>IFERROR(IF(AND(COUNT(H56)=1,(H57)&lt;&gt;0),(H56)/-(H57),""),"")</f>
        <v/>
      </c>
      <c r="I321" s="262" t="str">
        <f>""</f>
        <v/>
      </c>
      <c r="J321" s="262" t="str">
        <f>""</f>
        <v/>
      </c>
      <c r="K321" s="262" t="str">
        <f>""</f>
        <v/>
      </c>
      <c r="L321" s="262" t="str">
        <f>IFERROR(IF(AND(COUNT(I56,J56,K56,L56)=4,(I57+J57+K57+L57)&lt;&gt;0),(I56+J56+K56+L56)/-(I57+J57+K57+L57),""),"")</f>
        <v/>
      </c>
      <c r="M321" s="262" t="str">
        <f>IFERROR(IF(AND(COUNT(I56,J56,K56,L56)=4,(I57+J57+K57+L57)&lt;&gt;0),(I56+J56+K56+L56)/-(I57+J57+K57+L57),""),"")</f>
        <v/>
      </c>
      <c r="N321" s="262" t="str">
        <f>IFERROR(IF(AND(COUNT(J56,K56,L56,N56)=4,(J57+K57+L57+N57)&lt;&gt;0),(J56+K56+L56+N56)/-(J57+K57+L57+N57),""),"")</f>
        <v/>
      </c>
      <c r="O321" s="262" t="str">
        <f>IFERROR(IF(AND(COUNT(K56,L56,N56,O56)=4,(K57+L57+N57+O57)&lt;&gt;0),(K56+L56+N56+O56)/-(K57+L57+N57+O57),""),"")</f>
        <v/>
      </c>
      <c r="P321" s="262" t="str">
        <f>IFERROR(IF(AND(COUNT(L56,N56,O56,P56)=4,(L57+N57+O57+P57)&lt;&gt;0),(L56+N56+O56+P56)/-(L57+N57+O57+P57),""),"")</f>
        <v/>
      </c>
      <c r="Q321" s="262" t="str">
        <f>IFERROR(IF(AND(COUNT(N56,O56,P56,Q56)=4,(N57+O57+P57+Q57)&lt;&gt;0),(N56+O56+P56+Q56)/-(N57+O57+P57+Q57),""),"")</f>
        <v/>
      </c>
      <c r="R321" s="262" t="str">
        <f>IFERROR(IF(AND(COUNT(N56,O56,P56,Q56)=4,(N57+O57+P57+Q57)&lt;&gt;0),(N56+O56+P56+Q56)/-(N57+O57+P57+Q57),""),"")</f>
        <v/>
      </c>
      <c r="S321" s="262" t="str">
        <f>IFERROR(IF(AND(COUNT(O56,P56,Q56,S56)=4,(O57+P57+Q57+S57)&lt;&gt;0),(O56+P56+Q56+S56)/-(O57+P57+Q57+S57),""),"")</f>
        <v/>
      </c>
      <c r="T321" s="262">
        <f>IFERROR(IF(AND(COUNT(P56,Q56,S56,T56)=4,(P57+Q57+S57+T57)&lt;&gt;0),(P56+Q56+S56+T56)/-(P57+Q57+S57+T57),""),"")</f>
        <v>112.840659340659</v>
      </c>
      <c r="U321" s="262">
        <f>IFERROR(IF(AND(COUNT(Q56,S56,T56,U56)=4,(Q57+S57+T57+U57)&lt;&gt;0),(Q56+S56+T56+U56)/-(Q57+S57+T57+U57),""),"")</f>
        <v>57.5342465753425</v>
      </c>
      <c r="V321" s="262">
        <f>IFERROR(IF(AND(COUNT(S56,T56,U56,V56)=4,(S57+T57+U57+V57)&lt;&gt;0),(S56+T56+U56+V56)/-(S57+T57+U57+V57),""),"")</f>
        <v>39.6086956521739</v>
      </c>
      <c r="W321" s="262">
        <f>IFERROR(IF(AND(COUNT(S56,T56,U56,V56)=4,(S57+T57+U57+V57)&lt;&gt;0),(S56+T56+U56+V56)/-(S57+T57+U57+V57),""),"")</f>
        <v>39.6086956521739</v>
      </c>
      <c r="X321" s="262">
        <f>IFERROR(IF(AND(COUNT(T56,U56,V56,X56)=4,(T57+U57+V57+X57)&lt;&gt;0),(T56+U56+V56+X56)/-(T57+U57+V57+X57),""),"")</f>
        <v>34.5141955835962</v>
      </c>
      <c r="Y321" s="262">
        <f>IFERROR(IF(AND(COUNT(U56,V56,X56,Y56)=4,(U57+V57+X57+Y57)&lt;&gt;0),(U56+V56+X56+Y56)/-(U57+V57+X57+Y57),""),"")</f>
        <v>35.179012345679</v>
      </c>
      <c r="Z321" s="262">
        <f>IFERROR(IF(AND(COUNT(V56,X56,Y56,Z56)=4,(V57+X57+Y57+Z57)&lt;&gt;0),(V56+X56+Y56+Z56)/-(V57+X57+Y57+Z57),""),"")</f>
        <v>36.8096723868955</v>
      </c>
      <c r="AA321" s="262">
        <f>IFERROR(IF(AND(COUNT(X56,Y56,Z56,AA56)=4,(X57+Y57+Z57+AA57)&lt;&gt;0),(X56+Y56+Z56+AA56)/-(X57+Y57+Z57+AA57),""),"")</f>
        <v>37.5393081761006</v>
      </c>
      <c r="AB321" s="262">
        <f>IFERROR(IF(AND(COUNT(X56,Y56,Z56,AA56)=4,(X57+Y57+Z57+AA57)&lt;&gt;0),(X56+Y56+Z56+AA56)/-(X57+Y57+Z57+AA57),""),"")</f>
        <v>37.5393081761006</v>
      </c>
      <c r="AC321" s="262">
        <f>IFERROR(IF(AND(COUNT(Y56,Z56,AA56,AC56)=4,(Y57+Z57+AA57+AC57)&lt;&gt;0),(Y56+Z56+AA56+AC56)/-(Y57+Z57+AA57+AC57),""),"")</f>
        <v>33.6460674157303</v>
      </c>
      <c r="AD321" s="262">
        <f>IFERROR(IF(AND(COUNT(Z56,AA56,AC56,AD56)=4,(Z57+AA57+AC57+AD57)&lt;&gt;0),(Z56+AA56+AC56+AD56)/-(Z57+AA57+AC57+AD57),""),"")</f>
        <v>43.5945945945946</v>
      </c>
      <c r="AE321" s="262">
        <f>IFERROR(IF(AND(COUNT(AA56,AC56,AD56,AE56)=4,(AA57+AC57+AD57+AE57)&lt;&gt;0),(AA56+AC56+AD56+AE56)/-(AA57+AC57+AD57+AE57),""),"")</f>
        <v>40.7368421052632</v>
      </c>
      <c r="AF321" s="262">
        <f>IFERROR(IF(AND(COUNT(AB56,AD56,AE56,AF56)=4,(AB57+AD57+AE57+AF57)&lt;&gt;0),(AB56+AD56+AE56+AF56)/-(AB57+AD57+AE57+AF57),""),"")</f>
        <v>39.7933271547729</v>
      </c>
      <c r="AG321" s="262">
        <f>IFERROR(IF(AND(COUNT(AC56,AD56,AE56,AF56)=4,(AC57+AD57+AE57+AF57)&lt;&gt;0),(AC56+AD56+AE56+AF56)/-(AC57+AD57+AE57+AF57),""),"")</f>
        <v>40.7603993344426</v>
      </c>
      <c r="AH321" s="262">
        <f>IFERROR(IF(AND(COUNT(AD56,AF56,AG56,AH56)=4,(AD57+AF57+AG57+AH57)&lt;&gt;0),(AD56+AF56+AG56+AH56)/-(AD57+AF57+AG57+AH57),""),"")</f>
        <v>44.1156126482213</v>
      </c>
      <c r="AI321" s="262">
        <f>IFERROR(IF(AND(COUNT(AE56,AG56,AH56,AI56)=4,(AE57+AG57+AH57+AI57)&lt;&gt;0),(AE56+AG56+AH56+AI56)/-(AE57+AG57+AH57+AI57),""),"")</f>
        <v>37.832628909552</v>
      </c>
      <c r="AJ321" s="262" t="str">
        <f>IFERROR(IF(AND(COUNT(AF56,AH56,AI56,AJ56)=4,(AF57+AH57+AI57+AJ57)&lt;&gt;0),(AF56+AH56+AI56+AJ56)/-(AF57+AH57+AI57+AJ57),""),"")</f>
        <v/>
      </c>
      <c r="AK321" s="262" t="str">
        <f>IFERROR(IF(AND(COUNT(AH56,AI56,AJ56,AK56)=4,(AH57+AI57+AJ57+AK57)&lt;&gt;0),(AH56+AI56+AJ56+AK56)/-(AH57+AI57+AJ57+AK57),""),"")</f>
        <v/>
      </c>
      <c r="AL321" s="262" t="str">
        <f>IFERROR(IF(AND(COUNT(AH56,AI56,AJ56,AK56)=4,(AH57+AI57+AJ57+AK57)&lt;&gt;0),(AH56+AI56+AJ56+AK56)/-(AH57+AI57+AJ57+AK57),""),"")</f>
        <v/>
      </c>
      <c r="AM321" s="262" t="str">
        <f>IFERROR(IF(AND(COUNT(AI56,AJ56,AK56,AM56)=4,(AI57+AJ57+AK57+AM57)&lt;&gt;0),(AI56+AJ56+AK56+AM56)/-(AI57+AJ57+AK57+AM57),""),"")</f>
        <v/>
      </c>
      <c r="AN321" s="262" t="str">
        <f>IFERROR(IF(AND(COUNT(AJ56,AK56,AM56,AN56)=4,(AJ57+AK57+AM57+AN57)&lt;&gt;0),(AJ56+AK56+AM56+AN56)/-(AJ57+AK57+AM57+AN57),""),"")</f>
        <v/>
      </c>
      <c r="AO321" s="262" t="str">
        <f>IFERROR(IF(AND(COUNT(AK56,AM56,AN56,AO56)=4,(AK57+AM57+AN57+AO57)&lt;&gt;0),(AK56+AM56+AN56+AO56)/-(AK57+AM57+AN57+AO57),""),"")</f>
        <v/>
      </c>
      <c r="AP321" s="262" t="str">
        <f>IFERROR(IF(AND(COUNT(AM56,AN56,AO56,AP56)=4,(AM57+AN57+AO57+AP57)&lt;&gt;0),(AM56+AN56+AO56+AP56)/-(AM57+AN57+AO57+AP57),""),"")</f>
        <v/>
      </c>
      <c r="AQ321" s="262" t="str">
        <f>IFERROR(IF(AND(COUNT(AM56,AN56,AO56,AP56)=4,(AM57+AN57+AO57+AP57)&lt;&gt;0),(AM56+AN56+AO56+AP56)/-(AM57+AN57+AO57+AP57),""),"")</f>
        <v/>
      </c>
      <c r="AR321" s="262" t="str">
        <f>IFERROR(IF(AND(COUNT(AN56,AO56,AP56,AR56)=4,(AN57+AO57+AP57+AR57)&lt;&gt;0),(AN56+AO56+AP56+AR56)/-(AN57+AO57+AP57+AR57),""),"")</f>
        <v/>
      </c>
      <c r="AS321" s="262" t="str">
        <f>IFERROR(IF(AND(COUNT(AO56,AP56,AR56,AS56)=4,(AO57+AP57+AR57+AS57)&lt;&gt;0),(AO56+AP56+AR56+AS56)/-(AO57+AP57+AR57+AS57),""),"")</f>
        <v/>
      </c>
      <c r="AT321" s="262" t="str">
        <f>IFERROR(IF(AND(COUNT(AP56,AR56,AS56,AT56)=4,(AP57+AR57+AS57+AT57)&lt;&gt;0),(AP56+AR56+AS56+AT56)/-(AP57+AR57+AS57+AT57),""),"")</f>
        <v/>
      </c>
      <c r="AU321" s="262" t="str">
        <f>IFERROR(IF(AND(COUNT(AR56,AS56,AT56,AU56)=4,(AR57+AS57+AT57+AU57)&lt;&gt;0),(AR56+AS56+AT56+AU56)/-(AR57+AS57+AT57+AU57),""),"")</f>
        <v/>
      </c>
      <c r="AV321" s="262" t="str">
        <f>IFERROR(IF(AND(COUNT(AR56,AS56,AT56,AU56)=4,(AR57+AS57+AT57+AU57)&lt;&gt;0),(AR56+AS56+AT56+AU56)/-(AR57+AS57+AT57+AU57),""),"")</f>
        <v/>
      </c>
      <c r="AW321" s="262" t="str">
        <f>IFERROR(IF(AND(COUNT(AS56,AT56,AU56,AW56)=4,(AS57+AT57+AU57+AW57)&lt;&gt;0),(AS56+AT56+AU56+AW56)/-(AS57+AT57+AU57+AW57),""),"")</f>
        <v/>
      </c>
      <c r="AX321" s="262" t="str">
        <f>IFERROR(IF(AND(COUNT(AT56,AU56,AW56,AX56)=4,(AT57+AU57+AW57+AX57)&lt;&gt;0),(AT56+AU56+AW56+AX56)/-(AT57+AU57+AW57+AX57),""),"")</f>
        <v/>
      </c>
      <c r="AY321" s="262" t="str">
        <f>IFERROR(IF(AND(COUNT(AU56,AW56,AX56,AY56)=4,(AU57+AW57+AX57+AY57)&lt;&gt;0),(AU56+AW56+AX56+AY56)/-(AU57+AW57+AX57+AY57),""),"")</f>
        <v/>
      </c>
      <c r="AZ321" s="262" t="str">
        <f>IFERROR(IF(AND(COUNT(AW56,AX56,AY56,AZ56)=4,(AW57+AX57+AY57+AZ57)&lt;&gt;0),(AW56+AX56+AY56+AZ56)/-(AW57+AX57+AY57+AZ57),""),"")</f>
        <v/>
      </c>
      <c r="BA321" s="262" t="str">
        <f>IFERROR(IF(AND(COUNT(AW56,AX56,AY56,AZ56)=4,(AW57+AX57+AY57+AZ57)&lt;&gt;0),(AW56+AX56+AY56+AZ56)/-(AW57+AX57+AY57+AZ57),""),"")</f>
        <v/>
      </c>
      <c r="BB321" s="262" t="str">
        <f>IFERROR(IF(AND(COUNT(AX56,AY56,AZ56,BB56)=4,(AX57+AY57+AZ57+BB57)&lt;&gt;0),(AX56+AY56+AZ56+BB56)/-(AX57+AY57+AZ57+BB57),""),"")</f>
        <v/>
      </c>
      <c r="BC321" s="262" t="str">
        <f>IFERROR(IF(AND(COUNT(AY56,AZ56,BB56,BC56)=4,(AY57+AZ57+BB57+BC57)&lt;&gt;0),(AY56+AZ56+BB56+BC56)/-(AY57+AZ57+BB57+BC57),""),"")</f>
        <v/>
      </c>
      <c r="BD321" s="262" t="str">
        <f>IFERROR(IF(AND(COUNT(AZ56,BB56,BC56,BD56)=4,(AZ57+BB57+BC57+BD57)&lt;&gt;0),(AZ56+BB56+BC56+BD56)/-(AZ57+BB57+BC57+BD57),""),"")</f>
        <v/>
      </c>
      <c r="BE321" s="262" t="str">
        <f>IFERROR(IF(AND(COUNT(BB56,BC56,BD56,BE56)=4,(BB57+BC57+BD57+BE57)&lt;&gt;0),(BB56+BC56+BD56+BE56)/-(BB57+BC57+BD57+BE57),""),"")</f>
        <v/>
      </c>
      <c r="BF321" s="262" t="str">
        <f>IFERROR(IF(AND(COUNT(BB56,BC56,BD56,BE56)=4,(BB57+BC57+BD57+BE57)&lt;&gt;0),(BB56+BC56+BD56+BE56)/-(BB57+BC57+BD57+BE57),""),"")</f>
        <v/>
      </c>
      <c r="BG321" s="82" t="n"/>
      <c r="BH321" s="82" t="n"/>
      <c r="BI321" s="82" t="n"/>
      <c r="BJ321" s="82" t="n"/>
      <c r="BL321" s="82" t="n"/>
      <c r="BM321" s="82" t="n"/>
      <c r="BN321" s="82" t="n"/>
      <c r="BO321" s="82" t="n"/>
      <c r="BQ321" s="82" t="n"/>
      <c r="BR321" s="82" t="n"/>
      <c r="BS321" s="82" t="n"/>
      <c r="BT321" s="82" t="n"/>
      <c r="BV321" s="82" t="n"/>
      <c r="BW321" s="82" t="n"/>
      <c r="BX321" s="82" t="n"/>
      <c r="BY321" s="82" t="n"/>
      <c r="CA321" s="82" t="n"/>
      <c r="CB321" s="82" t="n"/>
      <c r="CC321" s="82" t="n"/>
      <c r="CD321" s="82" t="n"/>
      <c r="CF321" s="82" t="n"/>
      <c r="CG321" s="82" t="n"/>
      <c r="CH321" s="82" t="n"/>
      <c r="CI321" s="82" t="n"/>
      <c r="CK321" s="82" t="n"/>
      <c r="CL321" s="82" t="n"/>
      <c r="CM321" s="82" t="n"/>
      <c r="CN321" s="82" t="n"/>
      <c r="CP321" s="82" t="n"/>
      <c r="CQ321" s="82" t="n"/>
      <c r="CR321" s="82" t="n"/>
      <c r="CS321" s="82" t="n"/>
      <c r="CU321" s="82" t="n"/>
      <c r="CV321" s="82" t="n"/>
      <c r="CW321" s="82" t="n"/>
      <c r="CX321" s="82" t="n"/>
    </row>
    <row r="322" customFormat="1" s="77">
      <c r="A322" s="76" t="n"/>
      <c r="B322" s="76" t="n"/>
    </row>
    <row r="323" customFormat="1" s="77">
      <c r="A323" s="76" t="n"/>
      <c r="B323" s="76" t="n"/>
      <c r="C323" s="74" t="inlineStr">
        <is>
          <t>INTERNAL LIQUIDITY</t>
        </is>
      </c>
    </row>
    <row r="324" customFormat="1" s="77">
      <c r="A324" s="76" t="n"/>
      <c r="B324" s="76" t="n"/>
      <c r="C324" s="77" t="inlineStr">
        <is>
          <t>CURRENT RATIO</t>
        </is>
      </c>
      <c r="D324" s="82" t="str">
        <f>IFERROR(SUM(D127,D128,D132,D136,D137,D138)/SUM(D181,D185,D187,D188),"")</f>
        <v/>
      </c>
      <c r="E324" s="82" t="str">
        <f>IFERROR(SUM(E127,E128,E132,E136,E137,E138)/SUM(E181,E185,E187,E188),"")</f>
        <v/>
      </c>
      <c r="F324" s="82" t="str">
        <f>IFERROR(SUM(F127,F128,F132,F136,F137,F138)/SUM(F181,F185,F187,F188),"")</f>
        <v/>
      </c>
      <c r="G324" s="82" t="str">
        <f>IFERROR(SUM(G127,G128,G132,G136,G137,G138)/SUM(G181,G185,G187,G188),"")</f>
        <v/>
      </c>
      <c r="H324" s="262" t="str">
        <f>IFERROR(IF((N(H181)+N(H185)+N(H187)+N(H188)+N(H195)+N(H196)+N(H197))&lt;&gt;0,(N(H127)+(N(H128)+N(H132)+N(H136)+N(H137)+N(H138)))/(N(H181)+N(H185)+N(H187)+N(H188)+N(H195)+N(H196)+N(H197)),""),"")</f>
        <v/>
      </c>
      <c r="I324" s="262">
        <f>IFERROR(IF((N(I181)+N(I185)+N(I187)+N(I188)+N(I195)+N(I196)+N(I197))&lt;&gt;0,(N(I127)+(N(I128)+N(I132)+N(I136)+N(I137)+N(I138)))/(N(I181)+N(I185)+N(I187)+N(I188)+N(I195)+N(I196)+N(I197)),""),"")</f>
        <v>2.11635591220203</v>
      </c>
      <c r="J324" s="262">
        <f>IFERROR(IF((N(J181)+N(J185)+N(J187)+N(J188)+N(J195)+N(J196)+N(J197))&lt;&gt;0,(N(J127)+(N(J128)+N(J132)+N(J136)+N(J137)+N(J138)))/(N(J181)+N(J185)+N(J187)+N(J188)+N(J195)+N(J196)+N(J197)),""),"")</f>
        <v>1.99971475433217</v>
      </c>
      <c r="K324" s="262">
        <f>IFERROR(IF((N(K181)+N(K185)+N(K187)+N(K188)+N(K195)+N(K196)+N(K197))&lt;&gt;0,(N(K127)+(N(K128)+N(K132)+N(K136)+N(K137)+N(K138)))/(N(K181)+N(K185)+N(K187)+N(K188)+N(K195)+N(K196)+N(K197)),""),"")</f>
        <v>1.75405044793189</v>
      </c>
      <c r="L324" s="262">
        <f>IFERROR(IF((N(L181)+N(L185)+N(L187)+N(L188)+N(L195)+N(L196)+N(L197))&lt;&gt;0,(N(L127)+(N(L128)+N(L132)+N(L136)+N(L137)+N(L138)))/(N(L181)+N(L185)+N(L187)+N(L188)+N(L195)+N(L196)+N(L197)),""),"")</f>
        <v>1.3951960361913</v>
      </c>
      <c r="M324" s="262">
        <f>IFERROR(IF((N(M181)+N(M185)+N(M187)+N(M188)+N(M195)+N(M196)+N(M197))&lt;&gt;0,(N(M127)+(N(M128)+N(M132)+N(M136)+N(M137)+N(M138)))/(N(M181)+N(M185)+N(M187)+N(M188)+N(M195)+N(M196)+N(M197)),""),"")</f>
        <v>1.3951960361913</v>
      </c>
      <c r="N324" s="262">
        <f>IFERROR(IF((N(N181)+N(N185)+N(N187)+N(N188)+N(N195)+N(N196)+N(N197))&lt;&gt;0,(N(N127)+(N(N128)+N(N132)+N(N136)+N(N137)+N(N138)))/(N(N181)+N(N185)+N(N187)+N(N188)+N(N195)+N(N196)+N(N197)),""),"")</f>
        <v>1.28815099989306</v>
      </c>
      <c r="O324" s="262">
        <f>IFERROR(IF((N(O181)+N(O185)+N(O187)+N(O188)+N(O195)+N(O196)+N(O197))&lt;&gt;0,(N(O127)+(N(O128)+N(O132)+N(O136)+N(O137)+N(O138)))/(N(O181)+N(O185)+N(O187)+N(O188)+N(O195)+N(O196)+N(O197)),""),"")</f>
        <v>1.42651041410212</v>
      </c>
      <c r="P324" s="262">
        <f>IFERROR(IF((N(P181)+N(P185)+N(P187)+N(P188)+N(P195)+N(P196)+N(P197))&lt;&gt;0,(N(P127)+(N(P128)+N(P132)+N(P136)+N(P137)+N(P138)))/(N(P181)+N(P185)+N(P187)+N(P188)+N(P195)+N(P196)+N(P197)),""),"")</f>
        <v>1.44847264182612</v>
      </c>
      <c r="Q324" s="262">
        <f>IFERROR(IF((N(Q181)+N(Q185)+N(Q187)+N(Q188)+N(Q195)+N(Q196)+N(Q197))&lt;&gt;0,(N(Q127)+(N(Q128)+N(Q132)+N(Q136)+N(Q137)+N(Q138)))/(N(Q181)+N(Q185)+N(Q187)+N(Q188)+N(Q195)+N(Q196)+N(Q197)),""),"")</f>
        <v>1.43951842091665</v>
      </c>
      <c r="R324" s="262">
        <f>IFERROR(IF((N(R181)+N(R185)+N(R187)+N(R188)+N(R195)+N(R196)+N(R197))&lt;&gt;0,(N(R127)+(N(R128)+N(R132)+N(R136)+N(R137)+N(R138)))/(N(R181)+N(R185)+N(R187)+N(R188)+N(R195)+N(R196)+N(R197)),""),"")</f>
        <v>1.43951842091665</v>
      </c>
      <c r="S324" s="262">
        <f>IFERROR(IF((N(S181)+N(S185)+N(S187)+N(S188)+N(S195)+N(S196)+N(S197))&lt;&gt;0,(N(S127)+(N(S128)+N(S132)+N(S136)+N(S137)+N(S138)))/(N(S181)+N(S185)+N(S187)+N(S188)+N(S195)+N(S196)+N(S197)),""),"")</f>
        <v>1.50060218882547</v>
      </c>
      <c r="T324" s="262">
        <f>IFERROR(IF((N(T181)+N(T185)+N(T187)+N(T188)+N(T195)+N(T196)+N(T197))&lt;&gt;0,(N(T127)+(N(T128)+N(T132)+N(T136)+N(T137)+N(T138)))/(N(T181)+N(T185)+N(T187)+N(T188)+N(T195)+N(T196)+N(T197)),""),"")</f>
        <v>1.4917569477155</v>
      </c>
      <c r="U324" s="262">
        <f>IFERROR(IF((N(U181)+N(U185)+N(U187)+N(U188)+N(U195)+N(U196)+N(U197))&lt;&gt;0,(N(U127)+(N(U128)+N(U132)+N(U136)+N(U137)+N(U138)))/(N(U181)+N(U185)+N(U187)+N(U188)+N(U195)+N(U196)+N(U197)),""),"")</f>
        <v>1.45172742228764</v>
      </c>
      <c r="V324" s="262">
        <f>IFERROR(IF((N(V181)+N(V185)+N(V187)+N(V188)+N(V195)+N(V196)+N(V197))&lt;&gt;0,(N(V127)+(N(V128)+N(V132)+N(V136)+N(V137)+N(V138)))/(N(V181)+N(V185)+N(V187)+N(V188)+N(V195)+N(V196)+N(V197)),""),"")</f>
        <v>1.44614297075197</v>
      </c>
      <c r="W324" s="262">
        <f>IFERROR(IF((N(W181)+N(W185)+N(W187)+N(W188)+N(W195)+N(W196)+N(W197))&lt;&gt;0,(N(W127)+(N(W128)+N(W132)+N(W136)+N(W137)+N(W138)))/(N(W181)+N(W185)+N(W187)+N(W188)+N(W195)+N(W196)+N(W197)),""),"")</f>
        <v>1.44614297075197</v>
      </c>
      <c r="X324" s="262">
        <f>IFERROR(IF((N(X181)+N(X185)+N(X187)+N(X188)+N(X195)+N(X196)+N(X197))&lt;&gt;0,(N(X127)+(N(X128)+N(X132)+N(X136)+N(X137)+N(X138)))/(N(X181)+N(X185)+N(X187)+N(X188)+N(X195)+N(X196)+N(X197)),""),"")</f>
        <v>1.39807191912298</v>
      </c>
      <c r="Y324" s="262">
        <f>IFERROR(IF((N(Y181)+N(Y185)+N(Y187)+N(Y188)+N(Y195)+N(Y196)+N(Y197))&lt;&gt;0,(N(Y127)+(N(Y128)+N(Y132)+N(Y136)+N(Y137)+N(Y138)))/(N(Y181)+N(Y185)+N(Y187)+N(Y188)+N(Y195)+N(Y196)+N(Y197)),""),"")</f>
        <v>1.37267822395188</v>
      </c>
      <c r="Z324" s="262">
        <f>IFERROR(IF((N(Z181)+N(Z185)+N(Z187)+N(Z188)+N(Z195)+N(Z196)+N(Z197))&lt;&gt;0,(N(Z127)+(N(Z128)+N(Z132)+N(Z136)+N(Z137)+N(Z138)))/(N(Z181)+N(Z185)+N(Z187)+N(Z188)+N(Z195)+N(Z196)+N(Z197)),""),"")</f>
        <v>1.28344081155485</v>
      </c>
      <c r="AA324" s="262">
        <f>IFERROR(IF((N(AA181)+N(AA185)+N(AA187)+N(AA188)+N(AA195)+N(AA196)+N(AA197))&lt;&gt;0,(N(AA127)+(N(AA128)+N(AA132)+N(AA136)+N(AA137)+N(AA138)))/(N(AA181)+N(AA185)+N(AA187)+N(AA188)+N(AA195)+N(AA196)+N(AA197)),""),"")</f>
        <v>1.12137774569454</v>
      </c>
      <c r="AB324" s="262">
        <f>IFERROR(IF((N(AB181)+N(AB185)+N(AB187)+N(AB188)+N(AB195)+N(AB196)+N(AB197))&lt;&gt;0,(N(AB127)+(N(AB128)+N(AB132)+N(AB136)+N(AB137)+N(AB138)))/(N(AB181)+N(AB185)+N(AB187)+N(AB188)+N(AB195)+N(AB196)+N(AB197)),""),"")</f>
        <v>1.12137774569454</v>
      </c>
      <c r="AC324" s="262">
        <f>IFERROR(IF((N(AC181)+N(AC185)+N(AC187)+N(AC188)+N(AC195)+N(AC196)+N(AC197))&lt;&gt;0,(N(AC127)+(N(AC128)+N(AC132)+N(AC136)+N(AC137)+N(AC138)))/(N(AC181)+N(AC185)+N(AC187)+N(AC188)+N(AC195)+N(AC196)+N(AC197)),""),"")</f>
        <v>1.08403278364767</v>
      </c>
      <c r="AD324" s="262">
        <f>IFERROR(IF((N(AD181)+N(AD185)+N(AD187)+N(AD188)+N(AD195)+N(AD196)+N(AD197))&lt;&gt;0,(N(AD127)+(N(AD128)+N(AD132)+N(AD136)+N(AD137)+N(AD138)))/(N(AD181)+N(AD185)+N(AD187)+N(AD188)+N(AD195)+N(AD196)+N(AD197)),""),"")</f>
        <v>1.11534551369565</v>
      </c>
      <c r="AE324" s="262">
        <f>IFERROR(IF((N(AE181)+N(AE185)+N(AE187)+N(AE188)+N(AE195)+N(AE196)+N(AE197))&lt;&gt;0,(N(AE127)+(N(AE128)+N(AE132)+N(AE136)+N(AE137)+N(AE138)))/(N(AE181)+N(AE185)+N(AE187)+N(AE188)+N(AE195)+N(AE196)+N(AE197)),""),"")</f>
        <v>1.07755078749144</v>
      </c>
      <c r="AF324" s="262">
        <f>IFERROR(IF((N(AF181)+N(AF185)+N(AF187)+N(AF188)+N(AF195)+N(AF196)+N(AF197))&lt;&gt;0,(N(AF127)+(N(AF128)+N(AF132)+N(AF136)+N(AF137)+N(AF138)))/(N(AF181)+N(AF185)+N(AF187)+N(AF188)+N(AF195)+N(AF196)+N(AF197)),""),"")</f>
        <v>1.11133339684354</v>
      </c>
      <c r="AG324" s="262">
        <f>IFERROR(IF((N(AG181)+N(AG185)+N(AG187)+N(AG188)+N(AG195)+N(AG196)+N(AG197))&lt;&gt;0,(N(AG127)+(N(AG128)+N(AG132)+N(AG136)+N(AG137)+N(AG138)))/(N(AG181)+N(AG185)+N(AG187)+N(AG188)+N(AG195)+N(AG196)+N(AG197)),""),"")</f>
        <v>1.11133339684354</v>
      </c>
      <c r="AH324" s="262">
        <f>IFERROR(IF((N(AH181)+N(AH185)+N(AH187)+N(AH188)+N(AH195)+N(AH196)+N(AH197))&lt;&gt;0,(N(AH127)+(N(AH128)+N(AH132)+N(AH136)+N(AH137)+N(AH138)))/(N(AH181)+N(AH185)+N(AH187)+N(AH188)+N(AH195)+N(AH196)+N(AH197)),""),"")</f>
        <v>1.08766680423717</v>
      </c>
      <c r="AI324" s="262">
        <f>IFERROR(IF((N(AI181)+N(AI185)+N(AI187)+N(AI188)+N(AI195)+N(AI196)+N(AI197))&lt;&gt;0,(N(AI127)+(N(AI128)+N(AI132)+N(AI136)+N(AI137)+N(AI138)))/(N(AI181)+N(AI185)+N(AI187)+N(AI188)+N(AI195)+N(AI196)+N(AI197)),""),"")</f>
        <v>0.985222614167223</v>
      </c>
      <c r="AJ324" s="262">
        <f>IFERROR(IF((N(AJ181)+N(AJ185)+N(AJ187)+N(AJ188)+N(AJ195)+N(AJ196)+N(AJ197))&lt;&gt;0,(N(AJ127)+(N(AJ128)+N(AJ132)+N(AJ136)+N(AJ137)+N(AJ138)))/(N(AJ181)+N(AJ185)+N(AJ187)+N(AJ188)+N(AJ195)+N(AJ196)+N(AJ197)),""),"")</f>
        <v>1.17717004306322</v>
      </c>
      <c r="AK324" s="262">
        <f>IFERROR(IF((N(AK181)+N(AK185)+N(AK187)+N(AK188)+N(AK195)+N(AK196)+N(AK197))&lt;&gt;0,(N(AK127)+(N(AK128)+N(AK132)+N(AK136)+N(AK137)+N(AK138)))/(N(AK181)+N(AK185)+N(AK187)+N(AK188)+N(AK195)+N(AK196)+N(AK197)),""),"")</f>
        <v>1.35889710607026</v>
      </c>
      <c r="AL324" s="262">
        <f>IFERROR(IF((N(AL181)+N(AL185)+N(AL187)+N(AL188)+N(AL195)+N(AL196)+N(AL197))&lt;&gt;0,(N(AL127)+(N(AL128)+N(AL132)+N(AL136)+N(AL137)+N(AL138)))/(N(AL181)+N(AL185)+N(AL187)+N(AL188)+N(AL195)+N(AL196)+N(AL197)),""),"")</f>
        <v>1.35889710607026</v>
      </c>
      <c r="AM324" s="262">
        <f>IFERROR(IF((N(AM181)+N(AM185)+N(AM187)+N(AM188)+N(AM195)+N(AM196)+N(AM197))&lt;&gt;0,(N(AM127)+(N(AM128)+N(AM132)+N(AM136)+N(AM137)+N(AM138)))/(N(AM181)+N(AM185)+N(AM187)+N(AM188)+N(AM195)+N(AM196)+N(AM197)),""),"")</f>
        <v>1.53122882678578</v>
      </c>
      <c r="AN324" s="262">
        <f>IFERROR(IF((N(AN181)+N(AN185)+N(AN187)+N(AN188)+N(AN195)+N(AN196)+N(AN197))&lt;&gt;0,(N(AN127)+(N(AN128)+N(AN132)+N(AN136)+N(AN137)+N(AN138)))/(N(AN181)+N(AN185)+N(AN187)+N(AN188)+N(AN195)+N(AN196)+N(AN197)),""),"")</f>
        <v>1.69368999285962</v>
      </c>
      <c r="AO324" s="262">
        <f>IFERROR(IF((N(AO181)+N(AO185)+N(AO187)+N(AO188)+N(AO195)+N(AO196)+N(AO197))&lt;&gt;0,(N(AO127)+(N(AO128)+N(AO132)+N(AO136)+N(AO137)+N(AO138)))/(N(AO181)+N(AO185)+N(AO187)+N(AO188)+N(AO195)+N(AO196)+N(AO197)),""),"")</f>
        <v>1.84669848888377</v>
      </c>
      <c r="AP324" s="262">
        <f>IFERROR(IF((N(AP181)+N(AP185)+N(AP187)+N(AP188)+N(AP195)+N(AP196)+N(AP197))&lt;&gt;0,(N(AP127)+(N(AP128)+N(AP132)+N(AP136)+N(AP137)+N(AP138)))/(N(AP181)+N(AP185)+N(AP187)+N(AP188)+N(AP195)+N(AP196)+N(AP197)),""),"")</f>
        <v>1.98350779592484</v>
      </c>
      <c r="AQ324" s="262">
        <f>IFERROR(IF((N(AQ181)+N(AQ185)+N(AQ187)+N(AQ188)+N(AQ195)+N(AQ196)+N(AQ197))&lt;&gt;0,(N(AQ127)+(N(AQ128)+N(AQ132)+N(AQ136)+N(AQ137)+N(AQ138)))/(N(AQ181)+N(AQ185)+N(AQ187)+N(AQ188)+N(AQ195)+N(AQ196)+N(AQ197)),""),"")</f>
        <v>1.98350779592484</v>
      </c>
      <c r="AR324" s="262">
        <f>IFERROR(IF((N(AR181)+N(AR185)+N(AR187)+N(AR188)+N(AR195)+N(AR196)+N(AR197))&lt;&gt;0,(N(AR127)+(N(AR128)+N(AR132)+N(AR136)+N(AR137)+N(AR138)))/(N(AR181)+N(AR185)+N(AR187)+N(AR188)+N(AR195)+N(AR196)+N(AR197)),""),"")</f>
        <v>2.10702572198164</v>
      </c>
      <c r="AS324" s="262">
        <f>IFERROR(IF((N(AS181)+N(AS185)+N(AS187)+N(AS188)+N(AS195)+N(AS196)+N(AS197))&lt;&gt;0,(N(AS127)+(N(AS128)+N(AS132)+N(AS136)+N(AS137)+N(AS138)))/(N(AS181)+N(AS185)+N(AS187)+N(AS188)+N(AS195)+N(AS196)+N(AS197)),""),"")</f>
        <v>2.21680060258971</v>
      </c>
      <c r="AT324" s="262">
        <f>IFERROR(IF((N(AT181)+N(AT185)+N(AT187)+N(AT188)+N(AT195)+N(AT196)+N(AT197))&lt;&gt;0,(N(AT127)+(N(AT128)+N(AT132)+N(AT136)+N(AT137)+N(AT138)))/(N(AT181)+N(AT185)+N(AT187)+N(AT188)+N(AT195)+N(AT196)+N(AT197)),""),"")</f>
        <v>2.31390147103863</v>
      </c>
      <c r="AU324" s="262">
        <f>IFERROR(IF((N(AU181)+N(AU185)+N(AU187)+N(AU188)+N(AU195)+N(AU196)+N(AU197))&lt;&gt;0,(N(AU127)+(N(AU128)+N(AU132)+N(AU136)+N(AU137)+N(AU138)))/(N(AU181)+N(AU185)+N(AU187)+N(AU188)+N(AU195)+N(AU196)+N(AU197)),""),"")</f>
        <v>2.39301944582106</v>
      </c>
      <c r="AV324" s="262">
        <f>IFERROR(IF((N(AV181)+N(AV185)+N(AV187)+N(AV188)+N(AV195)+N(AV196)+N(AV197))&lt;&gt;0,(N(AV127)+(N(AV128)+N(AV132)+N(AV136)+N(AV137)+N(AV138)))/(N(AV181)+N(AV185)+N(AV187)+N(AV188)+N(AV195)+N(AV196)+N(AV197)),""),"")</f>
        <v>2.39301944582106</v>
      </c>
      <c r="AW324" s="262">
        <f>IFERROR(IF((N(AW181)+N(AW185)+N(AW187)+N(AW188)+N(AW195)+N(AW196)+N(AW197))&lt;&gt;0,(N(AW127)+(N(AW128)+N(AW132)+N(AW136)+N(AW137)+N(AW138)))/(N(AW181)+N(AW185)+N(AW187)+N(AW188)+N(AW195)+N(AW196)+N(AW197)),""),"")</f>
        <v>2.45879593528367</v>
      </c>
      <c r="AX324" s="262">
        <f>IFERROR(IF((N(AX181)+N(AX185)+N(AX187)+N(AX188)+N(AX195)+N(AX196)+N(AX197))&lt;&gt;0,(N(AX127)+(N(AX128)+N(AX132)+N(AX136)+N(AX137)+N(AX138)))/(N(AX181)+N(AX185)+N(AX187)+N(AX188)+N(AX195)+N(AX196)+N(AX197)),""),"")</f>
        <v>2.51081566684589</v>
      </c>
      <c r="AY324" s="262">
        <f>IFERROR(IF((N(AY181)+N(AY185)+N(AY187)+N(AY188)+N(AY195)+N(AY196)+N(AY197))&lt;&gt;0,(N(AY127)+(N(AY128)+N(AY132)+N(AY136)+N(AY137)+N(AY138)))/(N(AY181)+N(AY185)+N(AY187)+N(AY188)+N(AY195)+N(AY196)+N(AY197)),""),"")</f>
        <v>2.5508657138585</v>
      </c>
      <c r="AZ324" s="262">
        <f>IFERROR(IF((N(AZ181)+N(AZ185)+N(AZ187)+N(AZ188)+N(AZ195)+N(AZ196)+N(AZ197))&lt;&gt;0,(N(AZ127)+(N(AZ128)+N(AZ132)+N(AZ136)+N(AZ137)+N(AZ138)))/(N(AZ181)+N(AZ185)+N(AZ187)+N(AZ188)+N(AZ195)+N(AZ196)+N(AZ197)),""),"")</f>
        <v>2.57522708795005</v>
      </c>
      <c r="BA324" s="262">
        <f>IFERROR(IF((N(BA181)+N(BA185)+N(BA187)+N(BA188)+N(BA195)+N(BA196)+N(BA197))&lt;&gt;0,(N(BA127)+(N(BA128)+N(BA132)+N(BA136)+N(BA137)+N(BA138)))/(N(BA181)+N(BA185)+N(BA187)+N(BA188)+N(BA195)+N(BA196)+N(BA197)),""),"")</f>
        <v>2.57522708795005</v>
      </c>
      <c r="BB324" s="262">
        <f>IFERROR(IF((N(BB181)+N(BB185)+N(BB187)+N(BB188)+N(BB195)+N(BB196)+N(BB197))&lt;&gt;0,(N(BB127)+(N(BB128)+N(BB132)+N(BB136)+N(BB137)+N(BB138)))/(N(BB181)+N(BB185)+N(BB187)+N(BB188)+N(BB195)+N(BB196)+N(BB197)),""),"")</f>
        <v>2.58982367971634</v>
      </c>
      <c r="BC324" s="262">
        <f>IFERROR(IF((N(BC181)+N(BC185)+N(BC187)+N(BC188)+N(BC195)+N(BC196)+N(BC197))&lt;&gt;0,(N(BC127)+(N(BC128)+N(BC132)+N(BC136)+N(BC137)+N(BC138)))/(N(BC181)+N(BC185)+N(BC187)+N(BC188)+N(BC195)+N(BC196)+N(BC197)),""),"")</f>
        <v>2.59383150795509</v>
      </c>
      <c r="BD324" s="262">
        <f>IFERROR(IF((N(BD181)+N(BD185)+N(BD187)+N(BD188)+N(BD195)+N(BD196)+N(BD197))&lt;&gt;0,(N(BD127)+(N(BD128)+N(BD132)+N(BD136)+N(BD137)+N(BD138)))/(N(BD181)+N(BD185)+N(BD187)+N(BD188)+N(BD195)+N(BD196)+N(BD197)),""),"")</f>
        <v>2.58929530516637</v>
      </c>
      <c r="BE324" s="262">
        <f>IFERROR(IF((N(BE181)+N(BE185)+N(BE187)+N(BE188)+N(BE195)+N(BE196)+N(BE197))&lt;&gt;0,(N(BE127)+(N(BE128)+N(BE132)+N(BE136)+N(BE137)+N(BE138)))/(N(BE181)+N(BE185)+N(BE187)+N(BE188)+N(BE195)+N(BE196)+N(BE197)),""),"")</f>
        <v>2.57363236781985</v>
      </c>
      <c r="BF324" s="262">
        <f>IFERROR(IF((N(BF181)+N(BF185)+N(BF187)+N(BF188)+N(BF195)+N(BF196)+N(BF197))&lt;&gt;0,(N(BF127)+(N(BF128)+N(BF132)+N(BF136)+N(BF137)+N(BF138)))/(N(BF181)+N(BF185)+N(BF187)+N(BF188)+N(BF195)+N(BF196)+N(BF197)),""),"")</f>
        <v>2.57363236781985</v>
      </c>
      <c r="BG324" s="82" t="n"/>
      <c r="BH324" s="82" t="n"/>
      <c r="BI324" s="82" t="n"/>
      <c r="BJ324" s="82" t="n"/>
      <c r="BL324" s="82" t="n"/>
      <c r="BM324" s="82" t="n"/>
      <c r="BN324" s="82" t="n"/>
      <c r="BO324" s="82" t="n"/>
      <c r="BQ324" s="82" t="n"/>
      <c r="BR324" s="82" t="n"/>
      <c r="BS324" s="82" t="n"/>
      <c r="BT324" s="82" t="n"/>
      <c r="BV324" s="82" t="n"/>
      <c r="BW324" s="82" t="n"/>
      <c r="BX324" s="82" t="n"/>
      <c r="BY324" s="82" t="n"/>
      <c r="CA324" s="82" t="n"/>
      <c r="CB324" s="82" t="n"/>
      <c r="CC324" s="82" t="n"/>
      <c r="CD324" s="82" t="n"/>
      <c r="CF324" s="82" t="n"/>
      <c r="CG324" s="82" t="n"/>
      <c r="CH324" s="82" t="n"/>
      <c r="CI324" s="82" t="n"/>
      <c r="CK324" s="82" t="n"/>
      <c r="CL324" s="82" t="n"/>
      <c r="CM324" s="82" t="n"/>
      <c r="CN324" s="82" t="n"/>
      <c r="CP324" s="82" t="n"/>
      <c r="CQ324" s="82" t="n"/>
      <c r="CR324" s="82" t="n"/>
      <c r="CS324" s="82" t="n"/>
      <c r="CU324" s="82" t="n"/>
      <c r="CV324" s="82" t="n"/>
      <c r="CW324" s="82" t="n"/>
      <c r="CX324" s="82" t="n"/>
    </row>
    <row r="325" customFormat="1" s="77">
      <c r="A325" s="76" t="n"/>
      <c r="B325" s="76" t="n"/>
      <c r="C325" s="77" t="inlineStr">
        <is>
          <t>CASH RATIO</t>
        </is>
      </c>
      <c r="D325" s="82" t="str">
        <f>IFERROR(SUM(D127)/SUM(D181,D185,D187,D188),"")</f>
        <v/>
      </c>
      <c r="E325" s="82" t="str">
        <f>IFERROR(SUM(E127)/SUM(E181,E185,E187,E188),"")</f>
        <v/>
      </c>
      <c r="F325" s="82" t="str">
        <f>IFERROR(SUM(F127)/SUM(F181,F185,F187,F188),"")</f>
        <v/>
      </c>
      <c r="G325" s="82" t="str">
        <f>IFERROR(SUM(G127)/SUM(G181,G185,G187,G188),"")</f>
        <v/>
      </c>
      <c r="H325" s="262" t="str">
        <f>IFERROR(IF((N(H181)+N(H185)+N(H187)+N(H188)+N(H195)+N(H196)+N(H197))&lt;&gt;0,N(H127)/(N(H181)+N(H185)+N(H187)+N(H188)+N(H195)+N(H196)+N(H197)),""),"")</f>
        <v/>
      </c>
      <c r="I325" s="262">
        <f>IFERROR(IF((N(I181)+N(I185)+N(I187)+N(I188)+N(I195)+N(I196)+N(I197))&lt;&gt;0,N(I127)/(N(I181)+N(I185)+N(I187)+N(I188)+N(I195)+N(I196)+N(I197)),""),"")</f>
        <v>1.29761623790418</v>
      </c>
      <c r="J325" s="262">
        <f>IFERROR(IF((N(J181)+N(J185)+N(J187)+N(J188)+N(J195)+N(J196)+N(J197))&lt;&gt;0,N(J127)/(N(J181)+N(J185)+N(J187)+N(J188)+N(J195)+N(J196)+N(J197)),""),"")</f>
        <v>1.28603009341796</v>
      </c>
      <c r="K325" s="262">
        <f>IFERROR(IF((N(K181)+N(K185)+N(K187)+N(K188)+N(K195)+N(K196)+N(K197))&lt;&gt;0,N(K127)/(N(K181)+N(K185)+N(K187)+N(K188)+N(K195)+N(K196)+N(K197)),""),"")</f>
        <v>1.04752525573416</v>
      </c>
      <c r="L325" s="262">
        <f>IFERROR(IF((N(L181)+N(L185)+N(L187)+N(L188)+N(L195)+N(L196)+N(L197))&lt;&gt;0,N(L127)/(N(L181)+N(L185)+N(L187)+N(L188)+N(L195)+N(L196)+N(L197)),""),"")</f>
        <v>0.792761740629039</v>
      </c>
      <c r="M325" s="262">
        <f>IFERROR(IF((N(M181)+N(M185)+N(M187)+N(M188)+N(M195)+N(M196)+N(M197))&lt;&gt;0,N(M127)/(N(M181)+N(M185)+N(M187)+N(M188)+N(M195)+N(M196)+N(M197)),""),"")</f>
        <v>0.792761740629039</v>
      </c>
      <c r="N325" s="262">
        <f>IFERROR(IF((N(N181)+N(N185)+N(N187)+N(N188)+N(N195)+N(N196)+N(N197))&lt;&gt;0,N(N127)/(N(N181)+N(N185)+N(N187)+N(N188)+N(N195)+N(N196)+N(N197)),""),"")</f>
        <v>0.657630199978612</v>
      </c>
      <c r="O325" s="262">
        <f>IFERROR(IF((N(O181)+N(O185)+N(O187)+N(O188)+N(O195)+N(O196)+N(O197))&lt;&gt;0,N(O127)/(N(O181)+N(O185)+N(O187)+N(O188)+N(O195)+N(O196)+N(O197)),""),"")</f>
        <v>0.691663794376877</v>
      </c>
      <c r="P325" s="262">
        <f>IFERROR(IF((N(P181)+N(P185)+N(P187)+N(P188)+N(P195)+N(P196)+N(P197))&lt;&gt;0,N(P127)/(N(P181)+N(P185)+N(P187)+N(P188)+N(P195)+N(P196)+N(P197)),""),"")</f>
        <v>0.752361770488659</v>
      </c>
      <c r="Q325" s="262">
        <f>IFERROR(IF((N(Q181)+N(Q185)+N(Q187)+N(Q188)+N(Q195)+N(Q196)+N(Q197))&lt;&gt;0,N(Q127)/(N(Q181)+N(Q185)+N(Q187)+N(Q188)+N(Q195)+N(Q196)+N(Q197)),""),"")</f>
        <v>0.688988787268124</v>
      </c>
      <c r="R325" s="262">
        <f>IFERROR(IF((N(R181)+N(R185)+N(R187)+N(R188)+N(R195)+N(R196)+N(R197))&lt;&gt;0,N(R127)/(N(R181)+N(R185)+N(R187)+N(R188)+N(R195)+N(R196)+N(R197)),""),"")</f>
        <v>0.688988787268124</v>
      </c>
      <c r="S325" s="262">
        <f>IFERROR(IF((N(S181)+N(S185)+N(S187)+N(S188)+N(S195)+N(S196)+N(S197))&lt;&gt;0,N(S127)/(N(S181)+N(S185)+N(S187)+N(S188)+N(S195)+N(S196)+N(S197)),""),"")</f>
        <v>0.724825888883071</v>
      </c>
      <c r="T325" s="262">
        <f>IFERROR(IF((N(T181)+N(T185)+N(T187)+N(T188)+N(T195)+N(T196)+N(T197))&lt;&gt;0,N(T127)/(N(T181)+N(T185)+N(T187)+N(T188)+N(T195)+N(T196)+N(T197)),""),"")</f>
        <v>0.734338200659444</v>
      </c>
      <c r="U325" s="262">
        <f>IFERROR(IF((N(U181)+N(U185)+N(U187)+N(U188)+N(U195)+N(U196)+N(U197))&lt;&gt;0,N(U127)/(N(U181)+N(U185)+N(U187)+N(U188)+N(U195)+N(U196)+N(U197)),""),"")</f>
        <v>0.70508269114209</v>
      </c>
      <c r="V325" s="262">
        <f>IFERROR(IF((N(V181)+N(V185)+N(V187)+N(V188)+N(V195)+N(V196)+N(V197))&lt;&gt;0,N(V127)/(N(V181)+N(V185)+N(V187)+N(V188)+N(V195)+N(V196)+N(V197)),""),"")</f>
        <v>0.600468321993461</v>
      </c>
      <c r="W325" s="262">
        <f>IFERROR(IF((N(W181)+N(W185)+N(W187)+N(W188)+N(W195)+N(W196)+N(W197))&lt;&gt;0,N(W127)/(N(W181)+N(W185)+N(W187)+N(W188)+N(W195)+N(W196)+N(W197)),""),"")</f>
        <v>0.600468321993461</v>
      </c>
      <c r="X325" s="262">
        <f>IFERROR(IF((N(X181)+N(X185)+N(X187)+N(X188)+N(X195)+N(X196)+N(X197))&lt;&gt;0,N(X127)/(N(X181)+N(X185)+N(X187)+N(X188)+N(X195)+N(X196)+N(X197)),""),"")</f>
        <v>0.554237938830354</v>
      </c>
      <c r="Y325" s="262">
        <f>IFERROR(IF((N(Y181)+N(Y185)+N(Y187)+N(Y188)+N(Y195)+N(Y196)+N(Y197))&lt;&gt;0,N(Y127)/(N(Y181)+N(Y185)+N(Y187)+N(Y188)+N(Y195)+N(Y196)+N(Y197)),""),"")</f>
        <v>0.572572085618256</v>
      </c>
      <c r="Z325" s="262">
        <f>IFERROR(IF((N(Z181)+N(Z185)+N(Z187)+N(Z188)+N(Z195)+N(Z196)+N(Z197))&lt;&gt;0,N(Z127)/(N(Z181)+N(Z185)+N(Z187)+N(Z188)+N(Z195)+N(Z196)+N(Z197)),""),"")</f>
        <v>0.451597088660105</v>
      </c>
      <c r="AA325" s="262">
        <f>IFERROR(IF((N(AA181)+N(AA185)+N(AA187)+N(AA188)+N(AA195)+N(AA196)+N(AA197))&lt;&gt;0,N(AA127)/(N(AA181)+N(AA185)+N(AA187)+N(AA188)+N(AA195)+N(AA196)+N(AA197)),""),"")</f>
        <v>0.425114296517823</v>
      </c>
      <c r="AB325" s="262">
        <f>IFERROR(IF((N(AB181)+N(AB185)+N(AB187)+N(AB188)+N(AB195)+N(AB196)+N(AB197))&lt;&gt;0,N(AB127)/(N(AB181)+N(AB185)+N(AB187)+N(AB188)+N(AB195)+N(AB196)+N(AB197)),""),"")</f>
        <v>0.425114296517823</v>
      </c>
      <c r="AC325" s="262">
        <f>IFERROR(IF((N(AC181)+N(AC185)+N(AC187)+N(AC188)+N(AC195)+N(AC196)+N(AC197))&lt;&gt;0,N(AC127)/(N(AC181)+N(AC185)+N(AC187)+N(AC188)+N(AC195)+N(AC196)+N(AC197)),""),"")</f>
        <v>0.386228234751983</v>
      </c>
      <c r="AD325" s="262">
        <f>IFERROR(IF((N(AD181)+N(AD185)+N(AD187)+N(AD188)+N(AD195)+N(AD196)+N(AD197))&lt;&gt;0,N(AD127)/(N(AD181)+N(AD185)+N(AD187)+N(AD188)+N(AD195)+N(AD196)+N(AD197)),""),"")</f>
        <v>0.496470793272722</v>
      </c>
      <c r="AE325" s="262">
        <f>IFERROR(IF((N(AE181)+N(AE185)+N(AE187)+N(AE188)+N(AE195)+N(AE196)+N(AE197))&lt;&gt;0,N(AE127)/(N(AE181)+N(AE185)+N(AE187)+N(AE188)+N(AE195)+N(AE196)+N(AE197)),""),"")</f>
        <v>0.48972837251769</v>
      </c>
      <c r="AF325" s="262">
        <f>IFERROR(IF((N(AF181)+N(AF185)+N(AF187)+N(AF188)+N(AF195)+N(AF196)+N(AF197))&lt;&gt;0,N(AF127)/(N(AF181)+N(AF185)+N(AF187)+N(AF188)+N(AF195)+N(AF196)+N(AF197)),""),"")</f>
        <v>0.468578323965577</v>
      </c>
      <c r="AG325" s="262">
        <f>IFERROR(IF((N(AG181)+N(AG185)+N(AG187)+N(AG188)+N(AG195)+N(AG196)+N(AG197))&lt;&gt;0,N(AG127)/(N(AG181)+N(AG185)+N(AG187)+N(AG188)+N(AG195)+N(AG196)+N(AG197)),""),"")</f>
        <v>0.468578323965577</v>
      </c>
      <c r="AH325" s="262">
        <f>IFERROR(IF((N(AH181)+N(AH185)+N(AH187)+N(AH188)+N(AH195)+N(AH196)+N(AH197))&lt;&gt;0,N(AH127)/(N(AH181)+N(AH185)+N(AH187)+N(AH188)+N(AH195)+N(AH196)+N(AH197)),""),"")</f>
        <v>0.426606135644518</v>
      </c>
      <c r="AI325" s="262">
        <f>IFERROR(IF((N(AI181)+N(AI185)+N(AI187)+N(AI188)+N(AI195)+N(AI196)+N(AI197))&lt;&gt;0,N(AI127)/(N(AI181)+N(AI185)+N(AI187)+N(AI188)+N(AI195)+N(AI196)+N(AI197)),""),"")</f>
        <v>0.392760669908158</v>
      </c>
      <c r="AJ325" s="262">
        <f>IFERROR(IF((N(AJ181)+N(AJ185)+N(AJ187)+N(AJ188)+N(AJ195)+N(AJ196)+N(AJ197))&lt;&gt;0,N(AJ127)/(N(AJ181)+N(AJ185)+N(AJ187)+N(AJ188)+N(AJ195)+N(AJ196)+N(AJ197)),""),"")</f>
        <v>0.593120824278689</v>
      </c>
      <c r="AK325" s="262">
        <f>IFERROR(IF((N(AK181)+N(AK185)+N(AK187)+N(AK188)+N(AK195)+N(AK196)+N(AK197))&lt;&gt;0,N(AK127)/(N(AK181)+N(AK185)+N(AK187)+N(AK188)+N(AK195)+N(AK196)+N(AK197)),""),"")</f>
        <v>0.793745832940079</v>
      </c>
      <c r="AL325" s="262">
        <f>IFERROR(IF((N(AL181)+N(AL185)+N(AL187)+N(AL188)+N(AL195)+N(AL196)+N(AL197))&lt;&gt;0,N(AL127)/(N(AL181)+N(AL185)+N(AL187)+N(AL188)+N(AL195)+N(AL196)+N(AL197)),""),"")</f>
        <v>0.793745832940079</v>
      </c>
      <c r="AM325" s="262">
        <f>IFERROR(IF((N(AM181)+N(AM185)+N(AM187)+N(AM188)+N(AM195)+N(AM196)+N(AM197))&lt;&gt;0,N(AM127)/(N(AM181)+N(AM185)+N(AM187)+N(AM188)+N(AM195)+N(AM196)+N(AM197)),""),"")</f>
        <v>0.982353544853995</v>
      </c>
      <c r="AN325" s="262">
        <f>IFERROR(IF((N(AN181)+N(AN185)+N(AN187)+N(AN188)+N(AN195)+N(AN196)+N(AN197))&lt;&gt;0,N(AN127)/(N(AN181)+N(AN185)+N(AN187)+N(AN188)+N(AN195)+N(AN196)+N(AN197)),""),"")</f>
        <v>1.16528282769238</v>
      </c>
      <c r="AO325" s="262">
        <f>IFERROR(IF((N(AO181)+N(AO185)+N(AO187)+N(AO188)+N(AO195)+N(AO196)+N(AO197))&lt;&gt;0,N(AO127)/(N(AO181)+N(AO185)+N(AO187)+N(AO188)+N(AO195)+N(AO196)+N(AO197)),""),"")</f>
        <v>1.33870888698108</v>
      </c>
      <c r="AP325" s="262">
        <f>IFERROR(IF((N(AP181)+N(AP185)+N(AP187)+N(AP188)+N(AP195)+N(AP196)+N(AP197))&lt;&gt;0,N(AP127)/(N(AP181)+N(AP185)+N(AP187)+N(AP188)+N(AP195)+N(AP196)+N(AP197)),""),"")</f>
        <v>1.49880026154517</v>
      </c>
      <c r="AQ325" s="262">
        <f>IFERROR(IF((N(AQ181)+N(AQ185)+N(AQ187)+N(AQ188)+N(AQ195)+N(AQ196)+N(AQ197))&lt;&gt;0,N(AQ127)/(N(AQ181)+N(AQ185)+N(AQ187)+N(AQ188)+N(AQ195)+N(AQ196)+N(AQ197)),""),"")</f>
        <v>1.49880026154517</v>
      </c>
      <c r="AR325" s="262">
        <f>IFERROR(IF((N(AR181)+N(AR185)+N(AR187)+N(AR188)+N(AR195)+N(AR196)+N(AR197))&lt;&gt;0,N(AR127)/(N(AR181)+N(AR185)+N(AR187)+N(AR188)+N(AR195)+N(AR196)+N(AR197)),""),"")</f>
        <v>1.64341272429232</v>
      </c>
      <c r="AS325" s="262">
        <f>IFERROR(IF((N(AS181)+N(AS185)+N(AS187)+N(AS188)+N(AS195)+N(AS196)+N(AS197))&lt;&gt;0,N(AS127)/(N(AS181)+N(AS185)+N(AS187)+N(AS188)+N(AS195)+N(AS196)+N(AS197)),""),"")</f>
        <v>1.77500035884436</v>
      </c>
      <c r="AT325" s="262">
        <f>IFERROR(IF((N(AT181)+N(AT185)+N(AT187)+N(AT188)+N(AT195)+N(AT196)+N(AT197))&lt;&gt;0,N(AT127)/(N(AT181)+N(AT185)+N(AT187)+N(AT188)+N(AT195)+N(AT196)+N(AT197)),""),"")</f>
        <v>1.89443043991415</v>
      </c>
      <c r="AU325" s="262">
        <f>IFERROR(IF((N(AU181)+N(AU185)+N(AU187)+N(AU188)+N(AU195)+N(AU196)+N(AU197))&lt;&gt;0,N(AU127)/(N(AU181)+N(AU185)+N(AU187)+N(AU188)+N(AU195)+N(AU196)+N(AU197)),""),"")</f>
        <v>1.99785670849585</v>
      </c>
      <c r="AV325" s="262">
        <f>IFERROR(IF((N(AV181)+N(AV185)+N(AV187)+N(AV188)+N(AV195)+N(AV196)+N(AV197))&lt;&gt;0,N(AV127)/(N(AV181)+N(AV185)+N(AV187)+N(AV188)+N(AV195)+N(AV196)+N(AV197)),""),"")</f>
        <v>1.99785670849585</v>
      </c>
      <c r="AW325" s="262">
        <f>IFERROR(IF((N(AW181)+N(AW185)+N(AW187)+N(AW188)+N(AW195)+N(AW196)+N(AW197))&lt;&gt;0,N(AW127)/(N(AW181)+N(AW185)+N(AW187)+N(AW188)+N(AW195)+N(AW196)+N(AW197)),""),"")</f>
        <v>2.08460699232326</v>
      </c>
      <c r="AX325" s="262">
        <f>IFERROR(IF((N(AX181)+N(AX185)+N(AX187)+N(AX188)+N(AX195)+N(AX196)+N(AX197))&lt;&gt;0,N(AX127)/(N(AX181)+N(AX185)+N(AX187)+N(AX188)+N(AX195)+N(AX196)+N(AX197)),""),"")</f>
        <v>2.15921164263002</v>
      </c>
      <c r="AY325" s="262">
        <f>IFERROR(IF((N(AY181)+N(AY185)+N(AY187)+N(AY188)+N(AY195)+N(AY196)+N(AY197))&lt;&gt;0,N(AY127)/(N(AY181)+N(AY185)+N(AY187)+N(AY188)+N(AY195)+N(AY196)+N(AY197)),""),"")</f>
        <v>2.22069402927637</v>
      </c>
      <c r="AZ325" s="262">
        <f>IFERROR(IF((N(AZ181)+N(AZ185)+N(AZ187)+N(AZ188)+N(AZ195)+N(AZ196)+N(AZ197))&lt;&gt;0,N(AZ127)/(N(AZ181)+N(AZ185)+N(AZ187)+N(AZ188)+N(AZ195)+N(AZ196)+N(AZ197)),""),"")</f>
        <v>2.26757599747744</v>
      </c>
      <c r="BA325" s="262">
        <f>IFERROR(IF((N(BA181)+N(BA185)+N(BA187)+N(BA188)+N(BA195)+N(BA196)+N(BA197))&lt;&gt;0,N(BA127)/(N(BA181)+N(BA185)+N(BA187)+N(BA188)+N(BA195)+N(BA196)+N(BA197)),""),"")</f>
        <v>2.26757599747744</v>
      </c>
      <c r="BB325" s="262">
        <f>IFERROR(IF((N(BB181)+N(BB185)+N(BB187)+N(BB188)+N(BB195)+N(BB196)+N(BB197))&lt;&gt;0,N(BB127)/(N(BB181)+N(BB185)+N(BB187)+N(BB188)+N(BB195)+N(BB196)+N(BB197)),""),"")</f>
        <v>2.30153956175114</v>
      </c>
      <c r="BC325" s="262">
        <f>IFERROR(IF((N(BC181)+N(BC185)+N(BC187)+N(BC188)+N(BC195)+N(BC196)+N(BC197))&lt;&gt;0,N(BC127)/(N(BC181)+N(BC185)+N(BC187)+N(BC188)+N(BC195)+N(BC196)+N(BC197)),""),"")</f>
        <v>2.32541332929605</v>
      </c>
      <c r="BD325" s="262">
        <f>IFERROR(IF((N(BD181)+N(BD185)+N(BD187)+N(BD188)+N(BD195)+N(BD196)+N(BD197))&lt;&gt;0,N(BD127)/(N(BD181)+N(BD185)+N(BD187)+N(BD188)+N(BD195)+N(BD196)+N(BD197)),""),"")</f>
        <v>2.33931427238026</v>
      </c>
      <c r="BE325" s="262">
        <f>IFERROR(IF((N(BE181)+N(BE185)+N(BE187)+N(BE188)+N(BE195)+N(BE196)+N(BE197))&lt;&gt;0,N(BE127)/(N(BE181)+N(BE185)+N(BE187)+N(BE188)+N(BE195)+N(BE196)+N(BE197)),""),"")</f>
        <v>2.34255303879099</v>
      </c>
      <c r="BF325" s="262">
        <f>IFERROR(IF((N(BF181)+N(BF185)+N(BF187)+N(BF188)+N(BF195)+N(BF196)+N(BF197))&lt;&gt;0,N(BF127)/(N(BF181)+N(BF185)+N(BF187)+N(BF188)+N(BF195)+N(BF196)+N(BF197)),""),"")</f>
        <v>2.34255303879099</v>
      </c>
      <c r="BG325" s="82" t="n"/>
      <c r="BH325" s="82" t="n"/>
      <c r="BI325" s="82" t="n"/>
      <c r="BJ325" s="82" t="n"/>
      <c r="BL325" s="82" t="n"/>
      <c r="BM325" s="82" t="n"/>
      <c r="BN325" s="82" t="n"/>
      <c r="BO325" s="82" t="n"/>
      <c r="BQ325" s="82" t="n"/>
      <c r="BR325" s="82" t="n"/>
      <c r="BS325" s="82" t="n"/>
      <c r="BT325" s="82" t="n"/>
      <c r="BV325" s="82" t="n"/>
      <c r="BW325" s="82" t="n"/>
      <c r="BX325" s="82" t="n"/>
      <c r="BY325" s="82" t="n"/>
      <c r="CA325" s="82" t="n"/>
      <c r="CB325" s="82" t="n"/>
      <c r="CC325" s="82" t="n"/>
      <c r="CD325" s="82" t="n"/>
      <c r="CF325" s="82" t="n"/>
      <c r="CG325" s="82" t="n"/>
      <c r="CH325" s="82" t="n"/>
      <c r="CI325" s="82" t="n"/>
      <c r="CK325" s="82" t="n"/>
      <c r="CL325" s="82" t="n"/>
      <c r="CM325" s="82" t="n"/>
      <c r="CN325" s="82" t="n"/>
      <c r="CP325" s="82" t="n"/>
      <c r="CQ325" s="82" t="n"/>
      <c r="CR325" s="82" t="n"/>
      <c r="CS325" s="82" t="n"/>
      <c r="CU325" s="82" t="n"/>
      <c r="CV325" s="82" t="n"/>
      <c r="CW325" s="82" t="n"/>
      <c r="CX325" s="82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OPERATING EFFICIENCY</t>
        </is>
      </c>
    </row>
    <row r="328" customFormat="1" s="84">
      <c r="A328" s="81" t="n"/>
      <c r="B328" s="81" t="n"/>
      <c r="C328" s="84" t="inlineStr">
        <is>
          <t>RETURN ON CAPITAL (ROIC) - LTM</t>
        </is>
      </c>
      <c r="D328" t="str">
        <f>IFERROR(D330/D333,"")</f>
        <v/>
      </c>
      <c r="E328" t="str">
        <f>IFERROR(E330/E333,"")</f>
        <v/>
      </c>
      <c r="F328" t="str">
        <f>IFERROR(F330/F333,"")</f>
        <v/>
      </c>
      <c r="G328" t="str">
        <f>IFERROR(G330/G333,"")</f>
        <v/>
      </c>
      <c r="H328" s="257" t="str">
        <f>IFERROR(IF(AND(COUNT(H330)=1,N(H333)&lt;&gt;0),(H330)/H333,""),"")</f>
        <v/>
      </c>
      <c r="I328" s="257" t="str">
        <f>""</f>
        <v/>
      </c>
      <c r="J328" s="257" t="str">
        <f>""</f>
        <v/>
      </c>
      <c r="K328" s="257" t="str">
        <f>""</f>
        <v/>
      </c>
      <c r="L328" s="257">
        <f>IFERROR(IF(AND(COUNT(I330,J330,K330,L330)=4,N(L333)&lt;&gt;0),(I330+J330+K330+L330)/L333,""),"")</f>
        <v>0.264698716323447</v>
      </c>
      <c r="M328" s="257">
        <f>IFERROR(IF(AND(COUNT(I330,J330,K330,L330)=4,N(M333)&lt;&gt;0),(I330+J330+K330+L330)/M333,""),"")</f>
        <v>0.264698716323447</v>
      </c>
      <c r="N328" s="257">
        <f>IFERROR(IF(AND(COUNT(J330,K330,L330,N330)=4,N(N333)&lt;&gt;0),(J330+K330+L330+N330)/N333,""),"")</f>
        <v>0.269684720921836</v>
      </c>
      <c r="O328" s="257">
        <f>IFERROR(IF(AND(COUNT(K330,L330,N330,O330)=4,N(O333)&lt;&gt;0),(K330+L330+N330+O330)/O333,""),"")</f>
        <v>0.294805086216751</v>
      </c>
      <c r="P328" s="257">
        <f>IFERROR(IF(AND(COUNT(L330,N330,O330,P330)=4,N(P333)&lt;&gt;0),(L330+N330+O330+P330)/P333,""),"")</f>
        <v>0.325740892562169</v>
      </c>
      <c r="Q328" s="257">
        <f>IFERROR(IF(AND(COUNT(N330,O330,P330,Q330)=4,N(Q333)&lt;&gt;0),(N330+O330+P330+Q330)/Q333,""),"")</f>
        <v>0.321932070302447</v>
      </c>
      <c r="R328" s="257">
        <f>IFERROR(IF(AND(COUNT(N330,O330,P330,Q330)=4,N(R333)&lt;&gt;0),(N330+O330+P330+Q330)/R333,""),"")</f>
        <v>0.321932070302447</v>
      </c>
      <c r="S328" s="257">
        <f>IFERROR(IF(AND(COUNT(O330,P330,Q330,S330)=4,N(S333)&lt;&gt;0),(O330+P330+Q330+S330)/S333,""),"")</f>
        <v>0.322696723399609</v>
      </c>
      <c r="T328" s="257">
        <f>IFERROR(IF(AND(COUNT(P330,Q330,S330,T330)=4,N(T333)&lt;&gt;0),(P330+Q330+S330+T330)/T333,""),"")</f>
        <v>0.339591416575852</v>
      </c>
      <c r="U328" s="257">
        <f>IFERROR(IF(AND(COUNT(Q330,S330,T330,U330)=4,N(U333)&lt;&gt;0),(Q330+S330+T330+U330)/U333,""),"")</f>
        <v>0.359085147528493</v>
      </c>
      <c r="V328" s="257">
        <f>IFERROR(IF(AND(COUNT(S330,T330,U330,V330)=4,N(V333)&lt;&gt;0),(S330+T330+U330+V330)/V333,""),"")</f>
        <v>0.341320065589356</v>
      </c>
      <c r="W328" s="257">
        <f>IFERROR(IF(AND(COUNT(S330,T330,U330,V330)=4,N(W333)&lt;&gt;0),(S330+T330+U330+V330)/W333,""),"")</f>
        <v>0.341320065589356</v>
      </c>
      <c r="X328" s="257">
        <f>IFERROR(IF(AND(COUNT(T330,U330,V330,X330)=4,N(X333)&lt;&gt;0),(T330+U330+V330+X330)/X333,""),"")</f>
        <v>0.33836093880497</v>
      </c>
      <c r="Y328" s="257">
        <f>IFERROR(IF(AND(COUNT(U330,V330,X330,Y330)=4,N(Y333)&lt;&gt;0),(U330+V330+X330+Y330)/Y333,""),"")</f>
        <v>0.357834364964093</v>
      </c>
      <c r="Z328" s="257">
        <f>IFERROR(IF(AND(COUNT(V330,X330,Y330,Z330)=4,N(Z333)&lt;&gt;0),(V330+X330+Y330+Z330)/Z333,""),"")</f>
        <v>0.365421672619411</v>
      </c>
      <c r="AA328" s="257">
        <f>IFERROR(IF(AND(COUNT(X330,Y330,Z330,AA330)=4,N(AA333)&lt;&gt;0),(X330+Y330+Z330+AA330)/AA333,""),"")</f>
        <v>0.382851403716932</v>
      </c>
      <c r="AB328" s="257">
        <f>IFERROR(IF(AND(COUNT(X330,Y330,Z330,AA330)=4,N(AB333)&lt;&gt;0),(X330+Y330+Z330+AA330)/AB333,""),"")</f>
        <v>0.382851403716932</v>
      </c>
      <c r="AC328" s="257">
        <f>IFERROR(IF(AND(COUNT(Y330,Z330,AA330,AC330)=4,N(AC333)&lt;&gt;0),(Y330+Z330+AA330+AC330)/AC333,""),"")</f>
        <v>0.380153650500645</v>
      </c>
      <c r="AD328" s="257">
        <f>IFERROR(IF(AND(COUNT(Z330,AA330,AC330,AD330)=4,N(AD333)&lt;&gt;0),(Z330+AA330+AC330+AD330)/AD333,""),"")</f>
        <v>0.38430357122088</v>
      </c>
      <c r="AE328" s="257">
        <f>IFERROR(IF(AND(COUNT(AA330,AC330,AD330,AE330)=4,N(AE333)&lt;&gt;0),(AA330+AC330+AD330+AE330)/AE333,""),"")</f>
        <v>0.386521663201379</v>
      </c>
      <c r="AF328" s="257">
        <f>IFERROR(IF(AND(COUNT(AB330,AD330,AE330,AF330)=4,N(AF333)&lt;&gt;0),(AB330+AD330+AE330+AF330)/AF333,""),"")</f>
        <v>0.710566636822537</v>
      </c>
      <c r="AG328" s="257">
        <f>IFERROR(IF(AND(COUNT(AC330,AD330,AE330,AF330)=4,N(AG333)&lt;&gt;0),(AC330+AD330+AE330+AF330)/AG333,""),"")</f>
        <v>0.4085695140286</v>
      </c>
      <c r="AH328" s="257">
        <f>IFERROR(IF(AND(COUNT(AD330,AF330,AG330,AH330)=4,N(AH333)&lt;&gt;0),(AD330+AF330+AG330+AH330)/AH333,""),"")</f>
        <v>0.709266634222781</v>
      </c>
      <c r="AI328" s="257">
        <f>IFERROR(IF(AND(COUNT(AE330,AG330,AH330,AI330)=4,N(AI333)&lt;&gt;0),(AE330+AG330+AH330+AI330)/AI333,""),"")</f>
        <v>0.720068734751202</v>
      </c>
      <c r="AJ328" s="257">
        <f>IFERROR(IF(AND(COUNT(AF330,AH330,AI330,AJ330)=4,N(AJ333)&lt;&gt;0),(AF330+AH330+AI330+AJ330)/AJ333,""),"")</f>
        <v>0.459638272496526</v>
      </c>
      <c r="AK328" s="257">
        <f>IFERROR(IF(AND(COUNT(AH330,AI330,AJ330,AK330)=4,N(AK333)&lt;&gt;0),(AH330+AI330+AJ330+AK330)/AK333,""),"")</f>
        <v>0.475249084200021</v>
      </c>
      <c r="AL328" s="257">
        <f>IFERROR(IF(AND(COUNT(AH330,AI330,AJ330,AK330)=4,N(AL333)&lt;&gt;0),(AH330+AI330+AJ330+AK330)/AL333,""),"")</f>
        <v>0.475249084200021</v>
      </c>
      <c r="AM328" s="257">
        <f>IFERROR(IF(AND(COUNT(AI330,AJ330,AK330,AM330)=4,N(AM333)&lt;&gt;0),(AI330+AJ330+AK330+AM330)/AM333,""),"")</f>
        <v>0.491233691339065</v>
      </c>
      <c r="AN328" s="257">
        <f>IFERROR(IF(AND(COUNT(AJ330,AK330,AM330,AN330)=4,N(AN333)&lt;&gt;0),(AJ330+AK330+AM330+AN330)/AN333,""),"")</f>
        <v>0.523847253189581</v>
      </c>
      <c r="AO328" s="257">
        <f>IFERROR(IF(AND(COUNT(AK330,AM330,AN330,AO330)=4,N(AO333)&lt;&gt;0),(AK330+AM330+AN330+AO330)/AO333,""),"")</f>
        <v>0.556881989201945</v>
      </c>
      <c r="AP328" s="257">
        <f>IFERROR(IF(AND(COUNT(AM330,AN330,AO330,AP330)=4,N(AP333)&lt;&gt;0),(AM330+AN330+AO330+AP330)/AP333,""),"")</f>
        <v>0.596128158391748</v>
      </c>
      <c r="AQ328" s="257">
        <f>IFERROR(IF(AND(COUNT(AM330,AN330,AO330,AP330)=4,N(AQ333)&lt;&gt;0),(AM330+AN330+AO330+AP330)/AQ333,""),"")</f>
        <v>0.596128158391748</v>
      </c>
      <c r="AR328" s="257">
        <f>IFERROR(IF(AND(COUNT(AN330,AO330,AP330,AR330)=4,N(AR333)&lt;&gt;0),(AN330+AO330+AP330+AR330)/AR333,""),"")</f>
        <v>0.639602937169838</v>
      </c>
      <c r="AS328" s="257">
        <f>IFERROR(IF(AND(COUNT(AO330,AP330,AR330,AS330)=4,N(AS333)&lt;&gt;0),(AO330+AP330+AR330+AS330)/AS333,""),"")</f>
        <v>0.69194347348296</v>
      </c>
      <c r="AT328" s="257">
        <f>IFERROR(IF(AND(COUNT(AP330,AR330,AS330,AT330)=4,N(AT333)&lt;&gt;0),(AP330+AR330+AS330+AT330)/AT333,""),"")</f>
        <v>0.756502711131824</v>
      </c>
      <c r="AU328" s="257">
        <f>IFERROR(IF(AND(COUNT(AR330,AS330,AT330,AU330)=4,N(AU333)&lt;&gt;0),(AR330+AS330+AT330+AU330)/AU333,""),"")</f>
        <v>0.839500975575396</v>
      </c>
      <c r="AV328" s="257">
        <f>IFERROR(IF(AND(COUNT(AR330,AS330,AT330,AU330)=4,N(AV333)&lt;&gt;0),(AR330+AS330+AT330+AU330)/AV333,""),"")</f>
        <v>0.839500975575396</v>
      </c>
      <c r="AW328" s="257">
        <f>IFERROR(IF(AND(COUNT(AS330,AT330,AU330,AW330)=4,N(AW333)&lt;&gt;0),(AS330+AT330+AU330+AW330)/AW333,""),"")</f>
        <v>0.939615759241222</v>
      </c>
      <c r="AX328" s="257">
        <f>IFERROR(IF(AND(COUNT(AT330,AU330,AW330,AX330)=4,N(AX333)&lt;&gt;0),(AT330+AU330+AW330+AX330)/AX333,""),"")</f>
        <v>1.07729474759545</v>
      </c>
      <c r="AY328" s="257">
        <f>IFERROR(IF(AND(COUNT(AU330,AW330,AX330,AY330)=4,N(AY333)&lt;&gt;0),(AU330+AW330+AX330+AY330)/AY333,""),"")</f>
        <v>1.27105544392011</v>
      </c>
      <c r="AZ328" s="257">
        <f>IFERROR(IF(AND(COUNT(AW330,AX330,AY330,AZ330)=4,N(AZ333)&lt;&gt;0),(AW330+AX330+AY330+AZ330)/AZ333,""),"")</f>
        <v>1.57444882508829</v>
      </c>
      <c r="BA328" s="257">
        <f>IFERROR(IF(AND(COUNT(AW330,AX330,AY330,AZ330)=4,N(BA333)&lt;&gt;0),(AW330+AX330+AY330+AZ330)/BA333,""),"")</f>
        <v>1.57444882508829</v>
      </c>
      <c r="BB328" s="257">
        <f>IFERROR(IF(AND(COUNT(AX330,AY330,AZ330,BB330)=4,N(BB333)&lt;&gt;0),(AX330+AY330+AZ330+BB330)/BB333,""),"")</f>
        <v>2.06166487734806</v>
      </c>
      <c r="BC328" s="257">
        <f>IFERROR(IF(AND(COUNT(AY330,AZ330,BB330,BC330)=4,N(BC333)&lt;&gt;0),(AY330+AZ330+BB330+BC330)/BC333,""),"")</f>
        <v>3.08637306493323</v>
      </c>
      <c r="BD328" s="257">
        <f>IFERROR(IF(AND(COUNT(AZ330,BB330,BC330,BD330)=4,N(BD333)&lt;&gt;0),(AZ330+BB330+BC330+BD330)/BD333,""),"")</f>
        <v>6.45234435128564</v>
      </c>
      <c r="BE328" s="257">
        <f>IFERROR(IF(AND(COUNT(BB330,BC330,BD330,BE330)=4,N(BE333)&lt;&gt;0),(BB330+BC330+BD330+BE330)/BE333,""),"")</f>
        <v>-36.5764528286671</v>
      </c>
      <c r="BF328" s="257">
        <f>IFERROR(IF(AND(COUNT(BB330,BC330,BD330,BE330)=4,N(BF333)&lt;&gt;0),(BB330+BC330+BD330+BE330)/BF333,""),"")</f>
        <v>-36.5764528286671</v>
      </c>
      <c r="BG328" s="81" t="n"/>
      <c r="BH328" s="81" t="n"/>
      <c r="BI328" s="81" t="n"/>
      <c r="BJ328" s="81" t="n"/>
      <c r="BL328" s="81" t="n"/>
      <c r="BM328" s="81" t="n"/>
      <c r="BN328" s="81" t="n"/>
      <c r="BO328" s="81" t="n"/>
      <c r="BQ328" s="81" t="n"/>
      <c r="BR328" s="81" t="n"/>
      <c r="BS328" s="81" t="n"/>
      <c r="BT328" s="81" t="n"/>
      <c r="BV328" s="81" t="n"/>
      <c r="BW328" s="81" t="n"/>
      <c r="BX328" s="81" t="n"/>
      <c r="BY328" s="81" t="n"/>
      <c r="CA328" s="81" t="n"/>
      <c r="CB328" s="81" t="n"/>
      <c r="CC328" s="81" t="n"/>
      <c r="CD328" s="81" t="n"/>
      <c r="CF328" s="81" t="n"/>
      <c r="CG328" s="81" t="n"/>
      <c r="CH328" s="81" t="n"/>
      <c r="CI328" s="81" t="n"/>
      <c r="CK328" s="81" t="n"/>
      <c r="CL328" s="81" t="n"/>
      <c r="CM328" s="81" t="n"/>
      <c r="CN328" s="81" t="n"/>
      <c r="CP328" s="81" t="n"/>
      <c r="CQ328" s="81" t="n"/>
      <c r="CR328" s="81" t="n"/>
      <c r="CS328" s="81" t="n"/>
      <c r="CU328" s="81" t="n"/>
      <c r="CV328" s="81" t="n"/>
      <c r="CW328" s="81" t="n"/>
      <c r="CX328" s="81" t="n"/>
    </row>
    <row r="329" customFormat="1" s="84">
      <c r="A329" s="81" t="n"/>
      <c r="B329" s="81" t="n"/>
      <c r="C329" s="84" t="inlineStr">
        <is>
          <t>RETURN ON CAPITAL (ROIC) - EX GOODWILL - LTM</t>
        </is>
      </c>
      <c r="D329" t="str">
        <f>IFERROR(D330/D334,"")</f>
        <v/>
      </c>
      <c r="E329" t="str">
        <f>IFERROR(E330/E334,"")</f>
        <v/>
      </c>
      <c r="F329" t="str">
        <f>IFERROR(F330/F334,"")</f>
        <v/>
      </c>
      <c r="G329" t="str">
        <f>IFERROR(G330/G334,"")</f>
        <v/>
      </c>
      <c r="H329" s="257" t="str">
        <f>IFERROR(IF(AND(COUNT(H330)=1,N(H334)&lt;&gt;0),(H330)/H334,""),"")</f>
        <v/>
      </c>
      <c r="I329" s="257" t="str">
        <f>""</f>
        <v/>
      </c>
      <c r="J329" s="257" t="str">
        <f>""</f>
        <v/>
      </c>
      <c r="K329" s="257" t="str">
        <f>""</f>
        <v/>
      </c>
      <c r="L329" s="257">
        <f>IFERROR(IF(AND(COUNT(I330,J330,K330,L330)=4,N(L334)&lt;&gt;0),(I330+J330+K330+L330)/L334,""),"")</f>
        <v>0.401995055225433</v>
      </c>
      <c r="M329" s="257">
        <f>IFERROR(IF(AND(COUNT(I330,J330,K330,L330)=4,N(M334)&lt;&gt;0),(I330+J330+K330+L330)/M334,""),"")</f>
        <v>0.401995055225433</v>
      </c>
      <c r="N329" s="257">
        <f>IFERROR(IF(AND(COUNT(J330,K330,L330,N330)=4,N(N334)&lt;&gt;0),(J330+K330+L330+N330)/N334,""),"")</f>
        <v>0.419520577350709</v>
      </c>
      <c r="O329" s="257">
        <f>IFERROR(IF(AND(COUNT(K330,L330,N330,O330)=4,N(O334)&lt;&gt;0),(K330+L330+N330+O330)/O334,""),"")</f>
        <v>0.455699801749054</v>
      </c>
      <c r="P329" s="257">
        <f>IFERROR(IF(AND(COUNT(L330,N330,O330,P330)=4,N(P334)&lt;&gt;0),(L330+N330+O330+P330)/P334,""),"")</f>
        <v>0.519602881253014</v>
      </c>
      <c r="Q329" s="257">
        <f>IFERROR(IF(AND(COUNT(N330,O330,P330,Q330)=4,N(Q334)&lt;&gt;0),(N330+O330+P330+Q330)/Q334,""),"")</f>
        <v>0.506161929177584</v>
      </c>
      <c r="R329" s="257">
        <f>IFERROR(IF(AND(COUNT(N330,O330,P330,Q330)=4,N(R334)&lt;&gt;0),(N330+O330+P330+Q330)/R334,""),"")</f>
        <v>0.506161929177584</v>
      </c>
      <c r="S329" s="257">
        <f>IFERROR(IF(AND(COUNT(O330,P330,Q330,S330)=4,N(S334)&lt;&gt;0),(O330+P330+Q330+S330)/S334,""),"")</f>
        <v>0.501026786848945</v>
      </c>
      <c r="T329" s="257">
        <f>IFERROR(IF(AND(COUNT(P330,Q330,S330,T330)=4,N(T334)&lt;&gt;0),(P330+Q330+S330+T330)/T334,""),"")</f>
        <v>0.536093448465658</v>
      </c>
      <c r="U329" s="257">
        <f>IFERROR(IF(AND(COUNT(Q330,S330,T330,U330)=4,N(U334)&lt;&gt;0),(Q330+S330+T330+U330)/U334,""),"")</f>
        <v>0.574306628198233</v>
      </c>
      <c r="V329" s="257">
        <f>IFERROR(IF(AND(COUNT(S330,T330,U330,V330)=4,N(V334)&lt;&gt;0),(S330+T330+U330+V330)/V334,""),"")</f>
        <v>0.523223582897565</v>
      </c>
      <c r="W329" s="257">
        <f>IFERROR(IF(AND(COUNT(S330,T330,U330,V330)=4,N(W334)&lt;&gt;0),(S330+T330+U330+V330)/W334,""),"")</f>
        <v>0.523223582897565</v>
      </c>
      <c r="X329" s="257">
        <f>IFERROR(IF(AND(COUNT(T330,U330,V330,X330)=4,N(X334)&lt;&gt;0),(T330+U330+V330+X330)/X334,""),"")</f>
        <v>0.52362690410652</v>
      </c>
      <c r="Y329" s="257">
        <f>IFERROR(IF(AND(COUNT(U330,V330,X330,Y330)=4,N(Y334)&lt;&gt;0),(U330+V330+X330+Y330)/Y334,""),"")</f>
        <v>0.557704089521471</v>
      </c>
      <c r="Z329" s="257">
        <f>IFERROR(IF(AND(COUNT(V330,X330,Y330,Z330)=4,N(Z334)&lt;&gt;0),(V330+X330+Y330+Z330)/Z334,""),"")</f>
        <v>0.566872627304906</v>
      </c>
      <c r="AA329" s="257">
        <f>IFERROR(IF(AND(COUNT(X330,Y330,Z330,AA330)=4,N(AA334)&lt;&gt;0),(X330+Y330+Z330+AA330)/AA334,""),"")</f>
        <v>0.615403117092688</v>
      </c>
      <c r="AB329" s="257">
        <f>IFERROR(IF(AND(COUNT(X330,Y330,Z330,AA330)=4,N(AB334)&lt;&gt;0),(X330+Y330+Z330+AA330)/AB334,""),"")</f>
        <v>0.615403117092688</v>
      </c>
      <c r="AC329" s="257">
        <f>IFERROR(IF(AND(COUNT(Y330,Z330,AA330,AC330)=4,N(AC334)&lt;&gt;0),(Y330+Z330+AA330+AC330)/AC334,""),"")</f>
        <v>0.60935209877652</v>
      </c>
      <c r="AD329" s="257">
        <f>IFERROR(IF(AND(COUNT(Z330,AA330,AC330,AD330)=4,N(AD334)&lt;&gt;0),(Z330+AA330+AC330+AD330)/AD334,""),"")</f>
        <v>0.618765900386787</v>
      </c>
      <c r="AE329" s="257">
        <f>IFERROR(IF(AND(COUNT(AA330,AC330,AD330,AE330)=4,N(AE334)&lt;&gt;0),(AA330+AC330+AD330+AE330)/AE334,""),"")</f>
        <v>0.629783365942474</v>
      </c>
      <c r="AF329" s="257">
        <f>IFERROR(IF(AND(COUNT(AB330,AD330,AE330,AF330)=4,N(AF334)&lt;&gt;0),(AB330+AD330+AE330+AF330)/AF334,""),"")</f>
        <v>1.1730140274495</v>
      </c>
      <c r="AG329" s="257">
        <f>IFERROR(IF(AND(COUNT(AC330,AD330,AE330,AF330)=4,N(AG334)&lt;&gt;0),(AC330+AD330+AE330+AF330)/AG334,""),"")</f>
        <v>0.674472662109333</v>
      </c>
      <c r="AH329" s="257">
        <f>IFERROR(IF(AND(COUNT(AD330,AF330,AG330,AH330)=4,N(AH334)&lt;&gt;0),(AD330+AF330+AG330+AH330)/AH334,""),"")</f>
        <v>1.16893126135317</v>
      </c>
      <c r="AI329" s="257">
        <f>IFERROR(IF(AND(COUNT(AE330,AG330,AH330,AI330)=4,N(AI334)&lt;&gt;0),(AE330+AG330+AH330+AI330)/AI334,""),"")</f>
        <v>1.20268697688032</v>
      </c>
      <c r="AJ329" s="257">
        <f>IFERROR(IF(AND(COUNT(AF330,AH330,AI330,AJ330)=4,N(AJ334)&lt;&gt;0),(AF330+AH330+AI330+AJ330)/AJ334,""),"")</f>
        <v>0.770676430131392</v>
      </c>
      <c r="AK329" s="257">
        <f>IFERROR(IF(AND(COUNT(AH330,AI330,AJ330,AK330)=4,N(AK334)&lt;&gt;0),(AH330+AI330+AJ330+AK330)/AK334,""),"")</f>
        <v>0.807019781898901</v>
      </c>
      <c r="AL329" s="257">
        <f>IFERROR(IF(AND(COUNT(AH330,AI330,AJ330,AK330)=4,N(AL334)&lt;&gt;0),(AH330+AI330+AJ330+AK330)/AL334,""),"")</f>
        <v>0.807019781898901</v>
      </c>
      <c r="AM329" s="257">
        <f>IFERROR(IF(AND(COUNT(AI330,AJ330,AK330,AM330)=4,N(AM334)&lt;&gt;0),(AI330+AJ330+AK330+AM330)/AM334,""),"")</f>
        <v>0.845614994723178</v>
      </c>
      <c r="AN329" s="257">
        <f>IFERROR(IF(AND(COUNT(AJ330,AK330,AM330,AN330)=4,N(AN334)&lt;&gt;0),(AJ330+AK330+AM330+AN330)/AN334,""),"")</f>
        <v>0.918659094491818</v>
      </c>
      <c r="AO329" s="257">
        <f>IFERROR(IF(AND(COUNT(AK330,AM330,AN330,AO330)=4,N(AO334)&lt;&gt;0),(AK330+AM330+AN330+AO330)/AO334,""),"")</f>
        <v>0.998787509911735</v>
      </c>
      <c r="AP329" s="257">
        <f>IFERROR(IF(AND(COUNT(AM330,AN330,AO330,AP330)=4,N(AP334)&lt;&gt;0),(AM330+AN330+AO330+AP330)/AP334,""),"")</f>
        <v>1.10167703996179</v>
      </c>
      <c r="AQ329" s="257">
        <f>IFERROR(IF(AND(COUNT(AM330,AN330,AO330,AP330)=4,N(AQ334)&lt;&gt;0),(AM330+AN330+AO330+AP330)/AQ334,""),"")</f>
        <v>1.10167703996179</v>
      </c>
      <c r="AR329" s="257">
        <f>IFERROR(IF(AND(COUNT(AN330,AO330,AP330,AR330)=4,N(AR334)&lt;&gt;0),(AN330+AO330+AP330+AR330)/AR334,""),"")</f>
        <v>1.2243940575471</v>
      </c>
      <c r="AS329" s="257">
        <f>IFERROR(IF(AND(COUNT(AO330,AP330,AR330,AS330)=4,N(AS334)&lt;&gt;0),(AO330+AP330+AR330+AS330)/AS334,""),"")</f>
        <v>1.38710451502905</v>
      </c>
      <c r="AT329" s="257">
        <f>IFERROR(IF(AND(COUNT(AP330,AR330,AS330,AT330)=4,N(AT334)&lt;&gt;0),(AP330+AR330+AS330+AT330)/AT334,""),"")</f>
        <v>1.61368888229843</v>
      </c>
      <c r="AU329" s="257">
        <f>IFERROR(IF(AND(COUNT(AR330,AS330,AT330,AU330)=4,N(AU334)&lt;&gt;0),(AR330+AS330+AT330+AU330)/AU334,""),"")</f>
        <v>1.96025519800527</v>
      </c>
      <c r="AV329" s="257">
        <f>IFERROR(IF(AND(COUNT(AR330,AS330,AT330,AU330)=4,N(AV334)&lt;&gt;0),(AR330+AS330+AT330+AU330)/AV334,""),"")</f>
        <v>1.96025519800527</v>
      </c>
      <c r="AW329" s="257">
        <f>IFERROR(IF(AND(COUNT(AS330,AT330,AU330,AW330)=4,N(AW334)&lt;&gt;0),(AS330+AT330+AU330+AW330)/AW334,""),"")</f>
        <v>2.48232978136038</v>
      </c>
      <c r="AX329" s="257">
        <f>IFERROR(IF(AND(COUNT(AT330,AU330,AW330,AX330)=4,N(AX334)&lt;&gt;0),(AT330+AU330+AW330+AX330)/AX334,""),"")</f>
        <v>3.49640297644268</v>
      </c>
      <c r="AY329" s="257">
        <f>IFERROR(IF(AND(COUNT(AU330,AW330,AX330,AY330)=4,N(AY334)&lt;&gt;0),(AU330+AW330+AX330+AY330)/AY334,""),"")</f>
        <v>6.11930743745319</v>
      </c>
      <c r="AZ329" s="257">
        <f>IFERROR(IF(AND(COUNT(AW330,AX330,AY330,AZ330)=4,N(AZ334)&lt;&gt;0),(AW330+AX330+AY330+AZ330)/AZ334,""),"")</f>
        <v>33.41307206241</v>
      </c>
      <c r="BA329" s="257">
        <f>IFERROR(IF(AND(COUNT(AW330,AX330,AY330,AZ330)=4,N(BA334)&lt;&gt;0),(AW330+AX330+AY330+AZ330)/BA334,""),"")</f>
        <v>33.41307206241</v>
      </c>
      <c r="BB329" s="257">
        <f>IFERROR(IF(AND(COUNT(AX330,AY330,AZ330,BB330)=4,N(BB334)&lt;&gt;0),(AX330+AY330+AZ330+BB330)/BB334,""),"")</f>
        <v>-9.67087520072643</v>
      </c>
      <c r="BC329" s="257">
        <f>IFERROR(IF(AND(COUNT(AY330,AZ330,BB330,BC330)=4,N(BC334)&lt;&gt;0),(AY330+AZ330+BB330+BC330)/BC334,""),"")</f>
        <v>-4.03181190417591</v>
      </c>
      <c r="BD329" s="257">
        <f>IFERROR(IF(AND(COUNT(AZ330,BB330,BC330,BD330)=4,N(BD334)&lt;&gt;0),(AZ330+BB330+BC330+BD330)/BD334,""),"")</f>
        <v>-2.49487024625576</v>
      </c>
      <c r="BE329" s="257">
        <f>IFERROR(IF(AND(COUNT(BB330,BC330,BD330,BE330)=4,N(BE334)&lt;&gt;0),(BB330+BC330+BD330+BE330)/BE334,""),"")</f>
        <v>-1.76190737749764</v>
      </c>
      <c r="BF329" s="257">
        <f>IFERROR(IF(AND(COUNT(BB330,BC330,BD330,BE330)=4,N(BF334)&lt;&gt;0),(BB330+BC330+BD330+BE330)/BF334,""),"")</f>
        <v>-1.76190737749764</v>
      </c>
      <c r="BG329" s="81" t="n"/>
      <c r="BH329" s="81" t="n"/>
      <c r="BI329" s="81" t="n"/>
      <c r="BJ329" s="81" t="n"/>
      <c r="BL329" s="81" t="n"/>
      <c r="BM329" s="81" t="n"/>
      <c r="BN329" s="81" t="n"/>
      <c r="BO329" s="81" t="n"/>
      <c r="BQ329" s="81" t="n"/>
      <c r="BR329" s="81" t="n"/>
      <c r="BS329" s="81" t="n"/>
      <c r="BT329" s="81" t="n"/>
      <c r="BV329" s="81" t="n"/>
      <c r="BW329" s="81" t="n"/>
      <c r="BX329" s="81" t="n"/>
      <c r="BY329" s="81" t="n"/>
      <c r="CA329" s="81" t="n"/>
      <c r="CB329" s="81" t="n"/>
      <c r="CC329" s="81" t="n"/>
      <c r="CD329" s="81" t="n"/>
      <c r="CF329" s="81" t="n"/>
      <c r="CG329" s="81" t="n"/>
      <c r="CH329" s="81" t="n"/>
      <c r="CI329" s="81" t="n"/>
      <c r="CK329" s="81" t="n"/>
      <c r="CL329" s="81" t="n"/>
      <c r="CM329" s="81" t="n"/>
      <c r="CN329" s="81" t="n"/>
      <c r="CP329" s="81" t="n"/>
      <c r="CQ329" s="81" t="n"/>
      <c r="CR329" s="81" t="n"/>
      <c r="CS329" s="81" t="n"/>
      <c r="CU329" s="81" t="n"/>
      <c r="CV329" s="81" t="n"/>
      <c r="CW329" s="81" t="n"/>
      <c r="CX329" s="81" t="n"/>
    </row>
    <row r="330" customFormat="1" s="77">
      <c r="A330" s="76" t="n"/>
      <c r="B330" s="76" t="n"/>
      <c r="C330" s="77" t="inlineStr">
        <is>
          <t>NOPLAT</t>
        </is>
      </c>
      <c r="D330">
        <f>IFERROR(D331*(1-D332),"")</f>
        <v>0</v>
      </c>
      <c r="E330">
        <f>IFERROR(E331*(1-E332),"")</f>
        <v>0</v>
      </c>
      <c r="F330">
        <f>IFERROR(F331*(1-F332),"")</f>
        <v>0</v>
      </c>
      <c r="G330">
        <f>IFERROR(G331*(1-G332),"")</f>
        <v>0</v>
      </c>
      <c r="H330" s="263">
        <f>IFERROR(H331*(1-N(H332)),0)</f>
        <v>0</v>
      </c>
      <c r="I330" s="263">
        <f>IFERROR(I331*(1-N(I332)),0)</f>
        <v>2986.79878721058</v>
      </c>
      <c r="J330" s="263">
        <f>IFERROR(J331*(1-N(J332)),0)</f>
        <v>2384.32444748234</v>
      </c>
      <c r="K330" s="263">
        <f>IFERROR(K331*(1-N(K332)),0)</f>
        <v>3598.17589576547</v>
      </c>
      <c r="L330" s="263">
        <f>IFERROR(L331*(1-N(L332)),0)</f>
        <v>3861.17704717174</v>
      </c>
      <c r="M330" s="263">
        <f>IFERROR(M331*(1-N(M332)),0)</f>
        <v>12780.501045782</v>
      </c>
      <c r="N330" s="263">
        <f>IFERROR(N331*(1-N(N332)),0)</f>
        <v>3855.76706296786</v>
      </c>
      <c r="O330" s="263">
        <f>IFERROR(O331*(1-N(O332)),0)</f>
        <v>3695.17576390703</v>
      </c>
      <c r="P330" s="263">
        <f>IFERROR(P331*(1-N(P332)),0)</f>
        <v>4117.2514379622</v>
      </c>
      <c r="Q330" s="263">
        <f>IFERROR(Q331*(1-N(Q332)),0)</f>
        <v>4273.88185654008</v>
      </c>
      <c r="R330" s="263">
        <f>IFERROR(R331*(1-N(R332)),0)</f>
        <v>15936.0166337286</v>
      </c>
      <c r="S330" s="263">
        <f>IFERROR(S331*(1-N(S332)),0)</f>
        <v>4303.78021978022</v>
      </c>
      <c r="T330" s="263">
        <f>IFERROR(T331*(1-N(T332)),0)</f>
        <v>4057.47065682083</v>
      </c>
      <c r="U330" s="263">
        <f>IFERROR(U331*(1-N(U332)),0)</f>
        <v>4609.57239176721</v>
      </c>
      <c r="V330" s="263">
        <f>IFERROR(V331*(1-N(V332)),0)</f>
        <v>4818.77855014896</v>
      </c>
      <c r="W330" s="263">
        <f>IFERROR(W331*(1-N(W332)),0)</f>
        <v>17790.343679305</v>
      </c>
      <c r="X330" s="263">
        <f>IFERROR(X331*(1-N(X332)),0)</f>
        <v>4528.51478323962</v>
      </c>
      <c r="Y330" s="263">
        <f>IFERROR(Y331*(1-N(Y332)),0)</f>
        <v>4830.51193855402</v>
      </c>
      <c r="Z330" s="263">
        <f>IFERROR(Z331*(1-N(Z332)),0)</f>
        <v>5298.80445699937</v>
      </c>
      <c r="AA330" s="263">
        <f>IFERROR(AA331*(1-N(AA332)),0)</f>
        <v>5147.07193548387</v>
      </c>
      <c r="AB330" s="263">
        <f>IFERROR(AB331*(1-N(AB332)),0)</f>
        <v>19806.9078674088</v>
      </c>
      <c r="AC330" s="263">
        <f>IFERROR(AC331*(1-N(AC332)),0)</f>
        <v>4574.47499080544</v>
      </c>
      <c r="AD330" s="263">
        <f>IFERROR(AD331*(1-N(AD332)),0)</f>
        <v>5142.13548081478</v>
      </c>
      <c r="AE330" s="263">
        <f>IFERROR(AE331*(1-N(AE332)),0)</f>
        <v>5028.65498955488</v>
      </c>
      <c r="AF330" s="263">
        <f>IFERROR(AF331*(1-N(AF332)),0)</f>
        <v>5862.57225691347</v>
      </c>
      <c r="AG330" s="263">
        <f>IFERROR(AG331*(1-N(AG332)),0)</f>
        <v>20604.4346278317</v>
      </c>
      <c r="AH330" s="263">
        <f>IFERROR(AH331*(1-N(AH332)),0)</f>
        <v>6071.35684415946</v>
      </c>
      <c r="AI330" s="263">
        <f>IFERROR(AI331*(1-N(AI332)),0)</f>
        <v>5664.2405971023</v>
      </c>
      <c r="AJ330" s="263">
        <f>IFERROR(AJ331*(1-N(AJ332)),0)</f>
        <v>6118.82191486674</v>
      </c>
      <c r="AK330" s="263">
        <f>IFERROR(AK331*(1-N(AK332)),0)</f>
        <v>6219.81328738925</v>
      </c>
      <c r="AL330" s="263">
        <f>IFERROR(AL331*(1-N(AL332)),0)</f>
        <v>24075.6233435836</v>
      </c>
      <c r="AM330" s="263">
        <f>IFERROR(AM331*(1-N(AM332)),0)</f>
        <v>6407.53171428138</v>
      </c>
      <c r="AN330" s="263">
        <f>IFERROR(AN331*(1-N(AN332)),0)</f>
        <v>6637.47252290608</v>
      </c>
      <c r="AO330" s="263">
        <f>IFERROR(AO331*(1-N(AO332)),0)</f>
        <v>6946.68143388827</v>
      </c>
      <c r="AP330" s="263">
        <f>IFERROR(AP331*(1-N(AP332)),0)</f>
        <v>7061.33665710706</v>
      </c>
      <c r="AQ330" s="263">
        <f>IFERROR(AQ331*(1-N(AQ332)),0)</f>
        <v>27053.0223281828</v>
      </c>
      <c r="AR330" s="263">
        <f>IFERROR(AR331*(1-N(AR332)),0)</f>
        <v>7242.41520440559</v>
      </c>
      <c r="AS330" s="263">
        <f>IFERROR(AS331*(1-N(AS332)),0)</f>
        <v>7502.31665831258</v>
      </c>
      <c r="AT330" s="263">
        <f>IFERROR(AT331*(1-N(AT332)),0)</f>
        <v>7851.81462696778</v>
      </c>
      <c r="AU330" s="263">
        <f>IFERROR(AU331*(1-N(AU332)),0)</f>
        <v>7981.40910561131</v>
      </c>
      <c r="AV330" s="263">
        <f>IFERROR(AV331*(1-N(AV332)),0)</f>
        <v>30577.9555952973</v>
      </c>
      <c r="AW330" s="263">
        <f>IFERROR(AW331*(1-N(AW332)),0)</f>
        <v>8149.86960596118</v>
      </c>
      <c r="AX330" s="263">
        <f>IFERROR(AX331*(1-N(AX332)),0)</f>
        <v>8442.33598629977</v>
      </c>
      <c r="AY330" s="263">
        <f>IFERROR(AY331*(1-N(AY332)),0)</f>
        <v>8835.62507449724</v>
      </c>
      <c r="AZ330" s="263">
        <f>IFERROR(AZ331*(1-N(AZ332)),0)</f>
        <v>8981.45737943812</v>
      </c>
      <c r="BA330" s="263">
        <f>IFERROR(BA331*(1-N(BA332)),0)</f>
        <v>34409.2880461963</v>
      </c>
      <c r="BB330" s="263">
        <f>IFERROR(BB331*(1-N(BB332)),0)</f>
        <v>9130.27616204673</v>
      </c>
      <c r="BC330" s="263">
        <f>IFERROR(BC331*(1-N(BC332)),0)</f>
        <v>9457.92543126354</v>
      </c>
      <c r="BD330" s="263">
        <f>IFERROR(BD331*(1-N(BD332)),0)</f>
        <v>9898.52609855961</v>
      </c>
      <c r="BE330" s="263">
        <f>IFERROR(BE331*(1-N(BE332)),0)</f>
        <v>10061.9016225661</v>
      </c>
      <c r="BF330" s="263">
        <f>IFERROR(BF331*(1-N(BF332)),0)</f>
        <v>38548.6293144359</v>
      </c>
      <c r="BG330" s="85" t="n"/>
      <c r="BH330" s="76" t="n"/>
      <c r="BI330" s="76" t="n"/>
      <c r="BJ330" s="76" t="n"/>
      <c r="BL330" s="85" t="n"/>
      <c r="BM330" s="76" t="n"/>
      <c r="BN330" s="76" t="n"/>
      <c r="BO330" s="76" t="n"/>
      <c r="BQ330" s="85" t="n"/>
      <c r="BR330" s="76" t="n"/>
      <c r="BS330" s="76" t="n"/>
      <c r="BT330" s="76" t="n"/>
      <c r="BV330" s="85" t="n"/>
      <c r="BW330" s="76" t="n"/>
      <c r="BX330" s="76" t="n"/>
      <c r="BY330" s="76" t="n"/>
      <c r="CA330" s="85" t="n"/>
      <c r="CB330" s="76" t="n"/>
      <c r="CC330" s="76" t="n"/>
      <c r="CD330" s="76" t="n"/>
      <c r="CF330" s="85" t="n"/>
      <c r="CG330" s="76" t="n"/>
      <c r="CH330" s="76" t="n"/>
      <c r="CI330" s="76" t="n"/>
      <c r="CK330" s="85" t="n"/>
      <c r="CL330" s="76" t="n"/>
      <c r="CM330" s="76" t="n"/>
      <c r="CN330" s="76" t="n"/>
      <c r="CP330" s="85" t="n"/>
      <c r="CQ330" s="76" t="n"/>
      <c r="CR330" s="76" t="n"/>
      <c r="CS330" s="76" t="n"/>
      <c r="CU330" s="85" t="n"/>
      <c r="CV330" s="76" t="n"/>
      <c r="CW330" s="76" t="n"/>
      <c r="CX330" s="76" t="n"/>
    </row>
    <row r="331" customFormat="1" s="77">
      <c r="A331" s="76" t="n"/>
      <c r="B331" s="76" t="n"/>
      <c r="C331" s="77" t="inlineStr">
        <is>
          <t>EBIT</t>
        </is>
      </c>
      <c r="D331" s="86">
        <f>IFERROR(D113,"")</f>
        <v>0</v>
      </c>
      <c r="E331" s="86">
        <f>IFERROR(E113,"")</f>
        <v>0</v>
      </c>
      <c r="F331" s="86">
        <f>IFERROR(F113,"")</f>
        <v>0</v>
      </c>
      <c r="G331" s="86">
        <f>IFERROR(G113,"")</f>
        <v>0</v>
      </c>
      <c r="H331" s="263">
        <f>IFERROR(H56,0)</f>
        <v>0</v>
      </c>
      <c r="I331" s="263">
        <f>IFERROR(I56,0)</f>
        <v>3581</v>
      </c>
      <c r="J331" s="263">
        <f>IFERROR(J56,0)</f>
        <v>4064</v>
      </c>
      <c r="K331" s="263">
        <f>IFERROR(K56,0)</f>
        <v>4315</v>
      </c>
      <c r="L331" s="263">
        <f>IFERROR(L56,0)</f>
        <v>4776</v>
      </c>
      <c r="M331" s="263">
        <f>IFERROR(M56,0)</f>
        <v>16736</v>
      </c>
      <c r="N331" s="263">
        <f>IFERROR(N56,0)</f>
        <v>4802</v>
      </c>
      <c r="O331" s="263">
        <f>IFERROR(O56,0)</f>
        <v>4148</v>
      </c>
      <c r="P331" s="263">
        <f>IFERROR(P56,0)</f>
        <v>5087</v>
      </c>
      <c r="Q331" s="263">
        <f>IFERROR(Q56,0)</f>
        <v>5090</v>
      </c>
      <c r="R331" s="263">
        <f>IFERROR(R56,0)</f>
        <v>19127</v>
      </c>
      <c r="S331" s="263">
        <f>IFERROR(S56,0)</f>
        <v>5336</v>
      </c>
      <c r="T331" s="263">
        <f>IFERROR(T56,0)</f>
        <v>5024</v>
      </c>
      <c r="U331" s="263">
        <f>IFERROR(U56,0)</f>
        <v>5550</v>
      </c>
      <c r="V331" s="263">
        <f>IFERROR(V56,0)</f>
        <v>5954</v>
      </c>
      <c r="W331" s="263">
        <f>IFERROR(W56,0)</f>
        <v>21864</v>
      </c>
      <c r="X331" s="263">
        <f>IFERROR(X56,0)</f>
        <v>5354</v>
      </c>
      <c r="Y331" s="263">
        <f>IFERROR(Y56,0)</f>
        <v>5938</v>
      </c>
      <c r="Z331" s="263">
        <f>IFERROR(Z56,0)</f>
        <v>6349</v>
      </c>
      <c r="AA331" s="263">
        <f>IFERROR(AA56,0)</f>
        <v>6234</v>
      </c>
      <c r="AB331" s="263">
        <f>IFERROR(AB56,0)</f>
        <v>23875</v>
      </c>
      <c r="AC331" s="263">
        <f>IFERROR(AC56,0)</f>
        <v>5435</v>
      </c>
      <c r="AD331" s="263">
        <f>IFERROR(AD56,0)</f>
        <v>6177</v>
      </c>
      <c r="AE331" s="263">
        <f>IFERROR(AE56,0)</f>
        <v>6148</v>
      </c>
      <c r="AF331" s="263">
        <f>IFERROR(AF56,0)</f>
        <v>6737</v>
      </c>
      <c r="AG331" s="263">
        <f>IFERROR(AG56,0)</f>
        <v>24497</v>
      </c>
      <c r="AH331" s="263">
        <f>IFERROR(AH56,0)</f>
        <v>7234</v>
      </c>
      <c r="AI331" s="263">
        <f>IFERROR(AI56,0)</f>
        <v>6877</v>
      </c>
      <c r="AJ331" s="263">
        <f>IFERROR(AJ56,0)</f>
        <v>7305.75954962384</v>
      </c>
      <c r="AK331" s="263">
        <f>IFERROR(AK56,0)</f>
        <v>7426.34136986661</v>
      </c>
      <c r="AL331" s="263">
        <f>IFERROR(AL56,0)</f>
        <v>28843.1009194905</v>
      </c>
      <c r="AM331" s="263">
        <f>IFERROR(AM56,0)</f>
        <v>7650.47367980938</v>
      </c>
      <c r="AN331" s="263">
        <f>IFERROR(AN56,0)</f>
        <v>7925.01872815873</v>
      </c>
      <c r="AO331" s="263">
        <f>IFERROR(AO56,0)</f>
        <v>8294.2084162502</v>
      </c>
      <c r="AP331" s="263">
        <f>IFERROR(AP56,0)</f>
        <v>8431.10462006187</v>
      </c>
      <c r="AQ331" s="263">
        <f>IFERROR(AQ56,0)</f>
        <v>32300.8054442802</v>
      </c>
      <c r="AR331" s="263">
        <f>IFERROR(AR56,0)</f>
        <v>8647.30903727885</v>
      </c>
      <c r="AS331" s="263">
        <f>IFERROR(AS56,0)</f>
        <v>8957.62653879474</v>
      </c>
      <c r="AT331" s="263">
        <f>IFERROR(AT56,0)</f>
        <v>9374.92061232759</v>
      </c>
      <c r="AU331" s="263">
        <f>IFERROR(AU56,0)</f>
        <v>9529.65400923005</v>
      </c>
      <c r="AV331" s="263">
        <f>IFERROR(AV56,0)</f>
        <v>36509.5101976312</v>
      </c>
      <c r="AW331" s="263">
        <f>IFERROR(AW56,0)</f>
        <v>9730.79271309969</v>
      </c>
      <c r="AX331" s="263">
        <f>IFERROR(AX56,0)</f>
        <v>10079.9921310319</v>
      </c>
      <c r="AY331" s="263">
        <f>IFERROR(AY56,0)</f>
        <v>10549.5719867359</v>
      </c>
      <c r="AZ331" s="263">
        <f>IFERROR(AZ56,0)</f>
        <v>10723.6930461962</v>
      </c>
      <c r="BA331" s="263">
        <f>IFERROR(BA56,0)</f>
        <v>41084.0498770638</v>
      </c>
      <c r="BB331" s="263">
        <f>IFERROR(BB56,0)</f>
        <v>10901.3799044401</v>
      </c>
      <c r="BC331" s="263">
        <f>IFERROR(BC56,0)</f>
        <v>11292.587037253</v>
      </c>
      <c r="BD331" s="263">
        <f>IFERROR(BD56,0)</f>
        <v>11818.656038354</v>
      </c>
      <c r="BE331" s="263">
        <f>IFERROR(BE56,0)</f>
        <v>12013.7233750557</v>
      </c>
      <c r="BF331" s="263">
        <f>IFERROR(BF56,0)</f>
        <v>46026.3463551028</v>
      </c>
      <c r="BG331" s="63" t="n"/>
      <c r="BH331" s="63" t="n"/>
      <c r="BI331" s="63" t="n"/>
      <c r="BJ331" s="63" t="n"/>
      <c r="BL331" s="63" t="n"/>
      <c r="BM331" s="63" t="n"/>
      <c r="BN331" s="63" t="n"/>
      <c r="BO331" s="63" t="n"/>
      <c r="BQ331" s="63" t="n"/>
      <c r="BR331" s="63" t="n"/>
      <c r="BS331" s="63" t="n"/>
      <c r="BT331" s="63" t="n"/>
      <c r="BV331" s="63" t="n"/>
      <c r="BW331" s="63" t="n"/>
      <c r="BX331" s="63" t="n"/>
      <c r="BY331" s="63" t="n"/>
      <c r="CA331" s="63" t="n"/>
      <c r="CB331" s="63" t="n"/>
      <c r="CC331" s="63" t="n"/>
      <c r="CD331" s="63" t="n"/>
      <c r="CF331" s="63" t="n"/>
      <c r="CG331" s="63" t="n"/>
      <c r="CH331" s="63" t="n"/>
      <c r="CI331" s="63" t="n"/>
      <c r="CK331" s="63" t="n"/>
      <c r="CL331" s="63" t="n"/>
      <c r="CM331" s="63" t="n"/>
      <c r="CN331" s="63" t="n"/>
      <c r="CP331" s="63" t="n"/>
      <c r="CQ331" s="63" t="n"/>
      <c r="CR331" s="63" t="n"/>
      <c r="CS331" s="63" t="n"/>
      <c r="CU331" s="63" t="n"/>
      <c r="CV331" s="63" t="n"/>
      <c r="CW331" s="63" t="n"/>
      <c r="CX331" s="63" t="n"/>
    </row>
    <row r="332" customFormat="1" s="77">
      <c r="A332" s="76" t="n"/>
      <c r="B332" s="76" t="n"/>
      <c r="C332" s="77" t="inlineStr">
        <is>
          <t>ETR (LIMITED TO 0%-100%)</t>
        </is>
      </c>
      <c r="D332" s="87">
        <f>IFERROR(D115,"")</f>
        <v>0</v>
      </c>
      <c r="E332" s="87">
        <f>IFERROR(E115,"")</f>
        <v>0</v>
      </c>
      <c r="F332" s="87">
        <f>IFERROR(F115,"")</f>
        <v>0</v>
      </c>
      <c r="G332" s="87">
        <f>IFERROR(G115,"")</f>
        <v>0</v>
      </c>
      <c r="H332" s="258" t="str">
        <f>IFERROR(IF(N(H113)&lt;&gt;0,MAX(0,MIN(1,-H114/H113)),""),"")</f>
        <v/>
      </c>
      <c r="I332" s="258">
        <f>IFERROR(IF(N(I113)&lt;&gt;0,MAX(0,MIN(1,-I114/I113)),""),"")</f>
        <v>0.16593164277839</v>
      </c>
      <c r="J332" s="258">
        <f>IFERROR(IF(N(J113)&lt;&gt;0,MAX(0,MIN(1,-J114/J113)),""),"")</f>
        <v>0.413305992253361</v>
      </c>
      <c r="K332" s="258">
        <f>IFERROR(IF(N(K113)&lt;&gt;0,MAX(0,MIN(1,-K114/K113)),""),"")</f>
        <v>0.166123778501629</v>
      </c>
      <c r="L332" s="258">
        <f>IFERROR(IF(N(L113)&lt;&gt;0,MAX(0,MIN(1,-L114/L113)),""),"")</f>
        <v>0.191545844394527</v>
      </c>
      <c r="M332" s="258">
        <f>IFERROR(IF(N(M113)&lt;&gt;0,MAX(0,MIN(1,-M114/M113)),""),"")</f>
        <v>0.236346734836161</v>
      </c>
      <c r="N332" s="258">
        <f>IFERROR(IF(N(N113)&lt;&gt;0,MAX(0,MIN(1,-N114/N113)),""),"")</f>
        <v>0.19704975781594</v>
      </c>
      <c r="O332" s="258">
        <f>IFERROR(IF(N(O113)&lt;&gt;0,MAX(0,MIN(1,-O114/O113)),""),"")</f>
        <v>0.109166884303996</v>
      </c>
      <c r="P332" s="258">
        <f>IFERROR(IF(N(P113)&lt;&gt;0,MAX(0,MIN(1,-P114/P113)),""),"")</f>
        <v>0.19063270336894</v>
      </c>
      <c r="Q332" s="258">
        <f>IFERROR(IF(N(Q113)&lt;&gt;0,MAX(0,MIN(1,-Q114/Q113)),""),"")</f>
        <v>0.160337552742616</v>
      </c>
      <c r="R332" s="258">
        <f>IFERROR(IF(N(R113)&lt;&gt;0,MAX(0,MIN(1,-R114/R113)),""),"")</f>
        <v>0.166831357048748</v>
      </c>
      <c r="S332" s="258">
        <f>IFERROR(IF(N(S113)&lt;&gt;0,MAX(0,MIN(1,-S114/S113)),""),"")</f>
        <v>0.193444486547935</v>
      </c>
      <c r="T332" s="258">
        <f>IFERROR(IF(N(T113)&lt;&gt;0,MAX(0,MIN(1,-T114/T113)),""),"")</f>
        <v>0.192382432957637</v>
      </c>
      <c r="U332" s="258">
        <f>IFERROR(IF(N(U113)&lt;&gt;0,MAX(0,MIN(1,-U114/U113)),""),"")</f>
        <v>0.1694464158978</v>
      </c>
      <c r="V332" s="258">
        <f>IFERROR(IF(N(V113)&lt;&gt;0,MAX(0,MIN(1,-V114/V113)),""),"")</f>
        <v>0.190665342601788</v>
      </c>
      <c r="W332" s="258">
        <f>IFERROR(IF(N(W113)&lt;&gt;0,MAX(0,MIN(1,-W114/W113)),""),"")</f>
        <v>0.186317980273278</v>
      </c>
      <c r="X332" s="258">
        <f>IFERROR(IF(N(X113)&lt;&gt;0,MAX(0,MIN(1,-X114/X113)),""),"")</f>
        <v>0.154181026664248</v>
      </c>
      <c r="Y332" s="258">
        <f>IFERROR(IF(N(Y113)&lt;&gt;0,MAX(0,MIN(1,-Y114/Y113)),""),"")</f>
        <v>0.186508599098347</v>
      </c>
      <c r="Z332" s="258">
        <f>IFERROR(IF(N(Z113)&lt;&gt;0,MAX(0,MIN(1,-Z114/Z113)),""),"")</f>
        <v>0.16541117388575</v>
      </c>
      <c r="AA332" s="258">
        <f>IFERROR(IF(N(AA113)&lt;&gt;0,MAX(0,MIN(1,-AA114/AA113)),""),"")</f>
        <v>0.174354838709677</v>
      </c>
      <c r="AB332" s="258">
        <f>IFERROR(IF(N(AB113)&lt;&gt;0,MAX(0,MIN(1,-AB114/AB113)),""),"")</f>
        <v>0.170391293511672</v>
      </c>
      <c r="AC332" s="258">
        <f>IFERROR(IF(N(AC113)&lt;&gt;0,MAX(0,MIN(1,-AC114/AC113)),""),"")</f>
        <v>0.158330268481059</v>
      </c>
      <c r="AD332" s="258">
        <f>IFERROR(IF(N(AD113)&lt;&gt;0,MAX(0,MIN(1,-AD114/AD113)),""),"")</f>
        <v>0.167535133428075</v>
      </c>
      <c r="AE332" s="258">
        <f>IFERROR(IF(N(AE113)&lt;&gt;0,MAX(0,MIN(1,-AE114/AE113)),""),"")</f>
        <v>0.182066527398361</v>
      </c>
      <c r="AF332" s="258">
        <f>IFERROR(IF(N(AF113)&lt;&gt;0,MAX(0,MIN(1,-AF114/AF113)),""),"")</f>
        <v>0.129794826048171</v>
      </c>
      <c r="AG332" s="258">
        <f>IFERROR(IF(N(AG113)&lt;&gt;0,MAX(0,MIN(1,-AG114/AG113)),""),"")</f>
        <v>0.158899676375405</v>
      </c>
      <c r="AH332" s="258">
        <f>IFERROR(IF(N(AH113)&lt;&gt;0,MAX(0,MIN(1,-AH114/AH113)),""),"")</f>
        <v>0.160719264008921</v>
      </c>
      <c r="AI332" s="258">
        <f>IFERROR(IF(N(AI113)&lt;&gt;0,MAX(0,MIN(1,-AI114/AI113)),""),"")</f>
        <v>0.176350065856871</v>
      </c>
      <c r="AJ332" s="258">
        <f>IFERROR(IF(N(AJ113)&lt;&gt;0,MAX(0,MIN(1,-AJ114/AJ113)),""),"")</f>
        <v>0.162466014203576</v>
      </c>
      <c r="AK332" s="258">
        <f>IFERROR(IF(N(AK113)&lt;&gt;0,MAX(0,MIN(1,-AK114/AK113)),""),"")</f>
        <v>0.162466014203576</v>
      </c>
      <c r="AL332" s="258">
        <f>IFERROR(IF(N(AL113)&lt;&gt;0,MAX(0,MIN(1,-AL114/AL113)),""),"")</f>
        <v>0.165290049402602</v>
      </c>
      <c r="AM332" s="258">
        <f>IFERROR(IF(N(AM113)&lt;&gt;0,MAX(0,MIN(1,-AM114/AM113)),""),"")</f>
        <v>0.162466014203576</v>
      </c>
      <c r="AN332" s="258">
        <f>IFERROR(IF(N(AN113)&lt;&gt;0,MAX(0,MIN(1,-AN114/AN113)),""),"")</f>
        <v>0.162466014203576</v>
      </c>
      <c r="AO332" s="258">
        <f>IFERROR(IF(N(AO113)&lt;&gt;0,MAX(0,MIN(1,-AO114/AO113)),""),"")</f>
        <v>0.162466014203576</v>
      </c>
      <c r="AP332" s="258">
        <f>IFERROR(IF(N(AP113)&lt;&gt;0,MAX(0,MIN(1,-AP114/AP113)),""),"")</f>
        <v>0.162466014203576</v>
      </c>
      <c r="AQ332" s="258">
        <f>IFERROR(IF(N(AQ113)&lt;&gt;0,MAX(0,MIN(1,-AQ114/AQ113)),""),"")</f>
        <v>0.162466014203576</v>
      </c>
      <c r="AR332" s="258">
        <f>IFERROR(IF(N(AR113)&lt;&gt;0,MAX(0,MIN(1,-AR114/AR113)),""),"")</f>
        <v>0.162466014203576</v>
      </c>
      <c r="AS332" s="258">
        <f>IFERROR(IF(N(AS113)&lt;&gt;0,MAX(0,MIN(1,-AS114/AS113)),""),"")</f>
        <v>0.162466014203576</v>
      </c>
      <c r="AT332" s="258">
        <f>IFERROR(IF(N(AT113)&lt;&gt;0,MAX(0,MIN(1,-AT114/AT113)),""),"")</f>
        <v>0.162466014203576</v>
      </c>
      <c r="AU332" s="258">
        <f>IFERROR(IF(N(AU113)&lt;&gt;0,MAX(0,MIN(1,-AU114/AU113)),""),"")</f>
        <v>0.162466014203576</v>
      </c>
      <c r="AV332" s="258">
        <f>IFERROR(IF(N(AV113)&lt;&gt;0,MAX(0,MIN(1,-AV114/AV113)),""),"")</f>
        <v>0.162466014203576</v>
      </c>
      <c r="AW332" s="258">
        <f>IFERROR(IF(N(AW113)&lt;&gt;0,MAX(0,MIN(1,-AW114/AW113)),""),"")</f>
        <v>0.162466014203576</v>
      </c>
      <c r="AX332" s="258">
        <f>IFERROR(IF(N(AX113)&lt;&gt;0,MAX(0,MIN(1,-AX114/AX113)),""),"")</f>
        <v>0.162466014203576</v>
      </c>
      <c r="AY332" s="258">
        <f>IFERROR(IF(N(AY113)&lt;&gt;0,MAX(0,MIN(1,-AY114/AY113)),""),"")</f>
        <v>0.162466014203576</v>
      </c>
      <c r="AZ332" s="258">
        <f>IFERROR(IF(N(AZ113)&lt;&gt;0,MAX(0,MIN(1,-AZ114/AZ113)),""),"")</f>
        <v>0.162466014203576</v>
      </c>
      <c r="BA332" s="258">
        <f>IFERROR(IF(N(BA113)&lt;&gt;0,MAX(0,MIN(1,-BA114/BA113)),""),"")</f>
        <v>0.162466014203576</v>
      </c>
      <c r="BB332" s="258">
        <f>IFERROR(IF(N(BB113)&lt;&gt;0,MAX(0,MIN(1,-BB114/BB113)),""),"")</f>
        <v>0.162466014203576</v>
      </c>
      <c r="BC332" s="258">
        <f>IFERROR(IF(N(BC113)&lt;&gt;0,MAX(0,MIN(1,-BC114/BC113)),""),"")</f>
        <v>0.162466014203576</v>
      </c>
      <c r="BD332" s="258">
        <f>IFERROR(IF(N(BD113)&lt;&gt;0,MAX(0,MIN(1,-BD114/BD113)),""),"")</f>
        <v>0.162466014203576</v>
      </c>
      <c r="BE332" s="258">
        <f>IFERROR(IF(N(BE113)&lt;&gt;0,MAX(0,MIN(1,-BE114/BE113)),""),"")</f>
        <v>0.162466014203576</v>
      </c>
      <c r="BF332" s="258">
        <f>IFERROR(IF(N(BF113)&lt;&gt;0,MAX(0,MIN(1,-BF114/BF113)),""),"")</f>
        <v>0.162466014203576</v>
      </c>
      <c r="BG332" s="88" t="n"/>
      <c r="BH332" s="88" t="n"/>
      <c r="BI332" s="88" t="n"/>
      <c r="BJ332" s="88" t="n"/>
      <c r="BL332" s="88" t="n"/>
      <c r="BM332" s="88" t="n"/>
      <c r="BN332" s="88" t="n"/>
      <c r="BO332" s="88" t="n"/>
      <c r="BQ332" s="88" t="n"/>
      <c r="BR332" s="88" t="n"/>
      <c r="BS332" s="88" t="n"/>
      <c r="BT332" s="88" t="n"/>
      <c r="BV332" s="88" t="n"/>
      <c r="BW332" s="88" t="n"/>
      <c r="BX332" s="88" t="n"/>
      <c r="BY332" s="88" t="n"/>
      <c r="CA332" s="88" t="n"/>
      <c r="CB332" s="88" t="n"/>
      <c r="CC332" s="88" t="n"/>
      <c r="CD332" s="88" t="n"/>
      <c r="CF332" s="88" t="n"/>
      <c r="CG332" s="88" t="n"/>
      <c r="CH332" s="88" t="n"/>
      <c r="CI332" s="88" t="n"/>
      <c r="CK332" s="88" t="n"/>
      <c r="CL332" s="88" t="n"/>
      <c r="CM332" s="88" t="n"/>
      <c r="CN332" s="88" t="n"/>
      <c r="CP332" s="88" t="n"/>
      <c r="CQ332" s="88" t="n"/>
      <c r="CR332" s="88" t="n"/>
      <c r="CS332" s="88" t="n"/>
      <c r="CU332" s="88" t="n"/>
      <c r="CV332" s="88" t="n"/>
      <c r="CW332" s="88" t="n"/>
      <c r="CX332" s="88" t="n"/>
    </row>
    <row r="333" customFormat="1" s="77">
      <c r="A333" s="76" t="n"/>
      <c r="B333" s="76" t="n"/>
      <c r="C333" s="77" t="inlineStr">
        <is>
          <t>INVESTED CAPITAL</t>
        </is>
      </c>
      <c r="D333" s="86">
        <f>IFERROR(D336-D337+D338,"")</f>
        <v>0</v>
      </c>
      <c r="E333" s="86">
        <f>IFERROR(E336-E337+E338,"")</f>
        <v>0</v>
      </c>
      <c r="F333" s="86">
        <f>IFERROR(F336-F337+F338,"")</f>
        <v>0</v>
      </c>
      <c r="G333" s="86">
        <f>IFERROR(G336-G337+G338,"")</f>
        <v>0</v>
      </c>
      <c r="H333" s="263">
        <f>IFERROR(H335+H338,0)</f>
        <v>0</v>
      </c>
      <c r="I333" s="263">
        <f>IFERROR(I335+I338,0)</f>
        <v>47388</v>
      </c>
      <c r="J333" s="263">
        <f>IFERROR(J335+J338,0)</f>
        <v>46992</v>
      </c>
      <c r="K333" s="263">
        <f>IFERROR(K335+K338,0)</f>
        <v>48207</v>
      </c>
      <c r="L333" s="263">
        <f>IFERROR(L335+L338,0)</f>
        <v>48472</v>
      </c>
      <c r="M333" s="263">
        <f>IFERROR(M335+M338,0)</f>
        <v>48472</v>
      </c>
      <c r="N333" s="263">
        <f>IFERROR(N335+N338,0)</f>
        <v>50798</v>
      </c>
      <c r="O333" s="263">
        <f>IFERROR(O335+O338,0)</f>
        <v>50916</v>
      </c>
      <c r="P333" s="263">
        <f>IFERROR(P335+P338,0)</f>
        <v>47674</v>
      </c>
      <c r="Q333" s="263">
        <f>IFERROR(Q335+Q338,0)</f>
        <v>49520</v>
      </c>
      <c r="R333" s="263">
        <f>IFERROR(R335+R338,0)</f>
        <v>49520</v>
      </c>
      <c r="S333" s="263">
        <f>IFERROR(S335+S338,0)</f>
        <v>50791</v>
      </c>
      <c r="T333" s="263">
        <f>IFERROR(T335+T338,0)</f>
        <v>49331</v>
      </c>
      <c r="U333" s="263">
        <f>IFERROR(U335+U338,0)</f>
        <v>48024</v>
      </c>
      <c r="V333" s="263">
        <f>IFERROR(V335+V338,0)</f>
        <v>52120</v>
      </c>
      <c r="W333" s="263">
        <f>IFERROR(W335+W338,0)</f>
        <v>52120</v>
      </c>
      <c r="X333" s="263">
        <f>IFERROR(X335+X338,0)</f>
        <v>53240</v>
      </c>
      <c r="Y333" s="263">
        <f>IFERROR(Y335+Y338,0)</f>
        <v>52503</v>
      </c>
      <c r="Z333" s="263">
        <f>IFERROR(Z335+Z338,0)</f>
        <v>53299</v>
      </c>
      <c r="AA333" s="263">
        <f>IFERROR(AA335+AA338,0)</f>
        <v>51730</v>
      </c>
      <c r="AB333" s="263">
        <f>IFERROR(AB335+AB338,0)</f>
        <v>51730</v>
      </c>
      <c r="AC333" s="263">
        <f>IFERROR(AC335+AC338,0)</f>
        <v>52218</v>
      </c>
      <c r="AD333" s="263">
        <f>IFERROR(AD335+AD338,0)</f>
        <v>52465</v>
      </c>
      <c r="AE333" s="263">
        <f>IFERROR(AE335+AE338,0)</f>
        <v>51465</v>
      </c>
      <c r="AF333" s="263">
        <f>IFERROR(AF335+AF338,0)</f>
        <v>50439</v>
      </c>
      <c r="AG333" s="263">
        <f>IFERROR(AG335+AG338,0)</f>
        <v>50439</v>
      </c>
      <c r="AH333" s="263">
        <f>IFERROR(AH335+AH338,0)</f>
        <v>53126</v>
      </c>
      <c r="AI333" s="263">
        <f>IFERROR(AI335+AI338,0)</f>
        <v>51896</v>
      </c>
      <c r="AJ333" s="263">
        <f>IFERROR(AJ335+AJ338,0)</f>
        <v>51599.2532219371</v>
      </c>
      <c r="AK333" s="263">
        <f>IFERROR(AK335+AK338,0)</f>
        <v>50656.0316345302</v>
      </c>
      <c r="AL333" s="263">
        <f>IFERROR(AL335+AL338,0)</f>
        <v>50656.0316345302</v>
      </c>
      <c r="AM333" s="263">
        <f>IFERROR(AM335+AM338,0)</f>
        <v>49692.0466654044</v>
      </c>
      <c r="AN333" s="263">
        <f>IFERROR(AN335+AN338,0)</f>
        <v>48456.1850518229</v>
      </c>
      <c r="AO333" s="263">
        <f>IFERROR(AO335+AO338,0)</f>
        <v>47068.318722299</v>
      </c>
      <c r="AP333" s="263">
        <f>IFERROR(AP335+AP338,0)</f>
        <v>45381.2186982867</v>
      </c>
      <c r="AQ333" s="263">
        <f>IFERROR(AQ335+AQ338,0)</f>
        <v>45381.2186982867</v>
      </c>
      <c r="AR333" s="263">
        <f>IFERROR(AR335+AR338,0)</f>
        <v>43601.9039276265</v>
      </c>
      <c r="AS333" s="263">
        <f>IFERROR(AS335+AS338,0)</f>
        <v>41553.6110326815</v>
      </c>
      <c r="AT333" s="263">
        <f>IFERROR(AT335+AT338,0)</f>
        <v>39203.9350426399</v>
      </c>
      <c r="AU333" s="263">
        <f>IFERROR(AU335+AU338,0)</f>
        <v>36423.9667194419</v>
      </c>
      <c r="AV333" s="263">
        <f>IFERROR(AV335+AV338,0)</f>
        <v>36423.9667194419</v>
      </c>
      <c r="AW333" s="263">
        <f>IFERROR(AW335+AW338,0)</f>
        <v>33508.8143075406</v>
      </c>
      <c r="AX333" s="263">
        <f>IFERROR(AX335+AX338,0)</f>
        <v>30098.9394009527</v>
      </c>
      <c r="AY333" s="263">
        <f>IFERROR(AY335+AY338,0)</f>
        <v>26284.6439407323</v>
      </c>
      <c r="AZ333" s="263">
        <f>IFERROR(AZ335+AZ338,0)</f>
        <v>21854.8151568322</v>
      </c>
      <c r="BA333" s="263">
        <f>IFERROR(BA335+BA338,0)</f>
        <v>21854.8151568322</v>
      </c>
      <c r="BB333" s="263">
        <f>IFERROR(BB335+BB338,0)</f>
        <v>17165.5902911844</v>
      </c>
      <c r="BC333" s="263">
        <f>IFERROR(BC335+BC338,0)</f>
        <v>11795.4904612392</v>
      </c>
      <c r="BD333" s="263">
        <f>IFERROR(BD335+BD338,0)</f>
        <v>5806.910330792</v>
      </c>
      <c r="BE333" s="263">
        <f>IFERROR(BE335+BE338,0)</f>
        <v>-1053.91929324057</v>
      </c>
      <c r="BF333" s="263">
        <f>IFERROR(BF335+BF338,0)</f>
        <v>-1053.91929324057</v>
      </c>
      <c r="BG333" s="63" t="n"/>
      <c r="BH333" s="63" t="n"/>
      <c r="BI333" s="63" t="n"/>
      <c r="BJ333" s="63" t="n"/>
      <c r="BL333" s="63" t="n"/>
      <c r="BM333" s="63" t="n"/>
      <c r="BN333" s="63" t="n"/>
      <c r="BO333" s="63" t="n"/>
      <c r="BQ333" s="63" t="n"/>
      <c r="BR333" s="63" t="n"/>
      <c r="BS333" s="63" t="n"/>
      <c r="BT333" s="63" t="n"/>
      <c r="BV333" s="63" t="n"/>
      <c r="BW333" s="63" t="n"/>
      <c r="BX333" s="63" t="n"/>
      <c r="BY333" s="63" t="n"/>
      <c r="CA333" s="63" t="n"/>
      <c r="CB333" s="63" t="n"/>
      <c r="CC333" s="63" t="n"/>
      <c r="CD333" s="63" t="n"/>
      <c r="CF333" s="63" t="n"/>
      <c r="CG333" s="63" t="n"/>
      <c r="CH333" s="63" t="n"/>
      <c r="CI333" s="63" t="n"/>
      <c r="CK333" s="63" t="n"/>
      <c r="CL333" s="63" t="n"/>
      <c r="CM333" s="63" t="n"/>
      <c r="CN333" s="63" t="n"/>
      <c r="CP333" s="63" t="n"/>
      <c r="CQ333" s="63" t="n"/>
      <c r="CR333" s="63" t="n"/>
      <c r="CS333" s="63" t="n"/>
      <c r="CU333" s="63" t="n"/>
      <c r="CV333" s="63" t="n"/>
      <c r="CW333" s="63" t="n"/>
      <c r="CX333" s="63" t="n"/>
    </row>
    <row r="334" customFormat="1" s="77">
      <c r="A334" s="76" t="n"/>
      <c r="B334" s="76" t="n"/>
      <c r="C334" s="77" t="inlineStr">
        <is>
          <t>INVESTED CAPITAL - EX GOODWILL</t>
        </is>
      </c>
      <c r="D334" s="89">
        <f>IFERROR(D333-D162,"")</f>
        <v>0</v>
      </c>
      <c r="E334" s="89">
        <f>IFERROR(E333-E162,"")</f>
        <v>0</v>
      </c>
      <c r="F334" s="89">
        <f>IFERROR(F333-F162,"")</f>
        <v>0</v>
      </c>
      <c r="G334" s="89">
        <f>IFERROR(G333-G162,"")</f>
        <v>0</v>
      </c>
      <c r="H334" s="263">
        <f>IFERROR(H333-N(H162),0)</f>
        <v>0</v>
      </c>
      <c r="I334" s="263">
        <f>IFERROR(I333-N(I162),0)</f>
        <v>31408</v>
      </c>
      <c r="J334" s="263">
        <f>IFERROR(J333-N(J162),0)</f>
        <v>30971</v>
      </c>
      <c r="K334" s="263">
        <f>IFERROR(K333-N(K162),0)</f>
        <v>32249</v>
      </c>
      <c r="L334" s="263">
        <f>IFERROR(L333-N(L162),0)</f>
        <v>31917</v>
      </c>
      <c r="M334" s="263">
        <f>IFERROR(M333-N(M162),0)</f>
        <v>31917</v>
      </c>
      <c r="N334" s="263">
        <f>IFERROR(N333-N(N162),0)</f>
        <v>32655</v>
      </c>
      <c r="O334" s="263">
        <f>IFERROR(O333-N(O162),0)</f>
        <v>32939</v>
      </c>
      <c r="P334" s="263">
        <f>IFERROR(P333-N(P162),0)</f>
        <v>29887</v>
      </c>
      <c r="Q334" s="263">
        <f>IFERROR(Q333-N(Q162),0)</f>
        <v>31496</v>
      </c>
      <c r="R334" s="263">
        <f>IFERROR(R333-N(R162),0)</f>
        <v>31496</v>
      </c>
      <c r="S334" s="263">
        <f>IFERROR(S333-N(S162),0)</f>
        <v>32713</v>
      </c>
      <c r="T334" s="263">
        <f>IFERROR(T333-N(T162),0)</f>
        <v>31249</v>
      </c>
      <c r="U334" s="263">
        <f>IFERROR(U333-N(U162),0)</f>
        <v>30027</v>
      </c>
      <c r="V334" s="263">
        <f>IFERROR(V333-N(V162),0)</f>
        <v>34000</v>
      </c>
      <c r="W334" s="263">
        <f>IFERROR(W333-N(W162),0)</f>
        <v>34000</v>
      </c>
      <c r="X334" s="263">
        <f>IFERROR(X333-N(X162),0)</f>
        <v>34403</v>
      </c>
      <c r="Y334" s="263">
        <f>IFERROR(Y333-N(Y162),0)</f>
        <v>33687</v>
      </c>
      <c r="Z334" s="263">
        <f>IFERROR(Z333-N(Z162),0)</f>
        <v>34358</v>
      </c>
      <c r="AA334" s="263">
        <f>IFERROR(AA333-N(AA162),0)</f>
        <v>32182</v>
      </c>
      <c r="AB334" s="263">
        <f>IFERROR(AB333-N(AB162),0)</f>
        <v>32182</v>
      </c>
      <c r="AC334" s="263">
        <f>IFERROR(AC333-N(AC162),0)</f>
        <v>32577</v>
      </c>
      <c r="AD334" s="263">
        <f>IFERROR(AD333-N(AD162),0)</f>
        <v>32585</v>
      </c>
      <c r="AE334" s="263">
        <f>IFERROR(AE333-N(AE162),0)</f>
        <v>31586</v>
      </c>
      <c r="AF334" s="263">
        <f>IFERROR(AF333-N(AF162),0)</f>
        <v>30554</v>
      </c>
      <c r="AG334" s="263">
        <f>IFERROR(AG333-N(AG162),0)</f>
        <v>30554</v>
      </c>
      <c r="AH334" s="263">
        <f>IFERROR(AH333-N(AH162),0)</f>
        <v>32235</v>
      </c>
      <c r="AI334" s="263">
        <f>IFERROR(AI333-N(AI162),0)</f>
        <v>31071</v>
      </c>
      <c r="AJ334" s="263">
        <f>IFERROR(AJ333-N(AJ162),0)</f>
        <v>30774.2532219371</v>
      </c>
      <c r="AK334" s="263">
        <f>IFERROR(AK333-N(AK162),0)</f>
        <v>29831.0316345302</v>
      </c>
      <c r="AL334" s="263">
        <f>IFERROR(AL333-N(AL162),0)</f>
        <v>29831.0316345302</v>
      </c>
      <c r="AM334" s="263">
        <f>IFERROR(AM333-N(AM162),0)</f>
        <v>28867.0466654044</v>
      </c>
      <c r="AN334" s="263">
        <f>IFERROR(AN333-N(AN162),0)</f>
        <v>27631.1850518229</v>
      </c>
      <c r="AO334" s="263">
        <f>IFERROR(AO333-N(AO162),0)</f>
        <v>26243.318722299</v>
      </c>
      <c r="AP334" s="263">
        <f>IFERROR(AP333-N(AP162),0)</f>
        <v>24556.2186982867</v>
      </c>
      <c r="AQ334" s="263">
        <f>IFERROR(AQ333-N(AQ162),0)</f>
        <v>24556.2186982867</v>
      </c>
      <c r="AR334" s="263">
        <f>IFERROR(AR333-N(AR162),0)</f>
        <v>22776.9039276265</v>
      </c>
      <c r="AS334" s="263">
        <f>IFERROR(AS333-N(AS162),0)</f>
        <v>20728.6110326815</v>
      </c>
      <c r="AT334" s="263">
        <f>IFERROR(AT333-N(AT162),0)</f>
        <v>18378.9350426399</v>
      </c>
      <c r="AU334" s="263">
        <f>IFERROR(AU333-N(AU162),0)</f>
        <v>15598.9667194419</v>
      </c>
      <c r="AV334" s="263">
        <f>IFERROR(AV333-N(AV162),0)</f>
        <v>15598.9667194419</v>
      </c>
      <c r="AW334" s="263">
        <f>IFERROR(AW333-N(AW162),0)</f>
        <v>12683.8143075406</v>
      </c>
      <c r="AX334" s="263">
        <f>IFERROR(AX333-N(AX162),0)</f>
        <v>9273.9394009527</v>
      </c>
      <c r="AY334" s="263">
        <f>IFERROR(AY333-N(AY162),0)</f>
        <v>5459.64394073232</v>
      </c>
      <c r="AZ334" s="263">
        <f>IFERROR(AZ333-N(AZ162),0)</f>
        <v>1029.8151568322</v>
      </c>
      <c r="BA334" s="263">
        <f>IFERROR(BA333-N(BA162),0)</f>
        <v>1029.8151568322</v>
      </c>
      <c r="BB334" s="263">
        <f>IFERROR(BB333-N(BB162),0)</f>
        <v>-3659.40970881555</v>
      </c>
      <c r="BC334" s="263">
        <f>IFERROR(BC333-N(BC162),0)</f>
        <v>-9029.50953876077</v>
      </c>
      <c r="BD334" s="263">
        <f>IFERROR(BD333-N(BD162),0)</f>
        <v>-15018.089669208</v>
      </c>
      <c r="BE334" s="263">
        <f>IFERROR(BE333-N(BE162),0)</f>
        <v>-21878.9192932406</v>
      </c>
      <c r="BF334" s="263">
        <f>IFERROR(BF333-N(BF162),0)</f>
        <v>-21878.9192932406</v>
      </c>
      <c r="BG334" s="90" t="n"/>
      <c r="BH334" s="90" t="n"/>
      <c r="BI334" s="90" t="n"/>
      <c r="BJ334" s="90" t="n"/>
      <c r="BL334" s="90" t="n"/>
      <c r="BM334" s="90" t="n"/>
      <c r="BN334" s="90" t="n"/>
      <c r="BO334" s="90" t="n"/>
      <c r="BQ334" s="90" t="n"/>
      <c r="BR334" s="90" t="n"/>
      <c r="BS334" s="90" t="n"/>
      <c r="BT334" s="90" t="n"/>
      <c r="BV334" s="90" t="n"/>
      <c r="BW334" s="90" t="n"/>
      <c r="BX334" s="90" t="n"/>
      <c r="BY334" s="90" t="n"/>
      <c r="CA334" s="90" t="n"/>
      <c r="CB334" s="90" t="n"/>
      <c r="CC334" s="90" t="n"/>
      <c r="CD334" s="90" t="n"/>
      <c r="CF334" s="90" t="n"/>
      <c r="CG334" s="90" t="n"/>
      <c r="CH334" s="90" t="n"/>
      <c r="CI334" s="90" t="n"/>
      <c r="CK334" s="90" t="n"/>
      <c r="CL334" s="90" t="n"/>
      <c r="CM334" s="90" t="n"/>
      <c r="CN334" s="90" t="n"/>
      <c r="CP334" s="90" t="n"/>
      <c r="CQ334" s="90" t="n"/>
      <c r="CR334" s="90" t="n"/>
      <c r="CS334" s="90" t="n"/>
      <c r="CU334" s="90" t="n"/>
      <c r="CV334" s="90" t="n"/>
      <c r="CW334" s="90" t="n"/>
      <c r="CX334" s="90" t="n"/>
    </row>
    <row r="335" customFormat="1" s="77">
      <c r="A335" s="76" t="n"/>
      <c r="B335" s="76" t="n"/>
      <c r="C335" s="77" t="inlineStr">
        <is>
          <t>OPERATING WORKING CAPITAL</t>
        </is>
      </c>
      <c r="D335" s="91">
        <f>IFERROR(D336-D337,"")</f>
        <v>0</v>
      </c>
      <c r="E335" s="91">
        <f>IFERROR(E336-E337,"")</f>
        <v>0</v>
      </c>
      <c r="F335" s="91">
        <f>IFERROR(F336-F337,"")</f>
        <v>0</v>
      </c>
      <c r="G335" s="91">
        <f>IFERROR(G336-G337,"")</f>
        <v>0</v>
      </c>
      <c r="H335" s="263">
        <f>IFERROR(H336-H337,0)</f>
        <v>0</v>
      </c>
      <c r="I335" s="263">
        <f>IFERROR(I336-I337,0)</f>
        <v>-2304</v>
      </c>
      <c r="J335" s="263">
        <f>IFERROR(J336-J337,0)</f>
        <v>-4015</v>
      </c>
      <c r="K335" s="263">
        <f>IFERROR(K336-K337,0)</f>
        <v>-3620</v>
      </c>
      <c r="L335" s="263">
        <f>IFERROR(L336-L337,0)</f>
        <v>-4135</v>
      </c>
      <c r="M335" s="263">
        <f>IFERROR(M336-M337,0)</f>
        <v>-4135</v>
      </c>
      <c r="N335" s="263">
        <f>IFERROR(N336-N337,0)</f>
        <v>-3362</v>
      </c>
      <c r="O335" s="263">
        <f>IFERROR(O336-O337,0)</f>
        <v>-2136</v>
      </c>
      <c r="P335" s="263">
        <f>IFERROR(P336-P337,0)</f>
        <v>-4087</v>
      </c>
      <c r="Q335" s="263">
        <f>IFERROR(Q336-Q337,0)</f>
        <v>-4828</v>
      </c>
      <c r="R335" s="263">
        <f>IFERROR(R336-R337,0)</f>
        <v>-4828</v>
      </c>
      <c r="S335" s="263">
        <f>IFERROR(S336-S337,0)</f>
        <v>-4282</v>
      </c>
      <c r="T335" s="263">
        <f>IFERROR(T336-T337,0)</f>
        <v>-5150</v>
      </c>
      <c r="U335" s="263">
        <f>IFERROR(U336-U337,0)</f>
        <v>-5852</v>
      </c>
      <c r="V335" s="263">
        <f>IFERROR(V336-V337,0)</f>
        <v>-3493</v>
      </c>
      <c r="W335" s="263">
        <f>IFERROR(W336-W337,0)</f>
        <v>-3493</v>
      </c>
      <c r="X335" s="263">
        <f>IFERROR(X336-X337,0)</f>
        <v>-3661</v>
      </c>
      <c r="Y335" s="263">
        <f>IFERROR(Y336-Y337,0)</f>
        <v>-4520</v>
      </c>
      <c r="Z335" s="263">
        <f>IFERROR(Z336-Z337,0)</f>
        <v>-4459</v>
      </c>
      <c r="AA335" s="263">
        <f>IFERROR(AA336-AA337,0)</f>
        <v>-4907</v>
      </c>
      <c r="AB335" s="263">
        <f>IFERROR(AB336-AB337,0)</f>
        <v>-4907</v>
      </c>
      <c r="AC335" s="263">
        <f>IFERROR(AC336-AC337,0)</f>
        <v>-5233</v>
      </c>
      <c r="AD335" s="263">
        <f>IFERROR(AD336-AD337,0)</f>
        <v>-7573</v>
      </c>
      <c r="AE335" s="263">
        <f>IFERROR(AE336-AE337,0)</f>
        <v>-8877</v>
      </c>
      <c r="AF335" s="263">
        <f>IFERROR(AF336-AF337,0)</f>
        <v>-9661</v>
      </c>
      <c r="AG335" s="263">
        <f>IFERROR(AG336-AG337,0)</f>
        <v>-9661</v>
      </c>
      <c r="AH335" s="263">
        <f>IFERROR(AH336-AH337,0)</f>
        <v>-8296</v>
      </c>
      <c r="AI335" s="263">
        <f>IFERROR(AI336-AI337,0)</f>
        <v>-9828</v>
      </c>
      <c r="AJ335" s="263">
        <f>IFERROR(AJ336-AJ337,0)</f>
        <v>-10291.9832478851</v>
      </c>
      <c r="AK335" s="263">
        <f>IFERROR(AK336-AK337,0)</f>
        <v>-11405.2015489746</v>
      </c>
      <c r="AL335" s="263">
        <f>IFERROR(AL336-AL337,0)</f>
        <v>-11405.2015489746</v>
      </c>
      <c r="AM335" s="263">
        <f>IFERROR(AM336-AM337,0)</f>
        <v>-12544.3138545517</v>
      </c>
      <c r="AN335" s="263">
        <f>IFERROR(AN336-AN337,0)</f>
        <v>-13961.5874276112</v>
      </c>
      <c r="AO335" s="263">
        <f>IFERROR(AO336-AO337,0)</f>
        <v>-15539.3168543369</v>
      </c>
      <c r="AP335" s="263">
        <f>IFERROR(AP336-AP337,0)</f>
        <v>-17419.4136726981</v>
      </c>
      <c r="AQ335" s="263">
        <f>IFERROR(AQ336-AQ337,0)</f>
        <v>-17419.4136726981</v>
      </c>
      <c r="AR335" s="263">
        <f>IFERROR(AR336-AR337,0)</f>
        <v>-19396.6743827275</v>
      </c>
      <c r="AS335" s="263">
        <f>IFERROR(AS336-AS337,0)</f>
        <v>-21650.0167088998</v>
      </c>
      <c r="AT335" s="263">
        <f>IFERROR(AT336-AT337,0)</f>
        <v>-24214.2944275393</v>
      </c>
      <c r="AU335" s="263">
        <f>IFERROR(AU336-AU337,0)</f>
        <v>-27212.4064884699</v>
      </c>
      <c r="AV335" s="263">
        <f>IFERROR(AV336-AV337,0)</f>
        <v>-27212.4064884699</v>
      </c>
      <c r="AW335" s="263">
        <f>IFERROR(AW336-AW337,0)</f>
        <v>-30350.3069132037</v>
      </c>
      <c r="AX335" s="263">
        <f>IFERROR(AX336-AX337,0)</f>
        <v>-33990.9233721763</v>
      </c>
      <c r="AY335" s="263">
        <f>IFERROR(AY336-AY337,0)</f>
        <v>-38046.7095583388</v>
      </c>
      <c r="AZ335" s="263">
        <f>IFERROR(AZ336-AZ337,0)</f>
        <v>-42722.0148811698</v>
      </c>
      <c r="BA335" s="263">
        <f>IFERROR(BA336-BA337,0)</f>
        <v>-42722.0148811698</v>
      </c>
      <c r="BB335" s="263">
        <f>IFERROR(BB336-BB337,0)</f>
        <v>-47660.7837235972</v>
      </c>
      <c r="BC335" s="263">
        <f>IFERROR(BC336-BC337,0)</f>
        <v>-53289.3826703616</v>
      </c>
      <c r="BD335" s="263">
        <f>IFERROR(BD336-BD337,0)</f>
        <v>-59548.5041867485</v>
      </c>
      <c r="BE335" s="263">
        <f>IFERROR(BE336-BE337,0)</f>
        <v>-66684.3404918822</v>
      </c>
      <c r="BF335" s="263">
        <f>IFERROR(BF336-BF337,0)</f>
        <v>-66684.3404918822</v>
      </c>
      <c r="BG335" s="63" t="n"/>
      <c r="BH335" s="63" t="n"/>
      <c r="BI335" s="63" t="n"/>
      <c r="BJ335" s="63" t="n"/>
      <c r="BL335" s="63" t="n"/>
      <c r="BM335" s="63" t="n"/>
      <c r="BN335" s="63" t="n"/>
      <c r="BO335" s="63" t="n"/>
      <c r="BQ335" s="63" t="n"/>
      <c r="BR335" s="63" t="n"/>
      <c r="BS335" s="63" t="n"/>
      <c r="BT335" s="63" t="n"/>
      <c r="BV335" s="63" t="n"/>
      <c r="BW335" s="63" t="n"/>
      <c r="BX335" s="63" t="n"/>
      <c r="BY335" s="63" t="n"/>
      <c r="CA335" s="63" t="n"/>
      <c r="CB335" s="63" t="n"/>
      <c r="CC335" s="63" t="n"/>
      <c r="CD335" s="63" t="n"/>
      <c r="CF335" s="63" t="n"/>
      <c r="CG335" s="63" t="n"/>
      <c r="CH335" s="63" t="n"/>
      <c r="CI335" s="63" t="n"/>
      <c r="CK335" s="63" t="n"/>
      <c r="CL335" s="63" t="n"/>
      <c r="CM335" s="63" t="n"/>
      <c r="CN335" s="63" t="n"/>
      <c r="CP335" s="63" t="n"/>
      <c r="CQ335" s="63" t="n"/>
      <c r="CR335" s="63" t="n"/>
      <c r="CS335" s="63" t="n"/>
      <c r="CU335" s="63" t="n"/>
      <c r="CV335" s="63" t="n"/>
      <c r="CW335" s="63" t="n"/>
      <c r="CX335" s="63" t="n"/>
    </row>
    <row r="336" customFormat="1" s="77">
      <c r="A336" s="76" t="n"/>
      <c r="B336" s="76" t="n"/>
      <c r="C336" s="77" t="inlineStr">
        <is>
          <t>CURRENT ASSETS (OPERATING, EX CASH)</t>
        </is>
      </c>
      <c r="D336" s="89">
        <f>IFERROR(D128+D132+D136+D137+D138,"")</f>
        <v>0</v>
      </c>
      <c r="E336" s="89">
        <f>IFERROR(E128+E132+E136+E137+E138,"")</f>
        <v>0</v>
      </c>
      <c r="F336" s="89">
        <f>IFERROR(F128+F132+F136+F137+F138,"")</f>
        <v>0</v>
      </c>
      <c r="G336" s="89">
        <f>IFERROR(G128+G132+G136+G137+G138,"")</f>
        <v>0</v>
      </c>
      <c r="H336" s="263">
        <f>IFERROR((N(H128)+N(H132)+N(H136)+N(H137)+N(H138)),0)</f>
        <v>0</v>
      </c>
      <c r="I336" s="263">
        <f>IFERROR((N(I128)+N(I132)+N(I136)+N(I137)+N(I138)),0)</f>
        <v>10407</v>
      </c>
      <c r="J336" s="263">
        <f>IFERROR((N(J128)+N(J132)+N(J136)+N(J137)+N(J138)),0)</f>
        <v>10008</v>
      </c>
      <c r="K336" s="263">
        <f>IFERROR((N(K128)+N(K132)+N(K136)+N(K137)+N(K138)),0)</f>
        <v>11120</v>
      </c>
      <c r="L336" s="263">
        <f>IFERROR((N(L128)+N(L132)+N(L136)+N(L137)+N(L138)),0)</f>
        <v>11186</v>
      </c>
      <c r="M336" s="263">
        <f>IFERROR((N(M128)+N(M132)+N(M136)+N(M137)+N(M138)),0)</f>
        <v>11186</v>
      </c>
      <c r="N336" s="263">
        <f>IFERROR((N(N128)+N(N132)+N(N136)+N(N137)+N(N138)),0)</f>
        <v>11792</v>
      </c>
      <c r="O336" s="263">
        <f>IFERROR((N(O128)+N(O132)+N(O136)+N(O137)+N(O138)),0)</f>
        <v>14924</v>
      </c>
      <c r="P336" s="263">
        <f>IFERROR((N(P128)+N(P132)+N(P136)+N(P137)+N(P138)),0)</f>
        <v>14516</v>
      </c>
      <c r="Q336" s="263">
        <f>IFERROR((N(Q128)+N(Q132)+N(Q136)+N(Q137)+N(Q138)),0)</f>
        <v>14525</v>
      </c>
      <c r="R336" s="263">
        <f>IFERROR((N(R128)+N(R132)+N(R136)+N(R137)+N(R138)),0)</f>
        <v>14525</v>
      </c>
      <c r="S336" s="263">
        <f>IFERROR((N(S128)+N(S132)+N(S136)+N(S137)+N(S138)),0)</f>
        <v>14815</v>
      </c>
      <c r="T336" s="263">
        <f>IFERROR((N(T128)+N(T132)+N(T136)+N(T137)+N(T138)),0)</f>
        <v>16080</v>
      </c>
      <c r="U336" s="263">
        <f>IFERROR((N(U128)+N(U132)+N(U136)+N(U137)+N(U138)),0)</f>
        <v>17246</v>
      </c>
      <c r="V336" s="263">
        <f>IFERROR((N(V128)+N(V132)+N(V136)+N(V137)+N(V138)),0)</f>
        <v>19141</v>
      </c>
      <c r="W336" s="263">
        <f>IFERROR((N(W128)+N(W132)+N(W136)+N(W137)+N(W138)),0)</f>
        <v>19141</v>
      </c>
      <c r="X336" s="263">
        <f>IFERROR((N(X128)+N(X132)+N(X136)+N(X137)+N(X138)),0)</f>
        <v>19782</v>
      </c>
      <c r="Y336" s="263">
        <f>IFERROR((N(Y128)+N(Y132)+N(Y136)+N(Y137)+N(Y138)),0)</f>
        <v>18092</v>
      </c>
      <c r="Z336" s="263">
        <f>IFERROR((N(Z128)+N(Z132)+N(Z136)+N(Z137)+N(Z138)),0)</f>
        <v>22058</v>
      </c>
      <c r="AA336" s="263">
        <f>IFERROR((N(AA128)+N(AA132)+N(AA136)+N(AA137)+N(AA138)),0)</f>
        <v>20255</v>
      </c>
      <c r="AB336" s="263">
        <f>IFERROR((N(AB128)+N(AB132)+N(AB136)+N(AB137)+N(AB138)),0)</f>
        <v>20255</v>
      </c>
      <c r="AC336" s="263">
        <f>IFERROR((N(AC128)+N(AC132)+N(AC136)+N(AC137)+N(AC138)),0)</f>
        <v>21200</v>
      </c>
      <c r="AD336" s="263">
        <f>IFERROR((N(AD128)+N(AD132)+N(AD136)+N(AD137)+N(AD138)),0)</f>
        <v>21306</v>
      </c>
      <c r="AE336" s="263">
        <f>IFERROR((N(AE128)+N(AE132)+N(AE136)+N(AE137)+N(AE138)),0)</f>
        <v>20602</v>
      </c>
      <c r="AF336" s="263">
        <f>IFERROR((N(AF128)+N(AF132)+N(AF136)+N(AF137)+N(AF138)),0)</f>
        <v>20241</v>
      </c>
      <c r="AG336" s="263">
        <f>IFERROR((N(AG128)+N(AG132)+N(AG136)+N(AG137)+N(AG138)),0)</f>
        <v>20241</v>
      </c>
      <c r="AH336" s="263">
        <f>IFERROR((N(AH128)+N(AH132)+N(AH136)+N(AH137)+N(AH138)),0)</f>
        <v>19221</v>
      </c>
      <c r="AI336" s="263">
        <f>IFERROR((N(AI128)+N(AI132)+N(AI136)+N(AI137)+N(AI138)),0)</f>
        <v>18643</v>
      </c>
      <c r="AJ336" s="263">
        <f>IFERROR((N(AJ128)+N(AJ132)+N(AJ136)+N(AJ137)+N(AJ138)),0)</f>
        <v>18658.0638518602</v>
      </c>
      <c r="AK336" s="263">
        <f>IFERROR((N(AK128)+N(AK132)+N(AK136)+N(AK137)+N(AK138)),0)</f>
        <v>18716.5257412466</v>
      </c>
      <c r="AL336" s="263">
        <f>IFERROR((N(AL128)+N(AL132)+N(AL136)+N(AL137)+N(AL138)),0)</f>
        <v>18716.5257412466</v>
      </c>
      <c r="AM336" s="263">
        <f>IFERROR((N(AM128)+N(AM132)+N(AM136)+N(AM137)+N(AM138)),0)</f>
        <v>18907.6186841434</v>
      </c>
      <c r="AN336" s="263">
        <f>IFERROR((N(AN128)+N(AN132)+N(AN136)+N(AN137)+N(AN138)),0)</f>
        <v>19000.5234152414</v>
      </c>
      <c r="AO336" s="263">
        <f>IFERROR((N(AO128)+N(AO132)+N(AO136)+N(AO137)+N(AO138)),0)</f>
        <v>19137.2952002379</v>
      </c>
      <c r="AP336" s="263">
        <f>IFERROR((N(AP128)+N(AP132)+N(AP136)+N(AP137)+N(AP138)),0)</f>
        <v>19203.6668200106</v>
      </c>
      <c r="AQ336" s="263">
        <f>IFERROR((N(AQ128)+N(AQ132)+N(AQ136)+N(AQ137)+N(AQ138)),0)</f>
        <v>19203.6668200106</v>
      </c>
      <c r="AR336" s="263">
        <f>IFERROR((N(AR128)+N(AR132)+N(AR136)+N(AR137)+N(AR138)),0)</f>
        <v>19354.5608900564</v>
      </c>
      <c r="AS336" s="263">
        <f>IFERROR((N(AS128)+N(AS132)+N(AS136)+N(AS137)+N(AS138)),0)</f>
        <v>19506.665969192</v>
      </c>
      <c r="AT336" s="263">
        <f>IFERROR((N(AT128)+N(AT132)+N(AT136)+N(AT137)+N(AT138)),0)</f>
        <v>19661.2587358551</v>
      </c>
      <c r="AU336" s="263">
        <f>IFERROR((N(AU128)+N(AU132)+N(AU136)+N(AU137)+N(AU138)),0)</f>
        <v>19736.2783923495</v>
      </c>
      <c r="AV336" s="263">
        <f>IFERROR((N(AV128)+N(AV132)+N(AV136)+N(AV137)+N(AV138)),0)</f>
        <v>19736.2783923495</v>
      </c>
      <c r="AW336" s="263">
        <f>IFERROR((N(AW128)+N(AW132)+N(AW136)+N(AW137)+N(AW138)),0)</f>
        <v>19938.6367420736</v>
      </c>
      <c r="AX336" s="263">
        <f>IFERROR((N(AX128)+N(AX132)+N(AX136)+N(AX137)+N(AX138)),0)</f>
        <v>20056.8041547354</v>
      </c>
      <c r="AY336" s="263">
        <f>IFERROR((N(AY128)+N(AY132)+N(AY136)+N(AY137)+N(AY138)),0)</f>
        <v>20230.76696338</v>
      </c>
      <c r="AZ336" s="263">
        <f>IFERROR((N(AZ128)+N(AZ132)+N(AZ136)+N(AZ137)+N(AZ138)),0)</f>
        <v>20315.18637335</v>
      </c>
      <c r="BA336" s="263">
        <f>IFERROR((N(BA128)+N(BA132)+N(BA136)+N(BA137)+N(BA138)),0)</f>
        <v>20315.18637335</v>
      </c>
      <c r="BB336" s="263">
        <f>IFERROR((N(BB128)+N(BB132)+N(BB136)+N(BB137)+N(BB138)),0)</f>
        <v>20518.7864755233</v>
      </c>
      <c r="BC336" s="263">
        <f>IFERROR((N(BC128)+N(BC132)+N(BC136)+N(BC137)+N(BC138)),0)</f>
        <v>20651.1690979603</v>
      </c>
      <c r="BD336" s="263">
        <f>IFERROR((N(BD128)+N(BD132)+N(BD136)+N(BD137)+N(BD138)),0)</f>
        <v>20846.0591467151</v>
      </c>
      <c r="BE336" s="263">
        <f>IFERROR((N(BE128)+N(BE132)+N(BE136)+N(BE137)+N(BE138)),0)</f>
        <v>20940.6339759736</v>
      </c>
      <c r="BF336" s="263">
        <f>IFERROR((N(BF128)+N(BF132)+N(BF136)+N(BF137)+N(BF138)),0)</f>
        <v>20940.6339759736</v>
      </c>
      <c r="BG336" s="90" t="n"/>
      <c r="BH336" s="90" t="n"/>
      <c r="BI336" s="90" t="n"/>
      <c r="BJ336" s="90" t="n"/>
      <c r="BL336" s="90" t="n"/>
      <c r="BM336" s="90" t="n"/>
      <c r="BN336" s="90" t="n"/>
      <c r="BO336" s="90" t="n"/>
      <c r="BQ336" s="90" t="n"/>
      <c r="BR336" s="90" t="n"/>
      <c r="BS336" s="90" t="n"/>
      <c r="BT336" s="90" t="n"/>
      <c r="BV336" s="90" t="n"/>
      <c r="BW336" s="90" t="n"/>
      <c r="BX336" s="90" t="n"/>
      <c r="BY336" s="90" t="n"/>
      <c r="CA336" s="90" t="n"/>
      <c r="CB336" s="90" t="n"/>
      <c r="CC336" s="90" t="n"/>
      <c r="CD336" s="90" t="n"/>
      <c r="CF336" s="90" t="n"/>
      <c r="CG336" s="90" t="n"/>
      <c r="CH336" s="90" t="n"/>
      <c r="CI336" s="90" t="n"/>
      <c r="CK336" s="90" t="n"/>
      <c r="CL336" s="90" t="n"/>
      <c r="CM336" s="90" t="n"/>
      <c r="CN336" s="90" t="n"/>
      <c r="CP336" s="90" t="n"/>
      <c r="CQ336" s="90" t="n"/>
      <c r="CR336" s="90" t="n"/>
      <c r="CS336" s="90" t="n"/>
      <c r="CU336" s="90" t="n"/>
      <c r="CV336" s="90" t="n"/>
      <c r="CW336" s="90" t="n"/>
      <c r="CX336" s="90" t="n"/>
    </row>
    <row r="337" customFormat="1" s="77">
      <c r="A337" s="76" t="n"/>
      <c r="B337" s="76" t="n"/>
      <c r="C337" s="77" t="inlineStr">
        <is>
          <t>CURRENT LIABILITIES (OPERATING, EX DEBT)</t>
        </is>
      </c>
      <c r="D337" s="89">
        <f>IFERROR(D181+D185+D187+D188,"")</f>
        <v>0</v>
      </c>
      <c r="E337" s="89">
        <f>IFERROR(E181+E185+E187+E188,"")</f>
        <v>0</v>
      </c>
      <c r="F337" s="89">
        <f>IFERROR(F181+F185+F187+F188,"")</f>
        <v>0</v>
      </c>
      <c r="G337" s="89">
        <f>IFERROR(G181+G185+G187+G188,"")</f>
        <v>0</v>
      </c>
      <c r="H337" s="263">
        <f>IFERROR((N(H181)+N(H185)+N(H187)+N(H188)),0)</f>
        <v>0</v>
      </c>
      <c r="I337" s="263">
        <f>IFERROR((N(I181)+N(I185)+N(I187)+N(I188)),0)</f>
        <v>12711</v>
      </c>
      <c r="J337" s="263">
        <f>IFERROR((N(J181)+N(J185)+N(J187)+N(J188)),0)</f>
        <v>14023</v>
      </c>
      <c r="K337" s="263">
        <f>IFERROR((N(K181)+N(K185)+N(K187)+N(K188)),0)</f>
        <v>14740</v>
      </c>
      <c r="L337" s="263">
        <f>IFERROR((N(L181)+N(L185)+N(L187)+N(L188)),0)</f>
        <v>15321</v>
      </c>
      <c r="M337" s="263">
        <f>IFERROR((N(M181)+N(M185)+N(M187)+N(M188)),0)</f>
        <v>15321</v>
      </c>
      <c r="N337" s="263">
        <f>IFERROR((N(N181)+N(N185)+N(N187)+N(N188)),0)</f>
        <v>15154</v>
      </c>
      <c r="O337" s="263">
        <f>IFERROR((N(O181)+N(O185)+N(O187)+N(O188)),0)</f>
        <v>17060</v>
      </c>
      <c r="P337" s="263">
        <f>IFERROR((N(P181)+N(P185)+N(P187)+N(P188)),0)</f>
        <v>18603</v>
      </c>
      <c r="Q337" s="263">
        <f>IFERROR((N(Q181)+N(Q185)+N(Q187)+N(Q188)),0)</f>
        <v>19353</v>
      </c>
      <c r="R337" s="263">
        <f>IFERROR((N(R181)+N(R185)+N(R187)+N(R188)),0)</f>
        <v>19353</v>
      </c>
      <c r="S337" s="263">
        <f>IFERROR((N(S181)+N(S185)+N(S187)+N(S188)),0)</f>
        <v>19097</v>
      </c>
      <c r="T337" s="263">
        <f>IFERROR((N(T181)+N(T185)+N(T187)+N(T188)),0)</f>
        <v>21230</v>
      </c>
      <c r="U337" s="263">
        <f>IFERROR((N(U181)+N(U185)+N(U187)+N(U188)),0)</f>
        <v>23098</v>
      </c>
      <c r="V337" s="263">
        <f>IFERROR((N(V181)+N(V185)+N(V187)+N(V188)),0)</f>
        <v>22634</v>
      </c>
      <c r="W337" s="263">
        <f>IFERROR((N(W181)+N(W185)+N(W187)+N(W188)),0)</f>
        <v>22634</v>
      </c>
      <c r="X337" s="263">
        <f>IFERROR((N(X181)+N(X185)+N(X187)+N(X188)),0)</f>
        <v>23443</v>
      </c>
      <c r="Y337" s="263">
        <f>IFERROR((N(Y181)+N(Y185)+N(Y187)+N(Y188)),0)</f>
        <v>22612</v>
      </c>
      <c r="Z337" s="263">
        <f>IFERROR((N(Z181)+N(Z185)+N(Z187)+N(Z188)),0)</f>
        <v>26517</v>
      </c>
      <c r="AA337" s="263">
        <f>IFERROR((N(AA181)+N(AA185)+N(AA187)+N(AA188)),0)</f>
        <v>25162</v>
      </c>
      <c r="AB337" s="263">
        <f>IFERROR((N(AB181)+N(AB185)+N(AB187)+N(AB188)),0)</f>
        <v>25162</v>
      </c>
      <c r="AC337" s="263">
        <f>IFERROR((N(AC181)+N(AC185)+N(AC187)+N(AC188)),0)</f>
        <v>26433</v>
      </c>
      <c r="AD337" s="263">
        <f>IFERROR((N(AD181)+N(AD185)+N(AD187)+N(AD188)),0)</f>
        <v>28879</v>
      </c>
      <c r="AE337" s="263">
        <f>IFERROR((N(AE181)+N(AE185)+N(AE187)+N(AE188)),0)</f>
        <v>29479</v>
      </c>
      <c r="AF337" s="263">
        <f>IFERROR((N(AF181)+N(AF185)+N(AF187)+N(AF188)),0)</f>
        <v>29902</v>
      </c>
      <c r="AG337" s="263">
        <f>IFERROR((N(AG181)+N(AG185)+N(AG187)+N(AG188)),0)</f>
        <v>29902</v>
      </c>
      <c r="AH337" s="263">
        <f>IFERROR((N(AH181)+N(AH185)+N(AH187)+N(AH188)),0)</f>
        <v>27517</v>
      </c>
      <c r="AI337" s="263">
        <f>IFERROR((N(AI181)+N(AI185)+N(AI187)+N(AI188)),0)</f>
        <v>28471</v>
      </c>
      <c r="AJ337" s="263">
        <f>IFERROR((N(AJ181)+N(AJ185)+N(AJ187)+N(AJ188)),0)</f>
        <v>28950.0470997453</v>
      </c>
      <c r="AK337" s="263">
        <f>IFERROR((N(AK181)+N(AK185)+N(AK187)+N(AK188)),0)</f>
        <v>30121.7272902212</v>
      </c>
      <c r="AL337" s="263">
        <f>IFERROR((N(AL181)+N(AL185)+N(AL187)+N(AL188)),0)</f>
        <v>30121.7272902212</v>
      </c>
      <c r="AM337" s="263">
        <f>IFERROR((N(AM181)+N(AM185)+N(AM187)+N(AM188)),0)</f>
        <v>31451.9325386951</v>
      </c>
      <c r="AN337" s="263">
        <f>IFERROR((N(AN181)+N(AN185)+N(AN187)+N(AN188)),0)</f>
        <v>32962.1108428526</v>
      </c>
      <c r="AO337" s="263">
        <f>IFERROR((N(AO181)+N(AO185)+N(AO187)+N(AO188)),0)</f>
        <v>34676.6120545748</v>
      </c>
      <c r="AP337" s="263">
        <f>IFERROR((N(AP181)+N(AP185)+N(AP187)+N(AP188)),0)</f>
        <v>36623.0804927086</v>
      </c>
      <c r="AQ337" s="263">
        <f>IFERROR((N(AQ181)+N(AQ185)+N(AQ187)+N(AQ188)),0)</f>
        <v>36623.0804927086</v>
      </c>
      <c r="AR337" s="263">
        <f>IFERROR((N(AR181)+N(AR185)+N(AR187)+N(AR188)),0)</f>
        <v>38751.235272784</v>
      </c>
      <c r="AS337" s="263">
        <f>IFERROR((N(AS181)+N(AS185)+N(AS187)+N(AS188)),0)</f>
        <v>41156.6826780919</v>
      </c>
      <c r="AT337" s="263">
        <f>IFERROR((N(AT181)+N(AT185)+N(AT187)+N(AT188)),0)</f>
        <v>43875.5531633944</v>
      </c>
      <c r="AU337" s="263">
        <f>IFERROR((N(AU181)+N(AU185)+N(AU187)+N(AU188)),0)</f>
        <v>46948.6848808194</v>
      </c>
      <c r="AV337" s="263">
        <f>IFERROR((N(AV181)+N(AV185)+N(AV187)+N(AV188)),0)</f>
        <v>46948.6848808194</v>
      </c>
      <c r="AW337" s="263">
        <f>IFERROR((N(AW181)+N(AW185)+N(AW187)+N(AW188)),0)</f>
        <v>50288.9436552773</v>
      </c>
      <c r="AX337" s="263">
        <f>IFERROR((N(AX181)+N(AX185)+N(AX187)+N(AX188)),0)</f>
        <v>54047.7275269117</v>
      </c>
      <c r="AY337" s="263">
        <f>IFERROR((N(AY181)+N(AY185)+N(AY187)+N(AY188)),0)</f>
        <v>58277.4765217188</v>
      </c>
      <c r="AZ337" s="263">
        <f>IFERROR((N(AZ181)+N(AZ185)+N(AZ187)+N(AZ188)),0)</f>
        <v>63037.2012545198</v>
      </c>
      <c r="BA337" s="263">
        <f>IFERROR((N(BA181)+N(BA185)+N(BA187)+N(BA188)),0)</f>
        <v>63037.2012545198</v>
      </c>
      <c r="BB337" s="263">
        <f>IFERROR((N(BB181)+N(BB185)+N(BB187)+N(BB188)),0)</f>
        <v>68179.5701991205</v>
      </c>
      <c r="BC337" s="263">
        <f>IFERROR((N(BC181)+N(BC185)+N(BC187)+N(BC188)),0)</f>
        <v>73940.5517683219</v>
      </c>
      <c r="BD337" s="263">
        <f>IFERROR((N(BD181)+N(BD185)+N(BD187)+N(BD188)),0)</f>
        <v>80394.5633334635</v>
      </c>
      <c r="BE337" s="263">
        <f>IFERROR((N(BE181)+N(BE185)+N(BE187)+N(BE188)),0)</f>
        <v>87624.9744678558</v>
      </c>
      <c r="BF337" s="263">
        <f>IFERROR((N(BF181)+N(BF185)+N(BF187)+N(BF188)),0)</f>
        <v>87624.9744678558</v>
      </c>
      <c r="BG337" s="90" t="n"/>
      <c r="BH337" s="90" t="n"/>
      <c r="BI337" s="90" t="n"/>
      <c r="BJ337" s="90" t="n"/>
      <c r="BL337" s="90" t="n"/>
      <c r="BM337" s="90" t="n"/>
      <c r="BN337" s="90" t="n"/>
      <c r="BO337" s="90" t="n"/>
      <c r="BQ337" s="90" t="n"/>
      <c r="BR337" s="90" t="n"/>
      <c r="BS337" s="90" t="n"/>
      <c r="BT337" s="90" t="n"/>
      <c r="BV337" s="90" t="n"/>
      <c r="BW337" s="90" t="n"/>
      <c r="BX337" s="90" t="n"/>
      <c r="BY337" s="90" t="n"/>
      <c r="CA337" s="90" t="n"/>
      <c r="CB337" s="90" t="n"/>
      <c r="CC337" s="90" t="n"/>
      <c r="CD337" s="90" t="n"/>
      <c r="CF337" s="90" t="n"/>
      <c r="CG337" s="90" t="n"/>
      <c r="CH337" s="90" t="n"/>
      <c r="CI337" s="90" t="n"/>
      <c r="CK337" s="90" t="n"/>
      <c r="CL337" s="90" t="n"/>
      <c r="CM337" s="90" t="n"/>
      <c r="CN337" s="90" t="n"/>
      <c r="CP337" s="90" t="n"/>
      <c r="CQ337" s="90" t="n"/>
      <c r="CR337" s="90" t="n"/>
      <c r="CS337" s="90" t="n"/>
      <c r="CU337" s="90" t="n"/>
      <c r="CV337" s="90" t="n"/>
      <c r="CW337" s="90" t="n"/>
      <c r="CX337" s="90" t="n"/>
    </row>
    <row r="338" customFormat="1" s="77">
      <c r="A338" s="76" t="n"/>
      <c r="B338" s="76" t="n"/>
      <c r="C338" s="77" t="inlineStr">
        <is>
          <t>FIXED ASSETS</t>
        </is>
      </c>
      <c r="D338" s="89">
        <f>IFERROR(D149+D159+D162+D163+D172-D223,"")</f>
        <v>0</v>
      </c>
      <c r="E338" s="89">
        <f>IFERROR(E149+E159+E162+E163+E172-E223,"")</f>
        <v>0</v>
      </c>
      <c r="F338" s="89">
        <f>IFERROR(F149+F159+F162+F163+F172-F223,"")</f>
        <v>0</v>
      </c>
      <c r="G338" s="89">
        <f>IFERROR(G149+G159+G162+G163+G172-G223,"")</f>
        <v>0</v>
      </c>
      <c r="H338" s="263">
        <f>IFERROR((N(H149)+N(H159)+N(H162)+N(H163)+N(H172))-N(H223),0)</f>
        <v>0</v>
      </c>
      <c r="I338" s="263">
        <f>IFERROR((N(I149)+N(I159)+N(I162)+N(I163)+N(I172))-N(I223),0)</f>
        <v>49692</v>
      </c>
      <c r="J338" s="263">
        <f>IFERROR((N(J149)+N(J159)+N(J162)+N(J163)+N(J172))-N(J223),0)</f>
        <v>51007</v>
      </c>
      <c r="K338" s="263">
        <f>IFERROR((N(K149)+N(K159)+N(K162)+N(K163)+N(K172))-N(K223),0)</f>
        <v>51827</v>
      </c>
      <c r="L338" s="263">
        <f>IFERROR((N(L149)+N(L159)+N(L162)+N(L163)+N(L172))-N(L223),0)</f>
        <v>52607</v>
      </c>
      <c r="M338" s="263">
        <f>IFERROR((N(M149)+N(M159)+N(M162)+N(M163)+N(M172))-N(M223),0)</f>
        <v>52607</v>
      </c>
      <c r="N338" s="263">
        <f>IFERROR((N(N149)+N(N159)+N(N162)+N(N163)+N(N172))-N(N223),0)</f>
        <v>54160</v>
      </c>
      <c r="O338" s="263">
        <f>IFERROR((N(O149)+N(O159)+N(O162)+N(O163)+N(O172))-N(O223),0)</f>
        <v>53052</v>
      </c>
      <c r="P338" s="263">
        <f>IFERROR((N(P149)+N(P159)+N(P162)+N(P163)+N(P172))-N(P223),0)</f>
        <v>51761</v>
      </c>
      <c r="Q338" s="263">
        <f>IFERROR((N(Q149)+N(Q159)+N(Q162)+N(Q163)+N(Q172))-N(Q223),0)</f>
        <v>54348</v>
      </c>
      <c r="R338" s="263">
        <f>IFERROR((N(R149)+N(R159)+N(R162)+N(R163)+N(R172))-N(R223),0)</f>
        <v>54348</v>
      </c>
      <c r="S338" s="263">
        <f>IFERROR((N(S149)+N(S159)+N(S162)+N(S163)+N(S172))-N(S223),0)</f>
        <v>55073</v>
      </c>
      <c r="T338" s="263">
        <f>IFERROR((N(T149)+N(T159)+N(T162)+N(T163)+N(T172))-N(T223),0)</f>
        <v>54481</v>
      </c>
      <c r="U338" s="263">
        <f>IFERROR((N(U149)+N(U159)+N(U162)+N(U163)+N(U172))-N(U223),0)</f>
        <v>53876</v>
      </c>
      <c r="V338" s="263">
        <f>IFERROR((N(V149)+N(V159)+N(V162)+N(V163)+N(V172))-N(V223),0)</f>
        <v>55613</v>
      </c>
      <c r="W338" s="263">
        <f>IFERROR((N(W149)+N(W159)+N(W162)+N(W163)+N(W172))-N(W223),0)</f>
        <v>55613</v>
      </c>
      <c r="X338" s="263">
        <f>IFERROR((N(X149)+N(X159)+N(X162)+N(X163)+N(X172))-N(X223),0)</f>
        <v>56901</v>
      </c>
      <c r="Y338" s="263">
        <f>IFERROR((N(Y149)+N(Y159)+N(Y162)+N(Y163)+N(Y172))-N(Y223),0)</f>
        <v>57023</v>
      </c>
      <c r="Z338" s="263">
        <f>IFERROR((N(Z149)+N(Z159)+N(Z162)+N(Z163)+N(Z172))-N(Z223),0)</f>
        <v>57758</v>
      </c>
      <c r="AA338" s="263">
        <f>IFERROR((N(AA149)+N(AA159)+N(AA162)+N(AA163)+N(AA172))-N(AA223),0)</f>
        <v>56637</v>
      </c>
      <c r="AB338" s="263">
        <f>IFERROR((N(AB149)+N(AB159)+N(AB162)+N(AB163)+N(AB172))-N(AB223),0)</f>
        <v>56637</v>
      </c>
      <c r="AC338" s="263">
        <f>IFERROR((N(AC149)+N(AC159)+N(AC162)+N(AC163)+N(AC172))-N(AC223),0)</f>
        <v>57451</v>
      </c>
      <c r="AD338" s="263">
        <f>IFERROR((N(AD149)+N(AD159)+N(AD162)+N(AD163)+N(AD172))-N(AD223),0)</f>
        <v>60038</v>
      </c>
      <c r="AE338" s="263">
        <f>IFERROR((N(AE149)+N(AE159)+N(AE162)+N(AE163)+N(AE172))-N(AE223),0)</f>
        <v>60342</v>
      </c>
      <c r="AF338" s="263">
        <f>IFERROR((N(AF149)+N(AF159)+N(AF162)+N(AF163)+N(AF172))-N(AF223),0)</f>
        <v>60100</v>
      </c>
      <c r="AG338" s="263">
        <f>IFERROR((N(AG149)+N(AG159)+N(AG162)+N(AG163)+N(AG172))-N(AG223),0)</f>
        <v>60100</v>
      </c>
      <c r="AH338" s="263">
        <f>IFERROR((N(AH149)+N(AH159)+N(AH162)+N(AH163)+N(AH172))-N(AH223),0)</f>
        <v>61422</v>
      </c>
      <c r="AI338" s="263">
        <f>IFERROR((N(AI149)+N(AI159)+N(AI162)+N(AI163)+N(AI172))-N(AI223),0)</f>
        <v>61724</v>
      </c>
      <c r="AJ338" s="263">
        <f>IFERROR((N(AJ149)+N(AJ159)+N(AJ162)+N(AJ163)+N(AJ172))-N(AJ223),0)</f>
        <v>61891.2364698222</v>
      </c>
      <c r="AK338" s="263">
        <f>IFERROR((N(AK149)+N(AK159)+N(AK162)+N(AK163)+N(AK172))-N(AK223),0)</f>
        <v>62061.2331835048</v>
      </c>
      <c r="AL338" s="263">
        <f>IFERROR((N(AL149)+N(AL159)+N(AL162)+N(AL163)+N(AL172))-N(AL223),0)</f>
        <v>62061.2331835048</v>
      </c>
      <c r="AM338" s="263">
        <f>IFERROR((N(AM149)+N(AM159)+N(AM162)+N(AM163)+N(AM172))-N(AM223),0)</f>
        <v>62236.3605199561</v>
      </c>
      <c r="AN338" s="263">
        <f>IFERROR((N(AN149)+N(AN159)+N(AN162)+N(AN163)+N(AN172))-N(AN223),0)</f>
        <v>62417.7724794341</v>
      </c>
      <c r="AO338" s="263">
        <f>IFERROR((N(AO149)+N(AO159)+N(AO162)+N(AO163)+N(AO172))-N(AO223),0)</f>
        <v>62607.6355766359</v>
      </c>
      <c r="AP338" s="263">
        <f>IFERROR((N(AP149)+N(AP159)+N(AP162)+N(AP163)+N(AP172))-N(AP223),0)</f>
        <v>62800.6323709848</v>
      </c>
      <c r="AQ338" s="263">
        <f>IFERROR((N(AQ149)+N(AQ159)+N(AQ162)+N(AQ163)+N(AQ172))-N(AQ223),0)</f>
        <v>62800.6323709848</v>
      </c>
      <c r="AR338" s="263">
        <f>IFERROR((N(AR149)+N(AR159)+N(AR162)+N(AR163)+N(AR172))-N(AR223),0)</f>
        <v>62998.578310354</v>
      </c>
      <c r="AS338" s="263">
        <f>IFERROR((N(AS149)+N(AS159)+N(AS162)+N(AS163)+N(AS172))-N(AS223),0)</f>
        <v>63203.6277415814</v>
      </c>
      <c r="AT338" s="263">
        <f>IFERROR((N(AT149)+N(AT159)+N(AT162)+N(AT163)+N(AT172))-N(AT223),0)</f>
        <v>63418.2294701792</v>
      </c>
      <c r="AU338" s="263">
        <f>IFERROR((N(AU149)+N(AU159)+N(AU162)+N(AU163)+N(AU172))-N(AU223),0)</f>
        <v>63636.3732079118</v>
      </c>
      <c r="AV338" s="263">
        <f>IFERROR((N(AV149)+N(AV159)+N(AV162)+N(AV163)+N(AV172))-N(AV223),0)</f>
        <v>63636.3732079118</v>
      </c>
      <c r="AW338" s="263">
        <f>IFERROR((N(AW149)+N(AW159)+N(AW162)+N(AW163)+N(AW172))-N(AW223),0)</f>
        <v>63859.1212207443</v>
      </c>
      <c r="AX338" s="263">
        <f>IFERROR((N(AX149)+N(AX159)+N(AX162)+N(AX163)+N(AX172))-N(AX223),0)</f>
        <v>64089.862773129</v>
      </c>
      <c r="AY338" s="263">
        <f>IFERROR((N(AY149)+N(AY159)+N(AY162)+N(AY163)+N(AY172))-N(AY223),0)</f>
        <v>64331.3534990711</v>
      </c>
      <c r="AZ338" s="263">
        <f>IFERROR((N(AZ149)+N(AZ159)+N(AZ162)+N(AZ163)+N(AZ172))-N(AZ223),0)</f>
        <v>64576.830038002</v>
      </c>
      <c r="BA338" s="263">
        <f>IFERROR((N(BA149)+N(BA159)+N(BA162)+N(BA163)+N(BA172))-N(BA223),0)</f>
        <v>64576.830038002</v>
      </c>
      <c r="BB338" s="263">
        <f>IFERROR((N(BB149)+N(BB159)+N(BB162)+N(BB163)+N(BB172))-N(BB223),0)</f>
        <v>64826.3740147817</v>
      </c>
      <c r="BC338" s="263">
        <f>IFERROR((N(BC149)+N(BC159)+N(BC162)+N(BC163)+N(BC172))-N(BC223),0)</f>
        <v>65084.8731316008</v>
      </c>
      <c r="BD338" s="263">
        <f>IFERROR((N(BD149)+N(BD159)+N(BD162)+N(BD163)+N(BD172))-N(BD223),0)</f>
        <v>65355.4145175405</v>
      </c>
      <c r="BE338" s="263">
        <f>IFERROR((N(BE149)+N(BE159)+N(BE162)+N(BE163)+N(BE172))-N(BE223),0)</f>
        <v>65630.4211986416</v>
      </c>
      <c r="BF338" s="263">
        <f>IFERROR((N(BF149)+N(BF159)+N(BF162)+N(BF163)+N(BF172))-N(BF223),0)</f>
        <v>65630.4211986416</v>
      </c>
      <c r="BG338" s="90" t="n"/>
      <c r="BH338" s="90" t="n"/>
      <c r="BI338" s="90" t="n"/>
      <c r="BJ338" s="90" t="n"/>
      <c r="BL338" s="90" t="n"/>
      <c r="BM338" s="90" t="n"/>
      <c r="BN338" s="90" t="n"/>
      <c r="BO338" s="90" t="n"/>
      <c r="BQ338" s="90" t="n"/>
      <c r="BR338" s="90" t="n"/>
      <c r="BS338" s="90" t="n"/>
      <c r="BT338" s="90" t="n"/>
      <c r="BV338" s="90" t="n"/>
      <c r="BW338" s="90" t="n"/>
      <c r="BX338" s="90" t="n"/>
      <c r="BY338" s="90" t="n"/>
      <c r="CA338" s="90" t="n"/>
      <c r="CB338" s="90" t="n"/>
      <c r="CC338" s="90" t="n"/>
      <c r="CD338" s="90" t="n"/>
      <c r="CF338" s="90" t="n"/>
      <c r="CG338" s="90" t="n"/>
      <c r="CH338" s="90" t="n"/>
      <c r="CI338" s="90" t="n"/>
      <c r="CK338" s="90" t="n"/>
      <c r="CL338" s="90" t="n"/>
      <c r="CM338" s="90" t="n"/>
      <c r="CN338" s="90" t="n"/>
      <c r="CP338" s="90" t="n"/>
      <c r="CQ338" s="90" t="n"/>
      <c r="CR338" s="90" t="n"/>
      <c r="CS338" s="90" t="n"/>
      <c r="CU338" s="90" t="n"/>
      <c r="CV338" s="90" t="n"/>
      <c r="CW338" s="90" t="n"/>
      <c r="CX338" s="90" t="n"/>
    </row>
    <row r="339" customFormat="1" s="77">
      <c r="A339" s="76" t="n"/>
      <c r="B339" s="76" t="n"/>
    </row>
    <row r="340" customFormat="1" s="77">
      <c r="A340" s="76" t="n"/>
      <c r="B340" s="76" t="n"/>
    </row>
    <row r="341" customFormat="1" s="77">
      <c r="A341" s="76" t="n"/>
      <c r="B341" s="76" t="n"/>
    </row>
    <row r="342" customFormat="1" s="77">
      <c r="A342" s="76" t="n"/>
      <c r="B342" s="76" t="n"/>
    </row>
    <row r="343" customFormat="1" s="77">
      <c r="A343" s="76" t="n"/>
      <c r="B343" s="76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  <c r="C346" s="74" t="inlineStr">
        <is>
          <t>DUPONT ANALYSIS</t>
        </is>
      </c>
    </row>
    <row r="347" customFormat="1" s="77">
      <c r="A347" s="76" t="n"/>
      <c r="B347" s="76" t="n"/>
      <c r="C347" s="77" t="inlineStr">
        <is>
          <t>NET PROFIT MARGIN (LTM)</t>
        </is>
      </c>
      <c r="D347" s="84" t="str">
        <f>IFERROR(D120/D15,"")</f>
        <v/>
      </c>
      <c r="E347" s="84" t="str">
        <f>IFERROR(E120/E15,"")</f>
        <v/>
      </c>
      <c r="F347" s="84" t="str">
        <f>IFERROR(F120/F15,"")</f>
        <v/>
      </c>
      <c r="G347" s="84" t="str">
        <f>IFERROR(G120/G15,"")</f>
        <v/>
      </c>
      <c r="H347" s="258" t="str">
        <f>IFERROR(IF(AND(COUNT(H120)=1,(H15)&lt;&gt;0),(H120)/(H15),""),"")</f>
        <v/>
      </c>
      <c r="I347" s="257" t="str">
        <f>""</f>
        <v/>
      </c>
      <c r="J347" s="257" t="str">
        <f>""</f>
        <v/>
      </c>
      <c r="K347" s="257" t="str">
        <f>""</f>
        <v/>
      </c>
      <c r="L347" s="257">
        <f>IFERROR(IF(AND(COUNT(I120,J120,K120,L120)=4,(I15+J15+K15+L15)&lt;&gt;0),(I120+J120+K120+L120)/(I15+J15+K15+L15),""),"")</f>
        <v>0.515916316677788</v>
      </c>
      <c r="M347" s="258">
        <f>IFERROR(IF(AND(COUNT(I120,J120,K120,L120)=4,(I15+J15+K15+L15)&lt;&gt;0),(I120+J120+K120+L120)/(I15+J15+K15+L15),""),"")</f>
        <v>0.515916316677788</v>
      </c>
      <c r="N347" s="257">
        <f>IFERROR(IF(AND(COUNT(J120,K120,L120,N120)=4,(J15+K15+L15+N15)&lt;&gt;0),(J120+K120+L120+N120)/(J15+K15+L15+N15),""),"")</f>
        <v>0.511007164866169</v>
      </c>
      <c r="O347" s="257">
        <f>IFERROR(IF(AND(COUNT(K120,L120,N120,O120)=4,(K15+L15+N15+O15)&lt;&gt;0),(K120+L120+N120+O120)/(K15+L15+N15+O15),""),"")</f>
        <v>0.519941599601168</v>
      </c>
      <c r="P347" s="257">
        <f>IFERROR(IF(AND(COUNT(L120,N120,O120,P120)=4,(L15+N15+O15+P15)&lt;&gt;0),(L120+N120+O120+P120)/(L15+N15+O15+P15),""),"")</f>
        <v>0.510303650631184</v>
      </c>
      <c r="Q347" s="257">
        <f>IFERROR(IF(AND(COUNT(N120,O120,P120,Q120)=4,(N15+O15+P15+Q15)&lt;&gt;0),(N120+O120+P120+Q120)/(N15+O15+P15+Q15),""),"")</f>
        <v>0.502766091363832</v>
      </c>
      <c r="R347" s="258">
        <f>IFERROR(IF(AND(COUNT(N120,O120,P120,Q120)=4,(N15+O15+P15+Q15)&lt;&gt;0),(N120+O120+P120+Q120)/(N15+O15+P15+Q15),""),"")</f>
        <v>0.502766091363832</v>
      </c>
      <c r="S347" s="257">
        <f>IFERROR(IF(AND(COUNT(O120,P120,Q120,S120)=4,(O15+P15+Q15+S15)&lt;&gt;0),(O120+P120+Q120+S120)/(O15+P15+Q15+S15),""),"")</f>
        <v>0.509537488300036</v>
      </c>
      <c r="T347" s="257">
        <f>IFERROR(IF(AND(COUNT(P120,Q120,S120,T120)=4,(P15+Q15+S15+T15)&lt;&gt;0),(P120+Q120+S120+T120)/(P15+Q15+S15+T15),""),"")</f>
        <v>0.51936791178411</v>
      </c>
      <c r="U347" s="257">
        <f>IFERROR(IF(AND(COUNT(Q120,S120,T120,U120)=4,(Q15+S15+T15+U15)&lt;&gt;0),(Q120+S120+T120+U120)/(Q15+S15+T15+U15),""),"")</f>
        <v>0.528986616849907</v>
      </c>
      <c r="V347" s="257">
        <f>IFERROR(IF(AND(COUNT(S120,T120,U120,V120)=4,(S15+T15+U15+V15)&lt;&gt;0),(S120+T120+U120+V120)/(S15+T15+U15+V15),""),"")</f>
        <v>0.539234205870888</v>
      </c>
      <c r="W347" s="258">
        <f>IFERROR(IF(AND(COUNT(S120,T120,U120,V120)=4,(S15+T15+U15+V15)&lt;&gt;0),(S120+T120+U120+V120)/(S15+T15+U15+V15),""),"")</f>
        <v>0.539234205870888</v>
      </c>
      <c r="X347" s="257">
        <f>IFERROR(IF(AND(COUNT(T120,U120,V120,X120)=4,(T15+U15+V15+X15)&lt;&gt;0),(T120+U120+V120+X120)/(T15+U15+V15+X15),""),"")</f>
        <v>0.538648545736797</v>
      </c>
      <c r="Y347" s="257">
        <f>IFERROR(IF(AND(COUNT(U120,V120,X120,Y120)=4,(U15+V15+X15+Y15)&lt;&gt;0),(U120+V120+X120+Y120)/(U15+V15+X15+Y15),""),"")</f>
        <v>0.547167649922676</v>
      </c>
      <c r="Z347" s="257">
        <f>IFERROR(IF(AND(COUNT(V120,X120,Y120,Z120)=4,(V15+X15+Y15+Z15)&lt;&gt;0),(V120+X120+Y120+Z120)/(V15+X15+Y15+Z15),""),"")</f>
        <v>0.549546289595279</v>
      </c>
      <c r="AA347" s="257">
        <f>IFERROR(IF(AND(COUNT(X120,Y120,Z120,AA120)=4,(X15+Y15+Z15+AA15)&lt;&gt;0),(X120+Y120+Z120+AA120)/(X15+Y15+Z15+AA15),""),"")</f>
        <v>0.542687897396881</v>
      </c>
      <c r="AB347" s="258">
        <f>IFERROR(IF(AND(COUNT(X120,Y120,Z120,AA120)=4,(X15+Y15+Z15+AA15)&lt;&gt;0),(X120+Y120+Z120+AA120)/(X15+Y15+Z15+AA15),""),"")</f>
        <v>0.542687897396881</v>
      </c>
      <c r="AC347" s="257">
        <f>IFERROR(IF(AND(COUNT(Y120,Z120,AA120,AC120)=4,(Y15+Z15+AA15+AC15)&lt;&gt;0),(Y120+Z120+AA120+AC120)/(Y15+Z15+AA15+AC15),""),"")</f>
        <v>0.528587756837936</v>
      </c>
      <c r="AD347" s="257">
        <f>IFERROR(IF(AND(COUNT(Z120,AA120,AC120,AD120)=4,(Z15+AA15+AC15+AD15)&lt;&gt;0),(Z120+AA120+AC120+AD120)/(Z15+AA15+AC15+AD15),""),"")</f>
        <v>0.521584861028977</v>
      </c>
      <c r="AE347" s="257">
        <f>IFERROR(IF(AND(COUNT(AA120,AC120,AD120,AE120)=4,(AA15+AC15+AD15+AE15)&lt;&gt;0),(AA120+AC120+AD120+AE120)/(AA15+AC15+AD15+AE15),""),"")</f>
        <v>0.50145</v>
      </c>
      <c r="AF347" s="257">
        <f>IFERROR(IF(AND(COUNT(AB120,AD120,AE120,AF120)=4,(AB15+AD15+AE15+AF15)&lt;&gt;0),(AB120+AD120+AE120+AF120)/(AB15+AD15+AE15+AF15),""),"")</f>
        <v>0.527514978352454</v>
      </c>
      <c r="AG347" s="258">
        <f>IFERROR(IF(AND(COUNT(AC120,AD120,AE120,AF120)=4,(AC15+AD15+AE15+AF15)&lt;&gt;0),(AC120+AD120+AE120+AF120)/(AC15+AD15+AE15+AF15),""),"")</f>
        <v>0.502331424705854</v>
      </c>
      <c r="AH347" s="257">
        <f>IFERROR(IF(AND(COUNT(AD120,AF120,AG120,AH120)=4,(AD15+AF15+AG15+AH15)&lt;&gt;0),(AD120+AF120+AG120+AH120)/(AD15+AF15+AG15+AH15),""),"")</f>
        <v>0.514804461692947</v>
      </c>
      <c r="AI347" s="257">
        <f>IFERROR(IF(AND(COUNT(AE120,AG120,AH120,AI120)=4,(AE15+AG15+AH15+AI15)&lt;&gt;0),(AE120+AG120+AH120+AI120)/(AE15+AG15+AH15+AI15),""),"")</f>
        <v>0.500560164314866</v>
      </c>
      <c r="AJ347" s="257">
        <f>IFERROR(IF(AND(COUNT(AF120,AH120,AI120,AJ120)=4,(AF15+AH15+AI15+AJ15)&lt;&gt;0),(AF120+AH120+AI120+AJ120)/(AF15+AH15+AI15+AJ15),""),"")</f>
        <v>0.517951124072664</v>
      </c>
      <c r="AK347" s="257">
        <f>IFERROR(IF(AND(COUNT(AH120,AI120,AJ120,AK120)=4,(AH15+AI15+AJ15+AK15)&lt;&gt;0),(AH120+AI120+AJ120+AK120)/(AH15+AI15+AJ15+AK15),""),"")</f>
        <v>0.5132912481611</v>
      </c>
      <c r="AL347" s="258">
        <f>IFERROR(IF(AND(COUNT(AH120,AI120,AJ120,AK120)=4,(AH15+AI15+AJ15+AK15)&lt;&gt;0),(AH120+AI120+AJ120+AK120)/(AH15+AI15+AJ15+AK15),""),"")</f>
        <v>0.5132912481611</v>
      </c>
      <c r="AM347" s="257">
        <f>IFERROR(IF(AND(COUNT(AI120,AJ120,AK120,AM120)=4,(AI15+AJ15+AK15+AM15)&lt;&gt;0),(AI120+AJ120+AK120+AM120)/(AI15+AJ15+AK15+AM15),""),"")</f>
        <v>0.508961206731973</v>
      </c>
      <c r="AN347" s="257">
        <f>IFERROR(IF(AND(COUNT(AJ120,AK120,AM120,AN120)=4,(AJ15+AK15+AM15+AN15)&lt;&gt;0),(AJ120+AK120+AM120+AN120)/(AJ15+AK15+AM15+AN15),""),"")</f>
        <v>0.516809577472835</v>
      </c>
      <c r="AO347" s="257">
        <f>IFERROR(IF(AND(COUNT(AK120,AM120,AN120,AO120)=4,(AK15+AM15+AN15+AO15)&lt;&gt;0),(AK120+AM120+AN120+AO120)/(AK15+AM15+AN15+AO15),""),"")</f>
        <v>0.516809577472835</v>
      </c>
      <c r="AP347" s="257">
        <f>IFERROR(IF(AND(COUNT(AM120,AN120,AO120,AP120)=4,(AM15+AN15+AO15+AP15)&lt;&gt;0),(AM120+AN120+AO120+AP120)/(AM15+AN15+AO15+AP15),""),"")</f>
        <v>0.516809577472835</v>
      </c>
      <c r="AQ347" s="258">
        <f>IFERROR(IF(AND(COUNT(AM120,AN120,AO120,AP120)=4,(AM15+AN15+AO15+AP15)&lt;&gt;0),(AM120+AN120+AO120+AP120)/(AM15+AN15+AO15+AP15),""),"")</f>
        <v>0.516809577472835</v>
      </c>
      <c r="AR347" s="257">
        <f>IFERROR(IF(AND(COUNT(AN120,AO120,AP120,AR120)=4,(AN15+AO15+AP15+AR15)&lt;&gt;0),(AN120+AO120+AP120+AR120)/(AN15+AO15+AP15+AR15),""),"")</f>
        <v>0.516809577472835</v>
      </c>
      <c r="AS347" s="257">
        <f>IFERROR(IF(AND(COUNT(AO120,AP120,AR120,AS120)=4,(AO15+AP15+AR15+AS15)&lt;&gt;0),(AO120+AP120+AR120+AS120)/(AO15+AP15+AR15+AS15),""),"")</f>
        <v>0.516809577472835</v>
      </c>
      <c r="AT347" s="257">
        <f>IFERROR(IF(AND(COUNT(AP120,AR120,AS120,AT120)=4,(AP15+AR15+AS15+AT15)&lt;&gt;0),(AP120+AR120+AS120+AT120)/(AP15+AR15+AS15+AT15),""),"")</f>
        <v>0.516809577472835</v>
      </c>
      <c r="AU347" s="257">
        <f>IFERROR(IF(AND(COUNT(AR120,AS120,AT120,AU120)=4,(AR15+AS15+AT15+AU15)&lt;&gt;0),(AR120+AS120+AT120+AU120)/(AR15+AS15+AT15+AU15),""),"")</f>
        <v>0.516809577472835</v>
      </c>
      <c r="AV347" s="258">
        <f>IFERROR(IF(AND(COUNT(AR120,AS120,AT120,AU120)=4,(AR15+AS15+AT15+AU15)&lt;&gt;0),(AR120+AS120+AT120+AU120)/(AR15+AS15+AT15+AU15),""),"")</f>
        <v>0.516809577472835</v>
      </c>
      <c r="AW347" s="257">
        <f>IFERROR(IF(AND(COUNT(AS120,AT120,AU120,AW120)=4,(AS15+AT15+AU15+AW15)&lt;&gt;0),(AS120+AT120+AU120+AW120)/(AS15+AT15+AU15+AW15),""),"")</f>
        <v>0.516809577472835</v>
      </c>
      <c r="AX347" s="257">
        <f>IFERROR(IF(AND(COUNT(AT120,AU120,AW120,AX120)=4,(AT15+AU15+AW15+AX15)&lt;&gt;0),(AT120+AU120+AW120+AX120)/(AT15+AU15+AW15+AX15),""),"")</f>
        <v>0.516809577472835</v>
      </c>
      <c r="AY347" s="257">
        <f>IFERROR(IF(AND(COUNT(AU120,AW120,AX120,AY120)=4,(AU15+AW15+AX15+AY15)&lt;&gt;0),(AU120+AW120+AX120+AY120)/(AU15+AW15+AX15+AY15),""),"")</f>
        <v>0.516809577472835</v>
      </c>
      <c r="AZ347" s="257">
        <f>IFERROR(IF(AND(COUNT(AW120,AX120,AY120,AZ120)=4,(AW15+AX15+AY15+AZ15)&lt;&gt;0),(AW120+AX120+AY120+AZ120)/(AW15+AX15+AY15+AZ15),""),"")</f>
        <v>0.516809577472835</v>
      </c>
      <c r="BA347" s="258">
        <f>IFERROR(IF(AND(COUNT(AW120,AX120,AY120,AZ120)=4,(AW15+AX15+AY15+AZ15)&lt;&gt;0),(AW120+AX120+AY120+AZ120)/(AW15+AX15+AY15+AZ15),""),"")</f>
        <v>0.516809577472835</v>
      </c>
      <c r="BB347" s="257">
        <f>IFERROR(IF(AND(COUNT(AX120,AY120,AZ120,BB120)=4,(AX15+AY15+AZ15+BB15)&lt;&gt;0),(AX120+AY120+AZ120+BB120)/(AX15+AY15+AZ15+BB15),""),"")</f>
        <v>0.516809577472835</v>
      </c>
      <c r="BC347" s="257">
        <f>IFERROR(IF(AND(COUNT(AY120,AZ120,BB120,BC120)=4,(AY15+AZ15+BB15+BC15)&lt;&gt;0),(AY120+AZ120+BB120+BC120)/(AY15+AZ15+BB15+BC15),""),"")</f>
        <v>0.516809577472835</v>
      </c>
      <c r="BD347" s="257">
        <f>IFERROR(IF(AND(COUNT(AZ120,BB120,BC120,BD120)=4,(AZ15+BB15+BC15+BD15)&lt;&gt;0),(AZ120+BB120+BC120+BD120)/(AZ15+BB15+BC15+BD15),""),"")</f>
        <v>0.516809577472835</v>
      </c>
      <c r="BE347" s="257">
        <f>IFERROR(IF(AND(COUNT(BB120,BC120,BD120,BE120)=4,(BB15+BC15+BD15+BE15)&lt;&gt;0),(BB120+BC120+BD120+BE120)/(BB15+BC15+BD15+BE15),""),"")</f>
        <v>0.516809577472835</v>
      </c>
      <c r="BF347" s="258">
        <f>IFERROR(IF(AND(COUNT(BB120,BC120,BD120,BE120)=4,(BB15+BC15+BD15+BE15)&lt;&gt;0),(BB120+BC120+BD120+BE120)/(BB15+BC15+BD15+BE15),""),"")</f>
        <v>0.516809577472835</v>
      </c>
      <c r="BG347" s="81" t="n"/>
      <c r="BH347" s="81" t="n"/>
      <c r="BI347" s="81" t="n"/>
      <c r="BJ347" s="81" t="n"/>
      <c r="BL347" s="81" t="n"/>
      <c r="BM347" s="81" t="n"/>
      <c r="BN347" s="81" t="n"/>
      <c r="BO347" s="81" t="n"/>
      <c r="BQ347" s="81" t="n"/>
      <c r="BR347" s="81" t="n"/>
      <c r="BS347" s="81" t="n"/>
      <c r="BT347" s="81" t="n"/>
      <c r="BV347" s="81" t="n"/>
      <c r="BW347" s="81" t="n"/>
      <c r="BX347" s="81" t="n"/>
      <c r="BY347" s="81" t="n"/>
      <c r="CA347" s="81" t="n"/>
      <c r="CB347" s="81" t="n"/>
      <c r="CC347" s="81" t="n"/>
      <c r="CD347" s="81" t="n"/>
      <c r="CF347" s="81" t="n"/>
      <c r="CG347" s="81" t="n"/>
      <c r="CH347" s="81" t="n"/>
      <c r="CI347" s="81" t="n"/>
      <c r="CK347" s="81" t="n"/>
      <c r="CL347" s="81" t="n"/>
      <c r="CM347" s="81" t="n"/>
      <c r="CN347" s="81" t="n"/>
      <c r="CP347" s="81" t="n"/>
      <c r="CQ347" s="81" t="n"/>
      <c r="CR347" s="81" t="n"/>
      <c r="CS347" s="81" t="n"/>
      <c r="CU347" s="81" t="n"/>
      <c r="CV347" s="81" t="n"/>
      <c r="CW347" s="81" t="n"/>
      <c r="CX347" s="81" t="n"/>
    </row>
    <row r="348" customFormat="1" s="77">
      <c r="A348" s="76" t="n"/>
      <c r="B348" s="76" t="n"/>
      <c r="C348" s="77" t="inlineStr">
        <is>
          <t>ASSET TURNOVER (LTM REVENUE / ASSETS)</t>
        </is>
      </c>
      <c r="D348" s="84" t="str">
        <f>IFERROR(D15/D180,"")</f>
        <v/>
      </c>
      <c r="E348" s="84" t="str">
        <f>IFERROR(E15/E180,"")</f>
        <v/>
      </c>
      <c r="F348" s="84" t="str">
        <f>IFERROR(F15/F180,"")</f>
        <v/>
      </c>
      <c r="G348" s="84" t="str">
        <f>IFERROR(G15/G180,"")</f>
        <v/>
      </c>
      <c r="H348" s="262" t="str">
        <f>IFERROR(IF(AND(COUNT(H15)=1,N(H180)&lt;&gt;0),(H15)/H180,""),"")</f>
        <v/>
      </c>
      <c r="I348" s="264" t="str">
        <f>""</f>
        <v/>
      </c>
      <c r="J348" s="264" t="str">
        <f>""</f>
        <v/>
      </c>
      <c r="K348" s="264" t="str">
        <f>""</f>
        <v/>
      </c>
      <c r="L348" s="264">
        <f>IFERROR(IF(AND(COUNT(I15,J15,K15,L15)=4,N(L180)&lt;&gt;0),(I15+J15+K15+L15)/L180,""),"")</f>
        <v>0.310964371590035</v>
      </c>
      <c r="M348" s="262">
        <f>IFERROR(IF(AND(COUNT(I15,J15,K15,L15)=4,N(M180)&lt;&gt;0),(I15+J15+K15+L15)/M180,""),"")</f>
        <v>0.310964371590035</v>
      </c>
      <c r="N348" s="264">
        <f>IFERROR(IF(AND(COUNT(J15,K15,L15,N15)=4,N(N180)&lt;&gt;0),(J15+K15+L15+N15)/N180,""),"")</f>
        <v>0.329270975943673</v>
      </c>
      <c r="O348" s="264">
        <f>IFERROR(IF(AND(COUNT(K15,L15,N15,O15)=4,N(O180)&lt;&gt;0),(K15+L15+N15+O15)/O180,""),"")</f>
        <v>0.328790539749444</v>
      </c>
      <c r="P348" s="264">
        <f>IFERROR(IF(AND(COUNT(L15,N15,O15,P15)=4,N(P180)&lt;&gt;0),(L15+N15+O15+P15)/P180,""),"")</f>
        <v>0.342803008151951</v>
      </c>
      <c r="Q348" s="264">
        <f>IFERROR(IF(AND(COUNT(N15,O15,P15,Q15)=4,N(Q180)&lt;&gt;0),(N15+O15+P15+Q15)/Q180,""),"")</f>
        <v>0.353531568037289</v>
      </c>
      <c r="R348" s="262">
        <f>IFERROR(IF(AND(COUNT(N15,O15,P15,Q15)=4,N(R180)&lt;&gt;0),(N15+O15+P15+Q15)/R180,""),"")</f>
        <v>0.353531568037289</v>
      </c>
      <c r="S348" s="264">
        <f>IFERROR(IF(AND(COUNT(O15,P15,Q15,S15)=4,N(S180)&lt;&gt;0),(O15+P15+Q15+S15)/S180,""),"")</f>
        <v>0.357132153766354</v>
      </c>
      <c r="T348" s="264">
        <f>IFERROR(IF(AND(COUNT(P15,Q15,S15,T15)=4,N(T180)&lt;&gt;0),(P15+Q15+S15+T15)/T180,""),"")</f>
        <v>0.356713808637963</v>
      </c>
      <c r="U348" s="264">
        <f>IFERROR(IF(AND(COUNT(Q15,S15,T15,U15)=4,N(U180)&lt;&gt;0),(Q15+S15+T15+U15)/U180,""),"")</f>
        <v>0.360810616691897</v>
      </c>
      <c r="V348" s="264">
        <f>IFERROR(IF(AND(COUNT(S15,T15,U15,V15)=4,N(V180)&lt;&gt;0),(S15+T15+U15+V15)/V180,""),"")</f>
        <v>0.364854664201556</v>
      </c>
      <c r="W348" s="262">
        <f>IFERROR(IF(AND(COUNT(S15,T15,U15,V15)=4,N(W180)&lt;&gt;0),(S15+T15+U15+V15)/W180,""),"")</f>
        <v>0.364854664201556</v>
      </c>
      <c r="X348" s="264">
        <f>IFERROR(IF(AND(COUNT(T15,U15,V15,X15)=4,N(X180)&lt;&gt;0),(T15+U15+V15+X15)/X180,""),"")</f>
        <v>0.369495340858667</v>
      </c>
      <c r="Y348" s="264">
        <f>IFERROR(IF(AND(COUNT(U15,V15,X15,Y15)=4,N(Y180)&lt;&gt;0),(U15+V15+X15+Y15)/Y180,""),"")</f>
        <v>0.383545694200352</v>
      </c>
      <c r="Z348" s="264">
        <f>IFERROR(IF(AND(COUNT(V15,X15,Y15,Z15)=4,N(Z180)&lt;&gt;0),(V15+X15+Y15+Z15)/Z180,""),"")</f>
        <v>0.380125064807271</v>
      </c>
      <c r="AA348" s="264">
        <f>IFERROR(IF(AND(COUNT(X15,Y15,Z15,AA15)=4,N(AA180)&lt;&gt;0),(X15+Y15+Z15+AA15)/AA180,""),"")</f>
        <v>0.400509315688664</v>
      </c>
      <c r="AB348" s="262">
        <f>IFERROR(IF(AND(COUNT(X15,Y15,Z15,AA15)=4,N(AB180)&lt;&gt;0),(X15+Y15+Z15+AA15)/AB180,""),"")</f>
        <v>0.400509315688664</v>
      </c>
      <c r="AC348" s="264">
        <f>IFERROR(IF(AND(COUNT(Y15,Z15,AA15,AC15)=4,N(AC180)&lt;&gt;0),(Y15+Z15+AA15+AC15)/AC180,""),"")</f>
        <v>0.405167307464487</v>
      </c>
      <c r="AD348" s="264">
        <f>IFERROR(IF(AND(COUNT(Z15,AA15,AC15,AD15)=4,N(AD180)&lt;&gt;0),(Z15+AA15+AC15+AD15)/AD180,""),"")</f>
        <v>0.388836679196993</v>
      </c>
      <c r="AE348" s="264">
        <f>IFERROR(IF(AND(COUNT(AA15,AC15,AD15,AE15)=4,N(AE180)&lt;&gt;0),(AA15+AC15+AD15+AE15)/AE180,""),"")</f>
        <v>0.401497585995764</v>
      </c>
      <c r="AF348" s="264">
        <f>IFERROR(IF(AND(COUNT(AB15,AD15,AE15,AF15)=4,N(AF180)&lt;&gt;0),(AB15+AD15+AE15+AF15)/AF180,""),"")</f>
        <v>0.708564876980602</v>
      </c>
      <c r="AG348" s="262">
        <f>IFERROR(IF(AND(COUNT(AC15,AD15,AE15,AF15)=4,N(AG180)&lt;&gt;0),(AC15+AD15+AE15+AF15)/AG180,""),"")</f>
        <v>0.427531142190179</v>
      </c>
      <c r="AH348" s="264">
        <f>IFERROR(IF(AND(COUNT(AD15,AF15,AG15,AH15)=4,N(AH180)&lt;&gt;0),(AD15+AF15+AG15+AH15)/AH180,""),"")</f>
        <v>0.775326410588223</v>
      </c>
      <c r="AI348" s="264">
        <f>IFERROR(IF(AND(COUNT(AE15,AG15,AH15,AI15)=4,N(AI180)&lt;&gt;0),(AE15+AG15+AH15+AI15)/AI180,""),"")</f>
        <v>0.792663072206364</v>
      </c>
      <c r="AJ348" s="264">
        <f>IFERROR(IF(AND(COUNT(AF15,AH15,AI15,AJ15)=4,N(AJ180)&lt;&gt;0),(AF15+AH15+AI15+AJ15)/AJ180,""),"")</f>
        <v>0.453220192876657</v>
      </c>
      <c r="AK348" s="264">
        <f>IFERROR(IF(AND(COUNT(AH15,AI15,AJ15,AK15)=4,N(AK180)&lt;&gt;0),(AH15+AI15+AJ15+AK15)/AK180,""),"")</f>
        <v>0.435273267800228</v>
      </c>
      <c r="AL348" s="262">
        <f>IFERROR(IF(AND(COUNT(AH15,AI15,AJ15,AK15)=4,N(AL180)&lt;&gt;0),(AH15+AI15+AJ15+AK15)/AL180,""),"")</f>
        <v>0.435273267800228</v>
      </c>
      <c r="AM348" s="264">
        <f>IFERROR(IF(AND(COUNT(AI15,AJ15,AK15,AM15)=4,N(AM180)&lt;&gt;0),(AI15+AJ15+AK15+AM15)/AM180,""),"")</f>
        <v>0.418776342727618</v>
      </c>
      <c r="AN348" s="264">
        <f>IFERROR(IF(AND(COUNT(AJ15,AK15,AM15,AN15)=4,N(AN180)&lt;&gt;0),(AJ15+AK15+AM15+AN15)/AN180,""),"")</f>
        <v>0.403463999734737</v>
      </c>
      <c r="AO348" s="264">
        <f>IFERROR(IF(AND(COUNT(AK15,AM15,AN15,AO15)=4,N(AO180)&lt;&gt;0),(AK15+AM15+AN15+AO15)/AO180,""),"")</f>
        <v>0.389090694281711</v>
      </c>
      <c r="AP348" s="264">
        <f>IFERROR(IF(AND(COUNT(AM15,AN15,AO15,AP15)=4,N(AP180)&lt;&gt;0),(AM15+AN15+AO15+AP15)/AP180,""),"")</f>
        <v>0.375769545143507</v>
      </c>
      <c r="AQ348" s="262">
        <f>IFERROR(IF(AND(COUNT(AM15,AN15,AO15,AP15)=4,N(AQ180)&lt;&gt;0),(AM15+AN15+AO15+AP15)/AQ180,""),"")</f>
        <v>0.375769545143507</v>
      </c>
      <c r="AR348" s="264">
        <f>IFERROR(IF(AND(COUNT(AN15,AO15,AP15,AR15)=4,N(AR180)&lt;&gt;0),(AN15+AO15+AP15+AR15)/AR180,""),"")</f>
        <v>0.363094643205601</v>
      </c>
      <c r="AS348" s="264">
        <f>IFERROR(IF(AND(COUNT(AO15,AP15,AR15,AS15)=4,N(AS180)&lt;&gt;0),(AO15+AP15+AR15+AS15)/AS180,""),"")</f>
        <v>0.351104223810445</v>
      </c>
      <c r="AT348" s="264">
        <f>IFERROR(IF(AND(COUNT(AP15,AR15,AS15,AT15)=4,N(AT180)&lt;&gt;0),(AP15+AR15+AS15+AT15)/AT180,""),"")</f>
        <v>0.339658846462217</v>
      </c>
      <c r="AU348" s="264">
        <f>IFERROR(IF(AND(COUNT(AR15,AS15,AT15,AU15)=4,N(AU180)&lt;&gt;0),(AR15+AS15+AT15+AU15)/AU180,""),"")</f>
        <v>0.328844615945698</v>
      </c>
      <c r="AV348" s="262">
        <f>IFERROR(IF(AND(COUNT(AR15,AS15,AT15,AU15)=4,N(AV180)&lt;&gt;0),(AR15+AS15+AT15+AU15)/AV180,""),"")</f>
        <v>0.328844615945698</v>
      </c>
      <c r="AW348" s="264">
        <f>IFERROR(IF(AND(COUNT(AS15,AT15,AU15,AW15)=4,N(AW180)&lt;&gt;0),(AS15+AT15+AU15+AW15)/AW180,""),"")</f>
        <v>0.318431054469921</v>
      </c>
      <c r="AX348" s="264">
        <f>IFERROR(IF(AND(COUNT(AT15,AU15,AW15,AX15)=4,N(AX180)&lt;&gt;0),(AT15+AU15+AW15+AX15)/AX180,""),"")</f>
        <v>0.308435125933322</v>
      </c>
      <c r="AY348" s="264">
        <f>IFERROR(IF(AND(COUNT(AU15,AW15,AX15,AY15)=4,N(AY180)&lt;&gt;0),(AU15+AW15+AX15+AY15)/AY180,""),"")</f>
        <v>0.298774417237228</v>
      </c>
      <c r="AZ348" s="264">
        <f>IFERROR(IF(AND(COUNT(AW15,AX15,AY15,AZ15)=4,N(AZ180)&lt;&gt;0),(AW15+AX15+AY15+AZ15)/AZ180,""),"")</f>
        <v>0.289506984358421</v>
      </c>
      <c r="BA348" s="262">
        <f>IFERROR(IF(AND(COUNT(AW15,AX15,AY15,AZ15)=4,N(BA180)&lt;&gt;0),(AW15+AX15+AY15+AZ15)/BA180,""),"")</f>
        <v>0.289506984358421</v>
      </c>
      <c r="BB348" s="264">
        <f>IFERROR(IF(AND(COUNT(AX15,AY15,AZ15,BB15)=4,N(BB180)&lt;&gt;0),(AX15+AY15+AZ15+BB15)/BB180,""),"")</f>
        <v>0.280519229533967</v>
      </c>
      <c r="BC348" s="264">
        <f>IFERROR(IF(AND(COUNT(AY15,AZ15,BB15,BC15)=4,N(BC180)&lt;&gt;0),(AY15+AZ15+BB15+BC15)/BC180,""),"")</f>
        <v>0.271800703039324</v>
      </c>
      <c r="BD348" s="264">
        <f>IFERROR(IF(AND(COUNT(AZ15,BB15,BC15,BD15)=4,N(BD180)&lt;&gt;0),(AZ15+BB15+BC15+BD15)/BD180,""),"")</f>
        <v>0.26330348224572</v>
      </c>
      <c r="BE348" s="264">
        <f>IFERROR(IF(AND(COUNT(BB15,BC15,BD15,BE15)=4,N(BE180)&lt;&gt;0),(BB15+BC15+BD15+BE15)/BE180,""),"")</f>
        <v>0.255062093198625</v>
      </c>
      <c r="BF348" s="262">
        <f>IFERROR(IF(AND(COUNT(BB15,BC15,BD15,BE15)=4,N(BF180)&lt;&gt;0),(BB15+BC15+BD15+BE15)/BF180,""),"")</f>
        <v>0.255062093198625</v>
      </c>
      <c r="BG348" s="81" t="n"/>
      <c r="BH348" s="81" t="n"/>
      <c r="BI348" s="81" t="n"/>
      <c r="BJ348" s="81" t="n"/>
      <c r="BL348" s="81" t="n"/>
      <c r="BM348" s="81" t="n"/>
      <c r="BN348" s="81" t="n"/>
      <c r="BO348" s="81" t="n"/>
      <c r="BQ348" s="81" t="n"/>
      <c r="BR348" s="81" t="n"/>
      <c r="BS348" s="81" t="n"/>
      <c r="BT348" s="81" t="n"/>
      <c r="BV348" s="81" t="n"/>
      <c r="BW348" s="81" t="n"/>
      <c r="BX348" s="81" t="n"/>
      <c r="BY348" s="81" t="n"/>
      <c r="CA348" s="81" t="n"/>
      <c r="CB348" s="81" t="n"/>
      <c r="CC348" s="81" t="n"/>
      <c r="CD348" s="81" t="n"/>
      <c r="CF348" s="81" t="n"/>
      <c r="CG348" s="81" t="n"/>
      <c r="CH348" s="81" t="n"/>
      <c r="CI348" s="81" t="n"/>
      <c r="CK348" s="81" t="n"/>
      <c r="CL348" s="81" t="n"/>
      <c r="CM348" s="81" t="n"/>
      <c r="CN348" s="81" t="n"/>
      <c r="CP348" s="81" t="n"/>
      <c r="CQ348" s="81" t="n"/>
      <c r="CR348" s="81" t="n"/>
      <c r="CS348" s="81" t="n"/>
      <c r="CU348" s="81" t="n"/>
      <c r="CV348" s="81" t="n"/>
      <c r="CW348" s="81" t="n"/>
      <c r="CX348" s="81" t="n"/>
    </row>
    <row r="349" customFormat="1" s="77">
      <c r="A349" s="76" t="n"/>
      <c r="B349" s="76" t="n"/>
      <c r="C349" s="77" t="inlineStr">
        <is>
          <t>EQUITY MULTIPLIER (ASSETS / EQUITY)</t>
        </is>
      </c>
      <c r="D349" s="84" t="str">
        <f>IFERROR(D180/D254,"")</f>
        <v/>
      </c>
      <c r="E349" s="84" t="str">
        <f>IFERROR(E180/E254,"")</f>
        <v/>
      </c>
      <c r="F349" s="84" t="str">
        <f>IFERROR(F180/F254,"")</f>
        <v/>
      </c>
      <c r="G349" s="84" t="str">
        <f>IFERROR(G180/G254,"")</f>
        <v/>
      </c>
      <c r="H349" s="262" t="str">
        <f>IFERROR(IF(N(H254)&lt;&gt;0,H180/H254,""),"")</f>
        <v/>
      </c>
      <c r="I349" s="264">
        <f>IFERROR(IF(N(I254)&lt;&gt;0,I180/I254,""),"")</f>
        <v>2.12741404923599</v>
      </c>
      <c r="J349" s="264">
        <f>IFERROR(IF(N(J254)&lt;&gt;0,J180/J254,""),"")</f>
        <v>2.18764223339508</v>
      </c>
      <c r="K349" s="264">
        <f>IFERROR(IF(N(K254)&lt;&gt;0,K180/K254,""),"")</f>
        <v>2.20532602623108</v>
      </c>
      <c r="L349" s="264">
        <f>IFERROR(IF(N(L254)&lt;&gt;0,L180/L254,""),"")</f>
        <v>2.2636072277173</v>
      </c>
      <c r="M349" s="262">
        <f>IFERROR(IF(N(M254)&lt;&gt;0,M180/M254,""),"")</f>
        <v>2.2636072277173</v>
      </c>
      <c r="N349" s="264">
        <f>IFERROR(IF(N(N254)&lt;&gt;0,N180/N254,""),"")</f>
        <v>2.27313901469894</v>
      </c>
      <c r="O349" s="264">
        <f>IFERROR(IF(N(O254)&lt;&gt;0,O180/O254,""),"")</f>
        <v>2.40706817349153</v>
      </c>
      <c r="P349" s="264">
        <f>IFERROR(IF(N(P254)&lt;&gt;0,P180/P254,""),"")</f>
        <v>2.4029959810011</v>
      </c>
      <c r="Q349" s="264">
        <f>IFERROR(IF(N(Q254)&lt;&gt;0,Q180/Q254,""),"")</f>
        <v>2.31250677066407</v>
      </c>
      <c r="R349" s="262">
        <f>IFERROR(IF(N(R254)&lt;&gt;0,R180/R254,""),"")</f>
        <v>2.31250677066407</v>
      </c>
      <c r="S349" s="264">
        <f>IFERROR(IF(N(S254)&lt;&gt;0,S180/S254,""),"")</f>
        <v>2.24957863347595</v>
      </c>
      <c r="T349" s="264">
        <f>IFERROR(IF(N(T254)&lt;&gt;0,T180/T254,""),"")</f>
        <v>2.28916651702111</v>
      </c>
      <c r="U349" s="264">
        <f>IFERROR(IF(N(U254)&lt;&gt;0,U180/U254,""),"")</f>
        <v>2.33648310226422</v>
      </c>
      <c r="V349" s="264">
        <f>IFERROR(IF(N(V254)&lt;&gt;0,V180/V254,""),"")</f>
        <v>2.30058138071628</v>
      </c>
      <c r="W349" s="262">
        <f>IFERROR(IF(N(W254)&lt;&gt;0,W180/W254,""),"")</f>
        <v>2.30058138071628</v>
      </c>
      <c r="X349" s="264">
        <f>IFERROR(IF(N(X254)&lt;&gt;0,X180/X254,""),"")</f>
        <v>2.28230208719279</v>
      </c>
      <c r="Y349" s="264">
        <f>IFERROR(IF(N(Y254)&lt;&gt;0,Y180/Y254,""),"")</f>
        <v>2.29152508243349</v>
      </c>
      <c r="Z349" s="264">
        <f>IFERROR(IF(N(Z254)&lt;&gt;0,Z180/Z254,""),"")</f>
        <v>2.41487594859085</v>
      </c>
      <c r="AA349" s="264">
        <f>IFERROR(IF(N(AA254)&lt;&gt;0,AA180/AA254,""),"")</f>
        <v>2.39941508251515</v>
      </c>
      <c r="AB349" s="262">
        <f>IFERROR(IF(N(AB254)&lt;&gt;0,AB180/AB254,""),"")</f>
        <v>2.39941508251515</v>
      </c>
      <c r="AC349" s="264">
        <f>IFERROR(IF(N(AC254)&lt;&gt;0,AC180/AC254,""),"")</f>
        <v>2.44157244280831</v>
      </c>
      <c r="AD349" s="264">
        <f>IFERROR(IF(N(AD254)&lt;&gt;0,AD180/AD254,""),"")</f>
        <v>2.58700600041382</v>
      </c>
      <c r="AE349" s="264">
        <f>IFERROR(IF(N(AE254)&lt;&gt;0,AE180/AE254,""),"")</f>
        <v>2.62805666200638</v>
      </c>
      <c r="AF349" s="264">
        <f>IFERROR(IF(N(AF254)&lt;&gt;0,AF180/AF254,""),"")</f>
        <v>2.49668617995203</v>
      </c>
      <c r="AG349" s="262">
        <f>IFERROR(IF(N(AG254)&lt;&gt;0,AG180/AG254,""),"")</f>
        <v>2.49668617995203</v>
      </c>
      <c r="AH349" s="264">
        <f>IFERROR(IF(N(AH254)&lt;&gt;0,AH180/AH254,""),"")</f>
        <v>2.66534870026079</v>
      </c>
      <c r="AI349" s="264">
        <f>IFERROR(IF(N(AI254)&lt;&gt;0,AI180/AI254,""),"")</f>
        <v>2.68889646938427</v>
      </c>
      <c r="AJ349" s="264">
        <f>IFERROR(IF(N(AJ254)&lt;&gt;0,AJ180/AJ254,""),"")</f>
        <v>2.44419761817027</v>
      </c>
      <c r="AK349" s="264">
        <f>IFERROR(IF(N(AK254)&lt;&gt;0,AK180/AK254,""),"")</f>
        <v>2.27569909541969</v>
      </c>
      <c r="AL349" s="262">
        <f>IFERROR(IF(N(AL254)&lt;&gt;0,AL180/AL254,""),"")</f>
        <v>2.27569909541969</v>
      </c>
      <c r="AM349" s="264">
        <f>IFERROR(IF(N(AM254)&lt;&gt;0,AM180/AM254,""),"")</f>
        <v>2.14576849395198</v>
      </c>
      <c r="AN349" s="264">
        <f>IFERROR(IF(N(AN254)&lt;&gt;0,AN180/AN254,""),"")</f>
        <v>2.04279590396477</v>
      </c>
      <c r="AO349" s="264">
        <f>IFERROR(IF(N(AO254)&lt;&gt;0,AO180/AO254,""),"")</f>
        <v>1.95898561804375</v>
      </c>
      <c r="AP349" s="264">
        <f>IFERROR(IF(N(AP254)&lt;&gt;0,AP180/AP254,""),"")</f>
        <v>1.89269745023768</v>
      </c>
      <c r="AQ349" s="262">
        <f>IFERROR(IF(N(AQ254)&lt;&gt;0,AQ180/AQ254,""),"")</f>
        <v>1.89269745023768</v>
      </c>
      <c r="AR349" s="264">
        <f>IFERROR(IF(N(AR254)&lt;&gt;0,AR180/AR254,""),"")</f>
        <v>1.83832374725941</v>
      </c>
      <c r="AS349" s="264">
        <f>IFERROR(IF(N(AS254)&lt;&gt;0,AS180/AS254,""),"")</f>
        <v>1.79361097068842</v>
      </c>
      <c r="AT349" s="264">
        <f>IFERROR(IF(N(AT254)&lt;&gt;0,AT180/AT254,""),"")</f>
        <v>1.75631993018038</v>
      </c>
      <c r="AU349" s="264">
        <f>IFERROR(IF(N(AU254)&lt;&gt;0,AU180/AU254,""),"")</f>
        <v>1.72706245457894</v>
      </c>
      <c r="AV349" s="262">
        <f>IFERROR(IF(N(AV254)&lt;&gt;0,AV180/AV254,""),"")</f>
        <v>1.72706245457894</v>
      </c>
      <c r="AW349" s="264">
        <f>IFERROR(IF(N(AW254)&lt;&gt;0,AW180/AW254,""),"")</f>
        <v>1.70322878895875</v>
      </c>
      <c r="AX349" s="264">
        <f>IFERROR(IF(N(AX254)&lt;&gt;0,AX180/AX254,""),"")</f>
        <v>1.68433654688795</v>
      </c>
      <c r="AY349" s="264">
        <f>IFERROR(IF(N(AY254)&lt;&gt;0,AY180/AY254,""),"")</f>
        <v>1.66941996088393</v>
      </c>
      <c r="AZ349" s="264">
        <f>IFERROR(IF(N(AZ254)&lt;&gt;0,AZ180/AZ254,""),"")</f>
        <v>1.65943544704256</v>
      </c>
      <c r="BA349" s="262">
        <f>IFERROR(IF(N(BA254)&lt;&gt;0,BA180/BA254,""),"")</f>
        <v>1.65943544704256</v>
      </c>
      <c r="BB349" s="264">
        <f>IFERROR(IF(N(BB254)&lt;&gt;0,BB180/BB254,""),"")</f>
        <v>1.65252980632135</v>
      </c>
      <c r="BC349" s="264">
        <f>IFERROR(IF(N(BC254)&lt;&gt;0,BC180/BC254,""),"")</f>
        <v>1.64890797866853</v>
      </c>
      <c r="BD349" s="264">
        <f>IFERROR(IF(N(BD254)&lt;&gt;0,BD180/BD254,""),"")</f>
        <v>1.64802827112424</v>
      </c>
      <c r="BE349" s="264">
        <f>IFERROR(IF(N(BE254)&lt;&gt;0,BE180/BE254,""),"")</f>
        <v>1.65091234351114</v>
      </c>
      <c r="BF349" s="262">
        <f>IFERROR(IF(N(BF254)&lt;&gt;0,BF180/BF254,""),"")</f>
        <v>1.65091234351114</v>
      </c>
      <c r="BG349" s="81" t="n"/>
      <c r="BH349" s="81" t="n"/>
      <c r="BI349" s="81" t="n"/>
      <c r="BJ349" s="81" t="n"/>
      <c r="BL349" s="81" t="n"/>
      <c r="BM349" s="81" t="n"/>
      <c r="BN349" s="81" t="n"/>
      <c r="BO349" s="81" t="n"/>
      <c r="BQ349" s="81" t="n"/>
      <c r="BR349" s="81" t="n"/>
      <c r="BS349" s="81" t="n"/>
      <c r="BT349" s="81" t="n"/>
      <c r="BV349" s="81" t="n"/>
      <c r="BW349" s="81" t="n"/>
      <c r="BX349" s="81" t="n"/>
      <c r="BY349" s="81" t="n"/>
      <c r="CA349" s="81" t="n"/>
      <c r="CB349" s="81" t="n"/>
      <c r="CC349" s="81" t="n"/>
      <c r="CD349" s="81" t="n"/>
      <c r="CF349" s="81" t="n"/>
      <c r="CG349" s="81" t="n"/>
      <c r="CH349" s="81" t="n"/>
      <c r="CI349" s="81" t="n"/>
      <c r="CK349" s="81" t="n"/>
      <c r="CL349" s="81" t="n"/>
      <c r="CM349" s="81" t="n"/>
      <c r="CN349" s="81" t="n"/>
      <c r="CP349" s="81" t="n"/>
      <c r="CQ349" s="81" t="n"/>
      <c r="CR349" s="81" t="n"/>
      <c r="CS349" s="81" t="n"/>
      <c r="CU349" s="81" t="n"/>
      <c r="CV349" s="81" t="n"/>
      <c r="CW349" s="81" t="n"/>
      <c r="CX349" s="81" t="n"/>
    </row>
    <row r="350" customFormat="1" s="77">
      <c r="A350" s="76" t="n"/>
      <c r="B350" s="76" t="n"/>
      <c r="C350" s="77" t="inlineStr">
        <is>
          <t>ROE - DUPONT</t>
        </is>
      </c>
      <c r="D350" s="84">
        <f>IFERROR(PRODUCT(D347:D349),"")</f>
        <v>0</v>
      </c>
      <c r="E350" s="84">
        <f>IFERROR(PRODUCT(E347:E349),"")</f>
        <v>0</v>
      </c>
      <c r="F350" s="84">
        <f>IFERROR(PRODUCT(F347:F349),"")</f>
        <v>0</v>
      </c>
      <c r="G350" s="84">
        <f>IFERROR(PRODUCT(G347:G349),"")</f>
        <v>0</v>
      </c>
      <c r="H350" s="258" t="str">
        <f>IFERROR(IF(COUNT(H347,H348,H349)=3,H347*H348*H349,""),"")</f>
        <v/>
      </c>
      <c r="I350" s="257" t="str">
        <f>IFERROR(IF(COUNT(I347,I348,I349)=3,I347*I348*I349,""),"")</f>
        <v/>
      </c>
      <c r="J350" s="257" t="str">
        <f>IFERROR(IF(COUNT(J347,J348,J349)=3,J347*J348*J349,""),"")</f>
        <v/>
      </c>
      <c r="K350" s="257" t="str">
        <f>IFERROR(IF(COUNT(K347,K348,K349)=3,K347*K348*K349,""),"")</f>
        <v/>
      </c>
      <c r="L350" s="257">
        <f>IFERROR(IF(COUNT(L347,L348,L349)=3,L347*L348*L349,""),"")</f>
        <v>0.363154113941537</v>
      </c>
      <c r="M350" s="258">
        <f>IFERROR(IF(COUNT(M347,M348,M349)=3,M347*M348*M349,""),"")</f>
        <v>0.363154113941537</v>
      </c>
      <c r="N350" s="257">
        <f>IFERROR(IF(COUNT(N347,N348,N349)=3,N347*N348*N349,""),"")</f>
        <v>0.382477979382589</v>
      </c>
      <c r="O350" s="257">
        <f>IFERROR(IF(COUNT(O347,O348,O349)=3,O347*O348*O349,""),"")</f>
        <v>0.411492827551222</v>
      </c>
      <c r="P350" s="257">
        <f>IFERROR(IF(COUNT(P347,P348,P349)=3,P347*P348*P349,""),"")</f>
        <v>0.42036480143897</v>
      </c>
      <c r="Q350" s="257">
        <f>IFERROR(IF(COUNT(Q347,Q348,Q349)=3,Q347*Q348*Q349,""),"")</f>
        <v>0.411033474163146</v>
      </c>
      <c r="R350" s="258">
        <f>IFERROR(IF(COUNT(R347,R348,R349)=3,R347*R348*R349,""),"")</f>
        <v>0.411033474163146</v>
      </c>
      <c r="S350" s="257">
        <f>IFERROR(IF(COUNT(S347,S348,S349)=3,S347*S348*S349,""),"")</f>
        <v>0.409360819395825</v>
      </c>
      <c r="T350" s="257">
        <f>IFERROR(IF(COUNT(T347,T348,T349)=3,T347*T348*T349,""),"")</f>
        <v>0.424104050691362</v>
      </c>
      <c r="U350" s="257">
        <f>IFERROR(IF(COUNT(U347,U348,U349)=3,U347*U348*U349,""),"")</f>
        <v>0.445950481501562</v>
      </c>
      <c r="V350" s="257">
        <f>IFERROR(IF(COUNT(V347,V348,V349)=3,V347*V348*V349,""),"")</f>
        <v>0.452621246822541</v>
      </c>
      <c r="W350" s="258">
        <f>IFERROR(IF(COUNT(W347,W348,W349)=3,W347*W348*W349,""),"")</f>
        <v>0.452621246822541</v>
      </c>
      <c r="X350" s="257">
        <f>IFERROR(IF(COUNT(X347,X348,X349)=3,X347*X348*X349,""),"")</f>
        <v>0.454242311967395</v>
      </c>
      <c r="Y350" s="257">
        <f>IFERROR(IF(COUNT(Y347,Y348,Y349)=3,Y347*Y348*Y349,""),"")</f>
        <v>0.480908152734778</v>
      </c>
      <c r="Z350" s="257">
        <f>IFERROR(IF(COUNT(Z347,Z348,Z349)=3,Z347*Z348*Z349,""),"")</f>
        <v>0.504458696374275</v>
      </c>
      <c r="AA350" s="257">
        <f>IFERROR(IF(COUNT(AA347,AA348,AA349)=3,AA347*AA348*AA349,""),"")</f>
        <v>0.521516607478588</v>
      </c>
      <c r="AB350" s="258">
        <f>IFERROR(IF(COUNT(AB347,AB348,AB349)=3,AB347*AB348*AB349,""),"")</f>
        <v>0.521516607478588</v>
      </c>
      <c r="AC350" s="257">
        <f>IFERROR(IF(COUNT(AC347,AC348,AC349)=3,AC347*AC348*AC349,""),"")</f>
        <v>0.522902971338417</v>
      </c>
      <c r="AD350" s="257">
        <f>IFERROR(IF(COUNT(AD347,AD348,AD349)=3,AD347*AD348*AD349,""),"")</f>
        <v>0.524674115456238</v>
      </c>
      <c r="AE350" s="257">
        <f>IFERROR(IF(COUNT(AE347,AE348,AE349)=3,AE347*AE348*AE349,""),"")</f>
        <v>0.529109182516025</v>
      </c>
      <c r="AF350" s="257">
        <f>IFERROR(IF(COUNT(AF347,AF348,AF349)=3,AF347*AF348*AF349,""),"")</f>
        <v>0.933207829383397</v>
      </c>
      <c r="AG350" s="258">
        <f>IFERROR(IF(COUNT(AG347,AG348,AG349)=3,AG347*AG348*AG349,""),"")</f>
        <v>0.536194135698997</v>
      </c>
      <c r="AH350" s="257">
        <f>IFERROR(IF(COUNT(AH347,AH348,AH349)=3,AH347*AH348*AH349,""),"")</f>
        <v>1.06385126608901</v>
      </c>
      <c r="AI350" s="257">
        <f>IFERROR(IF(COUNT(AI347,AI348,AI349)=3,AI347*AI348*AI349,""),"")</f>
        <v>1.06688839615669</v>
      </c>
      <c r="AJ350" s="257">
        <f>IFERROR(IF(COUNT(AJ347,AJ348,AJ349)=3,AJ347*AJ348*AJ349,""),"")</f>
        <v>0.57376539007136</v>
      </c>
      <c r="AK350" s="257">
        <f>IFERROR(IF(COUNT(AK347,AK348,AK349)=3,AK347*AK348*AK349,""),"")</f>
        <v>0.508441149811913</v>
      </c>
      <c r="AL350" s="258">
        <f>IFERROR(IF(COUNT(AL347,AL348,AL349)=3,AL347*AL348*AL349,""),"")</f>
        <v>0.508441149811913</v>
      </c>
      <c r="AM350" s="257">
        <f>IFERROR(IF(COUNT(AM347,AM348,AM349)=3,AM347*AM348*AM349,""),"")</f>
        <v>0.457351055341355</v>
      </c>
      <c r="AN350" s="257">
        <f>IFERROR(IF(COUNT(AN347,AN348,AN349)=3,AN347*AN348*AN349,""),"")</f>
        <v>0.425951666110861</v>
      </c>
      <c r="AO350" s="257">
        <f>IFERROR(IF(COUNT(AO347,AO348,AO349)=3,AO347*AO348*AO349,""),"")</f>
        <v>0.393924184923822</v>
      </c>
      <c r="AP350" s="257">
        <f>IFERROR(IF(COUNT(AP347,AP348,AP349)=3,AP347*AP348*AP349,""),"")</f>
        <v>0.367564305064192</v>
      </c>
      <c r="AQ350" s="258">
        <f>IFERROR(IF(COUNT(AQ347,AQ348,AQ349)=3,AQ347*AQ348*AQ349,""),"")</f>
        <v>0.367564305064192</v>
      </c>
      <c r="AR350" s="257">
        <f>IFERROR(IF(COUNT(AR347,AR348,AR349)=3,AR347*AR348*AR349,""),"")</f>
        <v>0.344962901863869</v>
      </c>
      <c r="AS350" s="257">
        <f>IFERROR(IF(COUNT(AS347,AS348,AS349)=3,AS347*AS348*AS349,""),"")</f>
        <v>0.325457930913542</v>
      </c>
      <c r="AT350" s="257">
        <f>IFERROR(IF(COUNT(AT347,AT348,AT349)=3,AT347*AT348*AT349,""),"")</f>
        <v>0.3083025474947</v>
      </c>
      <c r="AU350" s="257">
        <f>IFERROR(IF(COUNT(AU347,AU348,AU349)=3,AU347*AU348*AU349,""),"")</f>
        <v>0.293514345364091</v>
      </c>
      <c r="AV350" s="258">
        <f>IFERROR(IF(COUNT(AV347,AV348,AV349)=3,AV347*AV348*AV349,""),"")</f>
        <v>0.293514345364091</v>
      </c>
      <c r="AW350" s="257">
        <f>IFERROR(IF(COUNT(AW347,AW348,AW349)=3,AW347*AW348*AW349,""),"")</f>
        <v>0.280297327862756</v>
      </c>
      <c r="AX350" s="257">
        <f>IFERROR(IF(COUNT(AX347,AX348,AX349)=3,AX347*AX348*AX349,""),"")</f>
        <v>0.268486996779032</v>
      </c>
      <c r="AY350" s="257">
        <f>IFERROR(IF(COUNT(AY347,AY348,AY349)=3,AY347*AY348*AY349,""),"")</f>
        <v>0.257774268616063</v>
      </c>
      <c r="AZ350" s="257">
        <f>IFERROR(IF(COUNT(AZ347,AZ348,AZ349)=3,AZ347*AZ348*AZ349,""),"")</f>
        <v>0.248284702150961</v>
      </c>
      <c r="BA350" s="258">
        <f>IFERROR(IF(COUNT(BA347,BA348,BA349)=3,BA347*BA348*BA349,""),"")</f>
        <v>0.248284702150961</v>
      </c>
      <c r="BB350" s="257">
        <f>IFERROR(IF(COUNT(BB347,BB348,BB349)=3,BB347*BB348*BB349,""),"")</f>
        <v>0.239575549139339</v>
      </c>
      <c r="BC350" s="257">
        <f>IFERROR(IF(COUNT(BC347,BC348,BC349)=3,BC347*BC348*BC349,""),"")</f>
        <v>0.231620795346138</v>
      </c>
      <c r="BD350" s="257">
        <f>IFERROR(IF(COUNT(BD347,BD348,BD349)=3,BD347*BD348*BD349,""),"")</f>
        <v>0.224259997869272</v>
      </c>
      <c r="BE350" s="257">
        <f>IFERROR(IF(COUNT(BE347,BE348,BE349)=3,BE347*BE348*BE349,""),"")</f>
        <v>0.217620842598154</v>
      </c>
      <c r="BF350" s="258">
        <f>IFERROR(IF(COUNT(BF347,BF348,BF349)=3,BF347*BF348*BF349,""),"")</f>
        <v>0.217620842598154</v>
      </c>
      <c r="BG350" s="81" t="n"/>
      <c r="BH350" s="81" t="n"/>
      <c r="BI350" s="81" t="n"/>
      <c r="BJ350" s="81" t="n"/>
      <c r="BL350" s="81" t="n"/>
      <c r="BM350" s="81" t="n"/>
      <c r="BN350" s="81" t="n"/>
      <c r="BO350" s="81" t="n"/>
      <c r="BQ350" s="81" t="n"/>
      <c r="BR350" s="81" t="n"/>
      <c r="BS350" s="81" t="n"/>
      <c r="BT350" s="81" t="n"/>
      <c r="BV350" s="81" t="n"/>
      <c r="BW350" s="81" t="n"/>
      <c r="BX350" s="81" t="n"/>
      <c r="BY350" s="81" t="n"/>
      <c r="CA350" s="81" t="n"/>
      <c r="CB350" s="81" t="n"/>
      <c r="CC350" s="81" t="n"/>
      <c r="CD350" s="81" t="n"/>
      <c r="CF350" s="81" t="n"/>
      <c r="CG350" s="81" t="n"/>
      <c r="CH350" s="81" t="n"/>
      <c r="CI350" s="81" t="n"/>
      <c r="CK350" s="81" t="n"/>
      <c r="CL350" s="81" t="n"/>
      <c r="CM350" s="81" t="n"/>
      <c r="CN350" s="81" t="n"/>
      <c r="CP350" s="81" t="n"/>
      <c r="CQ350" s="81" t="n"/>
      <c r="CR350" s="81" t="n"/>
      <c r="CS350" s="81" t="n"/>
      <c r="CU350" s="81" t="n"/>
      <c r="CV350" s="81" t="n"/>
      <c r="CW350" s="81" t="n"/>
      <c r="CX350" s="81" t="n"/>
    </row>
    <row r="351" customFormat="1" s="77">
      <c r="A351" s="76" t="n"/>
      <c r="B351" s="76" t="n"/>
      <c r="C351" s="77" t="inlineStr">
        <is>
          <t>ROE (LTM)</t>
        </is>
      </c>
      <c r="D351" s="84" t="str">
        <f>IFERROR(D120/D254,"")</f>
        <v/>
      </c>
      <c r="E351" s="84" t="str">
        <f>IFERROR(E120/E254,"")</f>
        <v/>
      </c>
      <c r="F351" s="84" t="str">
        <f>IFERROR(F120/F254,"")</f>
        <v/>
      </c>
      <c r="G351" s="84" t="str">
        <f>IFERROR(G120/G254,"")</f>
        <v/>
      </c>
      <c r="H351" s="258" t="str">
        <f>IFERROR(IF(AND(COUNT(H120)=1,N(H254)&lt;&gt;0),(H120)/H254,""),"")</f>
        <v/>
      </c>
      <c r="I351" s="257" t="str">
        <f>""</f>
        <v/>
      </c>
      <c r="J351" s="257" t="str">
        <f>""</f>
        <v/>
      </c>
      <c r="K351" s="257" t="str">
        <f>""</f>
        <v/>
      </c>
      <c r="L351" s="257">
        <f>IFERROR(IF(AND(COUNT(I120,J120,K120,L120)=4,N(L254)&lt;&gt;0),(I120+J120+K120+L120)/L254,""),"")</f>
        <v>0.363154113941537</v>
      </c>
      <c r="M351" s="258">
        <f>IFERROR(IF(AND(COUNT(I120,J120,K120,L120)=4,N(M254)&lt;&gt;0),(I120+J120+K120+L120)/M254,""),"")</f>
        <v>0.363154113941537</v>
      </c>
      <c r="N351" s="257">
        <f>IFERROR(IF(AND(COUNT(J120,K120,L120,N120)=4,N(N254)&lt;&gt;0),(J120+K120+L120+N120)/N254,""),"")</f>
        <v>0.382477979382589</v>
      </c>
      <c r="O351" s="257">
        <f>IFERROR(IF(AND(COUNT(K120,L120,N120,O120)=4,N(O254)&lt;&gt;0),(K120+L120+N120+O120)/O254,""),"")</f>
        <v>0.411492827551222</v>
      </c>
      <c r="P351" s="257">
        <f>IFERROR(IF(AND(COUNT(L120,N120,O120,P120)=4,N(P254)&lt;&gt;0),(L120+N120+O120+P120)/P254,""),"")</f>
        <v>0.42036480143897</v>
      </c>
      <c r="Q351" s="257">
        <f>IFERROR(IF(AND(COUNT(N120,O120,P120,Q120)=4,N(Q254)&lt;&gt;0),(N120+O120+P120+Q120)/Q254,""),"")</f>
        <v>0.411033474163146</v>
      </c>
      <c r="R351" s="258">
        <f>IFERROR(IF(AND(COUNT(N120,O120,P120,Q120)=4,N(R254)&lt;&gt;0),(N120+O120+P120+Q120)/R254,""),"")</f>
        <v>0.411033474163146</v>
      </c>
      <c r="S351" s="257">
        <f>IFERROR(IF(AND(COUNT(O120,P120,Q120,S120)=4,N(S254)&lt;&gt;0),(O120+P120+Q120+S120)/S254,""),"")</f>
        <v>0.409360819395825</v>
      </c>
      <c r="T351" s="257">
        <f>IFERROR(IF(AND(COUNT(P120,Q120,S120,T120)=4,N(T254)&lt;&gt;0),(P120+Q120+S120+T120)/T254,""),"")</f>
        <v>0.424104050691363</v>
      </c>
      <c r="U351" s="257">
        <f>IFERROR(IF(AND(COUNT(Q120,S120,T120,U120)=4,N(U254)&lt;&gt;0),(Q120+S120+T120+U120)/U254,""),"")</f>
        <v>0.445950481501562</v>
      </c>
      <c r="V351" s="257">
        <f>IFERROR(IF(AND(COUNT(S120,T120,U120,V120)=4,N(V254)&lt;&gt;0),(S120+T120+U120+V120)/V254,""),"")</f>
        <v>0.45262124682254</v>
      </c>
      <c r="W351" s="258">
        <f>IFERROR(IF(AND(COUNT(S120,T120,U120,V120)=4,N(W254)&lt;&gt;0),(S120+T120+U120+V120)/W254,""),"")</f>
        <v>0.45262124682254</v>
      </c>
      <c r="X351" s="257">
        <f>IFERROR(IF(AND(COUNT(T120,U120,V120,X120)=4,N(X254)&lt;&gt;0),(T120+U120+V120+X120)/X254,""),"")</f>
        <v>0.454242311967395</v>
      </c>
      <c r="Y351" s="257">
        <f>IFERROR(IF(AND(COUNT(U120,V120,X120,Y120)=4,N(Y254)&lt;&gt;0),(U120+V120+X120+Y120)/Y254,""),"")</f>
        <v>0.480908152734778</v>
      </c>
      <c r="Z351" s="257">
        <f>IFERROR(IF(AND(COUNT(V120,X120,Y120,Z120)=4,N(Z254)&lt;&gt;0),(V120+X120+Y120+Z120)/Z254,""),"")</f>
        <v>0.504458696374275</v>
      </c>
      <c r="AA351" s="257">
        <f>IFERROR(IF(AND(COUNT(X120,Y120,Z120,AA120)=4,N(AA254)&lt;&gt;0),(X120+Y120+Z120+AA120)/AA254,""),"")</f>
        <v>0.521516607478588</v>
      </c>
      <c r="AB351" s="258">
        <f>IFERROR(IF(AND(COUNT(X120,Y120,Z120,AA120)=4,N(AB254)&lt;&gt;0),(X120+Y120+Z120+AA120)/AB254,""),"")</f>
        <v>0.521516607478588</v>
      </c>
      <c r="AC351" s="257">
        <f>IFERROR(IF(AND(COUNT(Y120,Z120,AA120,AC120)=4,N(AC254)&lt;&gt;0),(Y120+Z120+AA120+AC120)/AC254,""),"")</f>
        <v>0.522902971338417</v>
      </c>
      <c r="AD351" s="257">
        <f>IFERROR(IF(AND(COUNT(Z120,AA120,AC120,AD120)=4,N(AD254)&lt;&gt;0),(Z120+AA120+AC120+AD120)/AD254,""),"")</f>
        <v>0.524674115456238</v>
      </c>
      <c r="AE351" s="257">
        <f>IFERROR(IF(AND(COUNT(AA120,AC120,AD120,AE120)=4,N(AE254)&lt;&gt;0),(AA120+AC120+AD120+AE120)/AE254,""),"")</f>
        <v>0.529109182516025</v>
      </c>
      <c r="AF351" s="257">
        <f>IFERROR(IF(AND(COUNT(AB120,AD120,AE120,AF120)=4,N(AF254)&lt;&gt;0),(AB120+AD120+AE120+AF120)/AF254,""),"")</f>
        <v>0.933207829383397</v>
      </c>
      <c r="AG351" s="258">
        <f>IFERROR(IF(AND(COUNT(AC120,AD120,AE120,AF120)=4,N(AG254)&lt;&gt;0),(AC120+AD120+AE120+AF120)/AG254,""),"")</f>
        <v>0.536194135698997</v>
      </c>
      <c r="AH351" s="257">
        <f>IFERROR(IF(AND(COUNT(AD120,AF120,AG120,AH120)=4,N(AH254)&lt;&gt;0),(AD120+AF120+AG120+AH120)/AH254,""),"")</f>
        <v>1.063851266089</v>
      </c>
      <c r="AI351" s="257">
        <f>IFERROR(IF(AND(COUNT(AE120,AG120,AH120,AI120)=4,N(AI254)&lt;&gt;0),(AE120+AG120+AH120+AI120)/AI254,""),"")</f>
        <v>1.06688839615669</v>
      </c>
      <c r="AJ351" s="257">
        <f>IFERROR(IF(AND(COUNT(AF120,AH120,AI120,AJ120)=4,N(AJ254)&lt;&gt;0),(AF120+AH120+AI120+AJ120)/AJ254,""),"")</f>
        <v>0.57376539007136</v>
      </c>
      <c r="AK351" s="257">
        <f>IFERROR(IF(AND(COUNT(AH120,AI120,AJ120,AK120)=4,N(AK254)&lt;&gt;0),(AH120+AI120+AJ120+AK120)/AK254,""),"")</f>
        <v>0.508441149811913</v>
      </c>
      <c r="AL351" s="258">
        <f>IFERROR(IF(AND(COUNT(AH120,AI120,AJ120,AK120)=4,N(AL254)&lt;&gt;0),(AH120+AI120+AJ120+AK120)/AL254,""),"")</f>
        <v>0.508441149811913</v>
      </c>
      <c r="AM351" s="257">
        <f>IFERROR(IF(AND(COUNT(AI120,AJ120,AK120,AM120)=4,N(AM254)&lt;&gt;0),(AI120+AJ120+AK120+AM120)/AM254,""),"")</f>
        <v>0.457351055341356</v>
      </c>
      <c r="AN351" s="257">
        <f>IFERROR(IF(AND(COUNT(AJ120,AK120,AM120,AN120)=4,N(AN254)&lt;&gt;0),(AJ120+AK120+AM120+AN120)/AN254,""),"")</f>
        <v>0.425951666110861</v>
      </c>
      <c r="AO351" s="257">
        <f>IFERROR(IF(AND(COUNT(AK120,AM120,AN120,AO120)=4,N(AO254)&lt;&gt;0),(AK120+AM120+AN120+AO120)/AO254,""),"")</f>
        <v>0.393924184923822</v>
      </c>
      <c r="AP351" s="257">
        <f>IFERROR(IF(AND(COUNT(AM120,AN120,AO120,AP120)=4,N(AP254)&lt;&gt;0),(AM120+AN120+AO120+AP120)/AP254,""),"")</f>
        <v>0.367564305064192</v>
      </c>
      <c r="AQ351" s="258">
        <f>IFERROR(IF(AND(COUNT(AM120,AN120,AO120,AP120)=4,N(AQ254)&lt;&gt;0),(AM120+AN120+AO120+AP120)/AQ254,""),"")</f>
        <v>0.367564305064192</v>
      </c>
      <c r="AR351" s="257">
        <f>IFERROR(IF(AND(COUNT(AN120,AO120,AP120,AR120)=4,N(AR254)&lt;&gt;0),(AN120+AO120+AP120+AR120)/AR254,""),"")</f>
        <v>0.344962901863869</v>
      </c>
      <c r="AS351" s="257">
        <f>IFERROR(IF(AND(COUNT(AO120,AP120,AR120,AS120)=4,N(AS254)&lt;&gt;0),(AO120+AP120+AR120+AS120)/AS254,""),"")</f>
        <v>0.325457930913542</v>
      </c>
      <c r="AT351" s="257">
        <f>IFERROR(IF(AND(COUNT(AP120,AR120,AS120,AT120)=4,N(AT254)&lt;&gt;0),(AP120+AR120+AS120+AT120)/AT254,""),"")</f>
        <v>0.3083025474947</v>
      </c>
      <c r="AU351" s="257">
        <f>IFERROR(IF(AND(COUNT(AR120,AS120,AT120,AU120)=4,N(AU254)&lt;&gt;0),(AR120+AS120+AT120+AU120)/AU254,""),"")</f>
        <v>0.293514345364091</v>
      </c>
      <c r="AV351" s="258">
        <f>IFERROR(IF(AND(COUNT(AR120,AS120,AT120,AU120)=4,N(AV254)&lt;&gt;0),(AR120+AS120+AT120+AU120)/AV254,""),"")</f>
        <v>0.293514345364091</v>
      </c>
      <c r="AW351" s="257">
        <f>IFERROR(IF(AND(COUNT(AS120,AT120,AU120,AW120)=4,N(AW254)&lt;&gt;0),(AS120+AT120+AU120+AW120)/AW254,""),"")</f>
        <v>0.280297327862756</v>
      </c>
      <c r="AX351" s="257">
        <f>IFERROR(IF(AND(COUNT(AT120,AU120,AW120,AX120)=4,N(AX254)&lt;&gt;0),(AT120+AU120+AW120+AX120)/AX254,""),"")</f>
        <v>0.268486996779032</v>
      </c>
      <c r="AY351" s="257">
        <f>IFERROR(IF(AND(COUNT(AU120,AW120,AX120,AY120)=4,N(AY254)&lt;&gt;0),(AU120+AW120+AX120+AY120)/AY254,""),"")</f>
        <v>0.257774268616063</v>
      </c>
      <c r="AZ351" s="257">
        <f>IFERROR(IF(AND(COUNT(AW120,AX120,AY120,AZ120)=4,N(AZ254)&lt;&gt;0),(AW120+AX120+AY120+AZ120)/AZ254,""),"")</f>
        <v>0.248284702150961</v>
      </c>
      <c r="BA351" s="258">
        <f>IFERROR(IF(AND(COUNT(AW120,AX120,AY120,AZ120)=4,N(BA254)&lt;&gt;0),(AW120+AX120+AY120+AZ120)/BA254,""),"")</f>
        <v>0.248284702150961</v>
      </c>
      <c r="BB351" s="257">
        <f>IFERROR(IF(AND(COUNT(AX120,AY120,AZ120,BB120)=4,N(BB254)&lt;&gt;0),(AX120+AY120+AZ120+BB120)/BB254,""),"")</f>
        <v>0.239575549139339</v>
      </c>
      <c r="BC351" s="257">
        <f>IFERROR(IF(AND(COUNT(AY120,AZ120,BB120,BC120)=4,N(BC254)&lt;&gt;0),(AY120+AZ120+BB120+BC120)/BC254,""),"")</f>
        <v>0.231620795346138</v>
      </c>
      <c r="BD351" s="257">
        <f>IFERROR(IF(AND(COUNT(AZ120,BB120,BC120,BD120)=4,N(BD254)&lt;&gt;0),(AZ120+BB120+BC120+BD120)/BD254,""),"")</f>
        <v>0.224259997869272</v>
      </c>
      <c r="BE351" s="257">
        <f>IFERROR(IF(AND(COUNT(BB120,BC120,BD120,BE120)=4,N(BE254)&lt;&gt;0),(BB120+BC120+BD120+BE120)/BE254,""),"")</f>
        <v>0.217620842598154</v>
      </c>
      <c r="BF351" s="258">
        <f>IFERROR(IF(AND(COUNT(BB120,BC120,BD120,BE120)=4,N(BF254)&lt;&gt;0),(BB120+BC120+BD120+BE120)/BF254,""),"")</f>
        <v>0.217620842598154</v>
      </c>
      <c r="BG351" s="81" t="n"/>
      <c r="BH351" s="81" t="n"/>
      <c r="BI351" s="81" t="n"/>
      <c r="BJ351" s="81" t="n"/>
      <c r="BL351" s="81" t="n"/>
      <c r="BM351" s="81" t="n"/>
      <c r="BN351" s="81" t="n"/>
      <c r="BO351" s="81" t="n"/>
      <c r="BQ351" s="81" t="n"/>
      <c r="BR351" s="81" t="n"/>
      <c r="BS351" s="81" t="n"/>
      <c r="BT351" s="81" t="n"/>
      <c r="BV351" s="81" t="n"/>
      <c r="BW351" s="81" t="n"/>
      <c r="BX351" s="81" t="n"/>
      <c r="BY351" s="81" t="n"/>
      <c r="CA351" s="81" t="n"/>
      <c r="CB351" s="81" t="n"/>
      <c r="CC351" s="81" t="n"/>
      <c r="CD351" s="81" t="n"/>
      <c r="CF351" s="81" t="n"/>
      <c r="CG351" s="81" t="n"/>
      <c r="CH351" s="81" t="n"/>
      <c r="CI351" s="81" t="n"/>
      <c r="CK351" s="81" t="n"/>
      <c r="CL351" s="81" t="n"/>
      <c r="CM351" s="81" t="n"/>
      <c r="CN351" s="81" t="n"/>
      <c r="CP351" s="81" t="n"/>
      <c r="CQ351" s="81" t="n"/>
      <c r="CR351" s="81" t="n"/>
      <c r="CS351" s="81" t="n"/>
      <c r="CU351" s="81" t="n"/>
      <c r="CV351" s="81" t="n"/>
      <c r="CW351" s="81" t="n"/>
      <c r="CX351" s="81" t="n"/>
    </row>
    <row r="352"/>
    <row r="353">
      <c r="C353" s="73" t="inlineStr">
        <is>
          <t>Scenario Analysis</t>
        </is>
      </c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  <c r="AM353" s="73" t="n"/>
      <c r="AN353" s="73" t="n"/>
      <c r="AO353" s="73" t="n"/>
      <c r="AP353" s="73" t="n"/>
      <c r="AQ353" s="73" t="n"/>
      <c r="AR353" s="73" t="n"/>
      <c r="AS353" s="73" t="n"/>
      <c r="AT353" s="73" t="n"/>
      <c r="AU353" s="73" t="n"/>
      <c r="AV353" s="73" t="n"/>
      <c r="AW353" s="73" t="n"/>
      <c r="AX353" s="73" t="n"/>
      <c r="AY353" s="73" t="n"/>
      <c r="AZ353" s="73" t="n"/>
      <c r="BA353" s="73" t="n"/>
      <c r="BB353" s="73" t="n"/>
      <c r="BC353" s="73" t="n"/>
      <c r="BD353" s="73" t="n"/>
      <c r="BE353" s="73" t="n"/>
      <c r="BF353" s="73" t="n"/>
      <c r="BG353" s="73" t="n"/>
      <c r="BH353" s="73" t="n"/>
      <c r="BI353" s="73" t="n"/>
      <c r="BJ353" s="73" t="n"/>
      <c r="BK353" s="73" t="n"/>
      <c r="BL353" s="73" t="n"/>
      <c r="BM353" s="73" t="n"/>
      <c r="BN353" s="73" t="n"/>
      <c r="BO353" s="73" t="n"/>
      <c r="BP353" s="73" t="n"/>
      <c r="BQ353" s="73" t="n"/>
      <c r="BR353" s="73" t="n"/>
      <c r="BS353" s="73" t="n"/>
      <c r="BT353" s="73" t="n"/>
      <c r="BU353" s="73" t="n"/>
      <c r="BV353" s="73" t="n"/>
      <c r="BW353" s="73" t="n"/>
      <c r="BX353" s="73" t="n"/>
      <c r="BY353" s="73" t="n"/>
      <c r="BZ353" s="73" t="n"/>
      <c r="CA353" s="73" t="n"/>
      <c r="CB353" s="73" t="n"/>
      <c r="CC353" s="73" t="n"/>
      <c r="CD353" s="73" t="n"/>
      <c r="CE353" s="73" t="n"/>
      <c r="CF353" s="73" t="n"/>
      <c r="CG353" s="73" t="n"/>
      <c r="CH353" s="73" t="n"/>
      <c r="CI353" s="73" t="n"/>
      <c r="CJ353" s="73" t="n"/>
      <c r="CK353" s="73" t="n"/>
      <c r="CL353" s="73" t="n"/>
      <c r="CM353" s="73" t="n"/>
      <c r="CN353" s="73" t="n"/>
      <c r="CO353" s="73" t="n"/>
      <c r="CP353" s="73" t="n"/>
      <c r="CQ353" s="73" t="n"/>
      <c r="CR353" s="73" t="n"/>
      <c r="CS353" s="73" t="n"/>
      <c r="CT353" s="73" t="n"/>
      <c r="CU353" s="73" t="n"/>
      <c r="CV353" s="73" t="n"/>
      <c r="CW353" s="73" t="n"/>
      <c r="CX353" s="73" t="n"/>
      <c r="CY353" s="73" t="n"/>
    </row>
    <row r="354"/>
    <row r="355"/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  <row r="359"/>
    <row r="360"/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4"/>
    <row r="365"/>
    <row r="366">
      <c r="C366" s="4" t="inlineStr">
        <is>
          <t>% Gross Margin</t>
        </is>
      </c>
    </row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0"/>
    <row r="371"/>
    <row r="372">
      <c r="C372" s="4" t="inlineStr">
        <is>
          <t>Capital expenditures</t>
        </is>
      </c>
    </row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298:G298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298:L298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298:Q298">
    <cfRule type="cellIs" priority="22" operator="notEqual" dxfId="0">
      <formula>0</formula>
    </cfRule>
  </conditionalFormatting>
  <conditionalFormatting sqref="S298:V298">
    <cfRule type="cellIs" priority="21" operator="notEqual" dxfId="0">
      <formula>0</formula>
    </cfRule>
  </conditionalFormatting>
  <conditionalFormatting sqref="X298:AA298">
    <cfRule type="cellIs" priority="20" operator="notEqual" dxfId="0">
      <formula>0</formula>
    </cfRule>
  </conditionalFormatting>
  <conditionalFormatting sqref="AC298:AF298">
    <cfRule type="cellIs" priority="19" operator="notEqual" dxfId="0">
      <formula>0</formula>
    </cfRule>
  </conditionalFormatting>
  <conditionalFormatting sqref="AH298:AK298">
    <cfRule type="cellIs" priority="15" operator="notEqual" dxfId="0">
      <formula>0</formula>
    </cfRule>
  </conditionalFormatting>
  <conditionalFormatting sqref="AM298:AP298">
    <cfRule type="cellIs" priority="14" operator="notEqual" dxfId="0">
      <formula>0</formula>
    </cfRule>
  </conditionalFormatting>
  <conditionalFormatting sqref="AR298:AU298">
    <cfRule type="cellIs" priority="13" operator="notEqual" dxfId="0">
      <formula>0</formula>
    </cfRule>
  </conditionalFormatting>
  <conditionalFormatting sqref="AW298:AZ298">
    <cfRule type="cellIs" priority="12" operator="notEqual" dxfId="0">
      <formula>0</formula>
    </cfRule>
  </conditionalFormatting>
  <conditionalFormatting sqref="BB298:BE298">
    <cfRule type="cellIs" priority="11" operator="notEqual" dxfId="0">
      <formula>0</formula>
    </cfRule>
  </conditionalFormatting>
  <conditionalFormatting sqref="BG298:BJ298">
    <cfRule type="cellIs" priority="10" operator="notEqual" dxfId="0">
      <formula>0</formula>
    </cfRule>
  </conditionalFormatting>
  <conditionalFormatting sqref="BL298:BO298">
    <cfRule type="cellIs" priority="9" operator="notEqual" dxfId="0">
      <formula>0</formula>
    </cfRule>
  </conditionalFormatting>
  <conditionalFormatting sqref="BQ298:BT298">
    <cfRule type="cellIs" priority="8" operator="notEqual" dxfId="0">
      <formula>0</formula>
    </cfRule>
  </conditionalFormatting>
  <conditionalFormatting sqref="BV298:BY298">
    <cfRule type="cellIs" priority="7" operator="notEqual" dxfId="0">
      <formula>0</formula>
    </cfRule>
  </conditionalFormatting>
  <conditionalFormatting sqref="CA298:CD298">
    <cfRule type="cellIs" priority="6" operator="notEqual" dxfId="0">
      <formula>0</formula>
    </cfRule>
  </conditionalFormatting>
  <conditionalFormatting sqref="CF298:CI298">
    <cfRule type="cellIs" priority="5" operator="notEqual" dxfId="0">
      <formula>0</formula>
    </cfRule>
  </conditionalFormatting>
  <conditionalFormatting sqref="CK298:CN298">
    <cfRule type="cellIs" priority="4" operator="notEqual" dxfId="0">
      <formula>0</formula>
    </cfRule>
  </conditionalFormatting>
  <conditionalFormatting sqref="CP298:CS298">
    <cfRule type="cellIs" priority="3" operator="notEqual" dxfId="0">
      <formula>0</formula>
    </cfRule>
  </conditionalFormatting>
  <conditionalFormatting sqref="CU298:CX298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V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33351</v>
      </c>
      <c r="E18" s="113">
        <f>IFERROR(Model!AB15,"")</f>
        <v>36802</v>
      </c>
      <c r="F18" s="113">
        <f>IFERROR(Model!AG15,"")</f>
        <v>41391</v>
      </c>
      <c r="G18" s="113">
        <f>IFERROR(Model!AL15,"")</f>
        <v>47413.802114839</v>
      </c>
      <c r="H18" s="113">
        <f>IFERROR(Model!AQ15,"")</f>
        <v>53828.757143748</v>
      </c>
      <c r="I18" s="113">
        <f>IFERROR(Model!AV15,"")</f>
        <v>60842.4938893742</v>
      </c>
      <c r="J18" s="113">
        <f>IFERROR(Model!BA15,"")</f>
        <v>68465.8884785088</v>
      </c>
      <c r="K18" s="113">
        <f>IFERROR(Model!BF15,"")</f>
        <v>76702.1436798748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0.103475158166172</v>
      </c>
      <c r="F19" s="117">
        <f>IFERROR(IF(E18=0,"",F18/E18-1),"")</f>
        <v>0.124694310091843</v>
      </c>
      <c r="G19" s="117">
        <f>IFERROR(IF(F18=0,"",G18/F18-1),"")</f>
        <v>0.145509944549275</v>
      </c>
      <c r="H19" s="117">
        <f>IFERROR(IF(G18=0,"",H18/G18-1),"")</f>
        <v>0.135297207622615</v>
      </c>
      <c r="I19" s="117">
        <f>IFERROR(IF(H18=0,"",I18/H18-1),"")</f>
        <v>0.130297207622615</v>
      </c>
      <c r="J19" s="117">
        <f>IFERROR(IF(I18=0,"",J18/I18-1),"")</f>
        <v>0.125297207622614</v>
      </c>
      <c r="K19" s="117">
        <f>IFERROR(IF(J18=0,"",K18/J18-1),"")</f>
        <v>0.120297207622615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IFERROR(Model!W52,"")</f>
        <v>22827</v>
      </c>
      <c r="E20" s="113">
        <f>IFERROR(Model!AB52,"")</f>
        <v>24944</v>
      </c>
      <c r="F20" s="113">
        <f>IFERROR(Model!AG52,"")</f>
        <v>25761</v>
      </c>
      <c r="G20" s="113">
        <f>IFERROR(Model!AL52,"")</f>
        <v>30294.0596683644</v>
      </c>
      <c r="H20" s="113">
        <f>IFERROR(Model!AQ52,"")</f>
        <v>33947.3168669629</v>
      </c>
      <c r="I20" s="113">
        <f>IFERROR(Model!AV52,"")</f>
        <v>38370.5574610083</v>
      </c>
      <c r="J20" s="113">
        <f>IFERROR(Model!BA52,"")</f>
        <v>43178.2811657957</v>
      </c>
      <c r="K20" s="113">
        <f>IFERROR(Model!BF52,"")</f>
        <v>48372.5078199851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0.684447242961231</v>
      </c>
      <c r="E21" s="122">
        <f>IFERROR(IF(E18=0,"",E20/E18),"")</f>
        <v>0.677789250584207</v>
      </c>
      <c r="F21" s="122">
        <f>IFERROR(IF(F18=0,"",F20/F18),"")</f>
        <v>0.622381677176198</v>
      </c>
      <c r="G21" s="122">
        <f>IFERROR(IF(G18=0,"",G20/G18),"")</f>
        <v>0.638929137026184</v>
      </c>
      <c r="H21" s="122">
        <f>IFERROR(IF(H18=0,"",H20/H18),"")</f>
        <v>0.630653923075127</v>
      </c>
      <c r="I21" s="122">
        <f>IFERROR(IF(I18=0,"",I20/I18),"")</f>
        <v>0.630653923075127</v>
      </c>
      <c r="J21" s="122">
        <f>IFERROR(IF(J18=0,"",J20/J18),"")</f>
        <v>0.630653923075127</v>
      </c>
      <c r="K21" s="122">
        <f>IFERROR(IF(K18=0,"",K20/K18),"")</f>
        <v>0.630653923075127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IFERROR(Model!W56,"")</f>
        <v>21864</v>
      </c>
      <c r="E22" s="113">
        <f>IFERROR(Model!AB56,"")</f>
        <v>23875</v>
      </c>
      <c r="F22" s="113">
        <f>IFERROR(Model!AG56,"")</f>
        <v>24497</v>
      </c>
      <c r="G22" s="113">
        <f>IFERROR(Model!AL56,"")</f>
        <v>28843.1009194905</v>
      </c>
      <c r="H22" s="113">
        <f>IFERROR(Model!AQ56,"")</f>
        <v>32300.8054442802</v>
      </c>
      <c r="I22" s="113">
        <f>IFERROR(Model!AV56,"")</f>
        <v>36509.5101976312</v>
      </c>
      <c r="J22" s="113">
        <f>IFERROR(Model!BA56,"")</f>
        <v>41084.0498770638</v>
      </c>
      <c r="K22" s="113">
        <f>IFERROR(Model!BF56,"")</f>
        <v>46026.3463551028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0.655572546550328</v>
      </c>
      <c r="E23" s="122">
        <f>IFERROR(IF(E18=0,"",E22/E18),"")</f>
        <v>0.648741916200207</v>
      </c>
      <c r="F23" s="122">
        <f>IFERROR(IF(F18=0,"",F22/F18),"")</f>
        <v>0.591843637505738</v>
      </c>
      <c r="G23" s="122">
        <f>IFERROR(IF(G18=0,"",G22/G18),"")</f>
        <v>0.608327103775199</v>
      </c>
      <c r="H23" s="122">
        <f>IFERROR(IF(H18=0,"",H22/H18),"")</f>
        <v>0.60006597139187</v>
      </c>
      <c r="I23" s="122">
        <f>IFERROR(IF(I18=0,"",I22/I18),"")</f>
        <v>0.600065971391869</v>
      </c>
      <c r="J23" s="122">
        <f>IFERROR(IF(J18=0,"",J22/J18),"")</f>
        <v>0.60006597139187</v>
      </c>
      <c r="K23" s="122">
        <f>IFERROR(IF(K18=0,"",K22/K18),"")</f>
        <v>0.60006597139187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IFERROR(Model!W115,"")</f>
        <v>0.186317980273278</v>
      </c>
      <c r="E24" s="125">
        <f>IFERROR(Model!AB115,"")</f>
        <v>0.170391293511672</v>
      </c>
      <c r="F24" s="125">
        <f>IFERROR(Model!AG115,"")</f>
        <v>0.158899676375405</v>
      </c>
      <c r="G24" s="125">
        <f>IFERROR(Model!AL115,"")</f>
        <v>0.165290049402602</v>
      </c>
      <c r="H24" s="125">
        <f>IFERROR(Model!AQ115,"")</f>
        <v>0.162466014203576</v>
      </c>
      <c r="I24" s="125">
        <f>IFERROR(Model!AV115,"")</f>
        <v>0.162466014203576</v>
      </c>
      <c r="J24" s="125">
        <f>IFERROR(Model!BA115,"")</f>
        <v>0.162466014203576</v>
      </c>
      <c r="K24" s="125">
        <f>IFERROR(Model!BF115,"")</f>
        <v>0.162466014203576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17790.343679305</v>
      </c>
      <c r="E25" s="127">
        <f>IFERROR(E22*(1-E24),"")</f>
        <v>19806.9078674088</v>
      </c>
      <c r="F25" s="127">
        <f>IFERROR(F22*(1-F24),"")</f>
        <v>20604.4346278317</v>
      </c>
      <c r="G25" s="127">
        <f>IFERROR(G22*(1-G24),"")</f>
        <v>24075.6233435836</v>
      </c>
      <c r="H25" s="127">
        <f>IFERROR(H22*(1-H24),"")</f>
        <v>27053.0223281828</v>
      </c>
      <c r="I25" s="127">
        <f>IFERROR(I22*(1-I24),"")</f>
        <v>30577.9555952973</v>
      </c>
      <c r="J25" s="127">
        <f>IFERROR(J22*(1-J24),"")</f>
        <v>34409.2880461963</v>
      </c>
      <c r="K25" s="127">
        <f>IFERROR(K22*(1-K24),"")</f>
        <v>38548.6293144359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IFERROR(-Model!W53,"")</f>
        <v>963</v>
      </c>
      <c r="E26" s="130">
        <f>IFERROR(-Model!AB53,"")</f>
        <v>1069</v>
      </c>
      <c r="F26" s="130">
        <f>IFERROR(-Model!AG53,"")</f>
        <v>1264</v>
      </c>
      <c r="G26" s="130">
        <f>IFERROR(-Model!AL53,"")</f>
        <v>1450.9587488739</v>
      </c>
      <c r="H26" s="130">
        <f>IFERROR(-Model!AQ53,"")</f>
        <v>1646.51142268274</v>
      </c>
      <c r="I26" s="130">
        <f>IFERROR(-Model!AV53,"")</f>
        <v>1861.04726337704</v>
      </c>
      <c r="J26" s="130">
        <f>IFERROR(-Model!BA53,"")</f>
        <v>2094.23128873189</v>
      </c>
      <c r="K26" s="130">
        <f>IFERROR(-Model!BF53,"")</f>
        <v>2346.16146488225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IFERROR(Model!W262,"")</f>
        <v>-1503</v>
      </c>
      <c r="E27" s="133">
        <f>IFERROR(Model!AB262,"")</f>
        <v>1331</v>
      </c>
      <c r="F27" s="133">
        <f>IFERROR(Model!AG262,"")</f>
        <v>4803</v>
      </c>
      <c r="G27" s="133">
        <f>IFERROR(Model!AL262,"")</f>
        <v>1722.20154897462</v>
      </c>
      <c r="H27" s="133">
        <f>IFERROR(Model!AQ262,"")</f>
        <v>6014.21212372347</v>
      </c>
      <c r="I27" s="133">
        <f>IFERROR(Model!AV262,"")</f>
        <v>9792.99281577179</v>
      </c>
      <c r="J27" s="133">
        <f>IFERROR(Model!BA262,"")</f>
        <v>15509.6083926999</v>
      </c>
      <c r="K27" s="133">
        <f>IFERROR(Model!BF262,"")</f>
        <v>23962.3256107124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IFERROR(Model!W263,"")</f>
        <v>-393</v>
      </c>
      <c r="E28" s="136">
        <f>IFERROR(Model!AB263,"")</f>
        <v>-84</v>
      </c>
      <c r="F28" s="136">
        <f>IFERROR(Model!AG263,"")</f>
        <v>-641</v>
      </c>
      <c r="G28" s="136">
        <f>IFERROR(Model!AL263,"")</f>
        <v>-369.525741246552</v>
      </c>
      <c r="H28" s="136">
        <f>IFERROR(Model!AQ263,"")</f>
        <v>-487.141078764003</v>
      </c>
      <c r="I28" s="136">
        <f>IFERROR(Model!AV263,"")</f>
        <v>-532.611572338989</v>
      </c>
      <c r="J28" s="136">
        <f>IFERROR(Model!BA263,"")</f>
        <v>-578.907981000501</v>
      </c>
      <c r="K28" s="136">
        <f>IFERROR(Model!BF263,"")</f>
        <v>-625.44760262356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IFERROR(Model!W264,"")</f>
        <v>0</v>
      </c>
      <c r="E29" s="136">
        <f>IFERROR(Model!AB264,"")</f>
        <v>0</v>
      </c>
      <c r="F29" s="136">
        <f>IFERROR(Model!AG264,"")</f>
        <v>0</v>
      </c>
      <c r="G29" s="136">
        <f>IFERROR(Model!AL264,"")</f>
        <v>0</v>
      </c>
      <c r="H29" s="136">
        <f>IFERROR(Model!AQ264,"")</f>
        <v>0</v>
      </c>
      <c r="I29" s="136">
        <f>IFERROR(Model!AV264,"")</f>
        <v>0</v>
      </c>
      <c r="J29" s="136">
        <f>IFERROR(Model!BA264,"")</f>
        <v>0</v>
      </c>
      <c r="K29" s="136">
        <f>IFERROR(Model!BF264,"")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IFERROR(Model!W265,"")</f>
        <v>0</v>
      </c>
      <c r="E30" s="136">
        <f>IFERROR(Model!AB265,"")</f>
        <v>0</v>
      </c>
      <c r="F30" s="136">
        <f>IFERROR(Model!AG265,"")</f>
        <v>0</v>
      </c>
      <c r="G30" s="136">
        <f>IFERROR(Model!AL265,"")</f>
        <v>0</v>
      </c>
      <c r="H30" s="136">
        <f>IFERROR(Model!AQ265,"")</f>
        <v>0</v>
      </c>
      <c r="I30" s="136">
        <f>IFERROR(Model!AV265,"")</f>
        <v>0</v>
      </c>
      <c r="J30" s="136">
        <f>IFERROR(Model!BA265,"")</f>
        <v>0</v>
      </c>
      <c r="K30" s="136">
        <f>IFERROR(Model!BF265,"")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IFERROR(Model!W266,"")</f>
        <v>0</v>
      </c>
      <c r="E31" s="136">
        <f>IFERROR(Model!AB266,"")</f>
        <v>0</v>
      </c>
      <c r="F31" s="136">
        <f>IFERROR(Model!AG266,"")</f>
        <v>0</v>
      </c>
      <c r="G31" s="136">
        <f>IFERROR(Model!AL266,"")</f>
        <v>0</v>
      </c>
      <c r="H31" s="136">
        <f>IFERROR(Model!AQ266,"")</f>
        <v>0</v>
      </c>
      <c r="I31" s="136">
        <f>IFERROR(Model!AV266,"")</f>
        <v>0</v>
      </c>
      <c r="J31" s="136">
        <f>IFERROR(Model!BA266,"")</f>
        <v>0</v>
      </c>
      <c r="K31" s="136">
        <f>IFERROR(Model!BF266,"")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IFERROR(Model!W267,"")</f>
        <v>-4223</v>
      </c>
      <c r="E32" s="136">
        <f>IFERROR(Model!AB267,"")</f>
        <v>-1030</v>
      </c>
      <c r="F32" s="136">
        <f>IFERROR(Model!AG267,"")</f>
        <v>655</v>
      </c>
      <c r="G32" s="136">
        <f>IFERROR(Model!AL267,"")</f>
        <v>1894</v>
      </c>
      <c r="H32" s="136">
        <f>IFERROR(Model!AQ267,"")</f>
        <v>0</v>
      </c>
      <c r="I32" s="136">
        <f>IFERROR(Model!AV267,"")</f>
        <v>0</v>
      </c>
      <c r="J32" s="136">
        <f>IFERROR(Model!BA267,"")</f>
        <v>0</v>
      </c>
      <c r="K32" s="136">
        <f>IFERROR(Model!BF267,"")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IFERROR(Model!W268,"")</f>
        <v>90</v>
      </c>
      <c r="E33" s="136">
        <f>IFERROR(Model!AB268,"")</f>
        <v>57</v>
      </c>
      <c r="F33" s="136">
        <f>IFERROR(Model!AG268,"")</f>
        <v>28</v>
      </c>
      <c r="G33" s="136">
        <f>IFERROR(Model!AL268,"")</f>
        <v>-433</v>
      </c>
      <c r="H33" s="136">
        <f>IFERROR(Model!AQ268,"")</f>
        <v>0</v>
      </c>
      <c r="I33" s="136">
        <f>IFERROR(Model!AV268,"")</f>
        <v>0</v>
      </c>
      <c r="J33" s="136">
        <f>IFERROR(Model!BA268,"")</f>
        <v>0</v>
      </c>
      <c r="K33" s="136">
        <f>IFERROR(Model!BF268,"")</f>
        <v>0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IFERROR(Model!W269,"")</f>
        <v>1217</v>
      </c>
      <c r="E34" s="136">
        <f>IFERROR(Model!AB269,"")</f>
        <v>23</v>
      </c>
      <c r="F34" s="136">
        <f>IFERROR(Model!AG269,"")</f>
        <v>818</v>
      </c>
      <c r="G34" s="136">
        <f>IFERROR(Model!AL269,"")</f>
        <v>3097.72729022117</v>
      </c>
      <c r="H34" s="136">
        <f>IFERROR(Model!AQ269,"")</f>
        <v>6501.35320248747</v>
      </c>
      <c r="I34" s="136">
        <f>IFERROR(Model!AV269,"")</f>
        <v>10325.6043881108</v>
      </c>
      <c r="J34" s="136">
        <f>IFERROR(Model!BA269,"")</f>
        <v>16088.5163737004</v>
      </c>
      <c r="K34" s="136">
        <f>IFERROR(Model!BF269,"")</f>
        <v>24587.773213336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IFERROR(Model!W270,"")</f>
        <v>0</v>
      </c>
      <c r="E35" s="136">
        <f>IFERROR(Model!AB270,"")</f>
        <v>0</v>
      </c>
      <c r="F35" s="136">
        <f>IFERROR(Model!AG270,"")</f>
        <v>0</v>
      </c>
      <c r="G35" s="136">
        <f>IFERROR(Model!AL270,"")</f>
        <v>0</v>
      </c>
      <c r="H35" s="136">
        <f>IFERROR(Model!AQ270,"")</f>
        <v>0</v>
      </c>
      <c r="I35" s="136">
        <f>IFERROR(Model!AV270,"")</f>
        <v>0</v>
      </c>
      <c r="J35" s="136">
        <f>IFERROR(Model!BA270,"")</f>
        <v>0</v>
      </c>
      <c r="K35" s="136">
        <f>IFERROR(Model!BF270,"")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IFERROR(Model!W271,"")</f>
        <v>1974</v>
      </c>
      <c r="E36" s="136">
        <f>IFERROR(Model!AB271,"")</f>
        <v>2448</v>
      </c>
      <c r="F36" s="136">
        <f>IFERROR(Model!AG271,"")</f>
        <v>3894</v>
      </c>
      <c r="G36" s="136">
        <f>IFERROR(Model!AL271,"")</f>
        <v>-2445</v>
      </c>
      <c r="H36" s="136">
        <f>IFERROR(Model!AQ271,"")</f>
        <v>0</v>
      </c>
      <c r="I36" s="136">
        <f>IFERROR(Model!AV271,"")</f>
        <v>0</v>
      </c>
      <c r="J36" s="136">
        <f>IFERROR(Model!BA271,"")</f>
        <v>0</v>
      </c>
      <c r="K36" s="136">
        <f>IFERROR(Model!BF271,"")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IFERROR(Model!W272,"")</f>
        <v>-168</v>
      </c>
      <c r="E37" s="136">
        <f>IFERROR(Model!AB272,"")</f>
        <v>-83</v>
      </c>
      <c r="F37" s="136">
        <f>IFERROR(Model!AG272,"")</f>
        <v>49</v>
      </c>
      <c r="G37" s="136">
        <f>IFERROR(Model!AL272,"")</f>
        <v>-22</v>
      </c>
      <c r="H37" s="136">
        <f>IFERROR(Model!AQ272,"")</f>
        <v>0</v>
      </c>
      <c r="I37" s="136">
        <f>IFERROR(Model!AV272,"")</f>
        <v>0</v>
      </c>
      <c r="J37" s="136">
        <f>IFERROR(Model!BA272,"")</f>
        <v>0</v>
      </c>
      <c r="K37" s="136">
        <f>IFERROR(Model!BF272,"")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IFERROR((Model!W172-Model!R172)*-1,"")</f>
        <v>-385</v>
      </c>
      <c r="E38" s="136">
        <f>IFERROR((Model!AB172-Model!W172)*-1,"")</f>
        <v>491</v>
      </c>
      <c r="F38" s="136">
        <f>IFERROR((Model!AG172-Model!AB172)*-1,"")</f>
        <v>-137</v>
      </c>
      <c r="G38" s="136">
        <f>IFERROR((Model!AL172-Model!AG172)*-1,"")</f>
        <v>-381</v>
      </c>
      <c r="H38" s="136">
        <f>IFERROR((Model!AQ172-Model!AL172)*-1,"")</f>
        <v>0</v>
      </c>
      <c r="I38" s="136">
        <f>IFERROR((Model!AV172-Model!AQ172)*-1,"")</f>
        <v>0</v>
      </c>
      <c r="J38" s="136">
        <f>IFERROR((Model!BA172-Model!AV172)*-1,"")</f>
        <v>0</v>
      </c>
      <c r="K38" s="136">
        <f>IFERROR((Model!BF172-Model!BA172)*-1,"")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IFERROR(Model!W223-Model!R223,"")</f>
        <v>-116</v>
      </c>
      <c r="E39" s="136">
        <f>IFERROR(Model!AB223-Model!W223,"")</f>
        <v>-435</v>
      </c>
      <c r="F39" s="136">
        <f>IFERROR(Model!AG223-Model!AB223,"")</f>
        <v>-912</v>
      </c>
      <c r="G39" s="136">
        <f>IFERROR(Model!AL223-Model!AG223,"")</f>
        <v>147</v>
      </c>
      <c r="H39" s="136">
        <f>IFERROR(Model!AQ223-Model!AL223,"")</f>
        <v>0</v>
      </c>
      <c r="I39" s="136">
        <f>IFERROR(Model!AV223-Model!AQ223,"")</f>
        <v>0</v>
      </c>
      <c r="J39" s="136">
        <f>IFERROR(Model!BA223-Model!AV223,"")</f>
        <v>0</v>
      </c>
      <c r="K39" s="136">
        <f>IFERROR(Model!BF223-Model!BA223,"")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IFERROR(Model!W278,"")</f>
        <v>-1199</v>
      </c>
      <c r="E40" s="136">
        <f>IFERROR(Model!AB278,"")</f>
        <v>-1571</v>
      </c>
      <c r="F40" s="136">
        <f>IFERROR(Model!AG278,"")</f>
        <v>-1566</v>
      </c>
      <c r="G40" s="136">
        <f>IFERROR(Model!AL278,"")</f>
        <v>-2370.19193237871</v>
      </c>
      <c r="H40" s="136">
        <f>IFERROR(Model!AQ278,"")</f>
        <v>-2385.9106101627</v>
      </c>
      <c r="I40" s="136">
        <f>IFERROR(Model!AV278,"")</f>
        <v>-2696.78810030407</v>
      </c>
      <c r="J40" s="136">
        <f>IFERROR(Model!BA278,"")</f>
        <v>-3034.68811882207</v>
      </c>
      <c r="K40" s="136">
        <f>IFERROR(Model!BF278,"")</f>
        <v>-3399.75262552189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-1739</v>
      </c>
      <c r="E44" s="133">
        <f>IFERROR(SUM(E27,E40:E42,E26),"")</f>
        <v>829</v>
      </c>
      <c r="F44" s="133">
        <f>IFERROR(SUM(F27,F40:F42,F26),"")</f>
        <v>4501</v>
      </c>
      <c r="G44" s="133">
        <f>IFERROR(SUM(G27,G40:G42,G26),"")</f>
        <v>802.968365469808</v>
      </c>
      <c r="H44" s="133">
        <f>IFERROR(SUM(H27,H40:H42,H26),"")</f>
        <v>5274.81293624351</v>
      </c>
      <c r="I44" s="133">
        <f>IFERROR(SUM(I27,I40:I42,I26),"")</f>
        <v>8957.25197884476</v>
      </c>
      <c r="J44" s="133">
        <f>IFERROR(SUM(J27,J40:J42,J26),"")</f>
        <v>14569.1515626097</v>
      </c>
      <c r="K44" s="133">
        <f>IFERROR(SUM(K27,K40:K42,K26),"")</f>
        <v>22908.7344500728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IFERROR(Model!W333,"")</f>
        <v>52120</v>
      </c>
      <c r="E46" s="136">
        <f>IFERROR(Model!AB333,"")</f>
        <v>51730</v>
      </c>
      <c r="F46" s="136">
        <f>IFERROR(Model!AG333,"")</f>
        <v>50439</v>
      </c>
      <c r="G46" s="136">
        <f>IFERROR(Model!AL333,"")</f>
        <v>50656.0316345302</v>
      </c>
      <c r="H46" s="136">
        <f>IFERROR(Model!AQ333,"")</f>
        <v>45381.2186982867</v>
      </c>
      <c r="I46" s="136">
        <f>IFERROR(Model!AV333,"")</f>
        <v>36423.9667194419</v>
      </c>
      <c r="J46" s="136">
        <f>IFERROR(Model!BA333,"")</f>
        <v>21854.8151568322</v>
      </c>
      <c r="K46" s="136">
        <f>IFERROR(Model!BF333,"")</f>
        <v>-1053.91929324057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IFERROR(Model!W334,"")</f>
        <v>34000</v>
      </c>
      <c r="E47" s="136">
        <f>IFERROR(Model!AB334,"")</f>
        <v>32182</v>
      </c>
      <c r="F47" s="136">
        <f>IFERROR(Model!AG334,"")</f>
        <v>30554</v>
      </c>
      <c r="G47" s="136">
        <f>IFERROR(Model!AL334,"")</f>
        <v>29831.0316345302</v>
      </c>
      <c r="H47" s="136">
        <f>IFERROR(Model!AQ334,"")</f>
        <v>24556.2186982867</v>
      </c>
      <c r="I47" s="136">
        <f>IFERROR(Model!AV334,"")</f>
        <v>15598.9667194419</v>
      </c>
      <c r="J47" s="136">
        <f>IFERROR(Model!BA334,"")</f>
        <v>1029.8151568322</v>
      </c>
      <c r="K47" s="136">
        <f>IFERROR(Model!BF334,"")</f>
        <v>-21878.9192932406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1.56277173098258</v>
      </c>
      <c r="E48" s="122">
        <f>IFERROR(IF(E18=0,"",E46/E18),"")</f>
        <v>1.40563012879735</v>
      </c>
      <c r="F48" s="122">
        <f>IFERROR(IF(F18=0,"",F46/F18),"")</f>
        <v>1.21859824599551</v>
      </c>
      <c r="G48" s="122">
        <f>IFERROR(IF(G18=0,"",G46/G18),"")</f>
        <v>1.06838155505518</v>
      </c>
      <c r="H48" s="122">
        <f>IFERROR(IF(H18=0,"",H46/H18),"")</f>
        <v>0.843066440807793</v>
      </c>
      <c r="I48" s="122">
        <f>IFERROR(IF(I18=0,"",I46/I18),"")</f>
        <v>0.598659988948993</v>
      </c>
      <c r="J48" s="122">
        <f>IFERROR(IF(J18=0,"",J46/J18),"")</f>
        <v>0.319207354823013</v>
      </c>
      <c r="K48" s="122">
        <f>IFERROR(IF(K18=0,"",K46/K18),"")</f>
        <v>-0.013740415100251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0.341334299295952</v>
      </c>
      <c r="E50" s="150">
        <f>IFERROR(IF(E46=0,"",E25/E46),"")</f>
        <v>0.382890157885344</v>
      </c>
      <c r="F50" s="150">
        <f>IFERROR(IF(F46=0,"",F25/F46),"")</f>
        <v>0.408502044605002</v>
      </c>
      <c r="G50" s="150">
        <f>IFERROR(IF(G46=0,"",G25/G46),"")</f>
        <v>0.475276537990241</v>
      </c>
      <c r="H50" s="150">
        <f>IFERROR(IF(H46=0,"",H25/H46),"")</f>
        <v>0.596128158391748</v>
      </c>
      <c r="I50" s="150">
        <f>IFERROR(IF(I46=0,"",I25/I46),"")</f>
        <v>0.839500975575396</v>
      </c>
      <c r="J50" s="150">
        <f>IFERROR(IF(J46=0,"",J25/J46),"")</f>
        <v>1.57444882508829</v>
      </c>
      <c r="K50" s="150">
        <f>IFERROR(IF(K46=0,"",K25/K46),"")</f>
        <v>-36.5764528286671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0.639888718342287</v>
      </c>
      <c r="E51" s="154">
        <f>IFERROR(IF(E46=0,"",E18/E46),"")</f>
        <v>0.711424705200077</v>
      </c>
      <c r="F51" s="154">
        <f>IFERROR(IF(F46=0,"",F18/F46),"")</f>
        <v>0.820615000297389</v>
      </c>
      <c r="G51" s="154">
        <f>IFERROR(IF(G46=0,"",G18/G46),"")</f>
        <v>0.935995193167065</v>
      </c>
      <c r="H51" s="154">
        <f>IFERROR(IF(H46=0,"",H18/H46),"")</f>
        <v>1.18614613462948</v>
      </c>
      <c r="I51" s="154">
        <f>IFERROR(IF(I46=0,"",I18/I46),"")</f>
        <v>1.67039725129384</v>
      </c>
      <c r="J51" s="154">
        <f>IFERROR(IF(J46=0,"",J18/J46),"")</f>
        <v>3.13275989694679</v>
      </c>
      <c r="K51" s="154">
        <f>IFERROR(IF(K46=0,"",K18/K46),"")</f>
        <v>-72.7780050823744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16051.343679305</v>
      </c>
      <c r="E53" s="155">
        <f>IFERROR(E25+E44,"")</f>
        <v>20635.9078674088</v>
      </c>
      <c r="F53" s="155">
        <f>IFERROR(F25+F44,"")</f>
        <v>25105.4346278317</v>
      </c>
      <c r="G53" s="156">
        <f>IFERROR(G25+G44,"")</f>
        <v>24878.5917090535</v>
      </c>
      <c r="H53" s="155">
        <f>IFERROR(H25+H44,"")</f>
        <v>32327.8352644263</v>
      </c>
      <c r="I53" s="155">
        <f>IFERROR(I25+I44,"")</f>
        <v>39535.207574142</v>
      </c>
      <c r="J53" s="155">
        <f>IFERROR(J25+J44,"")</f>
        <v>48978.439608806</v>
      </c>
      <c r="K53" s="155">
        <f>IFERROR(K25+K44,"")</f>
        <v>61457.3637645087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-36.5764528286671</v>
      </c>
      <c r="E64" s="157" t="inlineStr">
        <is>
          <t>Current portion of long-term debt</t>
        </is>
      </c>
      <c r="H64" s="137">
        <f>IFERROR(INDEX(Model!$I$195:$BF$195,1,MATCH(Control!$B$7,Model!$I$5:$BF$5,0)),"")</f>
        <v>2996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IFERROR(INDEX(Model!$I$196:$BF$196,1,MATCH(Control!$B$7,Model!$I$5:$BF$5,0)),"")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IFERROR(INDEX(Model!$I$200:$BF$200,1,MATCH(Control!$B$7,Model!$I$5:$BF$5,0)),"")</f>
        <v>20862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IFERROR(INDEX(Model!$I$221:$BF$221,1,MATCH(Control!$B$7,Model!$I$5:$BF$5,0)),"")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IFERROR(INDEX(Model!$I$231:$BF$231,1,MATCH(Control!$B$7,Model!$I$5:$BF$5,0)),"")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IFERROR(INDEX(Model!$I$236:$BF$236,1,MATCH(Control!$B$7,Model!$I$5:$BF$5,0)),"")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IFERROR(INDEX(Model!$I$197:$BF$197,1,MATCH(Control!$B$7,Model!$I$5:$BF$5,0)),"")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IFERROR(INDEX(Model!$I$218:$BF$218,1,MATCH(Control!$B$7,Model!$I$5:$BF$5,0)),"")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IFERROR(-INDEX(Model!$I$127:$BF$127,1,MATCH(Control!$B$7,Model!$I$5:$BF$5,0)),"")</f>
        <v>-12359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48372.5078199851</v>
      </c>
      <c r="E73" s="157" t="inlineStr">
        <is>
          <t>Less: Equity investments</t>
        </is>
      </c>
      <c r="H73" s="137">
        <f>IFERROR(-INDEX(Model!$I$144:$BF$144,1,MATCH(Control!$B$7,Model!$I$5:$BF$5,0)),"")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11499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11499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11499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V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Visa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V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IFERROR(-Model!AG57/AVERAGE(Model!AB75,Model!AG75),"")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0.135297207622615</v>
      </c>
      <c r="C18" s="247">
        <f>IF(B18="","",B18)</f>
        <v>0.135297207622615</v>
      </c>
      <c r="D18" s="247">
        <f>IF(C18="","",MAX(0,C18-0.5%))</f>
        <v>0.130297207622615</v>
      </c>
      <c r="E18" s="247">
        <f>IF(D18="","",MAX(0,D18-0.5%))</f>
        <v>0.125297207622615</v>
      </c>
      <c r="F18" s="247">
        <f>IF(E18="","",MAX(0,E18-0.5%))</f>
        <v>0.120297207622615</v>
      </c>
    </row>
    <row r="19" ht="15" customHeight="1">
      <c r="A19" t="inlineStr">
        <is>
          <t>Gross margin</t>
        </is>
      </c>
      <c r="B19" s="247">
        <f>IFERROR(AVERAGE(Model!AC38:AF38,Model!AH38:AI38),"")</f>
        <v>1</v>
      </c>
      <c r="C19" s="247">
        <f>IF(B19="","",B19)</f>
        <v>1</v>
      </c>
      <c r="D19" s="247">
        <f>IF(C19="","",C19)</f>
        <v>1</v>
      </c>
      <c r="E19" s="247">
        <f>IF(D19="","",D19)</f>
        <v>1</v>
      </c>
      <c r="F19" s="247">
        <f>IF(E19="","",E19)</f>
        <v>1</v>
      </c>
    </row>
    <row r="20" ht="15" customHeight="1">
      <c r="A20" t="inlineStr">
        <is>
          <t>SG&amp;A / Revenue</t>
        </is>
      </c>
      <c r="B20" s="247">
        <f>IFERROR(AVERAGE(Model!AC42:AF42,Model!AH42:AI42),"")</f>
        <v>0.369346076924874</v>
      </c>
      <c r="C20" s="247">
        <f>IF(B20="","",B20)</f>
        <v>0.369346076924874</v>
      </c>
      <c r="D20" s="247">
        <f>IF(C20="","",C20)</f>
        <v>0.369346076924874</v>
      </c>
      <c r="E20" s="247">
        <f>IF(D20="","",D20)</f>
        <v>0.369346076924874</v>
      </c>
      <c r="F20" s="247">
        <f>IF(E20="","",E20)</f>
        <v>0.369346076924874</v>
      </c>
    </row>
    <row r="21" ht="15" customHeight="1">
      <c r="A21" t="inlineStr">
        <is>
          <t>D&amp;A / Revenue</t>
        </is>
      </c>
      <c r="B21" s="247">
        <f>IFERROR(AVERAGE(Model!AC54:AF54,Model!AH54:AI54),"")</f>
        <v>0.030587951683257</v>
      </c>
      <c r="C21" s="247">
        <f>IF(B21="","",B21)</f>
        <v>0.030587951683257</v>
      </c>
      <c r="D21" s="247">
        <f>IF(C21="","",C21)</f>
        <v>0.030587951683257</v>
      </c>
      <c r="E21" s="247">
        <f>IF(D21="","",D21)</f>
        <v>0.030587951683257</v>
      </c>
      <c r="F21" s="247">
        <f>IF(E21="","",E21)</f>
        <v>0.030587951683257</v>
      </c>
    </row>
    <row r="22" ht="15" customHeight="1">
      <c r="A22" t="inlineStr">
        <is>
          <t>Effective tax rate</t>
        </is>
      </c>
      <c r="B22" s="247">
        <f>IFERROR(AVERAGE(Model!AC115:AF115,Model!AH115:AI115),"")</f>
        <v>0.162466014203576</v>
      </c>
      <c r="C22" s="247">
        <f>IF(B22="","",B22)</f>
        <v>0.162466014203576</v>
      </c>
      <c r="D22" s="247">
        <f>IF(C22="","",C22)</f>
        <v>0.162466014203576</v>
      </c>
      <c r="E22" s="247">
        <f>IF(D22="","",D22)</f>
        <v>0.162466014203576</v>
      </c>
      <c r="F22" s="247">
        <f>IF(E22="","",E22)</f>
        <v>0.162466014203576</v>
      </c>
    </row>
    <row r="23" ht="15" customHeight="1">
      <c r="A23" t="inlineStr">
        <is>
          <t>Financial income / Revenue</t>
        </is>
      </c>
      <c r="B23" s="247">
        <f>IFERROR(AVERAGE(Model!AC106:AF106,Model!AH106:AI106)/AVERAGE(Model!AC15:AF15,Model!AH15:AI15),"")</f>
        <v>0.0169950508917733</v>
      </c>
      <c r="C23" s="247">
        <f>IF(B23="","",B23)</f>
        <v>0.0169950508917733</v>
      </c>
      <c r="D23" s="247">
        <f>IF(C23="","",C23)</f>
        <v>0.0169950508917733</v>
      </c>
      <c r="E23" s="247">
        <f>IF(D23="","",D23)</f>
        <v>0.0169950508917733</v>
      </c>
      <c r="F23" s="247">
        <f>IF(E23="","",E23)</f>
        <v>0.0169950508917733</v>
      </c>
    </row>
    <row r="24" ht="15" customHeight="1">
      <c r="A24" t="inlineStr">
        <is>
          <t>Capex / Revenue</t>
        </is>
      </c>
      <c r="B24" s="247">
        <f>IFERROR(-AVERAGE(Model!AC278:AF278,Model!AH278:AI278)/AVERAGE(Model!AC15:AF15,Model!AH15:AI15),"")</f>
        <v>0.0443240887726834</v>
      </c>
      <c r="C24" s="247">
        <f>IF(B24="","",B24)</f>
        <v>0.0443240887726834</v>
      </c>
      <c r="D24" s="247">
        <f>IF(C24="","",C24)</f>
        <v>0.0443240887726834</v>
      </c>
      <c r="E24" s="247">
        <f>IF(D24="","",D24)</f>
        <v>0.0443240887726834</v>
      </c>
      <c r="F24" s="247">
        <f>IF(E24="","",E24)</f>
        <v>0.0443240887726834</v>
      </c>
    </row>
    <row r="25" ht="15" customHeight="1">
      <c r="A25" t="inlineStr">
        <is>
          <t>DSO</t>
        </is>
      </c>
      <c r="B25" s="249">
        <f>IFERROR(AVERAGE(Model!AC129:AF129,Model!AH129:AI129),0)</f>
        <v>26.765652685891</v>
      </c>
      <c r="C25" s="249">
        <f>IF(B25="","",B25)</f>
        <v>26.765652685891</v>
      </c>
      <c r="D25" s="249">
        <f>IF(C25="","",C25)</f>
        <v>26.765652685891</v>
      </c>
      <c r="E25" s="249">
        <f>IF(D25="","",D25)</f>
        <v>26.765652685891</v>
      </c>
      <c r="F25" s="249">
        <f>IF(E25="","",E25)</f>
        <v>26.765652685891</v>
      </c>
    </row>
    <row r="26" ht="15" customHeight="1">
      <c r="A26" t="inlineStr">
        <is>
          <t>DIO</t>
        </is>
      </c>
      <c r="B26" s="249">
        <f>IFERROR(AVERAGE(Model!AC133:AF133,Model!AH133:AI133),0)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IFERROR(AVERAGE(Model!AC182:AF182,Model!AH182:AI182),0)</f>
        <v>0</v>
      </c>
      <c r="C27" s="249">
        <f>IF(B27="","",B27)</f>
        <v>0</v>
      </c>
      <c r="D27" s="249">
        <f>IF(C27="","",C27)</f>
        <v>0</v>
      </c>
      <c r="E27" s="249">
        <f>IF(D27="","",D27)</f>
        <v>0</v>
      </c>
      <c r="F27" s="249">
        <f>IF(E27="","",E27)</f>
        <v>0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Visa Inc. (V, CIK 1403161) - fonte: SEC EDGAR XBRL (instâncias dos 10-Q/10-K). Moeda: USD. Brutos em USD unidades (fator 0,000001 -&gt; milhões). Colunas = trimestres-CALENDÁRIO (cada fechamento vai para o fim de trimestre mais próximo); ano fiscal term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2026-10-16T15:41:57Z</dcterms:modified>
  <cp:lastModifiedBy>Lucas Nascimento</cp:lastModifiedBy>
  <cp:revision>0</cp:revision>
</cp:coreProperties>
</file>