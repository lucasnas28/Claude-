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  <numFmt numFmtId="189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7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89" fontId="0" fillId="0" borderId="0" pivotButton="0" quotePrefix="0" xfId="0"/>
    <xf numFmtId="189" fontId="5" fillId="2" borderId="0" applyAlignment="1" pivotButton="0" quotePrefix="0" xfId="0">
      <alignment horizontal="center"/>
    </xf>
    <xf numFmtId="189" fontId="2" fillId="0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Orizon Valorizacao de Residuos (ORVR3) - fonte: Dados Abertos CVM (dados.cvm.gov.br, ITR e DFP, demonstracoes consolidadas: BPA, BPP, DRE, DFC-MI), CD_CVM 025550. A Cia nao publica planilha de fundamentos no RI. Moeda: BRL. Brutos em R$ mil.</t>
        </is>
      </c>
    </row>
    <row r="2">
      <c r="J2" t="inlineStr">
        <is>
          <t>Trimestre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COMO NO ITR/DFP (R$ mil): 1T-3T = coluna do trimestre (3 meses) do ITR; coluna 4T = ANO (DFP). O 4T isolado e derivado abaixo (ano - 1T - 2T - 3T)</t>
        </is>
      </c>
    </row>
    <row r="6">
      <c r="G6" t="inlineStr">
        <is>
          <t>moeda</t>
        </is>
      </c>
      <c r="H6" t="inlineStr">
        <is>
          <t>Receita de venda de bens e/ou servicos (CVM 3.01)</t>
        </is>
      </c>
      <c r="J6" t="inlineStr">
        <is>
          <t>memoria</t>
        </is>
      </c>
      <c r="K6" s="258" t="n">
        <v>91509</v>
      </c>
      <c r="L6" s="258" t="n">
        <v>99836</v>
      </c>
      <c r="M6" s="258" t="n">
        <v>97605</v>
      </c>
      <c r="N6" s="258" t="n">
        <v>391968</v>
      </c>
      <c r="O6" s="258" t="n">
        <v>87625</v>
      </c>
      <c r="P6" s="258" t="n">
        <v>92687</v>
      </c>
      <c r="Q6" s="258" t="n">
        <v>99841</v>
      </c>
      <c r="R6" s="258" t="n">
        <v>435516</v>
      </c>
      <c r="S6" s="258" t="n">
        <v>99226</v>
      </c>
      <c r="T6" s="258" t="n">
        <v>150612</v>
      </c>
      <c r="U6" s="258" t="n">
        <v>197177</v>
      </c>
      <c r="V6" s="258" t="n">
        <v>626224</v>
      </c>
      <c r="W6" s="258" t="n">
        <v>188845</v>
      </c>
      <c r="X6" s="258" t="n">
        <v>196245</v>
      </c>
      <c r="Y6" s="258" t="n">
        <v>192599</v>
      </c>
      <c r="Z6" s="258" t="n">
        <v>776276</v>
      </c>
      <c r="AA6" s="258" t="n">
        <v>209146</v>
      </c>
      <c r="AB6" s="258" t="n">
        <v>215047</v>
      </c>
      <c r="AC6" s="258" t="n">
        <v>249074</v>
      </c>
      <c r="AD6" s="258" t="n">
        <v>903473</v>
      </c>
      <c r="AE6" s="258" t="n">
        <v>240800</v>
      </c>
      <c r="AF6" s="258" t="n">
        <v>264181</v>
      </c>
      <c r="AG6" s="258" t="n">
        <v>281050</v>
      </c>
      <c r="AH6" s="258" t="n">
        <v>1050340</v>
      </c>
      <c r="AI6" s="258" t="n">
        <v>331076</v>
      </c>
      <c r="AJ6" s="258" t="n">
        <v>622836</v>
      </c>
    </row>
    <row r="7">
      <c r="G7" t="inlineStr">
        <is>
          <t>moeda</t>
        </is>
      </c>
      <c r="H7" t="inlineStr">
        <is>
          <t>Custo dos bens e/ou servicos vendidos (inclui D&amp;A, devolvida abaixo) (CVM 3.02)</t>
        </is>
      </c>
      <c r="J7" t="inlineStr">
        <is>
          <t>memoria</t>
        </is>
      </c>
      <c r="K7" s="258" t="n">
        <v>-57894</v>
      </c>
      <c r="L7" s="258" t="n">
        <v>-67091</v>
      </c>
      <c r="M7" s="258" t="n">
        <v>-60813</v>
      </c>
      <c r="N7" s="258" t="n">
        <v>-245170</v>
      </c>
      <c r="O7" s="258" t="n">
        <v>-59384</v>
      </c>
      <c r="P7" s="258" t="n">
        <v>-59184</v>
      </c>
      <c r="Q7" s="258" t="n">
        <v>-61382</v>
      </c>
      <c r="R7" s="258" t="n">
        <v>-256599</v>
      </c>
      <c r="S7" s="258" t="n">
        <v>-65213</v>
      </c>
      <c r="T7" s="258" t="n">
        <v>-106498</v>
      </c>
      <c r="U7" s="258" t="n">
        <v>-138595</v>
      </c>
      <c r="V7" s="258" t="n">
        <v>-438329</v>
      </c>
      <c r="W7" s="258" t="n">
        <v>-146571</v>
      </c>
      <c r="X7" s="258" t="n">
        <v>-129705</v>
      </c>
      <c r="Y7" s="258" t="n">
        <v>-120792</v>
      </c>
      <c r="Z7" s="258" t="n">
        <v>-528599</v>
      </c>
      <c r="AA7" s="258" t="n">
        <v>-112572</v>
      </c>
      <c r="AB7" s="258" t="n">
        <v>-121121</v>
      </c>
      <c r="AC7" s="258" t="n">
        <v>-124144</v>
      </c>
      <c r="AD7" s="258" t="n">
        <v>-489926</v>
      </c>
      <c r="AE7" s="258" t="n">
        <v>-139900</v>
      </c>
      <c r="AF7" s="258" t="n">
        <v>-140097</v>
      </c>
      <c r="AG7" s="258" t="n">
        <v>-144278</v>
      </c>
      <c r="AH7" s="258" t="n">
        <v>-565077</v>
      </c>
      <c r="AI7" s="258" t="n">
        <v>-198356</v>
      </c>
      <c r="AJ7" s="258" t="n">
        <v>-430037</v>
      </c>
    </row>
    <row r="8">
      <c r="G8" t="inlineStr">
        <is>
          <t>moeda</t>
        </is>
      </c>
      <c r="H8" t="inlineStr">
        <is>
          <t>Despesas com vendas (CVM 3.04.01)</t>
        </is>
      </c>
      <c r="J8" t="inlineStr">
        <is>
          <t>memoria</t>
        </is>
      </c>
      <c r="K8" s="258" t="n">
        <v>0</v>
      </c>
      <c r="L8" s="258" t="n">
        <v>0</v>
      </c>
      <c r="M8" s="258" t="n">
        <v>0</v>
      </c>
      <c r="N8" s="258" t="n">
        <v>0</v>
      </c>
      <c r="O8" s="258" t="n">
        <v>0</v>
      </c>
      <c r="P8" s="258" t="n">
        <v>0</v>
      </c>
      <c r="Q8" s="258" t="n">
        <v>0</v>
      </c>
      <c r="R8" s="258" t="n">
        <v>0</v>
      </c>
      <c r="S8" s="258" t="n">
        <v>0</v>
      </c>
      <c r="T8" s="258" t="n">
        <v>0</v>
      </c>
      <c r="U8" s="258" t="n">
        <v>0</v>
      </c>
      <c r="V8" s="258" t="n">
        <v>0</v>
      </c>
      <c r="W8" s="258" t="n">
        <v>0</v>
      </c>
      <c r="X8" s="258" t="n">
        <v>0</v>
      </c>
      <c r="Y8" s="258" t="n">
        <v>0</v>
      </c>
      <c r="Z8" s="258" t="n">
        <v>0</v>
      </c>
      <c r="AA8" s="258" t="n">
        <v>0</v>
      </c>
      <c r="AB8" s="258" t="n">
        <v>0</v>
      </c>
      <c r="AC8" s="258" t="n">
        <v>0</v>
      </c>
      <c r="AD8" s="258" t="n">
        <v>0</v>
      </c>
      <c r="AE8" s="258" t="n">
        <v>0</v>
      </c>
      <c r="AF8" s="258" t="n">
        <v>0</v>
      </c>
      <c r="AG8" s="258" t="n">
        <v>0</v>
      </c>
      <c r="AH8" s="258" t="n">
        <v>0</v>
      </c>
      <c r="AI8" s="258" t="n">
        <v>0</v>
      </c>
      <c r="AJ8" s="258" t="n">
        <v>0</v>
      </c>
    </row>
    <row r="9">
      <c r="G9" t="inlineStr">
        <is>
          <t>moeda</t>
        </is>
      </c>
      <c r="H9" t="inlineStr">
        <is>
          <t>Despesas gerais e administrativas (CVM 3.04.02)</t>
        </is>
      </c>
      <c r="J9" t="inlineStr">
        <is>
          <t>memoria</t>
        </is>
      </c>
      <c r="K9" s="258" t="n">
        <v>-10304</v>
      </c>
      <c r="L9" s="258" t="n">
        <v>-13349</v>
      </c>
      <c r="M9" s="258" t="n">
        <v>-15428</v>
      </c>
      <c r="N9" s="258" t="n">
        <v>-49920</v>
      </c>
      <c r="O9" s="258" t="n">
        <v>-51321</v>
      </c>
      <c r="P9" s="258" t="n">
        <v>-10170</v>
      </c>
      <c r="Q9" s="258" t="n">
        <v>-21008</v>
      </c>
      <c r="R9" s="258" t="n">
        <v>-98430</v>
      </c>
      <c r="S9" s="258" t="n">
        <v>-21221</v>
      </c>
      <c r="T9" s="258" t="n">
        <v>-34838</v>
      </c>
      <c r="U9" s="258" t="n">
        <v>-45656</v>
      </c>
      <c r="V9" s="258" t="n">
        <v>-148420</v>
      </c>
      <c r="W9" s="258" t="n">
        <v>-36163</v>
      </c>
      <c r="X9" s="258" t="n">
        <v>-24601</v>
      </c>
      <c r="Y9" s="258" t="n">
        <v>-30980</v>
      </c>
      <c r="Z9" s="258" t="n">
        <v>-132723</v>
      </c>
      <c r="AA9" s="258" t="n">
        <v>-37847</v>
      </c>
      <c r="AB9" s="258" t="n">
        <v>-34590</v>
      </c>
      <c r="AC9" s="258" t="n">
        <v>-45264</v>
      </c>
      <c r="AD9" s="258" t="n">
        <v>-164183</v>
      </c>
      <c r="AE9" s="258" t="n">
        <v>-43344</v>
      </c>
      <c r="AF9" s="258" t="n">
        <v>-45281</v>
      </c>
      <c r="AG9" s="258" t="n">
        <v>-50333</v>
      </c>
      <c r="AH9" s="258" t="n">
        <v>-187978</v>
      </c>
      <c r="AI9" s="258" t="n">
        <v>-45161</v>
      </c>
      <c r="AJ9" s="258" t="n">
        <v>-91828</v>
      </c>
    </row>
    <row r="10">
      <c r="G10" t="inlineStr">
        <is>
          <t>moeda</t>
        </is>
      </c>
      <c r="H10" t="inlineStr">
        <is>
          <t>Perdas pela nao recuperabilidade de ativos (CVM 3.04.03)</t>
        </is>
      </c>
      <c r="J10" t="inlineStr">
        <is>
          <t>memoria</t>
        </is>
      </c>
      <c r="K10" s="258" t="n">
        <v>0</v>
      </c>
      <c r="L10" s="258" t="n">
        <v>0</v>
      </c>
      <c r="M10" s="258" t="n">
        <v>0</v>
      </c>
      <c r="N10" s="258" t="n">
        <v>0</v>
      </c>
      <c r="O10" s="258" t="n">
        <v>0</v>
      </c>
      <c r="P10" s="258" t="n">
        <v>0</v>
      </c>
      <c r="Q10" s="258" t="n">
        <v>0</v>
      </c>
      <c r="R10" s="258" t="n">
        <v>0</v>
      </c>
      <c r="S10" s="258" t="n">
        <v>0</v>
      </c>
      <c r="T10" s="258" t="n">
        <v>0</v>
      </c>
      <c r="U10" s="258" t="n">
        <v>0</v>
      </c>
      <c r="V10" s="258" t="n">
        <v>0</v>
      </c>
      <c r="W10" s="258" t="n">
        <v>0</v>
      </c>
      <c r="X10" s="258" t="n">
        <v>0</v>
      </c>
      <c r="Y10" s="258" t="n">
        <v>0</v>
      </c>
      <c r="Z10" s="258" t="n">
        <v>0</v>
      </c>
      <c r="AA10" s="258" t="n">
        <v>0</v>
      </c>
      <c r="AB10" s="258" t="n">
        <v>0</v>
      </c>
      <c r="AC10" s="258" t="n">
        <v>0</v>
      </c>
      <c r="AD10" s="258" t="n">
        <v>0</v>
      </c>
      <c r="AE10" s="258" t="n">
        <v>0</v>
      </c>
      <c r="AF10" s="258" t="n">
        <v>0</v>
      </c>
      <c r="AG10" s="258" t="n">
        <v>0</v>
      </c>
      <c r="AH10" s="258" t="n">
        <v>0</v>
      </c>
      <c r="AI10" s="258" t="n">
        <v>0</v>
      </c>
      <c r="AJ10" s="258" t="n">
        <v>0</v>
      </c>
    </row>
    <row r="11">
      <c r="G11" t="inlineStr">
        <is>
          <t>moeda</t>
        </is>
      </c>
      <c r="H11" t="inlineStr">
        <is>
          <t>Outras receitas operacionais (CVM 3.04.04)</t>
        </is>
      </c>
      <c r="J11" t="inlineStr">
        <is>
          <t>memoria</t>
        </is>
      </c>
      <c r="K11" s="258" t="n">
        <v>-2821</v>
      </c>
      <c r="L11" s="258" t="n">
        <v>5204</v>
      </c>
      <c r="M11" s="258" t="n">
        <v>1465</v>
      </c>
      <c r="N11" s="258" t="n">
        <v>5822</v>
      </c>
      <c r="O11" s="258" t="n">
        <v>0</v>
      </c>
      <c r="P11" s="258" t="n">
        <v>1601</v>
      </c>
      <c r="Q11" s="258" t="n">
        <v>2142</v>
      </c>
      <c r="R11" s="258" t="n">
        <v>-1529</v>
      </c>
      <c r="S11" s="258" t="n">
        <v>0</v>
      </c>
      <c r="T11" s="258" t="n">
        <v>15694</v>
      </c>
      <c r="U11" s="258" t="n">
        <v>-405</v>
      </c>
      <c r="V11" s="258" t="n">
        <v>10310</v>
      </c>
      <c r="W11" s="258" t="n">
        <v>0</v>
      </c>
      <c r="X11" s="258" t="n">
        <v>-1013</v>
      </c>
      <c r="Y11" s="258" t="n">
        <v>1896</v>
      </c>
      <c r="Z11" s="258" t="n">
        <v>63706</v>
      </c>
      <c r="AA11" s="258" t="n">
        <v>0</v>
      </c>
      <c r="AB11" s="258" t="n">
        <v>2538</v>
      </c>
      <c r="AC11" s="258" t="n">
        <v>6182</v>
      </c>
      <c r="AD11" s="258" t="n">
        <v>9067</v>
      </c>
      <c r="AE11" s="258" t="n">
        <v>0</v>
      </c>
      <c r="AF11" s="258" t="n">
        <v>772</v>
      </c>
      <c r="AG11" s="258" t="n">
        <v>0</v>
      </c>
      <c r="AH11" s="258" t="n">
        <v>5851</v>
      </c>
      <c r="AI11" s="258" t="n">
        <v>0</v>
      </c>
      <c r="AJ11" s="258" t="n">
        <v>-4215</v>
      </c>
    </row>
    <row r="12">
      <c r="G12" t="inlineStr">
        <is>
          <t>moeda</t>
        </is>
      </c>
      <c r="H12" t="inlineStr">
        <is>
          <t>Outras despesas operacionais (CVM 3.04.05)</t>
        </is>
      </c>
      <c r="J12" t="inlineStr">
        <is>
          <t>memoria</t>
        </is>
      </c>
      <c r="K12" s="258" t="n">
        <v>0</v>
      </c>
      <c r="L12" s="258" t="n">
        <v>0</v>
      </c>
      <c r="M12" s="258" t="n">
        <v>0</v>
      </c>
      <c r="N12" s="258" t="n">
        <v>0</v>
      </c>
      <c r="O12" s="258" t="n">
        <v>-932</v>
      </c>
      <c r="P12" s="258" t="n">
        <v>0</v>
      </c>
      <c r="Q12" s="258" t="n">
        <v>0</v>
      </c>
      <c r="R12" s="258" t="n">
        <v>0</v>
      </c>
      <c r="S12" s="258" t="n">
        <v>-899</v>
      </c>
      <c r="T12" s="258" t="n">
        <v>0</v>
      </c>
      <c r="U12" s="258" t="n">
        <v>0</v>
      </c>
      <c r="V12" s="258" t="n">
        <v>0</v>
      </c>
      <c r="W12" s="258" t="n">
        <v>2745</v>
      </c>
      <c r="X12" s="258" t="n">
        <v>0</v>
      </c>
      <c r="Y12" s="258" t="n">
        <v>0</v>
      </c>
      <c r="Z12" s="258" t="n">
        <v>0</v>
      </c>
      <c r="AA12" s="258" t="n">
        <v>7620</v>
      </c>
      <c r="AB12" s="258" t="n">
        <v>0</v>
      </c>
      <c r="AC12" s="258" t="n">
        <v>0</v>
      </c>
      <c r="AD12" s="258" t="n">
        <v>0</v>
      </c>
      <c r="AE12" s="258" t="n">
        <v>-2034</v>
      </c>
      <c r="AF12" s="258" t="n">
        <v>0</v>
      </c>
      <c r="AG12" s="258" t="n">
        <v>-2982</v>
      </c>
      <c r="AH12" s="258" t="n">
        <v>0</v>
      </c>
      <c r="AI12" s="258" t="n">
        <v>-809</v>
      </c>
      <c r="AJ12" s="258" t="n">
        <v>0</v>
      </c>
    </row>
    <row r="13">
      <c r="G13" t="inlineStr">
        <is>
          <t>moeda</t>
        </is>
      </c>
      <c r="H13" t="inlineStr">
        <is>
          <t>Resultado de equivalencia patrimonial (CVM 3.04.06)</t>
        </is>
      </c>
      <c r="J13" t="inlineStr">
        <is>
          <t>memoria</t>
        </is>
      </c>
      <c r="K13" s="258" t="n">
        <v>-35</v>
      </c>
      <c r="L13" s="258" t="n">
        <v>7</v>
      </c>
      <c r="M13" s="258" t="n">
        <v>456</v>
      </c>
      <c r="N13" s="258" t="n">
        <v>578</v>
      </c>
      <c r="O13" s="258" t="n">
        <v>102</v>
      </c>
      <c r="P13" s="258" t="n">
        <v>28</v>
      </c>
      <c r="Q13" s="258" t="n">
        <v>215</v>
      </c>
      <c r="R13" s="258" t="n">
        <v>724</v>
      </c>
      <c r="S13" s="258" t="n">
        <v>-1</v>
      </c>
      <c r="T13" s="258" t="n">
        <v>-5637</v>
      </c>
      <c r="U13" s="258" t="n">
        <v>9569</v>
      </c>
      <c r="V13" s="258" t="n">
        <v>7720</v>
      </c>
      <c r="W13" s="258" t="n">
        <v>2973</v>
      </c>
      <c r="X13" s="258" t="n">
        <v>3062</v>
      </c>
      <c r="Y13" s="258" t="n">
        <v>1779</v>
      </c>
      <c r="Z13" s="258" t="n">
        <v>11060</v>
      </c>
      <c r="AA13" s="258" t="n">
        <v>4470</v>
      </c>
      <c r="AB13" s="258" t="n">
        <v>2332</v>
      </c>
      <c r="AC13" s="258" t="n">
        <v>5237</v>
      </c>
      <c r="AD13" s="258" t="n">
        <v>14687</v>
      </c>
      <c r="AE13" s="258" t="n">
        <v>4179</v>
      </c>
      <c r="AF13" s="258" t="n">
        <v>1578</v>
      </c>
      <c r="AG13" s="258" t="n">
        <v>1024</v>
      </c>
      <c r="AH13" s="258" t="n">
        <v>6815</v>
      </c>
      <c r="AI13" s="258" t="n">
        <v>-461</v>
      </c>
      <c r="AJ13" s="258" t="n">
        <v>-4378</v>
      </c>
    </row>
    <row r="14">
      <c r="G14" t="inlineStr">
        <is>
          <t>moeda</t>
        </is>
      </c>
      <c r="H14" t="inlineStr">
        <is>
          <t>Receitas financeiras (CVM 3.06.01)</t>
        </is>
      </c>
      <c r="J14" t="inlineStr">
        <is>
          <t>memoria</t>
        </is>
      </c>
      <c r="K14" s="258" t="n">
        <v>708</v>
      </c>
      <c r="L14" s="258" t="n">
        <v>25852</v>
      </c>
      <c r="M14" s="258" t="n">
        <v>3182</v>
      </c>
      <c r="N14" s="258" t="n">
        <v>26474</v>
      </c>
      <c r="O14" s="258" t="n">
        <v>4747</v>
      </c>
      <c r="P14" s="258" t="n">
        <v>8841</v>
      </c>
      <c r="Q14" s="258" t="n">
        <v>9664</v>
      </c>
      <c r="R14" s="258" t="n">
        <v>26520</v>
      </c>
      <c r="S14" s="258" t="n">
        <v>14314</v>
      </c>
      <c r="T14" s="258" t="n">
        <v>58345</v>
      </c>
      <c r="U14" s="258" t="n">
        <v>531</v>
      </c>
      <c r="V14" s="258" t="n">
        <v>77221</v>
      </c>
      <c r="W14" s="258" t="n">
        <v>4578</v>
      </c>
      <c r="X14" s="258" t="n">
        <v>8653</v>
      </c>
      <c r="Y14" s="258" t="n">
        <v>11044</v>
      </c>
      <c r="Z14" s="258" t="n">
        <v>80387</v>
      </c>
      <c r="AA14" s="258" t="n">
        <v>7702</v>
      </c>
      <c r="AB14" s="258" t="n">
        <v>12609</v>
      </c>
      <c r="AC14" s="258" t="n">
        <v>9343</v>
      </c>
      <c r="AD14" s="258" t="n">
        <v>58643</v>
      </c>
      <c r="AE14" s="258" t="n">
        <v>18835</v>
      </c>
      <c r="AF14" s="258" t="n">
        <v>24933</v>
      </c>
      <c r="AG14" s="258" t="n">
        <v>36113</v>
      </c>
      <c r="AH14" s="258" t="n">
        <v>112079</v>
      </c>
      <c r="AI14" s="258" t="n">
        <v>25952</v>
      </c>
      <c r="AJ14" s="258" t="n">
        <v>35170</v>
      </c>
    </row>
    <row r="15">
      <c r="G15" t="inlineStr">
        <is>
          <t>moeda</t>
        </is>
      </c>
      <c r="H15" t="inlineStr">
        <is>
          <t>Despesas financeiras (CVM 3.06.02)</t>
        </is>
      </c>
      <c r="J15" t="inlineStr">
        <is>
          <t>memoria</t>
        </is>
      </c>
      <c r="K15" s="258" t="n">
        <v>-26802</v>
      </c>
      <c r="L15" s="258" t="n">
        <v>-19843</v>
      </c>
      <c r="M15" s="258" t="n">
        <v>-20802</v>
      </c>
      <c r="N15" s="258" t="n">
        <v>-82331</v>
      </c>
      <c r="O15" s="258" t="n">
        <v>-24167</v>
      </c>
      <c r="P15" s="258" t="n">
        <v>-22467</v>
      </c>
      <c r="Q15" s="258" t="n">
        <v>-23898</v>
      </c>
      <c r="R15" s="258" t="n">
        <v>-125697</v>
      </c>
      <c r="S15" s="258" t="n">
        <v>-41349</v>
      </c>
      <c r="T15" s="258" t="n">
        <v>-69039</v>
      </c>
      <c r="U15" s="258" t="n">
        <v>-37467</v>
      </c>
      <c r="V15" s="258" t="n">
        <v>-231580</v>
      </c>
      <c r="W15" s="258" t="n">
        <v>-52374</v>
      </c>
      <c r="X15" s="258" t="n">
        <v>-45602</v>
      </c>
      <c r="Y15" s="258" t="n">
        <v>-45529</v>
      </c>
      <c r="Z15" s="258" t="n">
        <v>-199191</v>
      </c>
      <c r="AA15" s="258" t="n">
        <v>-46582</v>
      </c>
      <c r="AB15" s="258" t="n">
        <v>-48709</v>
      </c>
      <c r="AC15" s="258" t="n">
        <v>-56076</v>
      </c>
      <c r="AD15" s="258" t="n">
        <v>-229413</v>
      </c>
      <c r="AE15" s="258" t="n">
        <v>-74070</v>
      </c>
      <c r="AF15" s="258" t="n">
        <v>-73588</v>
      </c>
      <c r="AG15" s="258" t="n">
        <v>-89868</v>
      </c>
      <c r="AH15" s="258" t="n">
        <v>-325161</v>
      </c>
      <c r="AI15" s="258" t="n">
        <v>-77362</v>
      </c>
      <c r="AJ15" s="258" t="n">
        <v>-88947</v>
      </c>
    </row>
    <row r="16">
      <c r="G16" t="inlineStr">
        <is>
          <t>moeda</t>
        </is>
      </c>
      <c r="H16" t="inlineStr">
        <is>
          <t>IR e CSLL (corrente + diferido) (CVM 3.08)</t>
        </is>
      </c>
      <c r="J16" t="inlineStr">
        <is>
          <t>memoria</t>
        </is>
      </c>
      <c r="K16" s="258" t="n">
        <v>-3524</v>
      </c>
      <c r="L16" s="258" t="n">
        <v>-5593</v>
      </c>
      <c r="M16" s="258" t="n">
        <v>-4350</v>
      </c>
      <c r="N16" s="258" t="n">
        <v>-23811</v>
      </c>
      <c r="O16" s="258" t="n">
        <v>-2195</v>
      </c>
      <c r="P16" s="258" t="n">
        <v>-4937</v>
      </c>
      <c r="Q16" s="258" t="n">
        <v>-6923</v>
      </c>
      <c r="R16" s="258" t="n">
        <v>-36014</v>
      </c>
      <c r="S16" s="258" t="n">
        <v>-4231</v>
      </c>
      <c r="T16" s="258" t="n">
        <v>-18959</v>
      </c>
      <c r="U16" s="258" t="n">
        <v>-14780</v>
      </c>
      <c r="V16" s="258" t="n">
        <v>-46610</v>
      </c>
      <c r="W16" s="258" t="n">
        <v>-7213</v>
      </c>
      <c r="X16" s="258" t="n">
        <v>-9890</v>
      </c>
      <c r="Y16" s="258" t="n">
        <v>-6123</v>
      </c>
      <c r="Z16" s="258" t="n">
        <v>-20749</v>
      </c>
      <c r="AA16" s="258" t="n">
        <v>-1743</v>
      </c>
      <c r="AB16" s="258" t="n">
        <v>-16947</v>
      </c>
      <c r="AC16" s="258" t="n">
        <v>-3096</v>
      </c>
      <c r="AD16" s="258" t="n">
        <v>-27872</v>
      </c>
      <c r="AE16" s="258" t="n">
        <v>-8023</v>
      </c>
      <c r="AF16" s="258" t="n">
        <v>-5741</v>
      </c>
      <c r="AG16" s="258" t="n">
        <v>-3384</v>
      </c>
      <c r="AH16" s="258" t="n">
        <v>-22907</v>
      </c>
      <c r="AI16" s="258" t="n">
        <v>-12257</v>
      </c>
      <c r="AJ16" s="258" t="n">
        <v>-32250</v>
      </c>
    </row>
    <row r="17">
      <c r="G17" t="inlineStr">
        <is>
          <t>moeda</t>
        </is>
      </c>
      <c r="H17" t="inlineStr">
        <is>
          <t>Lucro/prejuizo consolidado do periodo - memoria (CVM 3.11)</t>
        </is>
      </c>
      <c r="J17" t="inlineStr">
        <is>
          <t>memoria</t>
        </is>
      </c>
      <c r="K17" s="258" t="n">
        <v>-9163</v>
      </c>
      <c r="L17" s="258" t="n">
        <v>25023</v>
      </c>
      <c r="M17" s="258" t="n">
        <v>1315</v>
      </c>
      <c r="N17" s="258" t="n">
        <v>23610</v>
      </c>
      <c r="O17" s="258" t="n">
        <v>-45525</v>
      </c>
      <c r="P17" s="258" t="n">
        <v>6399</v>
      </c>
      <c r="Q17" s="258" t="n">
        <v>-1349</v>
      </c>
      <c r="R17" s="258" t="n">
        <v>-55509</v>
      </c>
      <c r="S17" s="258" t="n">
        <v>-19374</v>
      </c>
      <c r="T17" s="258" t="n">
        <v>-10320</v>
      </c>
      <c r="U17" s="258" t="n">
        <v>-29626</v>
      </c>
      <c r="V17" s="258" t="n">
        <v>-143464</v>
      </c>
      <c r="W17" s="258" t="n">
        <v>-43180</v>
      </c>
      <c r="X17" s="258" t="n">
        <v>-2851</v>
      </c>
      <c r="Y17" s="258" t="n">
        <v>3894</v>
      </c>
      <c r="Z17" s="258" t="n">
        <v>50167</v>
      </c>
      <c r="AA17" s="258" t="n">
        <v>30194</v>
      </c>
      <c r="AB17" s="258" t="n">
        <v>11159</v>
      </c>
      <c r="AC17" s="258" t="n">
        <v>41256</v>
      </c>
      <c r="AD17" s="258" t="n">
        <v>74476</v>
      </c>
      <c r="AE17" s="258" t="n">
        <v>-3557</v>
      </c>
      <c r="AF17" s="258" t="n">
        <v>26757</v>
      </c>
      <c r="AG17" s="258" t="n">
        <v>27342</v>
      </c>
      <c r="AH17" s="258" t="n">
        <v>73962</v>
      </c>
      <c r="AI17" s="258" t="n">
        <v>22622</v>
      </c>
      <c r="AJ17" s="258" t="n">
        <v>6351</v>
      </c>
    </row>
    <row r="18">
      <c r="G18" t="inlineStr">
        <is>
          <t>moeda</t>
        </is>
      </c>
      <c r="H18" t="inlineStr">
        <is>
          <t>Atribuido a socios nao controladores (COD 9 com sinal -1) (CVM 3.11.02) | AJUSTE 1T20: ITR 1T20 traz 3.11.01 e 3.11.02 trocados (o 6M do ITR 2T20 confirma); 3T22: coluna 3M do ITR 3T22 nao fecha com 3.11; usado 9M - 6M</t>
        </is>
      </c>
      <c r="J18" t="inlineStr">
        <is>
          <t>memoria</t>
        </is>
      </c>
      <c r="K18" s="258" t="n">
        <v>846</v>
      </c>
      <c r="L18" s="258" t="n">
        <v>662</v>
      </c>
      <c r="M18" s="258" t="n">
        <v>1268</v>
      </c>
      <c r="N18" s="258" t="n">
        <v>20065</v>
      </c>
      <c r="O18" s="258" t="n">
        <v>1054</v>
      </c>
      <c r="P18" s="258" t="n">
        <v>988</v>
      </c>
      <c r="Q18" s="258" t="n">
        <v>859</v>
      </c>
      <c r="R18" s="258" t="n">
        <v>6519</v>
      </c>
      <c r="S18" s="258" t="n">
        <v>773</v>
      </c>
      <c r="T18" s="258" t="n">
        <v>1650</v>
      </c>
      <c r="U18" s="258" t="n">
        <v>1467</v>
      </c>
      <c r="V18" s="258" t="n">
        <v>5542</v>
      </c>
      <c r="W18" s="258" t="n">
        <v>1893</v>
      </c>
      <c r="X18" s="258" t="n">
        <v>2298</v>
      </c>
      <c r="Y18" s="258" t="n">
        <v>2043</v>
      </c>
      <c r="Z18" s="258" t="n">
        <v>10052</v>
      </c>
      <c r="AA18" s="258" t="n">
        <v>4651</v>
      </c>
      <c r="AB18" s="258" t="n">
        <v>2353</v>
      </c>
      <c r="AC18" s="258" t="n">
        <v>4172</v>
      </c>
      <c r="AD18" s="258" t="n">
        <v>13579</v>
      </c>
      <c r="AE18" s="258" t="n">
        <v>2765</v>
      </c>
      <c r="AF18" s="258" t="n">
        <v>2911</v>
      </c>
      <c r="AG18" s="258" t="n">
        <v>4054</v>
      </c>
      <c r="AH18" s="258" t="n">
        <v>13820</v>
      </c>
      <c r="AI18" s="258" t="n">
        <v>3838</v>
      </c>
      <c r="AJ18" s="258" t="n">
        <v>17498</v>
      </c>
    </row>
    <row r="19">
      <c r="G19" t="inlineStr">
        <is>
          <t>moeda</t>
        </is>
      </c>
      <c r="H19" t="inlineStr">
        <is>
          <t>Atribuido a socios da controladora (CVM 3.11.01) | AJUSTE 1T20: ITR 1T20 traz 3.11.01 e 3.11.02 trocados (o 6M do ITR 2T20 confirma); 3T22: coluna 3M do ITR 3T22 nao fecha com 3.11; usado 9M - 6M</t>
        </is>
      </c>
      <c r="J19" t="inlineStr">
        <is>
          <t>memoria</t>
        </is>
      </c>
      <c r="K19" s="258" t="n">
        <v>-10009</v>
      </c>
      <c r="L19" s="258" t="n">
        <v>24361</v>
      </c>
      <c r="M19" s="258" t="n">
        <v>47</v>
      </c>
      <c r="N19" s="258" t="n">
        <v>3545</v>
      </c>
      <c r="O19" s="258" t="n">
        <v>-46579</v>
      </c>
      <c r="P19" s="258" t="n">
        <v>5411</v>
      </c>
      <c r="Q19" s="258" t="n">
        <v>-2208</v>
      </c>
      <c r="R19" s="258" t="n">
        <v>-62028</v>
      </c>
      <c r="S19" s="258" t="n">
        <v>-20147</v>
      </c>
      <c r="T19" s="258" t="n">
        <v>-11970</v>
      </c>
      <c r="U19" s="258" t="n">
        <v>-31093</v>
      </c>
      <c r="V19" s="258" t="n">
        <v>-149006</v>
      </c>
      <c r="W19" s="258" t="n">
        <v>-45073</v>
      </c>
      <c r="X19" s="258" t="n">
        <v>-5149</v>
      </c>
      <c r="Y19" s="258" t="n">
        <v>1851</v>
      </c>
      <c r="Z19" s="258" t="n">
        <v>40115</v>
      </c>
      <c r="AA19" s="258" t="n">
        <v>25543</v>
      </c>
      <c r="AB19" s="258" t="n">
        <v>8806</v>
      </c>
      <c r="AC19" s="258" t="n">
        <v>37084</v>
      </c>
      <c r="AD19" s="258" t="n">
        <v>60897</v>
      </c>
      <c r="AE19" s="258" t="n">
        <v>-6322</v>
      </c>
      <c r="AF19" s="258" t="n">
        <v>23846</v>
      </c>
      <c r="AG19" s="258" t="n">
        <v>23288</v>
      </c>
      <c r="AH19" s="258" t="n">
        <v>60142</v>
      </c>
      <c r="AI19" s="258" t="n">
        <v>18784</v>
      </c>
      <c r="AJ19" s="258" t="n">
        <v>-11147</v>
      </c>
    </row>
    <row r="20">
      <c r="H20" s="254" t="inlineStr">
        <is>
          <t>DFC - ACUMULADO NO ANO (R$ mil)</t>
        </is>
      </c>
    </row>
    <row r="21">
      <c r="G21" t="inlineStr">
        <is>
          <t>moeda</t>
        </is>
      </c>
      <c r="H21" t="inlineStr">
        <is>
          <t>Depreciacoes e amortizacoes (DFC 6.01.01, linha "Depreciacoes e amortizacoes", acum.)</t>
        </is>
      </c>
      <c r="J21" t="inlineStr">
        <is>
          <t>memoria</t>
        </is>
      </c>
      <c r="K21" s="258" t="n">
        <v>12083</v>
      </c>
      <c r="L21" s="258" t="n">
        <v>26762</v>
      </c>
      <c r="M21" s="258" t="n">
        <v>36864</v>
      </c>
      <c r="N21" s="258" t="n">
        <v>50029</v>
      </c>
      <c r="O21" s="258" t="n">
        <v>10679</v>
      </c>
      <c r="P21" s="258" t="n">
        <v>22557</v>
      </c>
      <c r="Q21" s="258" t="n">
        <v>35691</v>
      </c>
      <c r="R21" s="258" t="n">
        <v>53395</v>
      </c>
      <c r="S21" s="258" t="n">
        <v>15688</v>
      </c>
      <c r="T21" s="258" t="n">
        <v>45784</v>
      </c>
      <c r="U21" s="258" t="n">
        <v>93860</v>
      </c>
      <c r="V21" s="258" t="n">
        <v>135718</v>
      </c>
      <c r="W21" s="258" t="n">
        <v>60225</v>
      </c>
      <c r="X21" s="258" t="n">
        <v>95861</v>
      </c>
      <c r="Y21" s="258" t="n">
        <v>133095</v>
      </c>
      <c r="Z21" s="258" t="n">
        <v>165660</v>
      </c>
      <c r="AA21" s="258" t="n">
        <v>35203</v>
      </c>
      <c r="AB21" s="258" t="n">
        <v>67478</v>
      </c>
      <c r="AC21" s="258" t="n">
        <v>107348</v>
      </c>
      <c r="AD21" s="258" t="n">
        <v>155967</v>
      </c>
      <c r="AE21" s="258" t="n">
        <v>48663</v>
      </c>
      <c r="AF21" s="258" t="n">
        <v>91599</v>
      </c>
      <c r="AG21" s="258" t="n">
        <v>136211</v>
      </c>
      <c r="AH21" s="258" t="n">
        <v>181178</v>
      </c>
      <c r="AI21" s="258" t="n">
        <v>51389</v>
      </c>
      <c r="AJ21" s="258" t="n">
        <v>109281</v>
      </c>
    </row>
    <row r="22">
      <c r="G22" t="inlineStr">
        <is>
          <t>moeda</t>
        </is>
      </c>
      <c r="H22" t="inlineStr">
        <is>
          <t>Dividendos/JCP pagos (DFC 6.03 financiamento, linhas com "dividendos" ou "juros sobre capital", acum.; 0 quando nao ha linha)</t>
        </is>
      </c>
      <c r="J22" t="inlineStr">
        <is>
          <t>memoria</t>
        </is>
      </c>
      <c r="K22" s="258" t="n">
        <v>0</v>
      </c>
      <c r="L22" s="258" t="n">
        <v>0</v>
      </c>
      <c r="M22" s="258" t="n">
        <v>0</v>
      </c>
      <c r="N22" s="258" t="n">
        <v>0</v>
      </c>
      <c r="O22" s="258" t="n">
        <v>0</v>
      </c>
      <c r="P22" s="258" t="n">
        <v>0</v>
      </c>
      <c r="Q22" s="258" t="n">
        <v>0</v>
      </c>
      <c r="R22" s="258" t="n">
        <v>0</v>
      </c>
      <c r="S22" s="258" t="n">
        <v>0</v>
      </c>
      <c r="T22" s="258" t="n">
        <v>0</v>
      </c>
      <c r="U22" s="258" t="n">
        <v>0</v>
      </c>
      <c r="V22" s="258" t="n">
        <v>0</v>
      </c>
      <c r="W22" s="258" t="n">
        <v>0</v>
      </c>
      <c r="X22" s="258" t="n">
        <v>0</v>
      </c>
      <c r="Y22" s="258" t="n">
        <v>0</v>
      </c>
      <c r="Z22" s="258" t="n">
        <v>0</v>
      </c>
      <c r="AA22" s="258" t="n">
        <v>0</v>
      </c>
      <c r="AB22" s="258" t="n">
        <v>0</v>
      </c>
      <c r="AC22" s="258" t="n">
        <v>0</v>
      </c>
      <c r="AD22" s="258" t="n">
        <v>0</v>
      </c>
      <c r="AE22" s="258" t="n">
        <v>0</v>
      </c>
      <c r="AF22" s="258" t="n">
        <v>0</v>
      </c>
      <c r="AG22" s="258" t="n">
        <v>0</v>
      </c>
      <c r="AH22" s="258" t="n">
        <v>0</v>
      </c>
      <c r="AI22" s="258" t="n">
        <v>0</v>
      </c>
      <c r="AJ22" s="258" t="n">
        <v>0</v>
      </c>
    </row>
    <row r="23">
      <c r="G23" t="inlineStr">
        <is>
          <t>moeda</t>
        </is>
      </c>
      <c r="H23" t="inlineStr">
        <is>
          <t>Aquisicoes de imobilizado (DFC 6.02, acum.) - memoria</t>
        </is>
      </c>
      <c r="J23" t="inlineStr">
        <is>
          <t>memoria</t>
        </is>
      </c>
      <c r="K23" s="258" t="n">
        <v>-8197</v>
      </c>
      <c r="L23" s="258" t="n">
        <v>-29426</v>
      </c>
      <c r="M23" s="258" t="n">
        <v>-36011</v>
      </c>
      <c r="N23" s="258" t="n">
        <v>-39652</v>
      </c>
      <c r="O23" s="258" t="n">
        <v>-6284</v>
      </c>
      <c r="P23" s="258" t="n">
        <v>-25026</v>
      </c>
      <c r="Q23" s="258" t="n">
        <v>-49260</v>
      </c>
      <c r="R23" s="258" t="n">
        <v>-122837</v>
      </c>
      <c r="S23" s="258" t="n">
        <v>-72081</v>
      </c>
      <c r="T23" s="258" t="n">
        <v>0</v>
      </c>
      <c r="U23" s="258" t="n">
        <v>-157447</v>
      </c>
      <c r="V23" s="258" t="n">
        <v>-197348</v>
      </c>
      <c r="W23" s="258" t="n">
        <v>-48213</v>
      </c>
      <c r="X23" s="258" t="n">
        <v>0</v>
      </c>
      <c r="Y23" s="258" t="n">
        <v>-173924</v>
      </c>
      <c r="Z23" s="258" t="n">
        <v>-255334</v>
      </c>
      <c r="AA23" s="258" t="n">
        <v>-62230</v>
      </c>
      <c r="AB23" s="258" t="n">
        <v>0</v>
      </c>
      <c r="AC23" s="258" t="n">
        <v>-367430</v>
      </c>
      <c r="AD23" s="258" t="n">
        <v>-556068</v>
      </c>
      <c r="AE23" s="258" t="n">
        <v>-114539</v>
      </c>
      <c r="AF23" s="258" t="n">
        <v>0</v>
      </c>
      <c r="AG23" s="258" t="n">
        <v>-464766</v>
      </c>
      <c r="AH23" s="258" t="n">
        <v>-630976</v>
      </c>
      <c r="AI23" s="258" t="n">
        <v>-169723</v>
      </c>
      <c r="AJ23" s="258" t="n">
        <v>0</v>
      </c>
    </row>
    <row r="24">
      <c r="H24" s="254" t="inlineStr">
        <is>
          <t>DRE TRIMESTRAL (1T-3T = fonte; 4T = ano - 1T - 2T - 3T) e DFC TRIMESTRALIZADA (acumulado - acumulado anterior)</t>
        </is>
      </c>
    </row>
    <row r="25">
      <c r="A25" t="n">
        <v>1</v>
      </c>
      <c r="B25" t="n">
        <v>1</v>
      </c>
      <c r="G25" t="inlineStr">
        <is>
          <t>moeda</t>
        </is>
      </c>
      <c r="H25" t="inlineStr">
        <is>
          <t>Receita de venda de bens e/ou servicos (CVM 3.01)</t>
        </is>
      </c>
      <c r="J25" t="inlineStr">
        <is>
          <t>derivada</t>
        </is>
      </c>
      <c r="K25" s="258">
        <f>N(K6)</f>
        <v>91509</v>
      </c>
      <c r="L25" s="258">
        <f>N(L6)</f>
        <v>99836</v>
      </c>
      <c r="M25" s="258">
        <f>N(M6)</f>
        <v>97605</v>
      </c>
      <c r="N25" s="258">
        <f>N(N6)-SUM(K6:M6)</f>
        <v>103018</v>
      </c>
      <c r="O25" s="258">
        <f>N(O6)</f>
        <v>87625</v>
      </c>
      <c r="P25" s="258">
        <f>N(P6)</f>
        <v>92687</v>
      </c>
      <c r="Q25" s="258">
        <f>N(Q6)</f>
        <v>99841</v>
      </c>
      <c r="R25" s="258">
        <f>N(R6)-SUM(O6:Q6)</f>
        <v>155363</v>
      </c>
      <c r="S25" s="258">
        <f>N(S6)</f>
        <v>99226</v>
      </c>
      <c r="T25" s="258">
        <f>N(T6)</f>
        <v>150612</v>
      </c>
      <c r="U25" s="258">
        <f>N(U6)</f>
        <v>197177</v>
      </c>
      <c r="V25" s="258">
        <f>N(V6)-SUM(S6:U6)</f>
        <v>179209</v>
      </c>
      <c r="W25" s="258">
        <f>N(W6)</f>
        <v>188845</v>
      </c>
      <c r="X25" s="258">
        <f>N(X6)</f>
        <v>196245</v>
      </c>
      <c r="Y25" s="258">
        <f>N(Y6)</f>
        <v>192599</v>
      </c>
      <c r="Z25" s="258">
        <f>N(Z6)-SUM(W6:Y6)</f>
        <v>198587</v>
      </c>
      <c r="AA25" s="258">
        <f>N(AA6)</f>
        <v>209146</v>
      </c>
      <c r="AB25" s="258">
        <f>N(AB6)</f>
        <v>215047</v>
      </c>
      <c r="AC25" s="258">
        <f>N(AC6)</f>
        <v>249074</v>
      </c>
      <c r="AD25" s="258">
        <f>N(AD6)-SUM(AA6:AC6)</f>
        <v>230206</v>
      </c>
      <c r="AE25" s="258">
        <f>N(AE6)</f>
        <v>240800</v>
      </c>
      <c r="AF25" s="258">
        <f>N(AF6)</f>
        <v>264181</v>
      </c>
      <c r="AG25" s="258">
        <f>N(AG6)</f>
        <v>281050</v>
      </c>
      <c r="AH25" s="258">
        <f>N(AH6)-SUM(AE6:AG6)</f>
        <v>264309</v>
      </c>
      <c r="AI25" s="258">
        <f>N(AI6)</f>
        <v>331076</v>
      </c>
      <c r="AJ25" s="258">
        <f>N(AJ6)</f>
        <v>622836</v>
      </c>
    </row>
    <row r="26">
      <c r="A26" t="n">
        <v>2</v>
      </c>
      <c r="B26" t="n">
        <v>1</v>
      </c>
      <c r="G26" t="inlineStr">
        <is>
          <t>moeda</t>
        </is>
      </c>
      <c r="H26" t="inlineStr">
        <is>
          <t>Custo dos bens e/ou servicos vendidos (inclui D&amp;A, devolvida abaixo) (CVM 3.02)</t>
        </is>
      </c>
      <c r="J26" t="inlineStr">
        <is>
          <t>derivada</t>
        </is>
      </c>
      <c r="K26" s="258">
        <f>N(K7)</f>
        <v>-57894</v>
      </c>
      <c r="L26" s="258">
        <f>N(L7)</f>
        <v>-67091</v>
      </c>
      <c r="M26" s="258">
        <f>N(M7)</f>
        <v>-60813</v>
      </c>
      <c r="N26" s="258">
        <f>N(N7)-SUM(K7:M7)</f>
        <v>-59372</v>
      </c>
      <c r="O26" s="258">
        <f>N(O7)</f>
        <v>-59384</v>
      </c>
      <c r="P26" s="258">
        <f>N(P7)</f>
        <v>-59184</v>
      </c>
      <c r="Q26" s="258">
        <f>N(Q7)</f>
        <v>-61382</v>
      </c>
      <c r="R26" s="258">
        <f>N(R7)-SUM(O7:Q7)</f>
        <v>-76649</v>
      </c>
      <c r="S26" s="258">
        <f>N(S7)</f>
        <v>-65213</v>
      </c>
      <c r="T26" s="258">
        <f>N(T7)</f>
        <v>-106498</v>
      </c>
      <c r="U26" s="258">
        <f>N(U7)</f>
        <v>-138595</v>
      </c>
      <c r="V26" s="258">
        <f>N(V7)-SUM(S7:U7)</f>
        <v>-128023</v>
      </c>
      <c r="W26" s="258">
        <f>N(W7)</f>
        <v>-146571</v>
      </c>
      <c r="X26" s="258">
        <f>N(X7)</f>
        <v>-129705</v>
      </c>
      <c r="Y26" s="258">
        <f>N(Y7)</f>
        <v>-120792</v>
      </c>
      <c r="Z26" s="258">
        <f>N(Z7)-SUM(W7:Y7)</f>
        <v>-131531</v>
      </c>
      <c r="AA26" s="258">
        <f>N(AA7)</f>
        <v>-112572</v>
      </c>
      <c r="AB26" s="258">
        <f>N(AB7)</f>
        <v>-121121</v>
      </c>
      <c r="AC26" s="258">
        <f>N(AC7)</f>
        <v>-124144</v>
      </c>
      <c r="AD26" s="258">
        <f>N(AD7)-SUM(AA7:AC7)</f>
        <v>-132089</v>
      </c>
      <c r="AE26" s="258">
        <f>N(AE7)</f>
        <v>-139900</v>
      </c>
      <c r="AF26" s="258">
        <f>N(AF7)</f>
        <v>-140097</v>
      </c>
      <c r="AG26" s="258">
        <f>N(AG7)</f>
        <v>-144278</v>
      </c>
      <c r="AH26" s="258">
        <f>N(AH7)-SUM(AE7:AG7)</f>
        <v>-140802</v>
      </c>
      <c r="AI26" s="258">
        <f>N(AI7)</f>
        <v>-198356</v>
      </c>
      <c r="AJ26" s="258">
        <f>N(AJ7)</f>
        <v>-430037</v>
      </c>
    </row>
    <row r="27">
      <c r="A27" t="n">
        <v>3</v>
      </c>
      <c r="B27" t="n">
        <v>1</v>
      </c>
      <c r="G27" t="inlineStr">
        <is>
          <t>moeda</t>
        </is>
      </c>
      <c r="H27" t="inlineStr">
        <is>
          <t>Despesas com vendas (CVM 3.04.01)</t>
        </is>
      </c>
      <c r="J27" t="inlineStr">
        <is>
          <t>derivada</t>
        </is>
      </c>
      <c r="K27" s="258">
        <f>N(K8)</f>
        <v>0</v>
      </c>
      <c r="L27" s="258">
        <f>N(L8)</f>
        <v>0</v>
      </c>
      <c r="M27" s="258">
        <f>N(M8)</f>
        <v>0</v>
      </c>
      <c r="N27" s="258">
        <f>N(N8)-SUM(K8:M8)</f>
        <v>0</v>
      </c>
      <c r="O27" s="258">
        <f>N(O8)</f>
        <v>0</v>
      </c>
      <c r="P27" s="258">
        <f>N(P8)</f>
        <v>0</v>
      </c>
      <c r="Q27" s="258">
        <f>N(Q8)</f>
        <v>0</v>
      </c>
      <c r="R27" s="258">
        <f>N(R8)-SUM(O8:Q8)</f>
        <v>0</v>
      </c>
      <c r="S27" s="258">
        <f>N(S8)</f>
        <v>0</v>
      </c>
      <c r="T27" s="258">
        <f>N(T8)</f>
        <v>0</v>
      </c>
      <c r="U27" s="258">
        <f>N(U8)</f>
        <v>0</v>
      </c>
      <c r="V27" s="258">
        <f>N(V8)-SUM(S8:U8)</f>
        <v>0</v>
      </c>
      <c r="W27" s="258">
        <f>N(W8)</f>
        <v>0</v>
      </c>
      <c r="X27" s="258">
        <f>N(X8)</f>
        <v>0</v>
      </c>
      <c r="Y27" s="258">
        <f>N(Y8)</f>
        <v>0</v>
      </c>
      <c r="Z27" s="258">
        <f>N(Z8)-SUM(W8:Y8)</f>
        <v>0</v>
      </c>
      <c r="AA27" s="258">
        <f>N(AA8)</f>
        <v>0</v>
      </c>
      <c r="AB27" s="258">
        <f>N(AB8)</f>
        <v>0</v>
      </c>
      <c r="AC27" s="258">
        <f>N(AC8)</f>
        <v>0</v>
      </c>
      <c r="AD27" s="258">
        <f>N(AD8)-SUM(AA8:AC8)</f>
        <v>0</v>
      </c>
      <c r="AE27" s="258">
        <f>N(AE8)</f>
        <v>0</v>
      </c>
      <c r="AF27" s="258">
        <f>N(AF8)</f>
        <v>0</v>
      </c>
      <c r="AG27" s="258">
        <f>N(AG8)</f>
        <v>0</v>
      </c>
      <c r="AH27" s="258">
        <f>N(AH8)-SUM(AE8:AG8)</f>
        <v>0</v>
      </c>
      <c r="AI27" s="258">
        <f>N(AI8)</f>
        <v>0</v>
      </c>
      <c r="AJ27" s="258">
        <f>N(AJ8)</f>
        <v>0</v>
      </c>
    </row>
    <row r="28">
      <c r="A28" t="n">
        <v>3</v>
      </c>
      <c r="B28" t="n">
        <v>1</v>
      </c>
      <c r="G28" t="inlineStr">
        <is>
          <t>moeda</t>
        </is>
      </c>
      <c r="H28" t="inlineStr">
        <is>
          <t>Despesas gerais e administrativas (CVM 3.04.02)</t>
        </is>
      </c>
      <c r="J28" t="inlineStr">
        <is>
          <t>derivada</t>
        </is>
      </c>
      <c r="K28" s="258">
        <f>N(K9)</f>
        <v>-10304</v>
      </c>
      <c r="L28" s="258">
        <f>N(L9)</f>
        <v>-13349</v>
      </c>
      <c r="M28" s="258">
        <f>N(M9)</f>
        <v>-15428</v>
      </c>
      <c r="N28" s="258">
        <f>N(N9)-SUM(K9:M9)</f>
        <v>-10839</v>
      </c>
      <c r="O28" s="258">
        <f>N(O9)</f>
        <v>-51321</v>
      </c>
      <c r="P28" s="258">
        <f>N(P9)</f>
        <v>-10170</v>
      </c>
      <c r="Q28" s="258">
        <f>N(Q9)</f>
        <v>-21008</v>
      </c>
      <c r="R28" s="258">
        <f>N(R9)-SUM(O9:Q9)</f>
        <v>-15931</v>
      </c>
      <c r="S28" s="258">
        <f>N(S9)</f>
        <v>-21221</v>
      </c>
      <c r="T28" s="258">
        <f>N(T9)</f>
        <v>-34838</v>
      </c>
      <c r="U28" s="258">
        <f>N(U9)</f>
        <v>-45656</v>
      </c>
      <c r="V28" s="258">
        <f>N(V9)-SUM(S9:U9)</f>
        <v>-46705</v>
      </c>
      <c r="W28" s="258">
        <f>N(W9)</f>
        <v>-36163</v>
      </c>
      <c r="X28" s="258">
        <f>N(X9)</f>
        <v>-24601</v>
      </c>
      <c r="Y28" s="258">
        <f>N(Y9)</f>
        <v>-30980</v>
      </c>
      <c r="Z28" s="258">
        <f>N(Z9)-SUM(W9:Y9)</f>
        <v>-40979</v>
      </c>
      <c r="AA28" s="258">
        <f>N(AA9)</f>
        <v>-37847</v>
      </c>
      <c r="AB28" s="258">
        <f>N(AB9)</f>
        <v>-34590</v>
      </c>
      <c r="AC28" s="258">
        <f>N(AC9)</f>
        <v>-45264</v>
      </c>
      <c r="AD28" s="258">
        <f>N(AD9)-SUM(AA9:AC9)</f>
        <v>-46482</v>
      </c>
      <c r="AE28" s="258">
        <f>N(AE9)</f>
        <v>-43344</v>
      </c>
      <c r="AF28" s="258">
        <f>N(AF9)</f>
        <v>-45281</v>
      </c>
      <c r="AG28" s="258">
        <f>N(AG9)</f>
        <v>-50333</v>
      </c>
      <c r="AH28" s="258">
        <f>N(AH9)-SUM(AE9:AG9)</f>
        <v>-49020</v>
      </c>
      <c r="AI28" s="258">
        <f>N(AI9)</f>
        <v>-45161</v>
      </c>
      <c r="AJ28" s="258">
        <f>N(AJ9)</f>
        <v>-91828</v>
      </c>
    </row>
    <row r="29">
      <c r="A29" t="n">
        <v>3</v>
      </c>
      <c r="B29" t="n">
        <v>1</v>
      </c>
      <c r="G29" t="inlineStr">
        <is>
          <t>moeda</t>
        </is>
      </c>
      <c r="H29" t="inlineStr">
        <is>
          <t>Perdas pela nao recuperabilidade de ativos (CVM 3.04.03)</t>
        </is>
      </c>
      <c r="J29" t="inlineStr">
        <is>
          <t>derivada</t>
        </is>
      </c>
      <c r="K29" s="258">
        <f>N(K10)</f>
        <v>0</v>
      </c>
      <c r="L29" s="258">
        <f>N(L10)</f>
        <v>0</v>
      </c>
      <c r="M29" s="258">
        <f>N(M10)</f>
        <v>0</v>
      </c>
      <c r="N29" s="258">
        <f>N(N10)-SUM(K10:M10)</f>
        <v>0</v>
      </c>
      <c r="O29" s="258">
        <f>N(O10)</f>
        <v>0</v>
      </c>
      <c r="P29" s="258">
        <f>N(P10)</f>
        <v>0</v>
      </c>
      <c r="Q29" s="258">
        <f>N(Q10)</f>
        <v>0</v>
      </c>
      <c r="R29" s="258">
        <f>N(R10)-SUM(O10:Q10)</f>
        <v>0</v>
      </c>
      <c r="S29" s="258">
        <f>N(S10)</f>
        <v>0</v>
      </c>
      <c r="T29" s="258">
        <f>N(T10)</f>
        <v>0</v>
      </c>
      <c r="U29" s="258">
        <f>N(U10)</f>
        <v>0</v>
      </c>
      <c r="V29" s="258">
        <f>N(V10)-SUM(S10:U10)</f>
        <v>0</v>
      </c>
      <c r="W29" s="258">
        <f>N(W10)</f>
        <v>0</v>
      </c>
      <c r="X29" s="258">
        <f>N(X10)</f>
        <v>0</v>
      </c>
      <c r="Y29" s="258">
        <f>N(Y10)</f>
        <v>0</v>
      </c>
      <c r="Z29" s="258">
        <f>N(Z10)-SUM(W10:Y10)</f>
        <v>0</v>
      </c>
      <c r="AA29" s="258">
        <f>N(AA10)</f>
        <v>0</v>
      </c>
      <c r="AB29" s="258">
        <f>N(AB10)</f>
        <v>0</v>
      </c>
      <c r="AC29" s="258">
        <f>N(AC10)</f>
        <v>0</v>
      </c>
      <c r="AD29" s="258">
        <f>N(AD10)-SUM(AA10:AC10)</f>
        <v>0</v>
      </c>
      <c r="AE29" s="258">
        <f>N(AE10)</f>
        <v>0</v>
      </c>
      <c r="AF29" s="258">
        <f>N(AF10)</f>
        <v>0</v>
      </c>
      <c r="AG29" s="258">
        <f>N(AG10)</f>
        <v>0</v>
      </c>
      <c r="AH29" s="258">
        <f>N(AH10)-SUM(AE10:AG10)</f>
        <v>0</v>
      </c>
      <c r="AI29" s="258">
        <f>N(AI10)</f>
        <v>0</v>
      </c>
      <c r="AJ29" s="258">
        <f>N(AJ10)</f>
        <v>0</v>
      </c>
    </row>
    <row r="30">
      <c r="A30" t="n">
        <v>3</v>
      </c>
      <c r="B30" t="n">
        <v>1</v>
      </c>
      <c r="G30" t="inlineStr">
        <is>
          <t>moeda</t>
        </is>
      </c>
      <c r="H30" t="inlineStr">
        <is>
          <t>Outras receitas operacionais (CVM 3.04.04)</t>
        </is>
      </c>
      <c r="J30" t="inlineStr">
        <is>
          <t>derivada</t>
        </is>
      </c>
      <c r="K30" s="258">
        <f>N(K11)</f>
        <v>-2821</v>
      </c>
      <c r="L30" s="258">
        <f>N(L11)</f>
        <v>5204</v>
      </c>
      <c r="M30" s="258">
        <f>N(M11)</f>
        <v>1465</v>
      </c>
      <c r="N30" s="258">
        <f>N(N11)-SUM(K11:M11)</f>
        <v>1974</v>
      </c>
      <c r="O30" s="258">
        <f>N(O11)</f>
        <v>0</v>
      </c>
      <c r="P30" s="258">
        <f>N(P11)</f>
        <v>1601</v>
      </c>
      <c r="Q30" s="258">
        <f>N(Q11)</f>
        <v>2142</v>
      </c>
      <c r="R30" s="258">
        <f>N(R11)-SUM(O11:Q11)</f>
        <v>-5272</v>
      </c>
      <c r="S30" s="258">
        <f>N(S11)</f>
        <v>0</v>
      </c>
      <c r="T30" s="258">
        <f>N(T11)</f>
        <v>15694</v>
      </c>
      <c r="U30" s="258">
        <f>N(U11)</f>
        <v>-405</v>
      </c>
      <c r="V30" s="258">
        <f>N(V11)-SUM(S11:U11)</f>
        <v>-4979</v>
      </c>
      <c r="W30" s="258">
        <f>N(W11)</f>
        <v>0</v>
      </c>
      <c r="X30" s="258">
        <f>N(X11)</f>
        <v>-1013</v>
      </c>
      <c r="Y30" s="258">
        <f>N(Y11)</f>
        <v>1896</v>
      </c>
      <c r="Z30" s="258">
        <f>N(Z11)-SUM(W11:Y11)</f>
        <v>62823</v>
      </c>
      <c r="AA30" s="258">
        <f>N(AA11)</f>
        <v>0</v>
      </c>
      <c r="AB30" s="258">
        <f>N(AB11)</f>
        <v>2538</v>
      </c>
      <c r="AC30" s="258">
        <f>N(AC11)</f>
        <v>6182</v>
      </c>
      <c r="AD30" s="258">
        <f>N(AD11)-SUM(AA11:AC11)</f>
        <v>347</v>
      </c>
      <c r="AE30" s="258">
        <f>N(AE11)</f>
        <v>0</v>
      </c>
      <c r="AF30" s="258">
        <f>N(AF11)</f>
        <v>772</v>
      </c>
      <c r="AG30" s="258">
        <f>N(AG11)</f>
        <v>0</v>
      </c>
      <c r="AH30" s="258">
        <f>N(AH11)-SUM(AE11:AG11)</f>
        <v>5079</v>
      </c>
      <c r="AI30" s="258">
        <f>N(AI11)</f>
        <v>0</v>
      </c>
      <c r="AJ30" s="258">
        <f>N(AJ11)</f>
        <v>-4215</v>
      </c>
    </row>
    <row r="31">
      <c r="A31" t="n">
        <v>3</v>
      </c>
      <c r="B31" t="n">
        <v>1</v>
      </c>
      <c r="G31" t="inlineStr">
        <is>
          <t>moeda</t>
        </is>
      </c>
      <c r="H31" t="inlineStr">
        <is>
          <t>Outras despesas operacionais (CVM 3.04.05)</t>
        </is>
      </c>
      <c r="J31" t="inlineStr">
        <is>
          <t>derivada</t>
        </is>
      </c>
      <c r="K31" s="258">
        <f>N(K12)</f>
        <v>0</v>
      </c>
      <c r="L31" s="258">
        <f>N(L12)</f>
        <v>0</v>
      </c>
      <c r="M31" s="258">
        <f>N(M12)</f>
        <v>0</v>
      </c>
      <c r="N31" s="258">
        <f>N(N12)-SUM(K12:M12)</f>
        <v>0</v>
      </c>
      <c r="O31" s="258">
        <f>N(O12)</f>
        <v>-932</v>
      </c>
      <c r="P31" s="258">
        <f>N(P12)</f>
        <v>0</v>
      </c>
      <c r="Q31" s="258">
        <f>N(Q12)</f>
        <v>0</v>
      </c>
      <c r="R31" s="258">
        <f>N(R12)-SUM(O12:Q12)</f>
        <v>932</v>
      </c>
      <c r="S31" s="258">
        <f>N(S12)</f>
        <v>-899</v>
      </c>
      <c r="T31" s="258">
        <f>N(T12)</f>
        <v>0</v>
      </c>
      <c r="U31" s="258">
        <f>N(U12)</f>
        <v>0</v>
      </c>
      <c r="V31" s="258">
        <f>N(V12)-SUM(S12:U12)</f>
        <v>899</v>
      </c>
      <c r="W31" s="258">
        <f>N(W12)</f>
        <v>2745</v>
      </c>
      <c r="X31" s="258">
        <f>N(X12)</f>
        <v>0</v>
      </c>
      <c r="Y31" s="258">
        <f>N(Y12)</f>
        <v>0</v>
      </c>
      <c r="Z31" s="258">
        <f>N(Z12)-SUM(W12:Y12)</f>
        <v>-2745</v>
      </c>
      <c r="AA31" s="258">
        <f>N(AA12)</f>
        <v>7620</v>
      </c>
      <c r="AB31" s="258">
        <f>N(AB12)</f>
        <v>0</v>
      </c>
      <c r="AC31" s="258">
        <f>N(AC12)</f>
        <v>0</v>
      </c>
      <c r="AD31" s="258">
        <f>N(AD12)-SUM(AA12:AC12)</f>
        <v>-7620</v>
      </c>
      <c r="AE31" s="258">
        <f>N(AE12)</f>
        <v>-2034</v>
      </c>
      <c r="AF31" s="258">
        <f>N(AF12)</f>
        <v>0</v>
      </c>
      <c r="AG31" s="258">
        <f>N(AG12)</f>
        <v>-2982</v>
      </c>
      <c r="AH31" s="258">
        <f>N(AH12)-SUM(AE12:AG12)</f>
        <v>5016</v>
      </c>
      <c r="AI31" s="258">
        <f>N(AI12)</f>
        <v>-809</v>
      </c>
      <c r="AJ31" s="258">
        <f>N(AJ12)</f>
        <v>0</v>
      </c>
    </row>
    <row r="32">
      <c r="A32" t="n">
        <v>8</v>
      </c>
      <c r="B32" t="n">
        <v>1</v>
      </c>
      <c r="G32" t="inlineStr">
        <is>
          <t>moeda</t>
        </is>
      </c>
      <c r="H32" t="inlineStr">
        <is>
          <t>Resultado de equivalencia patrimonial (CVM 3.04.06)</t>
        </is>
      </c>
      <c r="J32" t="inlineStr">
        <is>
          <t>derivada</t>
        </is>
      </c>
      <c r="K32" s="258">
        <f>N(K13)</f>
        <v>-35</v>
      </c>
      <c r="L32" s="258">
        <f>N(L13)</f>
        <v>7</v>
      </c>
      <c r="M32" s="258">
        <f>N(M13)</f>
        <v>456</v>
      </c>
      <c r="N32" s="258">
        <f>N(N13)-SUM(K13:M13)</f>
        <v>150</v>
      </c>
      <c r="O32" s="258">
        <f>N(O13)</f>
        <v>102</v>
      </c>
      <c r="P32" s="258">
        <f>N(P13)</f>
        <v>28</v>
      </c>
      <c r="Q32" s="258">
        <f>N(Q13)</f>
        <v>215</v>
      </c>
      <c r="R32" s="258">
        <f>N(R13)-SUM(O13:Q13)</f>
        <v>379</v>
      </c>
      <c r="S32" s="258">
        <f>N(S13)</f>
        <v>-1</v>
      </c>
      <c r="T32" s="258">
        <f>N(T13)</f>
        <v>-5637</v>
      </c>
      <c r="U32" s="258">
        <f>N(U13)</f>
        <v>9569</v>
      </c>
      <c r="V32" s="258">
        <f>N(V13)-SUM(S13:U13)</f>
        <v>3789</v>
      </c>
      <c r="W32" s="258">
        <f>N(W13)</f>
        <v>2973</v>
      </c>
      <c r="X32" s="258">
        <f>N(X13)</f>
        <v>3062</v>
      </c>
      <c r="Y32" s="258">
        <f>N(Y13)</f>
        <v>1779</v>
      </c>
      <c r="Z32" s="258">
        <f>N(Z13)-SUM(W13:Y13)</f>
        <v>3246</v>
      </c>
      <c r="AA32" s="258">
        <f>N(AA13)</f>
        <v>4470</v>
      </c>
      <c r="AB32" s="258">
        <f>N(AB13)</f>
        <v>2332</v>
      </c>
      <c r="AC32" s="258">
        <f>N(AC13)</f>
        <v>5237</v>
      </c>
      <c r="AD32" s="258">
        <f>N(AD13)-SUM(AA13:AC13)</f>
        <v>2648</v>
      </c>
      <c r="AE32" s="258">
        <f>N(AE13)</f>
        <v>4179</v>
      </c>
      <c r="AF32" s="258">
        <f>N(AF13)</f>
        <v>1578</v>
      </c>
      <c r="AG32" s="258">
        <f>N(AG13)</f>
        <v>1024</v>
      </c>
      <c r="AH32" s="258">
        <f>N(AH13)-SUM(AE13:AG13)</f>
        <v>34</v>
      </c>
      <c r="AI32" s="258">
        <f>N(AI13)</f>
        <v>-461</v>
      </c>
      <c r="AJ32" s="258">
        <f>N(AJ13)</f>
        <v>-4378</v>
      </c>
    </row>
    <row r="33">
      <c r="A33" t="n">
        <v>6</v>
      </c>
      <c r="B33" t="n">
        <v>1</v>
      </c>
      <c r="G33" t="inlineStr">
        <is>
          <t>moeda</t>
        </is>
      </c>
      <c r="H33" t="inlineStr">
        <is>
          <t>Receitas financeiras (CVM 3.06.01)</t>
        </is>
      </c>
      <c r="J33" t="inlineStr">
        <is>
          <t>derivada</t>
        </is>
      </c>
      <c r="K33" s="258">
        <f>N(K14)</f>
        <v>708</v>
      </c>
      <c r="L33" s="258">
        <f>N(L14)</f>
        <v>25852</v>
      </c>
      <c r="M33" s="258">
        <f>N(M14)</f>
        <v>3182</v>
      </c>
      <c r="N33" s="258">
        <f>N(N14)-SUM(K14:M14)</f>
        <v>-3268</v>
      </c>
      <c r="O33" s="258">
        <f>N(O14)</f>
        <v>4747</v>
      </c>
      <c r="P33" s="258">
        <f>N(P14)</f>
        <v>8841</v>
      </c>
      <c r="Q33" s="258">
        <f>N(Q14)</f>
        <v>9664</v>
      </c>
      <c r="R33" s="258">
        <f>N(R14)-SUM(O14:Q14)</f>
        <v>3268</v>
      </c>
      <c r="S33" s="258">
        <f>N(S14)</f>
        <v>14314</v>
      </c>
      <c r="T33" s="258">
        <f>N(T14)</f>
        <v>58345</v>
      </c>
      <c r="U33" s="258">
        <f>N(U14)</f>
        <v>531</v>
      </c>
      <c r="V33" s="258">
        <f>N(V14)-SUM(S14:U14)</f>
        <v>4031</v>
      </c>
      <c r="W33" s="258">
        <f>N(W14)</f>
        <v>4578</v>
      </c>
      <c r="X33" s="258">
        <f>N(X14)</f>
        <v>8653</v>
      </c>
      <c r="Y33" s="258">
        <f>N(Y14)</f>
        <v>11044</v>
      </c>
      <c r="Z33" s="258">
        <f>N(Z14)-SUM(W14:Y14)</f>
        <v>56112</v>
      </c>
      <c r="AA33" s="258">
        <f>N(AA14)</f>
        <v>7702</v>
      </c>
      <c r="AB33" s="258">
        <f>N(AB14)</f>
        <v>12609</v>
      </c>
      <c r="AC33" s="258">
        <f>N(AC14)</f>
        <v>9343</v>
      </c>
      <c r="AD33" s="258">
        <f>N(AD14)-SUM(AA14:AC14)</f>
        <v>28989</v>
      </c>
      <c r="AE33" s="258">
        <f>N(AE14)</f>
        <v>18835</v>
      </c>
      <c r="AF33" s="258">
        <f>N(AF14)</f>
        <v>24933</v>
      </c>
      <c r="AG33" s="258">
        <f>N(AG14)</f>
        <v>36113</v>
      </c>
      <c r="AH33" s="258">
        <f>N(AH14)-SUM(AE14:AG14)</f>
        <v>32198</v>
      </c>
      <c r="AI33" s="258">
        <f>N(AI14)</f>
        <v>25952</v>
      </c>
      <c r="AJ33" s="258">
        <f>N(AJ14)</f>
        <v>35170</v>
      </c>
    </row>
    <row r="34">
      <c r="A34" t="n">
        <v>5</v>
      </c>
      <c r="B34" t="n">
        <v>1</v>
      </c>
      <c r="G34" t="inlineStr">
        <is>
          <t>moeda</t>
        </is>
      </c>
      <c r="H34" t="inlineStr">
        <is>
          <t>Despesas financeiras (CVM 3.06.02)</t>
        </is>
      </c>
      <c r="J34" t="inlineStr">
        <is>
          <t>derivada</t>
        </is>
      </c>
      <c r="K34" s="258">
        <f>N(K15)</f>
        <v>-26802</v>
      </c>
      <c r="L34" s="258">
        <f>N(L15)</f>
        <v>-19843</v>
      </c>
      <c r="M34" s="258">
        <f>N(M15)</f>
        <v>-20802</v>
      </c>
      <c r="N34" s="258">
        <f>N(N15)-SUM(K15:M15)</f>
        <v>-14884</v>
      </c>
      <c r="O34" s="258">
        <f>N(O15)</f>
        <v>-24167</v>
      </c>
      <c r="P34" s="258">
        <f>N(P15)</f>
        <v>-22467</v>
      </c>
      <c r="Q34" s="258">
        <f>N(Q15)</f>
        <v>-23898</v>
      </c>
      <c r="R34" s="258">
        <f>N(R15)-SUM(O15:Q15)</f>
        <v>-55165</v>
      </c>
      <c r="S34" s="258">
        <f>N(S15)</f>
        <v>-41349</v>
      </c>
      <c r="T34" s="258">
        <f>N(T15)</f>
        <v>-69039</v>
      </c>
      <c r="U34" s="258">
        <f>N(U15)</f>
        <v>-37467</v>
      </c>
      <c r="V34" s="258">
        <f>N(V15)-SUM(S15:U15)</f>
        <v>-83725</v>
      </c>
      <c r="W34" s="258">
        <f>N(W15)</f>
        <v>-52374</v>
      </c>
      <c r="X34" s="258">
        <f>N(X15)</f>
        <v>-45602</v>
      </c>
      <c r="Y34" s="258">
        <f>N(Y15)</f>
        <v>-45529</v>
      </c>
      <c r="Z34" s="258">
        <f>N(Z15)-SUM(W15:Y15)</f>
        <v>-55686</v>
      </c>
      <c r="AA34" s="258">
        <f>N(AA15)</f>
        <v>-46582</v>
      </c>
      <c r="AB34" s="258">
        <f>N(AB15)</f>
        <v>-48709</v>
      </c>
      <c r="AC34" s="258">
        <f>N(AC15)</f>
        <v>-56076</v>
      </c>
      <c r="AD34" s="258">
        <f>N(AD15)-SUM(AA15:AC15)</f>
        <v>-78046</v>
      </c>
      <c r="AE34" s="258">
        <f>N(AE15)</f>
        <v>-74070</v>
      </c>
      <c r="AF34" s="258">
        <f>N(AF15)</f>
        <v>-73588</v>
      </c>
      <c r="AG34" s="258">
        <f>N(AG15)</f>
        <v>-89868</v>
      </c>
      <c r="AH34" s="258">
        <f>N(AH15)-SUM(AE15:AG15)</f>
        <v>-87635</v>
      </c>
      <c r="AI34" s="258">
        <f>N(AI15)</f>
        <v>-77362</v>
      </c>
      <c r="AJ34" s="258">
        <f>N(AJ15)</f>
        <v>-88947</v>
      </c>
    </row>
    <row r="35">
      <c r="A35" t="n">
        <v>7</v>
      </c>
      <c r="B35" t="n">
        <v>1</v>
      </c>
      <c r="G35" t="inlineStr">
        <is>
          <t>moeda</t>
        </is>
      </c>
      <c r="H35" t="inlineStr">
        <is>
          <t>IR e CSLL (corrente + diferido) (CVM 3.08)</t>
        </is>
      </c>
      <c r="J35" t="inlineStr">
        <is>
          <t>derivada</t>
        </is>
      </c>
      <c r="K35" s="258">
        <f>N(K16)</f>
        <v>-3524</v>
      </c>
      <c r="L35" s="258">
        <f>N(L16)</f>
        <v>-5593</v>
      </c>
      <c r="M35" s="258">
        <f>N(M16)</f>
        <v>-4350</v>
      </c>
      <c r="N35" s="258">
        <f>N(N16)-SUM(K16:M16)</f>
        <v>-10344</v>
      </c>
      <c r="O35" s="258">
        <f>N(O16)</f>
        <v>-2195</v>
      </c>
      <c r="P35" s="258">
        <f>N(P16)</f>
        <v>-4937</v>
      </c>
      <c r="Q35" s="258">
        <f>N(Q16)</f>
        <v>-6923</v>
      </c>
      <c r="R35" s="258">
        <f>N(R16)-SUM(O16:Q16)</f>
        <v>-21959</v>
      </c>
      <c r="S35" s="258">
        <f>N(S16)</f>
        <v>-4231</v>
      </c>
      <c r="T35" s="258">
        <f>N(T16)</f>
        <v>-18959</v>
      </c>
      <c r="U35" s="258">
        <f>N(U16)</f>
        <v>-14780</v>
      </c>
      <c r="V35" s="258">
        <f>N(V16)-SUM(S16:U16)</f>
        <v>-8640</v>
      </c>
      <c r="W35" s="258">
        <f>N(W16)</f>
        <v>-7213</v>
      </c>
      <c r="X35" s="258">
        <f>N(X16)</f>
        <v>-9890</v>
      </c>
      <c r="Y35" s="258">
        <f>N(Y16)</f>
        <v>-6123</v>
      </c>
      <c r="Z35" s="258">
        <f>N(Z16)-SUM(W16:Y16)</f>
        <v>2477</v>
      </c>
      <c r="AA35" s="258">
        <f>N(AA16)</f>
        <v>-1743</v>
      </c>
      <c r="AB35" s="258">
        <f>N(AB16)</f>
        <v>-16947</v>
      </c>
      <c r="AC35" s="258">
        <f>N(AC16)</f>
        <v>-3096</v>
      </c>
      <c r="AD35" s="258">
        <f>N(AD16)-SUM(AA16:AC16)</f>
        <v>-6086</v>
      </c>
      <c r="AE35" s="258">
        <f>N(AE16)</f>
        <v>-8023</v>
      </c>
      <c r="AF35" s="258">
        <f>N(AF16)</f>
        <v>-5741</v>
      </c>
      <c r="AG35" s="258">
        <f>N(AG16)</f>
        <v>-3384</v>
      </c>
      <c r="AH35" s="258">
        <f>N(AH16)-SUM(AE16:AG16)</f>
        <v>-5759</v>
      </c>
      <c r="AI35" s="258">
        <f>N(AI16)</f>
        <v>-12257</v>
      </c>
      <c r="AJ35" s="258">
        <f>N(AJ16)</f>
        <v>-32250</v>
      </c>
    </row>
    <row r="36">
      <c r="G36" t="inlineStr">
        <is>
          <t>moeda</t>
        </is>
      </c>
      <c r="H36" t="inlineStr">
        <is>
          <t>Lucro/prejuizo consolidado do periodo - memoria (CVM 3.11)</t>
        </is>
      </c>
      <c r="J36" t="inlineStr">
        <is>
          <t>derivada</t>
        </is>
      </c>
      <c r="K36" s="258">
        <f>N(K17)</f>
        <v>-9163</v>
      </c>
      <c r="L36" s="258">
        <f>N(L17)</f>
        <v>25023</v>
      </c>
      <c r="M36" s="258">
        <f>N(M17)</f>
        <v>1315</v>
      </c>
      <c r="N36" s="258">
        <f>N(N17)-SUM(K17:M17)</f>
        <v>6435</v>
      </c>
      <c r="O36" s="258">
        <f>N(O17)</f>
        <v>-45525</v>
      </c>
      <c r="P36" s="258">
        <f>N(P17)</f>
        <v>6399</v>
      </c>
      <c r="Q36" s="258">
        <f>N(Q17)</f>
        <v>-1349</v>
      </c>
      <c r="R36" s="258">
        <f>N(R17)-SUM(O17:Q17)</f>
        <v>-15034</v>
      </c>
      <c r="S36" s="258">
        <f>N(S17)</f>
        <v>-19374</v>
      </c>
      <c r="T36" s="258">
        <f>N(T17)</f>
        <v>-10320</v>
      </c>
      <c r="U36" s="258">
        <f>N(U17)</f>
        <v>-29626</v>
      </c>
      <c r="V36" s="258">
        <f>N(V17)-SUM(S17:U17)</f>
        <v>-84144</v>
      </c>
      <c r="W36" s="258">
        <f>N(W17)</f>
        <v>-43180</v>
      </c>
      <c r="X36" s="258">
        <f>N(X17)</f>
        <v>-2851</v>
      </c>
      <c r="Y36" s="258">
        <f>N(Y17)</f>
        <v>3894</v>
      </c>
      <c r="Z36" s="258">
        <f>N(Z17)-SUM(W17:Y17)</f>
        <v>92304</v>
      </c>
      <c r="AA36" s="258">
        <f>N(AA17)</f>
        <v>30194</v>
      </c>
      <c r="AB36" s="258">
        <f>N(AB17)</f>
        <v>11159</v>
      </c>
      <c r="AC36" s="258">
        <f>N(AC17)</f>
        <v>41256</v>
      </c>
      <c r="AD36" s="258">
        <f>N(AD17)-SUM(AA17:AC17)</f>
        <v>-8133</v>
      </c>
      <c r="AE36" s="258">
        <f>N(AE17)</f>
        <v>-3557</v>
      </c>
      <c r="AF36" s="258">
        <f>N(AF17)</f>
        <v>26757</v>
      </c>
      <c r="AG36" s="258">
        <f>N(AG17)</f>
        <v>27342</v>
      </c>
      <c r="AH36" s="258">
        <f>N(AH17)-SUM(AE17:AG17)</f>
        <v>23420</v>
      </c>
      <c r="AI36" s="258">
        <f>N(AI17)</f>
        <v>22622</v>
      </c>
      <c r="AJ36" s="258">
        <f>N(AJ17)</f>
        <v>6351</v>
      </c>
    </row>
    <row r="37">
      <c r="A37" t="n">
        <v>9</v>
      </c>
      <c r="B37" t="n">
        <v>-1</v>
      </c>
      <c r="G37" t="inlineStr">
        <is>
          <t>moeda</t>
        </is>
      </c>
      <c r="H37" t="inlineStr">
        <is>
          <t>Atribuido a socios nao controladores (COD 9 com sinal -1) (CVM 3.11.02)</t>
        </is>
      </c>
      <c r="J37" t="inlineStr">
        <is>
          <t>derivada</t>
        </is>
      </c>
      <c r="K37" s="258">
        <f>N(K18)</f>
        <v>846</v>
      </c>
      <c r="L37" s="258">
        <f>N(L18)</f>
        <v>662</v>
      </c>
      <c r="M37" s="258">
        <f>N(M18)</f>
        <v>1268</v>
      </c>
      <c r="N37" s="258">
        <f>N(N18)-SUM(K18:M18)</f>
        <v>17289</v>
      </c>
      <c r="O37" s="258">
        <f>N(O18)</f>
        <v>1054</v>
      </c>
      <c r="P37" s="258">
        <f>N(P18)</f>
        <v>988</v>
      </c>
      <c r="Q37" s="258">
        <f>N(Q18)</f>
        <v>859</v>
      </c>
      <c r="R37" s="258">
        <f>N(R18)-SUM(O18:Q18)</f>
        <v>3618</v>
      </c>
      <c r="S37" s="258">
        <f>N(S18)</f>
        <v>773</v>
      </c>
      <c r="T37" s="258">
        <f>N(T18)</f>
        <v>1650</v>
      </c>
      <c r="U37" s="258">
        <f>N(U18)</f>
        <v>1467</v>
      </c>
      <c r="V37" s="258">
        <f>N(V18)-SUM(S18:U18)</f>
        <v>1652</v>
      </c>
      <c r="W37" s="258">
        <f>N(W18)</f>
        <v>1893</v>
      </c>
      <c r="X37" s="258">
        <f>N(X18)</f>
        <v>2298</v>
      </c>
      <c r="Y37" s="258">
        <f>N(Y18)</f>
        <v>2043</v>
      </c>
      <c r="Z37" s="258">
        <f>N(Z18)-SUM(W18:Y18)</f>
        <v>3818</v>
      </c>
      <c r="AA37" s="258">
        <f>N(AA18)</f>
        <v>4651</v>
      </c>
      <c r="AB37" s="258">
        <f>N(AB18)</f>
        <v>2353</v>
      </c>
      <c r="AC37" s="258">
        <f>N(AC18)</f>
        <v>4172</v>
      </c>
      <c r="AD37" s="258">
        <f>N(AD18)-SUM(AA18:AC18)</f>
        <v>2403</v>
      </c>
      <c r="AE37" s="258">
        <f>N(AE18)</f>
        <v>2765</v>
      </c>
      <c r="AF37" s="258">
        <f>N(AF18)</f>
        <v>2911</v>
      </c>
      <c r="AG37" s="258">
        <f>N(AG18)</f>
        <v>4054</v>
      </c>
      <c r="AH37" s="258">
        <f>N(AH18)-SUM(AE18:AG18)</f>
        <v>4090</v>
      </c>
      <c r="AI37" s="258">
        <f>N(AI18)</f>
        <v>3838</v>
      </c>
      <c r="AJ37" s="258">
        <f>N(AJ18)</f>
        <v>17498</v>
      </c>
    </row>
    <row r="38">
      <c r="A38" t="n">
        <v>44</v>
      </c>
      <c r="B38" t="n">
        <v>1</v>
      </c>
      <c r="G38" t="inlineStr">
        <is>
          <t>moeda</t>
        </is>
      </c>
      <c r="H38" t="inlineStr">
        <is>
          <t>Lucro atribuido a controladora (CVM 3.11.01, trimestral) - COD 44 alimenta o check IS do Model (linha 4)</t>
        </is>
      </c>
      <c r="J38" t="inlineStr">
        <is>
          <t>derivada</t>
        </is>
      </c>
      <c r="K38" s="258">
        <f>N(K19)</f>
        <v>-10009</v>
      </c>
      <c r="L38" s="258">
        <f>N(L19)</f>
        <v>24361</v>
      </c>
      <c r="M38" s="258">
        <f>N(M19)</f>
        <v>47</v>
      </c>
      <c r="N38" s="258">
        <f>N(N19)-SUM(K19:M19)</f>
        <v>-10854</v>
      </c>
      <c r="O38" s="258">
        <f>N(O19)</f>
        <v>-46579</v>
      </c>
      <c r="P38" s="258">
        <f>N(P19)</f>
        <v>5411</v>
      </c>
      <c r="Q38" s="258">
        <f>N(Q19)</f>
        <v>-2208</v>
      </c>
      <c r="R38" s="258">
        <f>N(R19)-SUM(O19:Q19)</f>
        <v>-18652</v>
      </c>
      <c r="S38" s="258">
        <f>N(S19)</f>
        <v>-20147</v>
      </c>
      <c r="T38" s="258">
        <f>N(T19)</f>
        <v>-11970</v>
      </c>
      <c r="U38" s="258">
        <f>N(U19)</f>
        <v>-31093</v>
      </c>
      <c r="V38" s="258">
        <f>N(V19)-SUM(S19:U19)</f>
        <v>-85796</v>
      </c>
      <c r="W38" s="258">
        <f>N(W19)</f>
        <v>-45073</v>
      </c>
      <c r="X38" s="258">
        <f>N(X19)</f>
        <v>-5149</v>
      </c>
      <c r="Y38" s="258">
        <f>N(Y19)</f>
        <v>1851</v>
      </c>
      <c r="Z38" s="258">
        <f>N(Z19)-SUM(W19:Y19)</f>
        <v>88486</v>
      </c>
      <c r="AA38" s="258">
        <f>N(AA19)</f>
        <v>25543</v>
      </c>
      <c r="AB38" s="258">
        <f>N(AB19)</f>
        <v>8806</v>
      </c>
      <c r="AC38" s="258">
        <f>N(AC19)</f>
        <v>37084</v>
      </c>
      <c r="AD38" s="258">
        <f>N(AD19)-SUM(AA19:AC19)</f>
        <v>-10536</v>
      </c>
      <c r="AE38" s="258">
        <f>N(AE19)</f>
        <v>-6322</v>
      </c>
      <c r="AF38" s="258">
        <f>N(AF19)</f>
        <v>23846</v>
      </c>
      <c r="AG38" s="258">
        <f>N(AG19)</f>
        <v>23288</v>
      </c>
      <c r="AH38" s="258">
        <f>N(AH19)-SUM(AE19:AG19)</f>
        <v>19330</v>
      </c>
      <c r="AI38" s="258">
        <f>N(AI19)</f>
        <v>18784</v>
      </c>
      <c r="AJ38" s="258">
        <f>N(AJ19)</f>
        <v>-11147</v>
      </c>
    </row>
    <row r="39">
      <c r="A39" t="n">
        <v>4</v>
      </c>
      <c r="B39" t="n">
        <v>-1</v>
      </c>
      <c r="C39" t="n">
        <v>2</v>
      </c>
      <c r="D39" t="n">
        <v>1</v>
      </c>
      <c r="G39" t="inlineStr">
        <is>
          <t>moeda</t>
        </is>
      </c>
      <c r="H39" t="inlineStr">
        <is>
          <t>D&amp;A (DFC, trimestralizada). COD1=4 lanca; COD2=2 devolve ao custo (D&amp;A dos aterros e plantas esta no custo)</t>
        </is>
      </c>
      <c r="J39" t="inlineStr">
        <is>
          <t>derivada</t>
        </is>
      </c>
      <c r="K39" s="258">
        <f>N(K21)</f>
        <v>12083</v>
      </c>
      <c r="L39" s="258">
        <f>N(L21)-N(K21)</f>
        <v>14679</v>
      </c>
      <c r="M39" s="258">
        <f>N(M21)-N(L21)</f>
        <v>10102</v>
      </c>
      <c r="N39" s="258">
        <f>N(N21)-N(M21)</f>
        <v>13165</v>
      </c>
      <c r="O39" s="258">
        <f>N(O21)</f>
        <v>10679</v>
      </c>
      <c r="P39" s="258">
        <f>N(P21)-N(O21)</f>
        <v>11878</v>
      </c>
      <c r="Q39" s="258">
        <f>N(Q21)-N(P21)</f>
        <v>13134</v>
      </c>
      <c r="R39" s="258">
        <f>N(R21)-N(Q21)</f>
        <v>17704</v>
      </c>
      <c r="S39" s="258">
        <f>N(S21)</f>
        <v>15688</v>
      </c>
      <c r="T39" s="258">
        <f>N(T21)-N(S21)</f>
        <v>30096</v>
      </c>
      <c r="U39" s="258">
        <f>N(U21)-N(T21)</f>
        <v>48076</v>
      </c>
      <c r="V39" s="258">
        <f>N(V21)-N(U21)</f>
        <v>41858</v>
      </c>
      <c r="W39" s="258">
        <f>N(W21)</f>
        <v>60225</v>
      </c>
      <c r="X39" s="258">
        <f>N(X21)-N(W21)</f>
        <v>35636</v>
      </c>
      <c r="Y39" s="258">
        <f>N(Y21)-N(X21)</f>
        <v>37234</v>
      </c>
      <c r="Z39" s="258">
        <f>N(Z21)-N(Y21)</f>
        <v>32565</v>
      </c>
      <c r="AA39" s="258">
        <f>N(AA21)</f>
        <v>35203</v>
      </c>
      <c r="AB39" s="258">
        <f>N(AB21)-N(AA21)</f>
        <v>32275</v>
      </c>
      <c r="AC39" s="258">
        <f>N(AC21)-N(AB21)</f>
        <v>39870</v>
      </c>
      <c r="AD39" s="258">
        <f>N(AD21)-N(AC21)</f>
        <v>48619</v>
      </c>
      <c r="AE39" s="258">
        <f>N(AE21)</f>
        <v>48663</v>
      </c>
      <c r="AF39" s="258">
        <f>N(AF21)-N(AE21)</f>
        <v>42936</v>
      </c>
      <c r="AG39" s="258">
        <f>N(AG21)-N(AF21)</f>
        <v>44612</v>
      </c>
      <c r="AH39" s="258">
        <f>N(AH21)-N(AG21)</f>
        <v>44967</v>
      </c>
      <c r="AI39" s="258">
        <f>N(AI21)</f>
        <v>51389</v>
      </c>
      <c r="AJ39" s="258">
        <f>N(AJ21)-N(AI21)</f>
        <v>57892</v>
      </c>
    </row>
    <row r="40">
      <c r="A40" t="n">
        <v>10</v>
      </c>
      <c r="B40" t="n">
        <v>1</v>
      </c>
      <c r="G40" t="inlineStr">
        <is>
          <t>moeda</t>
        </is>
      </c>
      <c r="H40" t="inlineStr">
        <is>
          <t>Dividendos/JCP pagos (DFC, trimestralizado)</t>
        </is>
      </c>
      <c r="J40" t="inlineStr">
        <is>
          <t>derivada</t>
        </is>
      </c>
      <c r="K40" s="258">
        <f>N(K22)</f>
        <v>0</v>
      </c>
      <c r="L40" s="258">
        <f>N(L22)-N(K22)</f>
        <v>0</v>
      </c>
      <c r="M40" s="258">
        <f>N(M22)-N(L22)</f>
        <v>0</v>
      </c>
      <c r="N40" s="258">
        <f>N(N22)-N(M22)</f>
        <v>0</v>
      </c>
      <c r="O40" s="258">
        <f>N(O22)</f>
        <v>0</v>
      </c>
      <c r="P40" s="258">
        <f>N(P22)-N(O22)</f>
        <v>0</v>
      </c>
      <c r="Q40" s="258">
        <f>N(Q22)-N(P22)</f>
        <v>0</v>
      </c>
      <c r="R40" s="258">
        <f>N(R22)-N(Q22)</f>
        <v>0</v>
      </c>
      <c r="S40" s="258">
        <f>N(S22)</f>
        <v>0</v>
      </c>
      <c r="T40" s="258">
        <f>N(T22)-N(S22)</f>
        <v>0</v>
      </c>
      <c r="U40" s="258">
        <f>N(U22)-N(T22)</f>
        <v>0</v>
      </c>
      <c r="V40" s="258">
        <f>N(V22)-N(U22)</f>
        <v>0</v>
      </c>
      <c r="W40" s="258">
        <f>N(W22)</f>
        <v>0</v>
      </c>
      <c r="X40" s="258">
        <f>N(X22)-N(W22)</f>
        <v>0</v>
      </c>
      <c r="Y40" s="258">
        <f>N(Y22)-N(X22)</f>
        <v>0</v>
      </c>
      <c r="Z40" s="258">
        <f>N(Z22)-N(Y22)</f>
        <v>0</v>
      </c>
      <c r="AA40" s="258">
        <f>N(AA22)</f>
        <v>0</v>
      </c>
      <c r="AB40" s="258">
        <f>N(AB22)-N(AA22)</f>
        <v>0</v>
      </c>
      <c r="AC40" s="258">
        <f>N(AC22)-N(AB22)</f>
        <v>0</v>
      </c>
      <c r="AD40" s="258">
        <f>N(AD22)-N(AC22)</f>
        <v>0</v>
      </c>
      <c r="AE40" s="258">
        <f>N(AE22)</f>
        <v>0</v>
      </c>
      <c r="AF40" s="258">
        <f>N(AF22)-N(AE22)</f>
        <v>0</v>
      </c>
      <c r="AG40" s="258">
        <f>N(AG22)-N(AF22)</f>
        <v>0</v>
      </c>
      <c r="AH40" s="258">
        <f>N(AH22)-N(AG22)</f>
        <v>0</v>
      </c>
      <c r="AI40" s="258">
        <f>N(AI22)</f>
        <v>0</v>
      </c>
      <c r="AJ40" s="258">
        <f>N(AJ22)-N(AI22)</f>
        <v>0</v>
      </c>
    </row>
    <row r="41">
      <c r="G41" t="inlineStr">
        <is>
          <t>moeda</t>
        </is>
      </c>
      <c r="H41" t="inlineStr">
        <is>
          <t>Capex - aquisicoes de imobilizado (DFC, trimestralizado) - memoria</t>
        </is>
      </c>
      <c r="J41" t="inlineStr">
        <is>
          <t>derivada</t>
        </is>
      </c>
      <c r="K41" s="258">
        <f>N(K23)</f>
        <v>-8197</v>
      </c>
      <c r="L41" s="258">
        <f>N(L23)-N(K23)</f>
        <v>-21229</v>
      </c>
      <c r="M41" s="258">
        <f>N(M23)-N(L23)</f>
        <v>-6585</v>
      </c>
      <c r="N41" s="258">
        <f>N(N23)-N(M23)</f>
        <v>-3641</v>
      </c>
      <c r="O41" s="258">
        <f>N(O23)</f>
        <v>-6284</v>
      </c>
      <c r="P41" s="258">
        <f>N(P23)-N(O23)</f>
        <v>-18742</v>
      </c>
      <c r="Q41" s="258">
        <f>N(Q23)-N(P23)</f>
        <v>-24234</v>
      </c>
      <c r="R41" s="258">
        <f>N(R23)-N(Q23)</f>
        <v>-73577</v>
      </c>
      <c r="S41" s="258">
        <f>N(S23)</f>
        <v>-72081</v>
      </c>
      <c r="T41" s="258">
        <f>N(T23)-N(S23)</f>
        <v>72081</v>
      </c>
      <c r="U41" s="258">
        <f>N(U23)-N(T23)</f>
        <v>-157447</v>
      </c>
      <c r="V41" s="258">
        <f>N(V23)-N(U23)</f>
        <v>-39901</v>
      </c>
      <c r="W41" s="258">
        <f>N(W23)</f>
        <v>-48213</v>
      </c>
      <c r="X41" s="258">
        <f>N(X23)-N(W23)</f>
        <v>48213</v>
      </c>
      <c r="Y41" s="258">
        <f>N(Y23)-N(X23)</f>
        <v>-173924</v>
      </c>
      <c r="Z41" s="258">
        <f>N(Z23)-N(Y23)</f>
        <v>-81410</v>
      </c>
      <c r="AA41" s="258">
        <f>N(AA23)</f>
        <v>-62230</v>
      </c>
      <c r="AB41" s="258">
        <f>N(AB23)-N(AA23)</f>
        <v>62230</v>
      </c>
      <c r="AC41" s="258">
        <f>N(AC23)-N(AB23)</f>
        <v>-367430</v>
      </c>
      <c r="AD41" s="258">
        <f>N(AD23)-N(AC23)</f>
        <v>-188638</v>
      </c>
      <c r="AE41" s="258">
        <f>N(AE23)</f>
        <v>-114539</v>
      </c>
      <c r="AF41" s="258">
        <f>N(AF23)-N(AE23)</f>
        <v>114539</v>
      </c>
      <c r="AG41" s="258">
        <f>N(AG23)-N(AF23)</f>
        <v>-464766</v>
      </c>
      <c r="AH41" s="258">
        <f>N(AH23)-N(AG23)</f>
        <v>-166210</v>
      </c>
      <c r="AI41" s="258">
        <f>N(AI23)</f>
        <v>-169723</v>
      </c>
      <c r="AJ41" s="258">
        <f>N(AJ23)-N(AI23)</f>
        <v>169723</v>
      </c>
    </row>
    <row r="42">
      <c r="H42" s="254" t="inlineStr">
        <is>
          <t>BALANCO (R$ mil, fim de trimestre). Contas folha do ITR/DFP agrupadas pela DESCRICAO (o codigo de ultimo nivel e a hierarquia da Cia na CVM mudam entre trimestres e ha contas sob o grupo errado, ex.: emprestimos dentro de "Obrigacoes Sociais e Trabalhistas")</t>
        </is>
      </c>
    </row>
    <row r="43">
      <c r="A43" t="n">
        <v>11</v>
      </c>
      <c r="B43" t="n">
        <v>1</v>
      </c>
      <c r="G43" t="inlineStr">
        <is>
          <t>moeda</t>
        </is>
      </c>
      <c r="H43" t="inlineStr">
        <is>
          <t>AC: Caixa e Equivalentes de Caixa</t>
        </is>
      </c>
      <c r="J43" t="inlineStr">
        <is>
          <t>fonte</t>
        </is>
      </c>
      <c r="K43" s="258" t="n">
        <v>6088</v>
      </c>
      <c r="L43" s="258" t="n">
        <v>4108</v>
      </c>
      <c r="M43" s="258" t="n">
        <v>4236</v>
      </c>
      <c r="N43" s="258" t="n">
        <v>6044</v>
      </c>
      <c r="O43" s="258" t="n">
        <v>2112</v>
      </c>
      <c r="P43" s="258" t="n">
        <v>1124</v>
      </c>
      <c r="Q43" s="258" t="n">
        <v>5345</v>
      </c>
      <c r="R43" s="258" t="n">
        <v>2917</v>
      </c>
      <c r="S43" s="258" t="n">
        <v>9612</v>
      </c>
      <c r="T43" s="258" t="n">
        <v>24265</v>
      </c>
      <c r="U43" s="258" t="n">
        <v>27289</v>
      </c>
      <c r="V43" s="258" t="n">
        <v>168875</v>
      </c>
      <c r="W43" s="258" t="n">
        <v>117986</v>
      </c>
      <c r="X43" s="258" t="n">
        <v>134757</v>
      </c>
      <c r="Y43" s="258" t="n">
        <v>200797</v>
      </c>
      <c r="Z43" s="258" t="n">
        <v>289426</v>
      </c>
      <c r="AA43" s="258" t="n">
        <v>264313</v>
      </c>
      <c r="AB43" s="258" t="n">
        <v>304604</v>
      </c>
      <c r="AC43" s="258" t="n">
        <v>668551</v>
      </c>
      <c r="AD43" s="258" t="n">
        <v>493299</v>
      </c>
      <c r="AE43" s="258" t="n">
        <v>409969</v>
      </c>
      <c r="AF43" s="258" t="n">
        <v>932773</v>
      </c>
      <c r="AG43" s="258" t="n">
        <v>1035713</v>
      </c>
      <c r="AH43" s="258" t="n">
        <v>851334</v>
      </c>
      <c r="AI43" s="258" t="n">
        <v>855590</v>
      </c>
      <c r="AJ43" s="258" t="n">
        <v>1535051</v>
      </c>
    </row>
    <row r="44">
      <c r="A44" t="n">
        <v>11</v>
      </c>
      <c r="B44" t="n">
        <v>1</v>
      </c>
      <c r="G44" t="inlineStr">
        <is>
          <t>moeda</t>
        </is>
      </c>
      <c r="H44" t="inlineStr">
        <is>
          <t>AC: Títulos e valores mobiliários</t>
        </is>
      </c>
      <c r="J44" t="inlineStr">
        <is>
          <t>fonte</t>
        </is>
      </c>
      <c r="K44" s="258" t="n">
        <v>11995</v>
      </c>
      <c r="L44" s="258" t="n">
        <v>10440</v>
      </c>
      <c r="M44" s="258" t="n">
        <v>12691</v>
      </c>
      <c r="N44" s="258" t="n">
        <v>10511</v>
      </c>
      <c r="O44" s="258" t="n">
        <v>0</v>
      </c>
      <c r="P44" s="258" t="n">
        <v>0</v>
      </c>
      <c r="Q44" s="258" t="n">
        <v>205395</v>
      </c>
      <c r="R44" s="258" t="n">
        <v>398458</v>
      </c>
      <c r="S44" s="258" t="n">
        <v>265273</v>
      </c>
      <c r="T44" s="258" t="n">
        <v>37581</v>
      </c>
      <c r="U44" s="258" t="n">
        <v>19618</v>
      </c>
      <c r="V44" s="258" t="n">
        <v>71922</v>
      </c>
      <c r="W44" s="258" t="n">
        <v>74941</v>
      </c>
      <c r="X44" s="258" t="n">
        <v>82976</v>
      </c>
      <c r="Y44" s="258" t="n">
        <v>62562</v>
      </c>
      <c r="Z44" s="258" t="n">
        <v>33608</v>
      </c>
      <c r="AA44" s="258" t="n">
        <v>8619</v>
      </c>
      <c r="AB44" s="258" t="n">
        <v>4983</v>
      </c>
      <c r="AC44" s="258" t="n">
        <v>125628</v>
      </c>
      <c r="AD44" s="258" t="n">
        <v>108524</v>
      </c>
      <c r="AE44" s="258" t="n">
        <v>139668</v>
      </c>
      <c r="AF44" s="258" t="n">
        <v>80137</v>
      </c>
      <c r="AG44" s="258" t="n">
        <v>23143</v>
      </c>
      <c r="AH44" s="258" t="n">
        <v>71035</v>
      </c>
      <c r="AI44" s="258" t="n">
        <v>14524</v>
      </c>
      <c r="AJ44" s="258" t="n">
        <v>9252</v>
      </c>
    </row>
    <row r="45">
      <c r="A45" t="n">
        <v>11</v>
      </c>
      <c r="B45" t="n">
        <v>1</v>
      </c>
      <c r="G45" t="inlineStr">
        <is>
          <t>moeda</t>
        </is>
      </c>
      <c r="H45" t="inlineStr">
        <is>
          <t>AC: Aplicações Financeiras Avaliadas a Valor Justo através de Outros Resultados Abrangentes</t>
        </is>
      </c>
      <c r="J45" t="inlineStr">
        <is>
          <t>fonte</t>
        </is>
      </c>
      <c r="K45" s="258" t="n">
        <v>0</v>
      </c>
      <c r="L45" s="258" t="n">
        <v>0</v>
      </c>
      <c r="M45" s="258" t="n">
        <v>0</v>
      </c>
      <c r="N45" s="258" t="n">
        <v>0</v>
      </c>
      <c r="O45" s="258" t="n">
        <v>349438</v>
      </c>
      <c r="P45" s="258" t="n">
        <v>0</v>
      </c>
      <c r="Q45" s="258" t="n">
        <v>0</v>
      </c>
      <c r="R45" s="258" t="n">
        <v>0</v>
      </c>
      <c r="S45" s="258" t="n">
        <v>0</v>
      </c>
      <c r="T45" s="258" t="n">
        <v>0</v>
      </c>
      <c r="U45" s="258" t="n">
        <v>0</v>
      </c>
      <c r="V45" s="258" t="n">
        <v>0</v>
      </c>
      <c r="W45" s="258" t="n">
        <v>0</v>
      </c>
      <c r="X45" s="258" t="n">
        <v>0</v>
      </c>
      <c r="Y45" s="258" t="n">
        <v>0</v>
      </c>
      <c r="Z45" s="258" t="n">
        <v>0</v>
      </c>
      <c r="AA45" s="258" t="n">
        <v>0</v>
      </c>
      <c r="AB45" s="258" t="n">
        <v>0</v>
      </c>
      <c r="AC45" s="258" t="n">
        <v>0</v>
      </c>
      <c r="AD45" s="258" t="n">
        <v>0</v>
      </c>
      <c r="AE45" s="258" t="n">
        <v>0</v>
      </c>
      <c r="AF45" s="258" t="n">
        <v>0</v>
      </c>
      <c r="AG45" s="258" t="n">
        <v>0</v>
      </c>
      <c r="AH45" s="258" t="n">
        <v>0</v>
      </c>
      <c r="AI45" s="258" t="n">
        <v>0</v>
      </c>
      <c r="AJ45" s="258" t="n">
        <v>0</v>
      </c>
    </row>
    <row r="46">
      <c r="A46" t="n">
        <v>11</v>
      </c>
      <c r="B46" t="n">
        <v>1</v>
      </c>
      <c r="G46" t="inlineStr">
        <is>
          <t>moeda</t>
        </is>
      </c>
      <c r="H46" t="inlineStr">
        <is>
          <t>AC: Títulos Designados a Valor Justo</t>
        </is>
      </c>
      <c r="J46" t="inlineStr">
        <is>
          <t>fonte</t>
        </is>
      </c>
      <c r="K46" s="258" t="n">
        <v>0</v>
      </c>
      <c r="L46" s="258" t="n">
        <v>0</v>
      </c>
      <c r="M46" s="258" t="n">
        <v>0</v>
      </c>
      <c r="N46" s="258" t="n">
        <v>0</v>
      </c>
      <c r="O46" s="258" t="n">
        <v>0</v>
      </c>
      <c r="P46" s="258" t="n">
        <v>264492</v>
      </c>
      <c r="Q46" s="258" t="n">
        <v>0</v>
      </c>
      <c r="R46" s="258" t="n">
        <v>0</v>
      </c>
      <c r="S46" s="258" t="n">
        <v>0</v>
      </c>
      <c r="T46" s="258" t="n">
        <v>0</v>
      </c>
      <c r="U46" s="258" t="n">
        <v>0</v>
      </c>
      <c r="V46" s="258" t="n">
        <v>0</v>
      </c>
      <c r="W46" s="258" t="n">
        <v>0</v>
      </c>
      <c r="X46" s="258" t="n">
        <v>0</v>
      </c>
      <c r="Y46" s="258" t="n">
        <v>0</v>
      </c>
      <c r="Z46" s="258" t="n">
        <v>0</v>
      </c>
      <c r="AA46" s="258" t="n">
        <v>0</v>
      </c>
      <c r="AB46" s="258" t="n">
        <v>0</v>
      </c>
      <c r="AC46" s="258" t="n">
        <v>0</v>
      </c>
      <c r="AD46" s="258" t="n">
        <v>0</v>
      </c>
      <c r="AE46" s="258" t="n">
        <v>0</v>
      </c>
      <c r="AF46" s="258" t="n">
        <v>0</v>
      </c>
      <c r="AG46" s="258" t="n">
        <v>0</v>
      </c>
      <c r="AH46" s="258" t="n">
        <v>0</v>
      </c>
      <c r="AI46" s="258" t="n">
        <v>0</v>
      </c>
      <c r="AJ46" s="258" t="n">
        <v>0</v>
      </c>
    </row>
    <row r="47">
      <c r="A47" t="n">
        <v>12</v>
      </c>
      <c r="B47" t="n">
        <v>1</v>
      </c>
      <c r="G47" t="inlineStr">
        <is>
          <t>moeda</t>
        </is>
      </c>
      <c r="H47" t="inlineStr">
        <is>
          <t>AC: Contas a Receber</t>
        </is>
      </c>
      <c r="J47" t="inlineStr">
        <is>
          <t>fonte</t>
        </is>
      </c>
      <c r="K47" s="258" t="n">
        <v>83784</v>
      </c>
      <c r="L47" s="258" t="n">
        <v>101994</v>
      </c>
      <c r="M47" s="258" t="n">
        <v>114514</v>
      </c>
      <c r="N47" s="258" t="n">
        <v>0</v>
      </c>
      <c r="O47" s="258" t="n">
        <v>0</v>
      </c>
      <c r="P47" s="258" t="n">
        <v>0</v>
      </c>
      <c r="Q47" s="258" t="n">
        <v>0</v>
      </c>
      <c r="R47" s="258" t="n">
        <v>0</v>
      </c>
      <c r="S47" s="258" t="n">
        <v>0</v>
      </c>
      <c r="T47" s="258" t="n">
        <v>0</v>
      </c>
      <c r="U47" s="258" t="n">
        <v>0</v>
      </c>
      <c r="V47" s="258" t="n">
        <v>0</v>
      </c>
      <c r="W47" s="258" t="n">
        <v>0</v>
      </c>
      <c r="X47" s="258" t="n">
        <v>0</v>
      </c>
      <c r="Y47" s="258" t="n">
        <v>0</v>
      </c>
      <c r="Z47" s="258" t="n">
        <v>0</v>
      </c>
      <c r="AA47" s="258" t="n">
        <v>0</v>
      </c>
      <c r="AB47" s="258" t="n">
        <v>0</v>
      </c>
      <c r="AC47" s="258" t="n">
        <v>0</v>
      </c>
      <c r="AD47" s="258" t="n">
        <v>0</v>
      </c>
      <c r="AE47" s="258" t="n">
        <v>0</v>
      </c>
      <c r="AF47" s="258" t="n">
        <v>0</v>
      </c>
      <c r="AG47" s="258" t="n">
        <v>0</v>
      </c>
      <c r="AH47" s="258" t="n">
        <v>0</v>
      </c>
      <c r="AI47" s="258" t="n">
        <v>0</v>
      </c>
      <c r="AJ47" s="258" t="n">
        <v>0</v>
      </c>
    </row>
    <row r="48">
      <c r="A48" t="n">
        <v>12</v>
      </c>
      <c r="B48" t="n">
        <v>1</v>
      </c>
      <c r="G48" t="inlineStr">
        <is>
          <t>moeda</t>
        </is>
      </c>
      <c r="H48" t="inlineStr">
        <is>
          <t>AC: Clientes</t>
        </is>
      </c>
      <c r="J48" t="inlineStr">
        <is>
          <t>fonte</t>
        </is>
      </c>
      <c r="K48" s="258" t="n">
        <v>0</v>
      </c>
      <c r="L48" s="258" t="n">
        <v>0</v>
      </c>
      <c r="M48" s="258" t="n">
        <v>0</v>
      </c>
      <c r="N48" s="258" t="n">
        <v>112143</v>
      </c>
      <c r="O48" s="258" t="n">
        <v>129652</v>
      </c>
      <c r="P48" s="258" t="n">
        <v>147827</v>
      </c>
      <c r="Q48" s="258" t="n">
        <v>131016</v>
      </c>
      <c r="R48" s="258" t="n">
        <v>163362</v>
      </c>
      <c r="S48" s="258" t="n">
        <v>166673</v>
      </c>
      <c r="T48" s="258" t="n">
        <v>249356</v>
      </c>
      <c r="U48" s="258" t="n">
        <v>284134</v>
      </c>
      <c r="V48" s="258" t="n">
        <v>258897</v>
      </c>
      <c r="W48" s="258" t="n">
        <v>242769</v>
      </c>
      <c r="X48" s="258" t="n">
        <v>216240</v>
      </c>
      <c r="Y48" s="258" t="n">
        <v>236505</v>
      </c>
      <c r="Z48" s="258" t="n">
        <v>184168</v>
      </c>
      <c r="AA48" s="258" t="n">
        <v>207490</v>
      </c>
      <c r="AB48" s="258" t="n">
        <v>209745</v>
      </c>
      <c r="AC48" s="258" t="n">
        <v>212121</v>
      </c>
      <c r="AD48" s="258" t="n">
        <v>194288</v>
      </c>
      <c r="AE48" s="258" t="n">
        <v>210775</v>
      </c>
      <c r="AF48" s="258" t="n">
        <v>229449</v>
      </c>
      <c r="AG48" s="258" t="n">
        <v>261497</v>
      </c>
      <c r="AH48" s="258" t="n">
        <v>281694</v>
      </c>
      <c r="AI48" s="258" t="n">
        <v>311671</v>
      </c>
      <c r="AJ48" s="258" t="n">
        <v>0</v>
      </c>
    </row>
    <row r="49">
      <c r="A49" t="n">
        <v>12</v>
      </c>
      <c r="B49" t="n">
        <v>1</v>
      </c>
      <c r="G49" t="inlineStr">
        <is>
          <t>moeda</t>
        </is>
      </c>
      <c r="H49" t="inlineStr">
        <is>
          <t>AC: Contas a receber de clientes</t>
        </is>
      </c>
      <c r="J49" t="inlineStr">
        <is>
          <t>fonte</t>
        </is>
      </c>
      <c r="K49" s="258" t="n">
        <v>0</v>
      </c>
      <c r="L49" s="258" t="n">
        <v>0</v>
      </c>
      <c r="M49" s="258" t="n">
        <v>0</v>
      </c>
      <c r="N49" s="258" t="n">
        <v>0</v>
      </c>
      <c r="O49" s="258" t="n">
        <v>0</v>
      </c>
      <c r="P49" s="258" t="n">
        <v>0</v>
      </c>
      <c r="Q49" s="258" t="n">
        <v>0</v>
      </c>
      <c r="R49" s="258" t="n">
        <v>0</v>
      </c>
      <c r="S49" s="258" t="n">
        <v>0</v>
      </c>
      <c r="T49" s="258" t="n">
        <v>0</v>
      </c>
      <c r="U49" s="258" t="n">
        <v>0</v>
      </c>
      <c r="V49" s="258" t="n">
        <v>0</v>
      </c>
      <c r="W49" s="258" t="n">
        <v>0</v>
      </c>
      <c r="X49" s="258" t="n">
        <v>0</v>
      </c>
      <c r="Y49" s="258" t="n">
        <v>0</v>
      </c>
      <c r="Z49" s="258" t="n">
        <v>0</v>
      </c>
      <c r="AA49" s="258" t="n">
        <v>0</v>
      </c>
      <c r="AB49" s="258" t="n">
        <v>0</v>
      </c>
      <c r="AC49" s="258" t="n">
        <v>0</v>
      </c>
      <c r="AD49" s="258" t="n">
        <v>0</v>
      </c>
      <c r="AE49" s="258" t="n">
        <v>0</v>
      </c>
      <c r="AF49" s="258" t="n">
        <v>0</v>
      </c>
      <c r="AG49" s="258" t="n">
        <v>0</v>
      </c>
      <c r="AH49" s="258" t="n">
        <v>0</v>
      </c>
      <c r="AI49" s="258" t="n">
        <v>0</v>
      </c>
      <c r="AJ49" s="258" t="n">
        <v>822886</v>
      </c>
    </row>
    <row r="50">
      <c r="A50" t="n">
        <v>15</v>
      </c>
      <c r="B50" t="n">
        <v>1</v>
      </c>
      <c r="G50" t="inlineStr">
        <is>
          <t>moeda</t>
        </is>
      </c>
      <c r="H50" t="inlineStr">
        <is>
          <t>AC: Adiantamentos</t>
        </is>
      </c>
      <c r="J50" t="inlineStr">
        <is>
          <t>fonte</t>
        </is>
      </c>
      <c r="K50" s="258" t="n">
        <v>16073</v>
      </c>
      <c r="L50" s="258" t="n">
        <v>12855</v>
      </c>
      <c r="M50" s="258" t="n">
        <v>12469</v>
      </c>
      <c r="N50" s="258" t="n">
        <v>0</v>
      </c>
      <c r="O50" s="258" t="n">
        <v>15496</v>
      </c>
      <c r="P50" s="258" t="n">
        <v>14198</v>
      </c>
      <c r="Q50" s="258" t="n">
        <v>0</v>
      </c>
      <c r="R50" s="258" t="n">
        <v>0</v>
      </c>
      <c r="S50" s="258" t="n">
        <v>0</v>
      </c>
      <c r="T50" s="258" t="n">
        <v>0</v>
      </c>
      <c r="U50" s="258" t="n">
        <v>0</v>
      </c>
      <c r="V50" s="258" t="n">
        <v>0</v>
      </c>
      <c r="W50" s="258" t="n">
        <v>0</v>
      </c>
      <c r="X50" s="258" t="n">
        <v>0</v>
      </c>
      <c r="Y50" s="258" t="n">
        <v>0</v>
      </c>
      <c r="Z50" s="258" t="n">
        <v>0</v>
      </c>
      <c r="AA50" s="258" t="n">
        <v>0</v>
      </c>
      <c r="AB50" s="258" t="n">
        <v>0</v>
      </c>
      <c r="AC50" s="258" t="n">
        <v>0</v>
      </c>
      <c r="AD50" s="258" t="n">
        <v>0</v>
      </c>
      <c r="AE50" s="258" t="n">
        <v>0</v>
      </c>
      <c r="AF50" s="258" t="n">
        <v>0</v>
      </c>
      <c r="AG50" s="258" t="n">
        <v>0</v>
      </c>
      <c r="AH50" s="258" t="n">
        <v>0</v>
      </c>
      <c r="AI50" s="258" t="n">
        <v>0</v>
      </c>
      <c r="AJ50" s="258" t="n">
        <v>0</v>
      </c>
    </row>
    <row r="51">
      <c r="A51" t="n">
        <v>15</v>
      </c>
      <c r="B51" t="n">
        <v>1</v>
      </c>
      <c r="G51" t="inlineStr">
        <is>
          <t>moeda</t>
        </is>
      </c>
      <c r="H51" t="inlineStr">
        <is>
          <t>AC: Outros ativos - adiantamentos</t>
        </is>
      </c>
      <c r="J51" t="inlineStr">
        <is>
          <t>fonte</t>
        </is>
      </c>
      <c r="K51" s="258" t="n">
        <v>0</v>
      </c>
      <c r="L51" s="258" t="n">
        <v>0</v>
      </c>
      <c r="M51" s="258" t="n">
        <v>0</v>
      </c>
      <c r="N51" s="258" t="n">
        <v>17061</v>
      </c>
      <c r="O51" s="258" t="n">
        <v>0</v>
      </c>
      <c r="P51" s="258" t="n">
        <v>0</v>
      </c>
      <c r="Q51" s="258" t="n">
        <v>11118</v>
      </c>
      <c r="R51" s="258" t="n">
        <v>31276</v>
      </c>
      <c r="S51" s="258" t="n">
        <v>29850</v>
      </c>
      <c r="T51" s="258" t="n">
        <v>39457</v>
      </c>
      <c r="U51" s="258" t="n">
        <v>32520</v>
      </c>
      <c r="V51" s="258" t="n">
        <v>66610</v>
      </c>
      <c r="W51" s="258" t="n">
        <v>67208</v>
      </c>
      <c r="X51" s="258" t="n">
        <v>59864</v>
      </c>
      <c r="Y51" s="258" t="n">
        <v>72984</v>
      </c>
      <c r="Z51" s="258" t="n">
        <v>55392</v>
      </c>
      <c r="AA51" s="258" t="n">
        <v>61007</v>
      </c>
      <c r="AB51" s="258" t="n">
        <v>70199</v>
      </c>
      <c r="AC51" s="258" t="n">
        <v>69438</v>
      </c>
      <c r="AD51" s="258" t="n">
        <v>64710</v>
      </c>
      <c r="AE51" s="258" t="n">
        <v>71189</v>
      </c>
      <c r="AF51" s="258" t="n">
        <v>66307</v>
      </c>
      <c r="AG51" s="258" t="n">
        <v>68472</v>
      </c>
      <c r="AH51" s="258" t="n">
        <v>74018</v>
      </c>
      <c r="AI51" s="258" t="n">
        <v>81923</v>
      </c>
      <c r="AJ51" s="258" t="n">
        <v>201152</v>
      </c>
    </row>
    <row r="52">
      <c r="A52" t="n">
        <v>16</v>
      </c>
      <c r="B52" t="n">
        <v>1</v>
      </c>
      <c r="G52" t="inlineStr">
        <is>
          <t>moeda</t>
        </is>
      </c>
      <c r="H52" t="inlineStr">
        <is>
          <t>AC: Impostos e contribuições a recuperar</t>
        </is>
      </c>
      <c r="J52" t="inlineStr">
        <is>
          <t>fonte</t>
        </is>
      </c>
      <c r="K52" s="258" t="n">
        <v>9737</v>
      </c>
      <c r="L52" s="258" t="n">
        <v>9533</v>
      </c>
      <c r="M52" s="258" t="n">
        <v>11758</v>
      </c>
      <c r="N52" s="258" t="n">
        <v>0</v>
      </c>
      <c r="O52" s="258" t="n">
        <v>0</v>
      </c>
      <c r="P52" s="258" t="n">
        <v>0</v>
      </c>
      <c r="Q52" s="258" t="n">
        <v>0</v>
      </c>
      <c r="R52" s="258" t="n">
        <v>0</v>
      </c>
      <c r="S52" s="258" t="n">
        <v>0</v>
      </c>
      <c r="T52" s="258" t="n">
        <v>0</v>
      </c>
      <c r="U52" s="258" t="n">
        <v>0</v>
      </c>
      <c r="V52" s="258" t="n">
        <v>0</v>
      </c>
      <c r="W52" s="258" t="n">
        <v>0</v>
      </c>
      <c r="X52" s="258" t="n">
        <v>0</v>
      </c>
      <c r="Y52" s="258" t="n">
        <v>0</v>
      </c>
      <c r="Z52" s="258" t="n">
        <v>0</v>
      </c>
      <c r="AA52" s="258" t="n">
        <v>0</v>
      </c>
      <c r="AB52" s="258" t="n">
        <v>0</v>
      </c>
      <c r="AC52" s="258" t="n">
        <v>0</v>
      </c>
      <c r="AD52" s="258" t="n">
        <v>0</v>
      </c>
      <c r="AE52" s="258" t="n">
        <v>0</v>
      </c>
      <c r="AF52" s="258" t="n">
        <v>0</v>
      </c>
      <c r="AG52" s="258" t="n">
        <v>0</v>
      </c>
      <c r="AH52" s="258" t="n">
        <v>0</v>
      </c>
      <c r="AI52" s="258" t="n">
        <v>0</v>
      </c>
      <c r="AJ52" s="258" t="n">
        <v>230417</v>
      </c>
    </row>
    <row r="53">
      <c r="A53" t="n">
        <v>16</v>
      </c>
      <c r="B53" t="n">
        <v>1</v>
      </c>
      <c r="G53" t="inlineStr">
        <is>
          <t>moeda</t>
        </is>
      </c>
      <c r="H53" t="inlineStr">
        <is>
          <t>AC: Partes relacionadas</t>
        </is>
      </c>
      <c r="J53" t="inlineStr">
        <is>
          <t>fonte</t>
        </is>
      </c>
      <c r="K53" s="258" t="n">
        <v>7100</v>
      </c>
      <c r="L53" s="258" t="n">
        <v>0</v>
      </c>
      <c r="M53" s="258" t="n">
        <v>0</v>
      </c>
      <c r="N53" s="258" t="n">
        <v>0</v>
      </c>
      <c r="O53" s="258" t="n">
        <v>0</v>
      </c>
      <c r="P53" s="258" t="n">
        <v>0</v>
      </c>
      <c r="Q53" s="258" t="n">
        <v>0</v>
      </c>
      <c r="R53" s="258" t="n">
        <v>0</v>
      </c>
      <c r="S53" s="258" t="n">
        <v>0</v>
      </c>
      <c r="T53" s="258" t="n">
        <v>0</v>
      </c>
      <c r="U53" s="258" t="n">
        <v>0</v>
      </c>
      <c r="V53" s="258" t="n">
        <v>0</v>
      </c>
      <c r="W53" s="258" t="n">
        <v>0</v>
      </c>
      <c r="X53" s="258" t="n">
        <v>0</v>
      </c>
      <c r="Y53" s="258" t="n">
        <v>0</v>
      </c>
      <c r="Z53" s="258" t="n">
        <v>0</v>
      </c>
      <c r="AA53" s="258" t="n">
        <v>0</v>
      </c>
      <c r="AB53" s="258" t="n">
        <v>0</v>
      </c>
      <c r="AC53" s="258" t="n">
        <v>0</v>
      </c>
      <c r="AD53" s="258" t="n">
        <v>0</v>
      </c>
      <c r="AE53" s="258" t="n">
        <v>0</v>
      </c>
      <c r="AF53" s="258" t="n">
        <v>0</v>
      </c>
      <c r="AG53" s="258" t="n">
        <v>0</v>
      </c>
      <c r="AH53" s="258" t="n">
        <v>0</v>
      </c>
      <c r="AI53" s="258" t="n">
        <v>0</v>
      </c>
      <c r="AJ53" s="258" t="n">
        <v>0</v>
      </c>
    </row>
    <row r="54">
      <c r="A54" t="n">
        <v>16</v>
      </c>
      <c r="B54" t="n">
        <v>1</v>
      </c>
      <c r="G54" t="inlineStr">
        <is>
          <t>moeda</t>
        </is>
      </c>
      <c r="H54" t="inlineStr">
        <is>
          <t>AC: Tributos a Recuperar</t>
        </is>
      </c>
      <c r="J54" t="inlineStr">
        <is>
          <t>fonte</t>
        </is>
      </c>
      <c r="K54" s="258" t="n">
        <v>0</v>
      </c>
      <c r="L54" s="258" t="n">
        <v>0</v>
      </c>
      <c r="M54" s="258" t="n">
        <v>0</v>
      </c>
      <c r="N54" s="258" t="n">
        <v>9758</v>
      </c>
      <c r="O54" s="258" t="n">
        <v>0</v>
      </c>
      <c r="P54" s="258" t="n">
        <v>0</v>
      </c>
      <c r="Q54" s="258" t="n">
        <v>17947</v>
      </c>
      <c r="R54" s="258" t="n">
        <v>7136</v>
      </c>
      <c r="S54" s="258" t="n">
        <v>11111</v>
      </c>
      <c r="T54" s="258" t="n">
        <v>11562</v>
      </c>
      <c r="U54" s="258" t="n">
        <v>11519</v>
      </c>
      <c r="V54" s="258" t="n">
        <v>13907</v>
      </c>
      <c r="W54" s="258" t="n">
        <v>22276</v>
      </c>
      <c r="X54" s="258" t="n">
        <v>26090</v>
      </c>
      <c r="Y54" s="258" t="n">
        <v>33197</v>
      </c>
      <c r="Z54" s="258" t="n">
        <v>30042</v>
      </c>
      <c r="AA54" s="258" t="n">
        <v>44227</v>
      </c>
      <c r="AB54" s="258" t="n">
        <v>37837</v>
      </c>
      <c r="AC54" s="258" t="n">
        <v>0</v>
      </c>
      <c r="AD54" s="258" t="n">
        <v>50927</v>
      </c>
      <c r="AE54" s="258" t="n">
        <v>51368</v>
      </c>
      <c r="AF54" s="258" t="n">
        <v>58273</v>
      </c>
      <c r="AG54" s="258" t="n">
        <v>64471</v>
      </c>
      <c r="AH54" s="258" t="n">
        <v>67166</v>
      </c>
      <c r="AI54" s="258" t="n">
        <v>82627</v>
      </c>
      <c r="AJ54" s="258" t="n">
        <v>0</v>
      </c>
    </row>
    <row r="55">
      <c r="A55" t="n">
        <v>16</v>
      </c>
      <c r="B55" t="n">
        <v>1</v>
      </c>
      <c r="G55" t="inlineStr">
        <is>
          <t>moeda</t>
        </is>
      </c>
      <c r="H55" t="inlineStr">
        <is>
          <t>AC: Tributos Correntes a Recuperar</t>
        </is>
      </c>
      <c r="J55" t="inlineStr">
        <is>
          <t>fonte</t>
        </is>
      </c>
      <c r="K55" s="258" t="n">
        <v>0</v>
      </c>
      <c r="L55" s="258" t="n">
        <v>0</v>
      </c>
      <c r="M55" s="258" t="n">
        <v>0</v>
      </c>
      <c r="N55" s="258" t="n">
        <v>0</v>
      </c>
      <c r="O55" s="258" t="n">
        <v>11090</v>
      </c>
      <c r="P55" s="258" t="n">
        <v>13927</v>
      </c>
      <c r="Q55" s="258" t="n">
        <v>0</v>
      </c>
      <c r="R55" s="258" t="n">
        <v>0</v>
      </c>
      <c r="S55" s="258" t="n">
        <v>0</v>
      </c>
      <c r="T55" s="258" t="n">
        <v>0</v>
      </c>
      <c r="U55" s="258" t="n">
        <v>0</v>
      </c>
      <c r="V55" s="258" t="n">
        <v>0</v>
      </c>
      <c r="W55" s="258" t="n">
        <v>0</v>
      </c>
      <c r="X55" s="258" t="n">
        <v>0</v>
      </c>
      <c r="Y55" s="258" t="n">
        <v>0</v>
      </c>
      <c r="Z55" s="258" t="n">
        <v>0</v>
      </c>
      <c r="AA55" s="258" t="n">
        <v>0</v>
      </c>
      <c r="AB55" s="258" t="n">
        <v>0</v>
      </c>
      <c r="AC55" s="258" t="n">
        <v>40005</v>
      </c>
      <c r="AD55" s="258" t="n">
        <v>0</v>
      </c>
      <c r="AE55" s="258" t="n">
        <v>0</v>
      </c>
      <c r="AF55" s="258" t="n">
        <v>0</v>
      </c>
      <c r="AG55" s="258" t="n">
        <v>0</v>
      </c>
      <c r="AH55" s="258" t="n">
        <v>0</v>
      </c>
      <c r="AI55" s="258" t="n">
        <v>0</v>
      </c>
      <c r="AJ55" s="258" t="n">
        <v>0</v>
      </c>
    </row>
    <row r="56">
      <c r="A56" t="n">
        <v>16</v>
      </c>
      <c r="B56" t="n">
        <v>1</v>
      </c>
      <c r="G56" t="inlineStr">
        <is>
          <t>moeda</t>
        </is>
      </c>
      <c r="H56" t="inlineStr">
        <is>
          <t>AC: Partes Relacionadas AC</t>
        </is>
      </c>
      <c r="J56" t="inlineStr">
        <is>
          <t>fonte</t>
        </is>
      </c>
      <c r="K56" s="258" t="n">
        <v>0</v>
      </c>
      <c r="L56" s="258" t="n">
        <v>0</v>
      </c>
      <c r="M56" s="258" t="n">
        <v>0</v>
      </c>
      <c r="N56" s="258" t="n">
        <v>0</v>
      </c>
      <c r="O56" s="258" t="n">
        <v>0</v>
      </c>
      <c r="P56" s="258" t="n">
        <v>0</v>
      </c>
      <c r="Q56" s="258" t="n">
        <v>0</v>
      </c>
      <c r="R56" s="258" t="n">
        <v>0</v>
      </c>
      <c r="S56" s="258" t="n">
        <v>0</v>
      </c>
      <c r="T56" s="258" t="n">
        <v>0</v>
      </c>
      <c r="U56" s="258" t="n">
        <v>0</v>
      </c>
      <c r="V56" s="258" t="n">
        <v>0</v>
      </c>
      <c r="W56" s="258" t="n">
        <v>0</v>
      </c>
      <c r="X56" s="258" t="n">
        <v>0</v>
      </c>
      <c r="Y56" s="258" t="n">
        <v>0</v>
      </c>
      <c r="Z56" s="258" t="n">
        <v>0</v>
      </c>
      <c r="AA56" s="258" t="n">
        <v>0</v>
      </c>
      <c r="AB56" s="258" t="n">
        <v>0</v>
      </c>
      <c r="AC56" s="258" t="n">
        <v>0</v>
      </c>
      <c r="AD56" s="258" t="n">
        <v>0</v>
      </c>
      <c r="AE56" s="258" t="n">
        <v>0</v>
      </c>
      <c r="AF56" s="258" t="n">
        <v>0</v>
      </c>
      <c r="AG56" s="258" t="n">
        <v>0</v>
      </c>
      <c r="AH56" s="258" t="n">
        <v>0</v>
      </c>
      <c r="AI56" s="258" t="n">
        <v>0</v>
      </c>
      <c r="AJ56" s="258" t="n">
        <v>400</v>
      </c>
    </row>
    <row r="57">
      <c r="A57" t="n">
        <v>14</v>
      </c>
      <c r="B57" t="n">
        <v>1</v>
      </c>
      <c r="G57" t="inlineStr">
        <is>
          <t>moeda</t>
        </is>
      </c>
      <c r="H57" t="inlineStr">
        <is>
          <t>ANC: Imposto de Renda e Contribuição Social Diferidos</t>
        </is>
      </c>
      <c r="J57" t="inlineStr">
        <is>
          <t>fonte</t>
        </is>
      </c>
      <c r="K57" s="258" t="n">
        <v>112994</v>
      </c>
      <c r="L57" s="258" t="n">
        <v>111321</v>
      </c>
      <c r="M57" s="258" t="n">
        <v>111321</v>
      </c>
      <c r="N57" s="258" t="n">
        <v>82727</v>
      </c>
      <c r="O57" s="258" t="n">
        <v>77555</v>
      </c>
      <c r="P57" s="258" t="n">
        <v>77455</v>
      </c>
      <c r="Q57" s="258" t="n">
        <v>79154</v>
      </c>
      <c r="R57" s="258" t="n">
        <v>69563</v>
      </c>
      <c r="S57" s="258" t="n">
        <v>69511</v>
      </c>
      <c r="T57" s="258" t="n">
        <v>62675</v>
      </c>
      <c r="U57" s="258" t="n">
        <v>60560</v>
      </c>
      <c r="V57" s="258" t="n">
        <v>53090</v>
      </c>
      <c r="W57" s="258" t="n">
        <v>62972</v>
      </c>
      <c r="X57" s="258" t="n">
        <v>63540</v>
      </c>
      <c r="Y57" s="258" t="n">
        <v>64128</v>
      </c>
      <c r="Z57" s="258" t="n">
        <v>76287</v>
      </c>
      <c r="AA57" s="258" t="n">
        <v>76755</v>
      </c>
      <c r="AB57" s="258" t="n">
        <v>77275</v>
      </c>
      <c r="AC57" s="258" t="n">
        <v>78453</v>
      </c>
      <c r="AD57" s="258" t="n">
        <v>79973</v>
      </c>
      <c r="AE57" s="258" t="n">
        <v>80773</v>
      </c>
      <c r="AF57" s="258" t="n">
        <v>81277</v>
      </c>
      <c r="AG57" s="258" t="n">
        <v>81875</v>
      </c>
      <c r="AH57" s="258" t="n">
        <v>82325</v>
      </c>
      <c r="AI57" s="258" t="n">
        <v>84986</v>
      </c>
      <c r="AJ57" s="258" t="n">
        <v>85345</v>
      </c>
    </row>
    <row r="58">
      <c r="A58" t="n">
        <v>17</v>
      </c>
      <c r="B58" t="n">
        <v>1</v>
      </c>
      <c r="G58" t="inlineStr">
        <is>
          <t>moeda</t>
        </is>
      </c>
      <c r="H58" t="inlineStr">
        <is>
          <t>ANC: Participações em Controladas em Conjunto</t>
        </is>
      </c>
      <c r="J58" t="inlineStr">
        <is>
          <t>fonte</t>
        </is>
      </c>
      <c r="K58" s="258" t="n">
        <v>0</v>
      </c>
      <c r="L58" s="258" t="n">
        <v>0</v>
      </c>
      <c r="M58" s="258" t="n">
        <v>0</v>
      </c>
      <c r="N58" s="258" t="n">
        <v>0</v>
      </c>
      <c r="O58" s="258" t="n">
        <v>0</v>
      </c>
      <c r="P58" s="258" t="n">
        <v>0</v>
      </c>
      <c r="Q58" s="258" t="n">
        <v>1623</v>
      </c>
      <c r="R58" s="258" t="n">
        <v>4422</v>
      </c>
      <c r="S58" s="258" t="n">
        <v>15439</v>
      </c>
      <c r="T58" s="258" t="n">
        <v>0</v>
      </c>
      <c r="U58" s="258" t="n">
        <v>39860</v>
      </c>
      <c r="V58" s="258" t="n">
        <v>44084</v>
      </c>
      <c r="W58" s="258" t="n">
        <v>47169</v>
      </c>
      <c r="X58" s="258" t="n">
        <v>79300</v>
      </c>
      <c r="Y58" s="258" t="n">
        <v>77972</v>
      </c>
      <c r="Z58" s="258" t="n">
        <v>98957</v>
      </c>
      <c r="AA58" s="258" t="n">
        <v>102447</v>
      </c>
      <c r="AB58" s="258" t="n">
        <v>101856</v>
      </c>
      <c r="AC58" s="258" t="n">
        <v>106556</v>
      </c>
      <c r="AD58" s="258" t="n">
        <v>112801</v>
      </c>
      <c r="AE58" s="258" t="n">
        <v>116825</v>
      </c>
      <c r="AF58" s="258" t="n">
        <v>118672</v>
      </c>
      <c r="AG58" s="258" t="n">
        <v>119706</v>
      </c>
      <c r="AH58" s="258" t="n">
        <v>117461</v>
      </c>
      <c r="AI58" s="258" t="n">
        <v>117036</v>
      </c>
      <c r="AJ58" s="258" t="n">
        <v>142539</v>
      </c>
    </row>
    <row r="59">
      <c r="A59" t="n">
        <v>17</v>
      </c>
      <c r="B59" t="n">
        <v>1</v>
      </c>
      <c r="G59" t="inlineStr">
        <is>
          <t>moeda</t>
        </is>
      </c>
      <c r="H59" t="inlineStr">
        <is>
          <t>ANC: Outros Investimentos</t>
        </is>
      </c>
      <c r="J59" t="inlineStr">
        <is>
          <t>fonte</t>
        </is>
      </c>
      <c r="K59" s="258" t="n">
        <v>0</v>
      </c>
      <c r="L59" s="258" t="n">
        <v>0</v>
      </c>
      <c r="M59" s="258" t="n">
        <v>0</v>
      </c>
      <c r="N59" s="258" t="n">
        <v>0</v>
      </c>
      <c r="O59" s="258" t="n">
        <v>0</v>
      </c>
      <c r="P59" s="258" t="n">
        <v>0</v>
      </c>
      <c r="Q59" s="258" t="n">
        <v>0</v>
      </c>
      <c r="R59" s="258" t="n">
        <v>0</v>
      </c>
      <c r="S59" s="258" t="n">
        <v>0</v>
      </c>
      <c r="T59" s="258" t="n">
        <v>30919</v>
      </c>
      <c r="U59" s="258" t="n">
        <v>0</v>
      </c>
      <c r="V59" s="258" t="n">
        <v>0</v>
      </c>
      <c r="W59" s="258" t="n">
        <v>0</v>
      </c>
      <c r="X59" s="258" t="n">
        <v>0</v>
      </c>
      <c r="Y59" s="258" t="n">
        <v>0</v>
      </c>
      <c r="Z59" s="258" t="n">
        <v>0</v>
      </c>
      <c r="AA59" s="258" t="n">
        <v>0</v>
      </c>
      <c r="AB59" s="258" t="n">
        <v>0</v>
      </c>
      <c r="AC59" s="258" t="n">
        <v>0</v>
      </c>
      <c r="AD59" s="258" t="n">
        <v>0</v>
      </c>
      <c r="AE59" s="258" t="n">
        <v>0</v>
      </c>
      <c r="AF59" s="258" t="n">
        <v>0</v>
      </c>
      <c r="AG59" s="258" t="n">
        <v>0</v>
      </c>
      <c r="AH59" s="258" t="n">
        <v>0</v>
      </c>
      <c r="AI59" s="258" t="n">
        <v>0</v>
      </c>
      <c r="AJ59" s="258" t="n">
        <v>0</v>
      </c>
    </row>
    <row r="60">
      <c r="A60" t="n">
        <v>18</v>
      </c>
      <c r="B60" t="n">
        <v>1</v>
      </c>
      <c r="G60" t="inlineStr">
        <is>
          <t>moeda</t>
        </is>
      </c>
      <c r="H60" t="inlineStr">
        <is>
          <t>ANC: Imobilizado em Operação</t>
        </is>
      </c>
      <c r="J60" t="inlineStr">
        <is>
          <t>fonte</t>
        </is>
      </c>
      <c r="K60" s="258" t="n">
        <v>268175</v>
      </c>
      <c r="L60" s="258" t="n">
        <v>277176</v>
      </c>
      <c r="M60" s="258" t="n">
        <v>274941</v>
      </c>
      <c r="N60" s="258" t="n">
        <v>0</v>
      </c>
      <c r="O60" s="258" t="n">
        <v>284571</v>
      </c>
      <c r="P60" s="258" t="n">
        <v>295006</v>
      </c>
      <c r="Q60" s="258" t="n">
        <v>310592</v>
      </c>
      <c r="R60" s="258" t="n">
        <v>375789</v>
      </c>
      <c r="S60" s="258" t="n">
        <v>436313</v>
      </c>
      <c r="T60" s="258" t="n">
        <v>743024</v>
      </c>
      <c r="U60" s="258" t="n">
        <v>745099</v>
      </c>
      <c r="V60" s="258" t="n">
        <v>785079</v>
      </c>
      <c r="W60" s="258" t="n">
        <v>815367</v>
      </c>
      <c r="X60" s="258" t="n">
        <v>842620</v>
      </c>
      <c r="Y60" s="258" t="n">
        <v>904989</v>
      </c>
      <c r="Z60" s="258" t="n">
        <v>920767</v>
      </c>
      <c r="AA60" s="258" t="n">
        <v>963174</v>
      </c>
      <c r="AB60" s="258" t="n">
        <v>1080851</v>
      </c>
      <c r="AC60" s="258" t="n">
        <v>1363573</v>
      </c>
      <c r="AD60" s="258" t="n">
        <v>1556269</v>
      </c>
      <c r="AE60" s="258" t="n">
        <v>1642208</v>
      </c>
      <c r="AF60" s="258" t="n">
        <v>1828490</v>
      </c>
      <c r="AG60" s="258" t="n">
        <v>1937105</v>
      </c>
      <c r="AH60" s="258" t="n">
        <v>2070525</v>
      </c>
      <c r="AI60" s="258" t="n">
        <v>2218630</v>
      </c>
      <c r="AJ60" s="258" t="n">
        <v>3306709</v>
      </c>
    </row>
    <row r="61">
      <c r="A61" t="n">
        <v>18</v>
      </c>
      <c r="B61" t="n">
        <v>1</v>
      </c>
      <c r="G61" t="inlineStr">
        <is>
          <t>moeda</t>
        </is>
      </c>
      <c r="H61" t="inlineStr">
        <is>
          <t>ANC: Imobilizado</t>
        </is>
      </c>
      <c r="J61" t="inlineStr">
        <is>
          <t>fonte</t>
        </is>
      </c>
      <c r="K61" s="258" t="n">
        <v>0</v>
      </c>
      <c r="L61" s="258" t="n">
        <v>0</v>
      </c>
      <c r="M61" s="258" t="n">
        <v>0</v>
      </c>
      <c r="N61" s="258" t="n">
        <v>284195</v>
      </c>
      <c r="O61" s="258" t="n">
        <v>0</v>
      </c>
      <c r="P61" s="258" t="n">
        <v>0</v>
      </c>
      <c r="Q61" s="258" t="n">
        <v>0</v>
      </c>
      <c r="R61" s="258" t="n">
        <v>0</v>
      </c>
      <c r="S61" s="258" t="n">
        <v>0</v>
      </c>
      <c r="T61" s="258" t="n">
        <v>0</v>
      </c>
      <c r="U61" s="258" t="n">
        <v>0</v>
      </c>
      <c r="V61" s="258" t="n">
        <v>0</v>
      </c>
      <c r="W61" s="258" t="n">
        <v>0</v>
      </c>
      <c r="X61" s="258" t="n">
        <v>0</v>
      </c>
      <c r="Y61" s="258" t="n">
        <v>0</v>
      </c>
      <c r="Z61" s="258" t="n">
        <v>0</v>
      </c>
      <c r="AA61" s="258" t="n">
        <v>0</v>
      </c>
      <c r="AB61" s="258" t="n">
        <v>0</v>
      </c>
      <c r="AC61" s="258" t="n">
        <v>0</v>
      </c>
      <c r="AD61" s="258" t="n">
        <v>0</v>
      </c>
      <c r="AE61" s="258" t="n">
        <v>0</v>
      </c>
      <c r="AF61" s="258" t="n">
        <v>0</v>
      </c>
      <c r="AG61" s="258" t="n">
        <v>0</v>
      </c>
      <c r="AH61" s="258" t="n">
        <v>0</v>
      </c>
      <c r="AI61" s="258" t="n">
        <v>0</v>
      </c>
      <c r="AJ61" s="258" t="n">
        <v>0</v>
      </c>
    </row>
    <row r="62">
      <c r="A62" t="n">
        <v>19</v>
      </c>
      <c r="B62" t="n">
        <v>1</v>
      </c>
      <c r="G62" t="inlineStr">
        <is>
          <t>moeda</t>
        </is>
      </c>
      <c r="H62" t="inlineStr">
        <is>
          <t>ANC: Direito de Uso em Arrendamento</t>
        </is>
      </c>
      <c r="J62" t="inlineStr">
        <is>
          <t>fonte</t>
        </is>
      </c>
      <c r="K62" s="258" t="n">
        <v>11179</v>
      </c>
      <c r="L62" s="258" t="n">
        <v>9711</v>
      </c>
      <c r="M62" s="258" t="n">
        <v>8990</v>
      </c>
      <c r="N62" s="258" t="n">
        <v>0</v>
      </c>
      <c r="O62" s="258" t="n">
        <v>18009</v>
      </c>
      <c r="P62" s="258" t="n">
        <v>17861</v>
      </c>
      <c r="Q62" s="258" t="n">
        <v>0</v>
      </c>
      <c r="R62" s="258" t="n">
        <v>18810</v>
      </c>
      <c r="S62" s="258" t="n">
        <v>20349</v>
      </c>
      <c r="T62" s="258" t="n">
        <v>32183</v>
      </c>
      <c r="U62" s="258" t="n">
        <v>44721</v>
      </c>
      <c r="V62" s="258" t="n">
        <v>42658</v>
      </c>
      <c r="W62" s="258" t="n">
        <v>36672</v>
      </c>
      <c r="X62" s="258" t="n">
        <v>46848</v>
      </c>
      <c r="Y62" s="258" t="n">
        <v>38878</v>
      </c>
      <c r="Z62" s="258" t="n">
        <v>40670</v>
      </c>
      <c r="AA62" s="258" t="n">
        <v>41626</v>
      </c>
      <c r="AB62" s="258" t="n">
        <v>45004</v>
      </c>
      <c r="AC62" s="258" t="n">
        <v>96143</v>
      </c>
      <c r="AD62" s="258" t="n">
        <v>98549</v>
      </c>
      <c r="AE62" s="258" t="n">
        <v>100278</v>
      </c>
      <c r="AF62" s="258" t="n">
        <v>80784</v>
      </c>
      <c r="AG62" s="258" t="n">
        <v>73022</v>
      </c>
      <c r="AH62" s="258" t="n">
        <v>98014</v>
      </c>
      <c r="AI62" s="258" t="n">
        <v>87373</v>
      </c>
      <c r="AJ62" s="258" t="n">
        <v>92908</v>
      </c>
    </row>
    <row r="63">
      <c r="A63" t="n">
        <v>19</v>
      </c>
      <c r="B63" t="n">
        <v>1</v>
      </c>
      <c r="G63" t="inlineStr">
        <is>
          <t>moeda</t>
        </is>
      </c>
      <c r="H63" t="inlineStr">
        <is>
          <t>ANC: Direito de uso</t>
        </is>
      </c>
      <c r="J63" t="inlineStr">
        <is>
          <t>fonte</t>
        </is>
      </c>
      <c r="K63" s="258" t="n">
        <v>0</v>
      </c>
      <c r="L63" s="258" t="n">
        <v>0</v>
      </c>
      <c r="M63" s="258" t="n">
        <v>0</v>
      </c>
      <c r="N63" s="258" t="n">
        <v>11201</v>
      </c>
      <c r="O63" s="258" t="n">
        <v>0</v>
      </c>
      <c r="P63" s="258" t="n">
        <v>0</v>
      </c>
      <c r="Q63" s="258" t="n">
        <v>22216</v>
      </c>
      <c r="R63" s="258" t="n">
        <v>0</v>
      </c>
      <c r="S63" s="258" t="n">
        <v>0</v>
      </c>
      <c r="T63" s="258" t="n">
        <v>0</v>
      </c>
      <c r="U63" s="258" t="n">
        <v>0</v>
      </c>
      <c r="V63" s="258" t="n">
        <v>0</v>
      </c>
      <c r="W63" s="258" t="n">
        <v>0</v>
      </c>
      <c r="X63" s="258" t="n">
        <v>0</v>
      </c>
      <c r="Y63" s="258" t="n">
        <v>0</v>
      </c>
      <c r="Z63" s="258" t="n">
        <v>0</v>
      </c>
      <c r="AA63" s="258" t="n">
        <v>0</v>
      </c>
      <c r="AB63" s="258" t="n">
        <v>0</v>
      </c>
      <c r="AC63" s="258" t="n">
        <v>0</v>
      </c>
      <c r="AD63" s="258" t="n">
        <v>0</v>
      </c>
      <c r="AE63" s="258" t="n">
        <v>0</v>
      </c>
      <c r="AF63" s="258" t="n">
        <v>0</v>
      </c>
      <c r="AG63" s="258" t="n">
        <v>0</v>
      </c>
      <c r="AH63" s="258" t="n">
        <v>0</v>
      </c>
      <c r="AI63" s="258" t="n">
        <v>0</v>
      </c>
      <c r="AJ63" s="258" t="n">
        <v>0</v>
      </c>
    </row>
    <row r="64">
      <c r="A64" t="n">
        <v>21</v>
      </c>
      <c r="B64" t="n">
        <v>1</v>
      </c>
      <c r="G64" t="inlineStr">
        <is>
          <t>moeda</t>
        </is>
      </c>
      <c r="H64" t="inlineStr">
        <is>
          <t>ANC: Intangível</t>
        </is>
      </c>
      <c r="J64" t="inlineStr">
        <is>
          <t>fonte</t>
        </is>
      </c>
      <c r="K64" s="258" t="n">
        <v>102926</v>
      </c>
      <c r="L64" s="258" t="n">
        <v>99183</v>
      </c>
      <c r="M64" s="258" t="n">
        <v>97549</v>
      </c>
      <c r="N64" s="258" t="n">
        <v>96374</v>
      </c>
      <c r="O64" s="258" t="n">
        <v>95247</v>
      </c>
      <c r="P64" s="258" t="n">
        <v>94179</v>
      </c>
      <c r="Q64" s="258" t="n">
        <v>0</v>
      </c>
      <c r="R64" s="258" t="n">
        <v>90841</v>
      </c>
      <c r="S64" s="258" t="n">
        <v>152468</v>
      </c>
      <c r="T64" s="258" t="n">
        <v>0</v>
      </c>
      <c r="U64" s="258" t="n">
        <v>383428</v>
      </c>
      <c r="V64" s="258" t="n">
        <v>525522</v>
      </c>
      <c r="W64" s="258" t="n">
        <v>512881</v>
      </c>
      <c r="X64" s="258" t="n">
        <v>0</v>
      </c>
      <c r="Y64" s="258" t="n">
        <v>505445</v>
      </c>
      <c r="Z64" s="258" t="n">
        <v>465870</v>
      </c>
      <c r="AA64" s="258" t="n">
        <v>459368</v>
      </c>
      <c r="AB64" s="258" t="n">
        <v>452934</v>
      </c>
      <c r="AC64" s="258" t="n">
        <v>481238</v>
      </c>
      <c r="AD64" s="258" t="n">
        <v>450867</v>
      </c>
      <c r="AE64" s="258" t="n">
        <v>453354</v>
      </c>
      <c r="AF64" s="258" t="n">
        <v>448098</v>
      </c>
      <c r="AG64" s="258" t="n">
        <v>442417</v>
      </c>
      <c r="AH64" s="258" t="n">
        <v>490998</v>
      </c>
      <c r="AI64" s="258" t="n">
        <v>485782</v>
      </c>
      <c r="AJ64" s="258" t="n">
        <v>3830000</v>
      </c>
    </row>
    <row r="65">
      <c r="A65" t="n">
        <v>21</v>
      </c>
      <c r="B65" t="n">
        <v>1</v>
      </c>
      <c r="G65" t="inlineStr">
        <is>
          <t>moeda</t>
        </is>
      </c>
      <c r="H65" t="inlineStr">
        <is>
          <t>ANC: Intangíveis</t>
        </is>
      </c>
      <c r="J65" t="inlineStr">
        <is>
          <t>fonte</t>
        </is>
      </c>
      <c r="K65" s="258" t="n">
        <v>0</v>
      </c>
      <c r="L65" s="258" t="n">
        <v>0</v>
      </c>
      <c r="M65" s="258" t="n">
        <v>0</v>
      </c>
      <c r="N65" s="258" t="n">
        <v>0</v>
      </c>
      <c r="O65" s="258" t="n">
        <v>0</v>
      </c>
      <c r="P65" s="258" t="n">
        <v>0</v>
      </c>
      <c r="Q65" s="258" t="n">
        <v>93080</v>
      </c>
      <c r="R65" s="258" t="n">
        <v>0</v>
      </c>
      <c r="S65" s="258" t="n">
        <v>0</v>
      </c>
      <c r="T65" s="258" t="n">
        <v>388625</v>
      </c>
      <c r="U65" s="258" t="n">
        <v>0</v>
      </c>
      <c r="V65" s="258" t="n">
        <v>0</v>
      </c>
      <c r="W65" s="258" t="n">
        <v>0</v>
      </c>
      <c r="X65" s="258" t="n">
        <v>511514</v>
      </c>
      <c r="Y65" s="258" t="n">
        <v>0</v>
      </c>
      <c r="Z65" s="258" t="n">
        <v>0</v>
      </c>
      <c r="AA65" s="258" t="n">
        <v>0</v>
      </c>
      <c r="AB65" s="258" t="n">
        <v>0</v>
      </c>
      <c r="AC65" s="258" t="n">
        <v>0</v>
      </c>
      <c r="AD65" s="258" t="n">
        <v>0</v>
      </c>
      <c r="AE65" s="258" t="n">
        <v>0</v>
      </c>
      <c r="AF65" s="258" t="n">
        <v>0</v>
      </c>
      <c r="AG65" s="258" t="n">
        <v>0</v>
      </c>
      <c r="AH65" s="258" t="n">
        <v>0</v>
      </c>
      <c r="AI65" s="258" t="n">
        <v>0</v>
      </c>
      <c r="AJ65" s="258" t="n">
        <v>0</v>
      </c>
    </row>
    <row r="66">
      <c r="A66" t="n">
        <v>22</v>
      </c>
      <c r="B66" t="n">
        <v>1</v>
      </c>
      <c r="G66" t="inlineStr">
        <is>
          <t>moeda</t>
        </is>
      </c>
      <c r="H66" t="inlineStr">
        <is>
          <t>ANC: Contas a Receber</t>
        </is>
      </c>
      <c r="J66" t="inlineStr">
        <is>
          <t>fonte</t>
        </is>
      </c>
      <c r="K66" s="258" t="n">
        <v>13032</v>
      </c>
      <c r="L66" s="258" t="n">
        <v>11811</v>
      </c>
      <c r="M66" s="258" t="n">
        <v>6014</v>
      </c>
      <c r="N66" s="258" t="n">
        <v>0</v>
      </c>
      <c r="O66" s="258" t="n">
        <v>0</v>
      </c>
      <c r="P66" s="258" t="n">
        <v>0</v>
      </c>
      <c r="Q66" s="258" t="n">
        <v>0</v>
      </c>
      <c r="R66" s="258" t="n">
        <v>0</v>
      </c>
      <c r="S66" s="258" t="n">
        <v>0</v>
      </c>
      <c r="T66" s="258" t="n">
        <v>0</v>
      </c>
      <c r="U66" s="258" t="n">
        <v>0</v>
      </c>
      <c r="V66" s="258" t="n">
        <v>0</v>
      </c>
      <c r="W66" s="258" t="n">
        <v>0</v>
      </c>
      <c r="X66" s="258" t="n">
        <v>0</v>
      </c>
      <c r="Y66" s="258" t="n">
        <v>0</v>
      </c>
      <c r="Z66" s="258" t="n">
        <v>0</v>
      </c>
      <c r="AA66" s="258" t="n">
        <v>0</v>
      </c>
      <c r="AB66" s="258" t="n">
        <v>0</v>
      </c>
      <c r="AC66" s="258" t="n">
        <v>0</v>
      </c>
      <c r="AD66" s="258" t="n">
        <v>0</v>
      </c>
      <c r="AE66" s="258" t="n">
        <v>0</v>
      </c>
      <c r="AF66" s="258" t="n">
        <v>0</v>
      </c>
      <c r="AG66" s="258" t="n">
        <v>0</v>
      </c>
      <c r="AH66" s="258" t="n">
        <v>0</v>
      </c>
      <c r="AI66" s="258" t="n">
        <v>0</v>
      </c>
      <c r="AJ66" s="258" t="n">
        <v>0</v>
      </c>
    </row>
    <row r="67">
      <c r="A67" t="n">
        <v>22</v>
      </c>
      <c r="B67" t="n">
        <v>1</v>
      </c>
      <c r="G67" t="inlineStr">
        <is>
          <t>moeda</t>
        </is>
      </c>
      <c r="H67" t="inlineStr">
        <is>
          <t>ANC: Créditos com Partes Relacionadas</t>
        </is>
      </c>
      <c r="J67" t="inlineStr">
        <is>
          <t>fonte</t>
        </is>
      </c>
      <c r="K67" s="258" t="n">
        <v>3173</v>
      </c>
      <c r="L67" s="258" t="n">
        <v>3868</v>
      </c>
      <c r="M67" s="258" t="n">
        <v>5486</v>
      </c>
      <c r="N67" s="258" t="n">
        <v>0</v>
      </c>
      <c r="O67" s="258" t="n">
        <v>0</v>
      </c>
      <c r="P67" s="258" t="n">
        <v>0</v>
      </c>
      <c r="Q67" s="258" t="n">
        <v>0</v>
      </c>
      <c r="R67" s="258" t="n">
        <v>0</v>
      </c>
      <c r="S67" s="258" t="n">
        <v>0</v>
      </c>
      <c r="T67" s="258" t="n">
        <v>0</v>
      </c>
      <c r="U67" s="258" t="n">
        <v>0</v>
      </c>
      <c r="V67" s="258" t="n">
        <v>0</v>
      </c>
      <c r="W67" s="258" t="n">
        <v>0</v>
      </c>
      <c r="X67" s="258" t="n">
        <v>0</v>
      </c>
      <c r="Y67" s="258" t="n">
        <v>0</v>
      </c>
      <c r="Z67" s="258" t="n">
        <v>0</v>
      </c>
      <c r="AA67" s="258" t="n">
        <v>0</v>
      </c>
      <c r="AB67" s="258" t="n">
        <v>0</v>
      </c>
      <c r="AC67" s="258" t="n">
        <v>0</v>
      </c>
      <c r="AD67" s="258" t="n">
        <v>0</v>
      </c>
      <c r="AE67" s="258" t="n">
        <v>0</v>
      </c>
      <c r="AF67" s="258" t="n">
        <v>0</v>
      </c>
      <c r="AG67" s="258" t="n">
        <v>0</v>
      </c>
      <c r="AH67" s="258" t="n">
        <v>0</v>
      </c>
      <c r="AI67" s="258" t="n">
        <v>0</v>
      </c>
      <c r="AJ67" s="258" t="n">
        <v>0</v>
      </c>
    </row>
    <row r="68">
      <c r="A68" t="n">
        <v>22</v>
      </c>
      <c r="B68" t="n">
        <v>1</v>
      </c>
      <c r="G68" t="inlineStr">
        <is>
          <t>moeda</t>
        </is>
      </c>
      <c r="H68" t="inlineStr">
        <is>
          <t>ANC: Depósitos judiciais e cauções</t>
        </is>
      </c>
      <c r="J68" t="inlineStr">
        <is>
          <t>fonte</t>
        </is>
      </c>
      <c r="K68" s="258" t="n">
        <v>7871</v>
      </c>
      <c r="L68" s="258" t="n">
        <v>8383</v>
      </c>
      <c r="M68" s="258" t="n">
        <v>8447</v>
      </c>
      <c r="N68" s="258" t="n">
        <v>8498</v>
      </c>
      <c r="O68" s="258" t="n">
        <v>0</v>
      </c>
      <c r="P68" s="258" t="n">
        <v>0</v>
      </c>
      <c r="Q68" s="258" t="n">
        <v>14901</v>
      </c>
      <c r="R68" s="258" t="n">
        <v>6579</v>
      </c>
      <c r="S68" s="258" t="n">
        <v>6579</v>
      </c>
      <c r="T68" s="258" t="n">
        <v>9064</v>
      </c>
      <c r="U68" s="258" t="n">
        <v>9054</v>
      </c>
      <c r="V68" s="258" t="n">
        <v>7162</v>
      </c>
      <c r="W68" s="258" t="n">
        <v>7166</v>
      </c>
      <c r="X68" s="258" t="n">
        <v>7166</v>
      </c>
      <c r="Y68" s="258" t="n">
        <v>7166</v>
      </c>
      <c r="Z68" s="258" t="n">
        <v>10938</v>
      </c>
      <c r="AA68" s="258" t="n">
        <v>5549</v>
      </c>
      <c r="AB68" s="258" t="n">
        <v>5568</v>
      </c>
      <c r="AC68" s="258" t="n">
        <v>6018</v>
      </c>
      <c r="AD68" s="258" t="n">
        <v>6066</v>
      </c>
      <c r="AE68" s="258" t="n">
        <v>6066</v>
      </c>
      <c r="AF68" s="258" t="n">
        <v>6066</v>
      </c>
      <c r="AG68" s="258" t="n">
        <v>6066</v>
      </c>
      <c r="AH68" s="258" t="n">
        <v>6066</v>
      </c>
      <c r="AI68" s="258" t="n">
        <v>6066</v>
      </c>
      <c r="AJ68" s="258" t="n">
        <v>95809</v>
      </c>
    </row>
    <row r="69">
      <c r="A69" t="n">
        <v>22</v>
      </c>
      <c r="B69" t="n">
        <v>1</v>
      </c>
      <c r="G69" t="inlineStr">
        <is>
          <t>moeda</t>
        </is>
      </c>
      <c r="H69" t="inlineStr">
        <is>
          <t>ANC: Adiantamentos</t>
        </is>
      </c>
      <c r="J69" t="inlineStr">
        <is>
          <t>fonte</t>
        </is>
      </c>
      <c r="K69" s="258" t="n">
        <v>5960</v>
      </c>
      <c r="L69" s="258" t="n">
        <v>7056</v>
      </c>
      <c r="M69" s="258" t="n">
        <v>7215</v>
      </c>
      <c r="N69" s="258" t="n">
        <v>0</v>
      </c>
      <c r="O69" s="258" t="n">
        <v>5992</v>
      </c>
      <c r="P69" s="258" t="n">
        <v>6327</v>
      </c>
      <c r="Q69" s="258" t="n">
        <v>0</v>
      </c>
      <c r="R69" s="258" t="n">
        <v>0</v>
      </c>
      <c r="S69" s="258" t="n">
        <v>0</v>
      </c>
      <c r="T69" s="258" t="n">
        <v>0</v>
      </c>
      <c r="U69" s="258" t="n">
        <v>0</v>
      </c>
      <c r="V69" s="258" t="n">
        <v>0</v>
      </c>
      <c r="W69" s="258" t="n">
        <v>0</v>
      </c>
      <c r="X69" s="258" t="n">
        <v>0</v>
      </c>
      <c r="Y69" s="258" t="n">
        <v>0</v>
      </c>
      <c r="Z69" s="258" t="n">
        <v>0</v>
      </c>
      <c r="AA69" s="258" t="n">
        <v>0</v>
      </c>
      <c r="AB69" s="258" t="n">
        <v>0</v>
      </c>
      <c r="AC69" s="258" t="n">
        <v>0</v>
      </c>
      <c r="AD69" s="258" t="n">
        <v>0</v>
      </c>
      <c r="AE69" s="258" t="n">
        <v>0</v>
      </c>
      <c r="AF69" s="258" t="n">
        <v>0</v>
      </c>
      <c r="AG69" s="258" t="n">
        <v>0</v>
      </c>
      <c r="AH69" s="258" t="n">
        <v>0</v>
      </c>
      <c r="AI69" s="258" t="n">
        <v>0</v>
      </c>
      <c r="AJ69" s="258" t="n">
        <v>0</v>
      </c>
    </row>
    <row r="70">
      <c r="A70" t="n">
        <v>22</v>
      </c>
      <c r="B70" t="n">
        <v>1</v>
      </c>
      <c r="G70" t="inlineStr">
        <is>
          <t>moeda</t>
        </is>
      </c>
      <c r="H70" t="inlineStr">
        <is>
          <t>ANC: Clientes</t>
        </is>
      </c>
      <c r="J70" t="inlineStr">
        <is>
          <t>fonte</t>
        </is>
      </c>
      <c r="K70" s="258" t="n">
        <v>0</v>
      </c>
      <c r="L70" s="258" t="n">
        <v>0</v>
      </c>
      <c r="M70" s="258" t="n">
        <v>0</v>
      </c>
      <c r="N70" s="258" t="n">
        <v>9730</v>
      </c>
      <c r="O70" s="258" t="n">
        <v>9900</v>
      </c>
      <c r="P70" s="258" t="n">
        <v>9900</v>
      </c>
      <c r="Q70" s="258" t="n">
        <v>14660</v>
      </c>
      <c r="R70" s="258" t="n">
        <v>14660</v>
      </c>
      <c r="S70" s="258" t="n">
        <v>14660</v>
      </c>
      <c r="T70" s="258" t="n">
        <v>14660</v>
      </c>
      <c r="U70" s="258" t="n">
        <v>14660</v>
      </c>
      <c r="V70" s="258" t="n">
        <v>14660</v>
      </c>
      <c r="W70" s="258" t="n">
        <v>10760</v>
      </c>
      <c r="X70" s="258" t="n">
        <v>13317</v>
      </c>
      <c r="Y70" s="258" t="n">
        <v>14963</v>
      </c>
      <c r="Z70" s="258" t="n">
        <v>48572</v>
      </c>
      <c r="AA70" s="258" t="n">
        <v>51279</v>
      </c>
      <c r="AB70" s="258" t="n">
        <v>56329</v>
      </c>
      <c r="AC70" s="258" t="n">
        <v>63308</v>
      </c>
      <c r="AD70" s="258" t="n">
        <v>59975</v>
      </c>
      <c r="AE70" s="258" t="n">
        <v>52084</v>
      </c>
      <c r="AF70" s="258" t="n">
        <v>56352</v>
      </c>
      <c r="AG70" s="258" t="n">
        <v>56776</v>
      </c>
      <c r="AH70" s="258" t="n">
        <v>37686</v>
      </c>
      <c r="AI70" s="258" t="n">
        <v>39453</v>
      </c>
      <c r="AJ70" s="258" t="n">
        <v>714701</v>
      </c>
    </row>
    <row r="71">
      <c r="A71" t="n">
        <v>22</v>
      </c>
      <c r="B71" t="n">
        <v>1</v>
      </c>
      <c r="G71" t="inlineStr">
        <is>
          <t>moeda</t>
        </is>
      </c>
      <c r="H71" t="inlineStr">
        <is>
          <t>ANC: Outras Contas a Receber</t>
        </is>
      </c>
      <c r="J71" t="inlineStr">
        <is>
          <t>fonte</t>
        </is>
      </c>
      <c r="K71" s="258" t="n">
        <v>0</v>
      </c>
      <c r="L71" s="258" t="n">
        <v>0</v>
      </c>
      <c r="M71" s="258" t="n">
        <v>0</v>
      </c>
      <c r="N71" s="258" t="n">
        <v>8135</v>
      </c>
      <c r="O71" s="258" t="n">
        <v>0</v>
      </c>
      <c r="P71" s="258" t="n">
        <v>0</v>
      </c>
      <c r="Q71" s="258" t="n">
        <v>9565</v>
      </c>
      <c r="R71" s="258" t="n">
        <v>9041</v>
      </c>
      <c r="S71" s="258" t="n">
        <v>10712</v>
      </c>
      <c r="T71" s="258" t="n">
        <v>0</v>
      </c>
      <c r="U71" s="258" t="n">
        <v>0</v>
      </c>
      <c r="V71" s="258" t="n">
        <v>0</v>
      </c>
      <c r="W71" s="258" t="n">
        <v>0</v>
      </c>
      <c r="X71" s="258" t="n">
        <v>0</v>
      </c>
      <c r="Y71" s="258" t="n">
        <v>0</v>
      </c>
      <c r="Z71" s="258" t="n">
        <v>0</v>
      </c>
      <c r="AA71" s="258" t="n">
        <v>0</v>
      </c>
      <c r="AB71" s="258" t="n">
        <v>0</v>
      </c>
      <c r="AC71" s="258" t="n">
        <v>0</v>
      </c>
      <c r="AD71" s="258" t="n">
        <v>0</v>
      </c>
      <c r="AE71" s="258" t="n">
        <v>0</v>
      </c>
      <c r="AF71" s="258" t="n">
        <v>0</v>
      </c>
      <c r="AG71" s="258" t="n">
        <v>0</v>
      </c>
      <c r="AH71" s="258" t="n">
        <v>0</v>
      </c>
      <c r="AI71" s="258" t="n">
        <v>0</v>
      </c>
      <c r="AJ71" s="258" t="n">
        <v>0</v>
      </c>
    </row>
    <row r="72">
      <c r="A72" t="n">
        <v>22</v>
      </c>
      <c r="B72" t="n">
        <v>1</v>
      </c>
      <c r="G72" t="inlineStr">
        <is>
          <t>moeda</t>
        </is>
      </c>
      <c r="H72" t="inlineStr">
        <is>
          <t>ANC: Créditos com Outras Partes Relacionadas</t>
        </is>
      </c>
      <c r="J72" t="inlineStr">
        <is>
          <t>fonte</t>
        </is>
      </c>
      <c r="K72" s="258" t="n">
        <v>0</v>
      </c>
      <c r="L72" s="258" t="n">
        <v>0</v>
      </c>
      <c r="M72" s="258" t="n">
        <v>0</v>
      </c>
      <c r="N72" s="258" t="n">
        <v>8485</v>
      </c>
      <c r="O72" s="258" t="n">
        <v>0</v>
      </c>
      <c r="P72" s="258" t="n">
        <v>0</v>
      </c>
      <c r="Q72" s="258" t="n">
        <v>1314</v>
      </c>
      <c r="R72" s="258" t="n">
        <v>7015</v>
      </c>
      <c r="S72" s="258" t="n">
        <v>3771</v>
      </c>
      <c r="T72" s="258" t="n">
        <v>4399</v>
      </c>
      <c r="U72" s="258" t="n">
        <v>8969</v>
      </c>
      <c r="V72" s="258" t="n">
        <v>7866</v>
      </c>
      <c r="W72" s="258" t="n">
        <v>8710</v>
      </c>
      <c r="X72" s="258" t="n">
        <v>9944</v>
      </c>
      <c r="Y72" s="258" t="n">
        <v>11508</v>
      </c>
      <c r="Z72" s="258" t="n">
        <v>3006</v>
      </c>
      <c r="AA72" s="258" t="n">
        <v>4778</v>
      </c>
      <c r="AB72" s="258" t="n">
        <v>5192</v>
      </c>
      <c r="AC72" s="258" t="n">
        <v>7817</v>
      </c>
      <c r="AD72" s="258" t="n">
        <v>9478</v>
      </c>
      <c r="AE72" s="258" t="n">
        <v>11183</v>
      </c>
      <c r="AF72" s="258" t="n">
        <v>15961</v>
      </c>
      <c r="AG72" s="258" t="n">
        <v>18115</v>
      </c>
      <c r="AH72" s="258" t="n">
        <v>39506</v>
      </c>
      <c r="AI72" s="258" t="n">
        <v>45999</v>
      </c>
      <c r="AJ72" s="258" t="n">
        <v>54026</v>
      </c>
    </row>
    <row r="73">
      <c r="A73" t="n">
        <v>22</v>
      </c>
      <c r="B73" t="n">
        <v>1</v>
      </c>
      <c r="G73" t="inlineStr">
        <is>
          <t>moeda</t>
        </is>
      </c>
      <c r="H73" t="inlineStr">
        <is>
          <t>ANC: Outros ativos - Adiantamentos</t>
        </is>
      </c>
      <c r="J73" t="inlineStr">
        <is>
          <t>fonte</t>
        </is>
      </c>
      <c r="K73" s="258" t="n">
        <v>0</v>
      </c>
      <c r="L73" s="258" t="n">
        <v>0</v>
      </c>
      <c r="M73" s="258" t="n">
        <v>0</v>
      </c>
      <c r="N73" s="258" t="n">
        <v>5999</v>
      </c>
      <c r="O73" s="258" t="n">
        <v>0</v>
      </c>
      <c r="P73" s="258" t="n">
        <v>0</v>
      </c>
      <c r="Q73" s="258" t="n">
        <v>6547</v>
      </c>
      <c r="R73" s="258" t="n">
        <v>6194</v>
      </c>
      <c r="S73" s="258" t="n">
        <v>6545</v>
      </c>
      <c r="T73" s="258" t="n">
        <v>6291</v>
      </c>
      <c r="U73" s="258" t="n">
        <v>8444</v>
      </c>
      <c r="V73" s="258" t="n">
        <v>12964</v>
      </c>
      <c r="W73" s="258" t="n">
        <v>17660</v>
      </c>
      <c r="X73" s="258" t="n">
        <v>5180</v>
      </c>
      <c r="Y73" s="258" t="n">
        <v>8027</v>
      </c>
      <c r="Z73" s="258" t="n">
        <v>4641</v>
      </c>
      <c r="AA73" s="258" t="n">
        <v>6072</v>
      </c>
      <c r="AB73" s="258" t="n">
        <v>6094</v>
      </c>
      <c r="AC73" s="258" t="n">
        <v>6162</v>
      </c>
      <c r="AD73" s="258" t="n">
        <v>6070</v>
      </c>
      <c r="AE73" s="258" t="n">
        <v>6070</v>
      </c>
      <c r="AF73" s="258" t="n">
        <v>6070</v>
      </c>
      <c r="AG73" s="258" t="n">
        <v>6070</v>
      </c>
      <c r="AH73" s="258" t="n">
        <v>6117</v>
      </c>
      <c r="AI73" s="258" t="n">
        <v>6117</v>
      </c>
      <c r="AJ73" s="258" t="n">
        <v>168546</v>
      </c>
    </row>
    <row r="74">
      <c r="A74" t="n">
        <v>22</v>
      </c>
      <c r="B74" t="n">
        <v>1</v>
      </c>
      <c r="G74" t="inlineStr">
        <is>
          <t>moeda</t>
        </is>
      </c>
      <c r="H74" t="inlineStr">
        <is>
          <t>ANC: Depósitos Judiciais</t>
        </is>
      </c>
      <c r="J74" t="inlineStr">
        <is>
          <t>fonte</t>
        </is>
      </c>
      <c r="K74" s="258" t="n">
        <v>0</v>
      </c>
      <c r="L74" s="258" t="n">
        <v>0</v>
      </c>
      <c r="M74" s="258" t="n">
        <v>0</v>
      </c>
      <c r="N74" s="258" t="n">
        <v>0</v>
      </c>
      <c r="O74" s="258" t="n">
        <v>8566</v>
      </c>
      <c r="P74" s="258" t="n">
        <v>12152</v>
      </c>
      <c r="Q74" s="258" t="n">
        <v>0</v>
      </c>
      <c r="R74" s="258" t="n">
        <v>0</v>
      </c>
      <c r="S74" s="258" t="n">
        <v>0</v>
      </c>
      <c r="T74" s="258" t="n">
        <v>0</v>
      </c>
      <c r="U74" s="258" t="n">
        <v>0</v>
      </c>
      <c r="V74" s="258" t="n">
        <v>0</v>
      </c>
      <c r="W74" s="258" t="n">
        <v>0</v>
      </c>
      <c r="X74" s="258" t="n">
        <v>0</v>
      </c>
      <c r="Y74" s="258" t="n">
        <v>0</v>
      </c>
      <c r="Z74" s="258" t="n">
        <v>0</v>
      </c>
      <c r="AA74" s="258" t="n">
        <v>0</v>
      </c>
      <c r="AB74" s="258" t="n">
        <v>0</v>
      </c>
      <c r="AC74" s="258" t="n">
        <v>0</v>
      </c>
      <c r="AD74" s="258" t="n">
        <v>0</v>
      </c>
      <c r="AE74" s="258" t="n">
        <v>0</v>
      </c>
      <c r="AF74" s="258" t="n">
        <v>0</v>
      </c>
      <c r="AG74" s="258" t="n">
        <v>0</v>
      </c>
      <c r="AH74" s="258" t="n">
        <v>0</v>
      </c>
      <c r="AI74" s="258" t="n">
        <v>0</v>
      </c>
      <c r="AJ74" s="258" t="n">
        <v>0</v>
      </c>
    </row>
    <row r="75">
      <c r="A75" t="n">
        <v>22</v>
      </c>
      <c r="B75" t="n">
        <v>1</v>
      </c>
      <c r="G75" t="inlineStr">
        <is>
          <t>moeda</t>
        </is>
      </c>
      <c r="H75" t="inlineStr">
        <is>
          <t>ANC: Aplicações Financeiras Avaliadas a Valor Justo</t>
        </is>
      </c>
      <c r="J75" t="inlineStr">
        <is>
          <t>fonte</t>
        </is>
      </c>
      <c r="K75" s="258" t="n">
        <v>0</v>
      </c>
      <c r="L75" s="258" t="n">
        <v>0</v>
      </c>
      <c r="M75" s="258" t="n">
        <v>0</v>
      </c>
      <c r="N75" s="258" t="n">
        <v>0</v>
      </c>
      <c r="O75" s="258" t="n">
        <v>8391</v>
      </c>
      <c r="P75" s="258" t="n">
        <v>12339</v>
      </c>
      <c r="Q75" s="258" t="n">
        <v>0</v>
      </c>
      <c r="R75" s="258" t="n">
        <v>0</v>
      </c>
      <c r="S75" s="258" t="n">
        <v>0</v>
      </c>
      <c r="T75" s="258" t="n">
        <v>0</v>
      </c>
      <c r="U75" s="258" t="n">
        <v>0</v>
      </c>
      <c r="V75" s="258" t="n">
        <v>0</v>
      </c>
      <c r="W75" s="258" t="n">
        <v>0</v>
      </c>
      <c r="X75" s="258" t="n">
        <v>0</v>
      </c>
      <c r="Y75" s="258" t="n">
        <v>0</v>
      </c>
      <c r="Z75" s="258" t="n">
        <v>0</v>
      </c>
      <c r="AA75" s="258" t="n">
        <v>0</v>
      </c>
      <c r="AB75" s="258" t="n">
        <v>0</v>
      </c>
      <c r="AC75" s="258" t="n">
        <v>0</v>
      </c>
      <c r="AD75" s="258" t="n">
        <v>0</v>
      </c>
      <c r="AE75" s="258" t="n">
        <v>0</v>
      </c>
      <c r="AF75" s="258" t="n">
        <v>0</v>
      </c>
      <c r="AG75" s="258" t="n">
        <v>0</v>
      </c>
      <c r="AH75" s="258" t="n">
        <v>0</v>
      </c>
      <c r="AI75" s="258" t="n">
        <v>0</v>
      </c>
      <c r="AJ75" s="258" t="n">
        <v>0</v>
      </c>
    </row>
    <row r="76">
      <c r="A76" t="n">
        <v>22</v>
      </c>
      <c r="B76" t="n">
        <v>1</v>
      </c>
      <c r="G76" t="inlineStr">
        <is>
          <t>moeda</t>
        </is>
      </c>
      <c r="H76" t="inlineStr">
        <is>
          <t>ANC: Créditos com Controladas</t>
        </is>
      </c>
      <c r="J76" t="inlineStr">
        <is>
          <t>fonte</t>
        </is>
      </c>
      <c r="K76" s="258" t="n">
        <v>0</v>
      </c>
      <c r="L76" s="258" t="n">
        <v>0</v>
      </c>
      <c r="M76" s="258" t="n">
        <v>0</v>
      </c>
      <c r="N76" s="258" t="n">
        <v>0</v>
      </c>
      <c r="O76" s="258" t="n">
        <v>10570</v>
      </c>
      <c r="P76" s="258" t="n">
        <v>0</v>
      </c>
      <c r="Q76" s="258" t="n">
        <v>0</v>
      </c>
      <c r="R76" s="258" t="n">
        <v>0</v>
      </c>
      <c r="S76" s="258" t="n">
        <v>0</v>
      </c>
      <c r="T76" s="258" t="n">
        <v>0</v>
      </c>
      <c r="U76" s="258" t="n">
        <v>0</v>
      </c>
      <c r="V76" s="258" t="n">
        <v>0</v>
      </c>
      <c r="W76" s="258" t="n">
        <v>0</v>
      </c>
      <c r="X76" s="258" t="n">
        <v>0</v>
      </c>
      <c r="Y76" s="258" t="n">
        <v>0</v>
      </c>
      <c r="Z76" s="258" t="n">
        <v>0</v>
      </c>
      <c r="AA76" s="258" t="n">
        <v>0</v>
      </c>
      <c r="AB76" s="258" t="n">
        <v>0</v>
      </c>
      <c r="AC76" s="258" t="n">
        <v>0</v>
      </c>
      <c r="AD76" s="258" t="n">
        <v>0</v>
      </c>
      <c r="AE76" s="258" t="n">
        <v>0</v>
      </c>
      <c r="AF76" s="258" t="n">
        <v>0</v>
      </c>
      <c r="AG76" s="258" t="n">
        <v>0</v>
      </c>
      <c r="AH76" s="258" t="n">
        <v>0</v>
      </c>
      <c r="AI76" s="258" t="n">
        <v>0</v>
      </c>
      <c r="AJ76" s="258" t="n">
        <v>0</v>
      </c>
    </row>
    <row r="77">
      <c r="A77" t="n">
        <v>22</v>
      </c>
      <c r="B77" t="n">
        <v>1</v>
      </c>
      <c r="G77" t="inlineStr">
        <is>
          <t>moeda</t>
        </is>
      </c>
      <c r="H77" t="inlineStr">
        <is>
          <t>ANC: Títulos e Valores Mobiliarios</t>
        </is>
      </c>
      <c r="J77" t="inlineStr">
        <is>
          <t>fonte</t>
        </is>
      </c>
      <c r="K77" s="258" t="n">
        <v>0</v>
      </c>
      <c r="L77" s="258" t="n">
        <v>0</v>
      </c>
      <c r="M77" s="258" t="n">
        <v>0</v>
      </c>
      <c r="N77" s="258" t="n">
        <v>0</v>
      </c>
      <c r="O77" s="258" t="n">
        <v>0</v>
      </c>
      <c r="P77" s="258" t="n">
        <v>0</v>
      </c>
      <c r="Q77" s="258" t="n">
        <v>0</v>
      </c>
      <c r="R77" s="258" t="n">
        <v>0</v>
      </c>
      <c r="S77" s="258" t="n">
        <v>0</v>
      </c>
      <c r="T77" s="258" t="n">
        <v>0</v>
      </c>
      <c r="U77" s="258" t="n">
        <v>0</v>
      </c>
      <c r="V77" s="258" t="n">
        <v>0</v>
      </c>
      <c r="W77" s="258" t="n">
        <v>0</v>
      </c>
      <c r="X77" s="258" t="n">
        <v>0</v>
      </c>
      <c r="Y77" s="258" t="n">
        <v>0</v>
      </c>
      <c r="Z77" s="258" t="n">
        <v>0</v>
      </c>
      <c r="AA77" s="258" t="n">
        <v>0</v>
      </c>
      <c r="AB77" s="258" t="n">
        <v>0</v>
      </c>
      <c r="AC77" s="258" t="n">
        <v>0</v>
      </c>
      <c r="AD77" s="258" t="n">
        <v>42402</v>
      </c>
      <c r="AE77" s="258" t="n">
        <v>35270</v>
      </c>
      <c r="AF77" s="258" t="n">
        <v>36792</v>
      </c>
      <c r="AG77" s="258" t="n">
        <v>29717</v>
      </c>
      <c r="AH77" s="258" t="n">
        <v>0</v>
      </c>
      <c r="AI77" s="258" t="n">
        <v>9184</v>
      </c>
      <c r="AJ77" s="258" t="n">
        <v>0</v>
      </c>
    </row>
    <row r="78">
      <c r="A78" t="n">
        <v>22</v>
      </c>
      <c r="B78" t="n">
        <v>1</v>
      </c>
      <c r="G78" t="inlineStr">
        <is>
          <t>moeda</t>
        </is>
      </c>
      <c r="H78" t="inlineStr">
        <is>
          <t>ANC: Títulos e Valores Mobiliários não circulante</t>
        </is>
      </c>
      <c r="J78" t="inlineStr">
        <is>
          <t>fonte</t>
        </is>
      </c>
      <c r="K78" s="258" t="n">
        <v>0</v>
      </c>
      <c r="L78" s="258" t="n">
        <v>0</v>
      </c>
      <c r="M78" s="258" t="n">
        <v>0</v>
      </c>
      <c r="N78" s="258" t="n">
        <v>0</v>
      </c>
      <c r="O78" s="258" t="n">
        <v>0</v>
      </c>
      <c r="P78" s="258" t="n">
        <v>0</v>
      </c>
      <c r="Q78" s="258" t="n">
        <v>0</v>
      </c>
      <c r="R78" s="258" t="n">
        <v>0</v>
      </c>
      <c r="S78" s="258" t="n">
        <v>0</v>
      </c>
      <c r="T78" s="258" t="n">
        <v>0</v>
      </c>
      <c r="U78" s="258" t="n">
        <v>0</v>
      </c>
      <c r="V78" s="258" t="n">
        <v>0</v>
      </c>
      <c r="W78" s="258" t="n">
        <v>0</v>
      </c>
      <c r="X78" s="258" t="n">
        <v>0</v>
      </c>
      <c r="Y78" s="258" t="n">
        <v>0</v>
      </c>
      <c r="Z78" s="258" t="n">
        <v>0</v>
      </c>
      <c r="AA78" s="258" t="n">
        <v>0</v>
      </c>
      <c r="AB78" s="258" t="n">
        <v>0</v>
      </c>
      <c r="AC78" s="258" t="n">
        <v>0</v>
      </c>
      <c r="AD78" s="258" t="n">
        <v>0</v>
      </c>
      <c r="AE78" s="258" t="n">
        <v>0</v>
      </c>
      <c r="AF78" s="258" t="n">
        <v>0</v>
      </c>
      <c r="AG78" s="258" t="n">
        <v>0</v>
      </c>
      <c r="AH78" s="258" t="n">
        <v>0</v>
      </c>
      <c r="AI78" s="258" t="n">
        <v>0</v>
      </c>
      <c r="AJ78" s="258" t="n">
        <v>3010</v>
      </c>
    </row>
    <row r="79">
      <c r="A79" t="n">
        <v>22</v>
      </c>
      <c r="B79" t="n">
        <v>1</v>
      </c>
      <c r="G79" t="inlineStr">
        <is>
          <t>moeda</t>
        </is>
      </c>
      <c r="H79" t="inlineStr">
        <is>
          <t>ANC: Debêntures não circulante</t>
        </is>
      </c>
      <c r="J79" t="inlineStr">
        <is>
          <t>fonte</t>
        </is>
      </c>
      <c r="K79" s="258" t="n">
        <v>0</v>
      </c>
      <c r="L79" s="258" t="n">
        <v>0</v>
      </c>
      <c r="M79" s="258" t="n">
        <v>0</v>
      </c>
      <c r="N79" s="258" t="n">
        <v>0</v>
      </c>
      <c r="O79" s="258" t="n">
        <v>0</v>
      </c>
      <c r="P79" s="258" t="n">
        <v>0</v>
      </c>
      <c r="Q79" s="258" t="n">
        <v>0</v>
      </c>
      <c r="R79" s="258" t="n">
        <v>0</v>
      </c>
      <c r="S79" s="258" t="n">
        <v>0</v>
      </c>
      <c r="T79" s="258" t="n">
        <v>0</v>
      </c>
      <c r="U79" s="258" t="n">
        <v>0</v>
      </c>
      <c r="V79" s="258" t="n">
        <v>0</v>
      </c>
      <c r="W79" s="258" t="n">
        <v>0</v>
      </c>
      <c r="X79" s="258" t="n">
        <v>0</v>
      </c>
      <c r="Y79" s="258" t="n">
        <v>0</v>
      </c>
      <c r="Z79" s="258" t="n">
        <v>0</v>
      </c>
      <c r="AA79" s="258" t="n">
        <v>0</v>
      </c>
      <c r="AB79" s="258" t="n">
        <v>0</v>
      </c>
      <c r="AC79" s="258" t="n">
        <v>0</v>
      </c>
      <c r="AD79" s="258" t="n">
        <v>0</v>
      </c>
      <c r="AE79" s="258" t="n">
        <v>0</v>
      </c>
      <c r="AF79" s="258" t="n">
        <v>0</v>
      </c>
      <c r="AG79" s="258" t="n">
        <v>0</v>
      </c>
      <c r="AH79" s="258" t="n">
        <v>0</v>
      </c>
      <c r="AI79" s="258" t="n">
        <v>0</v>
      </c>
      <c r="AJ79" s="258" t="n">
        <v>33000</v>
      </c>
    </row>
    <row r="80">
      <c r="A80" t="n">
        <v>23</v>
      </c>
      <c r="B80" t="n">
        <v>1</v>
      </c>
      <c r="G80" t="inlineStr">
        <is>
          <t>moeda</t>
        </is>
      </c>
      <c r="H80" t="inlineStr">
        <is>
          <t>PC: Fornecedores</t>
        </is>
      </c>
      <c r="J80" t="inlineStr">
        <is>
          <t>fonte</t>
        </is>
      </c>
      <c r="K80" s="258" t="n">
        <v>50307</v>
      </c>
      <c r="L80" s="258" t="n">
        <v>52542</v>
      </c>
      <c r="M80" s="258" t="n">
        <v>48461</v>
      </c>
      <c r="N80" s="258" t="n">
        <v>43166</v>
      </c>
      <c r="O80" s="258" t="n">
        <v>0</v>
      </c>
      <c r="P80" s="258" t="n">
        <v>0</v>
      </c>
      <c r="Q80" s="258" t="n">
        <v>0</v>
      </c>
      <c r="R80" s="258" t="n">
        <v>43810</v>
      </c>
      <c r="S80" s="258" t="n">
        <v>62081</v>
      </c>
      <c r="T80" s="258" t="n">
        <v>72522</v>
      </c>
      <c r="U80" s="258" t="n">
        <v>71976</v>
      </c>
      <c r="V80" s="258" t="n">
        <v>65821</v>
      </c>
      <c r="W80" s="258" t="n">
        <v>64489</v>
      </c>
      <c r="X80" s="258" t="n">
        <v>50980</v>
      </c>
      <c r="Y80" s="258" t="n">
        <v>51059</v>
      </c>
      <c r="Z80" s="258" t="n">
        <v>59533</v>
      </c>
      <c r="AA80" s="258" t="n">
        <v>52949</v>
      </c>
      <c r="AB80" s="258" t="n">
        <v>66999</v>
      </c>
      <c r="AC80" s="258" t="n">
        <v>68396</v>
      </c>
      <c r="AD80" s="258" t="n">
        <v>106723</v>
      </c>
      <c r="AE80" s="258" t="n">
        <v>111860</v>
      </c>
      <c r="AF80" s="258" t="n">
        <v>178175</v>
      </c>
      <c r="AG80" s="258" t="n">
        <v>138488</v>
      </c>
      <c r="AH80" s="258" t="n">
        <v>145788</v>
      </c>
      <c r="AI80" s="258" t="n">
        <v>167965</v>
      </c>
      <c r="AJ80" s="258" t="n">
        <v>365033</v>
      </c>
    </row>
    <row r="81">
      <c r="A81" t="n">
        <v>23</v>
      </c>
      <c r="B81" t="n">
        <v>1</v>
      </c>
      <c r="G81" t="inlineStr">
        <is>
          <t>moeda</t>
        </is>
      </c>
      <c r="H81" t="inlineStr">
        <is>
          <t>PC: Fornecedores Nacionais</t>
        </is>
      </c>
      <c r="J81" t="inlineStr">
        <is>
          <t>fonte</t>
        </is>
      </c>
      <c r="K81" s="258" t="n">
        <v>0</v>
      </c>
      <c r="L81" s="258" t="n">
        <v>0</v>
      </c>
      <c r="M81" s="258" t="n">
        <v>0</v>
      </c>
      <c r="N81" s="258" t="n">
        <v>0</v>
      </c>
      <c r="O81" s="258" t="n">
        <v>42128</v>
      </c>
      <c r="P81" s="258" t="n">
        <v>32440</v>
      </c>
      <c r="Q81" s="258" t="n">
        <v>25454</v>
      </c>
      <c r="R81" s="258" t="n">
        <v>0</v>
      </c>
      <c r="S81" s="258" t="n">
        <v>0</v>
      </c>
      <c r="T81" s="258" t="n">
        <v>0</v>
      </c>
      <c r="U81" s="258" t="n">
        <v>0</v>
      </c>
      <c r="V81" s="258" t="n">
        <v>0</v>
      </c>
      <c r="W81" s="258" t="n">
        <v>0</v>
      </c>
      <c r="X81" s="258" t="n">
        <v>0</v>
      </c>
      <c r="Y81" s="258" t="n">
        <v>0</v>
      </c>
      <c r="Z81" s="258" t="n">
        <v>0</v>
      </c>
      <c r="AA81" s="258" t="n">
        <v>0</v>
      </c>
      <c r="AB81" s="258" t="n">
        <v>0</v>
      </c>
      <c r="AC81" s="258" t="n">
        <v>0</v>
      </c>
      <c r="AD81" s="258" t="n">
        <v>0</v>
      </c>
      <c r="AE81" s="258" t="n">
        <v>0</v>
      </c>
      <c r="AF81" s="258" t="n">
        <v>0</v>
      </c>
      <c r="AG81" s="258" t="n">
        <v>0</v>
      </c>
      <c r="AH81" s="258" t="n">
        <v>0</v>
      </c>
      <c r="AI81" s="258" t="n">
        <v>0</v>
      </c>
      <c r="AJ81" s="258" t="n">
        <v>0</v>
      </c>
    </row>
    <row r="82">
      <c r="A82" t="n">
        <v>24</v>
      </c>
      <c r="B82" t="n">
        <v>1</v>
      </c>
      <c r="G82" t="inlineStr">
        <is>
          <t>moeda</t>
        </is>
      </c>
      <c r="H82" t="inlineStr">
        <is>
          <t>PC: Salários e encargos sociais</t>
        </is>
      </c>
      <c r="J82" t="inlineStr">
        <is>
          <t>fonte</t>
        </is>
      </c>
      <c r="K82" s="258" t="n">
        <v>10583</v>
      </c>
      <c r="L82" s="258" t="n">
        <v>13885</v>
      </c>
      <c r="M82" s="258" t="n">
        <v>14112</v>
      </c>
      <c r="N82" s="258" t="n">
        <v>9789</v>
      </c>
      <c r="O82" s="258" t="n">
        <v>0</v>
      </c>
      <c r="P82" s="258" t="n">
        <v>0</v>
      </c>
      <c r="Q82" s="258" t="n">
        <v>16333</v>
      </c>
      <c r="R82" s="258" t="n">
        <v>12710</v>
      </c>
      <c r="S82" s="258" t="n">
        <v>15611</v>
      </c>
      <c r="T82" s="258" t="n">
        <v>27959</v>
      </c>
      <c r="U82" s="258" t="n">
        <v>32059</v>
      </c>
      <c r="V82" s="258" t="n">
        <v>24849</v>
      </c>
      <c r="W82" s="258" t="n">
        <v>28625</v>
      </c>
      <c r="X82" s="258" t="n">
        <v>31021</v>
      </c>
      <c r="Y82" s="258" t="n">
        <v>34131</v>
      </c>
      <c r="Z82" s="258" t="n">
        <v>25248</v>
      </c>
      <c r="AA82" s="258" t="n">
        <v>28991</v>
      </c>
      <c r="AB82" s="258" t="n">
        <v>34013</v>
      </c>
      <c r="AC82" s="258" t="n">
        <v>36196</v>
      </c>
      <c r="AD82" s="258" t="n">
        <v>32093</v>
      </c>
      <c r="AE82" s="258" t="n">
        <v>33649</v>
      </c>
      <c r="AF82" s="258" t="n">
        <v>38644</v>
      </c>
      <c r="AG82" s="258" t="n">
        <v>40727</v>
      </c>
      <c r="AH82" s="258" t="n">
        <v>31894</v>
      </c>
      <c r="AI82" s="258" t="n">
        <v>35720</v>
      </c>
      <c r="AJ82" s="258" t="n">
        <v>219628</v>
      </c>
    </row>
    <row r="83">
      <c r="A83" t="n">
        <v>24</v>
      </c>
      <c r="B83" t="n">
        <v>1</v>
      </c>
      <c r="G83" t="inlineStr">
        <is>
          <t>moeda</t>
        </is>
      </c>
      <c r="H83" t="inlineStr">
        <is>
          <t>PC: Obrigações Trabalhistas</t>
        </is>
      </c>
      <c r="J83" t="inlineStr">
        <is>
          <t>fonte</t>
        </is>
      </c>
      <c r="K83" s="258" t="n">
        <v>0</v>
      </c>
      <c r="L83" s="258" t="n">
        <v>0</v>
      </c>
      <c r="M83" s="258" t="n">
        <v>0</v>
      </c>
      <c r="N83" s="258" t="n">
        <v>0</v>
      </c>
      <c r="O83" s="258" t="n">
        <v>11753</v>
      </c>
      <c r="P83" s="258" t="n">
        <v>13857</v>
      </c>
      <c r="Q83" s="258" t="n">
        <v>0</v>
      </c>
      <c r="R83" s="258" t="n">
        <v>0</v>
      </c>
      <c r="S83" s="258" t="n">
        <v>0</v>
      </c>
      <c r="T83" s="258" t="n">
        <v>0</v>
      </c>
      <c r="U83" s="258" t="n">
        <v>0</v>
      </c>
      <c r="V83" s="258" t="n">
        <v>0</v>
      </c>
      <c r="W83" s="258" t="n">
        <v>0</v>
      </c>
      <c r="X83" s="258" t="n">
        <v>0</v>
      </c>
      <c r="Y83" s="258" t="n">
        <v>0</v>
      </c>
      <c r="Z83" s="258" t="n">
        <v>0</v>
      </c>
      <c r="AA83" s="258" t="n">
        <v>0</v>
      </c>
      <c r="AB83" s="258" t="n">
        <v>0</v>
      </c>
      <c r="AC83" s="258" t="n">
        <v>0</v>
      </c>
      <c r="AD83" s="258" t="n">
        <v>0</v>
      </c>
      <c r="AE83" s="258" t="n">
        <v>0</v>
      </c>
      <c r="AF83" s="258" t="n">
        <v>0</v>
      </c>
      <c r="AG83" s="258" t="n">
        <v>0</v>
      </c>
      <c r="AH83" s="258" t="n">
        <v>0</v>
      </c>
      <c r="AI83" s="258" t="n">
        <v>0</v>
      </c>
      <c r="AJ83" s="258" t="n">
        <v>0</v>
      </c>
    </row>
    <row r="84">
      <c r="A84" t="n">
        <v>25</v>
      </c>
      <c r="B84" t="n">
        <v>1</v>
      </c>
      <c r="G84" t="inlineStr">
        <is>
          <t>moeda</t>
        </is>
      </c>
      <c r="H84" t="inlineStr">
        <is>
          <t>PC: Impostos e contribuições a recolher</t>
        </is>
      </c>
      <c r="J84" t="inlineStr">
        <is>
          <t>fonte</t>
        </is>
      </c>
      <c r="K84" s="258" t="n">
        <v>25408</v>
      </c>
      <c r="L84" s="258" t="n">
        <v>31995</v>
      </c>
      <c r="M84" s="258" t="n">
        <v>41170</v>
      </c>
      <c r="N84" s="258" t="n">
        <v>39696</v>
      </c>
      <c r="O84" s="258" t="n">
        <v>0</v>
      </c>
      <c r="P84" s="258" t="n">
        <v>0</v>
      </c>
      <c r="Q84" s="258" t="n">
        <v>34849</v>
      </c>
      <c r="R84" s="258" t="n">
        <v>31313</v>
      </c>
      <c r="S84" s="258" t="n">
        <v>25455</v>
      </c>
      <c r="T84" s="258" t="n">
        <v>40740</v>
      </c>
      <c r="U84" s="258" t="n">
        <v>47049</v>
      </c>
      <c r="V84" s="258" t="n">
        <v>48673</v>
      </c>
      <c r="W84" s="258" t="n">
        <v>45485</v>
      </c>
      <c r="X84" s="258" t="n">
        <v>36996</v>
      </c>
      <c r="Y84" s="258" t="n">
        <v>37271</v>
      </c>
      <c r="Z84" s="258" t="n">
        <v>37120</v>
      </c>
      <c r="AA84" s="258" t="n">
        <v>45700</v>
      </c>
      <c r="AB84" s="258" t="n">
        <v>37032</v>
      </c>
      <c r="AC84" s="258" t="n">
        <v>35475</v>
      </c>
      <c r="AD84" s="258" t="n">
        <v>42905</v>
      </c>
      <c r="AE84" s="258" t="n">
        <v>39662</v>
      </c>
      <c r="AF84" s="258" t="n">
        <v>38030</v>
      </c>
      <c r="AG84" s="258" t="n">
        <v>40835</v>
      </c>
      <c r="AH84" s="258" t="n">
        <v>45024</v>
      </c>
      <c r="AI84" s="258" t="n">
        <v>56942</v>
      </c>
      <c r="AJ84" s="258" t="n">
        <v>86844</v>
      </c>
    </row>
    <row r="85">
      <c r="A85" t="n">
        <v>25</v>
      </c>
      <c r="B85" t="n">
        <v>1</v>
      </c>
      <c r="G85" t="inlineStr">
        <is>
          <t>moeda</t>
        </is>
      </c>
      <c r="H85" t="inlineStr">
        <is>
          <t>PC: Parcelamento de impostos</t>
        </is>
      </c>
      <c r="J85" t="inlineStr">
        <is>
          <t>fonte</t>
        </is>
      </c>
      <c r="K85" s="258" t="n">
        <v>4219</v>
      </c>
      <c r="L85" s="258" t="n">
        <v>6382</v>
      </c>
      <c r="M85" s="258" t="n">
        <v>4186</v>
      </c>
      <c r="N85" s="258" t="n">
        <v>6707</v>
      </c>
      <c r="O85" s="258" t="n">
        <v>5712</v>
      </c>
      <c r="P85" s="258" t="n">
        <v>6359</v>
      </c>
      <c r="Q85" s="258" t="n">
        <v>6509</v>
      </c>
      <c r="R85" s="258" t="n">
        <v>7561</v>
      </c>
      <c r="S85" s="258" t="n">
        <v>7155</v>
      </c>
      <c r="T85" s="258" t="n">
        <v>5655</v>
      </c>
      <c r="U85" s="258" t="n">
        <v>5820</v>
      </c>
      <c r="V85" s="258" t="n">
        <v>17904</v>
      </c>
      <c r="W85" s="258" t="n">
        <v>18131</v>
      </c>
      <c r="X85" s="258" t="n">
        <v>18717</v>
      </c>
      <c r="Y85" s="258" t="n">
        <v>18686</v>
      </c>
      <c r="Z85" s="258" t="n">
        <v>19011</v>
      </c>
      <c r="AA85" s="258" t="n">
        <v>18913</v>
      </c>
      <c r="AB85" s="258" t="n">
        <v>21669</v>
      </c>
      <c r="AC85" s="258" t="n">
        <v>20453</v>
      </c>
      <c r="AD85" s="258" t="n">
        <v>24544</v>
      </c>
      <c r="AE85" s="258" t="n">
        <v>21482</v>
      </c>
      <c r="AF85" s="258" t="n">
        <v>21347</v>
      </c>
      <c r="AG85" s="258" t="n">
        <v>21136</v>
      </c>
      <c r="AH85" s="258" t="n">
        <v>12673</v>
      </c>
      <c r="AI85" s="258" t="n">
        <v>12522</v>
      </c>
      <c r="AJ85" s="258" t="n">
        <v>22900</v>
      </c>
    </row>
    <row r="86">
      <c r="A86" t="n">
        <v>25</v>
      </c>
      <c r="B86" t="n">
        <v>1</v>
      </c>
      <c r="G86" t="inlineStr">
        <is>
          <t>moeda</t>
        </is>
      </c>
      <c r="H86" t="inlineStr">
        <is>
          <t>PC: Imposto de Renda e Contribuição Social a Pagar</t>
        </is>
      </c>
      <c r="J86" t="inlineStr">
        <is>
          <t>fonte</t>
        </is>
      </c>
      <c r="K86" s="258" t="n">
        <v>0</v>
      </c>
      <c r="L86" s="258" t="n">
        <v>0</v>
      </c>
      <c r="M86" s="258" t="n">
        <v>0</v>
      </c>
      <c r="N86" s="258" t="n">
        <v>0</v>
      </c>
      <c r="O86" s="258" t="n">
        <v>36785</v>
      </c>
      <c r="P86" s="258" t="n">
        <v>36041</v>
      </c>
      <c r="Q86" s="258" t="n">
        <v>0</v>
      </c>
      <c r="R86" s="258" t="n">
        <v>0</v>
      </c>
      <c r="S86" s="258" t="n">
        <v>0</v>
      </c>
      <c r="T86" s="258" t="n">
        <v>0</v>
      </c>
      <c r="U86" s="258" t="n">
        <v>0</v>
      </c>
      <c r="V86" s="258" t="n">
        <v>0</v>
      </c>
      <c r="W86" s="258" t="n">
        <v>0</v>
      </c>
      <c r="X86" s="258" t="n">
        <v>0</v>
      </c>
      <c r="Y86" s="258" t="n">
        <v>0</v>
      </c>
      <c r="Z86" s="258" t="n">
        <v>0</v>
      </c>
      <c r="AA86" s="258" t="n">
        <v>0</v>
      </c>
      <c r="AB86" s="258" t="n">
        <v>0</v>
      </c>
      <c r="AC86" s="258" t="n">
        <v>0</v>
      </c>
      <c r="AD86" s="258" t="n">
        <v>0</v>
      </c>
      <c r="AE86" s="258" t="n">
        <v>0</v>
      </c>
      <c r="AF86" s="258" t="n">
        <v>0</v>
      </c>
      <c r="AG86" s="258" t="n">
        <v>0</v>
      </c>
      <c r="AH86" s="258" t="n">
        <v>0</v>
      </c>
      <c r="AI86" s="258" t="n">
        <v>0</v>
      </c>
      <c r="AJ86" s="258" t="n">
        <v>0</v>
      </c>
    </row>
    <row r="87">
      <c r="A87" t="n">
        <v>26</v>
      </c>
      <c r="B87" t="n">
        <v>1</v>
      </c>
      <c r="G87" t="inlineStr">
        <is>
          <t>moeda</t>
        </is>
      </c>
      <c r="H87" t="inlineStr">
        <is>
          <t>PC: Outorgas a pagar</t>
        </is>
      </c>
      <c r="J87" t="inlineStr">
        <is>
          <t>fonte</t>
        </is>
      </c>
      <c r="K87" s="258" t="n">
        <v>5757</v>
      </c>
      <c r="L87" s="258" t="n">
        <v>7325</v>
      </c>
      <c r="M87" s="258" t="n">
        <v>7627</v>
      </c>
      <c r="N87" s="258" t="n">
        <v>7412</v>
      </c>
      <c r="O87" s="258" t="n">
        <v>9105</v>
      </c>
      <c r="P87" s="258" t="n">
        <v>11076</v>
      </c>
      <c r="Q87" s="258" t="n">
        <v>10631</v>
      </c>
      <c r="R87" s="258" t="n">
        <v>12641</v>
      </c>
      <c r="S87" s="258" t="n">
        <v>12812</v>
      </c>
      <c r="T87" s="258" t="n">
        <v>13479</v>
      </c>
      <c r="U87" s="258" t="n">
        <v>12026</v>
      </c>
      <c r="V87" s="258" t="n">
        <v>11676</v>
      </c>
      <c r="W87" s="258" t="n">
        <v>12620</v>
      </c>
      <c r="X87" s="258" t="n">
        <v>12041</v>
      </c>
      <c r="Y87" s="258" t="n">
        <v>12208</v>
      </c>
      <c r="Z87" s="258" t="n">
        <v>14818</v>
      </c>
      <c r="AA87" s="258" t="n">
        <v>14621</v>
      </c>
      <c r="AB87" s="258" t="n">
        <v>12099</v>
      </c>
      <c r="AC87" s="258" t="n">
        <v>12521</v>
      </c>
      <c r="AD87" s="258" t="n">
        <v>12502</v>
      </c>
      <c r="AE87" s="258" t="n">
        <v>13982</v>
      </c>
      <c r="AF87" s="258" t="n">
        <v>14852</v>
      </c>
      <c r="AG87" s="258" t="n">
        <v>15056</v>
      </c>
      <c r="AH87" s="258" t="n">
        <v>15963</v>
      </c>
      <c r="AI87" s="258" t="n">
        <v>15222</v>
      </c>
      <c r="AJ87" s="258" t="n">
        <v>18079</v>
      </c>
    </row>
    <row r="88">
      <c r="A88" t="n">
        <v>26</v>
      </c>
      <c r="B88" t="n">
        <v>1</v>
      </c>
      <c r="G88" t="inlineStr">
        <is>
          <t>moeda</t>
        </is>
      </c>
      <c r="H88" t="inlineStr">
        <is>
          <t>PC: Adiantamento de clientes</t>
        </is>
      </c>
      <c r="J88" t="inlineStr">
        <is>
          <t>fonte</t>
        </is>
      </c>
      <c r="K88" s="258" t="n">
        <v>17031</v>
      </c>
      <c r="L88" s="258" t="n">
        <v>16892</v>
      </c>
      <c r="M88" s="258" t="n">
        <v>19548</v>
      </c>
      <c r="N88" s="258" t="n">
        <v>17628</v>
      </c>
      <c r="O88" s="258" t="n">
        <v>22053</v>
      </c>
      <c r="P88" s="258" t="n">
        <v>25842</v>
      </c>
      <c r="Q88" s="258" t="n">
        <v>16465</v>
      </c>
      <c r="R88" s="258" t="n">
        <v>20195</v>
      </c>
      <c r="S88" s="258" t="n">
        <v>21852</v>
      </c>
      <c r="T88" s="258" t="n">
        <v>25542</v>
      </c>
      <c r="U88" s="258" t="n">
        <v>26364</v>
      </c>
      <c r="V88" s="258" t="n">
        <v>24140</v>
      </c>
      <c r="W88" s="258" t="n">
        <v>24042</v>
      </c>
      <c r="X88" s="258" t="n">
        <v>20097</v>
      </c>
      <c r="Y88" s="258" t="n">
        <v>18540</v>
      </c>
      <c r="Z88" s="258" t="n">
        <v>3976</v>
      </c>
      <c r="AA88" s="258" t="n">
        <v>7179</v>
      </c>
      <c r="AB88" s="258" t="n">
        <v>5755</v>
      </c>
      <c r="AC88" s="258" t="n">
        <v>4309</v>
      </c>
      <c r="AD88" s="258" t="n">
        <v>8561</v>
      </c>
      <c r="AE88" s="258" t="n">
        <v>5512</v>
      </c>
      <c r="AF88" s="258" t="n">
        <v>6221</v>
      </c>
      <c r="AG88" s="258" t="n">
        <v>3690</v>
      </c>
      <c r="AH88" s="258" t="n">
        <v>83833</v>
      </c>
      <c r="AI88" s="258" t="n">
        <v>69699</v>
      </c>
      <c r="AJ88" s="258" t="n">
        <v>51708</v>
      </c>
    </row>
    <row r="89">
      <c r="A89" t="n">
        <v>26</v>
      </c>
      <c r="B89" t="n">
        <v>1</v>
      </c>
      <c r="G89" t="inlineStr">
        <is>
          <t>moeda</t>
        </is>
      </c>
      <c r="H89" t="inlineStr">
        <is>
          <t>PC: Contas a pagar</t>
        </is>
      </c>
      <c r="J89" t="inlineStr">
        <is>
          <t>fonte</t>
        </is>
      </c>
      <c r="K89" s="258" t="n">
        <v>12957</v>
      </c>
      <c r="L89" s="258" t="n">
        <v>9988</v>
      </c>
      <c r="M89" s="258" t="n">
        <v>23690</v>
      </c>
      <c r="N89" s="258" t="n">
        <v>10272</v>
      </c>
      <c r="O89" s="258" t="n">
        <v>9535</v>
      </c>
      <c r="P89" s="258" t="n">
        <v>10374</v>
      </c>
      <c r="Q89" s="258" t="n">
        <v>10401</v>
      </c>
      <c r="R89" s="258" t="n">
        <v>13470</v>
      </c>
      <c r="S89" s="258" t="n">
        <v>10956</v>
      </c>
      <c r="T89" s="258" t="n">
        <v>15601</v>
      </c>
      <c r="U89" s="258" t="n">
        <v>14104</v>
      </c>
      <c r="V89" s="258" t="n">
        <v>12945</v>
      </c>
      <c r="W89" s="258" t="n">
        <v>18880</v>
      </c>
      <c r="X89" s="258" t="n">
        <v>25277</v>
      </c>
      <c r="Y89" s="258" t="n">
        <v>18347</v>
      </c>
      <c r="Z89" s="258" t="n">
        <v>18394</v>
      </c>
      <c r="AA89" s="258" t="n">
        <v>17677</v>
      </c>
      <c r="AB89" s="258" t="n">
        <v>17887</v>
      </c>
      <c r="AC89" s="258" t="n">
        <v>20103</v>
      </c>
      <c r="AD89" s="258" t="n">
        <v>5830</v>
      </c>
      <c r="AE89" s="258" t="n">
        <v>952</v>
      </c>
      <c r="AF89" s="258" t="n">
        <v>961</v>
      </c>
      <c r="AG89" s="258" t="n">
        <v>967</v>
      </c>
      <c r="AH89" s="258" t="n">
        <v>973</v>
      </c>
      <c r="AI89" s="258" t="n">
        <v>991</v>
      </c>
      <c r="AJ89" s="258" t="n">
        <v>22633</v>
      </c>
    </row>
    <row r="90">
      <c r="A90" t="n">
        <v>26</v>
      </c>
      <c r="B90" t="n">
        <v>1</v>
      </c>
      <c r="G90" t="inlineStr">
        <is>
          <t>moeda</t>
        </is>
      </c>
      <c r="H90" t="inlineStr">
        <is>
          <t>PC: Outros passivos circulantes</t>
        </is>
      </c>
      <c r="J90" t="inlineStr">
        <is>
          <t>fonte</t>
        </is>
      </c>
      <c r="K90" s="258" t="n">
        <v>12973</v>
      </c>
      <c r="L90" s="258" t="n">
        <v>14942</v>
      </c>
      <c r="M90" s="258" t="n">
        <v>13653</v>
      </c>
      <c r="N90" s="258" t="n">
        <v>15054</v>
      </c>
      <c r="O90" s="258" t="n">
        <v>15105</v>
      </c>
      <c r="P90" s="258" t="n">
        <v>15994</v>
      </c>
      <c r="Q90" s="258" t="n">
        <v>5192</v>
      </c>
      <c r="R90" s="258" t="n">
        <v>4190</v>
      </c>
      <c r="S90" s="258" t="n">
        <v>9385</v>
      </c>
      <c r="T90" s="258" t="n">
        <v>10929</v>
      </c>
      <c r="U90" s="258" t="n">
        <v>21757</v>
      </c>
      <c r="V90" s="258" t="n">
        <v>31792</v>
      </c>
      <c r="W90" s="258" t="n">
        <v>30604</v>
      </c>
      <c r="X90" s="258" t="n">
        <v>13376</v>
      </c>
      <c r="Y90" s="258" t="n">
        <v>12465</v>
      </c>
      <c r="Z90" s="258" t="n">
        <v>5691</v>
      </c>
      <c r="AA90" s="258" t="n">
        <v>1985</v>
      </c>
      <c r="AB90" s="258" t="n">
        <v>2856</v>
      </c>
      <c r="AC90" s="258" t="n">
        <v>1688</v>
      </c>
      <c r="AD90" s="258" t="n">
        <v>3659</v>
      </c>
      <c r="AE90" s="258" t="n">
        <v>3635</v>
      </c>
      <c r="AF90" s="258" t="n">
        <v>4956</v>
      </c>
      <c r="AG90" s="258" t="n">
        <v>5294</v>
      </c>
      <c r="AH90" s="258" t="n">
        <v>5599</v>
      </c>
      <c r="AI90" s="258" t="n">
        <v>3515</v>
      </c>
      <c r="AJ90" s="258" t="n">
        <v>33526</v>
      </c>
    </row>
    <row r="91">
      <c r="A91" t="n">
        <v>26</v>
      </c>
      <c r="B91" t="n">
        <v>1</v>
      </c>
      <c r="G91" t="inlineStr">
        <is>
          <t>moeda</t>
        </is>
      </c>
      <c r="H91" t="inlineStr">
        <is>
          <t>PC: Débitos com Outras Partes Relacionadas</t>
        </is>
      </c>
      <c r="J91" t="inlineStr">
        <is>
          <t>fonte</t>
        </is>
      </c>
      <c r="K91" s="258" t="n">
        <v>0</v>
      </c>
      <c r="L91" s="258" t="n">
        <v>0</v>
      </c>
      <c r="M91" s="258" t="n">
        <v>0</v>
      </c>
      <c r="N91" s="258" t="n">
        <v>0</v>
      </c>
      <c r="O91" s="258" t="n">
        <v>7843</v>
      </c>
      <c r="P91" s="258" t="n">
        <v>12166</v>
      </c>
      <c r="Q91" s="258" t="n">
        <v>0</v>
      </c>
      <c r="R91" s="258" t="n">
        <v>0</v>
      </c>
      <c r="S91" s="258" t="n">
        <v>0</v>
      </c>
      <c r="T91" s="258" t="n">
        <v>0</v>
      </c>
      <c r="U91" s="258" t="n">
        <v>0</v>
      </c>
      <c r="V91" s="258" t="n">
        <v>0</v>
      </c>
      <c r="W91" s="258" t="n">
        <v>0</v>
      </c>
      <c r="X91" s="258" t="n">
        <v>0</v>
      </c>
      <c r="Y91" s="258" t="n">
        <v>0</v>
      </c>
      <c r="Z91" s="258" t="n">
        <v>0</v>
      </c>
      <c r="AA91" s="258" t="n">
        <v>0</v>
      </c>
      <c r="AB91" s="258" t="n">
        <v>0</v>
      </c>
      <c r="AC91" s="258" t="n">
        <v>0</v>
      </c>
      <c r="AD91" s="258" t="n">
        <v>0</v>
      </c>
      <c r="AE91" s="258" t="n">
        <v>0</v>
      </c>
      <c r="AF91" s="258" t="n">
        <v>0</v>
      </c>
      <c r="AG91" s="258" t="n">
        <v>0</v>
      </c>
      <c r="AH91" s="258" t="n">
        <v>0</v>
      </c>
      <c r="AI91" s="258" t="n">
        <v>0</v>
      </c>
      <c r="AJ91" s="258" t="n">
        <v>0</v>
      </c>
    </row>
    <row r="92">
      <c r="A92" t="n">
        <v>26</v>
      </c>
      <c r="B92" t="n">
        <v>1</v>
      </c>
      <c r="G92" t="inlineStr">
        <is>
          <t>moeda</t>
        </is>
      </c>
      <c r="H92" t="inlineStr">
        <is>
          <t>PC: Partes relacionadas</t>
        </is>
      </c>
      <c r="J92" t="inlineStr">
        <is>
          <t>fonte</t>
        </is>
      </c>
      <c r="K92" s="258" t="n">
        <v>0</v>
      </c>
      <c r="L92" s="258" t="n">
        <v>0</v>
      </c>
      <c r="M92" s="258" t="n">
        <v>0</v>
      </c>
      <c r="N92" s="258" t="n">
        <v>0</v>
      </c>
      <c r="O92" s="258" t="n">
        <v>0</v>
      </c>
      <c r="P92" s="258" t="n">
        <v>0</v>
      </c>
      <c r="Q92" s="258" t="n">
        <v>16443</v>
      </c>
      <c r="R92" s="258" t="n">
        <v>16829</v>
      </c>
      <c r="S92" s="258" t="n">
        <v>15439</v>
      </c>
      <c r="T92" s="258" t="n">
        <v>4242</v>
      </c>
      <c r="U92" s="258" t="n">
        <v>5709</v>
      </c>
      <c r="V92" s="258" t="n">
        <v>32255</v>
      </c>
      <c r="W92" s="258" t="n">
        <v>0</v>
      </c>
      <c r="X92" s="258" t="n">
        <v>0</v>
      </c>
      <c r="Y92" s="258" t="n">
        <v>0</v>
      </c>
      <c r="Z92" s="258" t="n">
        <v>0</v>
      </c>
      <c r="AA92" s="258" t="n">
        <v>0</v>
      </c>
      <c r="AB92" s="258" t="n">
        <v>0</v>
      </c>
      <c r="AC92" s="258" t="n">
        <v>0</v>
      </c>
      <c r="AD92" s="258" t="n">
        <v>0</v>
      </c>
      <c r="AE92" s="258" t="n">
        <v>0</v>
      </c>
      <c r="AF92" s="258" t="n">
        <v>0</v>
      </c>
      <c r="AG92" s="258" t="n">
        <v>0</v>
      </c>
      <c r="AH92" s="258" t="n">
        <v>0</v>
      </c>
      <c r="AI92" s="258" t="n">
        <v>0</v>
      </c>
      <c r="AJ92" s="258" t="n">
        <v>6692</v>
      </c>
    </row>
    <row r="93">
      <c r="A93" t="n">
        <v>27</v>
      </c>
      <c r="B93" t="n">
        <v>1</v>
      </c>
      <c r="G93" t="inlineStr">
        <is>
          <t>moeda</t>
        </is>
      </c>
      <c r="H93" t="inlineStr">
        <is>
          <t>PC: Empréstimos e financiamentos</t>
        </is>
      </c>
      <c r="J93" t="inlineStr">
        <is>
          <t>fonte</t>
        </is>
      </c>
      <c r="K93" s="258" t="n">
        <v>32808</v>
      </c>
      <c r="L93" s="258" t="n">
        <v>270539</v>
      </c>
      <c r="M93" s="258" t="n">
        <v>31710</v>
      </c>
      <c r="N93" s="258" t="n">
        <v>43921</v>
      </c>
      <c r="O93" s="258" t="n">
        <v>0</v>
      </c>
      <c r="P93" s="258" t="n">
        <v>0</v>
      </c>
      <c r="Q93" s="258" t="n">
        <v>0</v>
      </c>
      <c r="R93" s="258" t="n">
        <v>16844</v>
      </c>
      <c r="S93" s="258" t="n">
        <v>12728</v>
      </c>
      <c r="T93" s="258" t="n">
        <v>28581</v>
      </c>
      <c r="U93" s="258" t="n">
        <v>34899</v>
      </c>
      <c r="V93" s="258" t="n">
        <v>37616</v>
      </c>
      <c r="W93" s="258" t="n">
        <v>27958</v>
      </c>
      <c r="X93" s="258" t="n">
        <v>52088</v>
      </c>
      <c r="Y93" s="258" t="n">
        <v>46457</v>
      </c>
      <c r="Z93" s="258" t="n">
        <v>45583</v>
      </c>
      <c r="AA93" s="258" t="n">
        <v>46797</v>
      </c>
      <c r="AB93" s="258" t="n">
        <v>139500</v>
      </c>
      <c r="AC93" s="258" t="n">
        <v>308682</v>
      </c>
      <c r="AD93" s="258" t="n">
        <v>140957</v>
      </c>
      <c r="AE93" s="258" t="n">
        <v>182561</v>
      </c>
      <c r="AF93" s="258" t="n">
        <v>235849</v>
      </c>
      <c r="AG93" s="258" t="n">
        <v>191487</v>
      </c>
      <c r="AH93" s="258" t="n">
        <v>178483</v>
      </c>
      <c r="AI93" s="258" t="n">
        <v>185886</v>
      </c>
      <c r="AJ93" s="258" t="n">
        <v>299576</v>
      </c>
    </row>
    <row r="94">
      <c r="A94" t="n">
        <v>27</v>
      </c>
      <c r="B94" t="n">
        <v>1</v>
      </c>
      <c r="G94" t="inlineStr">
        <is>
          <t>moeda</t>
        </is>
      </c>
      <c r="H94" t="inlineStr">
        <is>
          <t>PC: Em Moeda Nacional</t>
        </is>
      </c>
      <c r="J94" t="inlineStr">
        <is>
          <t>fonte</t>
        </is>
      </c>
      <c r="K94" s="258" t="n">
        <v>0</v>
      </c>
      <c r="L94" s="258" t="n">
        <v>0</v>
      </c>
      <c r="M94" s="258" t="n">
        <v>0</v>
      </c>
      <c r="N94" s="258" t="n">
        <v>0</v>
      </c>
      <c r="O94" s="258" t="n">
        <v>57038</v>
      </c>
      <c r="P94" s="258" t="n">
        <v>69002</v>
      </c>
      <c r="Q94" s="258" t="n">
        <v>69326</v>
      </c>
      <c r="R94" s="258" t="n">
        <v>0</v>
      </c>
      <c r="S94" s="258" t="n">
        <v>0</v>
      </c>
      <c r="T94" s="258" t="n">
        <v>0</v>
      </c>
      <c r="U94" s="258" t="n">
        <v>0</v>
      </c>
      <c r="V94" s="258" t="n">
        <v>0</v>
      </c>
      <c r="W94" s="258" t="n">
        <v>0</v>
      </c>
      <c r="X94" s="258" t="n">
        <v>0</v>
      </c>
      <c r="Y94" s="258" t="n">
        <v>0</v>
      </c>
      <c r="Z94" s="258" t="n">
        <v>0</v>
      </c>
      <c r="AA94" s="258" t="n">
        <v>0</v>
      </c>
      <c r="AB94" s="258" t="n">
        <v>0</v>
      </c>
      <c r="AC94" s="258" t="n">
        <v>0</v>
      </c>
      <c r="AD94" s="258" t="n">
        <v>0</v>
      </c>
      <c r="AE94" s="258" t="n">
        <v>0</v>
      </c>
      <c r="AF94" s="258" t="n">
        <v>0</v>
      </c>
      <c r="AG94" s="258" t="n">
        <v>0</v>
      </c>
      <c r="AH94" s="258" t="n">
        <v>0</v>
      </c>
      <c r="AI94" s="258" t="n">
        <v>0</v>
      </c>
      <c r="AJ94" s="258" t="n">
        <v>0</v>
      </c>
    </row>
    <row r="95">
      <c r="A95" t="n">
        <v>29</v>
      </c>
      <c r="B95" t="n">
        <v>1</v>
      </c>
      <c r="G95" t="inlineStr">
        <is>
          <t>moeda</t>
        </is>
      </c>
      <c r="H95" t="inlineStr">
        <is>
          <t>PC: Arrendamentos</t>
        </is>
      </c>
      <c r="J95" t="inlineStr">
        <is>
          <t>fonte</t>
        </is>
      </c>
      <c r="K95" s="258" t="n">
        <v>4729</v>
      </c>
      <c r="L95" s="258" t="n">
        <v>3786</v>
      </c>
      <c r="M95" s="258" t="n">
        <v>2860</v>
      </c>
      <c r="N95" s="258" t="n">
        <v>5493</v>
      </c>
      <c r="O95" s="258" t="n">
        <v>0</v>
      </c>
      <c r="P95" s="258" t="n">
        <v>0</v>
      </c>
      <c r="Q95" s="258" t="n">
        <v>12007</v>
      </c>
      <c r="R95" s="258" t="n">
        <v>9526</v>
      </c>
      <c r="S95" s="258" t="n">
        <v>10609</v>
      </c>
      <c r="T95" s="258" t="n">
        <v>13717</v>
      </c>
      <c r="U95" s="258" t="n">
        <v>29340</v>
      </c>
      <c r="V95" s="258" t="n">
        <v>15211</v>
      </c>
      <c r="W95" s="258" t="n">
        <v>6587</v>
      </c>
      <c r="X95" s="258" t="n">
        <v>26872</v>
      </c>
      <c r="Y95" s="258" t="n">
        <v>23947</v>
      </c>
      <c r="Z95" s="258" t="n">
        <v>29057</v>
      </c>
      <c r="AA95" s="258" t="n">
        <v>30796</v>
      </c>
      <c r="AB95" s="258" t="n">
        <v>34249</v>
      </c>
      <c r="AC95" s="258" t="n">
        <v>50151</v>
      </c>
      <c r="AD95" s="258" t="n">
        <v>45319</v>
      </c>
      <c r="AE95" s="258" t="n">
        <v>44844</v>
      </c>
      <c r="AF95" s="258" t="n">
        <v>39655</v>
      </c>
      <c r="AG95" s="258" t="n">
        <v>37700</v>
      </c>
      <c r="AH95" s="258" t="n">
        <v>49243</v>
      </c>
      <c r="AI95" s="258" t="n">
        <v>44186</v>
      </c>
      <c r="AJ95" s="258" t="n">
        <v>48061</v>
      </c>
    </row>
    <row r="96">
      <c r="A96" t="n">
        <v>29</v>
      </c>
      <c r="B96" t="n">
        <v>1</v>
      </c>
      <c r="G96" t="inlineStr">
        <is>
          <t>moeda</t>
        </is>
      </c>
      <c r="H96" t="inlineStr">
        <is>
          <t>PC: Financiamento por Arrendamento</t>
        </is>
      </c>
      <c r="J96" t="inlineStr">
        <is>
          <t>fonte</t>
        </is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9229</v>
      </c>
      <c r="P96" s="258" t="n">
        <v>10401</v>
      </c>
      <c r="Q96" s="258" t="n">
        <v>0</v>
      </c>
      <c r="R96" s="258" t="n">
        <v>0</v>
      </c>
      <c r="S96" s="258" t="n">
        <v>0</v>
      </c>
      <c r="T96" s="258" t="n">
        <v>0</v>
      </c>
      <c r="U96" s="258" t="n">
        <v>0</v>
      </c>
      <c r="V96" s="258" t="n">
        <v>0</v>
      </c>
      <c r="W96" s="258" t="n">
        <v>0</v>
      </c>
      <c r="X96" s="258" t="n">
        <v>0</v>
      </c>
      <c r="Y96" s="258" t="n">
        <v>0</v>
      </c>
      <c r="Z96" s="258" t="n">
        <v>0</v>
      </c>
      <c r="AA96" s="258" t="n">
        <v>0</v>
      </c>
      <c r="AB96" s="258" t="n">
        <v>0</v>
      </c>
      <c r="AC96" s="258" t="n">
        <v>0</v>
      </c>
      <c r="AD96" s="258" t="n">
        <v>0</v>
      </c>
      <c r="AE96" s="258" t="n">
        <v>0</v>
      </c>
      <c r="AF96" s="258" t="n">
        <v>0</v>
      </c>
      <c r="AG96" s="258" t="n">
        <v>0</v>
      </c>
      <c r="AH96" s="258" t="n">
        <v>0</v>
      </c>
      <c r="AI96" s="258" t="n">
        <v>0</v>
      </c>
      <c r="AJ96" s="258" t="n">
        <v>0</v>
      </c>
    </row>
    <row r="97">
      <c r="A97" t="n">
        <v>24</v>
      </c>
      <c r="B97" t="n">
        <v>1</v>
      </c>
      <c r="G97" t="inlineStr">
        <is>
          <t>moeda</t>
        </is>
      </c>
      <c r="H97" t="inlineStr">
        <is>
          <t>PNC: Provisões Previdenciárias e Trabalhistas</t>
        </is>
      </c>
      <c r="J97" t="inlineStr">
        <is>
          <t>fonte</t>
        </is>
      </c>
      <c r="K97" s="258" t="n">
        <v>0</v>
      </c>
      <c r="L97" s="258" t="n">
        <v>0</v>
      </c>
      <c r="M97" s="258" t="n">
        <v>0</v>
      </c>
      <c r="N97" s="258" t="n">
        <v>0</v>
      </c>
      <c r="O97" s="258" t="n">
        <v>24086</v>
      </c>
      <c r="P97" s="258" t="n">
        <v>22192</v>
      </c>
      <c r="Q97" s="258" t="n">
        <v>0</v>
      </c>
      <c r="R97" s="258" t="n">
        <v>0</v>
      </c>
      <c r="S97" s="258" t="n">
        <v>0</v>
      </c>
      <c r="T97" s="258" t="n">
        <v>0</v>
      </c>
      <c r="U97" s="258" t="n">
        <v>0</v>
      </c>
      <c r="V97" s="258" t="n">
        <v>0</v>
      </c>
      <c r="W97" s="258" t="n">
        <v>0</v>
      </c>
      <c r="X97" s="258" t="n">
        <v>0</v>
      </c>
      <c r="Y97" s="258" t="n">
        <v>0</v>
      </c>
      <c r="Z97" s="258" t="n">
        <v>0</v>
      </c>
      <c r="AA97" s="258" t="n">
        <v>0</v>
      </c>
      <c r="AB97" s="258" t="n">
        <v>0</v>
      </c>
      <c r="AC97" s="258" t="n">
        <v>0</v>
      </c>
      <c r="AD97" s="258" t="n">
        <v>0</v>
      </c>
      <c r="AE97" s="258" t="n">
        <v>0</v>
      </c>
      <c r="AF97" s="258" t="n">
        <v>0</v>
      </c>
      <c r="AG97" s="258" t="n">
        <v>0</v>
      </c>
      <c r="AH97" s="258" t="n">
        <v>0</v>
      </c>
      <c r="AI97" s="258" t="n">
        <v>0</v>
      </c>
      <c r="AJ97" s="258" t="n">
        <v>0</v>
      </c>
    </row>
    <row r="98">
      <c r="A98" t="n">
        <v>30</v>
      </c>
      <c r="B98" t="n">
        <v>1</v>
      </c>
      <c r="G98" t="inlineStr">
        <is>
          <t>moeda</t>
        </is>
      </c>
      <c r="H98" t="inlineStr">
        <is>
          <t>PNC: Empréstimos e financiamentos</t>
        </is>
      </c>
      <c r="J98" t="inlineStr">
        <is>
          <t>fonte</t>
        </is>
      </c>
      <c r="K98" s="258" t="n">
        <v>415770</v>
      </c>
      <c r="L98" s="258" t="n">
        <v>51683</v>
      </c>
      <c r="M98" s="258" t="n">
        <v>291996</v>
      </c>
      <c r="N98" s="258" t="n">
        <v>281737</v>
      </c>
      <c r="O98" s="258" t="n">
        <v>0</v>
      </c>
      <c r="P98" s="258" t="n">
        <v>0</v>
      </c>
      <c r="Q98" s="258" t="n">
        <v>195313</v>
      </c>
      <c r="R98" s="258" t="n">
        <v>539432</v>
      </c>
      <c r="S98" s="258" t="n">
        <v>553411</v>
      </c>
      <c r="T98" s="258" t="n">
        <v>559965</v>
      </c>
      <c r="U98" s="258" t="n">
        <v>574826</v>
      </c>
      <c r="V98" s="258" t="n">
        <v>977538</v>
      </c>
      <c r="W98" s="258" t="n">
        <v>990560</v>
      </c>
      <c r="X98" s="258" t="n">
        <v>955452</v>
      </c>
      <c r="Y98" s="258" t="n">
        <v>1098201</v>
      </c>
      <c r="Z98" s="258" t="n">
        <v>1079806</v>
      </c>
      <c r="AA98" s="258" t="n">
        <v>1085754</v>
      </c>
      <c r="AB98" s="258" t="n">
        <v>1133232</v>
      </c>
      <c r="AC98" s="258" t="n">
        <v>1585620</v>
      </c>
      <c r="AD98" s="258" t="n">
        <v>1726341</v>
      </c>
      <c r="AE98" s="258" t="n">
        <v>1746730</v>
      </c>
      <c r="AF98" s="258" t="n">
        <v>1666378</v>
      </c>
      <c r="AG98" s="258" t="n">
        <v>1915243</v>
      </c>
      <c r="AH98" s="258" t="n">
        <v>1943929</v>
      </c>
      <c r="AI98" s="258" t="n">
        <v>2054653</v>
      </c>
      <c r="AJ98" s="258" t="n">
        <v>3485914</v>
      </c>
    </row>
    <row r="99">
      <c r="A99" t="n">
        <v>30</v>
      </c>
      <c r="B99" t="n">
        <v>1</v>
      </c>
      <c r="G99" t="inlineStr">
        <is>
          <t>moeda</t>
        </is>
      </c>
      <c r="H99" t="inlineStr">
        <is>
          <t>PNC: Em Moeda Nacional</t>
        </is>
      </c>
      <c r="J99" t="inlineStr">
        <is>
          <t>fonte</t>
        </is>
      </c>
      <c r="K99" s="258" t="n">
        <v>0</v>
      </c>
      <c r="L99" s="258" t="n">
        <v>0</v>
      </c>
      <c r="M99" s="258" t="n">
        <v>0</v>
      </c>
      <c r="N99" s="258" t="n">
        <v>0</v>
      </c>
      <c r="O99" s="258" t="n">
        <v>272776</v>
      </c>
      <c r="P99" s="258" t="n">
        <v>212701</v>
      </c>
      <c r="Q99" s="258" t="n">
        <v>0</v>
      </c>
      <c r="R99" s="258" t="n">
        <v>0</v>
      </c>
      <c r="S99" s="258" t="n">
        <v>0</v>
      </c>
      <c r="T99" s="258" t="n">
        <v>0</v>
      </c>
      <c r="U99" s="258" t="n">
        <v>0</v>
      </c>
      <c r="V99" s="258" t="n">
        <v>0</v>
      </c>
      <c r="W99" s="258" t="n">
        <v>0</v>
      </c>
      <c r="X99" s="258" t="n">
        <v>0</v>
      </c>
      <c r="Y99" s="258" t="n">
        <v>0</v>
      </c>
      <c r="Z99" s="258" t="n">
        <v>0</v>
      </c>
      <c r="AA99" s="258" t="n">
        <v>0</v>
      </c>
      <c r="AB99" s="258" t="n">
        <v>0</v>
      </c>
      <c r="AC99" s="258" t="n">
        <v>0</v>
      </c>
      <c r="AD99" s="258" t="n">
        <v>0</v>
      </c>
      <c r="AE99" s="258" t="n">
        <v>0</v>
      </c>
      <c r="AF99" s="258" t="n">
        <v>0</v>
      </c>
      <c r="AG99" s="258" t="n">
        <v>0</v>
      </c>
      <c r="AH99" s="258" t="n">
        <v>0</v>
      </c>
      <c r="AI99" s="258" t="n">
        <v>0</v>
      </c>
      <c r="AJ99" s="258" t="n">
        <v>0</v>
      </c>
    </row>
    <row r="100">
      <c r="A100" t="n">
        <v>31</v>
      </c>
      <c r="B100" t="n">
        <v>1</v>
      </c>
      <c r="G100" t="inlineStr">
        <is>
          <t>moeda</t>
        </is>
      </c>
      <c r="H100" t="inlineStr">
        <is>
          <t>PNC: Arrendamentos</t>
        </is>
      </c>
      <c r="J100" t="inlineStr">
        <is>
          <t>fonte</t>
        </is>
      </c>
      <c r="K100" s="258" t="n">
        <v>6644</v>
      </c>
      <c r="L100" s="258" t="n">
        <v>6644</v>
      </c>
      <c r="M100" s="258" t="n">
        <v>6644</v>
      </c>
      <c r="N100" s="258" t="n">
        <v>6226</v>
      </c>
      <c r="O100" s="258" t="n">
        <v>0</v>
      </c>
      <c r="P100" s="258" t="n">
        <v>0</v>
      </c>
      <c r="Q100" s="258" t="n">
        <v>11432</v>
      </c>
      <c r="R100" s="258" t="n">
        <v>11431</v>
      </c>
      <c r="S100" s="258" t="n">
        <v>11811</v>
      </c>
      <c r="T100" s="258" t="n">
        <v>20698</v>
      </c>
      <c r="U100" s="258" t="n">
        <v>18482</v>
      </c>
      <c r="V100" s="258" t="n">
        <v>40800</v>
      </c>
      <c r="W100" s="258" t="n">
        <v>43454</v>
      </c>
      <c r="X100" s="258" t="n">
        <v>33041</v>
      </c>
      <c r="Y100" s="258" t="n">
        <v>27498</v>
      </c>
      <c r="Z100" s="258" t="n">
        <v>23329</v>
      </c>
      <c r="AA100" s="258" t="n">
        <v>21543</v>
      </c>
      <c r="AB100" s="258" t="n">
        <v>20191</v>
      </c>
      <c r="AC100" s="258" t="n">
        <v>47450</v>
      </c>
      <c r="AD100" s="258" t="n">
        <v>62382</v>
      </c>
      <c r="AE100" s="258" t="n">
        <v>64059</v>
      </c>
      <c r="AF100" s="258" t="n">
        <v>48686</v>
      </c>
      <c r="AG100" s="258" t="n">
        <v>42207</v>
      </c>
      <c r="AH100" s="258" t="n">
        <v>54834</v>
      </c>
      <c r="AI100" s="258" t="n">
        <v>48425</v>
      </c>
      <c r="AJ100" s="258" t="n">
        <v>49663</v>
      </c>
    </row>
    <row r="101">
      <c r="A101" t="n">
        <v>31</v>
      </c>
      <c r="B101" t="n">
        <v>1</v>
      </c>
      <c r="G101" t="inlineStr">
        <is>
          <t>moeda</t>
        </is>
      </c>
      <c r="H101" t="inlineStr">
        <is>
          <t>PNC: Financiamento por Arrendamento</t>
        </is>
      </c>
      <c r="J101" t="inlineStr">
        <is>
          <t>fonte</t>
        </is>
      </c>
      <c r="K101" s="258" t="n">
        <v>0</v>
      </c>
      <c r="L101" s="258" t="n">
        <v>0</v>
      </c>
      <c r="M101" s="258" t="n">
        <v>0</v>
      </c>
      <c r="N101" s="258" t="n">
        <v>0</v>
      </c>
      <c r="O101" s="258" t="n">
        <v>11170</v>
      </c>
      <c r="P101" s="258" t="n">
        <v>8569</v>
      </c>
      <c r="Q101" s="258" t="n">
        <v>0</v>
      </c>
      <c r="R101" s="258" t="n">
        <v>0</v>
      </c>
      <c r="S101" s="258" t="n">
        <v>0</v>
      </c>
      <c r="T101" s="258" t="n">
        <v>0</v>
      </c>
      <c r="U101" s="258" t="n">
        <v>0</v>
      </c>
      <c r="V101" s="258" t="n">
        <v>0</v>
      </c>
      <c r="W101" s="258" t="n">
        <v>0</v>
      </c>
      <c r="X101" s="258" t="n">
        <v>0</v>
      </c>
      <c r="Y101" s="258" t="n">
        <v>0</v>
      </c>
      <c r="Z101" s="258" t="n">
        <v>0</v>
      </c>
      <c r="AA101" s="258" t="n">
        <v>0</v>
      </c>
      <c r="AB101" s="258" t="n">
        <v>0</v>
      </c>
      <c r="AC101" s="258" t="n">
        <v>0</v>
      </c>
      <c r="AD101" s="258" t="n">
        <v>0</v>
      </c>
      <c r="AE101" s="258" t="n">
        <v>0</v>
      </c>
      <c r="AF101" s="258" t="n">
        <v>0</v>
      </c>
      <c r="AG101" s="258" t="n">
        <v>0</v>
      </c>
      <c r="AH101" s="258" t="n">
        <v>0</v>
      </c>
      <c r="AI101" s="258" t="n">
        <v>0</v>
      </c>
      <c r="AJ101" s="258" t="n">
        <v>0</v>
      </c>
    </row>
    <row r="102">
      <c r="A102" t="n">
        <v>33</v>
      </c>
      <c r="B102" t="n">
        <v>1</v>
      </c>
      <c r="G102" t="inlineStr">
        <is>
          <t>moeda</t>
        </is>
      </c>
      <c r="H102" t="inlineStr">
        <is>
          <t>PNC: Pis e confins diferidos</t>
        </is>
      </c>
      <c r="J102" t="inlineStr">
        <is>
          <t>fonte</t>
        </is>
      </c>
      <c r="K102" s="258" t="n">
        <v>9105</v>
      </c>
      <c r="L102" s="258" t="n">
        <v>9105</v>
      </c>
      <c r="M102" s="258" t="n">
        <v>9105</v>
      </c>
      <c r="N102" s="258" t="n">
        <v>9105</v>
      </c>
      <c r="O102" s="258" t="n">
        <v>9105</v>
      </c>
      <c r="P102" s="258" t="n">
        <v>9105</v>
      </c>
      <c r="Q102" s="258" t="n">
        <v>9105</v>
      </c>
      <c r="R102" s="258" t="n">
        <v>9105</v>
      </c>
      <c r="S102" s="258" t="n">
        <v>9105</v>
      </c>
      <c r="T102" s="258" t="n">
        <v>9105</v>
      </c>
      <c r="U102" s="258" t="n">
        <v>9105</v>
      </c>
      <c r="V102" s="258" t="n">
        <v>4139</v>
      </c>
      <c r="W102" s="258" t="n">
        <v>4139</v>
      </c>
      <c r="X102" s="258" t="n">
        <v>4139</v>
      </c>
      <c r="Y102" s="258" t="n">
        <v>4139</v>
      </c>
      <c r="Z102" s="258" t="n">
        <v>4139</v>
      </c>
      <c r="AA102" s="258" t="n">
        <v>4139</v>
      </c>
      <c r="AB102" s="258" t="n">
        <v>4139</v>
      </c>
      <c r="AC102" s="258" t="n">
        <v>4139</v>
      </c>
      <c r="AD102" s="258" t="n">
        <v>3680</v>
      </c>
      <c r="AE102" s="258" t="n">
        <v>3680</v>
      </c>
      <c r="AF102" s="258" t="n">
        <v>3680</v>
      </c>
      <c r="AG102" s="258" t="n">
        <v>3680</v>
      </c>
      <c r="AH102" s="258" t="n">
        <v>2728</v>
      </c>
      <c r="AI102" s="258" t="n">
        <v>2728</v>
      </c>
      <c r="AJ102" s="258" t="n">
        <v>0</v>
      </c>
    </row>
    <row r="103">
      <c r="A103" t="n">
        <v>33</v>
      </c>
      <c r="B103" t="n">
        <v>1</v>
      </c>
      <c r="G103" t="inlineStr">
        <is>
          <t>moeda</t>
        </is>
      </c>
      <c r="H103" t="inlineStr">
        <is>
          <t>PNC: Imposto de Renda e Contribuição Social Diferidos</t>
        </is>
      </c>
      <c r="J103" t="inlineStr">
        <is>
          <t>fonte</t>
        </is>
      </c>
      <c r="K103" s="258" t="n">
        <v>44437</v>
      </c>
      <c r="L103" s="258" t="n">
        <v>44437</v>
      </c>
      <c r="M103" s="258" t="n">
        <v>44437</v>
      </c>
      <c r="N103" s="258" t="n">
        <v>14684</v>
      </c>
      <c r="O103" s="258" t="n">
        <v>8712</v>
      </c>
      <c r="P103" s="258" t="n">
        <v>8391</v>
      </c>
      <c r="Q103" s="258" t="n">
        <v>10877</v>
      </c>
      <c r="R103" s="258" t="n">
        <v>0</v>
      </c>
      <c r="S103" s="258" t="n">
        <v>0</v>
      </c>
      <c r="T103" s="258" t="n">
        <v>0</v>
      </c>
      <c r="U103" s="258" t="n">
        <v>0</v>
      </c>
      <c r="V103" s="258" t="n">
        <v>0</v>
      </c>
      <c r="W103" s="258" t="n">
        <v>0</v>
      </c>
      <c r="X103" s="258" t="n">
        <v>0</v>
      </c>
      <c r="Y103" s="258" t="n">
        <v>0</v>
      </c>
      <c r="Z103" s="258" t="n">
        <v>0</v>
      </c>
      <c r="AA103" s="258" t="n">
        <v>0</v>
      </c>
      <c r="AB103" s="258" t="n">
        <v>0</v>
      </c>
      <c r="AC103" s="258" t="n">
        <v>0</v>
      </c>
      <c r="AD103" s="258" t="n">
        <v>0</v>
      </c>
      <c r="AE103" s="258" t="n">
        <v>0</v>
      </c>
      <c r="AF103" s="258" t="n">
        <v>0</v>
      </c>
      <c r="AG103" s="258" t="n">
        <v>0</v>
      </c>
      <c r="AH103" s="258" t="n">
        <v>0</v>
      </c>
      <c r="AI103" s="258" t="n">
        <v>0</v>
      </c>
      <c r="AJ103" s="258" t="n">
        <v>594558</v>
      </c>
    </row>
    <row r="104">
      <c r="A104" t="n">
        <v>33</v>
      </c>
      <c r="B104" t="n">
        <v>1</v>
      </c>
      <c r="G104" t="inlineStr">
        <is>
          <t>moeda</t>
        </is>
      </c>
      <c r="H104" t="inlineStr">
        <is>
          <t>PNC: Tributos diferidos</t>
        </is>
      </c>
      <c r="J104" t="inlineStr">
        <is>
          <t>fonte</t>
        </is>
      </c>
      <c r="K104" s="258" t="n">
        <v>0</v>
      </c>
      <c r="L104" s="258" t="n">
        <v>0</v>
      </c>
      <c r="M104" s="258" t="n">
        <v>0</v>
      </c>
      <c r="N104" s="258" t="n">
        <v>0</v>
      </c>
      <c r="O104" s="258" t="n">
        <v>0</v>
      </c>
      <c r="P104" s="258" t="n">
        <v>0</v>
      </c>
      <c r="Q104" s="258" t="n">
        <v>0</v>
      </c>
      <c r="R104" s="258" t="n">
        <v>0</v>
      </c>
      <c r="S104" s="258" t="n">
        <v>0</v>
      </c>
      <c r="T104" s="258" t="n">
        <v>0</v>
      </c>
      <c r="U104" s="258" t="n">
        <v>0</v>
      </c>
      <c r="V104" s="258" t="n">
        <v>0</v>
      </c>
      <c r="W104" s="258" t="n">
        <v>0</v>
      </c>
      <c r="X104" s="258" t="n">
        <v>0</v>
      </c>
      <c r="Y104" s="258" t="n">
        <v>0</v>
      </c>
      <c r="Z104" s="258" t="n">
        <v>0</v>
      </c>
      <c r="AA104" s="258" t="n">
        <v>0</v>
      </c>
      <c r="AB104" s="258" t="n">
        <v>0</v>
      </c>
      <c r="AC104" s="258" t="n">
        <v>0</v>
      </c>
      <c r="AD104" s="258" t="n">
        <v>0</v>
      </c>
      <c r="AE104" s="258" t="n">
        <v>0</v>
      </c>
      <c r="AF104" s="258" t="n">
        <v>0</v>
      </c>
      <c r="AG104" s="258" t="n">
        <v>0</v>
      </c>
      <c r="AH104" s="258" t="n">
        <v>0</v>
      </c>
      <c r="AI104" s="258" t="n">
        <v>0</v>
      </c>
      <c r="AJ104" s="258" t="n">
        <v>2728</v>
      </c>
    </row>
    <row r="105">
      <c r="A105" t="n">
        <v>34</v>
      </c>
      <c r="B105" t="n">
        <v>1</v>
      </c>
      <c r="G105" t="inlineStr">
        <is>
          <t>moeda</t>
        </is>
      </c>
      <c r="H105" t="inlineStr">
        <is>
          <t>PNC: Passivos com Partes Relacionadas</t>
        </is>
      </c>
      <c r="J105" t="inlineStr">
        <is>
          <t>fonte</t>
        </is>
      </c>
      <c r="K105" s="258" t="n">
        <v>61243</v>
      </c>
      <c r="L105" s="258" t="n">
        <v>0</v>
      </c>
      <c r="M105" s="258" t="n">
        <v>0</v>
      </c>
      <c r="N105" s="258" t="n">
        <v>0</v>
      </c>
      <c r="O105" s="258" t="n">
        <v>0</v>
      </c>
      <c r="P105" s="258" t="n">
        <v>0</v>
      </c>
      <c r="Q105" s="258" t="n">
        <v>0</v>
      </c>
      <c r="R105" s="258" t="n">
        <v>0</v>
      </c>
      <c r="S105" s="258" t="n">
        <v>0</v>
      </c>
      <c r="T105" s="258" t="n">
        <v>0</v>
      </c>
      <c r="U105" s="258" t="n">
        <v>0</v>
      </c>
      <c r="V105" s="258" t="n">
        <v>0</v>
      </c>
      <c r="W105" s="258" t="n">
        <v>0</v>
      </c>
      <c r="X105" s="258" t="n">
        <v>0</v>
      </c>
      <c r="Y105" s="258" t="n">
        <v>0</v>
      </c>
      <c r="Z105" s="258" t="n">
        <v>0</v>
      </c>
      <c r="AA105" s="258" t="n">
        <v>0</v>
      </c>
      <c r="AB105" s="258" t="n">
        <v>0</v>
      </c>
      <c r="AC105" s="258" t="n">
        <v>0</v>
      </c>
      <c r="AD105" s="258" t="n">
        <v>0</v>
      </c>
      <c r="AE105" s="258" t="n">
        <v>0</v>
      </c>
      <c r="AF105" s="258" t="n">
        <v>0</v>
      </c>
      <c r="AG105" s="258" t="n">
        <v>0</v>
      </c>
      <c r="AH105" s="258" t="n">
        <v>0</v>
      </c>
      <c r="AI105" s="258" t="n">
        <v>0</v>
      </c>
      <c r="AJ105" s="258" t="n">
        <v>0</v>
      </c>
    </row>
    <row r="106">
      <c r="A106" t="n">
        <v>34</v>
      </c>
      <c r="B106" t="n">
        <v>1</v>
      </c>
      <c r="G106" t="inlineStr">
        <is>
          <t>moeda</t>
        </is>
      </c>
      <c r="H106" t="inlineStr">
        <is>
          <t>PNC: Parcelamento de impostos</t>
        </is>
      </c>
      <c r="J106" t="inlineStr">
        <is>
          <t>fonte</t>
        </is>
      </c>
      <c r="K106" s="258" t="n">
        <v>13315</v>
      </c>
      <c r="L106" s="258" t="n">
        <v>10313</v>
      </c>
      <c r="M106" s="258" t="n">
        <v>13359</v>
      </c>
      <c r="N106" s="258" t="n">
        <v>23660</v>
      </c>
      <c r="O106" s="258" t="n">
        <v>36298</v>
      </c>
      <c r="P106" s="258" t="n">
        <v>33422</v>
      </c>
      <c r="Q106" s="258" t="n">
        <v>30993</v>
      </c>
      <c r="R106" s="258" t="n">
        <v>36790</v>
      </c>
      <c r="S106" s="258" t="n">
        <v>34425</v>
      </c>
      <c r="T106" s="258" t="n">
        <v>32893</v>
      </c>
      <c r="U106" s="258" t="n">
        <v>39849</v>
      </c>
      <c r="V106" s="258" t="n">
        <v>56406</v>
      </c>
      <c r="W106" s="258" t="n">
        <v>64508</v>
      </c>
      <c r="X106" s="258" t="n">
        <v>70818</v>
      </c>
      <c r="Y106" s="258" t="n">
        <v>65135</v>
      </c>
      <c r="Z106" s="258" t="n">
        <v>63901</v>
      </c>
      <c r="AA106" s="258" t="n">
        <v>58365</v>
      </c>
      <c r="AB106" s="258" t="n">
        <v>57926</v>
      </c>
      <c r="AC106" s="258" t="n">
        <v>51443</v>
      </c>
      <c r="AD106" s="258" t="n">
        <v>41286</v>
      </c>
      <c r="AE106" s="258" t="n">
        <v>39024</v>
      </c>
      <c r="AF106" s="258" t="n">
        <v>35136</v>
      </c>
      <c r="AG106" s="258" t="n">
        <v>29872</v>
      </c>
      <c r="AH106" s="258" t="n">
        <v>30047</v>
      </c>
      <c r="AI106" s="258" t="n">
        <v>26333</v>
      </c>
      <c r="AJ106" s="258" t="n">
        <v>22653</v>
      </c>
    </row>
    <row r="107">
      <c r="A107" t="n">
        <v>34</v>
      </c>
      <c r="B107" t="n">
        <v>1</v>
      </c>
      <c r="G107" t="inlineStr">
        <is>
          <t>moeda</t>
        </is>
      </c>
      <c r="H107" t="inlineStr">
        <is>
          <t>PNC: Contas a pagar</t>
        </is>
      </c>
      <c r="J107" t="inlineStr">
        <is>
          <t>fonte</t>
        </is>
      </c>
      <c r="K107" s="258" t="n">
        <v>19047</v>
      </c>
      <c r="L107" s="258" t="n">
        <v>18602</v>
      </c>
      <c r="M107" s="258" t="n">
        <v>2202</v>
      </c>
      <c r="N107" s="258" t="n">
        <v>12671</v>
      </c>
      <c r="O107" s="258" t="n">
        <v>12481</v>
      </c>
      <c r="P107" s="258" t="n">
        <v>10956</v>
      </c>
      <c r="Q107" s="258" t="n">
        <v>9740</v>
      </c>
      <c r="R107" s="258" t="n">
        <v>5568</v>
      </c>
      <c r="S107" s="258" t="n">
        <v>5568</v>
      </c>
      <c r="T107" s="258" t="n">
        <v>249884</v>
      </c>
      <c r="U107" s="258" t="n">
        <v>248032</v>
      </c>
      <c r="V107" s="258" t="n">
        <v>40021</v>
      </c>
      <c r="W107" s="258" t="n">
        <v>29970</v>
      </c>
      <c r="X107" s="258" t="n">
        <v>30730</v>
      </c>
      <c r="Y107" s="258" t="n">
        <v>30471</v>
      </c>
      <c r="Z107" s="258" t="n">
        <v>22463</v>
      </c>
      <c r="AA107" s="258" t="n">
        <v>18975</v>
      </c>
      <c r="AB107" s="258" t="n">
        <v>13748</v>
      </c>
      <c r="AC107" s="258" t="n">
        <v>0</v>
      </c>
      <c r="AD107" s="258" t="n">
        <v>0</v>
      </c>
      <c r="AE107" s="258" t="n">
        <v>0</v>
      </c>
      <c r="AF107" s="258" t="n">
        <v>0</v>
      </c>
      <c r="AG107" s="258" t="n">
        <v>0</v>
      </c>
      <c r="AH107" s="258" t="n">
        <v>0</v>
      </c>
      <c r="AI107" s="258" t="n">
        <v>0</v>
      </c>
      <c r="AJ107" s="258" t="n">
        <v>9000</v>
      </c>
    </row>
    <row r="108">
      <c r="A108" t="n">
        <v>34</v>
      </c>
      <c r="B108" t="n">
        <v>1</v>
      </c>
      <c r="G108" t="inlineStr">
        <is>
          <t>moeda</t>
        </is>
      </c>
      <c r="H108" t="inlineStr">
        <is>
          <t>PNC: Provisão para perdas em investimentos</t>
        </is>
      </c>
      <c r="J108" t="inlineStr">
        <is>
          <t>fonte</t>
        </is>
      </c>
      <c r="K108" s="258" t="n">
        <v>1616</v>
      </c>
      <c r="L108" s="258" t="n">
        <v>1609</v>
      </c>
      <c r="M108" s="258" t="n">
        <v>1153</v>
      </c>
      <c r="N108" s="258" t="n">
        <v>1003</v>
      </c>
      <c r="O108" s="258" t="n">
        <v>901</v>
      </c>
      <c r="P108" s="258" t="n">
        <v>873</v>
      </c>
      <c r="Q108" s="258" t="n">
        <v>158</v>
      </c>
      <c r="R108" s="258" t="n">
        <v>158</v>
      </c>
      <c r="S108" s="258" t="n">
        <v>158</v>
      </c>
      <c r="T108" s="258" t="n">
        <v>158</v>
      </c>
      <c r="U108" s="258" t="n">
        <v>158</v>
      </c>
      <c r="V108" s="258" t="n">
        <v>158</v>
      </c>
      <c r="W108" s="258" t="n">
        <v>158</v>
      </c>
      <c r="X108" s="258" t="n">
        <v>158</v>
      </c>
      <c r="Y108" s="258" t="n">
        <v>158</v>
      </c>
      <c r="Z108" s="258" t="n">
        <v>158</v>
      </c>
      <c r="AA108" s="258" t="n">
        <v>158</v>
      </c>
      <c r="AB108" s="258" t="n">
        <v>158</v>
      </c>
      <c r="AC108" s="258" t="n">
        <v>158</v>
      </c>
      <c r="AD108" s="258" t="n">
        <v>158</v>
      </c>
      <c r="AE108" s="258" t="n">
        <v>158</v>
      </c>
      <c r="AF108" s="258" t="n">
        <v>158</v>
      </c>
      <c r="AG108" s="258" t="n">
        <v>158</v>
      </c>
      <c r="AH108" s="258" t="n">
        <v>158</v>
      </c>
      <c r="AI108" s="258" t="n">
        <v>158</v>
      </c>
      <c r="AJ108" s="258" t="n">
        <v>158</v>
      </c>
    </row>
    <row r="109">
      <c r="A109" t="n">
        <v>34</v>
      </c>
      <c r="B109" t="n">
        <v>1</v>
      </c>
      <c r="G109" t="inlineStr">
        <is>
          <t>moeda</t>
        </is>
      </c>
      <c r="H109" t="inlineStr">
        <is>
          <t>PNC: Provisão para contingências</t>
        </is>
      </c>
      <c r="J109" t="inlineStr">
        <is>
          <t>fonte</t>
        </is>
      </c>
      <c r="K109" s="258" t="n">
        <v>19724</v>
      </c>
      <c r="L109" s="258" t="n">
        <v>22669</v>
      </c>
      <c r="M109" s="258" t="n">
        <v>24302</v>
      </c>
      <c r="N109" s="258" t="n">
        <v>34762</v>
      </c>
      <c r="O109" s="258" t="n">
        <v>0</v>
      </c>
      <c r="P109" s="258" t="n">
        <v>0</v>
      </c>
      <c r="Q109" s="258" t="n">
        <v>32366</v>
      </c>
      <c r="R109" s="258" t="n">
        <v>33160</v>
      </c>
      <c r="S109" s="258" t="n">
        <v>34588</v>
      </c>
      <c r="T109" s="258" t="n">
        <v>28164</v>
      </c>
      <c r="U109" s="258" t="n">
        <v>22617</v>
      </c>
      <c r="V109" s="258" t="n">
        <v>25075</v>
      </c>
      <c r="W109" s="258" t="n">
        <v>24355</v>
      </c>
      <c r="X109" s="258" t="n">
        <v>19611</v>
      </c>
      <c r="Y109" s="258" t="n">
        <v>19356</v>
      </c>
      <c r="Z109" s="258" t="n">
        <v>21477</v>
      </c>
      <c r="AA109" s="258" t="n">
        <v>20408</v>
      </c>
      <c r="AB109" s="258" t="n">
        <v>18396</v>
      </c>
      <c r="AC109" s="258" t="n">
        <v>18793</v>
      </c>
      <c r="AD109" s="258" t="n">
        <v>19091</v>
      </c>
      <c r="AE109" s="258" t="n">
        <v>18567</v>
      </c>
      <c r="AF109" s="258" t="n">
        <v>16951</v>
      </c>
      <c r="AG109" s="258" t="n">
        <v>15876</v>
      </c>
      <c r="AH109" s="258" t="n">
        <v>14619</v>
      </c>
      <c r="AI109" s="258" t="n">
        <v>13528</v>
      </c>
      <c r="AJ109" s="258" t="n">
        <v>127581</v>
      </c>
    </row>
    <row r="110">
      <c r="A110" t="n">
        <v>34</v>
      </c>
      <c r="B110" t="n">
        <v>1</v>
      </c>
      <c r="G110" t="inlineStr">
        <is>
          <t>moeda</t>
        </is>
      </c>
      <c r="H110" t="inlineStr">
        <is>
          <t>PNC: Adiantamento de clientes</t>
        </is>
      </c>
      <c r="J110" t="inlineStr">
        <is>
          <t>fonte</t>
        </is>
      </c>
      <c r="K110" s="258" t="n">
        <v>0</v>
      </c>
      <c r="L110" s="258" t="n">
        <v>0</v>
      </c>
      <c r="M110" s="258" t="n">
        <v>0</v>
      </c>
      <c r="N110" s="258" t="n">
        <v>5149</v>
      </c>
      <c r="O110" s="258" t="n">
        <v>5149</v>
      </c>
      <c r="P110" s="258" t="n">
        <v>5149</v>
      </c>
      <c r="Q110" s="258" t="n">
        <v>2780</v>
      </c>
      <c r="R110" s="258" t="n">
        <v>0</v>
      </c>
      <c r="S110" s="258" t="n">
        <v>0</v>
      </c>
      <c r="T110" s="258" t="n">
        <v>0</v>
      </c>
      <c r="U110" s="258" t="n">
        <v>0</v>
      </c>
      <c r="V110" s="258" t="n">
        <v>0</v>
      </c>
      <c r="W110" s="258" t="n">
        <v>0</v>
      </c>
      <c r="X110" s="258" t="n">
        <v>0</v>
      </c>
      <c r="Y110" s="258" t="n">
        <v>0</v>
      </c>
      <c r="Z110" s="258" t="n">
        <v>0</v>
      </c>
      <c r="AA110" s="258" t="n">
        <v>0</v>
      </c>
      <c r="AB110" s="258" t="n">
        <v>0</v>
      </c>
      <c r="AC110" s="258" t="n">
        <v>150002</v>
      </c>
      <c r="AD110" s="258" t="n">
        <v>150000</v>
      </c>
      <c r="AE110" s="258" t="n">
        <v>150000</v>
      </c>
      <c r="AF110" s="258" t="n">
        <v>150000</v>
      </c>
      <c r="AG110" s="258" t="n">
        <v>150000</v>
      </c>
      <c r="AH110" s="258" t="n">
        <v>75000</v>
      </c>
      <c r="AI110" s="258" t="n">
        <v>75000</v>
      </c>
      <c r="AJ110" s="258" t="n">
        <v>75000</v>
      </c>
    </row>
    <row r="111">
      <c r="A111" t="n">
        <v>34</v>
      </c>
      <c r="B111" t="n">
        <v>1</v>
      </c>
      <c r="G111" t="inlineStr">
        <is>
          <t>moeda</t>
        </is>
      </c>
      <c r="H111" t="inlineStr">
        <is>
          <t>PNC: Débitos com Outras Partes Relacionadas</t>
        </is>
      </c>
      <c r="J111" t="inlineStr">
        <is>
          <t>fonte</t>
        </is>
      </c>
      <c r="K111" s="258" t="n">
        <v>0</v>
      </c>
      <c r="L111" s="258" t="n">
        <v>0</v>
      </c>
      <c r="M111" s="258" t="n">
        <v>0</v>
      </c>
      <c r="N111" s="258" t="n">
        <v>0</v>
      </c>
      <c r="O111" s="258" t="n">
        <v>19246</v>
      </c>
      <c r="P111" s="258" t="n">
        <v>14959</v>
      </c>
      <c r="Q111" s="258" t="n">
        <v>13655</v>
      </c>
      <c r="R111" s="258" t="n">
        <v>11917</v>
      </c>
      <c r="S111" s="258" t="n">
        <v>10678</v>
      </c>
      <c r="T111" s="258" t="n">
        <v>21765</v>
      </c>
      <c r="U111" s="258" t="n">
        <v>19055</v>
      </c>
      <c r="V111" s="258" t="n">
        <v>3619</v>
      </c>
      <c r="W111" s="258" t="n">
        <v>7034</v>
      </c>
      <c r="X111" s="258" t="n">
        <v>11118</v>
      </c>
      <c r="Y111" s="258" t="n">
        <v>34265</v>
      </c>
      <c r="Z111" s="258" t="n">
        <v>20949</v>
      </c>
      <c r="AA111" s="258" t="n">
        <v>6134</v>
      </c>
      <c r="AB111" s="258" t="n">
        <v>3619</v>
      </c>
      <c r="AC111" s="258" t="n">
        <v>3299</v>
      </c>
      <c r="AD111" s="258" t="n">
        <v>3426</v>
      </c>
      <c r="AE111" s="258" t="n">
        <v>5153</v>
      </c>
      <c r="AF111" s="258" t="n">
        <v>8623</v>
      </c>
      <c r="AG111" s="258" t="n">
        <v>6859</v>
      </c>
      <c r="AH111" s="258" t="n">
        <v>12267</v>
      </c>
      <c r="AI111" s="258" t="n">
        <v>16397</v>
      </c>
      <c r="AJ111" s="258" t="n">
        <v>184292</v>
      </c>
    </row>
    <row r="112">
      <c r="A112" t="n">
        <v>34</v>
      </c>
      <c r="B112" t="n">
        <v>1</v>
      </c>
      <c r="G112" t="inlineStr">
        <is>
          <t>moeda</t>
        </is>
      </c>
      <c r="H112" t="inlineStr">
        <is>
          <t>PNC: Provisões Fiscais</t>
        </is>
      </c>
      <c r="J112" t="inlineStr">
        <is>
          <t>fonte</t>
        </is>
      </c>
      <c r="K112" s="258" t="n">
        <v>0</v>
      </c>
      <c r="L112" s="258" t="n">
        <v>0</v>
      </c>
      <c r="M112" s="258" t="n">
        <v>0</v>
      </c>
      <c r="N112" s="258" t="n">
        <v>0</v>
      </c>
      <c r="O112" s="258" t="n">
        <v>488</v>
      </c>
      <c r="P112" s="258" t="n">
        <v>488</v>
      </c>
      <c r="Q112" s="258" t="n">
        <v>0</v>
      </c>
      <c r="R112" s="258" t="n">
        <v>0</v>
      </c>
      <c r="S112" s="258" t="n">
        <v>0</v>
      </c>
      <c r="T112" s="258" t="n">
        <v>0</v>
      </c>
      <c r="U112" s="258" t="n">
        <v>0</v>
      </c>
      <c r="V112" s="258" t="n">
        <v>0</v>
      </c>
      <c r="W112" s="258" t="n">
        <v>0</v>
      </c>
      <c r="X112" s="258" t="n">
        <v>0</v>
      </c>
      <c r="Y112" s="258" t="n">
        <v>0</v>
      </c>
      <c r="Z112" s="258" t="n">
        <v>0</v>
      </c>
      <c r="AA112" s="258" t="n">
        <v>0</v>
      </c>
      <c r="AB112" s="258" t="n">
        <v>0</v>
      </c>
      <c r="AC112" s="258" t="n">
        <v>0</v>
      </c>
      <c r="AD112" s="258" t="n">
        <v>0</v>
      </c>
      <c r="AE112" s="258" t="n">
        <v>0</v>
      </c>
      <c r="AF112" s="258" t="n">
        <v>0</v>
      </c>
      <c r="AG112" s="258" t="n">
        <v>0</v>
      </c>
      <c r="AH112" s="258" t="n">
        <v>0</v>
      </c>
      <c r="AI112" s="258" t="n">
        <v>0</v>
      </c>
      <c r="AJ112" s="258" t="n">
        <v>0</v>
      </c>
    </row>
    <row r="113">
      <c r="A113" t="n">
        <v>34</v>
      </c>
      <c r="B113" t="n">
        <v>1</v>
      </c>
      <c r="G113" t="inlineStr">
        <is>
          <t>moeda</t>
        </is>
      </c>
      <c r="H113" t="inlineStr">
        <is>
          <t>PNC: Provisões Cíveis</t>
        </is>
      </c>
      <c r="J113" t="inlineStr">
        <is>
          <t>fonte</t>
        </is>
      </c>
      <c r="K113" s="258" t="n">
        <v>0</v>
      </c>
      <c r="L113" s="258" t="n">
        <v>0</v>
      </c>
      <c r="M113" s="258" t="n">
        <v>0</v>
      </c>
      <c r="N113" s="258" t="n">
        <v>0</v>
      </c>
      <c r="O113" s="258" t="n">
        <v>11092</v>
      </c>
      <c r="P113" s="258" t="n">
        <v>10635</v>
      </c>
      <c r="Q113" s="258" t="n">
        <v>0</v>
      </c>
      <c r="R113" s="258" t="n">
        <v>0</v>
      </c>
      <c r="S113" s="258" t="n">
        <v>0</v>
      </c>
      <c r="T113" s="258" t="n">
        <v>0</v>
      </c>
      <c r="U113" s="258" t="n">
        <v>0</v>
      </c>
      <c r="V113" s="258" t="n">
        <v>0</v>
      </c>
      <c r="W113" s="258" t="n">
        <v>0</v>
      </c>
      <c r="X113" s="258" t="n">
        <v>0</v>
      </c>
      <c r="Y113" s="258" t="n">
        <v>0</v>
      </c>
      <c r="Z113" s="258" t="n">
        <v>0</v>
      </c>
      <c r="AA113" s="258" t="n">
        <v>0</v>
      </c>
      <c r="AB113" s="258" t="n">
        <v>0</v>
      </c>
      <c r="AC113" s="258" t="n">
        <v>0</v>
      </c>
      <c r="AD113" s="258" t="n">
        <v>0</v>
      </c>
      <c r="AE113" s="258" t="n">
        <v>0</v>
      </c>
      <c r="AF113" s="258" t="n">
        <v>0</v>
      </c>
      <c r="AG113" s="258" t="n">
        <v>0</v>
      </c>
      <c r="AH113" s="258" t="n">
        <v>0</v>
      </c>
      <c r="AI113" s="258" t="n">
        <v>0</v>
      </c>
      <c r="AJ113" s="258" t="n">
        <v>0</v>
      </c>
    </row>
    <row r="114">
      <c r="A114" t="n">
        <v>34</v>
      </c>
      <c r="B114" t="n">
        <v>1</v>
      </c>
      <c r="G114" t="inlineStr">
        <is>
          <t>moeda</t>
        </is>
      </c>
      <c r="H114" t="inlineStr">
        <is>
          <t>PNC: Outros ativos não circulantes</t>
        </is>
      </c>
      <c r="J114" t="inlineStr">
        <is>
          <t>fonte</t>
        </is>
      </c>
      <c r="K114" s="258" t="n">
        <v>0</v>
      </c>
      <c r="L114" s="258" t="n">
        <v>0</v>
      </c>
      <c r="M114" s="258" t="n">
        <v>0</v>
      </c>
      <c r="N114" s="258" t="n">
        <v>0</v>
      </c>
      <c r="O114" s="258" t="n">
        <v>0</v>
      </c>
      <c r="P114" s="258" t="n">
        <v>0</v>
      </c>
      <c r="Q114" s="258" t="n">
        <v>0</v>
      </c>
      <c r="R114" s="258" t="n">
        <v>0</v>
      </c>
      <c r="S114" s="258" t="n">
        <v>5000</v>
      </c>
      <c r="T114" s="258" t="n">
        <v>0</v>
      </c>
      <c r="U114" s="258" t="n">
        <v>0</v>
      </c>
      <c r="V114" s="258" t="n">
        <v>21191</v>
      </c>
      <c r="W114" s="258" t="n">
        <v>21788</v>
      </c>
      <c r="X114" s="258" t="n">
        <v>26661</v>
      </c>
      <c r="Y114" s="258" t="n">
        <v>22730</v>
      </c>
      <c r="Z114" s="258" t="n">
        <v>23098</v>
      </c>
      <c r="AA114" s="258" t="n">
        <v>24043</v>
      </c>
      <c r="AB114" s="258" t="n">
        <v>26384</v>
      </c>
      <c r="AC114" s="258" t="n">
        <v>29293</v>
      </c>
      <c r="AD114" s="258" t="n">
        <v>30870</v>
      </c>
      <c r="AE114" s="258" t="n">
        <v>31256</v>
      </c>
      <c r="AF114" s="258" t="n">
        <v>32956</v>
      </c>
      <c r="AG114" s="258" t="n">
        <v>34744</v>
      </c>
      <c r="AH114" s="258" t="n">
        <v>39253</v>
      </c>
      <c r="AI114" s="258" t="n">
        <v>43726</v>
      </c>
      <c r="AJ114" s="258" t="n">
        <v>59772</v>
      </c>
    </row>
    <row r="115">
      <c r="A115" t="n">
        <v>34</v>
      </c>
      <c r="B115" t="n">
        <v>1</v>
      </c>
      <c r="G115" t="inlineStr">
        <is>
          <t>moeda</t>
        </is>
      </c>
      <c r="H115" t="inlineStr">
        <is>
          <t>PNC: Outros passivos não circulantes</t>
        </is>
      </c>
      <c r="J115" t="inlineStr">
        <is>
          <t>fonte</t>
        </is>
      </c>
      <c r="K115" s="258" t="n">
        <v>0</v>
      </c>
      <c r="L115" s="258" t="n">
        <v>0</v>
      </c>
      <c r="M115" s="258" t="n">
        <v>0</v>
      </c>
      <c r="N115" s="258" t="n">
        <v>0</v>
      </c>
      <c r="O115" s="258" t="n">
        <v>0</v>
      </c>
      <c r="P115" s="258" t="n">
        <v>0</v>
      </c>
      <c r="Q115" s="258" t="n">
        <v>0</v>
      </c>
      <c r="R115" s="258" t="n">
        <v>0</v>
      </c>
      <c r="S115" s="258" t="n">
        <v>0</v>
      </c>
      <c r="T115" s="258" t="n">
        <v>20884</v>
      </c>
      <c r="U115" s="258" t="n">
        <v>25998</v>
      </c>
      <c r="V115" s="258" t="n">
        <v>0</v>
      </c>
      <c r="W115" s="258" t="n">
        <v>0</v>
      </c>
      <c r="X115" s="258" t="n">
        <v>0</v>
      </c>
      <c r="Y115" s="258" t="n">
        <v>0</v>
      </c>
      <c r="Z115" s="258" t="n">
        <v>0</v>
      </c>
      <c r="AA115" s="258" t="n">
        <v>0</v>
      </c>
      <c r="AB115" s="258" t="n">
        <v>0</v>
      </c>
      <c r="AC115" s="258" t="n">
        <v>0</v>
      </c>
      <c r="AD115" s="258" t="n">
        <v>0</v>
      </c>
      <c r="AE115" s="258" t="n">
        <v>0</v>
      </c>
      <c r="AF115" s="258" t="n">
        <v>0</v>
      </c>
      <c r="AG115" s="258" t="n">
        <v>0</v>
      </c>
      <c r="AH115" s="258" t="n">
        <v>0</v>
      </c>
      <c r="AI115" s="258" t="n">
        <v>0</v>
      </c>
      <c r="AJ115" s="258" t="n">
        <v>0</v>
      </c>
    </row>
    <row r="116">
      <c r="A116" t="n">
        <v>34</v>
      </c>
      <c r="B116" t="n">
        <v>1</v>
      </c>
      <c r="G116" t="inlineStr">
        <is>
          <t>moeda</t>
        </is>
      </c>
      <c r="H116" t="inlineStr">
        <is>
          <t>PNC: Fornecedores</t>
        </is>
      </c>
      <c r="J116" t="inlineStr">
        <is>
          <t>fonte</t>
        </is>
      </c>
      <c r="K116" s="258" t="n">
        <v>0</v>
      </c>
      <c r="L116" s="258" t="n">
        <v>0</v>
      </c>
      <c r="M116" s="258" t="n">
        <v>0</v>
      </c>
      <c r="N116" s="258" t="n">
        <v>0</v>
      </c>
      <c r="O116" s="258" t="n">
        <v>0</v>
      </c>
      <c r="P116" s="258" t="n">
        <v>0</v>
      </c>
      <c r="Q116" s="258" t="n">
        <v>0</v>
      </c>
      <c r="R116" s="258" t="n">
        <v>0</v>
      </c>
      <c r="S116" s="258" t="n">
        <v>0</v>
      </c>
      <c r="T116" s="258" t="n">
        <v>0</v>
      </c>
      <c r="U116" s="258" t="n">
        <v>0</v>
      </c>
      <c r="V116" s="258" t="n">
        <v>0</v>
      </c>
      <c r="W116" s="258" t="n">
        <v>0</v>
      </c>
      <c r="X116" s="258" t="n">
        <v>0</v>
      </c>
      <c r="Y116" s="258" t="n">
        <v>0</v>
      </c>
      <c r="Z116" s="258" t="n">
        <v>0</v>
      </c>
      <c r="AA116" s="258" t="n">
        <v>0</v>
      </c>
      <c r="AB116" s="258" t="n">
        <v>0</v>
      </c>
      <c r="AC116" s="258" t="n">
        <v>0</v>
      </c>
      <c r="AD116" s="258" t="n">
        <v>0</v>
      </c>
      <c r="AE116" s="258" t="n">
        <v>0</v>
      </c>
      <c r="AF116" s="258" t="n">
        <v>0</v>
      </c>
      <c r="AG116" s="258" t="n">
        <v>0</v>
      </c>
      <c r="AH116" s="258" t="n">
        <v>0</v>
      </c>
      <c r="AI116" s="258" t="n">
        <v>0</v>
      </c>
      <c r="AJ116" s="258" t="n">
        <v>19101</v>
      </c>
    </row>
    <row r="117">
      <c r="A117" t="n">
        <v>34</v>
      </c>
      <c r="B117" t="n">
        <v>1</v>
      </c>
      <c r="G117" t="inlineStr">
        <is>
          <t>moeda</t>
        </is>
      </c>
      <c r="H117" t="inlineStr">
        <is>
          <t>PNC: Impostos e contribuições a recolher</t>
        </is>
      </c>
      <c r="J117" t="inlineStr">
        <is>
          <t>fonte</t>
        </is>
      </c>
      <c r="K117" s="258" t="n">
        <v>0</v>
      </c>
      <c r="L117" s="258" t="n">
        <v>0</v>
      </c>
      <c r="M117" s="258" t="n">
        <v>0</v>
      </c>
      <c r="N117" s="258" t="n">
        <v>0</v>
      </c>
      <c r="O117" s="258" t="n">
        <v>0</v>
      </c>
      <c r="P117" s="258" t="n">
        <v>0</v>
      </c>
      <c r="Q117" s="258" t="n">
        <v>0</v>
      </c>
      <c r="R117" s="258" t="n">
        <v>0</v>
      </c>
      <c r="S117" s="258" t="n">
        <v>0</v>
      </c>
      <c r="T117" s="258" t="n">
        <v>0</v>
      </c>
      <c r="U117" s="258" t="n">
        <v>0</v>
      </c>
      <c r="V117" s="258" t="n">
        <v>0</v>
      </c>
      <c r="W117" s="258" t="n">
        <v>0</v>
      </c>
      <c r="X117" s="258" t="n">
        <v>0</v>
      </c>
      <c r="Y117" s="258" t="n">
        <v>0</v>
      </c>
      <c r="Z117" s="258" t="n">
        <v>0</v>
      </c>
      <c r="AA117" s="258" t="n">
        <v>0</v>
      </c>
      <c r="AB117" s="258" t="n">
        <v>0</v>
      </c>
      <c r="AC117" s="258" t="n">
        <v>0</v>
      </c>
      <c r="AD117" s="258" t="n">
        <v>0</v>
      </c>
      <c r="AE117" s="258" t="n">
        <v>0</v>
      </c>
      <c r="AF117" s="258" t="n">
        <v>0</v>
      </c>
      <c r="AG117" s="258" t="n">
        <v>0</v>
      </c>
      <c r="AH117" s="258" t="n">
        <v>0</v>
      </c>
      <c r="AI117" s="258" t="n">
        <v>0</v>
      </c>
      <c r="AJ117" s="258" t="n">
        <v>257075</v>
      </c>
    </row>
    <row r="118">
      <c r="A118" t="n">
        <v>34</v>
      </c>
      <c r="B118" t="n">
        <v>1</v>
      </c>
      <c r="G118" t="inlineStr">
        <is>
          <t>moeda</t>
        </is>
      </c>
      <c r="H118" t="inlineStr">
        <is>
          <t>PNC: Outorgas a pagar</t>
        </is>
      </c>
      <c r="J118" t="inlineStr">
        <is>
          <t>fonte</t>
        </is>
      </c>
      <c r="K118" s="258" t="n">
        <v>0</v>
      </c>
      <c r="L118" s="258" t="n">
        <v>0</v>
      </c>
      <c r="M118" s="258" t="n">
        <v>0</v>
      </c>
      <c r="N118" s="258" t="n">
        <v>0</v>
      </c>
      <c r="O118" s="258" t="n">
        <v>0</v>
      </c>
      <c r="P118" s="258" t="n">
        <v>0</v>
      </c>
      <c r="Q118" s="258" t="n">
        <v>0</v>
      </c>
      <c r="R118" s="258" t="n">
        <v>0</v>
      </c>
      <c r="S118" s="258" t="n">
        <v>0</v>
      </c>
      <c r="T118" s="258" t="n">
        <v>0</v>
      </c>
      <c r="U118" s="258" t="n">
        <v>0</v>
      </c>
      <c r="V118" s="258" t="n">
        <v>0</v>
      </c>
      <c r="W118" s="258" t="n">
        <v>0</v>
      </c>
      <c r="X118" s="258" t="n">
        <v>0</v>
      </c>
      <c r="Y118" s="258" t="n">
        <v>0</v>
      </c>
      <c r="Z118" s="258" t="n">
        <v>0</v>
      </c>
      <c r="AA118" s="258" t="n">
        <v>0</v>
      </c>
      <c r="AB118" s="258" t="n">
        <v>0</v>
      </c>
      <c r="AC118" s="258" t="n">
        <v>0</v>
      </c>
      <c r="AD118" s="258" t="n">
        <v>0</v>
      </c>
      <c r="AE118" s="258" t="n">
        <v>0</v>
      </c>
      <c r="AF118" s="258" t="n">
        <v>0</v>
      </c>
      <c r="AG118" s="258" t="n">
        <v>0</v>
      </c>
      <c r="AH118" s="258" t="n">
        <v>0</v>
      </c>
      <c r="AI118" s="258" t="n">
        <v>0</v>
      </c>
      <c r="AJ118" s="258" t="n">
        <v>11136</v>
      </c>
    </row>
    <row r="119">
      <c r="A119" t="n">
        <v>35</v>
      </c>
      <c r="B119" t="n">
        <v>1</v>
      </c>
      <c r="G119" t="inlineStr">
        <is>
          <t>moeda</t>
        </is>
      </c>
      <c r="H119" t="inlineStr">
        <is>
          <t>PL: Participação dos Acionistas Não Controladores</t>
        </is>
      </c>
      <c r="J119" t="inlineStr">
        <is>
          <t>fonte</t>
        </is>
      </c>
      <c r="K119" s="258" t="n">
        <v>12605</v>
      </c>
      <c r="L119" s="258" t="n">
        <v>13267</v>
      </c>
      <c r="M119" s="258" t="n">
        <v>14535</v>
      </c>
      <c r="N119" s="258" t="n">
        <v>15304</v>
      </c>
      <c r="O119" s="258" t="n">
        <v>16358</v>
      </c>
      <c r="P119" s="258" t="n">
        <v>9287</v>
      </c>
      <c r="Q119" s="258" t="n">
        <v>10144</v>
      </c>
      <c r="R119" s="258" t="n">
        <v>13765</v>
      </c>
      <c r="S119" s="258" t="n">
        <v>14538</v>
      </c>
      <c r="T119" s="258" t="n">
        <v>16188</v>
      </c>
      <c r="U119" s="258" t="n">
        <v>17655</v>
      </c>
      <c r="V119" s="258" t="n">
        <v>30976</v>
      </c>
      <c r="W119" s="258" t="n">
        <v>43064</v>
      </c>
      <c r="X119" s="258" t="n">
        <v>44495</v>
      </c>
      <c r="Y119" s="258" t="n">
        <v>46538</v>
      </c>
      <c r="Z119" s="258" t="n">
        <v>38588</v>
      </c>
      <c r="AA119" s="258" t="n">
        <v>60029</v>
      </c>
      <c r="AB119" s="258" t="n">
        <v>61598</v>
      </c>
      <c r="AC119" s="258" t="n">
        <v>92735</v>
      </c>
      <c r="AD119" s="258" t="n">
        <v>95715</v>
      </c>
      <c r="AE119" s="258" t="n">
        <v>98480</v>
      </c>
      <c r="AF119" s="258" t="n">
        <v>101391</v>
      </c>
      <c r="AG119" s="258" t="n">
        <v>105445</v>
      </c>
      <c r="AH119" s="258" t="n">
        <v>109535</v>
      </c>
      <c r="AI119" s="258" t="n">
        <v>113373</v>
      </c>
      <c r="AJ119" s="258" t="n">
        <v>400716</v>
      </c>
    </row>
    <row r="120">
      <c r="A120" t="n">
        <v>37</v>
      </c>
      <c r="B120" t="n">
        <v>1</v>
      </c>
      <c r="G120" t="inlineStr">
        <is>
          <t>moeda</t>
        </is>
      </c>
      <c r="H120" t="inlineStr">
        <is>
          <t>PL: Capital Social Realizado</t>
        </is>
      </c>
      <c r="J120" t="inlineStr">
        <is>
          <t>fonte</t>
        </is>
      </c>
      <c r="K120" s="258" t="n">
        <v>543448</v>
      </c>
      <c r="L120" s="258" t="n">
        <v>543448</v>
      </c>
      <c r="M120" s="258" t="n">
        <v>543448</v>
      </c>
      <c r="N120" s="258" t="n">
        <v>544323</v>
      </c>
      <c r="O120" s="258" t="n">
        <v>844323</v>
      </c>
      <c r="P120" s="258" t="n">
        <v>844323</v>
      </c>
      <c r="Q120" s="258" t="n">
        <v>844323</v>
      </c>
      <c r="R120" s="258" t="n">
        <v>844323</v>
      </c>
      <c r="S120" s="258" t="n">
        <v>844323</v>
      </c>
      <c r="T120" s="258" t="n">
        <v>0</v>
      </c>
      <c r="U120" s="258" t="n">
        <v>844323</v>
      </c>
      <c r="V120" s="258" t="n">
        <v>844323</v>
      </c>
      <c r="W120" s="258" t="n">
        <v>1000006</v>
      </c>
      <c r="X120" s="258" t="n">
        <v>1091127</v>
      </c>
      <c r="Y120" s="258" t="n">
        <v>1091127</v>
      </c>
      <c r="Z120" s="258" t="n">
        <v>1091127</v>
      </c>
      <c r="AA120" s="258" t="n">
        <v>1091127</v>
      </c>
      <c r="AB120" s="258" t="n">
        <v>1091127</v>
      </c>
      <c r="AC120" s="258" t="n">
        <v>1091127</v>
      </c>
      <c r="AD120" s="258" t="n">
        <v>1091127</v>
      </c>
      <c r="AE120" s="258" t="n">
        <v>1091127</v>
      </c>
      <c r="AF120" s="258" t="n">
        <v>1191127</v>
      </c>
      <c r="AG120" s="258" t="n">
        <v>1191127</v>
      </c>
      <c r="AH120" s="258" t="n">
        <v>1191127</v>
      </c>
      <c r="AI120" s="258" t="n">
        <v>1191127</v>
      </c>
      <c r="AJ120" s="258" t="n">
        <v>4499676</v>
      </c>
    </row>
    <row r="121">
      <c r="A121" t="n">
        <v>37</v>
      </c>
      <c r="B121" t="n">
        <v>1</v>
      </c>
      <c r="G121" t="inlineStr">
        <is>
          <t>moeda</t>
        </is>
      </c>
      <c r="H121" t="inlineStr">
        <is>
          <t>PL: Instrumentos patrimoniais</t>
        </is>
      </c>
      <c r="J121" t="inlineStr">
        <is>
          <t>fonte</t>
        </is>
      </c>
      <c r="K121" s="258" t="n">
        <v>30877</v>
      </c>
      <c r="L121" s="258" t="n">
        <v>30877</v>
      </c>
      <c r="M121" s="258" t="n">
        <v>30877</v>
      </c>
      <c r="N121" s="258" t="n">
        <v>30877</v>
      </c>
      <c r="O121" s="258" t="n">
        <v>0</v>
      </c>
      <c r="P121" s="258" t="n">
        <v>0</v>
      </c>
      <c r="Q121" s="258" t="n">
        <v>0</v>
      </c>
      <c r="R121" s="258" t="n">
        <v>0</v>
      </c>
      <c r="S121" s="258" t="n">
        <v>0</v>
      </c>
      <c r="T121" s="258" t="n">
        <v>0</v>
      </c>
      <c r="U121" s="258" t="n">
        <v>0</v>
      </c>
      <c r="V121" s="258" t="n">
        <v>0</v>
      </c>
      <c r="W121" s="258" t="n">
        <v>0</v>
      </c>
      <c r="X121" s="258" t="n">
        <v>0</v>
      </c>
      <c r="Y121" s="258" t="n">
        <v>0</v>
      </c>
      <c r="Z121" s="258" t="n">
        <v>0</v>
      </c>
      <c r="AA121" s="258" t="n">
        <v>0</v>
      </c>
      <c r="AB121" s="258" t="n">
        <v>0</v>
      </c>
      <c r="AC121" s="258" t="n">
        <v>0</v>
      </c>
      <c r="AD121" s="258" t="n">
        <v>0</v>
      </c>
      <c r="AE121" s="258" t="n">
        <v>0</v>
      </c>
      <c r="AF121" s="258" t="n">
        <v>0</v>
      </c>
      <c r="AG121" s="258" t="n">
        <v>0</v>
      </c>
      <c r="AH121" s="258" t="n">
        <v>0</v>
      </c>
      <c r="AI121" s="258" t="n">
        <v>0</v>
      </c>
      <c r="AJ121" s="258" t="n">
        <v>0</v>
      </c>
    </row>
    <row r="122">
      <c r="A122" t="n">
        <v>37</v>
      </c>
      <c r="B122" t="n">
        <v>1</v>
      </c>
      <c r="G122" t="inlineStr">
        <is>
          <t>moeda</t>
        </is>
      </c>
      <c r="H122" t="inlineStr">
        <is>
          <t>PL: Reserva especial de ágio</t>
        </is>
      </c>
      <c r="J122" t="inlineStr">
        <is>
          <t>fonte</t>
        </is>
      </c>
      <c r="K122" s="258" t="n">
        <v>3023</v>
      </c>
      <c r="L122" s="258" t="n">
        <v>3023</v>
      </c>
      <c r="M122" s="258" t="n">
        <v>3023</v>
      </c>
      <c r="N122" s="258" t="n">
        <v>3023</v>
      </c>
      <c r="O122" s="258" t="n">
        <v>0</v>
      </c>
      <c r="P122" s="258" t="n">
        <v>0</v>
      </c>
      <c r="Q122" s="258" t="n">
        <v>3023</v>
      </c>
      <c r="R122" s="258" t="n">
        <v>3023</v>
      </c>
      <c r="S122" s="258" t="n">
        <v>3023</v>
      </c>
      <c r="T122" s="258" t="n">
        <v>3023</v>
      </c>
      <c r="U122" s="258" t="n">
        <v>3023</v>
      </c>
      <c r="V122" s="258" t="n">
        <v>0</v>
      </c>
      <c r="W122" s="258" t="n">
        <v>0</v>
      </c>
      <c r="X122" s="258" t="n">
        <v>0</v>
      </c>
      <c r="Y122" s="258" t="n">
        <v>0</v>
      </c>
      <c r="Z122" s="258" t="n">
        <v>0</v>
      </c>
      <c r="AA122" s="258" t="n">
        <v>0</v>
      </c>
      <c r="AB122" s="258" t="n">
        <v>0</v>
      </c>
      <c r="AC122" s="258" t="n">
        <v>0</v>
      </c>
      <c r="AD122" s="258" t="n">
        <v>0</v>
      </c>
      <c r="AE122" s="258" t="n">
        <v>0</v>
      </c>
      <c r="AF122" s="258" t="n">
        <v>0</v>
      </c>
      <c r="AG122" s="258" t="n">
        <v>0</v>
      </c>
      <c r="AH122" s="258" t="n">
        <v>0</v>
      </c>
      <c r="AI122" s="258" t="n">
        <v>0</v>
      </c>
      <c r="AJ122" s="258" t="n">
        <v>0</v>
      </c>
    </row>
    <row r="123">
      <c r="A123" t="n">
        <v>37</v>
      </c>
      <c r="B123" t="n">
        <v>1</v>
      </c>
      <c r="G123" t="inlineStr">
        <is>
          <t>moeda</t>
        </is>
      </c>
      <c r="H123" t="inlineStr">
        <is>
          <t>PL: Bonus de subscrição</t>
        </is>
      </c>
      <c r="J123" t="inlineStr">
        <is>
          <t>fonte</t>
        </is>
      </c>
      <c r="K123" s="258" t="n">
        <v>0</v>
      </c>
      <c r="L123" s="258" t="n">
        <v>156664</v>
      </c>
      <c r="M123" s="258" t="n">
        <v>156664</v>
      </c>
      <c r="N123" s="258" t="n">
        <v>156664</v>
      </c>
      <c r="O123" s="258" t="n">
        <v>0</v>
      </c>
      <c r="P123" s="258" t="n">
        <v>0</v>
      </c>
      <c r="Q123" s="258" t="n">
        <v>0</v>
      </c>
      <c r="R123" s="258" t="n">
        <v>0</v>
      </c>
      <c r="S123" s="258" t="n">
        <v>0</v>
      </c>
      <c r="T123" s="258" t="n">
        <v>0</v>
      </c>
      <c r="U123" s="258" t="n">
        <v>0</v>
      </c>
      <c r="V123" s="258" t="n">
        <v>0</v>
      </c>
      <c r="W123" s="258" t="n">
        <v>0</v>
      </c>
      <c r="X123" s="258" t="n">
        <v>0</v>
      </c>
      <c r="Y123" s="258" t="n">
        <v>0</v>
      </c>
      <c r="Z123" s="258" t="n">
        <v>0</v>
      </c>
      <c r="AA123" s="258" t="n">
        <v>0</v>
      </c>
      <c r="AB123" s="258" t="n">
        <v>0</v>
      </c>
      <c r="AC123" s="258" t="n">
        <v>0</v>
      </c>
      <c r="AD123" s="258" t="n">
        <v>0</v>
      </c>
      <c r="AE123" s="258" t="n">
        <v>0</v>
      </c>
      <c r="AF123" s="258" t="n">
        <v>0</v>
      </c>
      <c r="AG123" s="258" t="n">
        <v>0</v>
      </c>
      <c r="AH123" s="258" t="n">
        <v>0</v>
      </c>
      <c r="AI123" s="258" t="n">
        <v>0</v>
      </c>
      <c r="AJ123" s="258" t="n">
        <v>0</v>
      </c>
    </row>
    <row r="124">
      <c r="A124" t="n">
        <v>37</v>
      </c>
      <c r="B124" t="n">
        <v>1</v>
      </c>
      <c r="G124" t="inlineStr">
        <is>
          <t>moeda</t>
        </is>
      </c>
      <c r="H124" t="inlineStr">
        <is>
          <t>PL: Reserva Especial de Ágio na Incorporação</t>
        </is>
      </c>
      <c r="J124" t="inlineStr">
        <is>
          <t>fonte</t>
        </is>
      </c>
      <c r="K124" s="258" t="n">
        <v>0</v>
      </c>
      <c r="L124" s="258" t="n">
        <v>0</v>
      </c>
      <c r="M124" s="258" t="n">
        <v>0</v>
      </c>
      <c r="N124" s="258" t="n">
        <v>0</v>
      </c>
      <c r="O124" s="258" t="n">
        <v>3023</v>
      </c>
      <c r="P124" s="258" t="n">
        <v>3023</v>
      </c>
      <c r="Q124" s="258" t="n">
        <v>0</v>
      </c>
      <c r="R124" s="258" t="n">
        <v>0</v>
      </c>
      <c r="S124" s="258" t="n">
        <v>0</v>
      </c>
      <c r="T124" s="258" t="n">
        <v>0</v>
      </c>
      <c r="U124" s="258" t="n">
        <v>0</v>
      </c>
      <c r="V124" s="258" t="n">
        <v>0</v>
      </c>
      <c r="W124" s="258" t="n">
        <v>0</v>
      </c>
      <c r="X124" s="258" t="n">
        <v>0</v>
      </c>
      <c r="Y124" s="258" t="n">
        <v>0</v>
      </c>
      <c r="Z124" s="258" t="n">
        <v>0</v>
      </c>
      <c r="AA124" s="258" t="n">
        <v>0</v>
      </c>
      <c r="AB124" s="258" t="n">
        <v>0</v>
      </c>
      <c r="AC124" s="258" t="n">
        <v>0</v>
      </c>
      <c r="AD124" s="258" t="n">
        <v>0</v>
      </c>
      <c r="AE124" s="258" t="n">
        <v>0</v>
      </c>
      <c r="AF124" s="258" t="n">
        <v>0</v>
      </c>
      <c r="AG124" s="258" t="n">
        <v>0</v>
      </c>
      <c r="AH124" s="258" t="n">
        <v>0</v>
      </c>
      <c r="AI124" s="258" t="n">
        <v>0</v>
      </c>
      <c r="AJ124" s="258" t="n">
        <v>0</v>
      </c>
    </row>
    <row r="125">
      <c r="A125" t="n">
        <v>37</v>
      </c>
      <c r="B125" t="n">
        <v>1</v>
      </c>
      <c r="G125" t="inlineStr">
        <is>
          <t>moeda</t>
        </is>
      </c>
      <c r="H125" t="inlineStr">
        <is>
          <t>PL: Custo na emissão de ações</t>
        </is>
      </c>
      <c r="J125" t="inlineStr">
        <is>
          <t>fonte</t>
        </is>
      </c>
      <c r="K125" s="258" t="n">
        <v>0</v>
      </c>
      <c r="L125" s="258" t="n">
        <v>0</v>
      </c>
      <c r="M125" s="258" t="n">
        <v>0</v>
      </c>
      <c r="N125" s="258" t="n">
        <v>0</v>
      </c>
      <c r="O125" s="258" t="n">
        <v>-29802</v>
      </c>
      <c r="P125" s="258" t="n">
        <v>-31146</v>
      </c>
      <c r="Q125" s="258" t="n">
        <v>-31146</v>
      </c>
      <c r="R125" s="258" t="n">
        <v>-31146</v>
      </c>
      <c r="S125" s="258" t="n">
        <v>-31146</v>
      </c>
      <c r="T125" s="258" t="n">
        <v>-31146</v>
      </c>
      <c r="U125" s="258" t="n">
        <v>-31146</v>
      </c>
      <c r="V125" s="258" t="n">
        <v>0</v>
      </c>
      <c r="W125" s="258" t="n">
        <v>0</v>
      </c>
      <c r="X125" s="258" t="n">
        <v>0</v>
      </c>
      <c r="Y125" s="258" t="n">
        <v>0</v>
      </c>
      <c r="Z125" s="258" t="n">
        <v>0</v>
      </c>
      <c r="AA125" s="258" t="n">
        <v>0</v>
      </c>
      <c r="AB125" s="258" t="n">
        <v>0</v>
      </c>
      <c r="AC125" s="258" t="n">
        <v>0</v>
      </c>
      <c r="AD125" s="258" t="n">
        <v>0</v>
      </c>
      <c r="AE125" s="258" t="n">
        <v>0</v>
      </c>
      <c r="AF125" s="258" t="n">
        <v>0</v>
      </c>
      <c r="AG125" s="258" t="n">
        <v>0</v>
      </c>
      <c r="AH125" s="258" t="n">
        <v>0</v>
      </c>
      <c r="AI125" s="258" t="n">
        <v>0</v>
      </c>
      <c r="AJ125" s="258" t="n">
        <v>0</v>
      </c>
    </row>
    <row r="126">
      <c r="A126" t="n">
        <v>37</v>
      </c>
      <c r="B126" t="n">
        <v>1</v>
      </c>
      <c r="G126" t="inlineStr">
        <is>
          <t>moeda</t>
        </is>
      </c>
      <c r="H126" t="inlineStr">
        <is>
          <t>PL: Capital Social</t>
        </is>
      </c>
      <c r="J126" t="inlineStr">
        <is>
          <t>fonte</t>
        </is>
      </c>
      <c r="K126" s="258" t="n">
        <v>0</v>
      </c>
      <c r="L126" s="258" t="n">
        <v>0</v>
      </c>
      <c r="M126" s="258" t="n">
        <v>0</v>
      </c>
      <c r="N126" s="258" t="n">
        <v>0</v>
      </c>
      <c r="O126" s="258" t="n">
        <v>0</v>
      </c>
      <c r="P126" s="258" t="n">
        <v>0</v>
      </c>
      <c r="Q126" s="258" t="n">
        <v>0</v>
      </c>
      <c r="R126" s="258" t="n">
        <v>0</v>
      </c>
      <c r="S126" s="258" t="n">
        <v>0</v>
      </c>
      <c r="T126" s="258" t="n">
        <v>844323</v>
      </c>
      <c r="U126" s="258" t="n">
        <v>0</v>
      </c>
      <c r="V126" s="258" t="n">
        <v>0</v>
      </c>
      <c r="W126" s="258" t="n">
        <v>0</v>
      </c>
      <c r="X126" s="258" t="n">
        <v>0</v>
      </c>
      <c r="Y126" s="258" t="n">
        <v>0</v>
      </c>
      <c r="Z126" s="258" t="n">
        <v>0</v>
      </c>
      <c r="AA126" s="258" t="n">
        <v>0</v>
      </c>
      <c r="AB126" s="258" t="n">
        <v>0</v>
      </c>
      <c r="AC126" s="258" t="n">
        <v>0</v>
      </c>
      <c r="AD126" s="258" t="n">
        <v>0</v>
      </c>
      <c r="AE126" s="258" t="n">
        <v>0</v>
      </c>
      <c r="AF126" s="258" t="n">
        <v>0</v>
      </c>
      <c r="AG126" s="258" t="n">
        <v>0</v>
      </c>
      <c r="AH126" s="258" t="n">
        <v>0</v>
      </c>
      <c r="AI126" s="258" t="n">
        <v>0</v>
      </c>
      <c r="AJ126" s="258" t="n">
        <v>0</v>
      </c>
    </row>
    <row r="127">
      <c r="A127" t="n">
        <v>37</v>
      </c>
      <c r="B127" t="n">
        <v>1</v>
      </c>
      <c r="G127" t="inlineStr">
        <is>
          <t>moeda</t>
        </is>
      </c>
      <c r="H127" t="inlineStr">
        <is>
          <t>PL: Instrumentos patrimoniais - ações</t>
        </is>
      </c>
      <c r="J127" t="inlineStr">
        <is>
          <t>fonte</t>
        </is>
      </c>
      <c r="K127" s="258" t="n">
        <v>0</v>
      </c>
      <c r="L127" s="258" t="n">
        <v>0</v>
      </c>
      <c r="M127" s="258" t="n">
        <v>0</v>
      </c>
      <c r="N127" s="258" t="n">
        <v>0</v>
      </c>
      <c r="O127" s="258" t="n">
        <v>0</v>
      </c>
      <c r="P127" s="258" t="n">
        <v>0</v>
      </c>
      <c r="Q127" s="258" t="n">
        <v>0</v>
      </c>
      <c r="R127" s="258" t="n">
        <v>0</v>
      </c>
      <c r="S127" s="258" t="n">
        <v>0</v>
      </c>
      <c r="T127" s="258" t="n">
        <v>113455</v>
      </c>
      <c r="U127" s="258" t="n">
        <v>113455</v>
      </c>
      <c r="V127" s="258" t="n">
        <v>0</v>
      </c>
      <c r="W127" s="258" t="n">
        <v>0</v>
      </c>
      <c r="X127" s="258" t="n">
        <v>0</v>
      </c>
      <c r="Y127" s="258" t="n">
        <v>0</v>
      </c>
      <c r="Z127" s="258" t="n">
        <v>0</v>
      </c>
      <c r="AA127" s="258" t="n">
        <v>0</v>
      </c>
      <c r="AB127" s="258" t="n">
        <v>0</v>
      </c>
      <c r="AC127" s="258" t="n">
        <v>0</v>
      </c>
      <c r="AD127" s="258" t="n">
        <v>0</v>
      </c>
      <c r="AE127" s="258" t="n">
        <v>0</v>
      </c>
      <c r="AF127" s="258" t="n">
        <v>0</v>
      </c>
      <c r="AG127" s="258" t="n">
        <v>0</v>
      </c>
      <c r="AH127" s="258" t="n">
        <v>0</v>
      </c>
      <c r="AI127" s="258" t="n">
        <v>0</v>
      </c>
      <c r="AJ127" s="258" t="n">
        <v>0</v>
      </c>
    </row>
    <row r="128">
      <c r="A128" t="n">
        <v>37</v>
      </c>
      <c r="B128" t="n">
        <v>1</v>
      </c>
      <c r="G128" t="inlineStr">
        <is>
          <t>moeda</t>
        </is>
      </c>
      <c r="H128" t="inlineStr">
        <is>
          <t>PL: Reservas de capital</t>
        </is>
      </c>
      <c r="J128" t="inlineStr">
        <is>
          <t>fonte</t>
        </is>
      </c>
      <c r="K128" s="258" t="n">
        <v>0</v>
      </c>
      <c r="L128" s="258" t="n">
        <v>0</v>
      </c>
      <c r="M128" s="258" t="n">
        <v>0</v>
      </c>
      <c r="N128" s="258" t="n">
        <v>0</v>
      </c>
      <c r="O128" s="258" t="n">
        <v>0</v>
      </c>
      <c r="P128" s="258" t="n">
        <v>0</v>
      </c>
      <c r="Q128" s="258" t="n">
        <v>0</v>
      </c>
      <c r="R128" s="258" t="n">
        <v>0</v>
      </c>
      <c r="S128" s="258" t="n">
        <v>0</v>
      </c>
      <c r="T128" s="258" t="n">
        <v>0</v>
      </c>
      <c r="U128" s="258" t="n">
        <v>0</v>
      </c>
      <c r="V128" s="258" t="n">
        <v>269131</v>
      </c>
      <c r="W128" s="258" t="n">
        <v>461652</v>
      </c>
      <c r="X128" s="258" t="n">
        <v>453262</v>
      </c>
      <c r="Y128" s="258" t="n">
        <v>453262</v>
      </c>
      <c r="Z128" s="258" t="n">
        <v>453262</v>
      </c>
      <c r="AA128" s="258" t="n">
        <v>453262</v>
      </c>
      <c r="AB128" s="258" t="n">
        <v>453262</v>
      </c>
      <c r="AC128" s="258" t="n">
        <v>453262</v>
      </c>
      <c r="AD128" s="258" t="n">
        <v>453262</v>
      </c>
      <c r="AE128" s="258" t="n">
        <v>453262</v>
      </c>
      <c r="AF128" s="258" t="n">
        <v>960434</v>
      </c>
      <c r="AG128" s="258" t="n">
        <v>958995</v>
      </c>
      <c r="AH128" s="258" t="n">
        <v>957066</v>
      </c>
      <c r="AI128" s="258" t="n">
        <v>956172</v>
      </c>
      <c r="AJ128" s="258" t="n">
        <v>1154650</v>
      </c>
    </row>
    <row r="129">
      <c r="A129" t="n">
        <v>39</v>
      </c>
      <c r="B129" t="n">
        <v>1</v>
      </c>
      <c r="G129" t="inlineStr">
        <is>
          <t>moeda</t>
        </is>
      </c>
      <c r="H129" t="inlineStr">
        <is>
          <t>PL: Ajustes de Avaliação Patrimonial</t>
        </is>
      </c>
      <c r="J129" t="inlineStr">
        <is>
          <t>fonte</t>
        </is>
      </c>
      <c r="K129" s="258" t="n">
        <v>10359</v>
      </c>
      <c r="L129" s="258" t="n">
        <v>10359</v>
      </c>
      <c r="M129" s="258" t="n">
        <v>10359</v>
      </c>
      <c r="N129" s="258" t="n">
        <v>10359</v>
      </c>
      <c r="O129" s="258" t="n">
        <v>10359</v>
      </c>
      <c r="P129" s="258" t="n">
        <v>10359</v>
      </c>
      <c r="Q129" s="258" t="n">
        <v>10359</v>
      </c>
      <c r="R129" s="258" t="n">
        <v>10359</v>
      </c>
      <c r="S129" s="258" t="n">
        <v>10359</v>
      </c>
      <c r="T129" s="258" t="n">
        <v>10359</v>
      </c>
      <c r="U129" s="258" t="n">
        <v>10359</v>
      </c>
      <c r="V129" s="258" t="n">
        <v>10359</v>
      </c>
      <c r="W129" s="258" t="n">
        <v>10359</v>
      </c>
      <c r="X129" s="258" t="n">
        <v>10359</v>
      </c>
      <c r="Y129" s="258" t="n">
        <v>10359</v>
      </c>
      <c r="Z129" s="258" t="n">
        <v>10359</v>
      </c>
      <c r="AA129" s="258" t="n">
        <v>10359</v>
      </c>
      <c r="AB129" s="258" t="n">
        <v>10359</v>
      </c>
      <c r="AC129" s="258" t="n">
        <v>10359</v>
      </c>
      <c r="AD129" s="258" t="n">
        <v>10359</v>
      </c>
      <c r="AE129" s="258" t="n">
        <v>10359</v>
      </c>
      <c r="AF129" s="258" t="n">
        <v>10359</v>
      </c>
      <c r="AG129" s="258" t="n">
        <v>10359</v>
      </c>
      <c r="AH129" s="258" t="n">
        <v>10359</v>
      </c>
      <c r="AI129" s="258" t="n">
        <v>10359</v>
      </c>
      <c r="AJ129" s="258" t="n">
        <v>-94282</v>
      </c>
    </row>
    <row r="130">
      <c r="A130" t="n">
        <v>39</v>
      </c>
      <c r="B130" t="n">
        <v>1</v>
      </c>
      <c r="G130" t="inlineStr">
        <is>
          <t>moeda</t>
        </is>
      </c>
      <c r="H130" t="inlineStr">
        <is>
          <t>PL: Outros</t>
        </is>
      </c>
      <c r="J130" t="inlineStr">
        <is>
          <t>fonte</t>
        </is>
      </c>
      <c r="K130" s="258" t="n">
        <v>0</v>
      </c>
      <c r="L130" s="258" t="n">
        <v>0</v>
      </c>
      <c r="M130" s="258" t="n">
        <v>0</v>
      </c>
      <c r="N130" s="258" t="n">
        <v>0</v>
      </c>
      <c r="O130" s="258" t="n">
        <v>0</v>
      </c>
      <c r="P130" s="258" t="n">
        <v>0</v>
      </c>
      <c r="Q130" s="258" t="n">
        <v>0</v>
      </c>
      <c r="R130" s="258" t="n">
        <v>0</v>
      </c>
      <c r="S130" s="258" t="n">
        <v>0</v>
      </c>
      <c r="T130" s="258" t="n">
        <v>-1596</v>
      </c>
      <c r="U130" s="258" t="n">
        <v>7102</v>
      </c>
      <c r="V130" s="258" t="n">
        <v>315536</v>
      </c>
      <c r="W130" s="258" t="n">
        <v>0</v>
      </c>
      <c r="X130" s="258" t="n">
        <v>0</v>
      </c>
      <c r="Y130" s="258" t="n">
        <v>0</v>
      </c>
      <c r="Z130" s="258" t="n">
        <v>0</v>
      </c>
      <c r="AA130" s="258" t="n">
        <v>0</v>
      </c>
      <c r="AB130" s="258" t="n">
        <v>6667</v>
      </c>
      <c r="AC130" s="258" t="n">
        <v>0</v>
      </c>
      <c r="AD130" s="258" t="n">
        <v>11254</v>
      </c>
      <c r="AE130" s="258" t="n">
        <v>11254</v>
      </c>
      <c r="AF130" s="258" t="n">
        <v>11254</v>
      </c>
      <c r="AG130" s="258" t="n">
        <v>11254</v>
      </c>
      <c r="AH130" s="258" t="n">
        <v>11254</v>
      </c>
      <c r="AI130" s="258" t="n">
        <v>11254</v>
      </c>
      <c r="AJ130" s="258" t="n">
        <v>11747</v>
      </c>
    </row>
    <row r="131">
      <c r="A131" t="n">
        <v>40</v>
      </c>
      <c r="B131" t="n">
        <v>1</v>
      </c>
      <c r="G131" t="inlineStr">
        <is>
          <t>moeda</t>
        </is>
      </c>
      <c r="H131" t="inlineStr">
        <is>
          <t>PL: Outros Resultados Abrangentes</t>
        </is>
      </c>
      <c r="J131" t="inlineStr">
        <is>
          <t>fonte</t>
        </is>
      </c>
      <c r="K131" s="258" t="n">
        <v>0</v>
      </c>
      <c r="L131" s="258" t="n">
        <v>0</v>
      </c>
      <c r="M131" s="258" t="n">
        <v>0</v>
      </c>
      <c r="N131" s="258" t="n">
        <v>0</v>
      </c>
      <c r="O131" s="258" t="n">
        <v>0</v>
      </c>
      <c r="P131" s="258" t="n">
        <v>0</v>
      </c>
      <c r="Q131" s="258" t="n">
        <v>0</v>
      </c>
      <c r="R131" s="258" t="n">
        <v>0</v>
      </c>
      <c r="S131" s="258" t="n">
        <v>0</v>
      </c>
      <c r="T131" s="258" t="n">
        <v>0</v>
      </c>
      <c r="U131" s="258" t="n">
        <v>0</v>
      </c>
      <c r="V131" s="258" t="n">
        <v>0</v>
      </c>
      <c r="W131" s="258" t="n">
        <v>0</v>
      </c>
      <c r="X131" s="258" t="n">
        <v>0</v>
      </c>
      <c r="Y131" s="258" t="n">
        <v>0</v>
      </c>
      <c r="Z131" s="258" t="n">
        <v>0</v>
      </c>
      <c r="AA131" s="258" t="n">
        <v>0</v>
      </c>
      <c r="AB131" s="258" t="n">
        <v>0</v>
      </c>
      <c r="AC131" s="258" t="n">
        <v>6667</v>
      </c>
      <c r="AD131" s="258" t="n">
        <v>0</v>
      </c>
      <c r="AE131" s="258" t="n">
        <v>0</v>
      </c>
      <c r="AF131" s="258" t="n">
        <v>0</v>
      </c>
      <c r="AG131" s="258" t="n">
        <v>0</v>
      </c>
      <c r="AH131" s="258" t="n">
        <v>0</v>
      </c>
      <c r="AI131" s="258" t="n">
        <v>0</v>
      </c>
      <c r="AJ131" s="258" t="n">
        <v>0</v>
      </c>
    </row>
    <row r="132">
      <c r="A132" t="n">
        <v>41</v>
      </c>
      <c r="B132" t="n">
        <v>1</v>
      </c>
      <c r="G132" t="inlineStr">
        <is>
          <t>moeda</t>
        </is>
      </c>
      <c r="H132" t="inlineStr">
        <is>
          <t>PL: Lucros/Prejuízos Acumulados</t>
        </is>
      </c>
      <c r="J132" t="inlineStr">
        <is>
          <t>fonte</t>
        </is>
      </c>
      <c r="K132" s="258" t="n">
        <v>-707898</v>
      </c>
      <c r="L132" s="258" t="n">
        <v>-683537</v>
      </c>
      <c r="M132" s="258" t="n">
        <v>-683490</v>
      </c>
      <c r="N132" s="258" t="n">
        <v>-677824</v>
      </c>
      <c r="O132" s="258" t="n">
        <v>-724403</v>
      </c>
      <c r="P132" s="258" t="n">
        <v>-718992</v>
      </c>
      <c r="Q132" s="258" t="n">
        <v>-721200</v>
      </c>
      <c r="R132" s="258" t="n">
        <v>-739852</v>
      </c>
      <c r="S132" s="258" t="n">
        <v>-759999</v>
      </c>
      <c r="T132" s="258" t="n">
        <v>-771969</v>
      </c>
      <c r="U132" s="258" t="n">
        <v>-803062</v>
      </c>
      <c r="V132" s="258" t="n">
        <v>-888858</v>
      </c>
      <c r="W132" s="258" t="n">
        <v>-933931</v>
      </c>
      <c r="X132" s="258" t="n">
        <v>-939080</v>
      </c>
      <c r="Y132" s="258" t="n">
        <v>-937229</v>
      </c>
      <c r="Z132" s="258" t="n">
        <v>-848743</v>
      </c>
      <c r="AA132" s="258" t="n">
        <v>-823200</v>
      </c>
      <c r="AB132" s="258" t="n">
        <v>-814394</v>
      </c>
      <c r="AC132" s="258" t="n">
        <v>-777310</v>
      </c>
      <c r="AD132" s="258" t="n">
        <v>-787846</v>
      </c>
      <c r="AE132" s="258" t="n">
        <v>-794168</v>
      </c>
      <c r="AF132" s="258" t="n">
        <v>-770322</v>
      </c>
      <c r="AG132" s="258" t="n">
        <v>-747034</v>
      </c>
      <c r="AH132" s="258" t="n">
        <v>-727704</v>
      </c>
      <c r="AI132" s="258" t="n">
        <v>-708920</v>
      </c>
      <c r="AJ132" s="258" t="n">
        <v>-720067</v>
      </c>
    </row>
    <row r="133">
      <c r="A133" t="n">
        <v>41</v>
      </c>
      <c r="B133" t="n">
        <v>1</v>
      </c>
      <c r="G133" t="inlineStr">
        <is>
          <t>moeda</t>
        </is>
      </c>
      <c r="H133" t="inlineStr">
        <is>
          <t>PL: Reserva para Investimentos</t>
        </is>
      </c>
      <c r="J133" t="inlineStr">
        <is>
          <t>fonte</t>
        </is>
      </c>
      <c r="K133" s="258" t="n">
        <v>0</v>
      </c>
      <c r="L133" s="258" t="n">
        <v>0</v>
      </c>
      <c r="M133" s="258" t="n">
        <v>0</v>
      </c>
      <c r="N133" s="258" t="n">
        <v>0</v>
      </c>
      <c r="O133" s="258" t="n">
        <v>268941</v>
      </c>
      <c r="P133" s="258" t="n">
        <v>268941</v>
      </c>
      <c r="Q133" s="258" t="n">
        <v>268941</v>
      </c>
      <c r="R133" s="258" t="n">
        <v>0</v>
      </c>
      <c r="S133" s="258" t="n">
        <v>0</v>
      </c>
      <c r="T133" s="258" t="n">
        <v>0</v>
      </c>
      <c r="U133" s="258" t="n">
        <v>0</v>
      </c>
      <c r="V133" s="258" t="n">
        <v>0</v>
      </c>
      <c r="W133" s="258" t="n">
        <v>0</v>
      </c>
      <c r="X133" s="258" t="n">
        <v>0</v>
      </c>
      <c r="Y133" s="258" t="n">
        <v>0</v>
      </c>
      <c r="Z133" s="258" t="n">
        <v>0</v>
      </c>
      <c r="AA133" s="258" t="n">
        <v>0</v>
      </c>
      <c r="AB133" s="258" t="n">
        <v>0</v>
      </c>
      <c r="AC133" s="258" t="n">
        <v>0</v>
      </c>
      <c r="AD133" s="258" t="n">
        <v>0</v>
      </c>
      <c r="AE133" s="258" t="n">
        <v>0</v>
      </c>
      <c r="AF133" s="258" t="n">
        <v>0</v>
      </c>
      <c r="AG133" s="258" t="n">
        <v>0</v>
      </c>
      <c r="AH133" s="258" t="n">
        <v>0</v>
      </c>
      <c r="AI133" s="258" t="n">
        <v>0</v>
      </c>
      <c r="AJ133" s="258" t="n">
        <v>0</v>
      </c>
    </row>
    <row r="134">
      <c r="A134" t="n">
        <v>41</v>
      </c>
      <c r="B134" t="n">
        <v>1</v>
      </c>
      <c r="G134" t="inlineStr">
        <is>
          <t>moeda</t>
        </is>
      </c>
      <c r="H134" t="inlineStr">
        <is>
          <t>PL: Reservas para Investimentos</t>
        </is>
      </c>
      <c r="J134" t="inlineStr">
        <is>
          <t>fonte</t>
        </is>
      </c>
      <c r="K134" s="258" t="n">
        <v>0</v>
      </c>
      <c r="L134" s="258" t="n">
        <v>0</v>
      </c>
      <c r="M134" s="258" t="n">
        <v>0</v>
      </c>
      <c r="N134" s="258" t="n">
        <v>0</v>
      </c>
      <c r="O134" s="258" t="n">
        <v>0</v>
      </c>
      <c r="P134" s="258" t="n">
        <v>0</v>
      </c>
      <c r="Q134" s="258" t="n">
        <v>0</v>
      </c>
      <c r="R134" s="258" t="n">
        <v>268941</v>
      </c>
      <c r="S134" s="258" t="n">
        <v>268941</v>
      </c>
      <c r="T134" s="258" t="n">
        <v>268941</v>
      </c>
      <c r="U134" s="258" t="n">
        <v>268941</v>
      </c>
      <c r="V134" s="258" t="n">
        <v>0</v>
      </c>
      <c r="W134" s="258" t="n">
        <v>0</v>
      </c>
      <c r="X134" s="258" t="n">
        <v>0</v>
      </c>
      <c r="Y134" s="258" t="n">
        <v>0</v>
      </c>
      <c r="Z134" s="258" t="n">
        <v>0</v>
      </c>
      <c r="AA134" s="258" t="n">
        <v>0</v>
      </c>
      <c r="AB134" s="258" t="n">
        <v>0</v>
      </c>
      <c r="AC134" s="258" t="n">
        <v>0</v>
      </c>
      <c r="AD134" s="258" t="n">
        <v>0</v>
      </c>
      <c r="AE134" s="258" t="n">
        <v>0</v>
      </c>
      <c r="AF134" s="258" t="n">
        <v>0</v>
      </c>
      <c r="AG134" s="258" t="n">
        <v>0</v>
      </c>
      <c r="AH134" s="258" t="n">
        <v>0</v>
      </c>
      <c r="AI134" s="258" t="n">
        <v>0</v>
      </c>
      <c r="AJ134" s="258" t="n">
        <v>0</v>
      </c>
    </row>
    <row r="135">
      <c r="A135" t="n">
        <v>13</v>
      </c>
      <c r="B135" t="n">
        <v>1</v>
      </c>
      <c r="G135" t="inlineStr">
        <is>
          <t>moeda</t>
        </is>
      </c>
      <c r="H135" t="inlineStr">
        <is>
          <t>AC: Estoques (CVM 1.01.04) - zero em todos os periodos (linha mantida para o Model nao ficar sem dado)</t>
        </is>
      </c>
      <c r="J135" t="inlineStr">
        <is>
          <t>fonte</t>
        </is>
      </c>
      <c r="K135" s="258" t="n">
        <v>0</v>
      </c>
      <c r="L135" s="258" t="n">
        <v>0</v>
      </c>
      <c r="M135" s="258" t="n">
        <v>0</v>
      </c>
      <c r="N135" s="258" t="n">
        <v>0</v>
      </c>
      <c r="O135" s="258" t="n">
        <v>0</v>
      </c>
      <c r="P135" s="258" t="n">
        <v>0</v>
      </c>
      <c r="Q135" s="258" t="n">
        <v>0</v>
      </c>
      <c r="R135" s="258" t="n">
        <v>0</v>
      </c>
      <c r="S135" s="258" t="n">
        <v>0</v>
      </c>
      <c r="T135" s="258" t="n">
        <v>0</v>
      </c>
      <c r="U135" s="258" t="n">
        <v>0</v>
      </c>
      <c r="V135" s="258" t="n">
        <v>0</v>
      </c>
      <c r="W135" s="258" t="n">
        <v>0</v>
      </c>
      <c r="X135" s="258" t="n">
        <v>0</v>
      </c>
      <c r="Y135" s="258" t="n">
        <v>0</v>
      </c>
      <c r="Z135" s="258" t="n">
        <v>0</v>
      </c>
      <c r="AA135" s="258" t="n">
        <v>0</v>
      </c>
      <c r="AB135" s="258" t="n">
        <v>0</v>
      </c>
      <c r="AC135" s="258" t="n">
        <v>0</v>
      </c>
      <c r="AD135" s="258" t="n">
        <v>0</v>
      </c>
      <c r="AE135" s="258" t="n">
        <v>0</v>
      </c>
      <c r="AF135" s="258" t="n">
        <v>0</v>
      </c>
      <c r="AG135" s="258" t="n">
        <v>0</v>
      </c>
      <c r="AH135" s="258" t="n">
        <v>0</v>
      </c>
      <c r="AI135" s="258" t="n">
        <v>0</v>
      </c>
      <c r="AJ135" s="258" t="n">
        <v>0</v>
      </c>
    </row>
    <row r="136">
      <c r="H136" s="254" t="inlineStr">
        <is>
          <t>BALANCO - totais divulgados (memoria)</t>
        </is>
      </c>
    </row>
    <row r="137">
      <c r="G137" t="inlineStr">
        <is>
          <t>moeda</t>
        </is>
      </c>
      <c r="H137" t="inlineStr">
        <is>
          <t>Ativo total (CVM 1)</t>
        </is>
      </c>
      <c r="J137" t="inlineStr">
        <is>
          <t>memoria</t>
        </is>
      </c>
      <c r="K137" s="258" t="n">
        <v>660087</v>
      </c>
      <c r="L137" s="258" t="n">
        <v>667439</v>
      </c>
      <c r="M137" s="258" t="n">
        <v>675631</v>
      </c>
      <c r="N137" s="258" t="n">
        <v>670861</v>
      </c>
      <c r="O137" s="258" t="n">
        <v>1026589</v>
      </c>
      <c r="P137" s="258" t="n">
        <v>966787</v>
      </c>
      <c r="Q137" s="258" t="n">
        <v>924473</v>
      </c>
      <c r="R137" s="258" t="n">
        <v>1206063</v>
      </c>
      <c r="S137" s="258" t="n">
        <v>1218866</v>
      </c>
      <c r="T137" s="258" t="n">
        <v>1654061</v>
      </c>
      <c r="U137" s="258" t="n">
        <v>1689875</v>
      </c>
      <c r="V137" s="258" t="n">
        <v>2073296</v>
      </c>
      <c r="W137" s="258" t="n">
        <v>2044537</v>
      </c>
      <c r="X137" s="258" t="n">
        <v>2099356</v>
      </c>
      <c r="Y137" s="258" t="n">
        <v>2239121</v>
      </c>
      <c r="Z137" s="258" t="n">
        <v>2262344</v>
      </c>
      <c r="AA137" s="258" t="n">
        <v>2296704</v>
      </c>
      <c r="AB137" s="258" t="n">
        <v>2458471</v>
      </c>
      <c r="AC137" s="258" t="n">
        <v>3325011</v>
      </c>
      <c r="AD137" s="258" t="n">
        <v>3334198</v>
      </c>
      <c r="AE137" s="258" t="n">
        <v>3387080</v>
      </c>
      <c r="AF137" s="258" t="n">
        <v>4045501</v>
      </c>
      <c r="AG137" s="258" t="n">
        <v>4224165</v>
      </c>
      <c r="AH137" s="258" t="n">
        <v>4293945</v>
      </c>
      <c r="AI137" s="258" t="n">
        <v>4446961</v>
      </c>
      <c r="AJ137" s="258" t="n">
        <v>11325751</v>
      </c>
    </row>
    <row r="138">
      <c r="G138" t="inlineStr">
        <is>
          <t>moeda</t>
        </is>
      </c>
      <c r="H138" t="inlineStr">
        <is>
          <t>Passivo total (CVM 2)</t>
        </is>
      </c>
      <c r="J138" t="inlineStr">
        <is>
          <t>memoria</t>
        </is>
      </c>
      <c r="K138" s="258" t="n">
        <v>660087</v>
      </c>
      <c r="L138" s="258" t="n">
        <v>667439</v>
      </c>
      <c r="M138" s="258" t="n">
        <v>675631</v>
      </c>
      <c r="N138" s="258" t="n">
        <v>670861</v>
      </c>
      <c r="O138" s="258" t="n">
        <v>1026589</v>
      </c>
      <c r="P138" s="258" t="n">
        <v>966787</v>
      </c>
      <c r="Q138" s="258" t="n">
        <v>924473</v>
      </c>
      <c r="R138" s="258" t="n">
        <v>1206063</v>
      </c>
      <c r="S138" s="258" t="n">
        <v>1218866</v>
      </c>
      <c r="T138" s="258" t="n">
        <v>1654061</v>
      </c>
      <c r="U138" s="258" t="n">
        <v>1689875</v>
      </c>
      <c r="V138" s="258" t="n">
        <v>2073296</v>
      </c>
      <c r="W138" s="258" t="n">
        <v>2044537</v>
      </c>
      <c r="X138" s="258" t="n">
        <v>2099356</v>
      </c>
      <c r="Y138" s="258" t="n">
        <v>2239121</v>
      </c>
      <c r="Z138" s="258" t="n">
        <v>2262344</v>
      </c>
      <c r="AA138" s="258" t="n">
        <v>2296704</v>
      </c>
      <c r="AB138" s="258" t="n">
        <v>2458471</v>
      </c>
      <c r="AC138" s="258" t="n">
        <v>3325011</v>
      </c>
      <c r="AD138" s="258" t="n">
        <v>3334198</v>
      </c>
      <c r="AE138" s="258" t="n">
        <v>3387080</v>
      </c>
      <c r="AF138" s="258" t="n">
        <v>4045501</v>
      </c>
      <c r="AG138" s="258" t="n">
        <v>4224165</v>
      </c>
      <c r="AH138" s="258" t="n">
        <v>4293945</v>
      </c>
      <c r="AI138" s="258" t="n">
        <v>4446961</v>
      </c>
      <c r="AJ138" s="258" t="n">
        <v>11325751</v>
      </c>
    </row>
    <row r="139">
      <c r="H139" s="254" t="inlineStr">
        <is>
          <t>CHECKS (devem ser 0)</t>
        </is>
      </c>
    </row>
    <row r="140">
      <c r="G140" t="inlineStr">
        <is>
          <t>moeda</t>
        </is>
      </c>
      <c r="H140" t="inlineStr">
        <is>
          <t>CHECK: receita + custo + despesas op. + equivalencia + resultado financeiro + IR - lucro consolidado (trimestralizado)</t>
        </is>
      </c>
      <c r="J140" t="inlineStr">
        <is>
          <t>derivada</t>
        </is>
      </c>
      <c r="K140" s="258">
        <f>ROUND(K25+K26+K27+K28+K29+K30+K31+K32+K33+K34+K35-K36,0)</f>
        <v>0</v>
      </c>
      <c r="L140" s="258">
        <f>ROUND(L25+L26+L27+L28+L29+L30+L31+L32+L33+L34+L35-L36,0)</f>
        <v>0</v>
      </c>
      <c r="M140" s="258">
        <f>ROUND(M25+M26+M27+M28+M29+M30+M31+M32+M33+M34+M35-M36,0)</f>
        <v>0</v>
      </c>
      <c r="N140" s="258">
        <f>ROUND(N25+N26+N27+N28+N29+N30+N31+N32+N33+N34+N35-N36,0)</f>
        <v>0</v>
      </c>
      <c r="O140" s="258">
        <f>ROUND(O25+O26+O27+O28+O29+O30+O31+O32+O33+O34+O35-O36,0)</f>
        <v>0</v>
      </c>
      <c r="P140" s="258">
        <f>ROUND(P25+P26+P27+P28+P29+P30+P31+P32+P33+P34+P35-P36,0)</f>
        <v>0</v>
      </c>
      <c r="Q140" s="258">
        <f>ROUND(Q25+Q26+Q27+Q28+Q29+Q30+Q31+Q32+Q33+Q34+Q35-Q36,0)</f>
        <v>0</v>
      </c>
      <c r="R140" s="258">
        <f>ROUND(R25+R26+R27+R28+R29+R30+R31+R32+R33+R34+R35-R36,0)</f>
        <v>0</v>
      </c>
      <c r="S140" s="258">
        <f>ROUND(S25+S26+S27+S28+S29+S30+S31+S32+S33+S34+S35-S36,0)</f>
        <v>0</v>
      </c>
      <c r="T140" s="258">
        <f>ROUND(T25+T26+T27+T28+T29+T30+T31+T32+T33+T34+T35-T36,0)</f>
        <v>0</v>
      </c>
      <c r="U140" s="258">
        <f>ROUND(U25+U26+U27+U28+U29+U30+U31+U32+U33+U34+U35-U36,0)</f>
        <v>0</v>
      </c>
      <c r="V140" s="258">
        <f>ROUND(V25+V26+V27+V28+V29+V30+V31+V32+V33+V34+V35-V36,0)</f>
        <v>0</v>
      </c>
      <c r="W140" s="258">
        <f>ROUND(W25+W26+W27+W28+W29+W30+W31+W32+W33+W34+W35-W36,0)</f>
        <v>0</v>
      </c>
      <c r="X140" s="258">
        <f>ROUND(X25+X26+X27+X28+X29+X30+X31+X32+X33+X34+X35-X36,0)</f>
        <v>0</v>
      </c>
      <c r="Y140" s="258">
        <f>ROUND(Y25+Y26+Y27+Y28+Y29+Y30+Y31+Y32+Y33+Y34+Y35-Y36,0)</f>
        <v>0</v>
      </c>
      <c r="Z140" s="258">
        <f>ROUND(Z25+Z26+Z27+Z28+Z29+Z30+Z31+Z32+Z33+Z34+Z35-Z36,0)</f>
        <v>0</v>
      </c>
      <c r="AA140" s="258">
        <f>ROUND(AA25+AA26+AA27+AA28+AA29+AA30+AA31+AA32+AA33+AA34+AA35-AA36,0)</f>
        <v>0</v>
      </c>
      <c r="AB140" s="258">
        <f>ROUND(AB25+AB26+AB27+AB28+AB29+AB30+AB31+AB32+AB33+AB34+AB35-AB36,0)</f>
        <v>0</v>
      </c>
      <c r="AC140" s="258">
        <f>ROUND(AC25+AC26+AC27+AC28+AC29+AC30+AC31+AC32+AC33+AC34+AC35-AC36,0)</f>
        <v>0</v>
      </c>
      <c r="AD140" s="258">
        <f>ROUND(AD25+AD26+AD27+AD28+AD29+AD30+AD31+AD32+AD33+AD34+AD35-AD36,0)</f>
        <v>0</v>
      </c>
      <c r="AE140" s="258">
        <f>ROUND(AE25+AE26+AE27+AE28+AE29+AE30+AE31+AE32+AE33+AE34+AE35-AE36,0)</f>
        <v>0</v>
      </c>
      <c r="AF140" s="258">
        <f>ROUND(AF25+AF26+AF27+AF28+AF29+AF30+AF31+AF32+AF33+AF34+AF35-AF36,0)</f>
        <v>0</v>
      </c>
      <c r="AG140" s="258">
        <f>ROUND(AG25+AG26+AG27+AG28+AG29+AG30+AG31+AG32+AG33+AG34+AG35-AG36,0)</f>
        <v>0</v>
      </c>
      <c r="AH140" s="258">
        <f>ROUND(AH25+AH26+AH27+AH28+AH29+AH30+AH31+AH32+AH33+AH34+AH35-AH36,0)</f>
        <v>0</v>
      </c>
      <c r="AI140" s="258">
        <f>ROUND(AI25+AI26+AI27+AI28+AI29+AI30+AI31+AI32+AI33+AI34+AI35-AI36,0)</f>
        <v>0</v>
      </c>
      <c r="AJ140" s="258">
        <f>ROUND(AJ25+AJ26+AJ27+AJ28+AJ29+AJ30+AJ31+AJ32+AJ33+AJ34+AJ35-AJ36,0)</f>
        <v>0</v>
      </c>
    </row>
    <row r="141">
      <c r="G141" t="inlineStr">
        <is>
          <t>moeda</t>
        </is>
      </c>
      <c r="H141" t="inlineStr">
        <is>
          <t>CHECK: contas de ativo - ativo total</t>
        </is>
      </c>
      <c r="J141" t="inlineStr">
        <is>
          <t>derivada</t>
        </is>
      </c>
      <c r="K141" s="258">
        <f>ROUND(K43+K44+K45+K46+K47+K48+K49+K50+K51+K52+K53+K54+K55+K56+K57+K58+K59+K60+K61+K62+K63+K64+K65+K66+K67+K68+K69+K70+K71+K72+K73+K74+K75+K76+K77+K78+K79-K137,0)</f>
        <v>0</v>
      </c>
      <c r="L141" s="258">
        <f>ROUND(L43+L44+L45+L46+L47+L48+L49+L50+L51+L52+L53+L54+L55+L56+L57+L58+L59+L60+L61+L62+L63+L64+L65+L66+L67+L68+L69+L70+L71+L72+L73+L74+L75+L76+L77+L78+L79-L137,0)</f>
        <v>0</v>
      </c>
      <c r="M141" s="258">
        <f>ROUND(M43+M44+M45+M46+M47+M48+M49+M50+M51+M52+M53+M54+M55+M56+M57+M58+M59+M60+M61+M62+M63+M64+M65+M66+M67+M68+M69+M70+M71+M72+M73+M74+M75+M76+M77+M78+M79-M137,0)</f>
        <v>0</v>
      </c>
      <c r="N141" s="258">
        <f>ROUND(N43+N44+N45+N46+N47+N48+N49+N50+N51+N52+N53+N54+N55+N56+N57+N58+N59+N60+N61+N62+N63+N64+N65+N66+N67+N68+N69+N70+N71+N72+N73+N74+N75+N76+N77+N78+N79-N137,0)</f>
        <v>0</v>
      </c>
      <c r="O141" s="258">
        <f>ROUND(O43+O44+O45+O46+O47+O48+O49+O50+O51+O52+O53+O54+O55+O56+O57+O58+O59+O60+O61+O62+O63+O64+O65+O66+O67+O68+O69+O70+O71+O72+O73+O74+O75+O76+O77+O78+O79-O137,0)</f>
        <v>0</v>
      </c>
      <c r="P141" s="258">
        <f>ROUND(P43+P44+P45+P46+P47+P48+P49+P50+P51+P52+P53+P54+P55+P56+P57+P58+P59+P60+P61+P62+P63+P64+P65+P66+P67+P68+P69+P70+P71+P72+P73+P74+P75+P76+P77+P78+P79-P137,0)</f>
        <v>0</v>
      </c>
      <c r="Q141" s="258">
        <f>ROUND(Q43+Q44+Q45+Q46+Q47+Q48+Q49+Q50+Q51+Q52+Q53+Q54+Q55+Q56+Q57+Q58+Q59+Q60+Q61+Q62+Q63+Q64+Q65+Q66+Q67+Q68+Q69+Q70+Q71+Q72+Q73+Q74+Q75+Q76+Q77+Q78+Q79-Q137,0)</f>
        <v>0</v>
      </c>
      <c r="R141" s="258">
        <f>ROUND(R43+R44+R45+R46+R47+R48+R49+R50+R51+R52+R53+R54+R55+R56+R57+R58+R59+R60+R61+R62+R63+R64+R65+R66+R67+R68+R69+R70+R71+R72+R73+R74+R75+R76+R77+R78+R79-R137,0)</f>
        <v>0</v>
      </c>
      <c r="S141" s="258">
        <f>ROUND(S43+S44+S45+S46+S47+S48+S49+S50+S51+S52+S53+S54+S55+S56+S57+S58+S59+S60+S61+S62+S63+S64+S65+S66+S67+S68+S69+S70+S71+S72+S73+S74+S75+S76+S77+S78+S79-S137,0)</f>
        <v>0</v>
      </c>
      <c r="T141" s="258">
        <f>ROUND(T43+T44+T45+T46+T47+T48+T49+T50+T51+T52+T53+T54+T55+T56+T57+T58+T59+T60+T61+T62+T63+T64+T65+T66+T67+T68+T69+T70+T71+T72+T73+T74+T75+T76+T77+T78+T79-T137,0)</f>
        <v>0</v>
      </c>
      <c r="U141" s="258">
        <f>ROUND(U43+U44+U45+U46+U47+U48+U49+U50+U51+U52+U53+U54+U55+U56+U57+U58+U59+U60+U61+U62+U63+U64+U65+U66+U67+U68+U69+U70+U71+U72+U73+U74+U75+U76+U77+U78+U79-U137,0)</f>
        <v>0</v>
      </c>
      <c r="V141" s="258">
        <f>ROUND(V43+V44+V45+V46+V47+V48+V49+V50+V51+V52+V53+V54+V55+V56+V57+V58+V59+V60+V61+V62+V63+V64+V65+V66+V67+V68+V69+V70+V71+V72+V73+V74+V75+V76+V77+V78+V79-V137,0)</f>
        <v>0</v>
      </c>
      <c r="W141" s="258">
        <f>ROUND(W43+W44+W45+W46+W47+W48+W49+W50+W51+W52+W53+W54+W55+W56+W57+W58+W59+W60+W61+W62+W63+W64+W65+W66+W67+W68+W69+W70+W71+W72+W73+W74+W75+W76+W77+W78+W79-W137,0)</f>
        <v>0</v>
      </c>
      <c r="X141" s="258">
        <f>ROUND(X43+X44+X45+X46+X47+X48+X49+X50+X51+X52+X53+X54+X55+X56+X57+X58+X59+X60+X61+X62+X63+X64+X65+X66+X67+X68+X69+X70+X71+X72+X73+X74+X75+X76+X77+X78+X79-X137,0)</f>
        <v>0</v>
      </c>
      <c r="Y141" s="258">
        <f>ROUND(Y43+Y44+Y45+Y46+Y47+Y48+Y49+Y50+Y51+Y52+Y53+Y54+Y55+Y56+Y57+Y58+Y59+Y60+Y61+Y62+Y63+Y64+Y65+Y66+Y67+Y68+Y69+Y70+Y71+Y72+Y73+Y74+Y75+Y76+Y77+Y78+Y79-Y137,0)</f>
        <v>0</v>
      </c>
      <c r="Z141" s="258">
        <f>ROUND(Z43+Z44+Z45+Z46+Z47+Z48+Z49+Z50+Z51+Z52+Z53+Z54+Z55+Z56+Z57+Z58+Z59+Z60+Z61+Z62+Z63+Z64+Z65+Z66+Z67+Z68+Z69+Z70+Z71+Z72+Z73+Z74+Z75+Z76+Z77+Z78+Z79-Z137,0)</f>
        <v>0</v>
      </c>
      <c r="AA141" s="258">
        <f>ROUND(AA43+AA44+AA45+AA46+AA47+AA48+AA49+AA50+AA51+AA52+AA53+AA54+AA55+AA56+AA57+AA58+AA59+AA60+AA61+AA62+AA63+AA64+AA65+AA66+AA67+AA68+AA69+AA70+AA71+AA72+AA73+AA74+AA75+AA76+AA77+AA78+AA79-AA137,0)</f>
        <v>0</v>
      </c>
      <c r="AB141" s="258">
        <f>ROUND(AB43+AB44+AB45+AB46+AB47+AB48+AB49+AB50+AB51+AB52+AB53+AB54+AB55+AB56+AB57+AB58+AB59+AB60+AB61+AB62+AB63+AB64+AB65+AB66+AB67+AB68+AB69+AB70+AB71+AB72+AB73+AB74+AB75+AB76+AB77+AB78+AB79-AB137,0)</f>
        <v>0</v>
      </c>
      <c r="AC141" s="258">
        <f>ROUND(AC43+AC44+AC45+AC46+AC47+AC48+AC49+AC50+AC51+AC52+AC53+AC54+AC55+AC56+AC57+AC58+AC59+AC60+AC61+AC62+AC63+AC64+AC65+AC66+AC67+AC68+AC69+AC70+AC71+AC72+AC73+AC74+AC75+AC76+AC77+AC78+AC79-AC137,0)</f>
        <v>0</v>
      </c>
      <c r="AD141" s="258">
        <f>ROUND(AD43+AD44+AD45+AD46+AD47+AD48+AD49+AD50+AD51+AD52+AD53+AD54+AD55+AD56+AD57+AD58+AD59+AD60+AD61+AD62+AD63+AD64+AD65+AD66+AD67+AD68+AD69+AD70+AD71+AD72+AD73+AD74+AD75+AD76+AD77+AD78+AD79-AD137,0)</f>
        <v>0</v>
      </c>
      <c r="AE141" s="258">
        <f>ROUND(AE43+AE44+AE45+AE46+AE47+AE48+AE49+AE50+AE51+AE52+AE53+AE54+AE55+AE56+AE57+AE58+AE59+AE60+AE61+AE62+AE63+AE64+AE65+AE66+AE67+AE68+AE69+AE70+AE71+AE72+AE73+AE74+AE75+AE76+AE77+AE78+AE79-AE137,0)</f>
        <v>0</v>
      </c>
      <c r="AF141" s="258">
        <f>ROUND(AF43+AF44+AF45+AF46+AF47+AF48+AF49+AF50+AF51+AF52+AF53+AF54+AF55+AF56+AF57+AF58+AF59+AF60+AF61+AF62+AF63+AF64+AF65+AF66+AF67+AF68+AF69+AF70+AF71+AF72+AF73+AF74+AF75+AF76+AF77+AF78+AF79-AF137,0)</f>
        <v>0</v>
      </c>
      <c r="AG141" s="258">
        <f>ROUND(AG43+AG44+AG45+AG46+AG47+AG48+AG49+AG50+AG51+AG52+AG53+AG54+AG55+AG56+AG57+AG58+AG59+AG60+AG61+AG62+AG63+AG64+AG65+AG66+AG67+AG68+AG69+AG70+AG71+AG72+AG73+AG74+AG75+AG76+AG77+AG78+AG79-AG137,0)</f>
        <v>0</v>
      </c>
      <c r="AH141" s="258">
        <f>ROUND(AH43+AH44+AH45+AH46+AH47+AH48+AH49+AH50+AH51+AH52+AH53+AH54+AH55+AH56+AH57+AH58+AH59+AH60+AH61+AH62+AH63+AH64+AH65+AH66+AH67+AH68+AH69+AH70+AH71+AH72+AH73+AH74+AH75+AH76+AH77+AH78+AH79-AH137,0)</f>
        <v>0</v>
      </c>
      <c r="AI141" s="258">
        <f>ROUND(AI43+AI44+AI45+AI46+AI47+AI48+AI49+AI50+AI51+AI52+AI53+AI54+AI55+AI56+AI57+AI58+AI59+AI60+AI61+AI62+AI63+AI64+AI65+AI66+AI67+AI68+AI69+AI70+AI71+AI72+AI73+AI74+AI75+AI76+AI77+AI78+AI79-AI137,0)</f>
        <v>0</v>
      </c>
      <c r="AJ141" s="258">
        <f>ROUND(AJ43+AJ44+AJ45+AJ46+AJ47+AJ48+AJ49+AJ50+AJ51+AJ52+AJ53+AJ54+AJ55+AJ56+AJ57+AJ58+AJ59+AJ60+AJ61+AJ62+AJ63+AJ64+AJ65+AJ66+AJ67+AJ68+AJ69+AJ70+AJ71+AJ72+AJ73+AJ74+AJ75+AJ76+AJ77+AJ78+AJ79-AJ137,0)</f>
        <v>0</v>
      </c>
    </row>
    <row r="142">
      <c r="G142" t="inlineStr">
        <is>
          <t>moeda</t>
        </is>
      </c>
      <c r="H142" t="inlineStr">
        <is>
          <t>CHECK: passivo + PL - passivo total</t>
        </is>
      </c>
      <c r="J142" t="inlineStr">
        <is>
          <t>derivada</t>
        </is>
      </c>
      <c r="K142" s="258">
        <f>ROUND(K80+K81+K82+K83+K84+K85+K86+K87+K88+K89+K90+K91+K92+K93+K94+K95+K96+K97+K98+K99+K100+K101+K102+K103+K104+K105+K106+K107+K108+K109+K110+K111+K112+K113+K114+K115+K116+K117+K118+K119+K120+K121+K122+K123+K124+K125+K126+K127+K128+K129+K130+K131+K132+K133+K134-K138,0)</f>
        <v>0</v>
      </c>
      <c r="L142" s="258">
        <f>ROUND(L80+L81+L82+L83+L84+L85+L86+L87+L88+L89+L90+L91+L92+L93+L94+L95+L96+L97+L98+L99+L100+L101+L102+L103+L104+L105+L106+L107+L108+L109+L110+L111+L112+L113+L114+L115+L116+L117+L118+L119+L120+L121+L122+L123+L124+L125+L126+L127+L128+L129+L130+L131+L132+L133+L134-L138,0)</f>
        <v>0</v>
      </c>
      <c r="M142" s="258">
        <f>ROUND(M80+M81+M82+M83+M84+M85+M86+M87+M88+M89+M90+M91+M92+M93+M94+M95+M96+M97+M98+M99+M100+M101+M102+M103+M104+M105+M106+M107+M108+M109+M110+M111+M112+M113+M114+M115+M116+M117+M118+M119+M120+M121+M122+M123+M124+M125+M126+M127+M128+M129+M130+M131+M132+M133+M134-M138,0)</f>
        <v>0</v>
      </c>
      <c r="N142" s="258">
        <f>ROUND(N80+N81+N82+N83+N84+N85+N86+N87+N88+N89+N90+N91+N92+N93+N94+N95+N96+N97+N98+N99+N100+N101+N102+N103+N104+N105+N106+N107+N108+N109+N110+N111+N112+N113+N114+N115+N116+N117+N118+N119+N120+N121+N122+N123+N124+N125+N126+N127+N128+N129+N130+N131+N132+N133+N134-N138,0)</f>
        <v>0</v>
      </c>
      <c r="O142" s="258">
        <f>ROUND(O80+O81+O82+O83+O84+O85+O86+O87+O88+O89+O90+O91+O92+O93+O94+O95+O96+O97+O98+O99+O100+O101+O102+O103+O104+O105+O106+O107+O108+O109+O110+O111+O112+O113+O114+O115+O116+O117+O118+O119+O120+O121+O122+O123+O124+O125+O126+O127+O128+O129+O130+O131+O132+O133+O134-O138,0)</f>
        <v>0</v>
      </c>
      <c r="P142" s="258">
        <f>ROUND(P80+P81+P82+P83+P84+P85+P86+P87+P88+P89+P90+P91+P92+P93+P94+P95+P96+P97+P98+P99+P100+P101+P102+P103+P104+P105+P106+P107+P108+P109+P110+P111+P112+P113+P114+P115+P116+P117+P118+P119+P120+P121+P122+P123+P124+P125+P126+P127+P128+P129+P130+P131+P132+P133+P134-P138,0)</f>
        <v>0</v>
      </c>
      <c r="Q142" s="258">
        <f>ROUND(Q80+Q81+Q82+Q83+Q84+Q85+Q86+Q87+Q88+Q89+Q90+Q91+Q92+Q93+Q94+Q95+Q96+Q97+Q98+Q99+Q100+Q101+Q102+Q103+Q104+Q105+Q106+Q107+Q108+Q109+Q110+Q111+Q112+Q113+Q114+Q115+Q116+Q117+Q118+Q119+Q120+Q121+Q122+Q123+Q124+Q125+Q126+Q127+Q128+Q129+Q130+Q131+Q132+Q133+Q134-Q138,0)</f>
        <v>0</v>
      </c>
      <c r="R142" s="258">
        <f>ROUND(R80+R81+R82+R83+R84+R85+R86+R87+R88+R89+R90+R91+R92+R93+R94+R95+R96+R97+R98+R99+R100+R101+R102+R103+R104+R105+R106+R107+R108+R109+R110+R111+R112+R113+R114+R115+R116+R117+R118+R119+R120+R121+R122+R123+R124+R125+R126+R127+R128+R129+R130+R131+R132+R133+R134-R138,0)</f>
        <v>0</v>
      </c>
      <c r="S142" s="258">
        <f>ROUND(S80+S81+S82+S83+S84+S85+S86+S87+S88+S89+S90+S91+S92+S93+S94+S95+S96+S97+S98+S99+S100+S101+S102+S103+S104+S105+S106+S107+S108+S109+S110+S111+S112+S113+S114+S115+S116+S117+S118+S119+S120+S121+S122+S123+S124+S125+S126+S127+S128+S129+S130+S131+S132+S133+S134-S138,0)</f>
        <v>0</v>
      </c>
      <c r="T142" s="258">
        <f>ROUND(T80+T81+T82+T83+T84+T85+T86+T87+T88+T89+T90+T91+T92+T93+T94+T95+T96+T97+T98+T99+T100+T101+T102+T103+T104+T105+T106+T107+T108+T109+T110+T111+T112+T113+T114+T115+T116+T117+T118+T119+T120+T121+T122+T123+T124+T125+T126+T127+T128+T129+T130+T131+T132+T133+T134-T138,0)</f>
        <v>0</v>
      </c>
      <c r="U142" s="258">
        <f>ROUND(U80+U81+U82+U83+U84+U85+U86+U87+U88+U89+U90+U91+U92+U93+U94+U95+U96+U97+U98+U99+U100+U101+U102+U103+U104+U105+U106+U107+U108+U109+U110+U111+U112+U113+U114+U115+U116+U117+U118+U119+U120+U121+U122+U123+U124+U125+U126+U127+U128+U129+U130+U131+U132+U133+U134-U138,0)</f>
        <v>0</v>
      </c>
      <c r="V142" s="258">
        <f>ROUND(V80+V81+V82+V83+V84+V85+V86+V87+V88+V89+V90+V91+V92+V93+V94+V95+V96+V97+V98+V99+V100+V101+V102+V103+V104+V105+V106+V107+V108+V109+V110+V111+V112+V113+V114+V115+V116+V117+V118+V119+V120+V121+V122+V123+V124+V125+V126+V127+V128+V129+V130+V131+V132+V133+V134-V138,0)</f>
        <v>0</v>
      </c>
      <c r="W142" s="258">
        <f>ROUND(W80+W81+W82+W83+W84+W85+W86+W87+W88+W89+W90+W91+W92+W93+W94+W95+W96+W97+W98+W99+W100+W101+W102+W103+W104+W105+W106+W107+W108+W109+W110+W111+W112+W113+W114+W115+W116+W117+W118+W119+W120+W121+W122+W123+W124+W125+W126+W127+W128+W129+W130+W131+W132+W133+W134-W138,0)</f>
        <v>0</v>
      </c>
      <c r="X142" s="258">
        <f>ROUND(X80+X81+X82+X83+X84+X85+X86+X87+X88+X89+X90+X91+X92+X93+X94+X95+X96+X97+X98+X99+X100+X101+X102+X103+X104+X105+X106+X107+X108+X109+X110+X111+X112+X113+X114+X115+X116+X117+X118+X119+X120+X121+X122+X123+X124+X125+X126+X127+X128+X129+X130+X131+X132+X133+X134-X138,0)</f>
        <v>0</v>
      </c>
      <c r="Y142" s="258">
        <f>ROUND(Y80+Y81+Y82+Y83+Y84+Y85+Y86+Y87+Y88+Y89+Y90+Y91+Y92+Y93+Y94+Y95+Y96+Y97+Y98+Y99+Y100+Y101+Y102+Y103+Y104+Y105+Y106+Y107+Y108+Y109+Y110+Y111+Y112+Y113+Y114+Y115+Y116+Y117+Y118+Y119+Y120+Y121+Y122+Y123+Y124+Y125+Y126+Y127+Y128+Y129+Y130+Y131+Y132+Y133+Y134-Y138,0)</f>
        <v>0</v>
      </c>
      <c r="Z142" s="258">
        <f>ROUND(Z80+Z81+Z82+Z83+Z84+Z85+Z86+Z87+Z88+Z89+Z90+Z91+Z92+Z93+Z94+Z95+Z96+Z97+Z98+Z99+Z100+Z101+Z102+Z103+Z104+Z105+Z106+Z107+Z108+Z109+Z110+Z111+Z112+Z113+Z114+Z115+Z116+Z117+Z118+Z119+Z120+Z121+Z122+Z123+Z124+Z125+Z126+Z127+Z128+Z129+Z130+Z131+Z132+Z133+Z134-Z138,0)</f>
        <v>0</v>
      </c>
      <c r="AA142" s="258">
        <f>ROUND(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134-AA138,0)</f>
        <v>0</v>
      </c>
      <c r="AB142" s="258">
        <f>ROUND(AB80+AB81+AB82+AB83+AB84+AB85+AB86+AB87+AB88+AB89+AB90+AB91+AB92+AB93+AB94+AB95+AB96+AB97+AB98+AB99+AB100+AB101+AB102+AB103+AB104+AB105+AB106+AB107+AB108+AB109+AB110+AB111+AB112+AB113+AB114+AB115+AB116+AB117+AB118+AB119+AB120+AB121+AB122+AB123+AB124+AB125+AB126+AB127+AB128+AB129+AB130+AB131+AB132+AB133+AB134-AB138,0)</f>
        <v>0</v>
      </c>
      <c r="AC142" s="258">
        <f>ROUND(AC80+AC81+AC82+AC83+AC84+AC85+AC86+AC87+AC88+AC89+AC90+AC91+AC92+AC93+AC94+AC95+AC96+AC97+AC98+AC99+AC100+AC101+AC102+AC103+AC104+AC105+AC106+AC107+AC108+AC109+AC110+AC111+AC112+AC113+AC114+AC115+AC116+AC117+AC118+AC119+AC120+AC121+AC122+AC123+AC124+AC125+AC126+AC127+AC128+AC129+AC130+AC131+AC132+AC133+AC134-AC138,0)</f>
        <v>0</v>
      </c>
      <c r="AD142" s="258">
        <f>ROUND(AD80+AD81+AD82+AD83+AD84+AD85+AD86+AD87+AD88+AD89+AD90+AD91+AD92+AD93+AD94+AD95+AD96+AD97+AD98+AD99+AD100+AD101+AD102+AD103+AD104+AD105+AD106+AD107+AD108+AD109+AD110+AD111+AD112+AD113+AD114+AD115+AD116+AD117+AD118+AD119+AD120+AD121+AD122+AD123+AD124+AD125+AD126+AD127+AD128+AD129+AD130+AD131+AD132+AD133+AD134-AD138,0)</f>
        <v>0</v>
      </c>
      <c r="AE142" s="258">
        <f>ROUND(AE80+AE81+AE82+AE83+AE84+AE85+AE86+AE87+AE88+AE89+AE90+AE91+AE92+AE93+AE94+AE95+AE96+AE97+AE98+AE99+AE100+AE101+AE102+AE103+AE104+AE105+AE106+AE107+AE108+AE109+AE110+AE111+AE112+AE113+AE114+AE115+AE116+AE117+AE118+AE119+AE120+AE121+AE122+AE123+AE124+AE125+AE126+AE127+AE128+AE129+AE130+AE131+AE132+AE133+AE134-AE138,0)</f>
        <v>0</v>
      </c>
      <c r="AF142" s="258">
        <f>ROUND(AF80+AF81+AF82+AF83+AF84+AF85+AF86+AF87+AF88+AF89+AF90+AF91+AF92+AF93+AF94+AF95+AF96+AF97+AF98+AF99+AF100+AF101+AF102+AF103+AF104+AF105+AF106+AF107+AF108+AF109+AF110+AF111+AF112+AF113+AF114+AF115+AF116+AF117+AF118+AF119+AF120+AF121+AF122+AF123+AF124+AF125+AF126+AF127+AF128+AF129+AF130+AF131+AF132+AF133+AF134-AF138,0)</f>
        <v>0</v>
      </c>
      <c r="AG142" s="258">
        <f>ROUND(AG80+AG81+AG82+AG83+AG84+AG85+AG86+AG87+AG88+AG89+AG90+AG91+AG92+AG93+AG94+AG95+AG96+AG97+AG98+AG99+AG100+AG101+AG102+AG103+AG104+AG105+AG106+AG107+AG108+AG109+AG110+AG111+AG112+AG113+AG114+AG115+AG116+AG117+AG118+AG119+AG120+AG121+AG122+AG123+AG124+AG125+AG126+AG127+AG128+AG129+AG130+AG131+AG132+AG133+AG134-AG138,0)</f>
        <v>0</v>
      </c>
      <c r="AH142" s="258">
        <f>ROUND(AH80+AH81+AH82+AH83+AH84+AH85+AH86+AH87+AH88+AH89+AH90+AH91+AH92+AH93+AH94+AH95+AH96+AH97+AH98+AH99+AH100+AH101+AH102+AH103+AH104+AH105+AH106+AH107+AH108+AH109+AH110+AH111+AH112+AH113+AH114+AH115+AH116+AH117+AH118+AH119+AH120+AH121+AH122+AH123+AH124+AH125+AH126+AH127+AH128+AH129+AH130+AH131+AH132+AH133+AH134-AH138,0)</f>
        <v>0</v>
      </c>
      <c r="AI142" s="258">
        <f>ROUND(AI80+AI81+AI82+AI83+AI84+AI85+AI86+AI87+AI88+AI89+AI90+AI91+AI92+AI93+AI94+AI95+AI96+AI97+AI98+AI99+AI100+AI101+AI102+AI103+AI104+AI105+AI106+AI107+AI108+AI109+AI110+AI111+AI112+AI113+AI114+AI115+AI116+AI117+AI118+AI119+AI120+AI121+AI122+AI123+AI124+AI125+AI126+AI127+AI128+AI129+AI130+AI131+AI132+AI133+AI134-AI138,0)</f>
        <v>0</v>
      </c>
      <c r="AJ142" s="258">
        <f>ROUND(AJ80+AJ81+AJ82+AJ83+AJ84+AJ85+AJ86+AJ87+AJ88+AJ89+AJ90+AJ91+AJ92+AJ93+AJ94+AJ95+AJ96+AJ97+AJ98+AJ99+AJ100+AJ101+AJ102+AJ103+AJ104+AJ105+AJ106+AJ107+AJ108+AJ109+AJ110+AJ111+AJ112+AJ113+AJ114+AJ115+AJ116+AJ117+AJ118+AJ119+AJ120+AJ121+AJ122+AJ123+AJ124+AJ125+AJ126+AJ127+AJ128+AJ129+AJ130+AJ131+AJ132+AJ133+AJ134-AJ138,0)</f>
        <v>0</v>
      </c>
    </row>
    <row r="143">
      <c r="H143" t="inlineStr">
        <is>
          <t>[vazio] cod 20 Goodwill: dentro do intangivel (agio das aquisicoes e da incorporacao da Vital)</t>
        </is>
      </c>
    </row>
    <row r="144">
      <c r="H144" t="inlineStr">
        <is>
          <t>[vazio] cod 28 Revolver: sem linha propria (emprestimos CP no cod 27)</t>
        </is>
      </c>
    </row>
    <row r="145">
      <c r="H145" t="inlineStr">
        <is>
          <t>[vazio] cod 32 Convertible debt: inexistente</t>
        </is>
      </c>
    </row>
    <row r="146">
      <c r="H146" t="inlineStr">
        <is>
          <t>[vazio] cod 36 Convertible Preferred Stock: inexistente</t>
        </is>
      </c>
    </row>
    <row r="147">
      <c r="H147" t="inlineStr">
        <is>
          <t>[vazio] cod 38 Treasury stock: sem linha propria</t>
        </is>
      </c>
    </row>
    <row r="148">
      <c r="H148" t="inlineStr">
        <is>
          <t>Nota 2T26: incorporacao da Holding Vital (Vital Engenharia Ambiental) - o ITR consolida a Vital so a partir da data da incorporacao; o release apresenta numeros pro forma (3 meses). O Model segue o contabil (CVM).</t>
        </is>
      </c>
    </row>
    <row r="150">
      <c r="H150" s="254" t="inlineStr">
        <is>
          <t>DRIVERS DE RECEITA (codigos 45+): receita por segmento (R$ mil, UNID moeda) e KPIs operacionais (UNID un) dos releases trimestrais.</t>
        </is>
      </c>
    </row>
    <row r="151">
      <c r="A151" t="n">
        <v>45</v>
      </c>
      <c r="B151" t="n">
        <v>1</v>
      </c>
      <c r="G151" t="inlineStr">
        <is>
          <t>moeda</t>
        </is>
      </c>
      <c r="H151" t="inlineStr">
        <is>
          <t>Receita liquida - Tratamento e destinacao final (R$ mil; releases)</t>
        </is>
      </c>
      <c r="J151" t="inlineStr">
        <is>
          <t>fonte</t>
        </is>
      </c>
      <c r="K151" s="260" t="n">
        <v>58929</v>
      </c>
      <c r="L151" s="260" t="n">
        <v>63853</v>
      </c>
      <c r="M151" s="260" t="n">
        <v>64216</v>
      </c>
      <c r="N151" s="260" t="n">
        <v>60773</v>
      </c>
      <c r="O151" s="260" t="n">
        <v>62245</v>
      </c>
      <c r="P151" s="260" t="n">
        <v>62273</v>
      </c>
      <c r="Q151" s="260" t="n">
        <v>63828</v>
      </c>
      <c r="R151" s="260" t="n">
        <v>78351</v>
      </c>
      <c r="S151" s="260" t="n">
        <v>75119</v>
      </c>
      <c r="T151" s="260" t="n">
        <v>121928</v>
      </c>
      <c r="U151" s="260" t="n">
        <v>154009</v>
      </c>
      <c r="V151" s="260" t="n">
        <v>140740</v>
      </c>
      <c r="W151" s="260" t="n">
        <v>136507</v>
      </c>
      <c r="X151" s="260" t="n">
        <v>148257</v>
      </c>
      <c r="Y151" s="260" t="n">
        <v>145237</v>
      </c>
      <c r="Z151" s="260" t="n">
        <v>153020</v>
      </c>
      <c r="AA151" s="260" t="n">
        <v>162450</v>
      </c>
      <c r="AB151" s="260" t="n">
        <v>160347</v>
      </c>
      <c r="AC151" s="260" t="n">
        <v>163478</v>
      </c>
      <c r="AD151" s="260" t="n">
        <v>167406</v>
      </c>
      <c r="AE151" s="260" t="n">
        <v>174283</v>
      </c>
      <c r="AF151" s="260" t="n">
        <v>178679</v>
      </c>
      <c r="AG151" s="260" t="n">
        <v>182316</v>
      </c>
      <c r="AH151" s="260" t="n">
        <v>181543</v>
      </c>
      <c r="AI151" s="260" t="n">
        <v>202995</v>
      </c>
      <c r="AJ151" s="260" t="n"/>
    </row>
    <row r="152">
      <c r="A152" t="n">
        <v>46</v>
      </c>
      <c r="B152" t="n">
        <v>1</v>
      </c>
      <c r="G152" t="inlineStr">
        <is>
          <t>moeda</t>
        </is>
      </c>
      <c r="H152" t="inlineStr">
        <is>
          <t>Receita liquida - Energia, biogas e credito de carbono (R$ mil)</t>
        </is>
      </c>
      <c r="J152" t="inlineStr">
        <is>
          <t>fonte</t>
        </is>
      </c>
      <c r="K152" s="260" t="n">
        <v>11310</v>
      </c>
      <c r="L152" s="260" t="n">
        <v>18030</v>
      </c>
      <c r="M152" s="260" t="n">
        <v>17056</v>
      </c>
      <c r="N152" s="260" t="n">
        <v>24028</v>
      </c>
      <c r="O152" s="260" t="n">
        <v>11233</v>
      </c>
      <c r="P152" s="260" t="n">
        <v>12297</v>
      </c>
      <c r="Q152" s="260" t="n">
        <v>19858</v>
      </c>
      <c r="R152" s="260" t="n">
        <v>60088</v>
      </c>
      <c r="S152" s="260" t="n">
        <v>9996</v>
      </c>
      <c r="T152" s="260" t="n">
        <v>10498</v>
      </c>
      <c r="U152" s="260" t="n">
        <v>22127</v>
      </c>
      <c r="V152" s="260" t="n">
        <v>17087</v>
      </c>
      <c r="W152" s="260" t="n">
        <v>28881</v>
      </c>
      <c r="X152" s="260" t="n">
        <v>27481</v>
      </c>
      <c r="Y152" s="260" t="n">
        <v>30562</v>
      </c>
      <c r="Z152" s="260" t="n">
        <v>29824</v>
      </c>
      <c r="AA152" s="260" t="n">
        <v>30690</v>
      </c>
      <c r="AB152" s="260" t="n">
        <v>33980</v>
      </c>
      <c r="AC152" s="260" t="n">
        <v>63217</v>
      </c>
      <c r="AD152" s="260" t="n">
        <v>41805</v>
      </c>
      <c r="AE152" s="260" t="n">
        <v>47138</v>
      </c>
      <c r="AF152" s="260" t="n">
        <v>66302</v>
      </c>
      <c r="AG152" s="260" t="n">
        <v>77080</v>
      </c>
      <c r="AH152" s="260" t="n">
        <v>67379</v>
      </c>
      <c r="AI152" s="260" t="n">
        <v>111014</v>
      </c>
      <c r="AJ152" s="260" t="n"/>
    </row>
    <row r="153">
      <c r="A153" t="n">
        <v>47</v>
      </c>
      <c r="B153" t="n">
        <v>1</v>
      </c>
      <c r="G153" t="inlineStr">
        <is>
          <t>moeda</t>
        </is>
      </c>
      <c r="H153" t="inlineStr">
        <is>
          <t>Receita liquida - Beneficiamento de residuos / WtE (R$ mil)</t>
        </is>
      </c>
      <c r="J153" t="inlineStr">
        <is>
          <t>fonte</t>
        </is>
      </c>
      <c r="K153" s="260" t="n">
        <v>14195</v>
      </c>
      <c r="L153" s="260" t="n">
        <v>11847</v>
      </c>
      <c r="M153" s="260" t="n">
        <v>12418</v>
      </c>
      <c r="N153" s="260" t="n">
        <v>12494</v>
      </c>
      <c r="O153" s="260" t="n">
        <v>10626</v>
      </c>
      <c r="P153" s="260" t="n">
        <v>12903</v>
      </c>
      <c r="Q153" s="260" t="n">
        <v>8793</v>
      </c>
      <c r="R153" s="260" t="n">
        <v>6835</v>
      </c>
      <c r="S153" s="260" t="n">
        <v>3780</v>
      </c>
      <c r="T153" s="260" t="n">
        <v>6677</v>
      </c>
      <c r="U153" s="260" t="n">
        <v>11911</v>
      </c>
      <c r="V153" s="260" t="n">
        <v>8966</v>
      </c>
      <c r="W153" s="260" t="n">
        <v>12524</v>
      </c>
      <c r="X153" s="260" t="n">
        <v>13420</v>
      </c>
      <c r="Y153" s="260" t="n">
        <v>10484</v>
      </c>
      <c r="Z153" s="260" t="n">
        <v>8945</v>
      </c>
      <c r="AA153" s="260" t="n">
        <v>10485</v>
      </c>
      <c r="AB153" s="260" t="n">
        <v>13901</v>
      </c>
      <c r="AC153" s="260" t="n">
        <v>16375</v>
      </c>
      <c r="AD153" s="260" t="n">
        <v>16410</v>
      </c>
      <c r="AE153" s="260" t="n">
        <v>17104</v>
      </c>
      <c r="AF153" s="260" t="n">
        <v>16495</v>
      </c>
      <c r="AG153" s="260" t="n">
        <v>17292</v>
      </c>
      <c r="AH153" s="260" t="n">
        <v>11639</v>
      </c>
      <c r="AI153" s="260" t="n">
        <v>13253</v>
      </c>
      <c r="AJ153" s="260" t="n"/>
    </row>
    <row r="154">
      <c r="A154" t="n">
        <v>48</v>
      </c>
      <c r="B154" t="n">
        <v>1</v>
      </c>
      <c r="G154" t="inlineStr">
        <is>
          <t>moeda</t>
        </is>
      </c>
      <c r="H154" t="inlineStr">
        <is>
          <t>Receita liquida - Engenharia ambiental (R$ mil)</t>
        </is>
      </c>
      <c r="J154" t="inlineStr">
        <is>
          <t>fonte</t>
        </is>
      </c>
      <c r="K154" s="260" t="n">
        <v>7075</v>
      </c>
      <c r="L154" s="260" t="n">
        <v>6106</v>
      </c>
      <c r="M154" s="260" t="n">
        <v>3915</v>
      </c>
      <c r="N154" s="260" t="n">
        <v>5723</v>
      </c>
      <c r="O154" s="260" t="n">
        <v>3521</v>
      </c>
      <c r="P154" s="260" t="n">
        <v>5214</v>
      </c>
      <c r="Q154" s="260" t="n">
        <v>7362</v>
      </c>
      <c r="R154" s="260" t="n">
        <v>10089</v>
      </c>
      <c r="S154" s="260" t="n">
        <v>10331</v>
      </c>
      <c r="T154" s="260" t="n">
        <v>11509</v>
      </c>
      <c r="U154" s="260" t="n">
        <v>9129</v>
      </c>
      <c r="V154" s="260" t="n">
        <v>12416</v>
      </c>
      <c r="W154" s="260" t="n">
        <v>10933</v>
      </c>
      <c r="X154" s="260" t="n">
        <v>7087</v>
      </c>
      <c r="Y154" s="260" t="n">
        <v>6316</v>
      </c>
      <c r="Z154" s="260" t="n">
        <v>6798</v>
      </c>
      <c r="AA154" s="260" t="n">
        <v>5521</v>
      </c>
      <c r="AB154" s="260" t="n">
        <v>6819</v>
      </c>
      <c r="AC154" s="260" t="n">
        <v>6003</v>
      </c>
      <c r="AD154" s="260" t="n">
        <v>4585</v>
      </c>
      <c r="AE154" s="260" t="n">
        <v>2275</v>
      </c>
      <c r="AF154" s="260" t="n">
        <v>2706</v>
      </c>
      <c r="AG154" s="260" t="n">
        <v>4362</v>
      </c>
      <c r="AH154" s="260" t="n">
        <v>3748</v>
      </c>
      <c r="AI154" s="260" t="n">
        <v>3814</v>
      </c>
      <c r="AJ154" s="260" t="n"/>
    </row>
    <row r="155">
      <c r="A155" t="n">
        <v>49</v>
      </c>
      <c r="B155" t="n">
        <v>1</v>
      </c>
      <c r="G155" t="inlineStr">
        <is>
          <t>moeda</t>
        </is>
      </c>
      <c r="H155" t="inlineStr">
        <is>
          <t>dos quais: receita de creditos de carbono (R$ mil; 2025-26 arredondado em R$ mi no release; 4T20 e 1T24 nao divulgados)</t>
        </is>
      </c>
      <c r="J155" t="inlineStr">
        <is>
          <t>fonte</t>
        </is>
      </c>
      <c r="K155" s="260" t="n">
        <v>1400</v>
      </c>
      <c r="L155" s="260" t="n">
        <v>8725</v>
      </c>
      <c r="M155" s="260" t="n">
        <v>8443</v>
      </c>
      <c r="N155" s="260" t="n"/>
      <c r="O155" s="260" t="n">
        <v>0</v>
      </c>
      <c r="P155" s="260" t="n">
        <v>0</v>
      </c>
      <c r="Q155" s="260" t="n">
        <v>1687</v>
      </c>
      <c r="R155" s="260" t="n">
        <v>42103</v>
      </c>
      <c r="S155" s="260" t="n">
        <v>0</v>
      </c>
      <c r="T155" s="260" t="n">
        <v>0</v>
      </c>
      <c r="U155" s="260" t="n">
        <v>0</v>
      </c>
      <c r="V155" s="260" t="n">
        <v>0</v>
      </c>
      <c r="W155" s="260" t="n">
        <v>0</v>
      </c>
      <c r="X155" s="260" t="n">
        <v>0</v>
      </c>
      <c r="Y155" s="260" t="n">
        <v>0</v>
      </c>
      <c r="Z155" s="260" t="n">
        <v>0</v>
      </c>
      <c r="AA155" s="260" t="n"/>
      <c r="AB155" s="260" t="n">
        <v>0</v>
      </c>
      <c r="AC155" s="260" t="n">
        <v>37400</v>
      </c>
      <c r="AD155" s="260" t="n">
        <v>0</v>
      </c>
      <c r="AE155" s="260" t="n">
        <v>0</v>
      </c>
      <c r="AF155" s="260" t="n">
        <v>5000</v>
      </c>
      <c r="AG155" s="260" t="n">
        <v>14000</v>
      </c>
      <c r="AH155" s="260" t="n">
        <v>16500</v>
      </c>
      <c r="AI155" s="260" t="n">
        <v>11500</v>
      </c>
      <c r="AJ155" s="260" t="n">
        <v>9200</v>
      </c>
    </row>
    <row r="156">
      <c r="A156" t="n">
        <v>50</v>
      </c>
      <c r="B156" t="n">
        <v>1</v>
      </c>
      <c r="G156" t="inlineStr">
        <is>
          <t>un</t>
        </is>
      </c>
      <c r="H156" t="inlineStr">
        <is>
          <t>Volume de residuos recebidos nos ecoparques (mil t; Orizon legado)</t>
        </is>
      </c>
      <c r="J156" t="inlineStr">
        <is>
          <t>fonte</t>
        </is>
      </c>
      <c r="K156" s="261" t="n">
        <v>1265.178</v>
      </c>
      <c r="L156" s="261" t="n">
        <v>1148.1</v>
      </c>
      <c r="M156" s="261" t="n">
        <v>1217.4</v>
      </c>
      <c r="N156" s="261" t="n">
        <v>1181.2134</v>
      </c>
      <c r="O156" s="261" t="n">
        <v>1194.034</v>
      </c>
      <c r="P156" s="261" t="n">
        <v>1173.4</v>
      </c>
      <c r="Q156" s="261" t="n">
        <v>1195.2</v>
      </c>
      <c r="R156" s="261" t="n">
        <v>1221.7</v>
      </c>
      <c r="S156" s="261" t="n">
        <v>1245</v>
      </c>
      <c r="T156" s="261" t="n">
        <v>2064</v>
      </c>
      <c r="U156" s="261" t="n">
        <v>2012.136</v>
      </c>
      <c r="V156" s="261" t="n">
        <v>2174.6</v>
      </c>
      <c r="W156" s="261" t="n">
        <v>2109.4</v>
      </c>
      <c r="X156" s="261" t="n">
        <v>2038.6</v>
      </c>
      <c r="Y156" s="261" t="n">
        <v>2060.4</v>
      </c>
      <c r="Z156" s="261" t="n">
        <v>2129.9</v>
      </c>
      <c r="AA156" s="261" t="n">
        <v>2203.7</v>
      </c>
      <c r="AB156" s="261" t="n">
        <v>2162.3</v>
      </c>
      <c r="AC156" s="261" t="n">
        <v>2161.3</v>
      </c>
      <c r="AD156" s="261" t="n">
        <v>2148.8</v>
      </c>
      <c r="AE156" s="261" t="n">
        <v>2175.8</v>
      </c>
      <c r="AF156" s="261" t="n">
        <v>2213.5</v>
      </c>
      <c r="AG156" s="261" t="n">
        <v>2226.9</v>
      </c>
      <c r="AH156" s="261" t="n">
        <v>2249.5</v>
      </c>
      <c r="AI156" s="261" t="n">
        <v>2306</v>
      </c>
      <c r="AJ156" s="261" t="n">
        <v>2449.4</v>
      </c>
    </row>
    <row r="157">
      <c r="A157" t="n">
        <v>51</v>
      </c>
      <c r="B157" t="n">
        <v>1</v>
      </c>
      <c r="G157" t="inlineStr">
        <is>
          <t>un</t>
        </is>
      </c>
      <c r="H157" t="inlineStr">
        <is>
          <t>Volume recebido nas unidades de beneficiamento (mil t)</t>
        </is>
      </c>
      <c r="J157" t="inlineStr">
        <is>
          <t>fonte</t>
        </is>
      </c>
      <c r="K157" s="261" t="n">
        <v>13.543</v>
      </c>
      <c r="L157" s="261" t="n">
        <v>5.4</v>
      </c>
      <c r="M157" s="261" t="n">
        <v>5</v>
      </c>
      <c r="N157" s="261" t="n">
        <v>5.1</v>
      </c>
      <c r="O157" s="261" t="n">
        <v>4.726</v>
      </c>
      <c r="P157" s="261" t="n">
        <v>4.1</v>
      </c>
      <c r="Q157" s="261" t="n">
        <v>4.2</v>
      </c>
      <c r="R157" s="261" t="n">
        <v>6.6</v>
      </c>
      <c r="S157" s="261" t="n">
        <v>24.2</v>
      </c>
      <c r="T157" s="261" t="n">
        <v>24.4</v>
      </c>
      <c r="U157" s="261" t="n">
        <v>23.662</v>
      </c>
      <c r="V157" s="261" t="n">
        <v>23.9</v>
      </c>
      <c r="W157" s="261" t="n">
        <v>27.9</v>
      </c>
      <c r="X157" s="261" t="n">
        <v>28.5</v>
      </c>
      <c r="Y157" s="261" t="n">
        <v>28.6</v>
      </c>
      <c r="Z157" s="261" t="n">
        <v>27.1</v>
      </c>
      <c r="AA157" s="261" t="n">
        <v>25.7</v>
      </c>
      <c r="AB157" s="261" t="n">
        <v>31</v>
      </c>
      <c r="AC157" s="261" t="n">
        <v>36.7</v>
      </c>
      <c r="AD157" s="261" t="n">
        <v>35.7</v>
      </c>
      <c r="AE157" s="261" t="n">
        <v>35.4</v>
      </c>
      <c r="AF157" s="261" t="n">
        <v>33.9</v>
      </c>
      <c r="AG157" s="261" t="n">
        <v>33.1</v>
      </c>
      <c r="AH157" s="261" t="n">
        <v>27.7</v>
      </c>
      <c r="AI157" s="261" t="n">
        <v>29</v>
      </c>
      <c r="AJ157" s="261" t="n">
        <v>34.2</v>
      </c>
    </row>
    <row r="158">
      <c r="A158" t="n">
        <v>52</v>
      </c>
      <c r="B158" t="n">
        <v>1</v>
      </c>
      <c r="G158" t="inlineStr">
        <is>
          <t>un</t>
        </is>
      </c>
      <c r="H158" t="inlineStr">
        <is>
          <t>Biogas captado - media do trimestre (Nm3/h)</t>
        </is>
      </c>
      <c r="J158" t="inlineStr">
        <is>
          <t>fonte</t>
        </is>
      </c>
      <c r="K158" s="260" t="n">
        <v>26345</v>
      </c>
      <c r="L158" s="260" t="n">
        <v>19800</v>
      </c>
      <c r="M158" s="260" t="n">
        <v>19700</v>
      </c>
      <c r="N158" s="260" t="n">
        <v>31802</v>
      </c>
      <c r="O158" s="260" t="n">
        <v>30616</v>
      </c>
      <c r="P158" s="260" t="n">
        <v>20900</v>
      </c>
      <c r="Q158" s="260" t="n">
        <v>19000</v>
      </c>
      <c r="R158" s="260" t="n">
        <v>18700</v>
      </c>
      <c r="S158" s="260" t="n">
        <v>32696</v>
      </c>
      <c r="T158" s="260" t="n">
        <v>36000</v>
      </c>
      <c r="U158" s="260" t="n">
        <v>43882</v>
      </c>
      <c r="V158" s="260" t="n">
        <v>49106</v>
      </c>
      <c r="W158" s="260" t="n">
        <v>52061</v>
      </c>
      <c r="X158" s="260" t="n">
        <v>55224</v>
      </c>
      <c r="Y158" s="260" t="n">
        <v>53763</v>
      </c>
      <c r="Z158" s="260" t="n">
        <v>56103</v>
      </c>
      <c r="AA158" s="260" t="n">
        <v>60167</v>
      </c>
      <c r="AB158" s="260" t="n">
        <v>62599</v>
      </c>
      <c r="AC158" s="260" t="n">
        <v>62271</v>
      </c>
      <c r="AD158" s="260" t="n">
        <v>62102</v>
      </c>
      <c r="AE158" s="260" t="n">
        <v>60678</v>
      </c>
      <c r="AF158" s="260" t="n">
        <v>59779.3</v>
      </c>
      <c r="AG158" s="260" t="n">
        <v>57361</v>
      </c>
      <c r="AH158" s="260" t="n">
        <v>58971</v>
      </c>
      <c r="AI158" s="260" t="n">
        <v>52521</v>
      </c>
      <c r="AJ158" s="260" t="n">
        <v>55200</v>
      </c>
    </row>
    <row r="159">
      <c r="A159" t="n">
        <v>53</v>
      </c>
      <c r="B159" t="n">
        <v>1</v>
      </c>
      <c r="G159" t="inlineStr">
        <is>
          <t>un</t>
        </is>
      </c>
      <c r="H159" t="inlineStr">
        <is>
          <t>Energia eletrica gerada (MWh no trimestre)</t>
        </is>
      </c>
      <c r="J159" t="inlineStr">
        <is>
          <t>fonte</t>
        </is>
      </c>
      <c r="K159" s="260" t="n"/>
      <c r="L159" s="260" t="n">
        <v>30900</v>
      </c>
      <c r="M159" s="260" t="n">
        <v>32000</v>
      </c>
      <c r="N159" s="260" t="n">
        <v>35200</v>
      </c>
      <c r="O159" s="260" t="n">
        <v>36479</v>
      </c>
      <c r="P159" s="260" t="n">
        <v>37000</v>
      </c>
      <c r="Q159" s="260" t="n">
        <v>47500</v>
      </c>
      <c r="R159" s="260" t="n">
        <v>54100</v>
      </c>
      <c r="S159" s="260" t="n">
        <v>41334</v>
      </c>
      <c r="T159" s="260" t="n">
        <v>57000</v>
      </c>
      <c r="U159" s="260" t="n">
        <v>91063</v>
      </c>
      <c r="V159" s="260" t="n">
        <v>100343</v>
      </c>
      <c r="W159" s="260" t="n">
        <v>94524</v>
      </c>
      <c r="X159" s="260" t="n">
        <v>100744</v>
      </c>
      <c r="Y159" s="260" t="n">
        <v>99428</v>
      </c>
      <c r="Z159" s="260" t="n">
        <v>103742</v>
      </c>
      <c r="AA159" s="260" t="n">
        <v>109152</v>
      </c>
      <c r="AB159" s="260" t="n">
        <v>96313</v>
      </c>
      <c r="AC159" s="260" t="n">
        <v>94214</v>
      </c>
      <c r="AD159" s="260" t="n">
        <v>96129</v>
      </c>
      <c r="AE159" s="260" t="n">
        <v>83591</v>
      </c>
      <c r="AF159" s="260" t="n">
        <v>79398</v>
      </c>
      <c r="AG159" s="260" t="n">
        <v>79269</v>
      </c>
      <c r="AH159" s="260" t="n">
        <v>64259</v>
      </c>
      <c r="AI159" s="260" t="n">
        <v>23608</v>
      </c>
      <c r="AJ159" s="260" t="n">
        <v>21465</v>
      </c>
    </row>
    <row r="160">
      <c r="A160" t="n">
        <v>54</v>
      </c>
      <c r="B160" t="n">
        <v>1</v>
      </c>
      <c r="G160" t="inlineStr">
        <is>
          <t>un</t>
        </is>
      </c>
      <c r="H160" t="inlineStr">
        <is>
          <t>Creditos de carbono gerados (tCO2e no trimestre)</t>
        </is>
      </c>
      <c r="J160" t="inlineStr">
        <is>
          <t>fonte</t>
        </is>
      </c>
      <c r="K160" s="260" t="n">
        <v>318471</v>
      </c>
      <c r="L160" s="260" t="n">
        <v>355800</v>
      </c>
      <c r="M160" s="260" t="n">
        <v>397300</v>
      </c>
      <c r="N160" s="260" t="n">
        <v>428255</v>
      </c>
      <c r="O160" s="260" t="n">
        <v>407316</v>
      </c>
      <c r="P160" s="260" t="n">
        <v>379700</v>
      </c>
      <c r="Q160" s="260" t="n">
        <v>367300</v>
      </c>
      <c r="R160" s="260" t="n">
        <v>455700</v>
      </c>
      <c r="S160" s="260" t="n">
        <v>483524</v>
      </c>
      <c r="T160" s="260" t="n">
        <v>473000</v>
      </c>
      <c r="U160" s="260" t="n">
        <v>437472</v>
      </c>
      <c r="V160" s="260" t="n">
        <v>654701</v>
      </c>
      <c r="W160" s="260" t="n">
        <v>743652</v>
      </c>
      <c r="X160" s="260" t="n">
        <v>702923</v>
      </c>
      <c r="Y160" s="260" t="n">
        <v>752302</v>
      </c>
      <c r="Z160" s="260" t="n">
        <v>793097</v>
      </c>
      <c r="AA160" s="260" t="n">
        <v>843664</v>
      </c>
      <c r="AB160" s="260" t="n">
        <v>873852</v>
      </c>
      <c r="AC160" s="260" t="n">
        <v>872269</v>
      </c>
      <c r="AD160" s="260" t="n">
        <v>871843</v>
      </c>
      <c r="AE160" s="260" t="n">
        <v>888674</v>
      </c>
      <c r="AF160" s="260" t="n">
        <v>864369</v>
      </c>
      <c r="AG160" s="260" t="n">
        <v>819192</v>
      </c>
      <c r="AH160" s="260" t="n">
        <v>670490</v>
      </c>
      <c r="AI160" s="260" t="n">
        <v>554709</v>
      </c>
      <c r="AJ160" s="260" t="n">
        <v>644500</v>
      </c>
    </row>
    <row r="161">
      <c r="H161" t="inlineStr">
        <is>
          <t>Fontes e quebras: releases trimestrais (cada trimestre do proprio release; 1T20-3T20 de comparativos de 2021; 4T21 e 2T25 lidos das tabelas em imagem; 4T22, 1T23 e 2T23 dos comparativos do ano seguinte). Volume: 1T22 = so ativos originais, 2T22 = pro forma com UPI Aterros, 3T22 inclui ~24 mil t de beneficiamento; de 4T22 em diante so ecoparques. Biogas: 2T20-3T20 e 2T21-4T21 em base de 3 ecoparques (~19-21 mil Nm3/h), demais em base completa. 2T26: release nao abre os 4 segmentos legados (novo formato pos-Vital); Orizon Legado = R$ 349,1 mi.</t>
        </is>
      </c>
    </row>
    <row r="203">
      <c r="H203" s="254" t="inlineStr">
        <is>
          <t>CONVENCOES</t>
        </is>
      </c>
    </row>
    <row r="204">
      <c r="H204" t="inlineStr">
        <is>
          <t>Linhas de origem: 5 a 161. As formulas da Inputs (2) varrem as linhas 5 a 200; as linhas 162 a 200 estao livres para novas contas.</t>
        </is>
      </c>
    </row>
    <row r="205">
      <c r="H205" t="inlineStr">
        <is>
          <t>Periodos: colunas K a AJ (1Q20 a 2Q26 = 1T20 a 2T26).</t>
        </is>
      </c>
    </row>
    <row r="206">
      <c r="H206" t="inlineStr">
        <is>
          <t>Brutos em R$ mil, como na CVM. A Inputs (2) multiplica pelo fator da celula B1 (0,001) e entrega R$ milhoes.</t>
        </is>
      </c>
    </row>
    <row r="207">
      <c r="H207" t="inlineStr">
        <is>
          <t>ORIGEM: fonte = copiado da CVM; memoria = como divulgado, sem codigo; derivada = formula nesta aba.</t>
        </is>
      </c>
    </row>
    <row r="208">
      <c r="H208" t="inlineStr">
        <is>
          <t>Codigos 45 a 54: drivers de receita (memoria); alimentam o bloco logo abaixo da receita liquida no Model.</t>
        </is>
      </c>
    </row>
    <row r="213">
      <c r="H213" s="254" t="n"/>
    </row>
    <row r="214"/>
    <row r="215"/>
    <row r="216"/>
    <row r="217"/>
    <row r="218"/>
    <row r="219"/>
    <row r="220"/>
    <row r="221"/>
    <row r="222"/>
    <row r="223"/>
    <row r="22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2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54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$200=$B4)*ISNUMBER(INDEX(Inputs!$K$5:$AJ$200,0,MATCH(D$2,Inputs!$K$4:$AJ$4,0))))+SUMPRODUCT((Inputs!$C$5:$C$200=$B4)*ISNUMBER(INDEX(Inputs!$K$5:$AJ$200,0,MATCH(D$2,Inputs!$K$4:$AJ$4,0))))+SUMPRODUCT((Inputs!$E$5:$E$200=$B4)*ISNUMBER(INDEX(Inputs!$K$5:$AJ$200,0,MATCH(D$2,Inputs!$K$4:$AJ$4,0))))=0,NA(),SUMPRODUCT((Inputs!$A$5:$A$200=$B4)*Inputs!$B$5:$B$200*(((Inputs!$G$5:$G$200="moeda")+(Inputs!$G$5:$G$200="acoes"))*Inputs!$B$1+((Inputs!$G$5:$G$200&lt;&gt;"moeda")*(Inputs!$G$5:$G$200&lt;&gt;"acoes")))*INDEX(Inputs!$K$5:$AJ$200,0,MATCH(D$2,Inputs!$K$4:$AJ$4,0)))+SUMPRODUCT((Inputs!$C$5:$C$200=$B4)*Inputs!$D$5:$D$200*(((Inputs!$G$5:$G$200="moeda")+(Inputs!$G$5:$G$200="acoes"))*Inputs!$B$1+((Inputs!$G$5:$G$200&lt;&gt;"moeda")*(Inputs!$G$5:$G$200&lt;&gt;"acoes")))*INDEX(Inputs!$K$5:$AJ$200,0,MATCH(D$2,Inputs!$K$4:$AJ$4,0)))+SUMPRODUCT((Inputs!$E$5:$E$200=$B4)*Inputs!$F$5:$F$200*(((Inputs!$G$5:$G$200="moeda")+(Inputs!$G$5:$G$200="acoes"))*Inputs!$B$1+((Inputs!$G$5:$G$200&lt;&gt;"moeda")*(Inputs!$G$5:$G$200&lt;&gt;"acoes")))*INDEX(Inputs!$K$5:$AJ$200,0,MATCH(D$2,Inputs!$K$4:$AJ$4,0)))))</f>
        <v>87.625</v>
      </c>
      <c r="E4" s="6">
        <f>IF(ISNA(MATCH(E$2,Inputs!$K$4:$AJ$4,0)),NA(),IF(SUMPRODUCT((Inputs!$A$5:$A$200=$B4)*ISNUMBER(INDEX(Inputs!$K$5:$AJ$200,0,MATCH(E$2,Inputs!$K$4:$AJ$4,0))))+SUMPRODUCT((Inputs!$C$5:$C$200=$B4)*ISNUMBER(INDEX(Inputs!$K$5:$AJ$200,0,MATCH(E$2,Inputs!$K$4:$AJ$4,0))))+SUMPRODUCT((Inputs!$E$5:$E$200=$B4)*ISNUMBER(INDEX(Inputs!$K$5:$AJ$200,0,MATCH(E$2,Inputs!$K$4:$AJ$4,0))))=0,NA(),SUMPRODUCT((Inputs!$A$5:$A$200=$B4)*Inputs!$B$5:$B$200*(((Inputs!$G$5:$G$200="moeda")+(Inputs!$G$5:$G$200="acoes"))*Inputs!$B$1+((Inputs!$G$5:$G$200&lt;&gt;"moeda")*(Inputs!$G$5:$G$200&lt;&gt;"acoes")))*INDEX(Inputs!$K$5:$AJ$200,0,MATCH(E$2,Inputs!$K$4:$AJ$4,0)))+SUMPRODUCT((Inputs!$C$5:$C$200=$B4)*Inputs!$D$5:$D$200*(((Inputs!$G$5:$G$200="moeda")+(Inputs!$G$5:$G$200="acoes"))*Inputs!$B$1+((Inputs!$G$5:$G$200&lt;&gt;"moeda")*(Inputs!$G$5:$G$200&lt;&gt;"acoes")))*INDEX(Inputs!$K$5:$AJ$200,0,MATCH(E$2,Inputs!$K$4:$AJ$4,0)))+SUMPRODUCT((Inputs!$E$5:$E$200=$B4)*Inputs!$F$5:$F$200*(((Inputs!$G$5:$G$200="moeda")+(Inputs!$G$5:$G$200="acoes"))*Inputs!$B$1+((Inputs!$G$5:$G$200&lt;&gt;"moeda")*(Inputs!$G$5:$G$200&lt;&gt;"acoes")))*INDEX(Inputs!$K$5:$AJ$200,0,MATCH(E$2,Inputs!$K$4:$AJ$4,0)))))</f>
        <v>92.687</v>
      </c>
      <c r="F4" s="6">
        <f>IF(ISNA(MATCH(F$2,Inputs!$K$4:$AJ$4,0)),NA(),IF(SUMPRODUCT((Inputs!$A$5:$A$200=$B4)*ISNUMBER(INDEX(Inputs!$K$5:$AJ$200,0,MATCH(F$2,Inputs!$K$4:$AJ$4,0))))+SUMPRODUCT((Inputs!$C$5:$C$200=$B4)*ISNUMBER(INDEX(Inputs!$K$5:$AJ$200,0,MATCH(F$2,Inputs!$K$4:$AJ$4,0))))+SUMPRODUCT((Inputs!$E$5:$E$200=$B4)*ISNUMBER(INDEX(Inputs!$K$5:$AJ$200,0,MATCH(F$2,Inputs!$K$4:$AJ$4,0))))=0,NA(),SUMPRODUCT((Inputs!$A$5:$A$200=$B4)*Inputs!$B$5:$B$200*(((Inputs!$G$5:$G$200="moeda")+(Inputs!$G$5:$G$200="acoes"))*Inputs!$B$1+((Inputs!$G$5:$G$200&lt;&gt;"moeda")*(Inputs!$G$5:$G$200&lt;&gt;"acoes")))*INDEX(Inputs!$K$5:$AJ$200,0,MATCH(F$2,Inputs!$K$4:$AJ$4,0)))+SUMPRODUCT((Inputs!$C$5:$C$200=$B4)*Inputs!$D$5:$D$200*(((Inputs!$G$5:$G$200="moeda")+(Inputs!$G$5:$G$200="acoes"))*Inputs!$B$1+((Inputs!$G$5:$G$200&lt;&gt;"moeda")*(Inputs!$G$5:$G$200&lt;&gt;"acoes")))*INDEX(Inputs!$K$5:$AJ$200,0,MATCH(F$2,Inputs!$K$4:$AJ$4,0)))+SUMPRODUCT((Inputs!$E$5:$E$200=$B4)*Inputs!$F$5:$F$200*(((Inputs!$G$5:$G$200="moeda")+(Inputs!$G$5:$G$200="acoes"))*Inputs!$B$1+((Inputs!$G$5:$G$200&lt;&gt;"moeda")*(Inputs!$G$5:$G$200&lt;&gt;"acoes")))*INDEX(Inputs!$K$5:$AJ$200,0,MATCH(F$2,Inputs!$K$4:$AJ$4,0)))))</f>
        <v>99.841</v>
      </c>
      <c r="G4" s="6">
        <f>IF(ISNA(MATCH(G$2,Inputs!$K$4:$AJ$4,0)),NA(),IF(SUMPRODUCT((Inputs!$A$5:$A$200=$B4)*ISNUMBER(INDEX(Inputs!$K$5:$AJ$200,0,MATCH(G$2,Inputs!$K$4:$AJ$4,0))))+SUMPRODUCT((Inputs!$C$5:$C$200=$B4)*ISNUMBER(INDEX(Inputs!$K$5:$AJ$200,0,MATCH(G$2,Inputs!$K$4:$AJ$4,0))))+SUMPRODUCT((Inputs!$E$5:$E$200=$B4)*ISNUMBER(INDEX(Inputs!$K$5:$AJ$200,0,MATCH(G$2,Inputs!$K$4:$AJ$4,0))))=0,NA(),SUMPRODUCT((Inputs!$A$5:$A$200=$B4)*Inputs!$B$5:$B$200*(((Inputs!$G$5:$G$200="moeda")+(Inputs!$G$5:$G$200="acoes"))*Inputs!$B$1+((Inputs!$G$5:$G$200&lt;&gt;"moeda")*(Inputs!$G$5:$G$200&lt;&gt;"acoes")))*INDEX(Inputs!$K$5:$AJ$200,0,MATCH(G$2,Inputs!$K$4:$AJ$4,0)))+SUMPRODUCT((Inputs!$C$5:$C$200=$B4)*Inputs!$D$5:$D$200*(((Inputs!$G$5:$G$200="moeda")+(Inputs!$G$5:$G$200="acoes"))*Inputs!$B$1+((Inputs!$G$5:$G$200&lt;&gt;"moeda")*(Inputs!$G$5:$G$200&lt;&gt;"acoes")))*INDEX(Inputs!$K$5:$AJ$200,0,MATCH(G$2,Inputs!$K$4:$AJ$4,0)))+SUMPRODUCT((Inputs!$E$5:$E$200=$B4)*Inputs!$F$5:$F$200*(((Inputs!$G$5:$G$200="moeda")+(Inputs!$G$5:$G$200="acoes"))*Inputs!$B$1+((Inputs!$G$5:$G$200&lt;&gt;"moeda")*(Inputs!$G$5:$G$200&lt;&gt;"acoes")))*INDEX(Inputs!$K$5:$AJ$200,0,MATCH(G$2,Inputs!$K$4:$AJ$4,0)))))</f>
        <v>155.363</v>
      </c>
      <c r="H4" s="3">
        <f>SUM(D4:G4)</f>
        <v>435.516</v>
      </c>
      <c r="I4" s="6">
        <f>IF(ISNA(MATCH(I$2,Inputs!$K$4:$AJ$4,0)),NA(),IF(SUMPRODUCT((Inputs!$A$5:$A$200=$B4)*ISNUMBER(INDEX(Inputs!$K$5:$AJ$200,0,MATCH(I$2,Inputs!$K$4:$AJ$4,0))))+SUMPRODUCT((Inputs!$C$5:$C$200=$B4)*ISNUMBER(INDEX(Inputs!$K$5:$AJ$200,0,MATCH(I$2,Inputs!$K$4:$AJ$4,0))))+SUMPRODUCT((Inputs!$E$5:$E$200=$B4)*ISNUMBER(INDEX(Inputs!$K$5:$AJ$200,0,MATCH(I$2,Inputs!$K$4:$AJ$4,0))))=0,NA(),SUMPRODUCT((Inputs!$A$5:$A$200=$B4)*Inputs!$B$5:$B$200*(((Inputs!$G$5:$G$200="moeda")+(Inputs!$G$5:$G$200="acoes"))*Inputs!$B$1+((Inputs!$G$5:$G$200&lt;&gt;"moeda")*(Inputs!$G$5:$G$200&lt;&gt;"acoes")))*INDEX(Inputs!$K$5:$AJ$200,0,MATCH(I$2,Inputs!$K$4:$AJ$4,0)))+SUMPRODUCT((Inputs!$C$5:$C$200=$B4)*Inputs!$D$5:$D$200*(((Inputs!$G$5:$G$200="moeda")+(Inputs!$G$5:$G$200="acoes"))*Inputs!$B$1+((Inputs!$G$5:$G$200&lt;&gt;"moeda")*(Inputs!$G$5:$G$200&lt;&gt;"acoes")))*INDEX(Inputs!$K$5:$AJ$200,0,MATCH(I$2,Inputs!$K$4:$AJ$4,0)))+SUMPRODUCT((Inputs!$E$5:$E$200=$B4)*Inputs!$F$5:$F$200*(((Inputs!$G$5:$G$200="moeda")+(Inputs!$G$5:$G$200="acoes"))*Inputs!$B$1+((Inputs!$G$5:$G$200&lt;&gt;"moeda")*(Inputs!$G$5:$G$200&lt;&gt;"acoes")))*INDEX(Inputs!$K$5:$AJ$200,0,MATCH(I$2,Inputs!$K$4:$AJ$4,0)))))</f>
        <v>99.226</v>
      </c>
      <c r="J4" s="6">
        <f>IF(ISNA(MATCH(J$2,Inputs!$K$4:$AJ$4,0)),NA(),IF(SUMPRODUCT((Inputs!$A$5:$A$200=$B4)*ISNUMBER(INDEX(Inputs!$K$5:$AJ$200,0,MATCH(J$2,Inputs!$K$4:$AJ$4,0))))+SUMPRODUCT((Inputs!$C$5:$C$200=$B4)*ISNUMBER(INDEX(Inputs!$K$5:$AJ$200,0,MATCH(J$2,Inputs!$K$4:$AJ$4,0))))+SUMPRODUCT((Inputs!$E$5:$E$200=$B4)*ISNUMBER(INDEX(Inputs!$K$5:$AJ$200,0,MATCH(J$2,Inputs!$K$4:$AJ$4,0))))=0,NA(),SUMPRODUCT((Inputs!$A$5:$A$200=$B4)*Inputs!$B$5:$B$200*(((Inputs!$G$5:$G$200="moeda")+(Inputs!$G$5:$G$200="acoes"))*Inputs!$B$1+((Inputs!$G$5:$G$200&lt;&gt;"moeda")*(Inputs!$G$5:$G$200&lt;&gt;"acoes")))*INDEX(Inputs!$K$5:$AJ$200,0,MATCH(J$2,Inputs!$K$4:$AJ$4,0)))+SUMPRODUCT((Inputs!$C$5:$C$200=$B4)*Inputs!$D$5:$D$200*(((Inputs!$G$5:$G$200="moeda")+(Inputs!$G$5:$G$200="acoes"))*Inputs!$B$1+((Inputs!$G$5:$G$200&lt;&gt;"moeda")*(Inputs!$G$5:$G$200&lt;&gt;"acoes")))*INDEX(Inputs!$K$5:$AJ$200,0,MATCH(J$2,Inputs!$K$4:$AJ$4,0)))+SUMPRODUCT((Inputs!$E$5:$E$200=$B4)*Inputs!$F$5:$F$200*(((Inputs!$G$5:$G$200="moeda")+(Inputs!$G$5:$G$200="acoes"))*Inputs!$B$1+((Inputs!$G$5:$G$200&lt;&gt;"moeda")*(Inputs!$G$5:$G$200&lt;&gt;"acoes")))*INDEX(Inputs!$K$5:$AJ$200,0,MATCH(J$2,Inputs!$K$4:$AJ$4,0)))))</f>
        <v>150.612</v>
      </c>
      <c r="K4" s="6">
        <f>IF(ISNA(MATCH(K$2,Inputs!$K$4:$AJ$4,0)),NA(),IF(SUMPRODUCT((Inputs!$A$5:$A$200=$B4)*ISNUMBER(INDEX(Inputs!$K$5:$AJ$200,0,MATCH(K$2,Inputs!$K$4:$AJ$4,0))))+SUMPRODUCT((Inputs!$C$5:$C$200=$B4)*ISNUMBER(INDEX(Inputs!$K$5:$AJ$200,0,MATCH(K$2,Inputs!$K$4:$AJ$4,0))))+SUMPRODUCT((Inputs!$E$5:$E$200=$B4)*ISNUMBER(INDEX(Inputs!$K$5:$AJ$200,0,MATCH(K$2,Inputs!$K$4:$AJ$4,0))))=0,NA(),SUMPRODUCT((Inputs!$A$5:$A$200=$B4)*Inputs!$B$5:$B$200*(((Inputs!$G$5:$G$200="moeda")+(Inputs!$G$5:$G$200="acoes"))*Inputs!$B$1+((Inputs!$G$5:$G$200&lt;&gt;"moeda")*(Inputs!$G$5:$G$200&lt;&gt;"acoes")))*INDEX(Inputs!$K$5:$AJ$200,0,MATCH(K$2,Inputs!$K$4:$AJ$4,0)))+SUMPRODUCT((Inputs!$C$5:$C$200=$B4)*Inputs!$D$5:$D$200*(((Inputs!$G$5:$G$200="moeda")+(Inputs!$G$5:$G$200="acoes"))*Inputs!$B$1+((Inputs!$G$5:$G$200&lt;&gt;"moeda")*(Inputs!$G$5:$G$200&lt;&gt;"acoes")))*INDEX(Inputs!$K$5:$AJ$200,0,MATCH(K$2,Inputs!$K$4:$AJ$4,0)))+SUMPRODUCT((Inputs!$E$5:$E$200=$B4)*Inputs!$F$5:$F$200*(((Inputs!$G$5:$G$200="moeda")+(Inputs!$G$5:$G$200="acoes"))*Inputs!$B$1+((Inputs!$G$5:$G$200&lt;&gt;"moeda")*(Inputs!$G$5:$G$200&lt;&gt;"acoes")))*INDEX(Inputs!$K$5:$AJ$200,0,MATCH(K$2,Inputs!$K$4:$AJ$4,0)))))</f>
        <v>197.177</v>
      </c>
      <c r="L4" s="6">
        <f>IF(ISNA(MATCH(L$2,Inputs!$K$4:$AJ$4,0)),NA(),IF(SUMPRODUCT((Inputs!$A$5:$A$200=$B4)*ISNUMBER(INDEX(Inputs!$K$5:$AJ$200,0,MATCH(L$2,Inputs!$K$4:$AJ$4,0))))+SUMPRODUCT((Inputs!$C$5:$C$200=$B4)*ISNUMBER(INDEX(Inputs!$K$5:$AJ$200,0,MATCH(L$2,Inputs!$K$4:$AJ$4,0))))+SUMPRODUCT((Inputs!$E$5:$E$200=$B4)*ISNUMBER(INDEX(Inputs!$K$5:$AJ$200,0,MATCH(L$2,Inputs!$K$4:$AJ$4,0))))=0,NA(),SUMPRODUCT((Inputs!$A$5:$A$200=$B4)*Inputs!$B$5:$B$200*(((Inputs!$G$5:$G$200="moeda")+(Inputs!$G$5:$G$200="acoes"))*Inputs!$B$1+((Inputs!$G$5:$G$200&lt;&gt;"moeda")*(Inputs!$G$5:$G$200&lt;&gt;"acoes")))*INDEX(Inputs!$K$5:$AJ$200,0,MATCH(L$2,Inputs!$K$4:$AJ$4,0)))+SUMPRODUCT((Inputs!$C$5:$C$200=$B4)*Inputs!$D$5:$D$200*(((Inputs!$G$5:$G$200="moeda")+(Inputs!$G$5:$G$200="acoes"))*Inputs!$B$1+((Inputs!$G$5:$G$200&lt;&gt;"moeda")*(Inputs!$G$5:$G$200&lt;&gt;"acoes")))*INDEX(Inputs!$K$5:$AJ$200,0,MATCH(L$2,Inputs!$K$4:$AJ$4,0)))+SUMPRODUCT((Inputs!$E$5:$E$200=$B4)*Inputs!$F$5:$F$200*(((Inputs!$G$5:$G$200="moeda")+(Inputs!$G$5:$G$200="acoes"))*Inputs!$B$1+((Inputs!$G$5:$G$200&lt;&gt;"moeda")*(Inputs!$G$5:$G$200&lt;&gt;"acoes")))*INDEX(Inputs!$K$5:$AJ$200,0,MATCH(L$2,Inputs!$K$4:$AJ$4,0)))))</f>
        <v>179.209</v>
      </c>
      <c r="M4" s="3">
        <f>SUM(I4:L4)</f>
        <v>626.224</v>
      </c>
      <c r="N4" s="6">
        <f>IF(ISNA(MATCH(N$2,Inputs!$K$4:$AJ$4,0)),NA(),IF(SUMPRODUCT((Inputs!$A$5:$A$200=$B4)*ISNUMBER(INDEX(Inputs!$K$5:$AJ$200,0,MATCH(N$2,Inputs!$K$4:$AJ$4,0))))+SUMPRODUCT((Inputs!$C$5:$C$200=$B4)*ISNUMBER(INDEX(Inputs!$K$5:$AJ$200,0,MATCH(N$2,Inputs!$K$4:$AJ$4,0))))+SUMPRODUCT((Inputs!$E$5:$E$200=$B4)*ISNUMBER(INDEX(Inputs!$K$5:$AJ$200,0,MATCH(N$2,Inputs!$K$4:$AJ$4,0))))=0,NA(),SUMPRODUCT((Inputs!$A$5:$A$200=$B4)*Inputs!$B$5:$B$200*(((Inputs!$G$5:$G$200="moeda")+(Inputs!$G$5:$G$200="acoes"))*Inputs!$B$1+((Inputs!$G$5:$G$200&lt;&gt;"moeda")*(Inputs!$G$5:$G$200&lt;&gt;"acoes")))*INDEX(Inputs!$K$5:$AJ$200,0,MATCH(N$2,Inputs!$K$4:$AJ$4,0)))+SUMPRODUCT((Inputs!$C$5:$C$200=$B4)*Inputs!$D$5:$D$200*(((Inputs!$G$5:$G$200="moeda")+(Inputs!$G$5:$G$200="acoes"))*Inputs!$B$1+((Inputs!$G$5:$G$200&lt;&gt;"moeda")*(Inputs!$G$5:$G$200&lt;&gt;"acoes")))*INDEX(Inputs!$K$5:$AJ$200,0,MATCH(N$2,Inputs!$K$4:$AJ$4,0)))+SUMPRODUCT((Inputs!$E$5:$E$200=$B4)*Inputs!$F$5:$F$200*(((Inputs!$G$5:$G$200="moeda")+(Inputs!$G$5:$G$200="acoes"))*Inputs!$B$1+((Inputs!$G$5:$G$200&lt;&gt;"moeda")*(Inputs!$G$5:$G$200&lt;&gt;"acoes")))*INDEX(Inputs!$K$5:$AJ$200,0,MATCH(N$2,Inputs!$K$4:$AJ$4,0)))))</f>
        <v>188.845</v>
      </c>
      <c r="O4" s="6">
        <f>IF(ISNA(MATCH(O$2,Inputs!$K$4:$AJ$4,0)),NA(),IF(SUMPRODUCT((Inputs!$A$5:$A$200=$B4)*ISNUMBER(INDEX(Inputs!$K$5:$AJ$200,0,MATCH(O$2,Inputs!$K$4:$AJ$4,0))))+SUMPRODUCT((Inputs!$C$5:$C$200=$B4)*ISNUMBER(INDEX(Inputs!$K$5:$AJ$200,0,MATCH(O$2,Inputs!$K$4:$AJ$4,0))))+SUMPRODUCT((Inputs!$E$5:$E$200=$B4)*ISNUMBER(INDEX(Inputs!$K$5:$AJ$200,0,MATCH(O$2,Inputs!$K$4:$AJ$4,0))))=0,NA(),SUMPRODUCT((Inputs!$A$5:$A$200=$B4)*Inputs!$B$5:$B$200*(((Inputs!$G$5:$G$200="moeda")+(Inputs!$G$5:$G$200="acoes"))*Inputs!$B$1+((Inputs!$G$5:$G$200&lt;&gt;"moeda")*(Inputs!$G$5:$G$200&lt;&gt;"acoes")))*INDEX(Inputs!$K$5:$AJ$200,0,MATCH(O$2,Inputs!$K$4:$AJ$4,0)))+SUMPRODUCT((Inputs!$C$5:$C$200=$B4)*Inputs!$D$5:$D$200*(((Inputs!$G$5:$G$200="moeda")+(Inputs!$G$5:$G$200="acoes"))*Inputs!$B$1+((Inputs!$G$5:$G$200&lt;&gt;"moeda")*(Inputs!$G$5:$G$200&lt;&gt;"acoes")))*INDEX(Inputs!$K$5:$AJ$200,0,MATCH(O$2,Inputs!$K$4:$AJ$4,0)))+SUMPRODUCT((Inputs!$E$5:$E$200=$B4)*Inputs!$F$5:$F$200*(((Inputs!$G$5:$G$200="moeda")+(Inputs!$G$5:$G$200="acoes"))*Inputs!$B$1+((Inputs!$G$5:$G$200&lt;&gt;"moeda")*(Inputs!$G$5:$G$200&lt;&gt;"acoes")))*INDEX(Inputs!$K$5:$AJ$200,0,MATCH(O$2,Inputs!$K$4:$AJ$4,0)))))</f>
        <v>196.245</v>
      </c>
      <c r="P4" s="6">
        <f>IF(ISNA(MATCH(P$2,Inputs!$K$4:$AJ$4,0)),NA(),IF(SUMPRODUCT((Inputs!$A$5:$A$200=$B4)*ISNUMBER(INDEX(Inputs!$K$5:$AJ$200,0,MATCH(P$2,Inputs!$K$4:$AJ$4,0))))+SUMPRODUCT((Inputs!$C$5:$C$200=$B4)*ISNUMBER(INDEX(Inputs!$K$5:$AJ$200,0,MATCH(P$2,Inputs!$K$4:$AJ$4,0))))+SUMPRODUCT((Inputs!$E$5:$E$200=$B4)*ISNUMBER(INDEX(Inputs!$K$5:$AJ$200,0,MATCH(P$2,Inputs!$K$4:$AJ$4,0))))=0,NA(),SUMPRODUCT((Inputs!$A$5:$A$200=$B4)*Inputs!$B$5:$B$200*(((Inputs!$G$5:$G$200="moeda")+(Inputs!$G$5:$G$200="acoes"))*Inputs!$B$1+((Inputs!$G$5:$G$200&lt;&gt;"moeda")*(Inputs!$G$5:$G$200&lt;&gt;"acoes")))*INDEX(Inputs!$K$5:$AJ$200,0,MATCH(P$2,Inputs!$K$4:$AJ$4,0)))+SUMPRODUCT((Inputs!$C$5:$C$200=$B4)*Inputs!$D$5:$D$200*(((Inputs!$G$5:$G$200="moeda")+(Inputs!$G$5:$G$200="acoes"))*Inputs!$B$1+((Inputs!$G$5:$G$200&lt;&gt;"moeda")*(Inputs!$G$5:$G$200&lt;&gt;"acoes")))*INDEX(Inputs!$K$5:$AJ$200,0,MATCH(P$2,Inputs!$K$4:$AJ$4,0)))+SUMPRODUCT((Inputs!$E$5:$E$200=$B4)*Inputs!$F$5:$F$200*(((Inputs!$G$5:$G$200="moeda")+(Inputs!$G$5:$G$200="acoes"))*Inputs!$B$1+((Inputs!$G$5:$G$200&lt;&gt;"moeda")*(Inputs!$G$5:$G$200&lt;&gt;"acoes")))*INDEX(Inputs!$K$5:$AJ$200,0,MATCH(P$2,Inputs!$K$4:$AJ$4,0)))))</f>
        <v>192.599</v>
      </c>
      <c r="Q4" s="6">
        <f>IF(ISNA(MATCH(Q$2,Inputs!$K$4:$AJ$4,0)),NA(),IF(SUMPRODUCT((Inputs!$A$5:$A$200=$B4)*ISNUMBER(INDEX(Inputs!$K$5:$AJ$200,0,MATCH(Q$2,Inputs!$K$4:$AJ$4,0))))+SUMPRODUCT((Inputs!$C$5:$C$200=$B4)*ISNUMBER(INDEX(Inputs!$K$5:$AJ$200,0,MATCH(Q$2,Inputs!$K$4:$AJ$4,0))))+SUMPRODUCT((Inputs!$E$5:$E$200=$B4)*ISNUMBER(INDEX(Inputs!$K$5:$AJ$200,0,MATCH(Q$2,Inputs!$K$4:$AJ$4,0))))=0,NA(),SUMPRODUCT((Inputs!$A$5:$A$200=$B4)*Inputs!$B$5:$B$200*(((Inputs!$G$5:$G$200="moeda")+(Inputs!$G$5:$G$200="acoes"))*Inputs!$B$1+((Inputs!$G$5:$G$200&lt;&gt;"moeda")*(Inputs!$G$5:$G$200&lt;&gt;"acoes")))*INDEX(Inputs!$K$5:$AJ$200,0,MATCH(Q$2,Inputs!$K$4:$AJ$4,0)))+SUMPRODUCT((Inputs!$C$5:$C$200=$B4)*Inputs!$D$5:$D$200*(((Inputs!$G$5:$G$200="moeda")+(Inputs!$G$5:$G$200="acoes"))*Inputs!$B$1+((Inputs!$G$5:$G$200&lt;&gt;"moeda")*(Inputs!$G$5:$G$200&lt;&gt;"acoes")))*INDEX(Inputs!$K$5:$AJ$200,0,MATCH(Q$2,Inputs!$K$4:$AJ$4,0)))+SUMPRODUCT((Inputs!$E$5:$E$200=$B4)*Inputs!$F$5:$F$200*(((Inputs!$G$5:$G$200="moeda")+(Inputs!$G$5:$G$200="acoes"))*Inputs!$B$1+((Inputs!$G$5:$G$200&lt;&gt;"moeda")*(Inputs!$G$5:$G$200&lt;&gt;"acoes")))*INDEX(Inputs!$K$5:$AJ$200,0,MATCH(Q$2,Inputs!$K$4:$AJ$4,0)))))</f>
        <v>198.587</v>
      </c>
      <c r="R4" s="3">
        <f>SUM(N4:Q4)</f>
        <v>776.276</v>
      </c>
      <c r="S4" s="6">
        <f>IF(ISNA(MATCH(S$2,Inputs!$K$4:$AJ$4,0)),NA(),IF(SUMPRODUCT((Inputs!$A$5:$A$200=$B4)*ISNUMBER(INDEX(Inputs!$K$5:$AJ$200,0,MATCH(S$2,Inputs!$K$4:$AJ$4,0))))+SUMPRODUCT((Inputs!$C$5:$C$200=$B4)*ISNUMBER(INDEX(Inputs!$K$5:$AJ$200,0,MATCH(S$2,Inputs!$K$4:$AJ$4,0))))+SUMPRODUCT((Inputs!$E$5:$E$200=$B4)*ISNUMBER(INDEX(Inputs!$K$5:$AJ$200,0,MATCH(S$2,Inputs!$K$4:$AJ$4,0))))=0,NA(),SUMPRODUCT((Inputs!$A$5:$A$200=$B4)*Inputs!$B$5:$B$200*(((Inputs!$G$5:$G$200="moeda")+(Inputs!$G$5:$G$200="acoes"))*Inputs!$B$1+((Inputs!$G$5:$G$200&lt;&gt;"moeda")*(Inputs!$G$5:$G$200&lt;&gt;"acoes")))*INDEX(Inputs!$K$5:$AJ$200,0,MATCH(S$2,Inputs!$K$4:$AJ$4,0)))+SUMPRODUCT((Inputs!$C$5:$C$200=$B4)*Inputs!$D$5:$D$200*(((Inputs!$G$5:$G$200="moeda")+(Inputs!$G$5:$G$200="acoes"))*Inputs!$B$1+((Inputs!$G$5:$G$200&lt;&gt;"moeda")*(Inputs!$G$5:$G$200&lt;&gt;"acoes")))*INDEX(Inputs!$K$5:$AJ$200,0,MATCH(S$2,Inputs!$K$4:$AJ$4,0)))+SUMPRODUCT((Inputs!$E$5:$E$200=$B4)*Inputs!$F$5:$F$200*(((Inputs!$G$5:$G$200="moeda")+(Inputs!$G$5:$G$200="acoes"))*Inputs!$B$1+((Inputs!$G$5:$G$200&lt;&gt;"moeda")*(Inputs!$G$5:$G$200&lt;&gt;"acoes")))*INDEX(Inputs!$K$5:$AJ$200,0,MATCH(S$2,Inputs!$K$4:$AJ$4,0)))))</f>
        <v>209.146</v>
      </c>
      <c r="T4" s="6">
        <f>IF(ISNA(MATCH(T$2,Inputs!$K$4:$AJ$4,0)),NA(),IF(SUMPRODUCT((Inputs!$A$5:$A$200=$B4)*ISNUMBER(INDEX(Inputs!$K$5:$AJ$200,0,MATCH(T$2,Inputs!$K$4:$AJ$4,0))))+SUMPRODUCT((Inputs!$C$5:$C$200=$B4)*ISNUMBER(INDEX(Inputs!$K$5:$AJ$200,0,MATCH(T$2,Inputs!$K$4:$AJ$4,0))))+SUMPRODUCT((Inputs!$E$5:$E$200=$B4)*ISNUMBER(INDEX(Inputs!$K$5:$AJ$200,0,MATCH(T$2,Inputs!$K$4:$AJ$4,0))))=0,NA(),SUMPRODUCT((Inputs!$A$5:$A$200=$B4)*Inputs!$B$5:$B$200*(((Inputs!$G$5:$G$200="moeda")+(Inputs!$G$5:$G$200="acoes"))*Inputs!$B$1+((Inputs!$G$5:$G$200&lt;&gt;"moeda")*(Inputs!$G$5:$G$200&lt;&gt;"acoes")))*INDEX(Inputs!$K$5:$AJ$200,0,MATCH(T$2,Inputs!$K$4:$AJ$4,0)))+SUMPRODUCT((Inputs!$C$5:$C$200=$B4)*Inputs!$D$5:$D$200*(((Inputs!$G$5:$G$200="moeda")+(Inputs!$G$5:$G$200="acoes"))*Inputs!$B$1+((Inputs!$G$5:$G$200&lt;&gt;"moeda")*(Inputs!$G$5:$G$200&lt;&gt;"acoes")))*INDEX(Inputs!$K$5:$AJ$200,0,MATCH(T$2,Inputs!$K$4:$AJ$4,0)))+SUMPRODUCT((Inputs!$E$5:$E$200=$B4)*Inputs!$F$5:$F$200*(((Inputs!$G$5:$G$200="moeda")+(Inputs!$G$5:$G$200="acoes"))*Inputs!$B$1+((Inputs!$G$5:$G$200&lt;&gt;"moeda")*(Inputs!$G$5:$G$200&lt;&gt;"acoes")))*INDEX(Inputs!$K$5:$AJ$200,0,MATCH(T$2,Inputs!$K$4:$AJ$4,0)))))</f>
        <v>215.047</v>
      </c>
      <c r="U4" s="6">
        <f>IF(ISNA(MATCH(U$2,Inputs!$K$4:$AJ$4,0)),NA(),IF(SUMPRODUCT((Inputs!$A$5:$A$200=$B4)*ISNUMBER(INDEX(Inputs!$K$5:$AJ$200,0,MATCH(U$2,Inputs!$K$4:$AJ$4,0))))+SUMPRODUCT((Inputs!$C$5:$C$200=$B4)*ISNUMBER(INDEX(Inputs!$K$5:$AJ$200,0,MATCH(U$2,Inputs!$K$4:$AJ$4,0))))+SUMPRODUCT((Inputs!$E$5:$E$200=$B4)*ISNUMBER(INDEX(Inputs!$K$5:$AJ$200,0,MATCH(U$2,Inputs!$K$4:$AJ$4,0))))=0,NA(),SUMPRODUCT((Inputs!$A$5:$A$200=$B4)*Inputs!$B$5:$B$200*(((Inputs!$G$5:$G$200="moeda")+(Inputs!$G$5:$G$200="acoes"))*Inputs!$B$1+((Inputs!$G$5:$G$200&lt;&gt;"moeda")*(Inputs!$G$5:$G$200&lt;&gt;"acoes")))*INDEX(Inputs!$K$5:$AJ$200,0,MATCH(U$2,Inputs!$K$4:$AJ$4,0)))+SUMPRODUCT((Inputs!$C$5:$C$200=$B4)*Inputs!$D$5:$D$200*(((Inputs!$G$5:$G$200="moeda")+(Inputs!$G$5:$G$200="acoes"))*Inputs!$B$1+((Inputs!$G$5:$G$200&lt;&gt;"moeda")*(Inputs!$G$5:$G$200&lt;&gt;"acoes")))*INDEX(Inputs!$K$5:$AJ$200,0,MATCH(U$2,Inputs!$K$4:$AJ$4,0)))+SUMPRODUCT((Inputs!$E$5:$E$200=$B4)*Inputs!$F$5:$F$200*(((Inputs!$G$5:$G$200="moeda")+(Inputs!$G$5:$G$200="acoes"))*Inputs!$B$1+((Inputs!$G$5:$G$200&lt;&gt;"moeda")*(Inputs!$G$5:$G$200&lt;&gt;"acoes")))*INDEX(Inputs!$K$5:$AJ$200,0,MATCH(U$2,Inputs!$K$4:$AJ$4,0)))))</f>
        <v>249.074</v>
      </c>
      <c r="V4" s="6">
        <f>IF(ISNA(MATCH(V$2,Inputs!$K$4:$AJ$4,0)),NA(),IF(SUMPRODUCT((Inputs!$A$5:$A$200=$B4)*ISNUMBER(INDEX(Inputs!$K$5:$AJ$200,0,MATCH(V$2,Inputs!$K$4:$AJ$4,0))))+SUMPRODUCT((Inputs!$C$5:$C$200=$B4)*ISNUMBER(INDEX(Inputs!$K$5:$AJ$200,0,MATCH(V$2,Inputs!$K$4:$AJ$4,0))))+SUMPRODUCT((Inputs!$E$5:$E$200=$B4)*ISNUMBER(INDEX(Inputs!$K$5:$AJ$200,0,MATCH(V$2,Inputs!$K$4:$AJ$4,0))))=0,NA(),SUMPRODUCT((Inputs!$A$5:$A$200=$B4)*Inputs!$B$5:$B$200*(((Inputs!$G$5:$G$200="moeda")+(Inputs!$G$5:$G$200="acoes"))*Inputs!$B$1+((Inputs!$G$5:$G$200&lt;&gt;"moeda")*(Inputs!$G$5:$G$200&lt;&gt;"acoes")))*INDEX(Inputs!$K$5:$AJ$200,0,MATCH(V$2,Inputs!$K$4:$AJ$4,0)))+SUMPRODUCT((Inputs!$C$5:$C$200=$B4)*Inputs!$D$5:$D$200*(((Inputs!$G$5:$G$200="moeda")+(Inputs!$G$5:$G$200="acoes"))*Inputs!$B$1+((Inputs!$G$5:$G$200&lt;&gt;"moeda")*(Inputs!$G$5:$G$200&lt;&gt;"acoes")))*INDEX(Inputs!$K$5:$AJ$200,0,MATCH(V$2,Inputs!$K$4:$AJ$4,0)))+SUMPRODUCT((Inputs!$E$5:$E$200=$B4)*Inputs!$F$5:$F$200*(((Inputs!$G$5:$G$200="moeda")+(Inputs!$G$5:$G$200="acoes"))*Inputs!$B$1+((Inputs!$G$5:$G$200&lt;&gt;"moeda")*(Inputs!$G$5:$G$200&lt;&gt;"acoes")))*INDEX(Inputs!$K$5:$AJ$200,0,MATCH(V$2,Inputs!$K$4:$AJ$4,0)))))</f>
        <v>230.206</v>
      </c>
      <c r="W4" s="3">
        <f>SUM(S4:V4)</f>
        <v>903.473</v>
      </c>
      <c r="X4" s="6">
        <f>IF(ISNA(MATCH(X$2,Inputs!$K$4:$AJ$4,0)),NA(),IF(SUMPRODUCT((Inputs!$A$5:$A$200=$B4)*ISNUMBER(INDEX(Inputs!$K$5:$AJ$200,0,MATCH(X$2,Inputs!$K$4:$AJ$4,0))))+SUMPRODUCT((Inputs!$C$5:$C$200=$B4)*ISNUMBER(INDEX(Inputs!$K$5:$AJ$200,0,MATCH(X$2,Inputs!$K$4:$AJ$4,0))))+SUMPRODUCT((Inputs!$E$5:$E$200=$B4)*ISNUMBER(INDEX(Inputs!$K$5:$AJ$200,0,MATCH(X$2,Inputs!$K$4:$AJ$4,0))))=0,NA(),SUMPRODUCT((Inputs!$A$5:$A$200=$B4)*Inputs!$B$5:$B$200*(((Inputs!$G$5:$G$200="moeda")+(Inputs!$G$5:$G$200="acoes"))*Inputs!$B$1+((Inputs!$G$5:$G$200&lt;&gt;"moeda")*(Inputs!$G$5:$G$200&lt;&gt;"acoes")))*INDEX(Inputs!$K$5:$AJ$200,0,MATCH(X$2,Inputs!$K$4:$AJ$4,0)))+SUMPRODUCT((Inputs!$C$5:$C$200=$B4)*Inputs!$D$5:$D$200*(((Inputs!$G$5:$G$200="moeda")+(Inputs!$G$5:$G$200="acoes"))*Inputs!$B$1+((Inputs!$G$5:$G$200&lt;&gt;"moeda")*(Inputs!$G$5:$G$200&lt;&gt;"acoes")))*INDEX(Inputs!$K$5:$AJ$200,0,MATCH(X$2,Inputs!$K$4:$AJ$4,0)))+SUMPRODUCT((Inputs!$E$5:$E$200=$B4)*Inputs!$F$5:$F$200*(((Inputs!$G$5:$G$200="moeda")+(Inputs!$G$5:$G$200="acoes"))*Inputs!$B$1+((Inputs!$G$5:$G$200&lt;&gt;"moeda")*(Inputs!$G$5:$G$200&lt;&gt;"acoes")))*INDEX(Inputs!$K$5:$AJ$200,0,MATCH(X$2,Inputs!$K$4:$AJ$4,0)))))</f>
        <v>240.8</v>
      </c>
      <c r="Y4" s="6">
        <f>IF(ISNA(MATCH(Y$2,Inputs!$K$4:$AJ$4,0)),NA(),IF(SUMPRODUCT((Inputs!$A$5:$A$200=$B4)*ISNUMBER(INDEX(Inputs!$K$5:$AJ$200,0,MATCH(Y$2,Inputs!$K$4:$AJ$4,0))))+SUMPRODUCT((Inputs!$C$5:$C$200=$B4)*ISNUMBER(INDEX(Inputs!$K$5:$AJ$200,0,MATCH(Y$2,Inputs!$K$4:$AJ$4,0))))+SUMPRODUCT((Inputs!$E$5:$E$200=$B4)*ISNUMBER(INDEX(Inputs!$K$5:$AJ$200,0,MATCH(Y$2,Inputs!$K$4:$AJ$4,0))))=0,NA(),SUMPRODUCT((Inputs!$A$5:$A$200=$B4)*Inputs!$B$5:$B$200*(((Inputs!$G$5:$G$200="moeda")+(Inputs!$G$5:$G$200="acoes"))*Inputs!$B$1+((Inputs!$G$5:$G$200&lt;&gt;"moeda")*(Inputs!$G$5:$G$200&lt;&gt;"acoes")))*INDEX(Inputs!$K$5:$AJ$200,0,MATCH(Y$2,Inputs!$K$4:$AJ$4,0)))+SUMPRODUCT((Inputs!$C$5:$C$200=$B4)*Inputs!$D$5:$D$200*(((Inputs!$G$5:$G$200="moeda")+(Inputs!$G$5:$G$200="acoes"))*Inputs!$B$1+((Inputs!$G$5:$G$200&lt;&gt;"moeda")*(Inputs!$G$5:$G$200&lt;&gt;"acoes")))*INDEX(Inputs!$K$5:$AJ$200,0,MATCH(Y$2,Inputs!$K$4:$AJ$4,0)))+SUMPRODUCT((Inputs!$E$5:$E$200=$B4)*Inputs!$F$5:$F$200*(((Inputs!$G$5:$G$200="moeda")+(Inputs!$G$5:$G$200="acoes"))*Inputs!$B$1+((Inputs!$G$5:$G$200&lt;&gt;"moeda")*(Inputs!$G$5:$G$200&lt;&gt;"acoes")))*INDEX(Inputs!$K$5:$AJ$200,0,MATCH(Y$2,Inputs!$K$4:$AJ$4,0)))))</f>
        <v>264.181</v>
      </c>
      <c r="Z4" s="6">
        <f>IF(ISNA(MATCH(Z$2,Inputs!$K$4:$AJ$4,0)),NA(),IF(SUMPRODUCT((Inputs!$A$5:$A$200=$B4)*ISNUMBER(INDEX(Inputs!$K$5:$AJ$200,0,MATCH(Z$2,Inputs!$K$4:$AJ$4,0))))+SUMPRODUCT((Inputs!$C$5:$C$200=$B4)*ISNUMBER(INDEX(Inputs!$K$5:$AJ$200,0,MATCH(Z$2,Inputs!$K$4:$AJ$4,0))))+SUMPRODUCT((Inputs!$E$5:$E$200=$B4)*ISNUMBER(INDEX(Inputs!$K$5:$AJ$200,0,MATCH(Z$2,Inputs!$K$4:$AJ$4,0))))=0,NA(),SUMPRODUCT((Inputs!$A$5:$A$200=$B4)*Inputs!$B$5:$B$200*(((Inputs!$G$5:$G$200="moeda")+(Inputs!$G$5:$G$200="acoes"))*Inputs!$B$1+((Inputs!$G$5:$G$200&lt;&gt;"moeda")*(Inputs!$G$5:$G$200&lt;&gt;"acoes")))*INDEX(Inputs!$K$5:$AJ$200,0,MATCH(Z$2,Inputs!$K$4:$AJ$4,0)))+SUMPRODUCT((Inputs!$C$5:$C$200=$B4)*Inputs!$D$5:$D$200*(((Inputs!$G$5:$G$200="moeda")+(Inputs!$G$5:$G$200="acoes"))*Inputs!$B$1+((Inputs!$G$5:$G$200&lt;&gt;"moeda")*(Inputs!$G$5:$G$200&lt;&gt;"acoes")))*INDEX(Inputs!$K$5:$AJ$200,0,MATCH(Z$2,Inputs!$K$4:$AJ$4,0)))+SUMPRODUCT((Inputs!$E$5:$E$200=$B4)*Inputs!$F$5:$F$200*(((Inputs!$G$5:$G$200="moeda")+(Inputs!$G$5:$G$200="acoes"))*Inputs!$B$1+((Inputs!$G$5:$G$200&lt;&gt;"moeda")*(Inputs!$G$5:$G$200&lt;&gt;"acoes")))*INDEX(Inputs!$K$5:$AJ$200,0,MATCH(Z$2,Inputs!$K$4:$AJ$4,0)))))</f>
        <v>281.05</v>
      </c>
      <c r="AA4" s="6">
        <f>IF(ISNA(MATCH(AA$2,Inputs!$K$4:$AJ$4,0)),NA(),IF(SUMPRODUCT((Inputs!$A$5:$A$200=$B4)*ISNUMBER(INDEX(Inputs!$K$5:$AJ$200,0,MATCH(AA$2,Inputs!$K$4:$AJ$4,0))))+SUMPRODUCT((Inputs!$C$5:$C$200=$B4)*ISNUMBER(INDEX(Inputs!$K$5:$AJ$200,0,MATCH(AA$2,Inputs!$K$4:$AJ$4,0))))+SUMPRODUCT((Inputs!$E$5:$E$200=$B4)*ISNUMBER(INDEX(Inputs!$K$5:$AJ$200,0,MATCH(AA$2,Inputs!$K$4:$AJ$4,0))))=0,NA(),SUMPRODUCT((Inputs!$A$5:$A$200=$B4)*Inputs!$B$5:$B$200*(((Inputs!$G$5:$G$200="moeda")+(Inputs!$G$5:$G$200="acoes"))*Inputs!$B$1+((Inputs!$G$5:$G$200&lt;&gt;"moeda")*(Inputs!$G$5:$G$200&lt;&gt;"acoes")))*INDEX(Inputs!$K$5:$AJ$200,0,MATCH(AA$2,Inputs!$K$4:$AJ$4,0)))+SUMPRODUCT((Inputs!$C$5:$C$200=$B4)*Inputs!$D$5:$D$200*(((Inputs!$G$5:$G$200="moeda")+(Inputs!$G$5:$G$200="acoes"))*Inputs!$B$1+((Inputs!$G$5:$G$200&lt;&gt;"moeda")*(Inputs!$G$5:$G$200&lt;&gt;"acoes")))*INDEX(Inputs!$K$5:$AJ$200,0,MATCH(AA$2,Inputs!$K$4:$AJ$4,0)))+SUMPRODUCT((Inputs!$E$5:$E$200=$B4)*Inputs!$F$5:$F$200*(((Inputs!$G$5:$G$200="moeda")+(Inputs!$G$5:$G$200="acoes"))*Inputs!$B$1+((Inputs!$G$5:$G$200&lt;&gt;"moeda")*(Inputs!$G$5:$G$200&lt;&gt;"acoes")))*INDEX(Inputs!$K$5:$AJ$200,0,MATCH(AA$2,Inputs!$K$4:$AJ$4,0)))))</f>
        <v>264.309</v>
      </c>
      <c r="AB4" s="3">
        <f>SUM(X4:AA4)</f>
        <v>1050.34</v>
      </c>
      <c r="AC4" s="6">
        <f>IF(ISNA(MATCH(AC$2,Inputs!$K$4:$AJ$4,0)),NA(),IF(SUMPRODUCT((Inputs!$A$5:$A$200=$B4)*ISNUMBER(INDEX(Inputs!$K$5:$AJ$200,0,MATCH(AC$2,Inputs!$K$4:$AJ$4,0))))+SUMPRODUCT((Inputs!$C$5:$C$200=$B4)*ISNUMBER(INDEX(Inputs!$K$5:$AJ$200,0,MATCH(AC$2,Inputs!$K$4:$AJ$4,0))))+SUMPRODUCT((Inputs!$E$5:$E$200=$B4)*ISNUMBER(INDEX(Inputs!$K$5:$AJ$200,0,MATCH(AC$2,Inputs!$K$4:$AJ$4,0))))=0,NA(),SUMPRODUCT((Inputs!$A$5:$A$200=$B4)*Inputs!$B$5:$B$200*(((Inputs!$G$5:$G$200="moeda")+(Inputs!$G$5:$G$200="acoes"))*Inputs!$B$1+((Inputs!$G$5:$G$200&lt;&gt;"moeda")*(Inputs!$G$5:$G$200&lt;&gt;"acoes")))*INDEX(Inputs!$K$5:$AJ$200,0,MATCH(AC$2,Inputs!$K$4:$AJ$4,0)))+SUMPRODUCT((Inputs!$C$5:$C$200=$B4)*Inputs!$D$5:$D$200*(((Inputs!$G$5:$G$200="moeda")+(Inputs!$G$5:$G$200="acoes"))*Inputs!$B$1+((Inputs!$G$5:$G$200&lt;&gt;"moeda")*(Inputs!$G$5:$G$200&lt;&gt;"acoes")))*INDEX(Inputs!$K$5:$AJ$200,0,MATCH(AC$2,Inputs!$K$4:$AJ$4,0)))+SUMPRODUCT((Inputs!$E$5:$E$200=$B4)*Inputs!$F$5:$F$200*(((Inputs!$G$5:$G$200="moeda")+(Inputs!$G$5:$G$200="acoes"))*Inputs!$B$1+((Inputs!$G$5:$G$200&lt;&gt;"moeda")*(Inputs!$G$5:$G$200&lt;&gt;"acoes")))*INDEX(Inputs!$K$5:$AJ$200,0,MATCH(AC$2,Inputs!$K$4:$AJ$4,0)))))</f>
        <v>331.076</v>
      </c>
      <c r="AD4" s="6">
        <f>IF(ISNA(MATCH(AD$2,Inputs!$K$4:$AJ$4,0)),NA(),IF(SUMPRODUCT((Inputs!$A$5:$A$200=$B4)*ISNUMBER(INDEX(Inputs!$K$5:$AJ$200,0,MATCH(AD$2,Inputs!$K$4:$AJ$4,0))))+SUMPRODUCT((Inputs!$C$5:$C$200=$B4)*ISNUMBER(INDEX(Inputs!$K$5:$AJ$200,0,MATCH(AD$2,Inputs!$K$4:$AJ$4,0))))+SUMPRODUCT((Inputs!$E$5:$E$200=$B4)*ISNUMBER(INDEX(Inputs!$K$5:$AJ$200,0,MATCH(AD$2,Inputs!$K$4:$AJ$4,0))))=0,NA(),SUMPRODUCT((Inputs!$A$5:$A$200=$B4)*Inputs!$B$5:$B$200*(((Inputs!$G$5:$G$200="moeda")+(Inputs!$G$5:$G$200="acoes"))*Inputs!$B$1+((Inputs!$G$5:$G$200&lt;&gt;"moeda")*(Inputs!$G$5:$G$200&lt;&gt;"acoes")))*INDEX(Inputs!$K$5:$AJ$200,0,MATCH(AD$2,Inputs!$K$4:$AJ$4,0)))+SUMPRODUCT((Inputs!$C$5:$C$200=$B4)*Inputs!$D$5:$D$200*(((Inputs!$G$5:$G$200="moeda")+(Inputs!$G$5:$G$200="acoes"))*Inputs!$B$1+((Inputs!$G$5:$G$200&lt;&gt;"moeda")*(Inputs!$G$5:$G$200&lt;&gt;"acoes")))*INDEX(Inputs!$K$5:$AJ$200,0,MATCH(AD$2,Inputs!$K$4:$AJ$4,0)))+SUMPRODUCT((Inputs!$E$5:$E$200=$B4)*Inputs!$F$5:$F$200*(((Inputs!$G$5:$G$200="moeda")+(Inputs!$G$5:$G$200="acoes"))*Inputs!$B$1+((Inputs!$G$5:$G$200&lt;&gt;"moeda")*(Inputs!$G$5:$G$200&lt;&gt;"acoes")))*INDEX(Inputs!$K$5:$AJ$200,0,MATCH(AD$2,Inputs!$K$4:$AJ$4,0)))))</f>
        <v>622.836</v>
      </c>
      <c r="AE4" s="6" t="e">
        <f>IF(ISNA(MATCH(AE$2,Inputs!$K$4:$AJ$4,0)),NA(),IF(SUMPRODUCT((Inputs!$A$5:$A$200=$B4)*ISNUMBER(INDEX(Inputs!$K$5:$AJ$200,0,MATCH(AE$2,Inputs!$K$4:$AJ$4,0))))+SUMPRODUCT((Inputs!$C$5:$C$200=$B4)*ISNUMBER(INDEX(Inputs!$K$5:$AJ$200,0,MATCH(AE$2,Inputs!$K$4:$AJ$4,0))))+SUMPRODUCT((Inputs!$E$5:$E$200=$B4)*ISNUMBER(INDEX(Inputs!$K$5:$AJ$200,0,MATCH(AE$2,Inputs!$K$4:$AJ$4,0))))=0,NA(),SUMPRODUCT((Inputs!$A$5:$A$200=$B4)*Inputs!$B$5:$B$200*(((Inputs!$G$5:$G$200="moeda")+(Inputs!$G$5:$G$200="acoes"))*Inputs!$B$1+((Inputs!$G$5:$G$200&lt;&gt;"moeda")*(Inputs!$G$5:$G$200&lt;&gt;"acoes")))*INDEX(Inputs!$K$5:$AJ$200,0,MATCH(AE$2,Inputs!$K$4:$AJ$4,0)))+SUMPRODUCT((Inputs!$C$5:$C$200=$B4)*Inputs!$D$5:$D$200*(((Inputs!$G$5:$G$200="moeda")+(Inputs!$G$5:$G$200="acoes"))*Inputs!$B$1+((Inputs!$G$5:$G$200&lt;&gt;"moeda")*(Inputs!$G$5:$G$200&lt;&gt;"acoes")))*INDEX(Inputs!$K$5:$AJ$200,0,MATCH(AE$2,Inputs!$K$4:$AJ$4,0)))+SUMPRODUCT((Inputs!$E$5:$E$200=$B4)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" s="6" t="e">
        <f>IF(ISNA(MATCH(AF$2,Inputs!$K$4:$AJ$4,0)),NA(),IF(SUMPRODUCT((Inputs!$A$5:$A$200=$B4)*ISNUMBER(INDEX(Inputs!$K$5:$AJ$200,0,MATCH(AF$2,Inputs!$K$4:$AJ$4,0))))+SUMPRODUCT((Inputs!$C$5:$C$200=$B4)*ISNUMBER(INDEX(Inputs!$K$5:$AJ$200,0,MATCH(AF$2,Inputs!$K$4:$AJ$4,0))))+SUMPRODUCT((Inputs!$E$5:$E$200=$B4)*ISNUMBER(INDEX(Inputs!$K$5:$AJ$200,0,MATCH(AF$2,Inputs!$K$4:$AJ$4,0))))=0,NA(),SUMPRODUCT((Inputs!$A$5:$A$200=$B4)*Inputs!$B$5:$B$200*(((Inputs!$G$5:$G$200="moeda")+(Inputs!$G$5:$G$200="acoes"))*Inputs!$B$1+((Inputs!$G$5:$G$200&lt;&gt;"moeda")*(Inputs!$G$5:$G$200&lt;&gt;"acoes")))*INDEX(Inputs!$K$5:$AJ$200,0,MATCH(AF$2,Inputs!$K$4:$AJ$4,0)))+SUMPRODUCT((Inputs!$C$5:$C$200=$B4)*Inputs!$D$5:$D$200*(((Inputs!$G$5:$G$200="moeda")+(Inputs!$G$5:$G$200="acoes"))*Inputs!$B$1+((Inputs!$G$5:$G$200&lt;&gt;"moeda")*(Inputs!$G$5:$G$200&lt;&gt;"acoes")))*INDEX(Inputs!$K$5:$AJ$200,0,MATCH(AF$2,Inputs!$K$4:$AJ$4,0)))+SUMPRODUCT((Inputs!$E$5:$E$200=$B4)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" s="3" t="e">
        <f>SUM(AC4:AF4)</f>
        <v>#N/A</v>
      </c>
      <c r="AH4" s="6">
        <f>IF(ISNA(MATCH(AH$2,Inputs!$K$4:$AJ$4,0)),NA(),IF(SUMPRODUCT((Inputs!$A$5:$A$200=$B4)*ISNUMBER(INDEX(Inputs!$K$5:$AJ$200,0,MATCH(AH$2,Inputs!$K$4:$AJ$4,0))))+SUMPRODUCT((Inputs!$C$5:$C$200=$B4)*ISNUMBER(INDEX(Inputs!$K$5:$AJ$200,0,MATCH(AH$2,Inputs!$K$4:$AJ$4,0))))+SUMPRODUCT((Inputs!$E$5:$E$200=$B4)*ISNUMBER(INDEX(Inputs!$K$5:$AJ$200,0,MATCH(AH$2,Inputs!$K$4:$AJ$4,0))))=0,NA(),SUMPRODUCT((Inputs!$A$5:$A$200=$B4)*Inputs!$B$5:$B$200*(((Inputs!$G$5:$G$200="moeda")+(Inputs!$G$5:$G$200="acoes"))*Inputs!$B$1+((Inputs!$G$5:$G$200&lt;&gt;"moeda")*(Inputs!$G$5:$G$200&lt;&gt;"acoes")))*INDEX(Inputs!$K$5:$AJ$200,0,MATCH(AH$2,Inputs!$K$4:$AJ$4,0)))+SUMPRODUCT((Inputs!$C$5:$C$200=$B4)*Inputs!$D$5:$D$200*(((Inputs!$G$5:$G$200="moeda")+(Inputs!$G$5:$G$200="acoes"))*Inputs!$B$1+((Inputs!$G$5:$G$200&lt;&gt;"moeda")*(Inputs!$G$5:$G$200&lt;&gt;"acoes")))*INDEX(Inputs!$K$5:$AJ$200,0,MATCH(AH$2,Inputs!$K$4:$AJ$4,0)))+SUMPRODUCT((Inputs!$E$5:$E$200=$B4)*Inputs!$F$5:$F$200*(((Inputs!$G$5:$G$200="moeda")+(Inputs!$G$5:$G$200="acoes"))*Inputs!$B$1+((Inputs!$G$5:$G$200&lt;&gt;"moeda")*(Inputs!$G$5:$G$200&lt;&gt;"acoes")))*INDEX(Inputs!$K$5:$AJ$200,0,MATCH(AH$2,Inputs!$K$4:$AJ$4,0)))))</f>
        <v>91.509</v>
      </c>
      <c r="AI4" s="6">
        <f>IF(ISNA(MATCH(AI$2,Inputs!$K$4:$AJ$4,0)),NA(),IF(SUMPRODUCT((Inputs!$A$5:$A$200=$B4)*ISNUMBER(INDEX(Inputs!$K$5:$AJ$200,0,MATCH(AI$2,Inputs!$K$4:$AJ$4,0))))+SUMPRODUCT((Inputs!$C$5:$C$200=$B4)*ISNUMBER(INDEX(Inputs!$K$5:$AJ$200,0,MATCH(AI$2,Inputs!$K$4:$AJ$4,0))))+SUMPRODUCT((Inputs!$E$5:$E$200=$B4)*ISNUMBER(INDEX(Inputs!$K$5:$AJ$200,0,MATCH(AI$2,Inputs!$K$4:$AJ$4,0))))=0,NA(),SUMPRODUCT((Inputs!$A$5:$A$200=$B4)*Inputs!$B$5:$B$200*(((Inputs!$G$5:$G$200="moeda")+(Inputs!$G$5:$G$200="acoes"))*Inputs!$B$1+((Inputs!$G$5:$G$200&lt;&gt;"moeda")*(Inputs!$G$5:$G$200&lt;&gt;"acoes")))*INDEX(Inputs!$K$5:$AJ$200,0,MATCH(AI$2,Inputs!$K$4:$AJ$4,0)))+SUMPRODUCT((Inputs!$C$5:$C$200=$B4)*Inputs!$D$5:$D$200*(((Inputs!$G$5:$G$200="moeda")+(Inputs!$G$5:$G$200="acoes"))*Inputs!$B$1+((Inputs!$G$5:$G$200&lt;&gt;"moeda")*(Inputs!$G$5:$G$200&lt;&gt;"acoes")))*INDEX(Inputs!$K$5:$AJ$200,0,MATCH(AI$2,Inputs!$K$4:$AJ$4,0)))+SUMPRODUCT((Inputs!$E$5:$E$200=$B4)*Inputs!$F$5:$F$200*(((Inputs!$G$5:$G$200="moeda")+(Inputs!$G$5:$G$200="acoes"))*Inputs!$B$1+((Inputs!$G$5:$G$200&lt;&gt;"moeda")*(Inputs!$G$5:$G$200&lt;&gt;"acoes")))*INDEX(Inputs!$K$5:$AJ$200,0,MATCH(AI$2,Inputs!$K$4:$AJ$4,0)))))</f>
        <v>99.836</v>
      </c>
      <c r="AJ4" s="6">
        <f>IF(ISNA(MATCH(AJ$2,Inputs!$K$4:$AJ$4,0)),NA(),IF(SUMPRODUCT((Inputs!$A$5:$A$200=$B4)*ISNUMBER(INDEX(Inputs!$K$5:$AJ$200,0,MATCH(AJ$2,Inputs!$K$4:$AJ$4,0))))+SUMPRODUCT((Inputs!$C$5:$C$200=$B4)*ISNUMBER(INDEX(Inputs!$K$5:$AJ$200,0,MATCH(AJ$2,Inputs!$K$4:$AJ$4,0))))+SUMPRODUCT((Inputs!$E$5:$E$200=$B4)*ISNUMBER(INDEX(Inputs!$K$5:$AJ$200,0,MATCH(AJ$2,Inputs!$K$4:$AJ$4,0))))=0,NA(),SUMPRODUCT((Inputs!$A$5:$A$200=$B4)*Inputs!$B$5:$B$200*(((Inputs!$G$5:$G$200="moeda")+(Inputs!$G$5:$G$200="acoes"))*Inputs!$B$1+((Inputs!$G$5:$G$200&lt;&gt;"moeda")*(Inputs!$G$5:$G$200&lt;&gt;"acoes")))*INDEX(Inputs!$K$5:$AJ$200,0,MATCH(AJ$2,Inputs!$K$4:$AJ$4,0)))+SUMPRODUCT((Inputs!$C$5:$C$200=$B4)*Inputs!$D$5:$D$200*(((Inputs!$G$5:$G$200="moeda")+(Inputs!$G$5:$G$200="acoes"))*Inputs!$B$1+((Inputs!$G$5:$G$200&lt;&gt;"moeda")*(Inputs!$G$5:$G$200&lt;&gt;"acoes")))*INDEX(Inputs!$K$5:$AJ$200,0,MATCH(AJ$2,Inputs!$K$4:$AJ$4,0)))+SUMPRODUCT((Inputs!$E$5:$E$200=$B4)*Inputs!$F$5:$F$200*(((Inputs!$G$5:$G$200="moeda")+(Inputs!$G$5:$G$200="acoes"))*Inputs!$B$1+((Inputs!$G$5:$G$200&lt;&gt;"moeda")*(Inputs!$G$5:$G$200&lt;&gt;"acoes")))*INDEX(Inputs!$K$5:$AJ$200,0,MATCH(AJ$2,Inputs!$K$4:$AJ$4,0)))))</f>
        <v>97.605</v>
      </c>
      <c r="AK4" s="6">
        <f>IF(ISNA(MATCH(AK$2,Inputs!$K$4:$AJ$4,0)),NA(),IF(SUMPRODUCT((Inputs!$A$5:$A$200=$B4)*ISNUMBER(INDEX(Inputs!$K$5:$AJ$200,0,MATCH(AK$2,Inputs!$K$4:$AJ$4,0))))+SUMPRODUCT((Inputs!$C$5:$C$200=$B4)*ISNUMBER(INDEX(Inputs!$K$5:$AJ$200,0,MATCH(AK$2,Inputs!$K$4:$AJ$4,0))))+SUMPRODUCT((Inputs!$E$5:$E$200=$B4)*ISNUMBER(INDEX(Inputs!$K$5:$AJ$200,0,MATCH(AK$2,Inputs!$K$4:$AJ$4,0))))=0,NA(),SUMPRODUCT((Inputs!$A$5:$A$200=$B4)*Inputs!$B$5:$B$200*(((Inputs!$G$5:$G$200="moeda")+(Inputs!$G$5:$G$200="acoes"))*Inputs!$B$1+((Inputs!$G$5:$G$200&lt;&gt;"moeda")*(Inputs!$G$5:$G$200&lt;&gt;"acoes")))*INDEX(Inputs!$K$5:$AJ$200,0,MATCH(AK$2,Inputs!$K$4:$AJ$4,0)))+SUMPRODUCT((Inputs!$C$5:$C$200=$B4)*Inputs!$D$5:$D$200*(((Inputs!$G$5:$G$200="moeda")+(Inputs!$G$5:$G$200="acoes"))*Inputs!$B$1+((Inputs!$G$5:$G$200&lt;&gt;"moeda")*(Inputs!$G$5:$G$200&lt;&gt;"acoes")))*INDEX(Inputs!$K$5:$AJ$200,0,MATCH(AK$2,Inputs!$K$4:$AJ$4,0)))+SUMPRODUCT((Inputs!$E$5:$E$200=$B4)*Inputs!$F$5:$F$200*(((Inputs!$G$5:$G$200="moeda")+(Inputs!$G$5:$G$200="acoes"))*Inputs!$B$1+((Inputs!$G$5:$G$200&lt;&gt;"moeda")*(Inputs!$G$5:$G$200&lt;&gt;"acoes")))*INDEX(Inputs!$K$5:$AJ$200,0,MATCH(AK$2,Inputs!$K$4:$AJ$4,0)))))</f>
        <v>103.018</v>
      </c>
      <c r="AL4" s="3">
        <f>SUM(AH4:AK4)</f>
        <v>391.968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$200=$B5)*ISNUMBER(INDEX(Inputs!$K$5:$AJ$200,0,MATCH(D$2,Inputs!$K$4:$AJ$4,0))))+SUMPRODUCT((Inputs!$C$5:$C$200=$B5)*ISNUMBER(INDEX(Inputs!$K$5:$AJ$200,0,MATCH(D$2,Inputs!$K$4:$AJ$4,0))))+SUMPRODUCT((Inputs!$E$5:$E$200=$B5)*ISNUMBER(INDEX(Inputs!$K$5:$AJ$200,0,MATCH(D$2,Inputs!$K$4:$AJ$4,0))))=0,NA(),SUMPRODUCT((Inputs!$A$5:$A$200=$B5)*Inputs!$B$5:$B$200*(((Inputs!$G$5:$G$200="moeda")+(Inputs!$G$5:$G$200="acoes"))*Inputs!$B$1+((Inputs!$G$5:$G$200&lt;&gt;"moeda")*(Inputs!$G$5:$G$200&lt;&gt;"acoes")))*INDEX(Inputs!$K$5:$AJ$200,0,MATCH(D$2,Inputs!$K$4:$AJ$4,0)))+SUMPRODUCT((Inputs!$C$5:$C$200=$B5)*Inputs!$D$5:$D$200*(((Inputs!$G$5:$G$200="moeda")+(Inputs!$G$5:$G$200="acoes"))*Inputs!$B$1+((Inputs!$G$5:$G$200&lt;&gt;"moeda")*(Inputs!$G$5:$G$200&lt;&gt;"acoes")))*INDEX(Inputs!$K$5:$AJ$200,0,MATCH(D$2,Inputs!$K$4:$AJ$4,0)))+SUMPRODUCT((Inputs!$E$5:$E$200=$B5)*Inputs!$F$5:$F$200*(((Inputs!$G$5:$G$200="moeda")+(Inputs!$G$5:$G$200="acoes"))*Inputs!$B$1+((Inputs!$G$5:$G$200&lt;&gt;"moeda")*(Inputs!$G$5:$G$200&lt;&gt;"acoes")))*INDEX(Inputs!$K$5:$AJ$200,0,MATCH(D$2,Inputs!$K$4:$AJ$4,0)))))</f>
        <v>-48.705</v>
      </c>
      <c r="E5" s="6">
        <f>IF(ISNA(MATCH(E$2,Inputs!$K$4:$AJ$4,0)),NA(),IF(SUMPRODUCT((Inputs!$A$5:$A$200=$B5)*ISNUMBER(INDEX(Inputs!$K$5:$AJ$200,0,MATCH(E$2,Inputs!$K$4:$AJ$4,0))))+SUMPRODUCT((Inputs!$C$5:$C$200=$B5)*ISNUMBER(INDEX(Inputs!$K$5:$AJ$200,0,MATCH(E$2,Inputs!$K$4:$AJ$4,0))))+SUMPRODUCT((Inputs!$E$5:$E$200=$B5)*ISNUMBER(INDEX(Inputs!$K$5:$AJ$200,0,MATCH(E$2,Inputs!$K$4:$AJ$4,0))))=0,NA(),SUMPRODUCT((Inputs!$A$5:$A$200=$B5)*Inputs!$B$5:$B$200*(((Inputs!$G$5:$G$200="moeda")+(Inputs!$G$5:$G$200="acoes"))*Inputs!$B$1+((Inputs!$G$5:$G$200&lt;&gt;"moeda")*(Inputs!$G$5:$G$200&lt;&gt;"acoes")))*INDEX(Inputs!$K$5:$AJ$200,0,MATCH(E$2,Inputs!$K$4:$AJ$4,0)))+SUMPRODUCT((Inputs!$C$5:$C$200=$B5)*Inputs!$D$5:$D$200*(((Inputs!$G$5:$G$200="moeda")+(Inputs!$G$5:$G$200="acoes"))*Inputs!$B$1+((Inputs!$G$5:$G$200&lt;&gt;"moeda")*(Inputs!$G$5:$G$200&lt;&gt;"acoes")))*INDEX(Inputs!$K$5:$AJ$200,0,MATCH(E$2,Inputs!$K$4:$AJ$4,0)))+SUMPRODUCT((Inputs!$E$5:$E$200=$B5)*Inputs!$F$5:$F$200*(((Inputs!$G$5:$G$200="moeda")+(Inputs!$G$5:$G$200="acoes"))*Inputs!$B$1+((Inputs!$G$5:$G$200&lt;&gt;"moeda")*(Inputs!$G$5:$G$200&lt;&gt;"acoes")))*INDEX(Inputs!$K$5:$AJ$200,0,MATCH(E$2,Inputs!$K$4:$AJ$4,0)))))</f>
        <v>-47.306</v>
      </c>
      <c r="F5" s="6">
        <f>IF(ISNA(MATCH(F$2,Inputs!$K$4:$AJ$4,0)),NA(),IF(SUMPRODUCT((Inputs!$A$5:$A$200=$B5)*ISNUMBER(INDEX(Inputs!$K$5:$AJ$200,0,MATCH(F$2,Inputs!$K$4:$AJ$4,0))))+SUMPRODUCT((Inputs!$C$5:$C$200=$B5)*ISNUMBER(INDEX(Inputs!$K$5:$AJ$200,0,MATCH(F$2,Inputs!$K$4:$AJ$4,0))))+SUMPRODUCT((Inputs!$E$5:$E$200=$B5)*ISNUMBER(INDEX(Inputs!$K$5:$AJ$200,0,MATCH(F$2,Inputs!$K$4:$AJ$4,0))))=0,NA(),SUMPRODUCT((Inputs!$A$5:$A$200=$B5)*Inputs!$B$5:$B$200*(((Inputs!$G$5:$G$200="moeda")+(Inputs!$G$5:$G$200="acoes"))*Inputs!$B$1+((Inputs!$G$5:$G$200&lt;&gt;"moeda")*(Inputs!$G$5:$G$200&lt;&gt;"acoes")))*INDEX(Inputs!$K$5:$AJ$200,0,MATCH(F$2,Inputs!$K$4:$AJ$4,0)))+SUMPRODUCT((Inputs!$C$5:$C$200=$B5)*Inputs!$D$5:$D$200*(((Inputs!$G$5:$G$200="moeda")+(Inputs!$G$5:$G$200="acoes"))*Inputs!$B$1+((Inputs!$G$5:$G$200&lt;&gt;"moeda")*(Inputs!$G$5:$G$200&lt;&gt;"acoes")))*INDEX(Inputs!$K$5:$AJ$200,0,MATCH(F$2,Inputs!$K$4:$AJ$4,0)))+SUMPRODUCT((Inputs!$E$5:$E$200=$B5)*Inputs!$F$5:$F$200*(((Inputs!$G$5:$G$200="moeda")+(Inputs!$G$5:$G$200="acoes"))*Inputs!$B$1+((Inputs!$G$5:$G$200&lt;&gt;"moeda")*(Inputs!$G$5:$G$200&lt;&gt;"acoes")))*INDEX(Inputs!$K$5:$AJ$200,0,MATCH(F$2,Inputs!$K$4:$AJ$4,0)))))</f>
        <v>-48.248</v>
      </c>
      <c r="G5" s="6">
        <f>IF(ISNA(MATCH(G$2,Inputs!$K$4:$AJ$4,0)),NA(),IF(SUMPRODUCT((Inputs!$A$5:$A$200=$B5)*ISNUMBER(INDEX(Inputs!$K$5:$AJ$200,0,MATCH(G$2,Inputs!$K$4:$AJ$4,0))))+SUMPRODUCT((Inputs!$C$5:$C$200=$B5)*ISNUMBER(INDEX(Inputs!$K$5:$AJ$200,0,MATCH(G$2,Inputs!$K$4:$AJ$4,0))))+SUMPRODUCT((Inputs!$E$5:$E$200=$B5)*ISNUMBER(INDEX(Inputs!$K$5:$AJ$200,0,MATCH(G$2,Inputs!$K$4:$AJ$4,0))))=0,NA(),SUMPRODUCT((Inputs!$A$5:$A$200=$B5)*Inputs!$B$5:$B$200*(((Inputs!$G$5:$G$200="moeda")+(Inputs!$G$5:$G$200="acoes"))*Inputs!$B$1+((Inputs!$G$5:$G$200&lt;&gt;"moeda")*(Inputs!$G$5:$G$200&lt;&gt;"acoes")))*INDEX(Inputs!$K$5:$AJ$200,0,MATCH(G$2,Inputs!$K$4:$AJ$4,0)))+SUMPRODUCT((Inputs!$C$5:$C$200=$B5)*Inputs!$D$5:$D$200*(((Inputs!$G$5:$G$200="moeda")+(Inputs!$G$5:$G$200="acoes"))*Inputs!$B$1+((Inputs!$G$5:$G$200&lt;&gt;"moeda")*(Inputs!$G$5:$G$200&lt;&gt;"acoes")))*INDEX(Inputs!$K$5:$AJ$200,0,MATCH(G$2,Inputs!$K$4:$AJ$4,0)))+SUMPRODUCT((Inputs!$E$5:$E$200=$B5)*Inputs!$F$5:$F$200*(((Inputs!$G$5:$G$200="moeda")+(Inputs!$G$5:$G$200="acoes"))*Inputs!$B$1+((Inputs!$G$5:$G$200&lt;&gt;"moeda")*(Inputs!$G$5:$G$200&lt;&gt;"acoes")))*INDEX(Inputs!$K$5:$AJ$200,0,MATCH(G$2,Inputs!$K$4:$AJ$4,0)))))</f>
        <v>-58.945</v>
      </c>
      <c r="H5" s="3">
        <f>SUM(D5:G5)</f>
        <v>-203.204</v>
      </c>
      <c r="I5" s="6">
        <f>IF(ISNA(MATCH(I$2,Inputs!$K$4:$AJ$4,0)),NA(),IF(SUMPRODUCT((Inputs!$A$5:$A$200=$B5)*ISNUMBER(INDEX(Inputs!$K$5:$AJ$200,0,MATCH(I$2,Inputs!$K$4:$AJ$4,0))))+SUMPRODUCT((Inputs!$C$5:$C$200=$B5)*ISNUMBER(INDEX(Inputs!$K$5:$AJ$200,0,MATCH(I$2,Inputs!$K$4:$AJ$4,0))))+SUMPRODUCT((Inputs!$E$5:$E$200=$B5)*ISNUMBER(INDEX(Inputs!$K$5:$AJ$200,0,MATCH(I$2,Inputs!$K$4:$AJ$4,0))))=0,NA(),SUMPRODUCT((Inputs!$A$5:$A$200=$B5)*Inputs!$B$5:$B$200*(((Inputs!$G$5:$G$200="moeda")+(Inputs!$G$5:$G$200="acoes"))*Inputs!$B$1+((Inputs!$G$5:$G$200&lt;&gt;"moeda")*(Inputs!$G$5:$G$200&lt;&gt;"acoes")))*INDEX(Inputs!$K$5:$AJ$200,0,MATCH(I$2,Inputs!$K$4:$AJ$4,0)))+SUMPRODUCT((Inputs!$C$5:$C$200=$B5)*Inputs!$D$5:$D$200*(((Inputs!$G$5:$G$200="moeda")+(Inputs!$G$5:$G$200="acoes"))*Inputs!$B$1+((Inputs!$G$5:$G$200&lt;&gt;"moeda")*(Inputs!$G$5:$G$200&lt;&gt;"acoes")))*INDEX(Inputs!$K$5:$AJ$200,0,MATCH(I$2,Inputs!$K$4:$AJ$4,0)))+SUMPRODUCT((Inputs!$E$5:$E$200=$B5)*Inputs!$F$5:$F$200*(((Inputs!$G$5:$G$200="moeda")+(Inputs!$G$5:$G$200="acoes"))*Inputs!$B$1+((Inputs!$G$5:$G$200&lt;&gt;"moeda")*(Inputs!$G$5:$G$200&lt;&gt;"acoes")))*INDEX(Inputs!$K$5:$AJ$200,0,MATCH(I$2,Inputs!$K$4:$AJ$4,0)))))</f>
        <v>-49.525</v>
      </c>
      <c r="J5" s="6">
        <f>IF(ISNA(MATCH(J$2,Inputs!$K$4:$AJ$4,0)),NA(),IF(SUMPRODUCT((Inputs!$A$5:$A$200=$B5)*ISNUMBER(INDEX(Inputs!$K$5:$AJ$200,0,MATCH(J$2,Inputs!$K$4:$AJ$4,0))))+SUMPRODUCT((Inputs!$C$5:$C$200=$B5)*ISNUMBER(INDEX(Inputs!$K$5:$AJ$200,0,MATCH(J$2,Inputs!$K$4:$AJ$4,0))))+SUMPRODUCT((Inputs!$E$5:$E$200=$B5)*ISNUMBER(INDEX(Inputs!$K$5:$AJ$200,0,MATCH(J$2,Inputs!$K$4:$AJ$4,0))))=0,NA(),SUMPRODUCT((Inputs!$A$5:$A$200=$B5)*Inputs!$B$5:$B$200*(((Inputs!$G$5:$G$200="moeda")+(Inputs!$G$5:$G$200="acoes"))*Inputs!$B$1+((Inputs!$G$5:$G$200&lt;&gt;"moeda")*(Inputs!$G$5:$G$200&lt;&gt;"acoes")))*INDEX(Inputs!$K$5:$AJ$200,0,MATCH(J$2,Inputs!$K$4:$AJ$4,0)))+SUMPRODUCT((Inputs!$C$5:$C$200=$B5)*Inputs!$D$5:$D$200*(((Inputs!$G$5:$G$200="moeda")+(Inputs!$G$5:$G$200="acoes"))*Inputs!$B$1+((Inputs!$G$5:$G$200&lt;&gt;"moeda")*(Inputs!$G$5:$G$200&lt;&gt;"acoes")))*INDEX(Inputs!$K$5:$AJ$200,0,MATCH(J$2,Inputs!$K$4:$AJ$4,0)))+SUMPRODUCT((Inputs!$E$5:$E$200=$B5)*Inputs!$F$5:$F$200*(((Inputs!$G$5:$G$200="moeda")+(Inputs!$G$5:$G$200="acoes"))*Inputs!$B$1+((Inputs!$G$5:$G$200&lt;&gt;"moeda")*(Inputs!$G$5:$G$200&lt;&gt;"acoes")))*INDEX(Inputs!$K$5:$AJ$200,0,MATCH(J$2,Inputs!$K$4:$AJ$4,0)))))</f>
        <v>-76.402</v>
      </c>
      <c r="K5" s="6">
        <f>IF(ISNA(MATCH(K$2,Inputs!$K$4:$AJ$4,0)),NA(),IF(SUMPRODUCT((Inputs!$A$5:$A$200=$B5)*ISNUMBER(INDEX(Inputs!$K$5:$AJ$200,0,MATCH(K$2,Inputs!$K$4:$AJ$4,0))))+SUMPRODUCT((Inputs!$C$5:$C$200=$B5)*ISNUMBER(INDEX(Inputs!$K$5:$AJ$200,0,MATCH(K$2,Inputs!$K$4:$AJ$4,0))))+SUMPRODUCT((Inputs!$E$5:$E$200=$B5)*ISNUMBER(INDEX(Inputs!$K$5:$AJ$200,0,MATCH(K$2,Inputs!$K$4:$AJ$4,0))))=0,NA(),SUMPRODUCT((Inputs!$A$5:$A$200=$B5)*Inputs!$B$5:$B$200*(((Inputs!$G$5:$G$200="moeda")+(Inputs!$G$5:$G$200="acoes"))*Inputs!$B$1+((Inputs!$G$5:$G$200&lt;&gt;"moeda")*(Inputs!$G$5:$G$200&lt;&gt;"acoes")))*INDEX(Inputs!$K$5:$AJ$200,0,MATCH(K$2,Inputs!$K$4:$AJ$4,0)))+SUMPRODUCT((Inputs!$C$5:$C$200=$B5)*Inputs!$D$5:$D$200*(((Inputs!$G$5:$G$200="moeda")+(Inputs!$G$5:$G$200="acoes"))*Inputs!$B$1+((Inputs!$G$5:$G$200&lt;&gt;"moeda")*(Inputs!$G$5:$G$200&lt;&gt;"acoes")))*INDEX(Inputs!$K$5:$AJ$200,0,MATCH(K$2,Inputs!$K$4:$AJ$4,0)))+SUMPRODUCT((Inputs!$E$5:$E$200=$B5)*Inputs!$F$5:$F$200*(((Inputs!$G$5:$G$200="moeda")+(Inputs!$G$5:$G$200="acoes"))*Inputs!$B$1+((Inputs!$G$5:$G$200&lt;&gt;"moeda")*(Inputs!$G$5:$G$200&lt;&gt;"acoes")))*INDEX(Inputs!$K$5:$AJ$200,0,MATCH(K$2,Inputs!$K$4:$AJ$4,0)))))</f>
        <v>-90.519</v>
      </c>
      <c r="L5" s="6">
        <f>IF(ISNA(MATCH(L$2,Inputs!$K$4:$AJ$4,0)),NA(),IF(SUMPRODUCT((Inputs!$A$5:$A$200=$B5)*ISNUMBER(INDEX(Inputs!$K$5:$AJ$200,0,MATCH(L$2,Inputs!$K$4:$AJ$4,0))))+SUMPRODUCT((Inputs!$C$5:$C$200=$B5)*ISNUMBER(INDEX(Inputs!$K$5:$AJ$200,0,MATCH(L$2,Inputs!$K$4:$AJ$4,0))))+SUMPRODUCT((Inputs!$E$5:$E$200=$B5)*ISNUMBER(INDEX(Inputs!$K$5:$AJ$200,0,MATCH(L$2,Inputs!$K$4:$AJ$4,0))))=0,NA(),SUMPRODUCT((Inputs!$A$5:$A$200=$B5)*Inputs!$B$5:$B$200*(((Inputs!$G$5:$G$200="moeda")+(Inputs!$G$5:$G$200="acoes"))*Inputs!$B$1+((Inputs!$G$5:$G$200&lt;&gt;"moeda")*(Inputs!$G$5:$G$200&lt;&gt;"acoes")))*INDEX(Inputs!$K$5:$AJ$200,0,MATCH(L$2,Inputs!$K$4:$AJ$4,0)))+SUMPRODUCT((Inputs!$C$5:$C$200=$B5)*Inputs!$D$5:$D$200*(((Inputs!$G$5:$G$200="moeda")+(Inputs!$G$5:$G$200="acoes"))*Inputs!$B$1+((Inputs!$G$5:$G$200&lt;&gt;"moeda")*(Inputs!$G$5:$G$200&lt;&gt;"acoes")))*INDEX(Inputs!$K$5:$AJ$200,0,MATCH(L$2,Inputs!$K$4:$AJ$4,0)))+SUMPRODUCT((Inputs!$E$5:$E$200=$B5)*Inputs!$F$5:$F$200*(((Inputs!$G$5:$G$200="moeda")+(Inputs!$G$5:$G$200="acoes"))*Inputs!$B$1+((Inputs!$G$5:$G$200&lt;&gt;"moeda")*(Inputs!$G$5:$G$200&lt;&gt;"acoes")))*INDEX(Inputs!$K$5:$AJ$200,0,MATCH(L$2,Inputs!$K$4:$AJ$4,0)))))</f>
        <v>-86.165</v>
      </c>
      <c r="M5" s="3">
        <f>SUM(I5:L5)</f>
        <v>-302.611</v>
      </c>
      <c r="N5" s="6">
        <f>IF(ISNA(MATCH(N$2,Inputs!$K$4:$AJ$4,0)),NA(),IF(SUMPRODUCT((Inputs!$A$5:$A$200=$B5)*ISNUMBER(INDEX(Inputs!$K$5:$AJ$200,0,MATCH(N$2,Inputs!$K$4:$AJ$4,0))))+SUMPRODUCT((Inputs!$C$5:$C$200=$B5)*ISNUMBER(INDEX(Inputs!$K$5:$AJ$200,0,MATCH(N$2,Inputs!$K$4:$AJ$4,0))))+SUMPRODUCT((Inputs!$E$5:$E$200=$B5)*ISNUMBER(INDEX(Inputs!$K$5:$AJ$200,0,MATCH(N$2,Inputs!$K$4:$AJ$4,0))))=0,NA(),SUMPRODUCT((Inputs!$A$5:$A$200=$B5)*Inputs!$B$5:$B$200*(((Inputs!$G$5:$G$200="moeda")+(Inputs!$G$5:$G$200="acoes"))*Inputs!$B$1+((Inputs!$G$5:$G$200&lt;&gt;"moeda")*(Inputs!$G$5:$G$200&lt;&gt;"acoes")))*INDEX(Inputs!$K$5:$AJ$200,0,MATCH(N$2,Inputs!$K$4:$AJ$4,0)))+SUMPRODUCT((Inputs!$C$5:$C$200=$B5)*Inputs!$D$5:$D$200*(((Inputs!$G$5:$G$200="moeda")+(Inputs!$G$5:$G$200="acoes"))*Inputs!$B$1+((Inputs!$G$5:$G$200&lt;&gt;"moeda")*(Inputs!$G$5:$G$200&lt;&gt;"acoes")))*INDEX(Inputs!$K$5:$AJ$200,0,MATCH(N$2,Inputs!$K$4:$AJ$4,0)))+SUMPRODUCT((Inputs!$E$5:$E$200=$B5)*Inputs!$F$5:$F$200*(((Inputs!$G$5:$G$200="moeda")+(Inputs!$G$5:$G$200="acoes"))*Inputs!$B$1+((Inputs!$G$5:$G$200&lt;&gt;"moeda")*(Inputs!$G$5:$G$200&lt;&gt;"acoes")))*INDEX(Inputs!$K$5:$AJ$200,0,MATCH(N$2,Inputs!$K$4:$AJ$4,0)))))</f>
        <v>-86.346</v>
      </c>
      <c r="O5" s="6">
        <f>IF(ISNA(MATCH(O$2,Inputs!$K$4:$AJ$4,0)),NA(),IF(SUMPRODUCT((Inputs!$A$5:$A$200=$B5)*ISNUMBER(INDEX(Inputs!$K$5:$AJ$200,0,MATCH(O$2,Inputs!$K$4:$AJ$4,0))))+SUMPRODUCT((Inputs!$C$5:$C$200=$B5)*ISNUMBER(INDEX(Inputs!$K$5:$AJ$200,0,MATCH(O$2,Inputs!$K$4:$AJ$4,0))))+SUMPRODUCT((Inputs!$E$5:$E$200=$B5)*ISNUMBER(INDEX(Inputs!$K$5:$AJ$200,0,MATCH(O$2,Inputs!$K$4:$AJ$4,0))))=0,NA(),SUMPRODUCT((Inputs!$A$5:$A$200=$B5)*Inputs!$B$5:$B$200*(((Inputs!$G$5:$G$200="moeda")+(Inputs!$G$5:$G$200="acoes"))*Inputs!$B$1+((Inputs!$G$5:$G$200&lt;&gt;"moeda")*(Inputs!$G$5:$G$200&lt;&gt;"acoes")))*INDEX(Inputs!$K$5:$AJ$200,0,MATCH(O$2,Inputs!$K$4:$AJ$4,0)))+SUMPRODUCT((Inputs!$C$5:$C$200=$B5)*Inputs!$D$5:$D$200*(((Inputs!$G$5:$G$200="moeda")+(Inputs!$G$5:$G$200="acoes"))*Inputs!$B$1+((Inputs!$G$5:$G$200&lt;&gt;"moeda")*(Inputs!$G$5:$G$200&lt;&gt;"acoes")))*INDEX(Inputs!$K$5:$AJ$200,0,MATCH(O$2,Inputs!$K$4:$AJ$4,0)))+SUMPRODUCT((Inputs!$E$5:$E$200=$B5)*Inputs!$F$5:$F$200*(((Inputs!$G$5:$G$200="moeda")+(Inputs!$G$5:$G$200="acoes"))*Inputs!$B$1+((Inputs!$G$5:$G$200&lt;&gt;"moeda")*(Inputs!$G$5:$G$200&lt;&gt;"acoes")))*INDEX(Inputs!$K$5:$AJ$200,0,MATCH(O$2,Inputs!$K$4:$AJ$4,0)))))</f>
        <v>-94.069</v>
      </c>
      <c r="P5" s="6">
        <f>IF(ISNA(MATCH(P$2,Inputs!$K$4:$AJ$4,0)),NA(),IF(SUMPRODUCT((Inputs!$A$5:$A$200=$B5)*ISNUMBER(INDEX(Inputs!$K$5:$AJ$200,0,MATCH(P$2,Inputs!$K$4:$AJ$4,0))))+SUMPRODUCT((Inputs!$C$5:$C$200=$B5)*ISNUMBER(INDEX(Inputs!$K$5:$AJ$200,0,MATCH(P$2,Inputs!$K$4:$AJ$4,0))))+SUMPRODUCT((Inputs!$E$5:$E$200=$B5)*ISNUMBER(INDEX(Inputs!$K$5:$AJ$200,0,MATCH(P$2,Inputs!$K$4:$AJ$4,0))))=0,NA(),SUMPRODUCT((Inputs!$A$5:$A$200=$B5)*Inputs!$B$5:$B$200*(((Inputs!$G$5:$G$200="moeda")+(Inputs!$G$5:$G$200="acoes"))*Inputs!$B$1+((Inputs!$G$5:$G$200&lt;&gt;"moeda")*(Inputs!$G$5:$G$200&lt;&gt;"acoes")))*INDEX(Inputs!$K$5:$AJ$200,0,MATCH(P$2,Inputs!$K$4:$AJ$4,0)))+SUMPRODUCT((Inputs!$C$5:$C$200=$B5)*Inputs!$D$5:$D$200*(((Inputs!$G$5:$G$200="moeda")+(Inputs!$G$5:$G$200="acoes"))*Inputs!$B$1+((Inputs!$G$5:$G$200&lt;&gt;"moeda")*(Inputs!$G$5:$G$200&lt;&gt;"acoes")))*INDEX(Inputs!$K$5:$AJ$200,0,MATCH(P$2,Inputs!$K$4:$AJ$4,0)))+SUMPRODUCT((Inputs!$E$5:$E$200=$B5)*Inputs!$F$5:$F$200*(((Inputs!$G$5:$G$200="moeda")+(Inputs!$G$5:$G$200="acoes"))*Inputs!$B$1+((Inputs!$G$5:$G$200&lt;&gt;"moeda")*(Inputs!$G$5:$G$200&lt;&gt;"acoes")))*INDEX(Inputs!$K$5:$AJ$200,0,MATCH(P$2,Inputs!$K$4:$AJ$4,0)))))</f>
        <v>-83.558</v>
      </c>
      <c r="Q5" s="6">
        <f>IF(ISNA(MATCH(Q$2,Inputs!$K$4:$AJ$4,0)),NA(),IF(SUMPRODUCT((Inputs!$A$5:$A$200=$B5)*ISNUMBER(INDEX(Inputs!$K$5:$AJ$200,0,MATCH(Q$2,Inputs!$K$4:$AJ$4,0))))+SUMPRODUCT((Inputs!$C$5:$C$200=$B5)*ISNUMBER(INDEX(Inputs!$K$5:$AJ$200,0,MATCH(Q$2,Inputs!$K$4:$AJ$4,0))))+SUMPRODUCT((Inputs!$E$5:$E$200=$B5)*ISNUMBER(INDEX(Inputs!$K$5:$AJ$200,0,MATCH(Q$2,Inputs!$K$4:$AJ$4,0))))=0,NA(),SUMPRODUCT((Inputs!$A$5:$A$200=$B5)*Inputs!$B$5:$B$200*(((Inputs!$G$5:$G$200="moeda")+(Inputs!$G$5:$G$200="acoes"))*Inputs!$B$1+((Inputs!$G$5:$G$200&lt;&gt;"moeda")*(Inputs!$G$5:$G$200&lt;&gt;"acoes")))*INDEX(Inputs!$K$5:$AJ$200,0,MATCH(Q$2,Inputs!$K$4:$AJ$4,0)))+SUMPRODUCT((Inputs!$C$5:$C$200=$B5)*Inputs!$D$5:$D$200*(((Inputs!$G$5:$G$200="moeda")+(Inputs!$G$5:$G$200="acoes"))*Inputs!$B$1+((Inputs!$G$5:$G$200&lt;&gt;"moeda")*(Inputs!$G$5:$G$200&lt;&gt;"acoes")))*INDEX(Inputs!$K$5:$AJ$200,0,MATCH(Q$2,Inputs!$K$4:$AJ$4,0)))+SUMPRODUCT((Inputs!$E$5:$E$200=$B5)*Inputs!$F$5:$F$200*(((Inputs!$G$5:$G$200="moeda")+(Inputs!$G$5:$G$200="acoes"))*Inputs!$B$1+((Inputs!$G$5:$G$200&lt;&gt;"moeda")*(Inputs!$G$5:$G$200&lt;&gt;"acoes")))*INDEX(Inputs!$K$5:$AJ$200,0,MATCH(Q$2,Inputs!$K$4:$AJ$4,0)))))</f>
        <v>-98.966</v>
      </c>
      <c r="R5" s="3">
        <f>SUM(N5:Q5)</f>
        <v>-362.939</v>
      </c>
      <c r="S5" s="6">
        <f>IF(ISNA(MATCH(S$2,Inputs!$K$4:$AJ$4,0)),NA(),IF(SUMPRODUCT((Inputs!$A$5:$A$200=$B5)*ISNUMBER(INDEX(Inputs!$K$5:$AJ$200,0,MATCH(S$2,Inputs!$K$4:$AJ$4,0))))+SUMPRODUCT((Inputs!$C$5:$C$200=$B5)*ISNUMBER(INDEX(Inputs!$K$5:$AJ$200,0,MATCH(S$2,Inputs!$K$4:$AJ$4,0))))+SUMPRODUCT((Inputs!$E$5:$E$200=$B5)*ISNUMBER(INDEX(Inputs!$K$5:$AJ$200,0,MATCH(S$2,Inputs!$K$4:$AJ$4,0))))=0,NA(),SUMPRODUCT((Inputs!$A$5:$A$200=$B5)*Inputs!$B$5:$B$200*(((Inputs!$G$5:$G$200="moeda")+(Inputs!$G$5:$G$200="acoes"))*Inputs!$B$1+((Inputs!$G$5:$G$200&lt;&gt;"moeda")*(Inputs!$G$5:$G$200&lt;&gt;"acoes")))*INDEX(Inputs!$K$5:$AJ$200,0,MATCH(S$2,Inputs!$K$4:$AJ$4,0)))+SUMPRODUCT((Inputs!$C$5:$C$200=$B5)*Inputs!$D$5:$D$200*(((Inputs!$G$5:$G$200="moeda")+(Inputs!$G$5:$G$200="acoes"))*Inputs!$B$1+((Inputs!$G$5:$G$200&lt;&gt;"moeda")*(Inputs!$G$5:$G$200&lt;&gt;"acoes")))*INDEX(Inputs!$K$5:$AJ$200,0,MATCH(S$2,Inputs!$K$4:$AJ$4,0)))+SUMPRODUCT((Inputs!$E$5:$E$200=$B5)*Inputs!$F$5:$F$200*(((Inputs!$G$5:$G$200="moeda")+(Inputs!$G$5:$G$200="acoes"))*Inputs!$B$1+((Inputs!$G$5:$G$200&lt;&gt;"moeda")*(Inputs!$G$5:$G$200&lt;&gt;"acoes")))*INDEX(Inputs!$K$5:$AJ$200,0,MATCH(S$2,Inputs!$K$4:$AJ$4,0)))))</f>
        <v>-77.369</v>
      </c>
      <c r="T5" s="6">
        <f>IF(ISNA(MATCH(T$2,Inputs!$K$4:$AJ$4,0)),NA(),IF(SUMPRODUCT((Inputs!$A$5:$A$200=$B5)*ISNUMBER(INDEX(Inputs!$K$5:$AJ$200,0,MATCH(T$2,Inputs!$K$4:$AJ$4,0))))+SUMPRODUCT((Inputs!$C$5:$C$200=$B5)*ISNUMBER(INDEX(Inputs!$K$5:$AJ$200,0,MATCH(T$2,Inputs!$K$4:$AJ$4,0))))+SUMPRODUCT((Inputs!$E$5:$E$200=$B5)*ISNUMBER(INDEX(Inputs!$K$5:$AJ$200,0,MATCH(T$2,Inputs!$K$4:$AJ$4,0))))=0,NA(),SUMPRODUCT((Inputs!$A$5:$A$200=$B5)*Inputs!$B$5:$B$200*(((Inputs!$G$5:$G$200="moeda")+(Inputs!$G$5:$G$200="acoes"))*Inputs!$B$1+((Inputs!$G$5:$G$200&lt;&gt;"moeda")*(Inputs!$G$5:$G$200&lt;&gt;"acoes")))*INDEX(Inputs!$K$5:$AJ$200,0,MATCH(T$2,Inputs!$K$4:$AJ$4,0)))+SUMPRODUCT((Inputs!$C$5:$C$200=$B5)*Inputs!$D$5:$D$200*(((Inputs!$G$5:$G$200="moeda")+(Inputs!$G$5:$G$200="acoes"))*Inputs!$B$1+((Inputs!$G$5:$G$200&lt;&gt;"moeda")*(Inputs!$G$5:$G$200&lt;&gt;"acoes")))*INDEX(Inputs!$K$5:$AJ$200,0,MATCH(T$2,Inputs!$K$4:$AJ$4,0)))+SUMPRODUCT((Inputs!$E$5:$E$200=$B5)*Inputs!$F$5:$F$200*(((Inputs!$G$5:$G$200="moeda")+(Inputs!$G$5:$G$200="acoes"))*Inputs!$B$1+((Inputs!$G$5:$G$200&lt;&gt;"moeda")*(Inputs!$G$5:$G$200&lt;&gt;"acoes")))*INDEX(Inputs!$K$5:$AJ$200,0,MATCH(T$2,Inputs!$K$4:$AJ$4,0)))))</f>
        <v>-88.846</v>
      </c>
      <c r="U5" s="6">
        <f>IF(ISNA(MATCH(U$2,Inputs!$K$4:$AJ$4,0)),NA(),IF(SUMPRODUCT((Inputs!$A$5:$A$200=$B5)*ISNUMBER(INDEX(Inputs!$K$5:$AJ$200,0,MATCH(U$2,Inputs!$K$4:$AJ$4,0))))+SUMPRODUCT((Inputs!$C$5:$C$200=$B5)*ISNUMBER(INDEX(Inputs!$K$5:$AJ$200,0,MATCH(U$2,Inputs!$K$4:$AJ$4,0))))+SUMPRODUCT((Inputs!$E$5:$E$200=$B5)*ISNUMBER(INDEX(Inputs!$K$5:$AJ$200,0,MATCH(U$2,Inputs!$K$4:$AJ$4,0))))=0,NA(),SUMPRODUCT((Inputs!$A$5:$A$200=$B5)*Inputs!$B$5:$B$200*(((Inputs!$G$5:$G$200="moeda")+(Inputs!$G$5:$G$200="acoes"))*Inputs!$B$1+((Inputs!$G$5:$G$200&lt;&gt;"moeda")*(Inputs!$G$5:$G$200&lt;&gt;"acoes")))*INDEX(Inputs!$K$5:$AJ$200,0,MATCH(U$2,Inputs!$K$4:$AJ$4,0)))+SUMPRODUCT((Inputs!$C$5:$C$200=$B5)*Inputs!$D$5:$D$200*(((Inputs!$G$5:$G$200="moeda")+(Inputs!$G$5:$G$200="acoes"))*Inputs!$B$1+((Inputs!$G$5:$G$200&lt;&gt;"moeda")*(Inputs!$G$5:$G$200&lt;&gt;"acoes")))*INDEX(Inputs!$K$5:$AJ$200,0,MATCH(U$2,Inputs!$K$4:$AJ$4,0)))+SUMPRODUCT((Inputs!$E$5:$E$200=$B5)*Inputs!$F$5:$F$200*(((Inputs!$G$5:$G$200="moeda")+(Inputs!$G$5:$G$200="acoes"))*Inputs!$B$1+((Inputs!$G$5:$G$200&lt;&gt;"moeda")*(Inputs!$G$5:$G$200&lt;&gt;"acoes")))*INDEX(Inputs!$K$5:$AJ$200,0,MATCH(U$2,Inputs!$K$4:$AJ$4,0)))))</f>
        <v>-84.274</v>
      </c>
      <c r="V5" s="6">
        <f>IF(ISNA(MATCH(V$2,Inputs!$K$4:$AJ$4,0)),NA(),IF(SUMPRODUCT((Inputs!$A$5:$A$200=$B5)*ISNUMBER(INDEX(Inputs!$K$5:$AJ$200,0,MATCH(V$2,Inputs!$K$4:$AJ$4,0))))+SUMPRODUCT((Inputs!$C$5:$C$200=$B5)*ISNUMBER(INDEX(Inputs!$K$5:$AJ$200,0,MATCH(V$2,Inputs!$K$4:$AJ$4,0))))+SUMPRODUCT((Inputs!$E$5:$E$200=$B5)*ISNUMBER(INDEX(Inputs!$K$5:$AJ$200,0,MATCH(V$2,Inputs!$K$4:$AJ$4,0))))=0,NA(),SUMPRODUCT((Inputs!$A$5:$A$200=$B5)*Inputs!$B$5:$B$200*(((Inputs!$G$5:$G$200="moeda")+(Inputs!$G$5:$G$200="acoes"))*Inputs!$B$1+((Inputs!$G$5:$G$200&lt;&gt;"moeda")*(Inputs!$G$5:$G$200&lt;&gt;"acoes")))*INDEX(Inputs!$K$5:$AJ$200,0,MATCH(V$2,Inputs!$K$4:$AJ$4,0)))+SUMPRODUCT((Inputs!$C$5:$C$200=$B5)*Inputs!$D$5:$D$200*(((Inputs!$G$5:$G$200="moeda")+(Inputs!$G$5:$G$200="acoes"))*Inputs!$B$1+((Inputs!$G$5:$G$200&lt;&gt;"moeda")*(Inputs!$G$5:$G$200&lt;&gt;"acoes")))*INDEX(Inputs!$K$5:$AJ$200,0,MATCH(V$2,Inputs!$K$4:$AJ$4,0)))+SUMPRODUCT((Inputs!$E$5:$E$200=$B5)*Inputs!$F$5:$F$200*(((Inputs!$G$5:$G$200="moeda")+(Inputs!$G$5:$G$200="acoes"))*Inputs!$B$1+((Inputs!$G$5:$G$200&lt;&gt;"moeda")*(Inputs!$G$5:$G$200&lt;&gt;"acoes")))*INDEX(Inputs!$K$5:$AJ$200,0,MATCH(V$2,Inputs!$K$4:$AJ$4,0)))))</f>
        <v>-83.47</v>
      </c>
      <c r="W5" s="3">
        <f>SUM(S5:V5)</f>
        <v>-333.959</v>
      </c>
      <c r="X5" s="6">
        <f>IF(ISNA(MATCH(X$2,Inputs!$K$4:$AJ$4,0)),NA(),IF(SUMPRODUCT((Inputs!$A$5:$A$200=$B5)*ISNUMBER(INDEX(Inputs!$K$5:$AJ$200,0,MATCH(X$2,Inputs!$K$4:$AJ$4,0))))+SUMPRODUCT((Inputs!$C$5:$C$200=$B5)*ISNUMBER(INDEX(Inputs!$K$5:$AJ$200,0,MATCH(X$2,Inputs!$K$4:$AJ$4,0))))+SUMPRODUCT((Inputs!$E$5:$E$200=$B5)*ISNUMBER(INDEX(Inputs!$K$5:$AJ$200,0,MATCH(X$2,Inputs!$K$4:$AJ$4,0))))=0,NA(),SUMPRODUCT((Inputs!$A$5:$A$200=$B5)*Inputs!$B$5:$B$200*(((Inputs!$G$5:$G$200="moeda")+(Inputs!$G$5:$G$200="acoes"))*Inputs!$B$1+((Inputs!$G$5:$G$200&lt;&gt;"moeda")*(Inputs!$G$5:$G$200&lt;&gt;"acoes")))*INDEX(Inputs!$K$5:$AJ$200,0,MATCH(X$2,Inputs!$K$4:$AJ$4,0)))+SUMPRODUCT((Inputs!$C$5:$C$200=$B5)*Inputs!$D$5:$D$200*(((Inputs!$G$5:$G$200="moeda")+(Inputs!$G$5:$G$200="acoes"))*Inputs!$B$1+((Inputs!$G$5:$G$200&lt;&gt;"moeda")*(Inputs!$G$5:$G$200&lt;&gt;"acoes")))*INDEX(Inputs!$K$5:$AJ$200,0,MATCH(X$2,Inputs!$K$4:$AJ$4,0)))+SUMPRODUCT((Inputs!$E$5:$E$200=$B5)*Inputs!$F$5:$F$200*(((Inputs!$G$5:$G$200="moeda")+(Inputs!$G$5:$G$200="acoes"))*Inputs!$B$1+((Inputs!$G$5:$G$200&lt;&gt;"moeda")*(Inputs!$G$5:$G$200&lt;&gt;"acoes")))*INDEX(Inputs!$K$5:$AJ$200,0,MATCH(X$2,Inputs!$K$4:$AJ$4,0)))))</f>
        <v>-91.237</v>
      </c>
      <c r="Y5" s="6">
        <f>IF(ISNA(MATCH(Y$2,Inputs!$K$4:$AJ$4,0)),NA(),IF(SUMPRODUCT((Inputs!$A$5:$A$200=$B5)*ISNUMBER(INDEX(Inputs!$K$5:$AJ$200,0,MATCH(Y$2,Inputs!$K$4:$AJ$4,0))))+SUMPRODUCT((Inputs!$C$5:$C$200=$B5)*ISNUMBER(INDEX(Inputs!$K$5:$AJ$200,0,MATCH(Y$2,Inputs!$K$4:$AJ$4,0))))+SUMPRODUCT((Inputs!$E$5:$E$200=$B5)*ISNUMBER(INDEX(Inputs!$K$5:$AJ$200,0,MATCH(Y$2,Inputs!$K$4:$AJ$4,0))))=0,NA(),SUMPRODUCT((Inputs!$A$5:$A$200=$B5)*Inputs!$B$5:$B$200*(((Inputs!$G$5:$G$200="moeda")+(Inputs!$G$5:$G$200="acoes"))*Inputs!$B$1+((Inputs!$G$5:$G$200&lt;&gt;"moeda")*(Inputs!$G$5:$G$200&lt;&gt;"acoes")))*INDEX(Inputs!$K$5:$AJ$200,0,MATCH(Y$2,Inputs!$K$4:$AJ$4,0)))+SUMPRODUCT((Inputs!$C$5:$C$200=$B5)*Inputs!$D$5:$D$200*(((Inputs!$G$5:$G$200="moeda")+(Inputs!$G$5:$G$200="acoes"))*Inputs!$B$1+((Inputs!$G$5:$G$200&lt;&gt;"moeda")*(Inputs!$G$5:$G$200&lt;&gt;"acoes")))*INDEX(Inputs!$K$5:$AJ$200,0,MATCH(Y$2,Inputs!$K$4:$AJ$4,0)))+SUMPRODUCT((Inputs!$E$5:$E$200=$B5)*Inputs!$F$5:$F$200*(((Inputs!$G$5:$G$200="moeda")+(Inputs!$G$5:$G$200="acoes"))*Inputs!$B$1+((Inputs!$G$5:$G$200&lt;&gt;"moeda")*(Inputs!$G$5:$G$200&lt;&gt;"acoes")))*INDEX(Inputs!$K$5:$AJ$200,0,MATCH(Y$2,Inputs!$K$4:$AJ$4,0)))))</f>
        <v>-97.161</v>
      </c>
      <c r="Z5" s="6">
        <f>IF(ISNA(MATCH(Z$2,Inputs!$K$4:$AJ$4,0)),NA(),IF(SUMPRODUCT((Inputs!$A$5:$A$200=$B5)*ISNUMBER(INDEX(Inputs!$K$5:$AJ$200,0,MATCH(Z$2,Inputs!$K$4:$AJ$4,0))))+SUMPRODUCT((Inputs!$C$5:$C$200=$B5)*ISNUMBER(INDEX(Inputs!$K$5:$AJ$200,0,MATCH(Z$2,Inputs!$K$4:$AJ$4,0))))+SUMPRODUCT((Inputs!$E$5:$E$200=$B5)*ISNUMBER(INDEX(Inputs!$K$5:$AJ$200,0,MATCH(Z$2,Inputs!$K$4:$AJ$4,0))))=0,NA(),SUMPRODUCT((Inputs!$A$5:$A$200=$B5)*Inputs!$B$5:$B$200*(((Inputs!$G$5:$G$200="moeda")+(Inputs!$G$5:$G$200="acoes"))*Inputs!$B$1+((Inputs!$G$5:$G$200&lt;&gt;"moeda")*(Inputs!$G$5:$G$200&lt;&gt;"acoes")))*INDEX(Inputs!$K$5:$AJ$200,0,MATCH(Z$2,Inputs!$K$4:$AJ$4,0)))+SUMPRODUCT((Inputs!$C$5:$C$200=$B5)*Inputs!$D$5:$D$200*(((Inputs!$G$5:$G$200="moeda")+(Inputs!$G$5:$G$200="acoes"))*Inputs!$B$1+((Inputs!$G$5:$G$200&lt;&gt;"moeda")*(Inputs!$G$5:$G$200&lt;&gt;"acoes")))*INDEX(Inputs!$K$5:$AJ$200,0,MATCH(Z$2,Inputs!$K$4:$AJ$4,0)))+SUMPRODUCT((Inputs!$E$5:$E$200=$B5)*Inputs!$F$5:$F$200*(((Inputs!$G$5:$G$200="moeda")+(Inputs!$G$5:$G$200="acoes"))*Inputs!$B$1+((Inputs!$G$5:$G$200&lt;&gt;"moeda")*(Inputs!$G$5:$G$200&lt;&gt;"acoes")))*INDEX(Inputs!$K$5:$AJ$200,0,MATCH(Z$2,Inputs!$K$4:$AJ$4,0)))))</f>
        <v>-99.666</v>
      </c>
      <c r="AA5" s="6">
        <f>IF(ISNA(MATCH(AA$2,Inputs!$K$4:$AJ$4,0)),NA(),IF(SUMPRODUCT((Inputs!$A$5:$A$200=$B5)*ISNUMBER(INDEX(Inputs!$K$5:$AJ$200,0,MATCH(AA$2,Inputs!$K$4:$AJ$4,0))))+SUMPRODUCT((Inputs!$C$5:$C$200=$B5)*ISNUMBER(INDEX(Inputs!$K$5:$AJ$200,0,MATCH(AA$2,Inputs!$K$4:$AJ$4,0))))+SUMPRODUCT((Inputs!$E$5:$E$200=$B5)*ISNUMBER(INDEX(Inputs!$K$5:$AJ$200,0,MATCH(AA$2,Inputs!$K$4:$AJ$4,0))))=0,NA(),SUMPRODUCT((Inputs!$A$5:$A$200=$B5)*Inputs!$B$5:$B$200*(((Inputs!$G$5:$G$200="moeda")+(Inputs!$G$5:$G$200="acoes"))*Inputs!$B$1+((Inputs!$G$5:$G$200&lt;&gt;"moeda")*(Inputs!$G$5:$G$200&lt;&gt;"acoes")))*INDEX(Inputs!$K$5:$AJ$200,0,MATCH(AA$2,Inputs!$K$4:$AJ$4,0)))+SUMPRODUCT((Inputs!$C$5:$C$200=$B5)*Inputs!$D$5:$D$200*(((Inputs!$G$5:$G$200="moeda")+(Inputs!$G$5:$G$200="acoes"))*Inputs!$B$1+((Inputs!$G$5:$G$200&lt;&gt;"moeda")*(Inputs!$G$5:$G$200&lt;&gt;"acoes")))*INDEX(Inputs!$K$5:$AJ$200,0,MATCH(AA$2,Inputs!$K$4:$AJ$4,0)))+SUMPRODUCT((Inputs!$E$5:$E$200=$B5)*Inputs!$F$5:$F$200*(((Inputs!$G$5:$G$200="moeda")+(Inputs!$G$5:$G$200="acoes"))*Inputs!$B$1+((Inputs!$G$5:$G$200&lt;&gt;"moeda")*(Inputs!$G$5:$G$200&lt;&gt;"acoes")))*INDEX(Inputs!$K$5:$AJ$200,0,MATCH(AA$2,Inputs!$K$4:$AJ$4,0)))))</f>
        <v>-95.835</v>
      </c>
      <c r="AB5" s="3">
        <f>SUM(X5:AA5)</f>
        <v>-383.899</v>
      </c>
      <c r="AC5" s="6">
        <f>IF(ISNA(MATCH(AC$2,Inputs!$K$4:$AJ$4,0)),NA(),IF(SUMPRODUCT((Inputs!$A$5:$A$200=$B5)*ISNUMBER(INDEX(Inputs!$K$5:$AJ$200,0,MATCH(AC$2,Inputs!$K$4:$AJ$4,0))))+SUMPRODUCT((Inputs!$C$5:$C$200=$B5)*ISNUMBER(INDEX(Inputs!$K$5:$AJ$200,0,MATCH(AC$2,Inputs!$K$4:$AJ$4,0))))+SUMPRODUCT((Inputs!$E$5:$E$200=$B5)*ISNUMBER(INDEX(Inputs!$K$5:$AJ$200,0,MATCH(AC$2,Inputs!$K$4:$AJ$4,0))))=0,NA(),SUMPRODUCT((Inputs!$A$5:$A$200=$B5)*Inputs!$B$5:$B$200*(((Inputs!$G$5:$G$200="moeda")+(Inputs!$G$5:$G$200="acoes"))*Inputs!$B$1+((Inputs!$G$5:$G$200&lt;&gt;"moeda")*(Inputs!$G$5:$G$200&lt;&gt;"acoes")))*INDEX(Inputs!$K$5:$AJ$200,0,MATCH(AC$2,Inputs!$K$4:$AJ$4,0)))+SUMPRODUCT((Inputs!$C$5:$C$200=$B5)*Inputs!$D$5:$D$200*(((Inputs!$G$5:$G$200="moeda")+(Inputs!$G$5:$G$200="acoes"))*Inputs!$B$1+((Inputs!$G$5:$G$200&lt;&gt;"moeda")*(Inputs!$G$5:$G$200&lt;&gt;"acoes")))*INDEX(Inputs!$K$5:$AJ$200,0,MATCH(AC$2,Inputs!$K$4:$AJ$4,0)))+SUMPRODUCT((Inputs!$E$5:$E$200=$B5)*Inputs!$F$5:$F$200*(((Inputs!$G$5:$G$200="moeda")+(Inputs!$G$5:$G$200="acoes"))*Inputs!$B$1+((Inputs!$G$5:$G$200&lt;&gt;"moeda")*(Inputs!$G$5:$G$200&lt;&gt;"acoes")))*INDEX(Inputs!$K$5:$AJ$200,0,MATCH(AC$2,Inputs!$K$4:$AJ$4,0)))))</f>
        <v>-146.967</v>
      </c>
      <c r="AD5" s="6">
        <f>IF(ISNA(MATCH(AD$2,Inputs!$K$4:$AJ$4,0)),NA(),IF(SUMPRODUCT((Inputs!$A$5:$A$200=$B5)*ISNUMBER(INDEX(Inputs!$K$5:$AJ$200,0,MATCH(AD$2,Inputs!$K$4:$AJ$4,0))))+SUMPRODUCT((Inputs!$C$5:$C$200=$B5)*ISNUMBER(INDEX(Inputs!$K$5:$AJ$200,0,MATCH(AD$2,Inputs!$K$4:$AJ$4,0))))+SUMPRODUCT((Inputs!$E$5:$E$200=$B5)*ISNUMBER(INDEX(Inputs!$K$5:$AJ$200,0,MATCH(AD$2,Inputs!$K$4:$AJ$4,0))))=0,NA(),SUMPRODUCT((Inputs!$A$5:$A$200=$B5)*Inputs!$B$5:$B$200*(((Inputs!$G$5:$G$200="moeda")+(Inputs!$G$5:$G$200="acoes"))*Inputs!$B$1+((Inputs!$G$5:$G$200&lt;&gt;"moeda")*(Inputs!$G$5:$G$200&lt;&gt;"acoes")))*INDEX(Inputs!$K$5:$AJ$200,0,MATCH(AD$2,Inputs!$K$4:$AJ$4,0)))+SUMPRODUCT((Inputs!$C$5:$C$200=$B5)*Inputs!$D$5:$D$200*(((Inputs!$G$5:$G$200="moeda")+(Inputs!$G$5:$G$200="acoes"))*Inputs!$B$1+((Inputs!$G$5:$G$200&lt;&gt;"moeda")*(Inputs!$G$5:$G$200&lt;&gt;"acoes")))*INDEX(Inputs!$K$5:$AJ$200,0,MATCH(AD$2,Inputs!$K$4:$AJ$4,0)))+SUMPRODUCT((Inputs!$E$5:$E$200=$B5)*Inputs!$F$5:$F$200*(((Inputs!$G$5:$G$200="moeda")+(Inputs!$G$5:$G$200="acoes"))*Inputs!$B$1+((Inputs!$G$5:$G$200&lt;&gt;"moeda")*(Inputs!$G$5:$G$200&lt;&gt;"acoes")))*INDEX(Inputs!$K$5:$AJ$200,0,MATCH(AD$2,Inputs!$K$4:$AJ$4,0)))))</f>
        <v>-372.145</v>
      </c>
      <c r="AE5" s="6" t="e">
        <f>IF(ISNA(MATCH(AE$2,Inputs!$K$4:$AJ$4,0)),NA(),IF(SUMPRODUCT((Inputs!$A$5:$A$200=$B5)*ISNUMBER(INDEX(Inputs!$K$5:$AJ$200,0,MATCH(AE$2,Inputs!$K$4:$AJ$4,0))))+SUMPRODUCT((Inputs!$C$5:$C$200=$B5)*ISNUMBER(INDEX(Inputs!$K$5:$AJ$200,0,MATCH(AE$2,Inputs!$K$4:$AJ$4,0))))+SUMPRODUCT((Inputs!$E$5:$E$200=$B5)*ISNUMBER(INDEX(Inputs!$K$5:$AJ$200,0,MATCH(AE$2,Inputs!$K$4:$AJ$4,0))))=0,NA(),SUMPRODUCT((Inputs!$A$5:$A$200=$B5)*Inputs!$B$5:$B$200*(((Inputs!$G$5:$G$200="moeda")+(Inputs!$G$5:$G$200="acoes"))*Inputs!$B$1+((Inputs!$G$5:$G$200&lt;&gt;"moeda")*(Inputs!$G$5:$G$200&lt;&gt;"acoes")))*INDEX(Inputs!$K$5:$AJ$200,0,MATCH(AE$2,Inputs!$K$4:$AJ$4,0)))+SUMPRODUCT((Inputs!$C$5:$C$200=$B5)*Inputs!$D$5:$D$200*(((Inputs!$G$5:$G$200="moeda")+(Inputs!$G$5:$G$200="acoes"))*Inputs!$B$1+((Inputs!$G$5:$G$200&lt;&gt;"moeda")*(Inputs!$G$5:$G$200&lt;&gt;"acoes")))*INDEX(Inputs!$K$5:$AJ$200,0,MATCH(AE$2,Inputs!$K$4:$AJ$4,0)))+SUMPRODUCT((Inputs!$E$5:$E$200=$B5)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" s="6" t="e">
        <f>IF(ISNA(MATCH(AF$2,Inputs!$K$4:$AJ$4,0)),NA(),IF(SUMPRODUCT((Inputs!$A$5:$A$200=$B5)*ISNUMBER(INDEX(Inputs!$K$5:$AJ$200,0,MATCH(AF$2,Inputs!$K$4:$AJ$4,0))))+SUMPRODUCT((Inputs!$C$5:$C$200=$B5)*ISNUMBER(INDEX(Inputs!$K$5:$AJ$200,0,MATCH(AF$2,Inputs!$K$4:$AJ$4,0))))+SUMPRODUCT((Inputs!$E$5:$E$200=$B5)*ISNUMBER(INDEX(Inputs!$K$5:$AJ$200,0,MATCH(AF$2,Inputs!$K$4:$AJ$4,0))))=0,NA(),SUMPRODUCT((Inputs!$A$5:$A$200=$B5)*Inputs!$B$5:$B$200*(((Inputs!$G$5:$G$200="moeda")+(Inputs!$G$5:$G$200="acoes"))*Inputs!$B$1+((Inputs!$G$5:$G$200&lt;&gt;"moeda")*(Inputs!$G$5:$G$200&lt;&gt;"acoes")))*INDEX(Inputs!$K$5:$AJ$200,0,MATCH(AF$2,Inputs!$K$4:$AJ$4,0)))+SUMPRODUCT((Inputs!$C$5:$C$200=$B5)*Inputs!$D$5:$D$200*(((Inputs!$G$5:$G$200="moeda")+(Inputs!$G$5:$G$200="acoes"))*Inputs!$B$1+((Inputs!$G$5:$G$200&lt;&gt;"moeda")*(Inputs!$G$5:$G$200&lt;&gt;"acoes")))*INDEX(Inputs!$K$5:$AJ$200,0,MATCH(AF$2,Inputs!$K$4:$AJ$4,0)))+SUMPRODUCT((Inputs!$E$5:$E$200=$B5)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" s="3" t="e">
        <f>SUM(AC5:AF5)</f>
        <v>#N/A</v>
      </c>
      <c r="AH5" s="6">
        <f>IF(ISNA(MATCH(AH$2,Inputs!$K$4:$AJ$4,0)),NA(),IF(SUMPRODUCT((Inputs!$A$5:$A$200=$B5)*ISNUMBER(INDEX(Inputs!$K$5:$AJ$200,0,MATCH(AH$2,Inputs!$K$4:$AJ$4,0))))+SUMPRODUCT((Inputs!$C$5:$C$200=$B5)*ISNUMBER(INDEX(Inputs!$K$5:$AJ$200,0,MATCH(AH$2,Inputs!$K$4:$AJ$4,0))))+SUMPRODUCT((Inputs!$E$5:$E$200=$B5)*ISNUMBER(INDEX(Inputs!$K$5:$AJ$200,0,MATCH(AH$2,Inputs!$K$4:$AJ$4,0))))=0,NA(),SUMPRODUCT((Inputs!$A$5:$A$200=$B5)*Inputs!$B$5:$B$200*(((Inputs!$G$5:$G$200="moeda")+(Inputs!$G$5:$G$200="acoes"))*Inputs!$B$1+((Inputs!$G$5:$G$200&lt;&gt;"moeda")*(Inputs!$G$5:$G$200&lt;&gt;"acoes")))*INDEX(Inputs!$K$5:$AJ$200,0,MATCH(AH$2,Inputs!$K$4:$AJ$4,0)))+SUMPRODUCT((Inputs!$C$5:$C$200=$B5)*Inputs!$D$5:$D$200*(((Inputs!$G$5:$G$200="moeda")+(Inputs!$G$5:$G$200="acoes"))*Inputs!$B$1+((Inputs!$G$5:$G$200&lt;&gt;"moeda")*(Inputs!$G$5:$G$200&lt;&gt;"acoes")))*INDEX(Inputs!$K$5:$AJ$200,0,MATCH(AH$2,Inputs!$K$4:$AJ$4,0)))+SUMPRODUCT((Inputs!$E$5:$E$200=$B5)*Inputs!$F$5:$F$200*(((Inputs!$G$5:$G$200="moeda")+(Inputs!$G$5:$G$200="acoes"))*Inputs!$B$1+((Inputs!$G$5:$G$200&lt;&gt;"moeda")*(Inputs!$G$5:$G$200&lt;&gt;"acoes")))*INDEX(Inputs!$K$5:$AJ$200,0,MATCH(AH$2,Inputs!$K$4:$AJ$4,0)))))</f>
        <v>-45.811</v>
      </c>
      <c r="AI5" s="6">
        <f>IF(ISNA(MATCH(AI$2,Inputs!$K$4:$AJ$4,0)),NA(),IF(SUMPRODUCT((Inputs!$A$5:$A$200=$B5)*ISNUMBER(INDEX(Inputs!$K$5:$AJ$200,0,MATCH(AI$2,Inputs!$K$4:$AJ$4,0))))+SUMPRODUCT((Inputs!$C$5:$C$200=$B5)*ISNUMBER(INDEX(Inputs!$K$5:$AJ$200,0,MATCH(AI$2,Inputs!$K$4:$AJ$4,0))))+SUMPRODUCT((Inputs!$E$5:$E$200=$B5)*ISNUMBER(INDEX(Inputs!$K$5:$AJ$200,0,MATCH(AI$2,Inputs!$K$4:$AJ$4,0))))=0,NA(),SUMPRODUCT((Inputs!$A$5:$A$200=$B5)*Inputs!$B$5:$B$200*(((Inputs!$G$5:$G$200="moeda")+(Inputs!$G$5:$G$200="acoes"))*Inputs!$B$1+((Inputs!$G$5:$G$200&lt;&gt;"moeda")*(Inputs!$G$5:$G$200&lt;&gt;"acoes")))*INDEX(Inputs!$K$5:$AJ$200,0,MATCH(AI$2,Inputs!$K$4:$AJ$4,0)))+SUMPRODUCT((Inputs!$C$5:$C$200=$B5)*Inputs!$D$5:$D$200*(((Inputs!$G$5:$G$200="moeda")+(Inputs!$G$5:$G$200="acoes"))*Inputs!$B$1+((Inputs!$G$5:$G$200&lt;&gt;"moeda")*(Inputs!$G$5:$G$200&lt;&gt;"acoes")))*INDEX(Inputs!$K$5:$AJ$200,0,MATCH(AI$2,Inputs!$K$4:$AJ$4,0)))+SUMPRODUCT((Inputs!$E$5:$E$200=$B5)*Inputs!$F$5:$F$200*(((Inputs!$G$5:$G$200="moeda")+(Inputs!$G$5:$G$200="acoes"))*Inputs!$B$1+((Inputs!$G$5:$G$200&lt;&gt;"moeda")*(Inputs!$G$5:$G$200&lt;&gt;"acoes")))*INDEX(Inputs!$K$5:$AJ$200,0,MATCH(AI$2,Inputs!$K$4:$AJ$4,0)))))</f>
        <v>-52.412</v>
      </c>
      <c r="AJ5" s="6">
        <f>IF(ISNA(MATCH(AJ$2,Inputs!$K$4:$AJ$4,0)),NA(),IF(SUMPRODUCT((Inputs!$A$5:$A$200=$B5)*ISNUMBER(INDEX(Inputs!$K$5:$AJ$200,0,MATCH(AJ$2,Inputs!$K$4:$AJ$4,0))))+SUMPRODUCT((Inputs!$C$5:$C$200=$B5)*ISNUMBER(INDEX(Inputs!$K$5:$AJ$200,0,MATCH(AJ$2,Inputs!$K$4:$AJ$4,0))))+SUMPRODUCT((Inputs!$E$5:$E$200=$B5)*ISNUMBER(INDEX(Inputs!$K$5:$AJ$200,0,MATCH(AJ$2,Inputs!$K$4:$AJ$4,0))))=0,NA(),SUMPRODUCT((Inputs!$A$5:$A$200=$B5)*Inputs!$B$5:$B$200*(((Inputs!$G$5:$G$200="moeda")+(Inputs!$G$5:$G$200="acoes"))*Inputs!$B$1+((Inputs!$G$5:$G$200&lt;&gt;"moeda")*(Inputs!$G$5:$G$200&lt;&gt;"acoes")))*INDEX(Inputs!$K$5:$AJ$200,0,MATCH(AJ$2,Inputs!$K$4:$AJ$4,0)))+SUMPRODUCT((Inputs!$C$5:$C$200=$B5)*Inputs!$D$5:$D$200*(((Inputs!$G$5:$G$200="moeda")+(Inputs!$G$5:$G$200="acoes"))*Inputs!$B$1+((Inputs!$G$5:$G$200&lt;&gt;"moeda")*(Inputs!$G$5:$G$200&lt;&gt;"acoes")))*INDEX(Inputs!$K$5:$AJ$200,0,MATCH(AJ$2,Inputs!$K$4:$AJ$4,0)))+SUMPRODUCT((Inputs!$E$5:$E$200=$B5)*Inputs!$F$5:$F$200*(((Inputs!$G$5:$G$200="moeda")+(Inputs!$G$5:$G$200="acoes"))*Inputs!$B$1+((Inputs!$G$5:$G$200&lt;&gt;"moeda")*(Inputs!$G$5:$G$200&lt;&gt;"acoes")))*INDEX(Inputs!$K$5:$AJ$200,0,MATCH(AJ$2,Inputs!$K$4:$AJ$4,0)))))</f>
        <v>-50.711</v>
      </c>
      <c r="AK5" s="6">
        <f>IF(ISNA(MATCH(AK$2,Inputs!$K$4:$AJ$4,0)),NA(),IF(SUMPRODUCT((Inputs!$A$5:$A$200=$B5)*ISNUMBER(INDEX(Inputs!$K$5:$AJ$200,0,MATCH(AK$2,Inputs!$K$4:$AJ$4,0))))+SUMPRODUCT((Inputs!$C$5:$C$200=$B5)*ISNUMBER(INDEX(Inputs!$K$5:$AJ$200,0,MATCH(AK$2,Inputs!$K$4:$AJ$4,0))))+SUMPRODUCT((Inputs!$E$5:$E$200=$B5)*ISNUMBER(INDEX(Inputs!$K$5:$AJ$200,0,MATCH(AK$2,Inputs!$K$4:$AJ$4,0))))=0,NA(),SUMPRODUCT((Inputs!$A$5:$A$200=$B5)*Inputs!$B$5:$B$200*(((Inputs!$G$5:$G$200="moeda")+(Inputs!$G$5:$G$200="acoes"))*Inputs!$B$1+((Inputs!$G$5:$G$200&lt;&gt;"moeda")*(Inputs!$G$5:$G$200&lt;&gt;"acoes")))*INDEX(Inputs!$K$5:$AJ$200,0,MATCH(AK$2,Inputs!$K$4:$AJ$4,0)))+SUMPRODUCT((Inputs!$C$5:$C$200=$B5)*Inputs!$D$5:$D$200*(((Inputs!$G$5:$G$200="moeda")+(Inputs!$G$5:$G$200="acoes"))*Inputs!$B$1+((Inputs!$G$5:$G$200&lt;&gt;"moeda")*(Inputs!$G$5:$G$200&lt;&gt;"acoes")))*INDEX(Inputs!$K$5:$AJ$200,0,MATCH(AK$2,Inputs!$K$4:$AJ$4,0)))+SUMPRODUCT((Inputs!$E$5:$E$200=$B5)*Inputs!$F$5:$F$200*(((Inputs!$G$5:$G$200="moeda")+(Inputs!$G$5:$G$200="acoes"))*Inputs!$B$1+((Inputs!$G$5:$G$200&lt;&gt;"moeda")*(Inputs!$G$5:$G$200&lt;&gt;"acoes")))*INDEX(Inputs!$K$5:$AJ$200,0,MATCH(AK$2,Inputs!$K$4:$AJ$4,0)))))</f>
        <v>-46.207</v>
      </c>
      <c r="AL5" s="3">
        <f>SUM(AH5:AK5)</f>
        <v>-195.141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$200=$B6)*ISNUMBER(INDEX(Inputs!$K$5:$AJ$200,0,MATCH(D$2,Inputs!$K$4:$AJ$4,0))))+SUMPRODUCT((Inputs!$C$5:$C$200=$B6)*ISNUMBER(INDEX(Inputs!$K$5:$AJ$200,0,MATCH(D$2,Inputs!$K$4:$AJ$4,0))))+SUMPRODUCT((Inputs!$E$5:$E$200=$B6)*ISNUMBER(INDEX(Inputs!$K$5:$AJ$200,0,MATCH(D$2,Inputs!$K$4:$AJ$4,0))))=0,NA(),SUMPRODUCT((Inputs!$A$5:$A$200=$B6)*Inputs!$B$5:$B$200*(((Inputs!$G$5:$G$200="moeda")+(Inputs!$G$5:$G$200="acoes"))*Inputs!$B$1+((Inputs!$G$5:$G$200&lt;&gt;"moeda")*(Inputs!$G$5:$G$200&lt;&gt;"acoes")))*INDEX(Inputs!$K$5:$AJ$200,0,MATCH(D$2,Inputs!$K$4:$AJ$4,0)))+SUMPRODUCT((Inputs!$C$5:$C$200=$B6)*Inputs!$D$5:$D$200*(((Inputs!$G$5:$G$200="moeda")+(Inputs!$G$5:$G$200="acoes"))*Inputs!$B$1+((Inputs!$G$5:$G$200&lt;&gt;"moeda")*(Inputs!$G$5:$G$200&lt;&gt;"acoes")))*INDEX(Inputs!$K$5:$AJ$200,0,MATCH(D$2,Inputs!$K$4:$AJ$4,0)))+SUMPRODUCT((Inputs!$E$5:$E$200=$B6)*Inputs!$F$5:$F$200*(((Inputs!$G$5:$G$200="moeda")+(Inputs!$G$5:$G$200="acoes"))*Inputs!$B$1+((Inputs!$G$5:$G$200&lt;&gt;"moeda")*(Inputs!$G$5:$G$200&lt;&gt;"acoes")))*INDEX(Inputs!$K$5:$AJ$200,0,MATCH(D$2,Inputs!$K$4:$AJ$4,0)))))</f>
        <v>-52.253</v>
      </c>
      <c r="E6" s="6">
        <f>IF(ISNA(MATCH(E$2,Inputs!$K$4:$AJ$4,0)),NA(),IF(SUMPRODUCT((Inputs!$A$5:$A$200=$B6)*ISNUMBER(INDEX(Inputs!$K$5:$AJ$200,0,MATCH(E$2,Inputs!$K$4:$AJ$4,0))))+SUMPRODUCT((Inputs!$C$5:$C$200=$B6)*ISNUMBER(INDEX(Inputs!$K$5:$AJ$200,0,MATCH(E$2,Inputs!$K$4:$AJ$4,0))))+SUMPRODUCT((Inputs!$E$5:$E$200=$B6)*ISNUMBER(INDEX(Inputs!$K$5:$AJ$200,0,MATCH(E$2,Inputs!$K$4:$AJ$4,0))))=0,NA(),SUMPRODUCT((Inputs!$A$5:$A$200=$B6)*Inputs!$B$5:$B$200*(((Inputs!$G$5:$G$200="moeda")+(Inputs!$G$5:$G$200="acoes"))*Inputs!$B$1+((Inputs!$G$5:$G$200&lt;&gt;"moeda")*(Inputs!$G$5:$G$200&lt;&gt;"acoes")))*INDEX(Inputs!$K$5:$AJ$200,0,MATCH(E$2,Inputs!$K$4:$AJ$4,0)))+SUMPRODUCT((Inputs!$C$5:$C$200=$B6)*Inputs!$D$5:$D$200*(((Inputs!$G$5:$G$200="moeda")+(Inputs!$G$5:$G$200="acoes"))*Inputs!$B$1+((Inputs!$G$5:$G$200&lt;&gt;"moeda")*(Inputs!$G$5:$G$200&lt;&gt;"acoes")))*INDEX(Inputs!$K$5:$AJ$200,0,MATCH(E$2,Inputs!$K$4:$AJ$4,0)))+SUMPRODUCT((Inputs!$E$5:$E$200=$B6)*Inputs!$F$5:$F$200*(((Inputs!$G$5:$G$200="moeda")+(Inputs!$G$5:$G$200="acoes"))*Inputs!$B$1+((Inputs!$G$5:$G$200&lt;&gt;"moeda")*(Inputs!$G$5:$G$200&lt;&gt;"acoes")))*INDEX(Inputs!$K$5:$AJ$200,0,MATCH(E$2,Inputs!$K$4:$AJ$4,0)))))</f>
        <v>-8.569</v>
      </c>
      <c r="F6" s="6">
        <f>IF(ISNA(MATCH(F$2,Inputs!$K$4:$AJ$4,0)),NA(),IF(SUMPRODUCT((Inputs!$A$5:$A$200=$B6)*ISNUMBER(INDEX(Inputs!$K$5:$AJ$200,0,MATCH(F$2,Inputs!$K$4:$AJ$4,0))))+SUMPRODUCT((Inputs!$C$5:$C$200=$B6)*ISNUMBER(INDEX(Inputs!$K$5:$AJ$200,0,MATCH(F$2,Inputs!$K$4:$AJ$4,0))))+SUMPRODUCT((Inputs!$E$5:$E$200=$B6)*ISNUMBER(INDEX(Inputs!$K$5:$AJ$200,0,MATCH(F$2,Inputs!$K$4:$AJ$4,0))))=0,NA(),SUMPRODUCT((Inputs!$A$5:$A$200=$B6)*Inputs!$B$5:$B$200*(((Inputs!$G$5:$G$200="moeda")+(Inputs!$G$5:$G$200="acoes"))*Inputs!$B$1+((Inputs!$G$5:$G$200&lt;&gt;"moeda")*(Inputs!$G$5:$G$200&lt;&gt;"acoes")))*INDEX(Inputs!$K$5:$AJ$200,0,MATCH(F$2,Inputs!$K$4:$AJ$4,0)))+SUMPRODUCT((Inputs!$C$5:$C$200=$B6)*Inputs!$D$5:$D$200*(((Inputs!$G$5:$G$200="moeda")+(Inputs!$G$5:$G$200="acoes"))*Inputs!$B$1+((Inputs!$G$5:$G$200&lt;&gt;"moeda")*(Inputs!$G$5:$G$200&lt;&gt;"acoes")))*INDEX(Inputs!$K$5:$AJ$200,0,MATCH(F$2,Inputs!$K$4:$AJ$4,0)))+SUMPRODUCT((Inputs!$E$5:$E$200=$B6)*Inputs!$F$5:$F$200*(((Inputs!$G$5:$G$200="moeda")+(Inputs!$G$5:$G$200="acoes"))*Inputs!$B$1+((Inputs!$G$5:$G$200&lt;&gt;"moeda")*(Inputs!$G$5:$G$200&lt;&gt;"acoes")))*INDEX(Inputs!$K$5:$AJ$200,0,MATCH(F$2,Inputs!$K$4:$AJ$4,0)))))</f>
        <v>-18.866</v>
      </c>
      <c r="G6" s="6">
        <f>IF(ISNA(MATCH(G$2,Inputs!$K$4:$AJ$4,0)),NA(),IF(SUMPRODUCT((Inputs!$A$5:$A$200=$B6)*ISNUMBER(INDEX(Inputs!$K$5:$AJ$200,0,MATCH(G$2,Inputs!$K$4:$AJ$4,0))))+SUMPRODUCT((Inputs!$C$5:$C$200=$B6)*ISNUMBER(INDEX(Inputs!$K$5:$AJ$200,0,MATCH(G$2,Inputs!$K$4:$AJ$4,0))))+SUMPRODUCT((Inputs!$E$5:$E$200=$B6)*ISNUMBER(INDEX(Inputs!$K$5:$AJ$200,0,MATCH(G$2,Inputs!$K$4:$AJ$4,0))))=0,NA(),SUMPRODUCT((Inputs!$A$5:$A$200=$B6)*Inputs!$B$5:$B$200*(((Inputs!$G$5:$G$200="moeda")+(Inputs!$G$5:$G$200="acoes"))*Inputs!$B$1+((Inputs!$G$5:$G$200&lt;&gt;"moeda")*(Inputs!$G$5:$G$200&lt;&gt;"acoes")))*INDEX(Inputs!$K$5:$AJ$200,0,MATCH(G$2,Inputs!$K$4:$AJ$4,0)))+SUMPRODUCT((Inputs!$C$5:$C$200=$B6)*Inputs!$D$5:$D$200*(((Inputs!$G$5:$G$200="moeda")+(Inputs!$G$5:$G$200="acoes"))*Inputs!$B$1+((Inputs!$G$5:$G$200&lt;&gt;"moeda")*(Inputs!$G$5:$G$200&lt;&gt;"acoes")))*INDEX(Inputs!$K$5:$AJ$200,0,MATCH(G$2,Inputs!$K$4:$AJ$4,0)))+SUMPRODUCT((Inputs!$E$5:$E$200=$B6)*Inputs!$F$5:$F$200*(((Inputs!$G$5:$G$200="moeda")+(Inputs!$G$5:$G$200="acoes"))*Inputs!$B$1+((Inputs!$G$5:$G$200&lt;&gt;"moeda")*(Inputs!$G$5:$G$200&lt;&gt;"acoes")))*INDEX(Inputs!$K$5:$AJ$200,0,MATCH(G$2,Inputs!$K$4:$AJ$4,0)))))</f>
        <v>-20.271</v>
      </c>
      <c r="H6" s="3">
        <f>SUM(D6:G6)</f>
        <v>-99.959</v>
      </c>
      <c r="I6" s="6">
        <f>IF(ISNA(MATCH(I$2,Inputs!$K$4:$AJ$4,0)),NA(),IF(SUMPRODUCT((Inputs!$A$5:$A$200=$B6)*ISNUMBER(INDEX(Inputs!$K$5:$AJ$200,0,MATCH(I$2,Inputs!$K$4:$AJ$4,0))))+SUMPRODUCT((Inputs!$C$5:$C$200=$B6)*ISNUMBER(INDEX(Inputs!$K$5:$AJ$200,0,MATCH(I$2,Inputs!$K$4:$AJ$4,0))))+SUMPRODUCT((Inputs!$E$5:$E$200=$B6)*ISNUMBER(INDEX(Inputs!$K$5:$AJ$200,0,MATCH(I$2,Inputs!$K$4:$AJ$4,0))))=0,NA(),SUMPRODUCT((Inputs!$A$5:$A$200=$B6)*Inputs!$B$5:$B$200*(((Inputs!$G$5:$G$200="moeda")+(Inputs!$G$5:$G$200="acoes"))*Inputs!$B$1+((Inputs!$G$5:$G$200&lt;&gt;"moeda")*(Inputs!$G$5:$G$200&lt;&gt;"acoes")))*INDEX(Inputs!$K$5:$AJ$200,0,MATCH(I$2,Inputs!$K$4:$AJ$4,0)))+SUMPRODUCT((Inputs!$C$5:$C$200=$B6)*Inputs!$D$5:$D$200*(((Inputs!$G$5:$G$200="moeda")+(Inputs!$G$5:$G$200="acoes"))*Inputs!$B$1+((Inputs!$G$5:$G$200&lt;&gt;"moeda")*(Inputs!$G$5:$G$200&lt;&gt;"acoes")))*INDEX(Inputs!$K$5:$AJ$200,0,MATCH(I$2,Inputs!$K$4:$AJ$4,0)))+SUMPRODUCT((Inputs!$E$5:$E$200=$B6)*Inputs!$F$5:$F$200*(((Inputs!$G$5:$G$200="moeda")+(Inputs!$G$5:$G$200="acoes"))*Inputs!$B$1+((Inputs!$G$5:$G$200&lt;&gt;"moeda")*(Inputs!$G$5:$G$200&lt;&gt;"acoes")))*INDEX(Inputs!$K$5:$AJ$200,0,MATCH(I$2,Inputs!$K$4:$AJ$4,0)))))</f>
        <v>-22.12</v>
      </c>
      <c r="J6" s="6">
        <f>IF(ISNA(MATCH(J$2,Inputs!$K$4:$AJ$4,0)),NA(),IF(SUMPRODUCT((Inputs!$A$5:$A$200=$B6)*ISNUMBER(INDEX(Inputs!$K$5:$AJ$200,0,MATCH(J$2,Inputs!$K$4:$AJ$4,0))))+SUMPRODUCT((Inputs!$C$5:$C$200=$B6)*ISNUMBER(INDEX(Inputs!$K$5:$AJ$200,0,MATCH(J$2,Inputs!$K$4:$AJ$4,0))))+SUMPRODUCT((Inputs!$E$5:$E$200=$B6)*ISNUMBER(INDEX(Inputs!$K$5:$AJ$200,0,MATCH(J$2,Inputs!$K$4:$AJ$4,0))))=0,NA(),SUMPRODUCT((Inputs!$A$5:$A$200=$B6)*Inputs!$B$5:$B$200*(((Inputs!$G$5:$G$200="moeda")+(Inputs!$G$5:$G$200="acoes"))*Inputs!$B$1+((Inputs!$G$5:$G$200&lt;&gt;"moeda")*(Inputs!$G$5:$G$200&lt;&gt;"acoes")))*INDEX(Inputs!$K$5:$AJ$200,0,MATCH(J$2,Inputs!$K$4:$AJ$4,0)))+SUMPRODUCT((Inputs!$C$5:$C$200=$B6)*Inputs!$D$5:$D$200*(((Inputs!$G$5:$G$200="moeda")+(Inputs!$G$5:$G$200="acoes"))*Inputs!$B$1+((Inputs!$G$5:$G$200&lt;&gt;"moeda")*(Inputs!$G$5:$G$200&lt;&gt;"acoes")))*INDEX(Inputs!$K$5:$AJ$200,0,MATCH(J$2,Inputs!$K$4:$AJ$4,0)))+SUMPRODUCT((Inputs!$E$5:$E$200=$B6)*Inputs!$F$5:$F$200*(((Inputs!$G$5:$G$200="moeda")+(Inputs!$G$5:$G$200="acoes"))*Inputs!$B$1+((Inputs!$G$5:$G$200&lt;&gt;"moeda")*(Inputs!$G$5:$G$200&lt;&gt;"acoes")))*INDEX(Inputs!$K$5:$AJ$200,0,MATCH(J$2,Inputs!$K$4:$AJ$4,0)))))</f>
        <v>-19.144</v>
      </c>
      <c r="K6" s="6">
        <f>IF(ISNA(MATCH(K$2,Inputs!$K$4:$AJ$4,0)),NA(),IF(SUMPRODUCT((Inputs!$A$5:$A$200=$B6)*ISNUMBER(INDEX(Inputs!$K$5:$AJ$200,0,MATCH(K$2,Inputs!$K$4:$AJ$4,0))))+SUMPRODUCT((Inputs!$C$5:$C$200=$B6)*ISNUMBER(INDEX(Inputs!$K$5:$AJ$200,0,MATCH(K$2,Inputs!$K$4:$AJ$4,0))))+SUMPRODUCT((Inputs!$E$5:$E$200=$B6)*ISNUMBER(INDEX(Inputs!$K$5:$AJ$200,0,MATCH(K$2,Inputs!$K$4:$AJ$4,0))))=0,NA(),SUMPRODUCT((Inputs!$A$5:$A$200=$B6)*Inputs!$B$5:$B$200*(((Inputs!$G$5:$G$200="moeda")+(Inputs!$G$5:$G$200="acoes"))*Inputs!$B$1+((Inputs!$G$5:$G$200&lt;&gt;"moeda")*(Inputs!$G$5:$G$200&lt;&gt;"acoes")))*INDEX(Inputs!$K$5:$AJ$200,0,MATCH(K$2,Inputs!$K$4:$AJ$4,0)))+SUMPRODUCT((Inputs!$C$5:$C$200=$B6)*Inputs!$D$5:$D$200*(((Inputs!$G$5:$G$200="moeda")+(Inputs!$G$5:$G$200="acoes"))*Inputs!$B$1+((Inputs!$G$5:$G$200&lt;&gt;"moeda")*(Inputs!$G$5:$G$200&lt;&gt;"acoes")))*INDEX(Inputs!$K$5:$AJ$200,0,MATCH(K$2,Inputs!$K$4:$AJ$4,0)))+SUMPRODUCT((Inputs!$E$5:$E$200=$B6)*Inputs!$F$5:$F$200*(((Inputs!$G$5:$G$200="moeda")+(Inputs!$G$5:$G$200="acoes"))*Inputs!$B$1+((Inputs!$G$5:$G$200&lt;&gt;"moeda")*(Inputs!$G$5:$G$200&lt;&gt;"acoes")))*INDEX(Inputs!$K$5:$AJ$200,0,MATCH(K$2,Inputs!$K$4:$AJ$4,0)))))</f>
        <v>-46.061</v>
      </c>
      <c r="L6" s="6">
        <f>IF(ISNA(MATCH(L$2,Inputs!$K$4:$AJ$4,0)),NA(),IF(SUMPRODUCT((Inputs!$A$5:$A$200=$B6)*ISNUMBER(INDEX(Inputs!$K$5:$AJ$200,0,MATCH(L$2,Inputs!$K$4:$AJ$4,0))))+SUMPRODUCT((Inputs!$C$5:$C$200=$B6)*ISNUMBER(INDEX(Inputs!$K$5:$AJ$200,0,MATCH(L$2,Inputs!$K$4:$AJ$4,0))))+SUMPRODUCT((Inputs!$E$5:$E$200=$B6)*ISNUMBER(INDEX(Inputs!$K$5:$AJ$200,0,MATCH(L$2,Inputs!$K$4:$AJ$4,0))))=0,NA(),SUMPRODUCT((Inputs!$A$5:$A$200=$B6)*Inputs!$B$5:$B$200*(((Inputs!$G$5:$G$200="moeda")+(Inputs!$G$5:$G$200="acoes"))*Inputs!$B$1+((Inputs!$G$5:$G$200&lt;&gt;"moeda")*(Inputs!$G$5:$G$200&lt;&gt;"acoes")))*INDEX(Inputs!$K$5:$AJ$200,0,MATCH(L$2,Inputs!$K$4:$AJ$4,0)))+SUMPRODUCT((Inputs!$C$5:$C$200=$B6)*Inputs!$D$5:$D$200*(((Inputs!$G$5:$G$200="moeda")+(Inputs!$G$5:$G$200="acoes"))*Inputs!$B$1+((Inputs!$G$5:$G$200&lt;&gt;"moeda")*(Inputs!$G$5:$G$200&lt;&gt;"acoes")))*INDEX(Inputs!$K$5:$AJ$200,0,MATCH(L$2,Inputs!$K$4:$AJ$4,0)))+SUMPRODUCT((Inputs!$E$5:$E$200=$B6)*Inputs!$F$5:$F$200*(((Inputs!$G$5:$G$200="moeda")+(Inputs!$G$5:$G$200="acoes"))*Inputs!$B$1+((Inputs!$G$5:$G$200&lt;&gt;"moeda")*(Inputs!$G$5:$G$200&lt;&gt;"acoes")))*INDEX(Inputs!$K$5:$AJ$200,0,MATCH(L$2,Inputs!$K$4:$AJ$4,0)))))</f>
        <v>-50.785</v>
      </c>
      <c r="M6" s="3">
        <f>SUM(I6:L6)</f>
        <v>-138.11</v>
      </c>
      <c r="N6" s="6">
        <f>IF(ISNA(MATCH(N$2,Inputs!$K$4:$AJ$4,0)),NA(),IF(SUMPRODUCT((Inputs!$A$5:$A$200=$B6)*ISNUMBER(INDEX(Inputs!$K$5:$AJ$200,0,MATCH(N$2,Inputs!$K$4:$AJ$4,0))))+SUMPRODUCT((Inputs!$C$5:$C$200=$B6)*ISNUMBER(INDEX(Inputs!$K$5:$AJ$200,0,MATCH(N$2,Inputs!$K$4:$AJ$4,0))))+SUMPRODUCT((Inputs!$E$5:$E$200=$B6)*ISNUMBER(INDEX(Inputs!$K$5:$AJ$200,0,MATCH(N$2,Inputs!$K$4:$AJ$4,0))))=0,NA(),SUMPRODUCT((Inputs!$A$5:$A$200=$B6)*Inputs!$B$5:$B$200*(((Inputs!$G$5:$G$200="moeda")+(Inputs!$G$5:$G$200="acoes"))*Inputs!$B$1+((Inputs!$G$5:$G$200&lt;&gt;"moeda")*(Inputs!$G$5:$G$200&lt;&gt;"acoes")))*INDEX(Inputs!$K$5:$AJ$200,0,MATCH(N$2,Inputs!$K$4:$AJ$4,0)))+SUMPRODUCT((Inputs!$C$5:$C$200=$B6)*Inputs!$D$5:$D$200*(((Inputs!$G$5:$G$200="moeda")+(Inputs!$G$5:$G$200="acoes"))*Inputs!$B$1+((Inputs!$G$5:$G$200&lt;&gt;"moeda")*(Inputs!$G$5:$G$200&lt;&gt;"acoes")))*INDEX(Inputs!$K$5:$AJ$200,0,MATCH(N$2,Inputs!$K$4:$AJ$4,0)))+SUMPRODUCT((Inputs!$E$5:$E$200=$B6)*Inputs!$F$5:$F$200*(((Inputs!$G$5:$G$200="moeda")+(Inputs!$G$5:$G$200="acoes"))*Inputs!$B$1+((Inputs!$G$5:$G$200&lt;&gt;"moeda")*(Inputs!$G$5:$G$200&lt;&gt;"acoes")))*INDEX(Inputs!$K$5:$AJ$200,0,MATCH(N$2,Inputs!$K$4:$AJ$4,0)))))</f>
        <v>-33.418</v>
      </c>
      <c r="O6" s="6">
        <f>IF(ISNA(MATCH(O$2,Inputs!$K$4:$AJ$4,0)),NA(),IF(SUMPRODUCT((Inputs!$A$5:$A$200=$B6)*ISNUMBER(INDEX(Inputs!$K$5:$AJ$200,0,MATCH(O$2,Inputs!$K$4:$AJ$4,0))))+SUMPRODUCT((Inputs!$C$5:$C$200=$B6)*ISNUMBER(INDEX(Inputs!$K$5:$AJ$200,0,MATCH(O$2,Inputs!$K$4:$AJ$4,0))))+SUMPRODUCT((Inputs!$E$5:$E$200=$B6)*ISNUMBER(INDEX(Inputs!$K$5:$AJ$200,0,MATCH(O$2,Inputs!$K$4:$AJ$4,0))))=0,NA(),SUMPRODUCT((Inputs!$A$5:$A$200=$B6)*Inputs!$B$5:$B$200*(((Inputs!$G$5:$G$200="moeda")+(Inputs!$G$5:$G$200="acoes"))*Inputs!$B$1+((Inputs!$G$5:$G$200&lt;&gt;"moeda")*(Inputs!$G$5:$G$200&lt;&gt;"acoes")))*INDEX(Inputs!$K$5:$AJ$200,0,MATCH(O$2,Inputs!$K$4:$AJ$4,0)))+SUMPRODUCT((Inputs!$C$5:$C$200=$B6)*Inputs!$D$5:$D$200*(((Inputs!$G$5:$G$200="moeda")+(Inputs!$G$5:$G$200="acoes"))*Inputs!$B$1+((Inputs!$G$5:$G$200&lt;&gt;"moeda")*(Inputs!$G$5:$G$200&lt;&gt;"acoes")))*INDEX(Inputs!$K$5:$AJ$200,0,MATCH(O$2,Inputs!$K$4:$AJ$4,0)))+SUMPRODUCT((Inputs!$E$5:$E$200=$B6)*Inputs!$F$5:$F$200*(((Inputs!$G$5:$G$200="moeda")+(Inputs!$G$5:$G$200="acoes"))*Inputs!$B$1+((Inputs!$G$5:$G$200&lt;&gt;"moeda")*(Inputs!$G$5:$G$200&lt;&gt;"acoes")))*INDEX(Inputs!$K$5:$AJ$200,0,MATCH(O$2,Inputs!$K$4:$AJ$4,0)))))</f>
        <v>-25.614</v>
      </c>
      <c r="P6" s="6">
        <f>IF(ISNA(MATCH(P$2,Inputs!$K$4:$AJ$4,0)),NA(),IF(SUMPRODUCT((Inputs!$A$5:$A$200=$B6)*ISNUMBER(INDEX(Inputs!$K$5:$AJ$200,0,MATCH(P$2,Inputs!$K$4:$AJ$4,0))))+SUMPRODUCT((Inputs!$C$5:$C$200=$B6)*ISNUMBER(INDEX(Inputs!$K$5:$AJ$200,0,MATCH(P$2,Inputs!$K$4:$AJ$4,0))))+SUMPRODUCT((Inputs!$E$5:$E$200=$B6)*ISNUMBER(INDEX(Inputs!$K$5:$AJ$200,0,MATCH(P$2,Inputs!$K$4:$AJ$4,0))))=0,NA(),SUMPRODUCT((Inputs!$A$5:$A$200=$B6)*Inputs!$B$5:$B$200*(((Inputs!$G$5:$G$200="moeda")+(Inputs!$G$5:$G$200="acoes"))*Inputs!$B$1+((Inputs!$G$5:$G$200&lt;&gt;"moeda")*(Inputs!$G$5:$G$200&lt;&gt;"acoes")))*INDEX(Inputs!$K$5:$AJ$200,0,MATCH(P$2,Inputs!$K$4:$AJ$4,0)))+SUMPRODUCT((Inputs!$C$5:$C$200=$B6)*Inputs!$D$5:$D$200*(((Inputs!$G$5:$G$200="moeda")+(Inputs!$G$5:$G$200="acoes"))*Inputs!$B$1+((Inputs!$G$5:$G$200&lt;&gt;"moeda")*(Inputs!$G$5:$G$200&lt;&gt;"acoes")))*INDEX(Inputs!$K$5:$AJ$200,0,MATCH(P$2,Inputs!$K$4:$AJ$4,0)))+SUMPRODUCT((Inputs!$E$5:$E$200=$B6)*Inputs!$F$5:$F$200*(((Inputs!$G$5:$G$200="moeda")+(Inputs!$G$5:$G$200="acoes"))*Inputs!$B$1+((Inputs!$G$5:$G$200&lt;&gt;"moeda")*(Inputs!$G$5:$G$200&lt;&gt;"acoes")))*INDEX(Inputs!$K$5:$AJ$200,0,MATCH(P$2,Inputs!$K$4:$AJ$4,0)))))</f>
        <v>-29.084</v>
      </c>
      <c r="Q6" s="6">
        <f>IF(ISNA(MATCH(Q$2,Inputs!$K$4:$AJ$4,0)),NA(),IF(SUMPRODUCT((Inputs!$A$5:$A$200=$B6)*ISNUMBER(INDEX(Inputs!$K$5:$AJ$200,0,MATCH(Q$2,Inputs!$K$4:$AJ$4,0))))+SUMPRODUCT((Inputs!$C$5:$C$200=$B6)*ISNUMBER(INDEX(Inputs!$K$5:$AJ$200,0,MATCH(Q$2,Inputs!$K$4:$AJ$4,0))))+SUMPRODUCT((Inputs!$E$5:$E$200=$B6)*ISNUMBER(INDEX(Inputs!$K$5:$AJ$200,0,MATCH(Q$2,Inputs!$K$4:$AJ$4,0))))=0,NA(),SUMPRODUCT((Inputs!$A$5:$A$200=$B6)*Inputs!$B$5:$B$200*(((Inputs!$G$5:$G$200="moeda")+(Inputs!$G$5:$G$200="acoes"))*Inputs!$B$1+((Inputs!$G$5:$G$200&lt;&gt;"moeda")*(Inputs!$G$5:$G$200&lt;&gt;"acoes")))*INDEX(Inputs!$K$5:$AJ$200,0,MATCH(Q$2,Inputs!$K$4:$AJ$4,0)))+SUMPRODUCT((Inputs!$C$5:$C$200=$B6)*Inputs!$D$5:$D$200*(((Inputs!$G$5:$G$200="moeda")+(Inputs!$G$5:$G$200="acoes"))*Inputs!$B$1+((Inputs!$G$5:$G$200&lt;&gt;"moeda")*(Inputs!$G$5:$G$200&lt;&gt;"acoes")))*INDEX(Inputs!$K$5:$AJ$200,0,MATCH(Q$2,Inputs!$K$4:$AJ$4,0)))+SUMPRODUCT((Inputs!$E$5:$E$200=$B6)*Inputs!$F$5:$F$200*(((Inputs!$G$5:$G$200="moeda")+(Inputs!$G$5:$G$200="acoes"))*Inputs!$B$1+((Inputs!$G$5:$G$200&lt;&gt;"moeda")*(Inputs!$G$5:$G$200&lt;&gt;"acoes")))*INDEX(Inputs!$K$5:$AJ$200,0,MATCH(Q$2,Inputs!$K$4:$AJ$4,0)))))</f>
        <v>19.099</v>
      </c>
      <c r="R6" s="3">
        <f>SUM(N6:Q6)</f>
        <v>-69.017</v>
      </c>
      <c r="S6" s="6">
        <f>IF(ISNA(MATCH(S$2,Inputs!$K$4:$AJ$4,0)),NA(),IF(SUMPRODUCT((Inputs!$A$5:$A$200=$B6)*ISNUMBER(INDEX(Inputs!$K$5:$AJ$200,0,MATCH(S$2,Inputs!$K$4:$AJ$4,0))))+SUMPRODUCT((Inputs!$C$5:$C$200=$B6)*ISNUMBER(INDEX(Inputs!$K$5:$AJ$200,0,MATCH(S$2,Inputs!$K$4:$AJ$4,0))))+SUMPRODUCT((Inputs!$E$5:$E$200=$B6)*ISNUMBER(INDEX(Inputs!$K$5:$AJ$200,0,MATCH(S$2,Inputs!$K$4:$AJ$4,0))))=0,NA(),SUMPRODUCT((Inputs!$A$5:$A$200=$B6)*Inputs!$B$5:$B$200*(((Inputs!$G$5:$G$200="moeda")+(Inputs!$G$5:$G$200="acoes"))*Inputs!$B$1+((Inputs!$G$5:$G$200&lt;&gt;"moeda")*(Inputs!$G$5:$G$200&lt;&gt;"acoes")))*INDEX(Inputs!$K$5:$AJ$200,0,MATCH(S$2,Inputs!$K$4:$AJ$4,0)))+SUMPRODUCT((Inputs!$C$5:$C$200=$B6)*Inputs!$D$5:$D$200*(((Inputs!$G$5:$G$200="moeda")+(Inputs!$G$5:$G$200="acoes"))*Inputs!$B$1+((Inputs!$G$5:$G$200&lt;&gt;"moeda")*(Inputs!$G$5:$G$200&lt;&gt;"acoes")))*INDEX(Inputs!$K$5:$AJ$200,0,MATCH(S$2,Inputs!$K$4:$AJ$4,0)))+SUMPRODUCT((Inputs!$E$5:$E$200=$B6)*Inputs!$F$5:$F$200*(((Inputs!$G$5:$G$200="moeda")+(Inputs!$G$5:$G$200="acoes"))*Inputs!$B$1+((Inputs!$G$5:$G$200&lt;&gt;"moeda")*(Inputs!$G$5:$G$200&lt;&gt;"acoes")))*INDEX(Inputs!$K$5:$AJ$200,0,MATCH(S$2,Inputs!$K$4:$AJ$4,0)))))</f>
        <v>-30.227</v>
      </c>
      <c r="T6" s="6">
        <f>IF(ISNA(MATCH(T$2,Inputs!$K$4:$AJ$4,0)),NA(),IF(SUMPRODUCT((Inputs!$A$5:$A$200=$B6)*ISNUMBER(INDEX(Inputs!$K$5:$AJ$200,0,MATCH(T$2,Inputs!$K$4:$AJ$4,0))))+SUMPRODUCT((Inputs!$C$5:$C$200=$B6)*ISNUMBER(INDEX(Inputs!$K$5:$AJ$200,0,MATCH(T$2,Inputs!$K$4:$AJ$4,0))))+SUMPRODUCT((Inputs!$E$5:$E$200=$B6)*ISNUMBER(INDEX(Inputs!$K$5:$AJ$200,0,MATCH(T$2,Inputs!$K$4:$AJ$4,0))))=0,NA(),SUMPRODUCT((Inputs!$A$5:$A$200=$B6)*Inputs!$B$5:$B$200*(((Inputs!$G$5:$G$200="moeda")+(Inputs!$G$5:$G$200="acoes"))*Inputs!$B$1+((Inputs!$G$5:$G$200&lt;&gt;"moeda")*(Inputs!$G$5:$G$200&lt;&gt;"acoes")))*INDEX(Inputs!$K$5:$AJ$200,0,MATCH(T$2,Inputs!$K$4:$AJ$4,0)))+SUMPRODUCT((Inputs!$C$5:$C$200=$B6)*Inputs!$D$5:$D$200*(((Inputs!$G$5:$G$200="moeda")+(Inputs!$G$5:$G$200="acoes"))*Inputs!$B$1+((Inputs!$G$5:$G$200&lt;&gt;"moeda")*(Inputs!$G$5:$G$200&lt;&gt;"acoes")))*INDEX(Inputs!$K$5:$AJ$200,0,MATCH(T$2,Inputs!$K$4:$AJ$4,0)))+SUMPRODUCT((Inputs!$E$5:$E$200=$B6)*Inputs!$F$5:$F$200*(((Inputs!$G$5:$G$200="moeda")+(Inputs!$G$5:$G$200="acoes"))*Inputs!$B$1+((Inputs!$G$5:$G$200&lt;&gt;"moeda")*(Inputs!$G$5:$G$200&lt;&gt;"acoes")))*INDEX(Inputs!$K$5:$AJ$200,0,MATCH(T$2,Inputs!$K$4:$AJ$4,0)))))</f>
        <v>-32.052</v>
      </c>
      <c r="U6" s="6">
        <f>IF(ISNA(MATCH(U$2,Inputs!$K$4:$AJ$4,0)),NA(),IF(SUMPRODUCT((Inputs!$A$5:$A$200=$B6)*ISNUMBER(INDEX(Inputs!$K$5:$AJ$200,0,MATCH(U$2,Inputs!$K$4:$AJ$4,0))))+SUMPRODUCT((Inputs!$C$5:$C$200=$B6)*ISNUMBER(INDEX(Inputs!$K$5:$AJ$200,0,MATCH(U$2,Inputs!$K$4:$AJ$4,0))))+SUMPRODUCT((Inputs!$E$5:$E$200=$B6)*ISNUMBER(INDEX(Inputs!$K$5:$AJ$200,0,MATCH(U$2,Inputs!$K$4:$AJ$4,0))))=0,NA(),SUMPRODUCT((Inputs!$A$5:$A$200=$B6)*Inputs!$B$5:$B$200*(((Inputs!$G$5:$G$200="moeda")+(Inputs!$G$5:$G$200="acoes"))*Inputs!$B$1+((Inputs!$G$5:$G$200&lt;&gt;"moeda")*(Inputs!$G$5:$G$200&lt;&gt;"acoes")))*INDEX(Inputs!$K$5:$AJ$200,0,MATCH(U$2,Inputs!$K$4:$AJ$4,0)))+SUMPRODUCT((Inputs!$C$5:$C$200=$B6)*Inputs!$D$5:$D$200*(((Inputs!$G$5:$G$200="moeda")+(Inputs!$G$5:$G$200="acoes"))*Inputs!$B$1+((Inputs!$G$5:$G$200&lt;&gt;"moeda")*(Inputs!$G$5:$G$200&lt;&gt;"acoes")))*INDEX(Inputs!$K$5:$AJ$200,0,MATCH(U$2,Inputs!$K$4:$AJ$4,0)))+SUMPRODUCT((Inputs!$E$5:$E$200=$B6)*Inputs!$F$5:$F$200*(((Inputs!$G$5:$G$200="moeda")+(Inputs!$G$5:$G$200="acoes"))*Inputs!$B$1+((Inputs!$G$5:$G$200&lt;&gt;"moeda")*(Inputs!$G$5:$G$200&lt;&gt;"acoes")))*INDEX(Inputs!$K$5:$AJ$200,0,MATCH(U$2,Inputs!$K$4:$AJ$4,0)))))</f>
        <v>-39.082</v>
      </c>
      <c r="V6" s="6">
        <f>IF(ISNA(MATCH(V$2,Inputs!$K$4:$AJ$4,0)),NA(),IF(SUMPRODUCT((Inputs!$A$5:$A$200=$B6)*ISNUMBER(INDEX(Inputs!$K$5:$AJ$200,0,MATCH(V$2,Inputs!$K$4:$AJ$4,0))))+SUMPRODUCT((Inputs!$C$5:$C$200=$B6)*ISNUMBER(INDEX(Inputs!$K$5:$AJ$200,0,MATCH(V$2,Inputs!$K$4:$AJ$4,0))))+SUMPRODUCT((Inputs!$E$5:$E$200=$B6)*ISNUMBER(INDEX(Inputs!$K$5:$AJ$200,0,MATCH(V$2,Inputs!$K$4:$AJ$4,0))))=0,NA(),SUMPRODUCT((Inputs!$A$5:$A$200=$B6)*Inputs!$B$5:$B$200*(((Inputs!$G$5:$G$200="moeda")+(Inputs!$G$5:$G$200="acoes"))*Inputs!$B$1+((Inputs!$G$5:$G$200&lt;&gt;"moeda")*(Inputs!$G$5:$G$200&lt;&gt;"acoes")))*INDEX(Inputs!$K$5:$AJ$200,0,MATCH(V$2,Inputs!$K$4:$AJ$4,0)))+SUMPRODUCT((Inputs!$C$5:$C$200=$B6)*Inputs!$D$5:$D$200*(((Inputs!$G$5:$G$200="moeda")+(Inputs!$G$5:$G$200="acoes"))*Inputs!$B$1+((Inputs!$G$5:$G$200&lt;&gt;"moeda")*(Inputs!$G$5:$G$200&lt;&gt;"acoes")))*INDEX(Inputs!$K$5:$AJ$200,0,MATCH(V$2,Inputs!$K$4:$AJ$4,0)))+SUMPRODUCT((Inputs!$E$5:$E$200=$B6)*Inputs!$F$5:$F$200*(((Inputs!$G$5:$G$200="moeda")+(Inputs!$G$5:$G$200="acoes"))*Inputs!$B$1+((Inputs!$G$5:$G$200&lt;&gt;"moeda")*(Inputs!$G$5:$G$200&lt;&gt;"acoes")))*INDEX(Inputs!$K$5:$AJ$200,0,MATCH(V$2,Inputs!$K$4:$AJ$4,0)))))</f>
        <v>-53.755</v>
      </c>
      <c r="W6" s="3">
        <f>SUM(S6:V6)</f>
        <v>-155.116</v>
      </c>
      <c r="X6" s="6">
        <f>IF(ISNA(MATCH(X$2,Inputs!$K$4:$AJ$4,0)),NA(),IF(SUMPRODUCT((Inputs!$A$5:$A$200=$B6)*ISNUMBER(INDEX(Inputs!$K$5:$AJ$200,0,MATCH(X$2,Inputs!$K$4:$AJ$4,0))))+SUMPRODUCT((Inputs!$C$5:$C$200=$B6)*ISNUMBER(INDEX(Inputs!$K$5:$AJ$200,0,MATCH(X$2,Inputs!$K$4:$AJ$4,0))))+SUMPRODUCT((Inputs!$E$5:$E$200=$B6)*ISNUMBER(INDEX(Inputs!$K$5:$AJ$200,0,MATCH(X$2,Inputs!$K$4:$AJ$4,0))))=0,NA(),SUMPRODUCT((Inputs!$A$5:$A$200=$B6)*Inputs!$B$5:$B$200*(((Inputs!$G$5:$G$200="moeda")+(Inputs!$G$5:$G$200="acoes"))*Inputs!$B$1+((Inputs!$G$5:$G$200&lt;&gt;"moeda")*(Inputs!$G$5:$G$200&lt;&gt;"acoes")))*INDEX(Inputs!$K$5:$AJ$200,0,MATCH(X$2,Inputs!$K$4:$AJ$4,0)))+SUMPRODUCT((Inputs!$C$5:$C$200=$B6)*Inputs!$D$5:$D$200*(((Inputs!$G$5:$G$200="moeda")+(Inputs!$G$5:$G$200="acoes"))*Inputs!$B$1+((Inputs!$G$5:$G$200&lt;&gt;"moeda")*(Inputs!$G$5:$G$200&lt;&gt;"acoes")))*INDEX(Inputs!$K$5:$AJ$200,0,MATCH(X$2,Inputs!$K$4:$AJ$4,0)))+SUMPRODUCT((Inputs!$E$5:$E$200=$B6)*Inputs!$F$5:$F$200*(((Inputs!$G$5:$G$200="moeda")+(Inputs!$G$5:$G$200="acoes"))*Inputs!$B$1+((Inputs!$G$5:$G$200&lt;&gt;"moeda")*(Inputs!$G$5:$G$200&lt;&gt;"acoes")))*INDEX(Inputs!$K$5:$AJ$200,0,MATCH(X$2,Inputs!$K$4:$AJ$4,0)))))</f>
        <v>-45.378</v>
      </c>
      <c r="Y6" s="6">
        <f>IF(ISNA(MATCH(Y$2,Inputs!$K$4:$AJ$4,0)),NA(),IF(SUMPRODUCT((Inputs!$A$5:$A$200=$B6)*ISNUMBER(INDEX(Inputs!$K$5:$AJ$200,0,MATCH(Y$2,Inputs!$K$4:$AJ$4,0))))+SUMPRODUCT((Inputs!$C$5:$C$200=$B6)*ISNUMBER(INDEX(Inputs!$K$5:$AJ$200,0,MATCH(Y$2,Inputs!$K$4:$AJ$4,0))))+SUMPRODUCT((Inputs!$E$5:$E$200=$B6)*ISNUMBER(INDEX(Inputs!$K$5:$AJ$200,0,MATCH(Y$2,Inputs!$K$4:$AJ$4,0))))=0,NA(),SUMPRODUCT((Inputs!$A$5:$A$200=$B6)*Inputs!$B$5:$B$200*(((Inputs!$G$5:$G$200="moeda")+(Inputs!$G$5:$G$200="acoes"))*Inputs!$B$1+((Inputs!$G$5:$G$200&lt;&gt;"moeda")*(Inputs!$G$5:$G$200&lt;&gt;"acoes")))*INDEX(Inputs!$K$5:$AJ$200,0,MATCH(Y$2,Inputs!$K$4:$AJ$4,0)))+SUMPRODUCT((Inputs!$C$5:$C$200=$B6)*Inputs!$D$5:$D$200*(((Inputs!$G$5:$G$200="moeda")+(Inputs!$G$5:$G$200="acoes"))*Inputs!$B$1+((Inputs!$G$5:$G$200&lt;&gt;"moeda")*(Inputs!$G$5:$G$200&lt;&gt;"acoes")))*INDEX(Inputs!$K$5:$AJ$200,0,MATCH(Y$2,Inputs!$K$4:$AJ$4,0)))+SUMPRODUCT((Inputs!$E$5:$E$200=$B6)*Inputs!$F$5:$F$200*(((Inputs!$G$5:$G$200="moeda")+(Inputs!$G$5:$G$200="acoes"))*Inputs!$B$1+((Inputs!$G$5:$G$200&lt;&gt;"moeda")*(Inputs!$G$5:$G$200&lt;&gt;"acoes")))*INDEX(Inputs!$K$5:$AJ$200,0,MATCH(Y$2,Inputs!$K$4:$AJ$4,0)))))</f>
        <v>-44.509</v>
      </c>
      <c r="Z6" s="6">
        <f>IF(ISNA(MATCH(Z$2,Inputs!$K$4:$AJ$4,0)),NA(),IF(SUMPRODUCT((Inputs!$A$5:$A$200=$B6)*ISNUMBER(INDEX(Inputs!$K$5:$AJ$200,0,MATCH(Z$2,Inputs!$K$4:$AJ$4,0))))+SUMPRODUCT((Inputs!$C$5:$C$200=$B6)*ISNUMBER(INDEX(Inputs!$K$5:$AJ$200,0,MATCH(Z$2,Inputs!$K$4:$AJ$4,0))))+SUMPRODUCT((Inputs!$E$5:$E$200=$B6)*ISNUMBER(INDEX(Inputs!$K$5:$AJ$200,0,MATCH(Z$2,Inputs!$K$4:$AJ$4,0))))=0,NA(),SUMPRODUCT((Inputs!$A$5:$A$200=$B6)*Inputs!$B$5:$B$200*(((Inputs!$G$5:$G$200="moeda")+(Inputs!$G$5:$G$200="acoes"))*Inputs!$B$1+((Inputs!$G$5:$G$200&lt;&gt;"moeda")*(Inputs!$G$5:$G$200&lt;&gt;"acoes")))*INDEX(Inputs!$K$5:$AJ$200,0,MATCH(Z$2,Inputs!$K$4:$AJ$4,0)))+SUMPRODUCT((Inputs!$C$5:$C$200=$B6)*Inputs!$D$5:$D$200*(((Inputs!$G$5:$G$200="moeda")+(Inputs!$G$5:$G$200="acoes"))*Inputs!$B$1+((Inputs!$G$5:$G$200&lt;&gt;"moeda")*(Inputs!$G$5:$G$200&lt;&gt;"acoes")))*INDEX(Inputs!$K$5:$AJ$200,0,MATCH(Z$2,Inputs!$K$4:$AJ$4,0)))+SUMPRODUCT((Inputs!$E$5:$E$200=$B6)*Inputs!$F$5:$F$200*(((Inputs!$G$5:$G$200="moeda")+(Inputs!$G$5:$G$200="acoes"))*Inputs!$B$1+((Inputs!$G$5:$G$200&lt;&gt;"moeda")*(Inputs!$G$5:$G$200&lt;&gt;"acoes")))*INDEX(Inputs!$K$5:$AJ$200,0,MATCH(Z$2,Inputs!$K$4:$AJ$4,0)))))</f>
        <v>-53.315</v>
      </c>
      <c r="AA6" s="6">
        <f>IF(ISNA(MATCH(AA$2,Inputs!$K$4:$AJ$4,0)),NA(),IF(SUMPRODUCT((Inputs!$A$5:$A$200=$B6)*ISNUMBER(INDEX(Inputs!$K$5:$AJ$200,0,MATCH(AA$2,Inputs!$K$4:$AJ$4,0))))+SUMPRODUCT((Inputs!$C$5:$C$200=$B6)*ISNUMBER(INDEX(Inputs!$K$5:$AJ$200,0,MATCH(AA$2,Inputs!$K$4:$AJ$4,0))))+SUMPRODUCT((Inputs!$E$5:$E$200=$B6)*ISNUMBER(INDEX(Inputs!$K$5:$AJ$200,0,MATCH(AA$2,Inputs!$K$4:$AJ$4,0))))=0,NA(),SUMPRODUCT((Inputs!$A$5:$A$200=$B6)*Inputs!$B$5:$B$200*(((Inputs!$G$5:$G$200="moeda")+(Inputs!$G$5:$G$200="acoes"))*Inputs!$B$1+((Inputs!$G$5:$G$200&lt;&gt;"moeda")*(Inputs!$G$5:$G$200&lt;&gt;"acoes")))*INDEX(Inputs!$K$5:$AJ$200,0,MATCH(AA$2,Inputs!$K$4:$AJ$4,0)))+SUMPRODUCT((Inputs!$C$5:$C$200=$B6)*Inputs!$D$5:$D$200*(((Inputs!$G$5:$G$200="moeda")+(Inputs!$G$5:$G$200="acoes"))*Inputs!$B$1+((Inputs!$G$5:$G$200&lt;&gt;"moeda")*(Inputs!$G$5:$G$200&lt;&gt;"acoes")))*INDEX(Inputs!$K$5:$AJ$200,0,MATCH(AA$2,Inputs!$K$4:$AJ$4,0)))+SUMPRODUCT((Inputs!$E$5:$E$200=$B6)*Inputs!$F$5:$F$200*(((Inputs!$G$5:$G$200="moeda")+(Inputs!$G$5:$G$200="acoes"))*Inputs!$B$1+((Inputs!$G$5:$G$200&lt;&gt;"moeda")*(Inputs!$G$5:$G$200&lt;&gt;"acoes")))*INDEX(Inputs!$K$5:$AJ$200,0,MATCH(AA$2,Inputs!$K$4:$AJ$4,0)))))</f>
        <v>-38.925</v>
      </c>
      <c r="AB6" s="3">
        <f>SUM(X6:AA6)</f>
        <v>-182.127</v>
      </c>
      <c r="AC6" s="6">
        <f>IF(ISNA(MATCH(AC$2,Inputs!$K$4:$AJ$4,0)),NA(),IF(SUMPRODUCT((Inputs!$A$5:$A$200=$B6)*ISNUMBER(INDEX(Inputs!$K$5:$AJ$200,0,MATCH(AC$2,Inputs!$K$4:$AJ$4,0))))+SUMPRODUCT((Inputs!$C$5:$C$200=$B6)*ISNUMBER(INDEX(Inputs!$K$5:$AJ$200,0,MATCH(AC$2,Inputs!$K$4:$AJ$4,0))))+SUMPRODUCT((Inputs!$E$5:$E$200=$B6)*ISNUMBER(INDEX(Inputs!$K$5:$AJ$200,0,MATCH(AC$2,Inputs!$K$4:$AJ$4,0))))=0,NA(),SUMPRODUCT((Inputs!$A$5:$A$200=$B6)*Inputs!$B$5:$B$200*(((Inputs!$G$5:$G$200="moeda")+(Inputs!$G$5:$G$200="acoes"))*Inputs!$B$1+((Inputs!$G$5:$G$200&lt;&gt;"moeda")*(Inputs!$G$5:$G$200&lt;&gt;"acoes")))*INDEX(Inputs!$K$5:$AJ$200,0,MATCH(AC$2,Inputs!$K$4:$AJ$4,0)))+SUMPRODUCT((Inputs!$C$5:$C$200=$B6)*Inputs!$D$5:$D$200*(((Inputs!$G$5:$G$200="moeda")+(Inputs!$G$5:$G$200="acoes"))*Inputs!$B$1+((Inputs!$G$5:$G$200&lt;&gt;"moeda")*(Inputs!$G$5:$G$200&lt;&gt;"acoes")))*INDEX(Inputs!$K$5:$AJ$200,0,MATCH(AC$2,Inputs!$K$4:$AJ$4,0)))+SUMPRODUCT((Inputs!$E$5:$E$200=$B6)*Inputs!$F$5:$F$200*(((Inputs!$G$5:$G$200="moeda")+(Inputs!$G$5:$G$200="acoes"))*Inputs!$B$1+((Inputs!$G$5:$G$200&lt;&gt;"moeda")*(Inputs!$G$5:$G$200&lt;&gt;"acoes")))*INDEX(Inputs!$K$5:$AJ$200,0,MATCH(AC$2,Inputs!$K$4:$AJ$4,0)))))</f>
        <v>-45.97</v>
      </c>
      <c r="AD6" s="6">
        <f>IF(ISNA(MATCH(AD$2,Inputs!$K$4:$AJ$4,0)),NA(),IF(SUMPRODUCT((Inputs!$A$5:$A$200=$B6)*ISNUMBER(INDEX(Inputs!$K$5:$AJ$200,0,MATCH(AD$2,Inputs!$K$4:$AJ$4,0))))+SUMPRODUCT((Inputs!$C$5:$C$200=$B6)*ISNUMBER(INDEX(Inputs!$K$5:$AJ$200,0,MATCH(AD$2,Inputs!$K$4:$AJ$4,0))))+SUMPRODUCT((Inputs!$E$5:$E$200=$B6)*ISNUMBER(INDEX(Inputs!$K$5:$AJ$200,0,MATCH(AD$2,Inputs!$K$4:$AJ$4,0))))=0,NA(),SUMPRODUCT((Inputs!$A$5:$A$200=$B6)*Inputs!$B$5:$B$200*(((Inputs!$G$5:$G$200="moeda")+(Inputs!$G$5:$G$200="acoes"))*Inputs!$B$1+((Inputs!$G$5:$G$200&lt;&gt;"moeda")*(Inputs!$G$5:$G$200&lt;&gt;"acoes")))*INDEX(Inputs!$K$5:$AJ$200,0,MATCH(AD$2,Inputs!$K$4:$AJ$4,0)))+SUMPRODUCT((Inputs!$C$5:$C$200=$B6)*Inputs!$D$5:$D$200*(((Inputs!$G$5:$G$200="moeda")+(Inputs!$G$5:$G$200="acoes"))*Inputs!$B$1+((Inputs!$G$5:$G$200&lt;&gt;"moeda")*(Inputs!$G$5:$G$200&lt;&gt;"acoes")))*INDEX(Inputs!$K$5:$AJ$200,0,MATCH(AD$2,Inputs!$K$4:$AJ$4,0)))+SUMPRODUCT((Inputs!$E$5:$E$200=$B6)*Inputs!$F$5:$F$200*(((Inputs!$G$5:$G$200="moeda")+(Inputs!$G$5:$G$200="acoes"))*Inputs!$B$1+((Inputs!$G$5:$G$200&lt;&gt;"moeda")*(Inputs!$G$5:$G$200&lt;&gt;"acoes")))*INDEX(Inputs!$K$5:$AJ$200,0,MATCH(AD$2,Inputs!$K$4:$AJ$4,0)))))</f>
        <v>-96.043</v>
      </c>
      <c r="AE6" s="6" t="e">
        <f>IF(ISNA(MATCH(AE$2,Inputs!$K$4:$AJ$4,0)),NA(),IF(SUMPRODUCT((Inputs!$A$5:$A$200=$B6)*ISNUMBER(INDEX(Inputs!$K$5:$AJ$200,0,MATCH(AE$2,Inputs!$K$4:$AJ$4,0))))+SUMPRODUCT((Inputs!$C$5:$C$200=$B6)*ISNUMBER(INDEX(Inputs!$K$5:$AJ$200,0,MATCH(AE$2,Inputs!$K$4:$AJ$4,0))))+SUMPRODUCT((Inputs!$E$5:$E$200=$B6)*ISNUMBER(INDEX(Inputs!$K$5:$AJ$200,0,MATCH(AE$2,Inputs!$K$4:$AJ$4,0))))=0,NA(),SUMPRODUCT((Inputs!$A$5:$A$200=$B6)*Inputs!$B$5:$B$200*(((Inputs!$G$5:$G$200="moeda")+(Inputs!$G$5:$G$200="acoes"))*Inputs!$B$1+((Inputs!$G$5:$G$200&lt;&gt;"moeda")*(Inputs!$G$5:$G$200&lt;&gt;"acoes")))*INDEX(Inputs!$K$5:$AJ$200,0,MATCH(AE$2,Inputs!$K$4:$AJ$4,0)))+SUMPRODUCT((Inputs!$C$5:$C$200=$B6)*Inputs!$D$5:$D$200*(((Inputs!$G$5:$G$200="moeda")+(Inputs!$G$5:$G$200="acoes"))*Inputs!$B$1+((Inputs!$G$5:$G$200&lt;&gt;"moeda")*(Inputs!$G$5:$G$200&lt;&gt;"acoes")))*INDEX(Inputs!$K$5:$AJ$200,0,MATCH(AE$2,Inputs!$K$4:$AJ$4,0)))+SUMPRODUCT((Inputs!$E$5:$E$200=$B6)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6" s="6" t="e">
        <f>IF(ISNA(MATCH(AF$2,Inputs!$K$4:$AJ$4,0)),NA(),IF(SUMPRODUCT((Inputs!$A$5:$A$200=$B6)*ISNUMBER(INDEX(Inputs!$K$5:$AJ$200,0,MATCH(AF$2,Inputs!$K$4:$AJ$4,0))))+SUMPRODUCT((Inputs!$C$5:$C$200=$B6)*ISNUMBER(INDEX(Inputs!$K$5:$AJ$200,0,MATCH(AF$2,Inputs!$K$4:$AJ$4,0))))+SUMPRODUCT((Inputs!$E$5:$E$200=$B6)*ISNUMBER(INDEX(Inputs!$K$5:$AJ$200,0,MATCH(AF$2,Inputs!$K$4:$AJ$4,0))))=0,NA(),SUMPRODUCT((Inputs!$A$5:$A$200=$B6)*Inputs!$B$5:$B$200*(((Inputs!$G$5:$G$200="moeda")+(Inputs!$G$5:$G$200="acoes"))*Inputs!$B$1+((Inputs!$G$5:$G$200&lt;&gt;"moeda")*(Inputs!$G$5:$G$200&lt;&gt;"acoes")))*INDEX(Inputs!$K$5:$AJ$200,0,MATCH(AF$2,Inputs!$K$4:$AJ$4,0)))+SUMPRODUCT((Inputs!$C$5:$C$200=$B6)*Inputs!$D$5:$D$200*(((Inputs!$G$5:$G$200="moeda")+(Inputs!$G$5:$G$200="acoes"))*Inputs!$B$1+((Inputs!$G$5:$G$200&lt;&gt;"moeda")*(Inputs!$G$5:$G$200&lt;&gt;"acoes")))*INDEX(Inputs!$K$5:$AJ$200,0,MATCH(AF$2,Inputs!$K$4:$AJ$4,0)))+SUMPRODUCT((Inputs!$E$5:$E$200=$B6)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6" s="3" t="e">
        <f>SUM(AC6:AF6)</f>
        <v>#N/A</v>
      </c>
      <c r="AH6" s="6">
        <f>IF(ISNA(MATCH(AH$2,Inputs!$K$4:$AJ$4,0)),NA(),IF(SUMPRODUCT((Inputs!$A$5:$A$200=$B6)*ISNUMBER(INDEX(Inputs!$K$5:$AJ$200,0,MATCH(AH$2,Inputs!$K$4:$AJ$4,0))))+SUMPRODUCT((Inputs!$C$5:$C$200=$B6)*ISNUMBER(INDEX(Inputs!$K$5:$AJ$200,0,MATCH(AH$2,Inputs!$K$4:$AJ$4,0))))+SUMPRODUCT((Inputs!$E$5:$E$200=$B6)*ISNUMBER(INDEX(Inputs!$K$5:$AJ$200,0,MATCH(AH$2,Inputs!$K$4:$AJ$4,0))))=0,NA(),SUMPRODUCT((Inputs!$A$5:$A$200=$B6)*Inputs!$B$5:$B$200*(((Inputs!$G$5:$G$200="moeda")+(Inputs!$G$5:$G$200="acoes"))*Inputs!$B$1+((Inputs!$G$5:$G$200&lt;&gt;"moeda")*(Inputs!$G$5:$G$200&lt;&gt;"acoes")))*INDEX(Inputs!$K$5:$AJ$200,0,MATCH(AH$2,Inputs!$K$4:$AJ$4,0)))+SUMPRODUCT((Inputs!$C$5:$C$200=$B6)*Inputs!$D$5:$D$200*(((Inputs!$G$5:$G$200="moeda")+(Inputs!$G$5:$G$200="acoes"))*Inputs!$B$1+((Inputs!$G$5:$G$200&lt;&gt;"moeda")*(Inputs!$G$5:$G$200&lt;&gt;"acoes")))*INDEX(Inputs!$K$5:$AJ$200,0,MATCH(AH$2,Inputs!$K$4:$AJ$4,0)))+SUMPRODUCT((Inputs!$E$5:$E$200=$B6)*Inputs!$F$5:$F$200*(((Inputs!$G$5:$G$200="moeda")+(Inputs!$G$5:$G$200="acoes"))*Inputs!$B$1+((Inputs!$G$5:$G$200&lt;&gt;"moeda")*(Inputs!$G$5:$G$200&lt;&gt;"acoes")))*INDEX(Inputs!$K$5:$AJ$200,0,MATCH(AH$2,Inputs!$K$4:$AJ$4,0)))))</f>
        <v>-13.125</v>
      </c>
      <c r="AI6" s="6">
        <f>IF(ISNA(MATCH(AI$2,Inputs!$K$4:$AJ$4,0)),NA(),IF(SUMPRODUCT((Inputs!$A$5:$A$200=$B6)*ISNUMBER(INDEX(Inputs!$K$5:$AJ$200,0,MATCH(AI$2,Inputs!$K$4:$AJ$4,0))))+SUMPRODUCT((Inputs!$C$5:$C$200=$B6)*ISNUMBER(INDEX(Inputs!$K$5:$AJ$200,0,MATCH(AI$2,Inputs!$K$4:$AJ$4,0))))+SUMPRODUCT((Inputs!$E$5:$E$200=$B6)*ISNUMBER(INDEX(Inputs!$K$5:$AJ$200,0,MATCH(AI$2,Inputs!$K$4:$AJ$4,0))))=0,NA(),SUMPRODUCT((Inputs!$A$5:$A$200=$B6)*Inputs!$B$5:$B$200*(((Inputs!$G$5:$G$200="moeda")+(Inputs!$G$5:$G$200="acoes"))*Inputs!$B$1+((Inputs!$G$5:$G$200&lt;&gt;"moeda")*(Inputs!$G$5:$G$200&lt;&gt;"acoes")))*INDEX(Inputs!$K$5:$AJ$200,0,MATCH(AI$2,Inputs!$K$4:$AJ$4,0)))+SUMPRODUCT((Inputs!$C$5:$C$200=$B6)*Inputs!$D$5:$D$200*(((Inputs!$G$5:$G$200="moeda")+(Inputs!$G$5:$G$200="acoes"))*Inputs!$B$1+((Inputs!$G$5:$G$200&lt;&gt;"moeda")*(Inputs!$G$5:$G$200&lt;&gt;"acoes")))*INDEX(Inputs!$K$5:$AJ$200,0,MATCH(AI$2,Inputs!$K$4:$AJ$4,0)))+SUMPRODUCT((Inputs!$E$5:$E$200=$B6)*Inputs!$F$5:$F$200*(((Inputs!$G$5:$G$200="moeda")+(Inputs!$G$5:$G$200="acoes"))*Inputs!$B$1+((Inputs!$G$5:$G$200&lt;&gt;"moeda")*(Inputs!$G$5:$G$200&lt;&gt;"acoes")))*INDEX(Inputs!$K$5:$AJ$200,0,MATCH(AI$2,Inputs!$K$4:$AJ$4,0)))))</f>
        <v>-8.145</v>
      </c>
      <c r="AJ6" s="6">
        <f>IF(ISNA(MATCH(AJ$2,Inputs!$K$4:$AJ$4,0)),NA(),IF(SUMPRODUCT((Inputs!$A$5:$A$200=$B6)*ISNUMBER(INDEX(Inputs!$K$5:$AJ$200,0,MATCH(AJ$2,Inputs!$K$4:$AJ$4,0))))+SUMPRODUCT((Inputs!$C$5:$C$200=$B6)*ISNUMBER(INDEX(Inputs!$K$5:$AJ$200,0,MATCH(AJ$2,Inputs!$K$4:$AJ$4,0))))+SUMPRODUCT((Inputs!$E$5:$E$200=$B6)*ISNUMBER(INDEX(Inputs!$K$5:$AJ$200,0,MATCH(AJ$2,Inputs!$K$4:$AJ$4,0))))=0,NA(),SUMPRODUCT((Inputs!$A$5:$A$200=$B6)*Inputs!$B$5:$B$200*(((Inputs!$G$5:$G$200="moeda")+(Inputs!$G$5:$G$200="acoes"))*Inputs!$B$1+((Inputs!$G$5:$G$200&lt;&gt;"moeda")*(Inputs!$G$5:$G$200&lt;&gt;"acoes")))*INDEX(Inputs!$K$5:$AJ$200,0,MATCH(AJ$2,Inputs!$K$4:$AJ$4,0)))+SUMPRODUCT((Inputs!$C$5:$C$200=$B6)*Inputs!$D$5:$D$200*(((Inputs!$G$5:$G$200="moeda")+(Inputs!$G$5:$G$200="acoes"))*Inputs!$B$1+((Inputs!$G$5:$G$200&lt;&gt;"moeda")*(Inputs!$G$5:$G$200&lt;&gt;"acoes")))*INDEX(Inputs!$K$5:$AJ$200,0,MATCH(AJ$2,Inputs!$K$4:$AJ$4,0)))+SUMPRODUCT((Inputs!$E$5:$E$200=$B6)*Inputs!$F$5:$F$200*(((Inputs!$G$5:$G$200="moeda")+(Inputs!$G$5:$G$200="acoes"))*Inputs!$B$1+((Inputs!$G$5:$G$200&lt;&gt;"moeda")*(Inputs!$G$5:$G$200&lt;&gt;"acoes")))*INDEX(Inputs!$K$5:$AJ$200,0,MATCH(AJ$2,Inputs!$K$4:$AJ$4,0)))))</f>
        <v>-13.963</v>
      </c>
      <c r="AK6" s="6">
        <f>IF(ISNA(MATCH(AK$2,Inputs!$K$4:$AJ$4,0)),NA(),IF(SUMPRODUCT((Inputs!$A$5:$A$200=$B6)*ISNUMBER(INDEX(Inputs!$K$5:$AJ$200,0,MATCH(AK$2,Inputs!$K$4:$AJ$4,0))))+SUMPRODUCT((Inputs!$C$5:$C$200=$B6)*ISNUMBER(INDEX(Inputs!$K$5:$AJ$200,0,MATCH(AK$2,Inputs!$K$4:$AJ$4,0))))+SUMPRODUCT((Inputs!$E$5:$E$200=$B6)*ISNUMBER(INDEX(Inputs!$K$5:$AJ$200,0,MATCH(AK$2,Inputs!$K$4:$AJ$4,0))))=0,NA(),SUMPRODUCT((Inputs!$A$5:$A$200=$B6)*Inputs!$B$5:$B$200*(((Inputs!$G$5:$G$200="moeda")+(Inputs!$G$5:$G$200="acoes"))*Inputs!$B$1+((Inputs!$G$5:$G$200&lt;&gt;"moeda")*(Inputs!$G$5:$G$200&lt;&gt;"acoes")))*INDEX(Inputs!$K$5:$AJ$200,0,MATCH(AK$2,Inputs!$K$4:$AJ$4,0)))+SUMPRODUCT((Inputs!$C$5:$C$200=$B6)*Inputs!$D$5:$D$200*(((Inputs!$G$5:$G$200="moeda")+(Inputs!$G$5:$G$200="acoes"))*Inputs!$B$1+((Inputs!$G$5:$G$200&lt;&gt;"moeda")*(Inputs!$G$5:$G$200&lt;&gt;"acoes")))*INDEX(Inputs!$K$5:$AJ$200,0,MATCH(AK$2,Inputs!$K$4:$AJ$4,0)))+SUMPRODUCT((Inputs!$E$5:$E$200=$B6)*Inputs!$F$5:$F$200*(((Inputs!$G$5:$G$200="moeda")+(Inputs!$G$5:$G$200="acoes"))*Inputs!$B$1+((Inputs!$G$5:$G$200&lt;&gt;"moeda")*(Inputs!$G$5:$G$200&lt;&gt;"acoes")))*INDEX(Inputs!$K$5:$AJ$200,0,MATCH(AK$2,Inputs!$K$4:$AJ$4,0)))))</f>
        <v>-8.865</v>
      </c>
      <c r="AL6" s="3">
        <f>SUM(AH6:AK6)</f>
        <v>-44.098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$200=$B7)*ISNUMBER(INDEX(Inputs!$K$5:$AJ$200,0,MATCH(D$2,Inputs!$K$4:$AJ$4,0))))+SUMPRODUCT((Inputs!$C$5:$C$200=$B7)*ISNUMBER(INDEX(Inputs!$K$5:$AJ$200,0,MATCH(D$2,Inputs!$K$4:$AJ$4,0))))+SUMPRODUCT((Inputs!$E$5:$E$200=$B7)*ISNUMBER(INDEX(Inputs!$K$5:$AJ$200,0,MATCH(D$2,Inputs!$K$4:$AJ$4,0))))=0,NA(),SUMPRODUCT((Inputs!$A$5:$A$200=$B7)*Inputs!$B$5:$B$200*(((Inputs!$G$5:$G$200="moeda")+(Inputs!$G$5:$G$200="acoes"))*Inputs!$B$1+((Inputs!$G$5:$G$200&lt;&gt;"moeda")*(Inputs!$G$5:$G$200&lt;&gt;"acoes")))*INDEX(Inputs!$K$5:$AJ$200,0,MATCH(D$2,Inputs!$K$4:$AJ$4,0)))+SUMPRODUCT((Inputs!$C$5:$C$200=$B7)*Inputs!$D$5:$D$200*(((Inputs!$G$5:$G$200="moeda")+(Inputs!$G$5:$G$200="acoes"))*Inputs!$B$1+((Inputs!$G$5:$G$200&lt;&gt;"moeda")*(Inputs!$G$5:$G$200&lt;&gt;"acoes")))*INDEX(Inputs!$K$5:$AJ$200,0,MATCH(D$2,Inputs!$K$4:$AJ$4,0)))+SUMPRODUCT((Inputs!$E$5:$E$200=$B7)*Inputs!$F$5:$F$200*(((Inputs!$G$5:$G$200="moeda")+(Inputs!$G$5:$G$200="acoes"))*Inputs!$B$1+((Inputs!$G$5:$G$200&lt;&gt;"moeda")*(Inputs!$G$5:$G$200&lt;&gt;"acoes")))*INDEX(Inputs!$K$5:$AJ$200,0,MATCH(D$2,Inputs!$K$4:$AJ$4,0)))))</f>
        <v>-10.679</v>
      </c>
      <c r="E7" s="6">
        <f>IF(ISNA(MATCH(E$2,Inputs!$K$4:$AJ$4,0)),NA(),IF(SUMPRODUCT((Inputs!$A$5:$A$200=$B7)*ISNUMBER(INDEX(Inputs!$K$5:$AJ$200,0,MATCH(E$2,Inputs!$K$4:$AJ$4,0))))+SUMPRODUCT((Inputs!$C$5:$C$200=$B7)*ISNUMBER(INDEX(Inputs!$K$5:$AJ$200,0,MATCH(E$2,Inputs!$K$4:$AJ$4,0))))+SUMPRODUCT((Inputs!$E$5:$E$200=$B7)*ISNUMBER(INDEX(Inputs!$K$5:$AJ$200,0,MATCH(E$2,Inputs!$K$4:$AJ$4,0))))=0,NA(),SUMPRODUCT((Inputs!$A$5:$A$200=$B7)*Inputs!$B$5:$B$200*(((Inputs!$G$5:$G$200="moeda")+(Inputs!$G$5:$G$200="acoes"))*Inputs!$B$1+((Inputs!$G$5:$G$200&lt;&gt;"moeda")*(Inputs!$G$5:$G$200&lt;&gt;"acoes")))*INDEX(Inputs!$K$5:$AJ$200,0,MATCH(E$2,Inputs!$K$4:$AJ$4,0)))+SUMPRODUCT((Inputs!$C$5:$C$200=$B7)*Inputs!$D$5:$D$200*(((Inputs!$G$5:$G$200="moeda")+(Inputs!$G$5:$G$200="acoes"))*Inputs!$B$1+((Inputs!$G$5:$G$200&lt;&gt;"moeda")*(Inputs!$G$5:$G$200&lt;&gt;"acoes")))*INDEX(Inputs!$K$5:$AJ$200,0,MATCH(E$2,Inputs!$K$4:$AJ$4,0)))+SUMPRODUCT((Inputs!$E$5:$E$200=$B7)*Inputs!$F$5:$F$200*(((Inputs!$G$5:$G$200="moeda")+(Inputs!$G$5:$G$200="acoes"))*Inputs!$B$1+((Inputs!$G$5:$G$200&lt;&gt;"moeda")*(Inputs!$G$5:$G$200&lt;&gt;"acoes")))*INDEX(Inputs!$K$5:$AJ$200,0,MATCH(E$2,Inputs!$K$4:$AJ$4,0)))))</f>
        <v>-11.878</v>
      </c>
      <c r="F7" s="6">
        <f>IF(ISNA(MATCH(F$2,Inputs!$K$4:$AJ$4,0)),NA(),IF(SUMPRODUCT((Inputs!$A$5:$A$200=$B7)*ISNUMBER(INDEX(Inputs!$K$5:$AJ$200,0,MATCH(F$2,Inputs!$K$4:$AJ$4,0))))+SUMPRODUCT((Inputs!$C$5:$C$200=$B7)*ISNUMBER(INDEX(Inputs!$K$5:$AJ$200,0,MATCH(F$2,Inputs!$K$4:$AJ$4,0))))+SUMPRODUCT((Inputs!$E$5:$E$200=$B7)*ISNUMBER(INDEX(Inputs!$K$5:$AJ$200,0,MATCH(F$2,Inputs!$K$4:$AJ$4,0))))=0,NA(),SUMPRODUCT((Inputs!$A$5:$A$200=$B7)*Inputs!$B$5:$B$200*(((Inputs!$G$5:$G$200="moeda")+(Inputs!$G$5:$G$200="acoes"))*Inputs!$B$1+((Inputs!$G$5:$G$200&lt;&gt;"moeda")*(Inputs!$G$5:$G$200&lt;&gt;"acoes")))*INDEX(Inputs!$K$5:$AJ$200,0,MATCH(F$2,Inputs!$K$4:$AJ$4,0)))+SUMPRODUCT((Inputs!$C$5:$C$200=$B7)*Inputs!$D$5:$D$200*(((Inputs!$G$5:$G$200="moeda")+(Inputs!$G$5:$G$200="acoes"))*Inputs!$B$1+((Inputs!$G$5:$G$200&lt;&gt;"moeda")*(Inputs!$G$5:$G$200&lt;&gt;"acoes")))*INDEX(Inputs!$K$5:$AJ$200,0,MATCH(F$2,Inputs!$K$4:$AJ$4,0)))+SUMPRODUCT((Inputs!$E$5:$E$200=$B7)*Inputs!$F$5:$F$200*(((Inputs!$G$5:$G$200="moeda")+(Inputs!$G$5:$G$200="acoes"))*Inputs!$B$1+((Inputs!$G$5:$G$200&lt;&gt;"moeda")*(Inputs!$G$5:$G$200&lt;&gt;"acoes")))*INDEX(Inputs!$K$5:$AJ$200,0,MATCH(F$2,Inputs!$K$4:$AJ$4,0)))))</f>
        <v>-13.134</v>
      </c>
      <c r="G7" s="6">
        <f>IF(ISNA(MATCH(G$2,Inputs!$K$4:$AJ$4,0)),NA(),IF(SUMPRODUCT((Inputs!$A$5:$A$200=$B7)*ISNUMBER(INDEX(Inputs!$K$5:$AJ$200,0,MATCH(G$2,Inputs!$K$4:$AJ$4,0))))+SUMPRODUCT((Inputs!$C$5:$C$200=$B7)*ISNUMBER(INDEX(Inputs!$K$5:$AJ$200,0,MATCH(G$2,Inputs!$K$4:$AJ$4,0))))+SUMPRODUCT((Inputs!$E$5:$E$200=$B7)*ISNUMBER(INDEX(Inputs!$K$5:$AJ$200,0,MATCH(G$2,Inputs!$K$4:$AJ$4,0))))=0,NA(),SUMPRODUCT((Inputs!$A$5:$A$200=$B7)*Inputs!$B$5:$B$200*(((Inputs!$G$5:$G$200="moeda")+(Inputs!$G$5:$G$200="acoes"))*Inputs!$B$1+((Inputs!$G$5:$G$200&lt;&gt;"moeda")*(Inputs!$G$5:$G$200&lt;&gt;"acoes")))*INDEX(Inputs!$K$5:$AJ$200,0,MATCH(G$2,Inputs!$K$4:$AJ$4,0)))+SUMPRODUCT((Inputs!$C$5:$C$200=$B7)*Inputs!$D$5:$D$200*(((Inputs!$G$5:$G$200="moeda")+(Inputs!$G$5:$G$200="acoes"))*Inputs!$B$1+((Inputs!$G$5:$G$200&lt;&gt;"moeda")*(Inputs!$G$5:$G$200&lt;&gt;"acoes")))*INDEX(Inputs!$K$5:$AJ$200,0,MATCH(G$2,Inputs!$K$4:$AJ$4,0)))+SUMPRODUCT((Inputs!$E$5:$E$200=$B7)*Inputs!$F$5:$F$200*(((Inputs!$G$5:$G$200="moeda")+(Inputs!$G$5:$G$200="acoes"))*Inputs!$B$1+((Inputs!$G$5:$G$200&lt;&gt;"moeda")*(Inputs!$G$5:$G$200&lt;&gt;"acoes")))*INDEX(Inputs!$K$5:$AJ$200,0,MATCH(G$2,Inputs!$K$4:$AJ$4,0)))))</f>
        <v>-17.704</v>
      </c>
      <c r="H7" s="3">
        <f>SUM(D7:G7)</f>
        <v>-53.395</v>
      </c>
      <c r="I7" s="6">
        <f>IF(ISNA(MATCH(I$2,Inputs!$K$4:$AJ$4,0)),NA(),IF(SUMPRODUCT((Inputs!$A$5:$A$200=$B7)*ISNUMBER(INDEX(Inputs!$K$5:$AJ$200,0,MATCH(I$2,Inputs!$K$4:$AJ$4,0))))+SUMPRODUCT((Inputs!$C$5:$C$200=$B7)*ISNUMBER(INDEX(Inputs!$K$5:$AJ$200,0,MATCH(I$2,Inputs!$K$4:$AJ$4,0))))+SUMPRODUCT((Inputs!$E$5:$E$200=$B7)*ISNUMBER(INDEX(Inputs!$K$5:$AJ$200,0,MATCH(I$2,Inputs!$K$4:$AJ$4,0))))=0,NA(),SUMPRODUCT((Inputs!$A$5:$A$200=$B7)*Inputs!$B$5:$B$200*(((Inputs!$G$5:$G$200="moeda")+(Inputs!$G$5:$G$200="acoes"))*Inputs!$B$1+((Inputs!$G$5:$G$200&lt;&gt;"moeda")*(Inputs!$G$5:$G$200&lt;&gt;"acoes")))*INDEX(Inputs!$K$5:$AJ$200,0,MATCH(I$2,Inputs!$K$4:$AJ$4,0)))+SUMPRODUCT((Inputs!$C$5:$C$200=$B7)*Inputs!$D$5:$D$200*(((Inputs!$G$5:$G$200="moeda")+(Inputs!$G$5:$G$200="acoes"))*Inputs!$B$1+((Inputs!$G$5:$G$200&lt;&gt;"moeda")*(Inputs!$G$5:$G$200&lt;&gt;"acoes")))*INDEX(Inputs!$K$5:$AJ$200,0,MATCH(I$2,Inputs!$K$4:$AJ$4,0)))+SUMPRODUCT((Inputs!$E$5:$E$200=$B7)*Inputs!$F$5:$F$200*(((Inputs!$G$5:$G$200="moeda")+(Inputs!$G$5:$G$200="acoes"))*Inputs!$B$1+((Inputs!$G$5:$G$200&lt;&gt;"moeda")*(Inputs!$G$5:$G$200&lt;&gt;"acoes")))*INDEX(Inputs!$K$5:$AJ$200,0,MATCH(I$2,Inputs!$K$4:$AJ$4,0)))))</f>
        <v>-15.688</v>
      </c>
      <c r="J7" s="6">
        <f>IF(ISNA(MATCH(J$2,Inputs!$K$4:$AJ$4,0)),NA(),IF(SUMPRODUCT((Inputs!$A$5:$A$200=$B7)*ISNUMBER(INDEX(Inputs!$K$5:$AJ$200,0,MATCH(J$2,Inputs!$K$4:$AJ$4,0))))+SUMPRODUCT((Inputs!$C$5:$C$200=$B7)*ISNUMBER(INDEX(Inputs!$K$5:$AJ$200,0,MATCH(J$2,Inputs!$K$4:$AJ$4,0))))+SUMPRODUCT((Inputs!$E$5:$E$200=$B7)*ISNUMBER(INDEX(Inputs!$K$5:$AJ$200,0,MATCH(J$2,Inputs!$K$4:$AJ$4,0))))=0,NA(),SUMPRODUCT((Inputs!$A$5:$A$200=$B7)*Inputs!$B$5:$B$200*(((Inputs!$G$5:$G$200="moeda")+(Inputs!$G$5:$G$200="acoes"))*Inputs!$B$1+((Inputs!$G$5:$G$200&lt;&gt;"moeda")*(Inputs!$G$5:$G$200&lt;&gt;"acoes")))*INDEX(Inputs!$K$5:$AJ$200,0,MATCH(J$2,Inputs!$K$4:$AJ$4,0)))+SUMPRODUCT((Inputs!$C$5:$C$200=$B7)*Inputs!$D$5:$D$200*(((Inputs!$G$5:$G$200="moeda")+(Inputs!$G$5:$G$200="acoes"))*Inputs!$B$1+((Inputs!$G$5:$G$200&lt;&gt;"moeda")*(Inputs!$G$5:$G$200&lt;&gt;"acoes")))*INDEX(Inputs!$K$5:$AJ$200,0,MATCH(J$2,Inputs!$K$4:$AJ$4,0)))+SUMPRODUCT((Inputs!$E$5:$E$200=$B7)*Inputs!$F$5:$F$200*(((Inputs!$G$5:$G$200="moeda")+(Inputs!$G$5:$G$200="acoes"))*Inputs!$B$1+((Inputs!$G$5:$G$200&lt;&gt;"moeda")*(Inputs!$G$5:$G$200&lt;&gt;"acoes")))*INDEX(Inputs!$K$5:$AJ$200,0,MATCH(J$2,Inputs!$K$4:$AJ$4,0)))))</f>
        <v>-30.096</v>
      </c>
      <c r="K7" s="6">
        <f>IF(ISNA(MATCH(K$2,Inputs!$K$4:$AJ$4,0)),NA(),IF(SUMPRODUCT((Inputs!$A$5:$A$200=$B7)*ISNUMBER(INDEX(Inputs!$K$5:$AJ$200,0,MATCH(K$2,Inputs!$K$4:$AJ$4,0))))+SUMPRODUCT((Inputs!$C$5:$C$200=$B7)*ISNUMBER(INDEX(Inputs!$K$5:$AJ$200,0,MATCH(K$2,Inputs!$K$4:$AJ$4,0))))+SUMPRODUCT((Inputs!$E$5:$E$200=$B7)*ISNUMBER(INDEX(Inputs!$K$5:$AJ$200,0,MATCH(K$2,Inputs!$K$4:$AJ$4,0))))=0,NA(),SUMPRODUCT((Inputs!$A$5:$A$200=$B7)*Inputs!$B$5:$B$200*(((Inputs!$G$5:$G$200="moeda")+(Inputs!$G$5:$G$200="acoes"))*Inputs!$B$1+((Inputs!$G$5:$G$200&lt;&gt;"moeda")*(Inputs!$G$5:$G$200&lt;&gt;"acoes")))*INDEX(Inputs!$K$5:$AJ$200,0,MATCH(K$2,Inputs!$K$4:$AJ$4,0)))+SUMPRODUCT((Inputs!$C$5:$C$200=$B7)*Inputs!$D$5:$D$200*(((Inputs!$G$5:$G$200="moeda")+(Inputs!$G$5:$G$200="acoes"))*Inputs!$B$1+((Inputs!$G$5:$G$200&lt;&gt;"moeda")*(Inputs!$G$5:$G$200&lt;&gt;"acoes")))*INDEX(Inputs!$K$5:$AJ$200,0,MATCH(K$2,Inputs!$K$4:$AJ$4,0)))+SUMPRODUCT((Inputs!$E$5:$E$200=$B7)*Inputs!$F$5:$F$200*(((Inputs!$G$5:$G$200="moeda")+(Inputs!$G$5:$G$200="acoes"))*Inputs!$B$1+((Inputs!$G$5:$G$200&lt;&gt;"moeda")*(Inputs!$G$5:$G$200&lt;&gt;"acoes")))*INDEX(Inputs!$K$5:$AJ$200,0,MATCH(K$2,Inputs!$K$4:$AJ$4,0)))))</f>
        <v>-48.076</v>
      </c>
      <c r="L7" s="6">
        <f>IF(ISNA(MATCH(L$2,Inputs!$K$4:$AJ$4,0)),NA(),IF(SUMPRODUCT((Inputs!$A$5:$A$200=$B7)*ISNUMBER(INDEX(Inputs!$K$5:$AJ$200,0,MATCH(L$2,Inputs!$K$4:$AJ$4,0))))+SUMPRODUCT((Inputs!$C$5:$C$200=$B7)*ISNUMBER(INDEX(Inputs!$K$5:$AJ$200,0,MATCH(L$2,Inputs!$K$4:$AJ$4,0))))+SUMPRODUCT((Inputs!$E$5:$E$200=$B7)*ISNUMBER(INDEX(Inputs!$K$5:$AJ$200,0,MATCH(L$2,Inputs!$K$4:$AJ$4,0))))=0,NA(),SUMPRODUCT((Inputs!$A$5:$A$200=$B7)*Inputs!$B$5:$B$200*(((Inputs!$G$5:$G$200="moeda")+(Inputs!$G$5:$G$200="acoes"))*Inputs!$B$1+((Inputs!$G$5:$G$200&lt;&gt;"moeda")*(Inputs!$G$5:$G$200&lt;&gt;"acoes")))*INDEX(Inputs!$K$5:$AJ$200,0,MATCH(L$2,Inputs!$K$4:$AJ$4,0)))+SUMPRODUCT((Inputs!$C$5:$C$200=$B7)*Inputs!$D$5:$D$200*(((Inputs!$G$5:$G$200="moeda")+(Inputs!$G$5:$G$200="acoes"))*Inputs!$B$1+((Inputs!$G$5:$G$200&lt;&gt;"moeda")*(Inputs!$G$5:$G$200&lt;&gt;"acoes")))*INDEX(Inputs!$K$5:$AJ$200,0,MATCH(L$2,Inputs!$K$4:$AJ$4,0)))+SUMPRODUCT((Inputs!$E$5:$E$200=$B7)*Inputs!$F$5:$F$200*(((Inputs!$G$5:$G$200="moeda")+(Inputs!$G$5:$G$200="acoes"))*Inputs!$B$1+((Inputs!$G$5:$G$200&lt;&gt;"moeda")*(Inputs!$G$5:$G$200&lt;&gt;"acoes")))*INDEX(Inputs!$K$5:$AJ$200,0,MATCH(L$2,Inputs!$K$4:$AJ$4,0)))))</f>
        <v>-41.858</v>
      </c>
      <c r="M7" s="3">
        <f>SUM(I7:L7)</f>
        <v>-135.718</v>
      </c>
      <c r="N7" s="6">
        <f>IF(ISNA(MATCH(N$2,Inputs!$K$4:$AJ$4,0)),NA(),IF(SUMPRODUCT((Inputs!$A$5:$A$200=$B7)*ISNUMBER(INDEX(Inputs!$K$5:$AJ$200,0,MATCH(N$2,Inputs!$K$4:$AJ$4,0))))+SUMPRODUCT((Inputs!$C$5:$C$200=$B7)*ISNUMBER(INDEX(Inputs!$K$5:$AJ$200,0,MATCH(N$2,Inputs!$K$4:$AJ$4,0))))+SUMPRODUCT((Inputs!$E$5:$E$200=$B7)*ISNUMBER(INDEX(Inputs!$K$5:$AJ$200,0,MATCH(N$2,Inputs!$K$4:$AJ$4,0))))=0,NA(),SUMPRODUCT((Inputs!$A$5:$A$200=$B7)*Inputs!$B$5:$B$200*(((Inputs!$G$5:$G$200="moeda")+(Inputs!$G$5:$G$200="acoes"))*Inputs!$B$1+((Inputs!$G$5:$G$200&lt;&gt;"moeda")*(Inputs!$G$5:$G$200&lt;&gt;"acoes")))*INDEX(Inputs!$K$5:$AJ$200,0,MATCH(N$2,Inputs!$K$4:$AJ$4,0)))+SUMPRODUCT((Inputs!$C$5:$C$200=$B7)*Inputs!$D$5:$D$200*(((Inputs!$G$5:$G$200="moeda")+(Inputs!$G$5:$G$200="acoes"))*Inputs!$B$1+((Inputs!$G$5:$G$200&lt;&gt;"moeda")*(Inputs!$G$5:$G$200&lt;&gt;"acoes")))*INDEX(Inputs!$K$5:$AJ$200,0,MATCH(N$2,Inputs!$K$4:$AJ$4,0)))+SUMPRODUCT((Inputs!$E$5:$E$200=$B7)*Inputs!$F$5:$F$200*(((Inputs!$G$5:$G$200="moeda")+(Inputs!$G$5:$G$200="acoes"))*Inputs!$B$1+((Inputs!$G$5:$G$200&lt;&gt;"moeda")*(Inputs!$G$5:$G$200&lt;&gt;"acoes")))*INDEX(Inputs!$K$5:$AJ$200,0,MATCH(N$2,Inputs!$K$4:$AJ$4,0)))))</f>
        <v>-60.225</v>
      </c>
      <c r="O7" s="6">
        <f>IF(ISNA(MATCH(O$2,Inputs!$K$4:$AJ$4,0)),NA(),IF(SUMPRODUCT((Inputs!$A$5:$A$200=$B7)*ISNUMBER(INDEX(Inputs!$K$5:$AJ$200,0,MATCH(O$2,Inputs!$K$4:$AJ$4,0))))+SUMPRODUCT((Inputs!$C$5:$C$200=$B7)*ISNUMBER(INDEX(Inputs!$K$5:$AJ$200,0,MATCH(O$2,Inputs!$K$4:$AJ$4,0))))+SUMPRODUCT((Inputs!$E$5:$E$200=$B7)*ISNUMBER(INDEX(Inputs!$K$5:$AJ$200,0,MATCH(O$2,Inputs!$K$4:$AJ$4,0))))=0,NA(),SUMPRODUCT((Inputs!$A$5:$A$200=$B7)*Inputs!$B$5:$B$200*(((Inputs!$G$5:$G$200="moeda")+(Inputs!$G$5:$G$200="acoes"))*Inputs!$B$1+((Inputs!$G$5:$G$200&lt;&gt;"moeda")*(Inputs!$G$5:$G$200&lt;&gt;"acoes")))*INDEX(Inputs!$K$5:$AJ$200,0,MATCH(O$2,Inputs!$K$4:$AJ$4,0)))+SUMPRODUCT((Inputs!$C$5:$C$200=$B7)*Inputs!$D$5:$D$200*(((Inputs!$G$5:$G$200="moeda")+(Inputs!$G$5:$G$200="acoes"))*Inputs!$B$1+((Inputs!$G$5:$G$200&lt;&gt;"moeda")*(Inputs!$G$5:$G$200&lt;&gt;"acoes")))*INDEX(Inputs!$K$5:$AJ$200,0,MATCH(O$2,Inputs!$K$4:$AJ$4,0)))+SUMPRODUCT((Inputs!$E$5:$E$200=$B7)*Inputs!$F$5:$F$200*(((Inputs!$G$5:$G$200="moeda")+(Inputs!$G$5:$G$200="acoes"))*Inputs!$B$1+((Inputs!$G$5:$G$200&lt;&gt;"moeda")*(Inputs!$G$5:$G$200&lt;&gt;"acoes")))*INDEX(Inputs!$K$5:$AJ$200,0,MATCH(O$2,Inputs!$K$4:$AJ$4,0)))))</f>
        <v>-35.636</v>
      </c>
      <c r="P7" s="6">
        <f>IF(ISNA(MATCH(P$2,Inputs!$K$4:$AJ$4,0)),NA(),IF(SUMPRODUCT((Inputs!$A$5:$A$200=$B7)*ISNUMBER(INDEX(Inputs!$K$5:$AJ$200,0,MATCH(P$2,Inputs!$K$4:$AJ$4,0))))+SUMPRODUCT((Inputs!$C$5:$C$200=$B7)*ISNUMBER(INDEX(Inputs!$K$5:$AJ$200,0,MATCH(P$2,Inputs!$K$4:$AJ$4,0))))+SUMPRODUCT((Inputs!$E$5:$E$200=$B7)*ISNUMBER(INDEX(Inputs!$K$5:$AJ$200,0,MATCH(P$2,Inputs!$K$4:$AJ$4,0))))=0,NA(),SUMPRODUCT((Inputs!$A$5:$A$200=$B7)*Inputs!$B$5:$B$200*(((Inputs!$G$5:$G$200="moeda")+(Inputs!$G$5:$G$200="acoes"))*Inputs!$B$1+((Inputs!$G$5:$G$200&lt;&gt;"moeda")*(Inputs!$G$5:$G$200&lt;&gt;"acoes")))*INDEX(Inputs!$K$5:$AJ$200,0,MATCH(P$2,Inputs!$K$4:$AJ$4,0)))+SUMPRODUCT((Inputs!$C$5:$C$200=$B7)*Inputs!$D$5:$D$200*(((Inputs!$G$5:$G$200="moeda")+(Inputs!$G$5:$G$200="acoes"))*Inputs!$B$1+((Inputs!$G$5:$G$200&lt;&gt;"moeda")*(Inputs!$G$5:$G$200&lt;&gt;"acoes")))*INDEX(Inputs!$K$5:$AJ$200,0,MATCH(P$2,Inputs!$K$4:$AJ$4,0)))+SUMPRODUCT((Inputs!$E$5:$E$200=$B7)*Inputs!$F$5:$F$200*(((Inputs!$G$5:$G$200="moeda")+(Inputs!$G$5:$G$200="acoes"))*Inputs!$B$1+((Inputs!$G$5:$G$200&lt;&gt;"moeda")*(Inputs!$G$5:$G$200&lt;&gt;"acoes")))*INDEX(Inputs!$K$5:$AJ$200,0,MATCH(P$2,Inputs!$K$4:$AJ$4,0)))))</f>
        <v>-37.234</v>
      </c>
      <c r="Q7" s="6">
        <f>IF(ISNA(MATCH(Q$2,Inputs!$K$4:$AJ$4,0)),NA(),IF(SUMPRODUCT((Inputs!$A$5:$A$200=$B7)*ISNUMBER(INDEX(Inputs!$K$5:$AJ$200,0,MATCH(Q$2,Inputs!$K$4:$AJ$4,0))))+SUMPRODUCT((Inputs!$C$5:$C$200=$B7)*ISNUMBER(INDEX(Inputs!$K$5:$AJ$200,0,MATCH(Q$2,Inputs!$K$4:$AJ$4,0))))+SUMPRODUCT((Inputs!$E$5:$E$200=$B7)*ISNUMBER(INDEX(Inputs!$K$5:$AJ$200,0,MATCH(Q$2,Inputs!$K$4:$AJ$4,0))))=0,NA(),SUMPRODUCT((Inputs!$A$5:$A$200=$B7)*Inputs!$B$5:$B$200*(((Inputs!$G$5:$G$200="moeda")+(Inputs!$G$5:$G$200="acoes"))*Inputs!$B$1+((Inputs!$G$5:$G$200&lt;&gt;"moeda")*(Inputs!$G$5:$G$200&lt;&gt;"acoes")))*INDEX(Inputs!$K$5:$AJ$200,0,MATCH(Q$2,Inputs!$K$4:$AJ$4,0)))+SUMPRODUCT((Inputs!$C$5:$C$200=$B7)*Inputs!$D$5:$D$200*(((Inputs!$G$5:$G$200="moeda")+(Inputs!$G$5:$G$200="acoes"))*Inputs!$B$1+((Inputs!$G$5:$G$200&lt;&gt;"moeda")*(Inputs!$G$5:$G$200&lt;&gt;"acoes")))*INDEX(Inputs!$K$5:$AJ$200,0,MATCH(Q$2,Inputs!$K$4:$AJ$4,0)))+SUMPRODUCT((Inputs!$E$5:$E$200=$B7)*Inputs!$F$5:$F$200*(((Inputs!$G$5:$G$200="moeda")+(Inputs!$G$5:$G$200="acoes"))*Inputs!$B$1+((Inputs!$G$5:$G$200&lt;&gt;"moeda")*(Inputs!$G$5:$G$200&lt;&gt;"acoes")))*INDEX(Inputs!$K$5:$AJ$200,0,MATCH(Q$2,Inputs!$K$4:$AJ$4,0)))))</f>
        <v>-32.565</v>
      </c>
      <c r="R7" s="3">
        <f>SUM(N7:Q7)</f>
        <v>-165.66</v>
      </c>
      <c r="S7" s="6">
        <f>IF(ISNA(MATCH(S$2,Inputs!$K$4:$AJ$4,0)),NA(),IF(SUMPRODUCT((Inputs!$A$5:$A$200=$B7)*ISNUMBER(INDEX(Inputs!$K$5:$AJ$200,0,MATCH(S$2,Inputs!$K$4:$AJ$4,0))))+SUMPRODUCT((Inputs!$C$5:$C$200=$B7)*ISNUMBER(INDEX(Inputs!$K$5:$AJ$200,0,MATCH(S$2,Inputs!$K$4:$AJ$4,0))))+SUMPRODUCT((Inputs!$E$5:$E$200=$B7)*ISNUMBER(INDEX(Inputs!$K$5:$AJ$200,0,MATCH(S$2,Inputs!$K$4:$AJ$4,0))))=0,NA(),SUMPRODUCT((Inputs!$A$5:$A$200=$B7)*Inputs!$B$5:$B$200*(((Inputs!$G$5:$G$200="moeda")+(Inputs!$G$5:$G$200="acoes"))*Inputs!$B$1+((Inputs!$G$5:$G$200&lt;&gt;"moeda")*(Inputs!$G$5:$G$200&lt;&gt;"acoes")))*INDEX(Inputs!$K$5:$AJ$200,0,MATCH(S$2,Inputs!$K$4:$AJ$4,0)))+SUMPRODUCT((Inputs!$C$5:$C$200=$B7)*Inputs!$D$5:$D$200*(((Inputs!$G$5:$G$200="moeda")+(Inputs!$G$5:$G$200="acoes"))*Inputs!$B$1+((Inputs!$G$5:$G$200&lt;&gt;"moeda")*(Inputs!$G$5:$G$200&lt;&gt;"acoes")))*INDEX(Inputs!$K$5:$AJ$200,0,MATCH(S$2,Inputs!$K$4:$AJ$4,0)))+SUMPRODUCT((Inputs!$E$5:$E$200=$B7)*Inputs!$F$5:$F$200*(((Inputs!$G$5:$G$200="moeda")+(Inputs!$G$5:$G$200="acoes"))*Inputs!$B$1+((Inputs!$G$5:$G$200&lt;&gt;"moeda")*(Inputs!$G$5:$G$200&lt;&gt;"acoes")))*INDEX(Inputs!$K$5:$AJ$200,0,MATCH(S$2,Inputs!$K$4:$AJ$4,0)))))</f>
        <v>-35.203</v>
      </c>
      <c r="T7" s="6">
        <f>IF(ISNA(MATCH(T$2,Inputs!$K$4:$AJ$4,0)),NA(),IF(SUMPRODUCT((Inputs!$A$5:$A$200=$B7)*ISNUMBER(INDEX(Inputs!$K$5:$AJ$200,0,MATCH(T$2,Inputs!$K$4:$AJ$4,0))))+SUMPRODUCT((Inputs!$C$5:$C$200=$B7)*ISNUMBER(INDEX(Inputs!$K$5:$AJ$200,0,MATCH(T$2,Inputs!$K$4:$AJ$4,0))))+SUMPRODUCT((Inputs!$E$5:$E$200=$B7)*ISNUMBER(INDEX(Inputs!$K$5:$AJ$200,0,MATCH(T$2,Inputs!$K$4:$AJ$4,0))))=0,NA(),SUMPRODUCT((Inputs!$A$5:$A$200=$B7)*Inputs!$B$5:$B$200*(((Inputs!$G$5:$G$200="moeda")+(Inputs!$G$5:$G$200="acoes"))*Inputs!$B$1+((Inputs!$G$5:$G$200&lt;&gt;"moeda")*(Inputs!$G$5:$G$200&lt;&gt;"acoes")))*INDEX(Inputs!$K$5:$AJ$200,0,MATCH(T$2,Inputs!$K$4:$AJ$4,0)))+SUMPRODUCT((Inputs!$C$5:$C$200=$B7)*Inputs!$D$5:$D$200*(((Inputs!$G$5:$G$200="moeda")+(Inputs!$G$5:$G$200="acoes"))*Inputs!$B$1+((Inputs!$G$5:$G$200&lt;&gt;"moeda")*(Inputs!$G$5:$G$200&lt;&gt;"acoes")))*INDEX(Inputs!$K$5:$AJ$200,0,MATCH(T$2,Inputs!$K$4:$AJ$4,0)))+SUMPRODUCT((Inputs!$E$5:$E$200=$B7)*Inputs!$F$5:$F$200*(((Inputs!$G$5:$G$200="moeda")+(Inputs!$G$5:$G$200="acoes"))*Inputs!$B$1+((Inputs!$G$5:$G$200&lt;&gt;"moeda")*(Inputs!$G$5:$G$200&lt;&gt;"acoes")))*INDEX(Inputs!$K$5:$AJ$200,0,MATCH(T$2,Inputs!$K$4:$AJ$4,0)))))</f>
        <v>-32.275</v>
      </c>
      <c r="U7" s="6">
        <f>IF(ISNA(MATCH(U$2,Inputs!$K$4:$AJ$4,0)),NA(),IF(SUMPRODUCT((Inputs!$A$5:$A$200=$B7)*ISNUMBER(INDEX(Inputs!$K$5:$AJ$200,0,MATCH(U$2,Inputs!$K$4:$AJ$4,0))))+SUMPRODUCT((Inputs!$C$5:$C$200=$B7)*ISNUMBER(INDEX(Inputs!$K$5:$AJ$200,0,MATCH(U$2,Inputs!$K$4:$AJ$4,0))))+SUMPRODUCT((Inputs!$E$5:$E$200=$B7)*ISNUMBER(INDEX(Inputs!$K$5:$AJ$200,0,MATCH(U$2,Inputs!$K$4:$AJ$4,0))))=0,NA(),SUMPRODUCT((Inputs!$A$5:$A$200=$B7)*Inputs!$B$5:$B$200*(((Inputs!$G$5:$G$200="moeda")+(Inputs!$G$5:$G$200="acoes"))*Inputs!$B$1+((Inputs!$G$5:$G$200&lt;&gt;"moeda")*(Inputs!$G$5:$G$200&lt;&gt;"acoes")))*INDEX(Inputs!$K$5:$AJ$200,0,MATCH(U$2,Inputs!$K$4:$AJ$4,0)))+SUMPRODUCT((Inputs!$C$5:$C$200=$B7)*Inputs!$D$5:$D$200*(((Inputs!$G$5:$G$200="moeda")+(Inputs!$G$5:$G$200="acoes"))*Inputs!$B$1+((Inputs!$G$5:$G$200&lt;&gt;"moeda")*(Inputs!$G$5:$G$200&lt;&gt;"acoes")))*INDEX(Inputs!$K$5:$AJ$200,0,MATCH(U$2,Inputs!$K$4:$AJ$4,0)))+SUMPRODUCT((Inputs!$E$5:$E$200=$B7)*Inputs!$F$5:$F$200*(((Inputs!$G$5:$G$200="moeda")+(Inputs!$G$5:$G$200="acoes"))*Inputs!$B$1+((Inputs!$G$5:$G$200&lt;&gt;"moeda")*(Inputs!$G$5:$G$200&lt;&gt;"acoes")))*INDEX(Inputs!$K$5:$AJ$200,0,MATCH(U$2,Inputs!$K$4:$AJ$4,0)))))</f>
        <v>-39.87</v>
      </c>
      <c r="V7" s="6">
        <f>IF(ISNA(MATCH(V$2,Inputs!$K$4:$AJ$4,0)),NA(),IF(SUMPRODUCT((Inputs!$A$5:$A$200=$B7)*ISNUMBER(INDEX(Inputs!$K$5:$AJ$200,0,MATCH(V$2,Inputs!$K$4:$AJ$4,0))))+SUMPRODUCT((Inputs!$C$5:$C$200=$B7)*ISNUMBER(INDEX(Inputs!$K$5:$AJ$200,0,MATCH(V$2,Inputs!$K$4:$AJ$4,0))))+SUMPRODUCT((Inputs!$E$5:$E$200=$B7)*ISNUMBER(INDEX(Inputs!$K$5:$AJ$200,0,MATCH(V$2,Inputs!$K$4:$AJ$4,0))))=0,NA(),SUMPRODUCT((Inputs!$A$5:$A$200=$B7)*Inputs!$B$5:$B$200*(((Inputs!$G$5:$G$200="moeda")+(Inputs!$G$5:$G$200="acoes"))*Inputs!$B$1+((Inputs!$G$5:$G$200&lt;&gt;"moeda")*(Inputs!$G$5:$G$200&lt;&gt;"acoes")))*INDEX(Inputs!$K$5:$AJ$200,0,MATCH(V$2,Inputs!$K$4:$AJ$4,0)))+SUMPRODUCT((Inputs!$C$5:$C$200=$B7)*Inputs!$D$5:$D$200*(((Inputs!$G$5:$G$200="moeda")+(Inputs!$G$5:$G$200="acoes"))*Inputs!$B$1+((Inputs!$G$5:$G$200&lt;&gt;"moeda")*(Inputs!$G$5:$G$200&lt;&gt;"acoes")))*INDEX(Inputs!$K$5:$AJ$200,0,MATCH(V$2,Inputs!$K$4:$AJ$4,0)))+SUMPRODUCT((Inputs!$E$5:$E$200=$B7)*Inputs!$F$5:$F$200*(((Inputs!$G$5:$G$200="moeda")+(Inputs!$G$5:$G$200="acoes"))*Inputs!$B$1+((Inputs!$G$5:$G$200&lt;&gt;"moeda")*(Inputs!$G$5:$G$200&lt;&gt;"acoes")))*INDEX(Inputs!$K$5:$AJ$200,0,MATCH(V$2,Inputs!$K$4:$AJ$4,0)))))</f>
        <v>-48.619</v>
      </c>
      <c r="W7" s="3">
        <f>SUM(S7:V7)</f>
        <v>-155.967</v>
      </c>
      <c r="X7" s="6">
        <f>IF(ISNA(MATCH(X$2,Inputs!$K$4:$AJ$4,0)),NA(),IF(SUMPRODUCT((Inputs!$A$5:$A$200=$B7)*ISNUMBER(INDEX(Inputs!$K$5:$AJ$200,0,MATCH(X$2,Inputs!$K$4:$AJ$4,0))))+SUMPRODUCT((Inputs!$C$5:$C$200=$B7)*ISNUMBER(INDEX(Inputs!$K$5:$AJ$200,0,MATCH(X$2,Inputs!$K$4:$AJ$4,0))))+SUMPRODUCT((Inputs!$E$5:$E$200=$B7)*ISNUMBER(INDEX(Inputs!$K$5:$AJ$200,0,MATCH(X$2,Inputs!$K$4:$AJ$4,0))))=0,NA(),SUMPRODUCT((Inputs!$A$5:$A$200=$B7)*Inputs!$B$5:$B$200*(((Inputs!$G$5:$G$200="moeda")+(Inputs!$G$5:$G$200="acoes"))*Inputs!$B$1+((Inputs!$G$5:$G$200&lt;&gt;"moeda")*(Inputs!$G$5:$G$200&lt;&gt;"acoes")))*INDEX(Inputs!$K$5:$AJ$200,0,MATCH(X$2,Inputs!$K$4:$AJ$4,0)))+SUMPRODUCT((Inputs!$C$5:$C$200=$B7)*Inputs!$D$5:$D$200*(((Inputs!$G$5:$G$200="moeda")+(Inputs!$G$5:$G$200="acoes"))*Inputs!$B$1+((Inputs!$G$5:$G$200&lt;&gt;"moeda")*(Inputs!$G$5:$G$200&lt;&gt;"acoes")))*INDEX(Inputs!$K$5:$AJ$200,0,MATCH(X$2,Inputs!$K$4:$AJ$4,0)))+SUMPRODUCT((Inputs!$E$5:$E$200=$B7)*Inputs!$F$5:$F$200*(((Inputs!$G$5:$G$200="moeda")+(Inputs!$G$5:$G$200="acoes"))*Inputs!$B$1+((Inputs!$G$5:$G$200&lt;&gt;"moeda")*(Inputs!$G$5:$G$200&lt;&gt;"acoes")))*INDEX(Inputs!$K$5:$AJ$200,0,MATCH(X$2,Inputs!$K$4:$AJ$4,0)))))</f>
        <v>-48.663</v>
      </c>
      <c r="Y7" s="6">
        <f>IF(ISNA(MATCH(Y$2,Inputs!$K$4:$AJ$4,0)),NA(),IF(SUMPRODUCT((Inputs!$A$5:$A$200=$B7)*ISNUMBER(INDEX(Inputs!$K$5:$AJ$200,0,MATCH(Y$2,Inputs!$K$4:$AJ$4,0))))+SUMPRODUCT((Inputs!$C$5:$C$200=$B7)*ISNUMBER(INDEX(Inputs!$K$5:$AJ$200,0,MATCH(Y$2,Inputs!$K$4:$AJ$4,0))))+SUMPRODUCT((Inputs!$E$5:$E$200=$B7)*ISNUMBER(INDEX(Inputs!$K$5:$AJ$200,0,MATCH(Y$2,Inputs!$K$4:$AJ$4,0))))=0,NA(),SUMPRODUCT((Inputs!$A$5:$A$200=$B7)*Inputs!$B$5:$B$200*(((Inputs!$G$5:$G$200="moeda")+(Inputs!$G$5:$G$200="acoes"))*Inputs!$B$1+((Inputs!$G$5:$G$200&lt;&gt;"moeda")*(Inputs!$G$5:$G$200&lt;&gt;"acoes")))*INDEX(Inputs!$K$5:$AJ$200,0,MATCH(Y$2,Inputs!$K$4:$AJ$4,0)))+SUMPRODUCT((Inputs!$C$5:$C$200=$B7)*Inputs!$D$5:$D$200*(((Inputs!$G$5:$G$200="moeda")+(Inputs!$G$5:$G$200="acoes"))*Inputs!$B$1+((Inputs!$G$5:$G$200&lt;&gt;"moeda")*(Inputs!$G$5:$G$200&lt;&gt;"acoes")))*INDEX(Inputs!$K$5:$AJ$200,0,MATCH(Y$2,Inputs!$K$4:$AJ$4,0)))+SUMPRODUCT((Inputs!$E$5:$E$200=$B7)*Inputs!$F$5:$F$200*(((Inputs!$G$5:$G$200="moeda")+(Inputs!$G$5:$G$200="acoes"))*Inputs!$B$1+((Inputs!$G$5:$G$200&lt;&gt;"moeda")*(Inputs!$G$5:$G$200&lt;&gt;"acoes")))*INDEX(Inputs!$K$5:$AJ$200,0,MATCH(Y$2,Inputs!$K$4:$AJ$4,0)))))</f>
        <v>-42.936</v>
      </c>
      <c r="Z7" s="6">
        <f>IF(ISNA(MATCH(Z$2,Inputs!$K$4:$AJ$4,0)),NA(),IF(SUMPRODUCT((Inputs!$A$5:$A$200=$B7)*ISNUMBER(INDEX(Inputs!$K$5:$AJ$200,0,MATCH(Z$2,Inputs!$K$4:$AJ$4,0))))+SUMPRODUCT((Inputs!$C$5:$C$200=$B7)*ISNUMBER(INDEX(Inputs!$K$5:$AJ$200,0,MATCH(Z$2,Inputs!$K$4:$AJ$4,0))))+SUMPRODUCT((Inputs!$E$5:$E$200=$B7)*ISNUMBER(INDEX(Inputs!$K$5:$AJ$200,0,MATCH(Z$2,Inputs!$K$4:$AJ$4,0))))=0,NA(),SUMPRODUCT((Inputs!$A$5:$A$200=$B7)*Inputs!$B$5:$B$200*(((Inputs!$G$5:$G$200="moeda")+(Inputs!$G$5:$G$200="acoes"))*Inputs!$B$1+((Inputs!$G$5:$G$200&lt;&gt;"moeda")*(Inputs!$G$5:$G$200&lt;&gt;"acoes")))*INDEX(Inputs!$K$5:$AJ$200,0,MATCH(Z$2,Inputs!$K$4:$AJ$4,0)))+SUMPRODUCT((Inputs!$C$5:$C$200=$B7)*Inputs!$D$5:$D$200*(((Inputs!$G$5:$G$200="moeda")+(Inputs!$G$5:$G$200="acoes"))*Inputs!$B$1+((Inputs!$G$5:$G$200&lt;&gt;"moeda")*(Inputs!$G$5:$G$200&lt;&gt;"acoes")))*INDEX(Inputs!$K$5:$AJ$200,0,MATCH(Z$2,Inputs!$K$4:$AJ$4,0)))+SUMPRODUCT((Inputs!$E$5:$E$200=$B7)*Inputs!$F$5:$F$200*(((Inputs!$G$5:$G$200="moeda")+(Inputs!$G$5:$G$200="acoes"))*Inputs!$B$1+((Inputs!$G$5:$G$200&lt;&gt;"moeda")*(Inputs!$G$5:$G$200&lt;&gt;"acoes")))*INDEX(Inputs!$K$5:$AJ$200,0,MATCH(Z$2,Inputs!$K$4:$AJ$4,0)))))</f>
        <v>-44.612</v>
      </c>
      <c r="AA7" s="6">
        <f>IF(ISNA(MATCH(AA$2,Inputs!$K$4:$AJ$4,0)),NA(),IF(SUMPRODUCT((Inputs!$A$5:$A$200=$B7)*ISNUMBER(INDEX(Inputs!$K$5:$AJ$200,0,MATCH(AA$2,Inputs!$K$4:$AJ$4,0))))+SUMPRODUCT((Inputs!$C$5:$C$200=$B7)*ISNUMBER(INDEX(Inputs!$K$5:$AJ$200,0,MATCH(AA$2,Inputs!$K$4:$AJ$4,0))))+SUMPRODUCT((Inputs!$E$5:$E$200=$B7)*ISNUMBER(INDEX(Inputs!$K$5:$AJ$200,0,MATCH(AA$2,Inputs!$K$4:$AJ$4,0))))=0,NA(),SUMPRODUCT((Inputs!$A$5:$A$200=$B7)*Inputs!$B$5:$B$200*(((Inputs!$G$5:$G$200="moeda")+(Inputs!$G$5:$G$200="acoes"))*Inputs!$B$1+((Inputs!$G$5:$G$200&lt;&gt;"moeda")*(Inputs!$G$5:$G$200&lt;&gt;"acoes")))*INDEX(Inputs!$K$5:$AJ$200,0,MATCH(AA$2,Inputs!$K$4:$AJ$4,0)))+SUMPRODUCT((Inputs!$C$5:$C$200=$B7)*Inputs!$D$5:$D$200*(((Inputs!$G$5:$G$200="moeda")+(Inputs!$G$5:$G$200="acoes"))*Inputs!$B$1+((Inputs!$G$5:$G$200&lt;&gt;"moeda")*(Inputs!$G$5:$G$200&lt;&gt;"acoes")))*INDEX(Inputs!$K$5:$AJ$200,0,MATCH(AA$2,Inputs!$K$4:$AJ$4,0)))+SUMPRODUCT((Inputs!$E$5:$E$200=$B7)*Inputs!$F$5:$F$200*(((Inputs!$G$5:$G$200="moeda")+(Inputs!$G$5:$G$200="acoes"))*Inputs!$B$1+((Inputs!$G$5:$G$200&lt;&gt;"moeda")*(Inputs!$G$5:$G$200&lt;&gt;"acoes")))*INDEX(Inputs!$K$5:$AJ$200,0,MATCH(AA$2,Inputs!$K$4:$AJ$4,0)))))</f>
        <v>-44.967</v>
      </c>
      <c r="AB7" s="3">
        <f>SUM(X7:AA7)</f>
        <v>-181.178</v>
      </c>
      <c r="AC7" s="6">
        <f>IF(ISNA(MATCH(AC$2,Inputs!$K$4:$AJ$4,0)),NA(),IF(SUMPRODUCT((Inputs!$A$5:$A$200=$B7)*ISNUMBER(INDEX(Inputs!$K$5:$AJ$200,0,MATCH(AC$2,Inputs!$K$4:$AJ$4,0))))+SUMPRODUCT((Inputs!$C$5:$C$200=$B7)*ISNUMBER(INDEX(Inputs!$K$5:$AJ$200,0,MATCH(AC$2,Inputs!$K$4:$AJ$4,0))))+SUMPRODUCT((Inputs!$E$5:$E$200=$B7)*ISNUMBER(INDEX(Inputs!$K$5:$AJ$200,0,MATCH(AC$2,Inputs!$K$4:$AJ$4,0))))=0,NA(),SUMPRODUCT((Inputs!$A$5:$A$200=$B7)*Inputs!$B$5:$B$200*(((Inputs!$G$5:$G$200="moeda")+(Inputs!$G$5:$G$200="acoes"))*Inputs!$B$1+((Inputs!$G$5:$G$200&lt;&gt;"moeda")*(Inputs!$G$5:$G$200&lt;&gt;"acoes")))*INDEX(Inputs!$K$5:$AJ$200,0,MATCH(AC$2,Inputs!$K$4:$AJ$4,0)))+SUMPRODUCT((Inputs!$C$5:$C$200=$B7)*Inputs!$D$5:$D$200*(((Inputs!$G$5:$G$200="moeda")+(Inputs!$G$5:$G$200="acoes"))*Inputs!$B$1+((Inputs!$G$5:$G$200&lt;&gt;"moeda")*(Inputs!$G$5:$G$200&lt;&gt;"acoes")))*INDEX(Inputs!$K$5:$AJ$200,0,MATCH(AC$2,Inputs!$K$4:$AJ$4,0)))+SUMPRODUCT((Inputs!$E$5:$E$200=$B7)*Inputs!$F$5:$F$200*(((Inputs!$G$5:$G$200="moeda")+(Inputs!$G$5:$G$200="acoes"))*Inputs!$B$1+((Inputs!$G$5:$G$200&lt;&gt;"moeda")*(Inputs!$G$5:$G$200&lt;&gt;"acoes")))*INDEX(Inputs!$K$5:$AJ$200,0,MATCH(AC$2,Inputs!$K$4:$AJ$4,0)))))</f>
        <v>-51.389</v>
      </c>
      <c r="AD7" s="6">
        <f>IF(ISNA(MATCH(AD$2,Inputs!$K$4:$AJ$4,0)),NA(),IF(SUMPRODUCT((Inputs!$A$5:$A$200=$B7)*ISNUMBER(INDEX(Inputs!$K$5:$AJ$200,0,MATCH(AD$2,Inputs!$K$4:$AJ$4,0))))+SUMPRODUCT((Inputs!$C$5:$C$200=$B7)*ISNUMBER(INDEX(Inputs!$K$5:$AJ$200,0,MATCH(AD$2,Inputs!$K$4:$AJ$4,0))))+SUMPRODUCT((Inputs!$E$5:$E$200=$B7)*ISNUMBER(INDEX(Inputs!$K$5:$AJ$200,0,MATCH(AD$2,Inputs!$K$4:$AJ$4,0))))=0,NA(),SUMPRODUCT((Inputs!$A$5:$A$200=$B7)*Inputs!$B$5:$B$200*(((Inputs!$G$5:$G$200="moeda")+(Inputs!$G$5:$G$200="acoes"))*Inputs!$B$1+((Inputs!$G$5:$G$200&lt;&gt;"moeda")*(Inputs!$G$5:$G$200&lt;&gt;"acoes")))*INDEX(Inputs!$K$5:$AJ$200,0,MATCH(AD$2,Inputs!$K$4:$AJ$4,0)))+SUMPRODUCT((Inputs!$C$5:$C$200=$B7)*Inputs!$D$5:$D$200*(((Inputs!$G$5:$G$200="moeda")+(Inputs!$G$5:$G$200="acoes"))*Inputs!$B$1+((Inputs!$G$5:$G$200&lt;&gt;"moeda")*(Inputs!$G$5:$G$200&lt;&gt;"acoes")))*INDEX(Inputs!$K$5:$AJ$200,0,MATCH(AD$2,Inputs!$K$4:$AJ$4,0)))+SUMPRODUCT((Inputs!$E$5:$E$200=$B7)*Inputs!$F$5:$F$200*(((Inputs!$G$5:$G$200="moeda")+(Inputs!$G$5:$G$200="acoes"))*Inputs!$B$1+((Inputs!$G$5:$G$200&lt;&gt;"moeda")*(Inputs!$G$5:$G$200&lt;&gt;"acoes")))*INDEX(Inputs!$K$5:$AJ$200,0,MATCH(AD$2,Inputs!$K$4:$AJ$4,0)))))</f>
        <v>-57.892</v>
      </c>
      <c r="AE7" s="6" t="e">
        <f>IF(ISNA(MATCH(AE$2,Inputs!$K$4:$AJ$4,0)),NA(),IF(SUMPRODUCT((Inputs!$A$5:$A$200=$B7)*ISNUMBER(INDEX(Inputs!$K$5:$AJ$200,0,MATCH(AE$2,Inputs!$K$4:$AJ$4,0))))+SUMPRODUCT((Inputs!$C$5:$C$200=$B7)*ISNUMBER(INDEX(Inputs!$K$5:$AJ$200,0,MATCH(AE$2,Inputs!$K$4:$AJ$4,0))))+SUMPRODUCT((Inputs!$E$5:$E$200=$B7)*ISNUMBER(INDEX(Inputs!$K$5:$AJ$200,0,MATCH(AE$2,Inputs!$K$4:$AJ$4,0))))=0,NA(),SUMPRODUCT((Inputs!$A$5:$A$200=$B7)*Inputs!$B$5:$B$200*(((Inputs!$G$5:$G$200="moeda")+(Inputs!$G$5:$G$200="acoes"))*Inputs!$B$1+((Inputs!$G$5:$G$200&lt;&gt;"moeda")*(Inputs!$G$5:$G$200&lt;&gt;"acoes")))*INDEX(Inputs!$K$5:$AJ$200,0,MATCH(AE$2,Inputs!$K$4:$AJ$4,0)))+SUMPRODUCT((Inputs!$C$5:$C$200=$B7)*Inputs!$D$5:$D$200*(((Inputs!$G$5:$G$200="moeda")+(Inputs!$G$5:$G$200="acoes"))*Inputs!$B$1+((Inputs!$G$5:$G$200&lt;&gt;"moeda")*(Inputs!$G$5:$G$200&lt;&gt;"acoes")))*INDEX(Inputs!$K$5:$AJ$200,0,MATCH(AE$2,Inputs!$K$4:$AJ$4,0)))+SUMPRODUCT((Inputs!$E$5:$E$200=$B7)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7" s="6" t="e">
        <f>IF(ISNA(MATCH(AF$2,Inputs!$K$4:$AJ$4,0)),NA(),IF(SUMPRODUCT((Inputs!$A$5:$A$200=$B7)*ISNUMBER(INDEX(Inputs!$K$5:$AJ$200,0,MATCH(AF$2,Inputs!$K$4:$AJ$4,0))))+SUMPRODUCT((Inputs!$C$5:$C$200=$B7)*ISNUMBER(INDEX(Inputs!$K$5:$AJ$200,0,MATCH(AF$2,Inputs!$K$4:$AJ$4,0))))+SUMPRODUCT((Inputs!$E$5:$E$200=$B7)*ISNUMBER(INDEX(Inputs!$K$5:$AJ$200,0,MATCH(AF$2,Inputs!$K$4:$AJ$4,0))))=0,NA(),SUMPRODUCT((Inputs!$A$5:$A$200=$B7)*Inputs!$B$5:$B$200*(((Inputs!$G$5:$G$200="moeda")+(Inputs!$G$5:$G$200="acoes"))*Inputs!$B$1+((Inputs!$G$5:$G$200&lt;&gt;"moeda")*(Inputs!$G$5:$G$200&lt;&gt;"acoes")))*INDEX(Inputs!$K$5:$AJ$200,0,MATCH(AF$2,Inputs!$K$4:$AJ$4,0)))+SUMPRODUCT((Inputs!$C$5:$C$200=$B7)*Inputs!$D$5:$D$200*(((Inputs!$G$5:$G$200="moeda")+(Inputs!$G$5:$G$200="acoes"))*Inputs!$B$1+((Inputs!$G$5:$G$200&lt;&gt;"moeda")*(Inputs!$G$5:$G$200&lt;&gt;"acoes")))*INDEX(Inputs!$K$5:$AJ$200,0,MATCH(AF$2,Inputs!$K$4:$AJ$4,0)))+SUMPRODUCT((Inputs!$E$5:$E$200=$B7)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7" s="3" t="e">
        <f>SUM(AC7:AF7)</f>
        <v>#N/A</v>
      </c>
      <c r="AH7" s="6">
        <f>IF(ISNA(MATCH(AH$2,Inputs!$K$4:$AJ$4,0)),NA(),IF(SUMPRODUCT((Inputs!$A$5:$A$200=$B7)*ISNUMBER(INDEX(Inputs!$K$5:$AJ$200,0,MATCH(AH$2,Inputs!$K$4:$AJ$4,0))))+SUMPRODUCT((Inputs!$C$5:$C$200=$B7)*ISNUMBER(INDEX(Inputs!$K$5:$AJ$200,0,MATCH(AH$2,Inputs!$K$4:$AJ$4,0))))+SUMPRODUCT((Inputs!$E$5:$E$200=$B7)*ISNUMBER(INDEX(Inputs!$K$5:$AJ$200,0,MATCH(AH$2,Inputs!$K$4:$AJ$4,0))))=0,NA(),SUMPRODUCT((Inputs!$A$5:$A$200=$B7)*Inputs!$B$5:$B$200*(((Inputs!$G$5:$G$200="moeda")+(Inputs!$G$5:$G$200="acoes"))*Inputs!$B$1+((Inputs!$G$5:$G$200&lt;&gt;"moeda")*(Inputs!$G$5:$G$200&lt;&gt;"acoes")))*INDEX(Inputs!$K$5:$AJ$200,0,MATCH(AH$2,Inputs!$K$4:$AJ$4,0)))+SUMPRODUCT((Inputs!$C$5:$C$200=$B7)*Inputs!$D$5:$D$200*(((Inputs!$G$5:$G$200="moeda")+(Inputs!$G$5:$G$200="acoes"))*Inputs!$B$1+((Inputs!$G$5:$G$200&lt;&gt;"moeda")*(Inputs!$G$5:$G$200&lt;&gt;"acoes")))*INDEX(Inputs!$K$5:$AJ$200,0,MATCH(AH$2,Inputs!$K$4:$AJ$4,0)))+SUMPRODUCT((Inputs!$E$5:$E$200=$B7)*Inputs!$F$5:$F$200*(((Inputs!$G$5:$G$200="moeda")+(Inputs!$G$5:$G$200="acoes"))*Inputs!$B$1+((Inputs!$G$5:$G$200&lt;&gt;"moeda")*(Inputs!$G$5:$G$200&lt;&gt;"acoes")))*INDEX(Inputs!$K$5:$AJ$200,0,MATCH(AH$2,Inputs!$K$4:$AJ$4,0)))))</f>
        <v>-12.083</v>
      </c>
      <c r="AI7" s="6">
        <f>IF(ISNA(MATCH(AI$2,Inputs!$K$4:$AJ$4,0)),NA(),IF(SUMPRODUCT((Inputs!$A$5:$A$200=$B7)*ISNUMBER(INDEX(Inputs!$K$5:$AJ$200,0,MATCH(AI$2,Inputs!$K$4:$AJ$4,0))))+SUMPRODUCT((Inputs!$C$5:$C$200=$B7)*ISNUMBER(INDEX(Inputs!$K$5:$AJ$200,0,MATCH(AI$2,Inputs!$K$4:$AJ$4,0))))+SUMPRODUCT((Inputs!$E$5:$E$200=$B7)*ISNUMBER(INDEX(Inputs!$K$5:$AJ$200,0,MATCH(AI$2,Inputs!$K$4:$AJ$4,0))))=0,NA(),SUMPRODUCT((Inputs!$A$5:$A$200=$B7)*Inputs!$B$5:$B$200*(((Inputs!$G$5:$G$200="moeda")+(Inputs!$G$5:$G$200="acoes"))*Inputs!$B$1+((Inputs!$G$5:$G$200&lt;&gt;"moeda")*(Inputs!$G$5:$G$200&lt;&gt;"acoes")))*INDEX(Inputs!$K$5:$AJ$200,0,MATCH(AI$2,Inputs!$K$4:$AJ$4,0)))+SUMPRODUCT((Inputs!$C$5:$C$200=$B7)*Inputs!$D$5:$D$200*(((Inputs!$G$5:$G$200="moeda")+(Inputs!$G$5:$G$200="acoes"))*Inputs!$B$1+((Inputs!$G$5:$G$200&lt;&gt;"moeda")*(Inputs!$G$5:$G$200&lt;&gt;"acoes")))*INDEX(Inputs!$K$5:$AJ$200,0,MATCH(AI$2,Inputs!$K$4:$AJ$4,0)))+SUMPRODUCT((Inputs!$E$5:$E$200=$B7)*Inputs!$F$5:$F$200*(((Inputs!$G$5:$G$200="moeda")+(Inputs!$G$5:$G$200="acoes"))*Inputs!$B$1+((Inputs!$G$5:$G$200&lt;&gt;"moeda")*(Inputs!$G$5:$G$200&lt;&gt;"acoes")))*INDEX(Inputs!$K$5:$AJ$200,0,MATCH(AI$2,Inputs!$K$4:$AJ$4,0)))))</f>
        <v>-14.679</v>
      </c>
      <c r="AJ7" s="6">
        <f>IF(ISNA(MATCH(AJ$2,Inputs!$K$4:$AJ$4,0)),NA(),IF(SUMPRODUCT((Inputs!$A$5:$A$200=$B7)*ISNUMBER(INDEX(Inputs!$K$5:$AJ$200,0,MATCH(AJ$2,Inputs!$K$4:$AJ$4,0))))+SUMPRODUCT((Inputs!$C$5:$C$200=$B7)*ISNUMBER(INDEX(Inputs!$K$5:$AJ$200,0,MATCH(AJ$2,Inputs!$K$4:$AJ$4,0))))+SUMPRODUCT((Inputs!$E$5:$E$200=$B7)*ISNUMBER(INDEX(Inputs!$K$5:$AJ$200,0,MATCH(AJ$2,Inputs!$K$4:$AJ$4,0))))=0,NA(),SUMPRODUCT((Inputs!$A$5:$A$200=$B7)*Inputs!$B$5:$B$200*(((Inputs!$G$5:$G$200="moeda")+(Inputs!$G$5:$G$200="acoes"))*Inputs!$B$1+((Inputs!$G$5:$G$200&lt;&gt;"moeda")*(Inputs!$G$5:$G$200&lt;&gt;"acoes")))*INDEX(Inputs!$K$5:$AJ$200,0,MATCH(AJ$2,Inputs!$K$4:$AJ$4,0)))+SUMPRODUCT((Inputs!$C$5:$C$200=$B7)*Inputs!$D$5:$D$200*(((Inputs!$G$5:$G$200="moeda")+(Inputs!$G$5:$G$200="acoes"))*Inputs!$B$1+((Inputs!$G$5:$G$200&lt;&gt;"moeda")*(Inputs!$G$5:$G$200&lt;&gt;"acoes")))*INDEX(Inputs!$K$5:$AJ$200,0,MATCH(AJ$2,Inputs!$K$4:$AJ$4,0)))+SUMPRODUCT((Inputs!$E$5:$E$200=$B7)*Inputs!$F$5:$F$200*(((Inputs!$G$5:$G$200="moeda")+(Inputs!$G$5:$G$200="acoes"))*Inputs!$B$1+((Inputs!$G$5:$G$200&lt;&gt;"moeda")*(Inputs!$G$5:$G$200&lt;&gt;"acoes")))*INDEX(Inputs!$K$5:$AJ$200,0,MATCH(AJ$2,Inputs!$K$4:$AJ$4,0)))))</f>
        <v>-10.102</v>
      </c>
      <c r="AK7" s="6">
        <f>IF(ISNA(MATCH(AK$2,Inputs!$K$4:$AJ$4,0)),NA(),IF(SUMPRODUCT((Inputs!$A$5:$A$200=$B7)*ISNUMBER(INDEX(Inputs!$K$5:$AJ$200,0,MATCH(AK$2,Inputs!$K$4:$AJ$4,0))))+SUMPRODUCT((Inputs!$C$5:$C$200=$B7)*ISNUMBER(INDEX(Inputs!$K$5:$AJ$200,0,MATCH(AK$2,Inputs!$K$4:$AJ$4,0))))+SUMPRODUCT((Inputs!$E$5:$E$200=$B7)*ISNUMBER(INDEX(Inputs!$K$5:$AJ$200,0,MATCH(AK$2,Inputs!$K$4:$AJ$4,0))))=0,NA(),SUMPRODUCT((Inputs!$A$5:$A$200=$B7)*Inputs!$B$5:$B$200*(((Inputs!$G$5:$G$200="moeda")+(Inputs!$G$5:$G$200="acoes"))*Inputs!$B$1+((Inputs!$G$5:$G$200&lt;&gt;"moeda")*(Inputs!$G$5:$G$200&lt;&gt;"acoes")))*INDEX(Inputs!$K$5:$AJ$200,0,MATCH(AK$2,Inputs!$K$4:$AJ$4,0)))+SUMPRODUCT((Inputs!$C$5:$C$200=$B7)*Inputs!$D$5:$D$200*(((Inputs!$G$5:$G$200="moeda")+(Inputs!$G$5:$G$200="acoes"))*Inputs!$B$1+((Inputs!$G$5:$G$200&lt;&gt;"moeda")*(Inputs!$G$5:$G$200&lt;&gt;"acoes")))*INDEX(Inputs!$K$5:$AJ$200,0,MATCH(AK$2,Inputs!$K$4:$AJ$4,0)))+SUMPRODUCT((Inputs!$E$5:$E$200=$B7)*Inputs!$F$5:$F$200*(((Inputs!$G$5:$G$200="moeda")+(Inputs!$G$5:$G$200="acoes"))*Inputs!$B$1+((Inputs!$G$5:$G$200&lt;&gt;"moeda")*(Inputs!$G$5:$G$200&lt;&gt;"acoes")))*INDEX(Inputs!$K$5:$AJ$200,0,MATCH(AK$2,Inputs!$K$4:$AJ$4,0)))))</f>
        <v>-13.165</v>
      </c>
      <c r="AL7" s="3">
        <f>SUM(AH7:AK7)</f>
        <v>-50.029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$200=$B8)*ISNUMBER(INDEX(Inputs!$K$5:$AJ$200,0,MATCH(D$2,Inputs!$K$4:$AJ$4,0))))+SUMPRODUCT((Inputs!$C$5:$C$200=$B8)*ISNUMBER(INDEX(Inputs!$K$5:$AJ$200,0,MATCH(D$2,Inputs!$K$4:$AJ$4,0))))+SUMPRODUCT((Inputs!$E$5:$E$200=$B8)*ISNUMBER(INDEX(Inputs!$K$5:$AJ$200,0,MATCH(D$2,Inputs!$K$4:$AJ$4,0))))=0,NA(),SUMPRODUCT((Inputs!$A$5:$A$200=$B8)*Inputs!$B$5:$B$200*(((Inputs!$G$5:$G$200="moeda")+(Inputs!$G$5:$G$200="acoes"))*Inputs!$B$1+((Inputs!$G$5:$G$200&lt;&gt;"moeda")*(Inputs!$G$5:$G$200&lt;&gt;"acoes")))*INDEX(Inputs!$K$5:$AJ$200,0,MATCH(D$2,Inputs!$K$4:$AJ$4,0)))+SUMPRODUCT((Inputs!$C$5:$C$200=$B8)*Inputs!$D$5:$D$200*(((Inputs!$G$5:$G$200="moeda")+(Inputs!$G$5:$G$200="acoes"))*Inputs!$B$1+((Inputs!$G$5:$G$200&lt;&gt;"moeda")*(Inputs!$G$5:$G$200&lt;&gt;"acoes")))*INDEX(Inputs!$K$5:$AJ$200,0,MATCH(D$2,Inputs!$K$4:$AJ$4,0)))+SUMPRODUCT((Inputs!$E$5:$E$200=$B8)*Inputs!$F$5:$F$200*(((Inputs!$G$5:$G$200="moeda")+(Inputs!$G$5:$G$200="acoes"))*Inputs!$B$1+((Inputs!$G$5:$G$200&lt;&gt;"moeda")*(Inputs!$G$5:$G$200&lt;&gt;"acoes")))*INDEX(Inputs!$K$5:$AJ$200,0,MATCH(D$2,Inputs!$K$4:$AJ$4,0)))))</f>
        <v>-24.167</v>
      </c>
      <c r="E8" s="6">
        <f>IF(ISNA(MATCH(E$2,Inputs!$K$4:$AJ$4,0)),NA(),IF(SUMPRODUCT((Inputs!$A$5:$A$200=$B8)*ISNUMBER(INDEX(Inputs!$K$5:$AJ$200,0,MATCH(E$2,Inputs!$K$4:$AJ$4,0))))+SUMPRODUCT((Inputs!$C$5:$C$200=$B8)*ISNUMBER(INDEX(Inputs!$K$5:$AJ$200,0,MATCH(E$2,Inputs!$K$4:$AJ$4,0))))+SUMPRODUCT((Inputs!$E$5:$E$200=$B8)*ISNUMBER(INDEX(Inputs!$K$5:$AJ$200,0,MATCH(E$2,Inputs!$K$4:$AJ$4,0))))=0,NA(),SUMPRODUCT((Inputs!$A$5:$A$200=$B8)*Inputs!$B$5:$B$200*(((Inputs!$G$5:$G$200="moeda")+(Inputs!$G$5:$G$200="acoes"))*Inputs!$B$1+((Inputs!$G$5:$G$200&lt;&gt;"moeda")*(Inputs!$G$5:$G$200&lt;&gt;"acoes")))*INDEX(Inputs!$K$5:$AJ$200,0,MATCH(E$2,Inputs!$K$4:$AJ$4,0)))+SUMPRODUCT((Inputs!$C$5:$C$200=$B8)*Inputs!$D$5:$D$200*(((Inputs!$G$5:$G$200="moeda")+(Inputs!$G$5:$G$200="acoes"))*Inputs!$B$1+((Inputs!$G$5:$G$200&lt;&gt;"moeda")*(Inputs!$G$5:$G$200&lt;&gt;"acoes")))*INDEX(Inputs!$K$5:$AJ$200,0,MATCH(E$2,Inputs!$K$4:$AJ$4,0)))+SUMPRODUCT((Inputs!$E$5:$E$200=$B8)*Inputs!$F$5:$F$200*(((Inputs!$G$5:$G$200="moeda")+(Inputs!$G$5:$G$200="acoes"))*Inputs!$B$1+((Inputs!$G$5:$G$200&lt;&gt;"moeda")*(Inputs!$G$5:$G$200&lt;&gt;"acoes")))*INDEX(Inputs!$K$5:$AJ$200,0,MATCH(E$2,Inputs!$K$4:$AJ$4,0)))))</f>
        <v>-22.467</v>
      </c>
      <c r="F8" s="6">
        <f>IF(ISNA(MATCH(F$2,Inputs!$K$4:$AJ$4,0)),NA(),IF(SUMPRODUCT((Inputs!$A$5:$A$200=$B8)*ISNUMBER(INDEX(Inputs!$K$5:$AJ$200,0,MATCH(F$2,Inputs!$K$4:$AJ$4,0))))+SUMPRODUCT((Inputs!$C$5:$C$200=$B8)*ISNUMBER(INDEX(Inputs!$K$5:$AJ$200,0,MATCH(F$2,Inputs!$K$4:$AJ$4,0))))+SUMPRODUCT((Inputs!$E$5:$E$200=$B8)*ISNUMBER(INDEX(Inputs!$K$5:$AJ$200,0,MATCH(F$2,Inputs!$K$4:$AJ$4,0))))=0,NA(),SUMPRODUCT((Inputs!$A$5:$A$200=$B8)*Inputs!$B$5:$B$200*(((Inputs!$G$5:$G$200="moeda")+(Inputs!$G$5:$G$200="acoes"))*Inputs!$B$1+((Inputs!$G$5:$G$200&lt;&gt;"moeda")*(Inputs!$G$5:$G$200&lt;&gt;"acoes")))*INDEX(Inputs!$K$5:$AJ$200,0,MATCH(F$2,Inputs!$K$4:$AJ$4,0)))+SUMPRODUCT((Inputs!$C$5:$C$200=$B8)*Inputs!$D$5:$D$200*(((Inputs!$G$5:$G$200="moeda")+(Inputs!$G$5:$G$200="acoes"))*Inputs!$B$1+((Inputs!$G$5:$G$200&lt;&gt;"moeda")*(Inputs!$G$5:$G$200&lt;&gt;"acoes")))*INDEX(Inputs!$K$5:$AJ$200,0,MATCH(F$2,Inputs!$K$4:$AJ$4,0)))+SUMPRODUCT((Inputs!$E$5:$E$200=$B8)*Inputs!$F$5:$F$200*(((Inputs!$G$5:$G$200="moeda")+(Inputs!$G$5:$G$200="acoes"))*Inputs!$B$1+((Inputs!$G$5:$G$200&lt;&gt;"moeda")*(Inputs!$G$5:$G$200&lt;&gt;"acoes")))*INDEX(Inputs!$K$5:$AJ$200,0,MATCH(F$2,Inputs!$K$4:$AJ$4,0)))))</f>
        <v>-23.898</v>
      </c>
      <c r="G8" s="6">
        <f>IF(ISNA(MATCH(G$2,Inputs!$K$4:$AJ$4,0)),NA(),IF(SUMPRODUCT((Inputs!$A$5:$A$200=$B8)*ISNUMBER(INDEX(Inputs!$K$5:$AJ$200,0,MATCH(G$2,Inputs!$K$4:$AJ$4,0))))+SUMPRODUCT((Inputs!$C$5:$C$200=$B8)*ISNUMBER(INDEX(Inputs!$K$5:$AJ$200,0,MATCH(G$2,Inputs!$K$4:$AJ$4,0))))+SUMPRODUCT((Inputs!$E$5:$E$200=$B8)*ISNUMBER(INDEX(Inputs!$K$5:$AJ$200,0,MATCH(G$2,Inputs!$K$4:$AJ$4,0))))=0,NA(),SUMPRODUCT((Inputs!$A$5:$A$200=$B8)*Inputs!$B$5:$B$200*(((Inputs!$G$5:$G$200="moeda")+(Inputs!$G$5:$G$200="acoes"))*Inputs!$B$1+((Inputs!$G$5:$G$200&lt;&gt;"moeda")*(Inputs!$G$5:$G$200&lt;&gt;"acoes")))*INDEX(Inputs!$K$5:$AJ$200,0,MATCH(G$2,Inputs!$K$4:$AJ$4,0)))+SUMPRODUCT((Inputs!$C$5:$C$200=$B8)*Inputs!$D$5:$D$200*(((Inputs!$G$5:$G$200="moeda")+(Inputs!$G$5:$G$200="acoes"))*Inputs!$B$1+((Inputs!$G$5:$G$200&lt;&gt;"moeda")*(Inputs!$G$5:$G$200&lt;&gt;"acoes")))*INDEX(Inputs!$K$5:$AJ$200,0,MATCH(G$2,Inputs!$K$4:$AJ$4,0)))+SUMPRODUCT((Inputs!$E$5:$E$200=$B8)*Inputs!$F$5:$F$200*(((Inputs!$G$5:$G$200="moeda")+(Inputs!$G$5:$G$200="acoes"))*Inputs!$B$1+((Inputs!$G$5:$G$200&lt;&gt;"moeda")*(Inputs!$G$5:$G$200&lt;&gt;"acoes")))*INDEX(Inputs!$K$5:$AJ$200,0,MATCH(G$2,Inputs!$K$4:$AJ$4,0)))))</f>
        <v>-55.165</v>
      </c>
      <c r="H8" s="3">
        <f>SUM(D8:G8)</f>
        <v>-125.697</v>
      </c>
      <c r="I8" s="6">
        <f>IF(ISNA(MATCH(I$2,Inputs!$K$4:$AJ$4,0)),NA(),IF(SUMPRODUCT((Inputs!$A$5:$A$200=$B8)*ISNUMBER(INDEX(Inputs!$K$5:$AJ$200,0,MATCH(I$2,Inputs!$K$4:$AJ$4,0))))+SUMPRODUCT((Inputs!$C$5:$C$200=$B8)*ISNUMBER(INDEX(Inputs!$K$5:$AJ$200,0,MATCH(I$2,Inputs!$K$4:$AJ$4,0))))+SUMPRODUCT((Inputs!$E$5:$E$200=$B8)*ISNUMBER(INDEX(Inputs!$K$5:$AJ$200,0,MATCH(I$2,Inputs!$K$4:$AJ$4,0))))=0,NA(),SUMPRODUCT((Inputs!$A$5:$A$200=$B8)*Inputs!$B$5:$B$200*(((Inputs!$G$5:$G$200="moeda")+(Inputs!$G$5:$G$200="acoes"))*Inputs!$B$1+((Inputs!$G$5:$G$200&lt;&gt;"moeda")*(Inputs!$G$5:$G$200&lt;&gt;"acoes")))*INDEX(Inputs!$K$5:$AJ$200,0,MATCH(I$2,Inputs!$K$4:$AJ$4,0)))+SUMPRODUCT((Inputs!$C$5:$C$200=$B8)*Inputs!$D$5:$D$200*(((Inputs!$G$5:$G$200="moeda")+(Inputs!$G$5:$G$200="acoes"))*Inputs!$B$1+((Inputs!$G$5:$G$200&lt;&gt;"moeda")*(Inputs!$G$5:$G$200&lt;&gt;"acoes")))*INDEX(Inputs!$K$5:$AJ$200,0,MATCH(I$2,Inputs!$K$4:$AJ$4,0)))+SUMPRODUCT((Inputs!$E$5:$E$200=$B8)*Inputs!$F$5:$F$200*(((Inputs!$G$5:$G$200="moeda")+(Inputs!$G$5:$G$200="acoes"))*Inputs!$B$1+((Inputs!$G$5:$G$200&lt;&gt;"moeda")*(Inputs!$G$5:$G$200&lt;&gt;"acoes")))*INDEX(Inputs!$K$5:$AJ$200,0,MATCH(I$2,Inputs!$K$4:$AJ$4,0)))))</f>
        <v>-41.349</v>
      </c>
      <c r="J8" s="6">
        <f>IF(ISNA(MATCH(J$2,Inputs!$K$4:$AJ$4,0)),NA(),IF(SUMPRODUCT((Inputs!$A$5:$A$200=$B8)*ISNUMBER(INDEX(Inputs!$K$5:$AJ$200,0,MATCH(J$2,Inputs!$K$4:$AJ$4,0))))+SUMPRODUCT((Inputs!$C$5:$C$200=$B8)*ISNUMBER(INDEX(Inputs!$K$5:$AJ$200,0,MATCH(J$2,Inputs!$K$4:$AJ$4,0))))+SUMPRODUCT((Inputs!$E$5:$E$200=$B8)*ISNUMBER(INDEX(Inputs!$K$5:$AJ$200,0,MATCH(J$2,Inputs!$K$4:$AJ$4,0))))=0,NA(),SUMPRODUCT((Inputs!$A$5:$A$200=$B8)*Inputs!$B$5:$B$200*(((Inputs!$G$5:$G$200="moeda")+(Inputs!$G$5:$G$200="acoes"))*Inputs!$B$1+((Inputs!$G$5:$G$200&lt;&gt;"moeda")*(Inputs!$G$5:$G$200&lt;&gt;"acoes")))*INDEX(Inputs!$K$5:$AJ$200,0,MATCH(J$2,Inputs!$K$4:$AJ$4,0)))+SUMPRODUCT((Inputs!$C$5:$C$200=$B8)*Inputs!$D$5:$D$200*(((Inputs!$G$5:$G$200="moeda")+(Inputs!$G$5:$G$200="acoes"))*Inputs!$B$1+((Inputs!$G$5:$G$200&lt;&gt;"moeda")*(Inputs!$G$5:$G$200&lt;&gt;"acoes")))*INDEX(Inputs!$K$5:$AJ$200,0,MATCH(J$2,Inputs!$K$4:$AJ$4,0)))+SUMPRODUCT((Inputs!$E$5:$E$200=$B8)*Inputs!$F$5:$F$200*(((Inputs!$G$5:$G$200="moeda")+(Inputs!$G$5:$G$200="acoes"))*Inputs!$B$1+((Inputs!$G$5:$G$200&lt;&gt;"moeda")*(Inputs!$G$5:$G$200&lt;&gt;"acoes")))*INDEX(Inputs!$K$5:$AJ$200,0,MATCH(J$2,Inputs!$K$4:$AJ$4,0)))))</f>
        <v>-69.039</v>
      </c>
      <c r="K8" s="6">
        <f>IF(ISNA(MATCH(K$2,Inputs!$K$4:$AJ$4,0)),NA(),IF(SUMPRODUCT((Inputs!$A$5:$A$200=$B8)*ISNUMBER(INDEX(Inputs!$K$5:$AJ$200,0,MATCH(K$2,Inputs!$K$4:$AJ$4,0))))+SUMPRODUCT((Inputs!$C$5:$C$200=$B8)*ISNUMBER(INDEX(Inputs!$K$5:$AJ$200,0,MATCH(K$2,Inputs!$K$4:$AJ$4,0))))+SUMPRODUCT((Inputs!$E$5:$E$200=$B8)*ISNUMBER(INDEX(Inputs!$K$5:$AJ$200,0,MATCH(K$2,Inputs!$K$4:$AJ$4,0))))=0,NA(),SUMPRODUCT((Inputs!$A$5:$A$200=$B8)*Inputs!$B$5:$B$200*(((Inputs!$G$5:$G$200="moeda")+(Inputs!$G$5:$G$200="acoes"))*Inputs!$B$1+((Inputs!$G$5:$G$200&lt;&gt;"moeda")*(Inputs!$G$5:$G$200&lt;&gt;"acoes")))*INDEX(Inputs!$K$5:$AJ$200,0,MATCH(K$2,Inputs!$K$4:$AJ$4,0)))+SUMPRODUCT((Inputs!$C$5:$C$200=$B8)*Inputs!$D$5:$D$200*(((Inputs!$G$5:$G$200="moeda")+(Inputs!$G$5:$G$200="acoes"))*Inputs!$B$1+((Inputs!$G$5:$G$200&lt;&gt;"moeda")*(Inputs!$G$5:$G$200&lt;&gt;"acoes")))*INDEX(Inputs!$K$5:$AJ$200,0,MATCH(K$2,Inputs!$K$4:$AJ$4,0)))+SUMPRODUCT((Inputs!$E$5:$E$200=$B8)*Inputs!$F$5:$F$200*(((Inputs!$G$5:$G$200="moeda")+(Inputs!$G$5:$G$200="acoes"))*Inputs!$B$1+((Inputs!$G$5:$G$200&lt;&gt;"moeda")*(Inputs!$G$5:$G$200&lt;&gt;"acoes")))*INDEX(Inputs!$K$5:$AJ$200,0,MATCH(K$2,Inputs!$K$4:$AJ$4,0)))))</f>
        <v>-37.467</v>
      </c>
      <c r="L8" s="6">
        <f>IF(ISNA(MATCH(L$2,Inputs!$K$4:$AJ$4,0)),NA(),IF(SUMPRODUCT((Inputs!$A$5:$A$200=$B8)*ISNUMBER(INDEX(Inputs!$K$5:$AJ$200,0,MATCH(L$2,Inputs!$K$4:$AJ$4,0))))+SUMPRODUCT((Inputs!$C$5:$C$200=$B8)*ISNUMBER(INDEX(Inputs!$K$5:$AJ$200,0,MATCH(L$2,Inputs!$K$4:$AJ$4,0))))+SUMPRODUCT((Inputs!$E$5:$E$200=$B8)*ISNUMBER(INDEX(Inputs!$K$5:$AJ$200,0,MATCH(L$2,Inputs!$K$4:$AJ$4,0))))=0,NA(),SUMPRODUCT((Inputs!$A$5:$A$200=$B8)*Inputs!$B$5:$B$200*(((Inputs!$G$5:$G$200="moeda")+(Inputs!$G$5:$G$200="acoes"))*Inputs!$B$1+((Inputs!$G$5:$G$200&lt;&gt;"moeda")*(Inputs!$G$5:$G$200&lt;&gt;"acoes")))*INDEX(Inputs!$K$5:$AJ$200,0,MATCH(L$2,Inputs!$K$4:$AJ$4,0)))+SUMPRODUCT((Inputs!$C$5:$C$200=$B8)*Inputs!$D$5:$D$200*(((Inputs!$G$5:$G$200="moeda")+(Inputs!$G$5:$G$200="acoes"))*Inputs!$B$1+((Inputs!$G$5:$G$200&lt;&gt;"moeda")*(Inputs!$G$5:$G$200&lt;&gt;"acoes")))*INDEX(Inputs!$K$5:$AJ$200,0,MATCH(L$2,Inputs!$K$4:$AJ$4,0)))+SUMPRODUCT((Inputs!$E$5:$E$200=$B8)*Inputs!$F$5:$F$200*(((Inputs!$G$5:$G$200="moeda")+(Inputs!$G$5:$G$200="acoes"))*Inputs!$B$1+((Inputs!$G$5:$G$200&lt;&gt;"moeda")*(Inputs!$G$5:$G$200&lt;&gt;"acoes")))*INDEX(Inputs!$K$5:$AJ$200,0,MATCH(L$2,Inputs!$K$4:$AJ$4,0)))))</f>
        <v>-83.725</v>
      </c>
      <c r="M8" s="3">
        <f>SUM(I8:L8)</f>
        <v>-231.58</v>
      </c>
      <c r="N8" s="6">
        <f>IF(ISNA(MATCH(N$2,Inputs!$K$4:$AJ$4,0)),NA(),IF(SUMPRODUCT((Inputs!$A$5:$A$200=$B8)*ISNUMBER(INDEX(Inputs!$K$5:$AJ$200,0,MATCH(N$2,Inputs!$K$4:$AJ$4,0))))+SUMPRODUCT((Inputs!$C$5:$C$200=$B8)*ISNUMBER(INDEX(Inputs!$K$5:$AJ$200,0,MATCH(N$2,Inputs!$K$4:$AJ$4,0))))+SUMPRODUCT((Inputs!$E$5:$E$200=$B8)*ISNUMBER(INDEX(Inputs!$K$5:$AJ$200,0,MATCH(N$2,Inputs!$K$4:$AJ$4,0))))=0,NA(),SUMPRODUCT((Inputs!$A$5:$A$200=$B8)*Inputs!$B$5:$B$200*(((Inputs!$G$5:$G$200="moeda")+(Inputs!$G$5:$G$200="acoes"))*Inputs!$B$1+((Inputs!$G$5:$G$200&lt;&gt;"moeda")*(Inputs!$G$5:$G$200&lt;&gt;"acoes")))*INDEX(Inputs!$K$5:$AJ$200,0,MATCH(N$2,Inputs!$K$4:$AJ$4,0)))+SUMPRODUCT((Inputs!$C$5:$C$200=$B8)*Inputs!$D$5:$D$200*(((Inputs!$G$5:$G$200="moeda")+(Inputs!$G$5:$G$200="acoes"))*Inputs!$B$1+((Inputs!$G$5:$G$200&lt;&gt;"moeda")*(Inputs!$G$5:$G$200&lt;&gt;"acoes")))*INDEX(Inputs!$K$5:$AJ$200,0,MATCH(N$2,Inputs!$K$4:$AJ$4,0)))+SUMPRODUCT((Inputs!$E$5:$E$200=$B8)*Inputs!$F$5:$F$200*(((Inputs!$G$5:$G$200="moeda")+(Inputs!$G$5:$G$200="acoes"))*Inputs!$B$1+((Inputs!$G$5:$G$200&lt;&gt;"moeda")*(Inputs!$G$5:$G$200&lt;&gt;"acoes")))*INDEX(Inputs!$K$5:$AJ$200,0,MATCH(N$2,Inputs!$K$4:$AJ$4,0)))))</f>
        <v>-52.374</v>
      </c>
      <c r="O8" s="6">
        <f>IF(ISNA(MATCH(O$2,Inputs!$K$4:$AJ$4,0)),NA(),IF(SUMPRODUCT((Inputs!$A$5:$A$200=$B8)*ISNUMBER(INDEX(Inputs!$K$5:$AJ$200,0,MATCH(O$2,Inputs!$K$4:$AJ$4,0))))+SUMPRODUCT((Inputs!$C$5:$C$200=$B8)*ISNUMBER(INDEX(Inputs!$K$5:$AJ$200,0,MATCH(O$2,Inputs!$K$4:$AJ$4,0))))+SUMPRODUCT((Inputs!$E$5:$E$200=$B8)*ISNUMBER(INDEX(Inputs!$K$5:$AJ$200,0,MATCH(O$2,Inputs!$K$4:$AJ$4,0))))=0,NA(),SUMPRODUCT((Inputs!$A$5:$A$200=$B8)*Inputs!$B$5:$B$200*(((Inputs!$G$5:$G$200="moeda")+(Inputs!$G$5:$G$200="acoes"))*Inputs!$B$1+((Inputs!$G$5:$G$200&lt;&gt;"moeda")*(Inputs!$G$5:$G$200&lt;&gt;"acoes")))*INDEX(Inputs!$K$5:$AJ$200,0,MATCH(O$2,Inputs!$K$4:$AJ$4,0)))+SUMPRODUCT((Inputs!$C$5:$C$200=$B8)*Inputs!$D$5:$D$200*(((Inputs!$G$5:$G$200="moeda")+(Inputs!$G$5:$G$200="acoes"))*Inputs!$B$1+((Inputs!$G$5:$G$200&lt;&gt;"moeda")*(Inputs!$G$5:$G$200&lt;&gt;"acoes")))*INDEX(Inputs!$K$5:$AJ$200,0,MATCH(O$2,Inputs!$K$4:$AJ$4,0)))+SUMPRODUCT((Inputs!$E$5:$E$200=$B8)*Inputs!$F$5:$F$200*(((Inputs!$G$5:$G$200="moeda")+(Inputs!$G$5:$G$200="acoes"))*Inputs!$B$1+((Inputs!$G$5:$G$200&lt;&gt;"moeda")*(Inputs!$G$5:$G$200&lt;&gt;"acoes")))*INDEX(Inputs!$K$5:$AJ$200,0,MATCH(O$2,Inputs!$K$4:$AJ$4,0)))))</f>
        <v>-45.602</v>
      </c>
      <c r="P8" s="6">
        <f>IF(ISNA(MATCH(P$2,Inputs!$K$4:$AJ$4,0)),NA(),IF(SUMPRODUCT((Inputs!$A$5:$A$200=$B8)*ISNUMBER(INDEX(Inputs!$K$5:$AJ$200,0,MATCH(P$2,Inputs!$K$4:$AJ$4,0))))+SUMPRODUCT((Inputs!$C$5:$C$200=$B8)*ISNUMBER(INDEX(Inputs!$K$5:$AJ$200,0,MATCH(P$2,Inputs!$K$4:$AJ$4,0))))+SUMPRODUCT((Inputs!$E$5:$E$200=$B8)*ISNUMBER(INDEX(Inputs!$K$5:$AJ$200,0,MATCH(P$2,Inputs!$K$4:$AJ$4,0))))=0,NA(),SUMPRODUCT((Inputs!$A$5:$A$200=$B8)*Inputs!$B$5:$B$200*(((Inputs!$G$5:$G$200="moeda")+(Inputs!$G$5:$G$200="acoes"))*Inputs!$B$1+((Inputs!$G$5:$G$200&lt;&gt;"moeda")*(Inputs!$G$5:$G$200&lt;&gt;"acoes")))*INDEX(Inputs!$K$5:$AJ$200,0,MATCH(P$2,Inputs!$K$4:$AJ$4,0)))+SUMPRODUCT((Inputs!$C$5:$C$200=$B8)*Inputs!$D$5:$D$200*(((Inputs!$G$5:$G$200="moeda")+(Inputs!$G$5:$G$200="acoes"))*Inputs!$B$1+((Inputs!$G$5:$G$200&lt;&gt;"moeda")*(Inputs!$G$5:$G$200&lt;&gt;"acoes")))*INDEX(Inputs!$K$5:$AJ$200,0,MATCH(P$2,Inputs!$K$4:$AJ$4,0)))+SUMPRODUCT((Inputs!$E$5:$E$200=$B8)*Inputs!$F$5:$F$200*(((Inputs!$G$5:$G$200="moeda")+(Inputs!$G$5:$G$200="acoes"))*Inputs!$B$1+((Inputs!$G$5:$G$200&lt;&gt;"moeda")*(Inputs!$G$5:$G$200&lt;&gt;"acoes")))*INDEX(Inputs!$K$5:$AJ$200,0,MATCH(P$2,Inputs!$K$4:$AJ$4,0)))))</f>
        <v>-45.529</v>
      </c>
      <c r="Q8" s="6">
        <f>IF(ISNA(MATCH(Q$2,Inputs!$K$4:$AJ$4,0)),NA(),IF(SUMPRODUCT((Inputs!$A$5:$A$200=$B8)*ISNUMBER(INDEX(Inputs!$K$5:$AJ$200,0,MATCH(Q$2,Inputs!$K$4:$AJ$4,0))))+SUMPRODUCT((Inputs!$C$5:$C$200=$B8)*ISNUMBER(INDEX(Inputs!$K$5:$AJ$200,0,MATCH(Q$2,Inputs!$K$4:$AJ$4,0))))+SUMPRODUCT((Inputs!$E$5:$E$200=$B8)*ISNUMBER(INDEX(Inputs!$K$5:$AJ$200,0,MATCH(Q$2,Inputs!$K$4:$AJ$4,0))))=0,NA(),SUMPRODUCT((Inputs!$A$5:$A$200=$B8)*Inputs!$B$5:$B$200*(((Inputs!$G$5:$G$200="moeda")+(Inputs!$G$5:$G$200="acoes"))*Inputs!$B$1+((Inputs!$G$5:$G$200&lt;&gt;"moeda")*(Inputs!$G$5:$G$200&lt;&gt;"acoes")))*INDEX(Inputs!$K$5:$AJ$200,0,MATCH(Q$2,Inputs!$K$4:$AJ$4,0)))+SUMPRODUCT((Inputs!$C$5:$C$200=$B8)*Inputs!$D$5:$D$200*(((Inputs!$G$5:$G$200="moeda")+(Inputs!$G$5:$G$200="acoes"))*Inputs!$B$1+((Inputs!$G$5:$G$200&lt;&gt;"moeda")*(Inputs!$G$5:$G$200&lt;&gt;"acoes")))*INDEX(Inputs!$K$5:$AJ$200,0,MATCH(Q$2,Inputs!$K$4:$AJ$4,0)))+SUMPRODUCT((Inputs!$E$5:$E$200=$B8)*Inputs!$F$5:$F$200*(((Inputs!$G$5:$G$200="moeda")+(Inputs!$G$5:$G$200="acoes"))*Inputs!$B$1+((Inputs!$G$5:$G$200&lt;&gt;"moeda")*(Inputs!$G$5:$G$200&lt;&gt;"acoes")))*INDEX(Inputs!$K$5:$AJ$200,0,MATCH(Q$2,Inputs!$K$4:$AJ$4,0)))))</f>
        <v>-55.686</v>
      </c>
      <c r="R8" s="3">
        <f>SUM(N8:Q8)</f>
        <v>-199.191</v>
      </c>
      <c r="S8" s="6">
        <f>IF(ISNA(MATCH(S$2,Inputs!$K$4:$AJ$4,0)),NA(),IF(SUMPRODUCT((Inputs!$A$5:$A$200=$B8)*ISNUMBER(INDEX(Inputs!$K$5:$AJ$200,0,MATCH(S$2,Inputs!$K$4:$AJ$4,0))))+SUMPRODUCT((Inputs!$C$5:$C$200=$B8)*ISNUMBER(INDEX(Inputs!$K$5:$AJ$200,0,MATCH(S$2,Inputs!$K$4:$AJ$4,0))))+SUMPRODUCT((Inputs!$E$5:$E$200=$B8)*ISNUMBER(INDEX(Inputs!$K$5:$AJ$200,0,MATCH(S$2,Inputs!$K$4:$AJ$4,0))))=0,NA(),SUMPRODUCT((Inputs!$A$5:$A$200=$B8)*Inputs!$B$5:$B$200*(((Inputs!$G$5:$G$200="moeda")+(Inputs!$G$5:$G$200="acoes"))*Inputs!$B$1+((Inputs!$G$5:$G$200&lt;&gt;"moeda")*(Inputs!$G$5:$G$200&lt;&gt;"acoes")))*INDEX(Inputs!$K$5:$AJ$200,0,MATCH(S$2,Inputs!$K$4:$AJ$4,0)))+SUMPRODUCT((Inputs!$C$5:$C$200=$B8)*Inputs!$D$5:$D$200*(((Inputs!$G$5:$G$200="moeda")+(Inputs!$G$5:$G$200="acoes"))*Inputs!$B$1+((Inputs!$G$5:$G$200&lt;&gt;"moeda")*(Inputs!$G$5:$G$200&lt;&gt;"acoes")))*INDEX(Inputs!$K$5:$AJ$200,0,MATCH(S$2,Inputs!$K$4:$AJ$4,0)))+SUMPRODUCT((Inputs!$E$5:$E$200=$B8)*Inputs!$F$5:$F$200*(((Inputs!$G$5:$G$200="moeda")+(Inputs!$G$5:$G$200="acoes"))*Inputs!$B$1+((Inputs!$G$5:$G$200&lt;&gt;"moeda")*(Inputs!$G$5:$G$200&lt;&gt;"acoes")))*INDEX(Inputs!$K$5:$AJ$200,0,MATCH(S$2,Inputs!$K$4:$AJ$4,0)))))</f>
        <v>-46.582</v>
      </c>
      <c r="T8" s="6">
        <f>IF(ISNA(MATCH(T$2,Inputs!$K$4:$AJ$4,0)),NA(),IF(SUMPRODUCT((Inputs!$A$5:$A$200=$B8)*ISNUMBER(INDEX(Inputs!$K$5:$AJ$200,0,MATCH(T$2,Inputs!$K$4:$AJ$4,0))))+SUMPRODUCT((Inputs!$C$5:$C$200=$B8)*ISNUMBER(INDEX(Inputs!$K$5:$AJ$200,0,MATCH(T$2,Inputs!$K$4:$AJ$4,0))))+SUMPRODUCT((Inputs!$E$5:$E$200=$B8)*ISNUMBER(INDEX(Inputs!$K$5:$AJ$200,0,MATCH(T$2,Inputs!$K$4:$AJ$4,0))))=0,NA(),SUMPRODUCT((Inputs!$A$5:$A$200=$B8)*Inputs!$B$5:$B$200*(((Inputs!$G$5:$G$200="moeda")+(Inputs!$G$5:$G$200="acoes"))*Inputs!$B$1+((Inputs!$G$5:$G$200&lt;&gt;"moeda")*(Inputs!$G$5:$G$200&lt;&gt;"acoes")))*INDEX(Inputs!$K$5:$AJ$200,0,MATCH(T$2,Inputs!$K$4:$AJ$4,0)))+SUMPRODUCT((Inputs!$C$5:$C$200=$B8)*Inputs!$D$5:$D$200*(((Inputs!$G$5:$G$200="moeda")+(Inputs!$G$5:$G$200="acoes"))*Inputs!$B$1+((Inputs!$G$5:$G$200&lt;&gt;"moeda")*(Inputs!$G$5:$G$200&lt;&gt;"acoes")))*INDEX(Inputs!$K$5:$AJ$200,0,MATCH(T$2,Inputs!$K$4:$AJ$4,0)))+SUMPRODUCT((Inputs!$E$5:$E$200=$B8)*Inputs!$F$5:$F$200*(((Inputs!$G$5:$G$200="moeda")+(Inputs!$G$5:$G$200="acoes"))*Inputs!$B$1+((Inputs!$G$5:$G$200&lt;&gt;"moeda")*(Inputs!$G$5:$G$200&lt;&gt;"acoes")))*INDEX(Inputs!$K$5:$AJ$200,0,MATCH(T$2,Inputs!$K$4:$AJ$4,0)))))</f>
        <v>-48.709</v>
      </c>
      <c r="U8" s="6">
        <f>IF(ISNA(MATCH(U$2,Inputs!$K$4:$AJ$4,0)),NA(),IF(SUMPRODUCT((Inputs!$A$5:$A$200=$B8)*ISNUMBER(INDEX(Inputs!$K$5:$AJ$200,0,MATCH(U$2,Inputs!$K$4:$AJ$4,0))))+SUMPRODUCT((Inputs!$C$5:$C$200=$B8)*ISNUMBER(INDEX(Inputs!$K$5:$AJ$200,0,MATCH(U$2,Inputs!$K$4:$AJ$4,0))))+SUMPRODUCT((Inputs!$E$5:$E$200=$B8)*ISNUMBER(INDEX(Inputs!$K$5:$AJ$200,0,MATCH(U$2,Inputs!$K$4:$AJ$4,0))))=0,NA(),SUMPRODUCT((Inputs!$A$5:$A$200=$B8)*Inputs!$B$5:$B$200*(((Inputs!$G$5:$G$200="moeda")+(Inputs!$G$5:$G$200="acoes"))*Inputs!$B$1+((Inputs!$G$5:$G$200&lt;&gt;"moeda")*(Inputs!$G$5:$G$200&lt;&gt;"acoes")))*INDEX(Inputs!$K$5:$AJ$200,0,MATCH(U$2,Inputs!$K$4:$AJ$4,0)))+SUMPRODUCT((Inputs!$C$5:$C$200=$B8)*Inputs!$D$5:$D$200*(((Inputs!$G$5:$G$200="moeda")+(Inputs!$G$5:$G$200="acoes"))*Inputs!$B$1+((Inputs!$G$5:$G$200&lt;&gt;"moeda")*(Inputs!$G$5:$G$200&lt;&gt;"acoes")))*INDEX(Inputs!$K$5:$AJ$200,0,MATCH(U$2,Inputs!$K$4:$AJ$4,0)))+SUMPRODUCT((Inputs!$E$5:$E$200=$B8)*Inputs!$F$5:$F$200*(((Inputs!$G$5:$G$200="moeda")+(Inputs!$G$5:$G$200="acoes"))*Inputs!$B$1+((Inputs!$G$5:$G$200&lt;&gt;"moeda")*(Inputs!$G$5:$G$200&lt;&gt;"acoes")))*INDEX(Inputs!$K$5:$AJ$200,0,MATCH(U$2,Inputs!$K$4:$AJ$4,0)))))</f>
        <v>-56.076</v>
      </c>
      <c r="V8" s="6">
        <f>IF(ISNA(MATCH(V$2,Inputs!$K$4:$AJ$4,0)),NA(),IF(SUMPRODUCT((Inputs!$A$5:$A$200=$B8)*ISNUMBER(INDEX(Inputs!$K$5:$AJ$200,0,MATCH(V$2,Inputs!$K$4:$AJ$4,0))))+SUMPRODUCT((Inputs!$C$5:$C$200=$B8)*ISNUMBER(INDEX(Inputs!$K$5:$AJ$200,0,MATCH(V$2,Inputs!$K$4:$AJ$4,0))))+SUMPRODUCT((Inputs!$E$5:$E$200=$B8)*ISNUMBER(INDEX(Inputs!$K$5:$AJ$200,0,MATCH(V$2,Inputs!$K$4:$AJ$4,0))))=0,NA(),SUMPRODUCT((Inputs!$A$5:$A$200=$B8)*Inputs!$B$5:$B$200*(((Inputs!$G$5:$G$200="moeda")+(Inputs!$G$5:$G$200="acoes"))*Inputs!$B$1+((Inputs!$G$5:$G$200&lt;&gt;"moeda")*(Inputs!$G$5:$G$200&lt;&gt;"acoes")))*INDEX(Inputs!$K$5:$AJ$200,0,MATCH(V$2,Inputs!$K$4:$AJ$4,0)))+SUMPRODUCT((Inputs!$C$5:$C$200=$B8)*Inputs!$D$5:$D$200*(((Inputs!$G$5:$G$200="moeda")+(Inputs!$G$5:$G$200="acoes"))*Inputs!$B$1+((Inputs!$G$5:$G$200&lt;&gt;"moeda")*(Inputs!$G$5:$G$200&lt;&gt;"acoes")))*INDEX(Inputs!$K$5:$AJ$200,0,MATCH(V$2,Inputs!$K$4:$AJ$4,0)))+SUMPRODUCT((Inputs!$E$5:$E$200=$B8)*Inputs!$F$5:$F$200*(((Inputs!$G$5:$G$200="moeda")+(Inputs!$G$5:$G$200="acoes"))*Inputs!$B$1+((Inputs!$G$5:$G$200&lt;&gt;"moeda")*(Inputs!$G$5:$G$200&lt;&gt;"acoes")))*INDEX(Inputs!$K$5:$AJ$200,0,MATCH(V$2,Inputs!$K$4:$AJ$4,0)))))</f>
        <v>-78.046</v>
      </c>
      <c r="W8" s="3">
        <f>SUM(S8:V8)</f>
        <v>-229.413</v>
      </c>
      <c r="X8" s="6">
        <f>IF(ISNA(MATCH(X$2,Inputs!$K$4:$AJ$4,0)),NA(),IF(SUMPRODUCT((Inputs!$A$5:$A$200=$B8)*ISNUMBER(INDEX(Inputs!$K$5:$AJ$200,0,MATCH(X$2,Inputs!$K$4:$AJ$4,0))))+SUMPRODUCT((Inputs!$C$5:$C$200=$B8)*ISNUMBER(INDEX(Inputs!$K$5:$AJ$200,0,MATCH(X$2,Inputs!$K$4:$AJ$4,0))))+SUMPRODUCT((Inputs!$E$5:$E$200=$B8)*ISNUMBER(INDEX(Inputs!$K$5:$AJ$200,0,MATCH(X$2,Inputs!$K$4:$AJ$4,0))))=0,NA(),SUMPRODUCT((Inputs!$A$5:$A$200=$B8)*Inputs!$B$5:$B$200*(((Inputs!$G$5:$G$200="moeda")+(Inputs!$G$5:$G$200="acoes"))*Inputs!$B$1+((Inputs!$G$5:$G$200&lt;&gt;"moeda")*(Inputs!$G$5:$G$200&lt;&gt;"acoes")))*INDEX(Inputs!$K$5:$AJ$200,0,MATCH(X$2,Inputs!$K$4:$AJ$4,0)))+SUMPRODUCT((Inputs!$C$5:$C$200=$B8)*Inputs!$D$5:$D$200*(((Inputs!$G$5:$G$200="moeda")+(Inputs!$G$5:$G$200="acoes"))*Inputs!$B$1+((Inputs!$G$5:$G$200&lt;&gt;"moeda")*(Inputs!$G$5:$G$200&lt;&gt;"acoes")))*INDEX(Inputs!$K$5:$AJ$200,0,MATCH(X$2,Inputs!$K$4:$AJ$4,0)))+SUMPRODUCT((Inputs!$E$5:$E$200=$B8)*Inputs!$F$5:$F$200*(((Inputs!$G$5:$G$200="moeda")+(Inputs!$G$5:$G$200="acoes"))*Inputs!$B$1+((Inputs!$G$5:$G$200&lt;&gt;"moeda")*(Inputs!$G$5:$G$200&lt;&gt;"acoes")))*INDEX(Inputs!$K$5:$AJ$200,0,MATCH(X$2,Inputs!$K$4:$AJ$4,0)))))</f>
        <v>-74.07</v>
      </c>
      <c r="Y8" s="6">
        <f>IF(ISNA(MATCH(Y$2,Inputs!$K$4:$AJ$4,0)),NA(),IF(SUMPRODUCT((Inputs!$A$5:$A$200=$B8)*ISNUMBER(INDEX(Inputs!$K$5:$AJ$200,0,MATCH(Y$2,Inputs!$K$4:$AJ$4,0))))+SUMPRODUCT((Inputs!$C$5:$C$200=$B8)*ISNUMBER(INDEX(Inputs!$K$5:$AJ$200,0,MATCH(Y$2,Inputs!$K$4:$AJ$4,0))))+SUMPRODUCT((Inputs!$E$5:$E$200=$B8)*ISNUMBER(INDEX(Inputs!$K$5:$AJ$200,0,MATCH(Y$2,Inputs!$K$4:$AJ$4,0))))=0,NA(),SUMPRODUCT((Inputs!$A$5:$A$200=$B8)*Inputs!$B$5:$B$200*(((Inputs!$G$5:$G$200="moeda")+(Inputs!$G$5:$G$200="acoes"))*Inputs!$B$1+((Inputs!$G$5:$G$200&lt;&gt;"moeda")*(Inputs!$G$5:$G$200&lt;&gt;"acoes")))*INDEX(Inputs!$K$5:$AJ$200,0,MATCH(Y$2,Inputs!$K$4:$AJ$4,0)))+SUMPRODUCT((Inputs!$C$5:$C$200=$B8)*Inputs!$D$5:$D$200*(((Inputs!$G$5:$G$200="moeda")+(Inputs!$G$5:$G$200="acoes"))*Inputs!$B$1+((Inputs!$G$5:$G$200&lt;&gt;"moeda")*(Inputs!$G$5:$G$200&lt;&gt;"acoes")))*INDEX(Inputs!$K$5:$AJ$200,0,MATCH(Y$2,Inputs!$K$4:$AJ$4,0)))+SUMPRODUCT((Inputs!$E$5:$E$200=$B8)*Inputs!$F$5:$F$200*(((Inputs!$G$5:$G$200="moeda")+(Inputs!$G$5:$G$200="acoes"))*Inputs!$B$1+((Inputs!$G$5:$G$200&lt;&gt;"moeda")*(Inputs!$G$5:$G$200&lt;&gt;"acoes")))*INDEX(Inputs!$K$5:$AJ$200,0,MATCH(Y$2,Inputs!$K$4:$AJ$4,0)))))</f>
        <v>-73.588</v>
      </c>
      <c r="Z8" s="6">
        <f>IF(ISNA(MATCH(Z$2,Inputs!$K$4:$AJ$4,0)),NA(),IF(SUMPRODUCT((Inputs!$A$5:$A$200=$B8)*ISNUMBER(INDEX(Inputs!$K$5:$AJ$200,0,MATCH(Z$2,Inputs!$K$4:$AJ$4,0))))+SUMPRODUCT((Inputs!$C$5:$C$200=$B8)*ISNUMBER(INDEX(Inputs!$K$5:$AJ$200,0,MATCH(Z$2,Inputs!$K$4:$AJ$4,0))))+SUMPRODUCT((Inputs!$E$5:$E$200=$B8)*ISNUMBER(INDEX(Inputs!$K$5:$AJ$200,0,MATCH(Z$2,Inputs!$K$4:$AJ$4,0))))=0,NA(),SUMPRODUCT((Inputs!$A$5:$A$200=$B8)*Inputs!$B$5:$B$200*(((Inputs!$G$5:$G$200="moeda")+(Inputs!$G$5:$G$200="acoes"))*Inputs!$B$1+((Inputs!$G$5:$G$200&lt;&gt;"moeda")*(Inputs!$G$5:$G$200&lt;&gt;"acoes")))*INDEX(Inputs!$K$5:$AJ$200,0,MATCH(Z$2,Inputs!$K$4:$AJ$4,0)))+SUMPRODUCT((Inputs!$C$5:$C$200=$B8)*Inputs!$D$5:$D$200*(((Inputs!$G$5:$G$200="moeda")+(Inputs!$G$5:$G$200="acoes"))*Inputs!$B$1+((Inputs!$G$5:$G$200&lt;&gt;"moeda")*(Inputs!$G$5:$G$200&lt;&gt;"acoes")))*INDEX(Inputs!$K$5:$AJ$200,0,MATCH(Z$2,Inputs!$K$4:$AJ$4,0)))+SUMPRODUCT((Inputs!$E$5:$E$200=$B8)*Inputs!$F$5:$F$200*(((Inputs!$G$5:$G$200="moeda")+(Inputs!$G$5:$G$200="acoes"))*Inputs!$B$1+((Inputs!$G$5:$G$200&lt;&gt;"moeda")*(Inputs!$G$5:$G$200&lt;&gt;"acoes")))*INDEX(Inputs!$K$5:$AJ$200,0,MATCH(Z$2,Inputs!$K$4:$AJ$4,0)))))</f>
        <v>-89.868</v>
      </c>
      <c r="AA8" s="6">
        <f>IF(ISNA(MATCH(AA$2,Inputs!$K$4:$AJ$4,0)),NA(),IF(SUMPRODUCT((Inputs!$A$5:$A$200=$B8)*ISNUMBER(INDEX(Inputs!$K$5:$AJ$200,0,MATCH(AA$2,Inputs!$K$4:$AJ$4,0))))+SUMPRODUCT((Inputs!$C$5:$C$200=$B8)*ISNUMBER(INDEX(Inputs!$K$5:$AJ$200,0,MATCH(AA$2,Inputs!$K$4:$AJ$4,0))))+SUMPRODUCT((Inputs!$E$5:$E$200=$B8)*ISNUMBER(INDEX(Inputs!$K$5:$AJ$200,0,MATCH(AA$2,Inputs!$K$4:$AJ$4,0))))=0,NA(),SUMPRODUCT((Inputs!$A$5:$A$200=$B8)*Inputs!$B$5:$B$200*(((Inputs!$G$5:$G$200="moeda")+(Inputs!$G$5:$G$200="acoes"))*Inputs!$B$1+((Inputs!$G$5:$G$200&lt;&gt;"moeda")*(Inputs!$G$5:$G$200&lt;&gt;"acoes")))*INDEX(Inputs!$K$5:$AJ$200,0,MATCH(AA$2,Inputs!$K$4:$AJ$4,0)))+SUMPRODUCT((Inputs!$C$5:$C$200=$B8)*Inputs!$D$5:$D$200*(((Inputs!$G$5:$G$200="moeda")+(Inputs!$G$5:$G$200="acoes"))*Inputs!$B$1+((Inputs!$G$5:$G$200&lt;&gt;"moeda")*(Inputs!$G$5:$G$200&lt;&gt;"acoes")))*INDEX(Inputs!$K$5:$AJ$200,0,MATCH(AA$2,Inputs!$K$4:$AJ$4,0)))+SUMPRODUCT((Inputs!$E$5:$E$200=$B8)*Inputs!$F$5:$F$200*(((Inputs!$G$5:$G$200="moeda")+(Inputs!$G$5:$G$200="acoes"))*Inputs!$B$1+((Inputs!$G$5:$G$200&lt;&gt;"moeda")*(Inputs!$G$5:$G$200&lt;&gt;"acoes")))*INDEX(Inputs!$K$5:$AJ$200,0,MATCH(AA$2,Inputs!$K$4:$AJ$4,0)))))</f>
        <v>-87.635</v>
      </c>
      <c r="AB8" s="3">
        <f>SUM(X8:AA8)</f>
        <v>-325.161</v>
      </c>
      <c r="AC8" s="6">
        <f>IF(ISNA(MATCH(AC$2,Inputs!$K$4:$AJ$4,0)),NA(),IF(SUMPRODUCT((Inputs!$A$5:$A$200=$B8)*ISNUMBER(INDEX(Inputs!$K$5:$AJ$200,0,MATCH(AC$2,Inputs!$K$4:$AJ$4,0))))+SUMPRODUCT((Inputs!$C$5:$C$200=$B8)*ISNUMBER(INDEX(Inputs!$K$5:$AJ$200,0,MATCH(AC$2,Inputs!$K$4:$AJ$4,0))))+SUMPRODUCT((Inputs!$E$5:$E$200=$B8)*ISNUMBER(INDEX(Inputs!$K$5:$AJ$200,0,MATCH(AC$2,Inputs!$K$4:$AJ$4,0))))=0,NA(),SUMPRODUCT((Inputs!$A$5:$A$200=$B8)*Inputs!$B$5:$B$200*(((Inputs!$G$5:$G$200="moeda")+(Inputs!$G$5:$G$200="acoes"))*Inputs!$B$1+((Inputs!$G$5:$G$200&lt;&gt;"moeda")*(Inputs!$G$5:$G$200&lt;&gt;"acoes")))*INDEX(Inputs!$K$5:$AJ$200,0,MATCH(AC$2,Inputs!$K$4:$AJ$4,0)))+SUMPRODUCT((Inputs!$C$5:$C$200=$B8)*Inputs!$D$5:$D$200*(((Inputs!$G$5:$G$200="moeda")+(Inputs!$G$5:$G$200="acoes"))*Inputs!$B$1+((Inputs!$G$5:$G$200&lt;&gt;"moeda")*(Inputs!$G$5:$G$200&lt;&gt;"acoes")))*INDEX(Inputs!$K$5:$AJ$200,0,MATCH(AC$2,Inputs!$K$4:$AJ$4,0)))+SUMPRODUCT((Inputs!$E$5:$E$200=$B8)*Inputs!$F$5:$F$200*(((Inputs!$G$5:$G$200="moeda")+(Inputs!$G$5:$G$200="acoes"))*Inputs!$B$1+((Inputs!$G$5:$G$200&lt;&gt;"moeda")*(Inputs!$G$5:$G$200&lt;&gt;"acoes")))*INDEX(Inputs!$K$5:$AJ$200,0,MATCH(AC$2,Inputs!$K$4:$AJ$4,0)))))</f>
        <v>-77.362</v>
      </c>
      <c r="AD8" s="6">
        <f>IF(ISNA(MATCH(AD$2,Inputs!$K$4:$AJ$4,0)),NA(),IF(SUMPRODUCT((Inputs!$A$5:$A$200=$B8)*ISNUMBER(INDEX(Inputs!$K$5:$AJ$200,0,MATCH(AD$2,Inputs!$K$4:$AJ$4,0))))+SUMPRODUCT((Inputs!$C$5:$C$200=$B8)*ISNUMBER(INDEX(Inputs!$K$5:$AJ$200,0,MATCH(AD$2,Inputs!$K$4:$AJ$4,0))))+SUMPRODUCT((Inputs!$E$5:$E$200=$B8)*ISNUMBER(INDEX(Inputs!$K$5:$AJ$200,0,MATCH(AD$2,Inputs!$K$4:$AJ$4,0))))=0,NA(),SUMPRODUCT((Inputs!$A$5:$A$200=$B8)*Inputs!$B$5:$B$200*(((Inputs!$G$5:$G$200="moeda")+(Inputs!$G$5:$G$200="acoes"))*Inputs!$B$1+((Inputs!$G$5:$G$200&lt;&gt;"moeda")*(Inputs!$G$5:$G$200&lt;&gt;"acoes")))*INDEX(Inputs!$K$5:$AJ$200,0,MATCH(AD$2,Inputs!$K$4:$AJ$4,0)))+SUMPRODUCT((Inputs!$C$5:$C$200=$B8)*Inputs!$D$5:$D$200*(((Inputs!$G$5:$G$200="moeda")+(Inputs!$G$5:$G$200="acoes"))*Inputs!$B$1+((Inputs!$G$5:$G$200&lt;&gt;"moeda")*(Inputs!$G$5:$G$200&lt;&gt;"acoes")))*INDEX(Inputs!$K$5:$AJ$200,0,MATCH(AD$2,Inputs!$K$4:$AJ$4,0)))+SUMPRODUCT((Inputs!$E$5:$E$200=$B8)*Inputs!$F$5:$F$200*(((Inputs!$G$5:$G$200="moeda")+(Inputs!$G$5:$G$200="acoes"))*Inputs!$B$1+((Inputs!$G$5:$G$200&lt;&gt;"moeda")*(Inputs!$G$5:$G$200&lt;&gt;"acoes")))*INDEX(Inputs!$K$5:$AJ$200,0,MATCH(AD$2,Inputs!$K$4:$AJ$4,0)))))</f>
        <v>-88.947</v>
      </c>
      <c r="AE8" s="6" t="e">
        <f>IF(ISNA(MATCH(AE$2,Inputs!$K$4:$AJ$4,0)),NA(),IF(SUMPRODUCT((Inputs!$A$5:$A$200=$B8)*ISNUMBER(INDEX(Inputs!$K$5:$AJ$200,0,MATCH(AE$2,Inputs!$K$4:$AJ$4,0))))+SUMPRODUCT((Inputs!$C$5:$C$200=$B8)*ISNUMBER(INDEX(Inputs!$K$5:$AJ$200,0,MATCH(AE$2,Inputs!$K$4:$AJ$4,0))))+SUMPRODUCT((Inputs!$E$5:$E$200=$B8)*ISNUMBER(INDEX(Inputs!$K$5:$AJ$200,0,MATCH(AE$2,Inputs!$K$4:$AJ$4,0))))=0,NA(),SUMPRODUCT((Inputs!$A$5:$A$200=$B8)*Inputs!$B$5:$B$200*(((Inputs!$G$5:$G$200="moeda")+(Inputs!$G$5:$G$200="acoes"))*Inputs!$B$1+((Inputs!$G$5:$G$200&lt;&gt;"moeda")*(Inputs!$G$5:$G$200&lt;&gt;"acoes")))*INDEX(Inputs!$K$5:$AJ$200,0,MATCH(AE$2,Inputs!$K$4:$AJ$4,0)))+SUMPRODUCT((Inputs!$C$5:$C$200=$B8)*Inputs!$D$5:$D$200*(((Inputs!$G$5:$G$200="moeda")+(Inputs!$G$5:$G$200="acoes"))*Inputs!$B$1+((Inputs!$G$5:$G$200&lt;&gt;"moeda")*(Inputs!$G$5:$G$200&lt;&gt;"acoes")))*INDEX(Inputs!$K$5:$AJ$200,0,MATCH(AE$2,Inputs!$K$4:$AJ$4,0)))+SUMPRODUCT((Inputs!$E$5:$E$200=$B8)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8" s="6" t="e">
        <f>IF(ISNA(MATCH(AF$2,Inputs!$K$4:$AJ$4,0)),NA(),IF(SUMPRODUCT((Inputs!$A$5:$A$200=$B8)*ISNUMBER(INDEX(Inputs!$K$5:$AJ$200,0,MATCH(AF$2,Inputs!$K$4:$AJ$4,0))))+SUMPRODUCT((Inputs!$C$5:$C$200=$B8)*ISNUMBER(INDEX(Inputs!$K$5:$AJ$200,0,MATCH(AF$2,Inputs!$K$4:$AJ$4,0))))+SUMPRODUCT((Inputs!$E$5:$E$200=$B8)*ISNUMBER(INDEX(Inputs!$K$5:$AJ$200,0,MATCH(AF$2,Inputs!$K$4:$AJ$4,0))))=0,NA(),SUMPRODUCT((Inputs!$A$5:$A$200=$B8)*Inputs!$B$5:$B$200*(((Inputs!$G$5:$G$200="moeda")+(Inputs!$G$5:$G$200="acoes"))*Inputs!$B$1+((Inputs!$G$5:$G$200&lt;&gt;"moeda")*(Inputs!$G$5:$G$200&lt;&gt;"acoes")))*INDEX(Inputs!$K$5:$AJ$200,0,MATCH(AF$2,Inputs!$K$4:$AJ$4,0)))+SUMPRODUCT((Inputs!$C$5:$C$200=$B8)*Inputs!$D$5:$D$200*(((Inputs!$G$5:$G$200="moeda")+(Inputs!$G$5:$G$200="acoes"))*Inputs!$B$1+((Inputs!$G$5:$G$200&lt;&gt;"moeda")*(Inputs!$G$5:$G$200&lt;&gt;"acoes")))*INDEX(Inputs!$K$5:$AJ$200,0,MATCH(AF$2,Inputs!$K$4:$AJ$4,0)))+SUMPRODUCT((Inputs!$E$5:$E$200=$B8)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8" s="3" t="e">
        <f>SUM(AC8:AF8)</f>
        <v>#N/A</v>
      </c>
      <c r="AH8" s="6">
        <f>IF(ISNA(MATCH(AH$2,Inputs!$K$4:$AJ$4,0)),NA(),IF(SUMPRODUCT((Inputs!$A$5:$A$200=$B8)*ISNUMBER(INDEX(Inputs!$K$5:$AJ$200,0,MATCH(AH$2,Inputs!$K$4:$AJ$4,0))))+SUMPRODUCT((Inputs!$C$5:$C$200=$B8)*ISNUMBER(INDEX(Inputs!$K$5:$AJ$200,0,MATCH(AH$2,Inputs!$K$4:$AJ$4,0))))+SUMPRODUCT((Inputs!$E$5:$E$200=$B8)*ISNUMBER(INDEX(Inputs!$K$5:$AJ$200,0,MATCH(AH$2,Inputs!$K$4:$AJ$4,0))))=0,NA(),SUMPRODUCT((Inputs!$A$5:$A$200=$B8)*Inputs!$B$5:$B$200*(((Inputs!$G$5:$G$200="moeda")+(Inputs!$G$5:$G$200="acoes"))*Inputs!$B$1+((Inputs!$G$5:$G$200&lt;&gt;"moeda")*(Inputs!$G$5:$G$200&lt;&gt;"acoes")))*INDEX(Inputs!$K$5:$AJ$200,0,MATCH(AH$2,Inputs!$K$4:$AJ$4,0)))+SUMPRODUCT((Inputs!$C$5:$C$200=$B8)*Inputs!$D$5:$D$200*(((Inputs!$G$5:$G$200="moeda")+(Inputs!$G$5:$G$200="acoes"))*Inputs!$B$1+((Inputs!$G$5:$G$200&lt;&gt;"moeda")*(Inputs!$G$5:$G$200&lt;&gt;"acoes")))*INDEX(Inputs!$K$5:$AJ$200,0,MATCH(AH$2,Inputs!$K$4:$AJ$4,0)))+SUMPRODUCT((Inputs!$E$5:$E$200=$B8)*Inputs!$F$5:$F$200*(((Inputs!$G$5:$G$200="moeda")+(Inputs!$G$5:$G$200="acoes"))*Inputs!$B$1+((Inputs!$G$5:$G$200&lt;&gt;"moeda")*(Inputs!$G$5:$G$200&lt;&gt;"acoes")))*INDEX(Inputs!$K$5:$AJ$200,0,MATCH(AH$2,Inputs!$K$4:$AJ$4,0)))))</f>
        <v>-26.802</v>
      </c>
      <c r="AI8" s="6">
        <f>IF(ISNA(MATCH(AI$2,Inputs!$K$4:$AJ$4,0)),NA(),IF(SUMPRODUCT((Inputs!$A$5:$A$200=$B8)*ISNUMBER(INDEX(Inputs!$K$5:$AJ$200,0,MATCH(AI$2,Inputs!$K$4:$AJ$4,0))))+SUMPRODUCT((Inputs!$C$5:$C$200=$B8)*ISNUMBER(INDEX(Inputs!$K$5:$AJ$200,0,MATCH(AI$2,Inputs!$K$4:$AJ$4,0))))+SUMPRODUCT((Inputs!$E$5:$E$200=$B8)*ISNUMBER(INDEX(Inputs!$K$5:$AJ$200,0,MATCH(AI$2,Inputs!$K$4:$AJ$4,0))))=0,NA(),SUMPRODUCT((Inputs!$A$5:$A$200=$B8)*Inputs!$B$5:$B$200*(((Inputs!$G$5:$G$200="moeda")+(Inputs!$G$5:$G$200="acoes"))*Inputs!$B$1+((Inputs!$G$5:$G$200&lt;&gt;"moeda")*(Inputs!$G$5:$G$200&lt;&gt;"acoes")))*INDEX(Inputs!$K$5:$AJ$200,0,MATCH(AI$2,Inputs!$K$4:$AJ$4,0)))+SUMPRODUCT((Inputs!$C$5:$C$200=$B8)*Inputs!$D$5:$D$200*(((Inputs!$G$5:$G$200="moeda")+(Inputs!$G$5:$G$200="acoes"))*Inputs!$B$1+((Inputs!$G$5:$G$200&lt;&gt;"moeda")*(Inputs!$G$5:$G$200&lt;&gt;"acoes")))*INDEX(Inputs!$K$5:$AJ$200,0,MATCH(AI$2,Inputs!$K$4:$AJ$4,0)))+SUMPRODUCT((Inputs!$E$5:$E$200=$B8)*Inputs!$F$5:$F$200*(((Inputs!$G$5:$G$200="moeda")+(Inputs!$G$5:$G$200="acoes"))*Inputs!$B$1+((Inputs!$G$5:$G$200&lt;&gt;"moeda")*(Inputs!$G$5:$G$200&lt;&gt;"acoes")))*INDEX(Inputs!$K$5:$AJ$200,0,MATCH(AI$2,Inputs!$K$4:$AJ$4,0)))))</f>
        <v>-19.843</v>
      </c>
      <c r="AJ8" s="6">
        <f>IF(ISNA(MATCH(AJ$2,Inputs!$K$4:$AJ$4,0)),NA(),IF(SUMPRODUCT((Inputs!$A$5:$A$200=$B8)*ISNUMBER(INDEX(Inputs!$K$5:$AJ$200,0,MATCH(AJ$2,Inputs!$K$4:$AJ$4,0))))+SUMPRODUCT((Inputs!$C$5:$C$200=$B8)*ISNUMBER(INDEX(Inputs!$K$5:$AJ$200,0,MATCH(AJ$2,Inputs!$K$4:$AJ$4,0))))+SUMPRODUCT((Inputs!$E$5:$E$200=$B8)*ISNUMBER(INDEX(Inputs!$K$5:$AJ$200,0,MATCH(AJ$2,Inputs!$K$4:$AJ$4,0))))=0,NA(),SUMPRODUCT((Inputs!$A$5:$A$200=$B8)*Inputs!$B$5:$B$200*(((Inputs!$G$5:$G$200="moeda")+(Inputs!$G$5:$G$200="acoes"))*Inputs!$B$1+((Inputs!$G$5:$G$200&lt;&gt;"moeda")*(Inputs!$G$5:$G$200&lt;&gt;"acoes")))*INDEX(Inputs!$K$5:$AJ$200,0,MATCH(AJ$2,Inputs!$K$4:$AJ$4,0)))+SUMPRODUCT((Inputs!$C$5:$C$200=$B8)*Inputs!$D$5:$D$200*(((Inputs!$G$5:$G$200="moeda")+(Inputs!$G$5:$G$200="acoes"))*Inputs!$B$1+((Inputs!$G$5:$G$200&lt;&gt;"moeda")*(Inputs!$G$5:$G$200&lt;&gt;"acoes")))*INDEX(Inputs!$K$5:$AJ$200,0,MATCH(AJ$2,Inputs!$K$4:$AJ$4,0)))+SUMPRODUCT((Inputs!$E$5:$E$200=$B8)*Inputs!$F$5:$F$200*(((Inputs!$G$5:$G$200="moeda")+(Inputs!$G$5:$G$200="acoes"))*Inputs!$B$1+((Inputs!$G$5:$G$200&lt;&gt;"moeda")*(Inputs!$G$5:$G$200&lt;&gt;"acoes")))*INDEX(Inputs!$K$5:$AJ$200,0,MATCH(AJ$2,Inputs!$K$4:$AJ$4,0)))))</f>
        <v>-20.802</v>
      </c>
      <c r="AK8" s="6">
        <f>IF(ISNA(MATCH(AK$2,Inputs!$K$4:$AJ$4,0)),NA(),IF(SUMPRODUCT((Inputs!$A$5:$A$200=$B8)*ISNUMBER(INDEX(Inputs!$K$5:$AJ$200,0,MATCH(AK$2,Inputs!$K$4:$AJ$4,0))))+SUMPRODUCT((Inputs!$C$5:$C$200=$B8)*ISNUMBER(INDEX(Inputs!$K$5:$AJ$200,0,MATCH(AK$2,Inputs!$K$4:$AJ$4,0))))+SUMPRODUCT((Inputs!$E$5:$E$200=$B8)*ISNUMBER(INDEX(Inputs!$K$5:$AJ$200,0,MATCH(AK$2,Inputs!$K$4:$AJ$4,0))))=0,NA(),SUMPRODUCT((Inputs!$A$5:$A$200=$B8)*Inputs!$B$5:$B$200*(((Inputs!$G$5:$G$200="moeda")+(Inputs!$G$5:$G$200="acoes"))*Inputs!$B$1+((Inputs!$G$5:$G$200&lt;&gt;"moeda")*(Inputs!$G$5:$G$200&lt;&gt;"acoes")))*INDEX(Inputs!$K$5:$AJ$200,0,MATCH(AK$2,Inputs!$K$4:$AJ$4,0)))+SUMPRODUCT((Inputs!$C$5:$C$200=$B8)*Inputs!$D$5:$D$200*(((Inputs!$G$5:$G$200="moeda")+(Inputs!$G$5:$G$200="acoes"))*Inputs!$B$1+((Inputs!$G$5:$G$200&lt;&gt;"moeda")*(Inputs!$G$5:$G$200&lt;&gt;"acoes")))*INDEX(Inputs!$K$5:$AJ$200,0,MATCH(AK$2,Inputs!$K$4:$AJ$4,0)))+SUMPRODUCT((Inputs!$E$5:$E$200=$B8)*Inputs!$F$5:$F$200*(((Inputs!$G$5:$G$200="moeda")+(Inputs!$G$5:$G$200="acoes"))*Inputs!$B$1+((Inputs!$G$5:$G$200&lt;&gt;"moeda")*(Inputs!$G$5:$G$200&lt;&gt;"acoes")))*INDEX(Inputs!$K$5:$AJ$200,0,MATCH(AK$2,Inputs!$K$4:$AJ$4,0)))))</f>
        <v>-14.884</v>
      </c>
      <c r="AL8" s="3">
        <f>SUM(AH8:AK8)</f>
        <v>-82.331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$200=$B9)*ISNUMBER(INDEX(Inputs!$K$5:$AJ$200,0,MATCH(D$2,Inputs!$K$4:$AJ$4,0))))+SUMPRODUCT((Inputs!$C$5:$C$200=$B9)*ISNUMBER(INDEX(Inputs!$K$5:$AJ$200,0,MATCH(D$2,Inputs!$K$4:$AJ$4,0))))+SUMPRODUCT((Inputs!$E$5:$E$200=$B9)*ISNUMBER(INDEX(Inputs!$K$5:$AJ$200,0,MATCH(D$2,Inputs!$K$4:$AJ$4,0))))=0,NA(),SUMPRODUCT((Inputs!$A$5:$A$200=$B9)*Inputs!$B$5:$B$200*(((Inputs!$G$5:$G$200="moeda")+(Inputs!$G$5:$G$200="acoes"))*Inputs!$B$1+((Inputs!$G$5:$G$200&lt;&gt;"moeda")*(Inputs!$G$5:$G$200&lt;&gt;"acoes")))*INDEX(Inputs!$K$5:$AJ$200,0,MATCH(D$2,Inputs!$K$4:$AJ$4,0)))+SUMPRODUCT((Inputs!$C$5:$C$200=$B9)*Inputs!$D$5:$D$200*(((Inputs!$G$5:$G$200="moeda")+(Inputs!$G$5:$G$200="acoes"))*Inputs!$B$1+((Inputs!$G$5:$G$200&lt;&gt;"moeda")*(Inputs!$G$5:$G$200&lt;&gt;"acoes")))*INDEX(Inputs!$K$5:$AJ$200,0,MATCH(D$2,Inputs!$K$4:$AJ$4,0)))+SUMPRODUCT((Inputs!$E$5:$E$200=$B9)*Inputs!$F$5:$F$200*(((Inputs!$G$5:$G$200="moeda")+(Inputs!$G$5:$G$200="acoes"))*Inputs!$B$1+((Inputs!$G$5:$G$200&lt;&gt;"moeda")*(Inputs!$G$5:$G$200&lt;&gt;"acoes")))*INDEX(Inputs!$K$5:$AJ$200,0,MATCH(D$2,Inputs!$K$4:$AJ$4,0)))))</f>
        <v>4.747</v>
      </c>
      <c r="E9" s="6">
        <f>IF(ISNA(MATCH(E$2,Inputs!$K$4:$AJ$4,0)),NA(),IF(SUMPRODUCT((Inputs!$A$5:$A$200=$B9)*ISNUMBER(INDEX(Inputs!$K$5:$AJ$200,0,MATCH(E$2,Inputs!$K$4:$AJ$4,0))))+SUMPRODUCT((Inputs!$C$5:$C$200=$B9)*ISNUMBER(INDEX(Inputs!$K$5:$AJ$200,0,MATCH(E$2,Inputs!$K$4:$AJ$4,0))))+SUMPRODUCT((Inputs!$E$5:$E$200=$B9)*ISNUMBER(INDEX(Inputs!$K$5:$AJ$200,0,MATCH(E$2,Inputs!$K$4:$AJ$4,0))))=0,NA(),SUMPRODUCT((Inputs!$A$5:$A$200=$B9)*Inputs!$B$5:$B$200*(((Inputs!$G$5:$G$200="moeda")+(Inputs!$G$5:$G$200="acoes"))*Inputs!$B$1+((Inputs!$G$5:$G$200&lt;&gt;"moeda")*(Inputs!$G$5:$G$200&lt;&gt;"acoes")))*INDEX(Inputs!$K$5:$AJ$200,0,MATCH(E$2,Inputs!$K$4:$AJ$4,0)))+SUMPRODUCT((Inputs!$C$5:$C$200=$B9)*Inputs!$D$5:$D$200*(((Inputs!$G$5:$G$200="moeda")+(Inputs!$G$5:$G$200="acoes"))*Inputs!$B$1+((Inputs!$G$5:$G$200&lt;&gt;"moeda")*(Inputs!$G$5:$G$200&lt;&gt;"acoes")))*INDEX(Inputs!$K$5:$AJ$200,0,MATCH(E$2,Inputs!$K$4:$AJ$4,0)))+SUMPRODUCT((Inputs!$E$5:$E$200=$B9)*Inputs!$F$5:$F$200*(((Inputs!$G$5:$G$200="moeda")+(Inputs!$G$5:$G$200="acoes"))*Inputs!$B$1+((Inputs!$G$5:$G$200&lt;&gt;"moeda")*(Inputs!$G$5:$G$200&lt;&gt;"acoes")))*INDEX(Inputs!$K$5:$AJ$200,0,MATCH(E$2,Inputs!$K$4:$AJ$4,0)))))</f>
        <v>8.841</v>
      </c>
      <c r="F9" s="6">
        <f>IF(ISNA(MATCH(F$2,Inputs!$K$4:$AJ$4,0)),NA(),IF(SUMPRODUCT((Inputs!$A$5:$A$200=$B9)*ISNUMBER(INDEX(Inputs!$K$5:$AJ$200,0,MATCH(F$2,Inputs!$K$4:$AJ$4,0))))+SUMPRODUCT((Inputs!$C$5:$C$200=$B9)*ISNUMBER(INDEX(Inputs!$K$5:$AJ$200,0,MATCH(F$2,Inputs!$K$4:$AJ$4,0))))+SUMPRODUCT((Inputs!$E$5:$E$200=$B9)*ISNUMBER(INDEX(Inputs!$K$5:$AJ$200,0,MATCH(F$2,Inputs!$K$4:$AJ$4,0))))=0,NA(),SUMPRODUCT((Inputs!$A$5:$A$200=$B9)*Inputs!$B$5:$B$200*(((Inputs!$G$5:$G$200="moeda")+(Inputs!$G$5:$G$200="acoes"))*Inputs!$B$1+((Inputs!$G$5:$G$200&lt;&gt;"moeda")*(Inputs!$G$5:$G$200&lt;&gt;"acoes")))*INDEX(Inputs!$K$5:$AJ$200,0,MATCH(F$2,Inputs!$K$4:$AJ$4,0)))+SUMPRODUCT((Inputs!$C$5:$C$200=$B9)*Inputs!$D$5:$D$200*(((Inputs!$G$5:$G$200="moeda")+(Inputs!$G$5:$G$200="acoes"))*Inputs!$B$1+((Inputs!$G$5:$G$200&lt;&gt;"moeda")*(Inputs!$G$5:$G$200&lt;&gt;"acoes")))*INDEX(Inputs!$K$5:$AJ$200,0,MATCH(F$2,Inputs!$K$4:$AJ$4,0)))+SUMPRODUCT((Inputs!$E$5:$E$200=$B9)*Inputs!$F$5:$F$200*(((Inputs!$G$5:$G$200="moeda")+(Inputs!$G$5:$G$200="acoes"))*Inputs!$B$1+((Inputs!$G$5:$G$200&lt;&gt;"moeda")*(Inputs!$G$5:$G$200&lt;&gt;"acoes")))*INDEX(Inputs!$K$5:$AJ$200,0,MATCH(F$2,Inputs!$K$4:$AJ$4,0)))))</f>
        <v>9.664</v>
      </c>
      <c r="G9" s="6">
        <f>IF(ISNA(MATCH(G$2,Inputs!$K$4:$AJ$4,0)),NA(),IF(SUMPRODUCT((Inputs!$A$5:$A$200=$B9)*ISNUMBER(INDEX(Inputs!$K$5:$AJ$200,0,MATCH(G$2,Inputs!$K$4:$AJ$4,0))))+SUMPRODUCT((Inputs!$C$5:$C$200=$B9)*ISNUMBER(INDEX(Inputs!$K$5:$AJ$200,0,MATCH(G$2,Inputs!$K$4:$AJ$4,0))))+SUMPRODUCT((Inputs!$E$5:$E$200=$B9)*ISNUMBER(INDEX(Inputs!$K$5:$AJ$200,0,MATCH(G$2,Inputs!$K$4:$AJ$4,0))))=0,NA(),SUMPRODUCT((Inputs!$A$5:$A$200=$B9)*Inputs!$B$5:$B$200*(((Inputs!$G$5:$G$200="moeda")+(Inputs!$G$5:$G$200="acoes"))*Inputs!$B$1+((Inputs!$G$5:$G$200&lt;&gt;"moeda")*(Inputs!$G$5:$G$200&lt;&gt;"acoes")))*INDEX(Inputs!$K$5:$AJ$200,0,MATCH(G$2,Inputs!$K$4:$AJ$4,0)))+SUMPRODUCT((Inputs!$C$5:$C$200=$B9)*Inputs!$D$5:$D$200*(((Inputs!$G$5:$G$200="moeda")+(Inputs!$G$5:$G$200="acoes"))*Inputs!$B$1+((Inputs!$G$5:$G$200&lt;&gt;"moeda")*(Inputs!$G$5:$G$200&lt;&gt;"acoes")))*INDEX(Inputs!$K$5:$AJ$200,0,MATCH(G$2,Inputs!$K$4:$AJ$4,0)))+SUMPRODUCT((Inputs!$E$5:$E$200=$B9)*Inputs!$F$5:$F$200*(((Inputs!$G$5:$G$200="moeda")+(Inputs!$G$5:$G$200="acoes"))*Inputs!$B$1+((Inputs!$G$5:$G$200&lt;&gt;"moeda")*(Inputs!$G$5:$G$200&lt;&gt;"acoes")))*INDEX(Inputs!$K$5:$AJ$200,0,MATCH(G$2,Inputs!$K$4:$AJ$4,0)))))</f>
        <v>3.268</v>
      </c>
      <c r="H9" s="3">
        <f>SUM(D9:G9)</f>
        <v>26.52</v>
      </c>
      <c r="I9" s="6">
        <f>IF(ISNA(MATCH(I$2,Inputs!$K$4:$AJ$4,0)),NA(),IF(SUMPRODUCT((Inputs!$A$5:$A$200=$B9)*ISNUMBER(INDEX(Inputs!$K$5:$AJ$200,0,MATCH(I$2,Inputs!$K$4:$AJ$4,0))))+SUMPRODUCT((Inputs!$C$5:$C$200=$B9)*ISNUMBER(INDEX(Inputs!$K$5:$AJ$200,0,MATCH(I$2,Inputs!$K$4:$AJ$4,0))))+SUMPRODUCT((Inputs!$E$5:$E$200=$B9)*ISNUMBER(INDEX(Inputs!$K$5:$AJ$200,0,MATCH(I$2,Inputs!$K$4:$AJ$4,0))))=0,NA(),SUMPRODUCT((Inputs!$A$5:$A$200=$B9)*Inputs!$B$5:$B$200*(((Inputs!$G$5:$G$200="moeda")+(Inputs!$G$5:$G$200="acoes"))*Inputs!$B$1+((Inputs!$G$5:$G$200&lt;&gt;"moeda")*(Inputs!$G$5:$G$200&lt;&gt;"acoes")))*INDEX(Inputs!$K$5:$AJ$200,0,MATCH(I$2,Inputs!$K$4:$AJ$4,0)))+SUMPRODUCT((Inputs!$C$5:$C$200=$B9)*Inputs!$D$5:$D$200*(((Inputs!$G$5:$G$200="moeda")+(Inputs!$G$5:$G$200="acoes"))*Inputs!$B$1+((Inputs!$G$5:$G$200&lt;&gt;"moeda")*(Inputs!$G$5:$G$200&lt;&gt;"acoes")))*INDEX(Inputs!$K$5:$AJ$200,0,MATCH(I$2,Inputs!$K$4:$AJ$4,0)))+SUMPRODUCT((Inputs!$E$5:$E$200=$B9)*Inputs!$F$5:$F$200*(((Inputs!$G$5:$G$200="moeda")+(Inputs!$G$5:$G$200="acoes"))*Inputs!$B$1+((Inputs!$G$5:$G$200&lt;&gt;"moeda")*(Inputs!$G$5:$G$200&lt;&gt;"acoes")))*INDEX(Inputs!$K$5:$AJ$200,0,MATCH(I$2,Inputs!$K$4:$AJ$4,0)))))</f>
        <v>14.314</v>
      </c>
      <c r="J9" s="6">
        <f>IF(ISNA(MATCH(J$2,Inputs!$K$4:$AJ$4,0)),NA(),IF(SUMPRODUCT((Inputs!$A$5:$A$200=$B9)*ISNUMBER(INDEX(Inputs!$K$5:$AJ$200,0,MATCH(J$2,Inputs!$K$4:$AJ$4,0))))+SUMPRODUCT((Inputs!$C$5:$C$200=$B9)*ISNUMBER(INDEX(Inputs!$K$5:$AJ$200,0,MATCH(J$2,Inputs!$K$4:$AJ$4,0))))+SUMPRODUCT((Inputs!$E$5:$E$200=$B9)*ISNUMBER(INDEX(Inputs!$K$5:$AJ$200,0,MATCH(J$2,Inputs!$K$4:$AJ$4,0))))=0,NA(),SUMPRODUCT((Inputs!$A$5:$A$200=$B9)*Inputs!$B$5:$B$200*(((Inputs!$G$5:$G$200="moeda")+(Inputs!$G$5:$G$200="acoes"))*Inputs!$B$1+((Inputs!$G$5:$G$200&lt;&gt;"moeda")*(Inputs!$G$5:$G$200&lt;&gt;"acoes")))*INDEX(Inputs!$K$5:$AJ$200,0,MATCH(J$2,Inputs!$K$4:$AJ$4,0)))+SUMPRODUCT((Inputs!$C$5:$C$200=$B9)*Inputs!$D$5:$D$200*(((Inputs!$G$5:$G$200="moeda")+(Inputs!$G$5:$G$200="acoes"))*Inputs!$B$1+((Inputs!$G$5:$G$200&lt;&gt;"moeda")*(Inputs!$G$5:$G$200&lt;&gt;"acoes")))*INDEX(Inputs!$K$5:$AJ$200,0,MATCH(J$2,Inputs!$K$4:$AJ$4,0)))+SUMPRODUCT((Inputs!$E$5:$E$200=$B9)*Inputs!$F$5:$F$200*(((Inputs!$G$5:$G$200="moeda")+(Inputs!$G$5:$G$200="acoes"))*Inputs!$B$1+((Inputs!$G$5:$G$200&lt;&gt;"moeda")*(Inputs!$G$5:$G$200&lt;&gt;"acoes")))*INDEX(Inputs!$K$5:$AJ$200,0,MATCH(J$2,Inputs!$K$4:$AJ$4,0)))))</f>
        <v>58.345</v>
      </c>
      <c r="K9" s="6">
        <f>IF(ISNA(MATCH(K$2,Inputs!$K$4:$AJ$4,0)),NA(),IF(SUMPRODUCT((Inputs!$A$5:$A$200=$B9)*ISNUMBER(INDEX(Inputs!$K$5:$AJ$200,0,MATCH(K$2,Inputs!$K$4:$AJ$4,0))))+SUMPRODUCT((Inputs!$C$5:$C$200=$B9)*ISNUMBER(INDEX(Inputs!$K$5:$AJ$200,0,MATCH(K$2,Inputs!$K$4:$AJ$4,0))))+SUMPRODUCT((Inputs!$E$5:$E$200=$B9)*ISNUMBER(INDEX(Inputs!$K$5:$AJ$200,0,MATCH(K$2,Inputs!$K$4:$AJ$4,0))))=0,NA(),SUMPRODUCT((Inputs!$A$5:$A$200=$B9)*Inputs!$B$5:$B$200*(((Inputs!$G$5:$G$200="moeda")+(Inputs!$G$5:$G$200="acoes"))*Inputs!$B$1+((Inputs!$G$5:$G$200&lt;&gt;"moeda")*(Inputs!$G$5:$G$200&lt;&gt;"acoes")))*INDEX(Inputs!$K$5:$AJ$200,0,MATCH(K$2,Inputs!$K$4:$AJ$4,0)))+SUMPRODUCT((Inputs!$C$5:$C$200=$B9)*Inputs!$D$5:$D$200*(((Inputs!$G$5:$G$200="moeda")+(Inputs!$G$5:$G$200="acoes"))*Inputs!$B$1+((Inputs!$G$5:$G$200&lt;&gt;"moeda")*(Inputs!$G$5:$G$200&lt;&gt;"acoes")))*INDEX(Inputs!$K$5:$AJ$200,0,MATCH(K$2,Inputs!$K$4:$AJ$4,0)))+SUMPRODUCT((Inputs!$E$5:$E$200=$B9)*Inputs!$F$5:$F$200*(((Inputs!$G$5:$G$200="moeda")+(Inputs!$G$5:$G$200="acoes"))*Inputs!$B$1+((Inputs!$G$5:$G$200&lt;&gt;"moeda")*(Inputs!$G$5:$G$200&lt;&gt;"acoes")))*INDEX(Inputs!$K$5:$AJ$200,0,MATCH(K$2,Inputs!$K$4:$AJ$4,0)))))</f>
        <v>0.531</v>
      </c>
      <c r="L9" s="6">
        <f>IF(ISNA(MATCH(L$2,Inputs!$K$4:$AJ$4,0)),NA(),IF(SUMPRODUCT((Inputs!$A$5:$A$200=$B9)*ISNUMBER(INDEX(Inputs!$K$5:$AJ$200,0,MATCH(L$2,Inputs!$K$4:$AJ$4,0))))+SUMPRODUCT((Inputs!$C$5:$C$200=$B9)*ISNUMBER(INDEX(Inputs!$K$5:$AJ$200,0,MATCH(L$2,Inputs!$K$4:$AJ$4,0))))+SUMPRODUCT((Inputs!$E$5:$E$200=$B9)*ISNUMBER(INDEX(Inputs!$K$5:$AJ$200,0,MATCH(L$2,Inputs!$K$4:$AJ$4,0))))=0,NA(),SUMPRODUCT((Inputs!$A$5:$A$200=$B9)*Inputs!$B$5:$B$200*(((Inputs!$G$5:$G$200="moeda")+(Inputs!$G$5:$G$200="acoes"))*Inputs!$B$1+((Inputs!$G$5:$G$200&lt;&gt;"moeda")*(Inputs!$G$5:$G$200&lt;&gt;"acoes")))*INDEX(Inputs!$K$5:$AJ$200,0,MATCH(L$2,Inputs!$K$4:$AJ$4,0)))+SUMPRODUCT((Inputs!$C$5:$C$200=$B9)*Inputs!$D$5:$D$200*(((Inputs!$G$5:$G$200="moeda")+(Inputs!$G$5:$G$200="acoes"))*Inputs!$B$1+((Inputs!$G$5:$G$200&lt;&gt;"moeda")*(Inputs!$G$5:$G$200&lt;&gt;"acoes")))*INDEX(Inputs!$K$5:$AJ$200,0,MATCH(L$2,Inputs!$K$4:$AJ$4,0)))+SUMPRODUCT((Inputs!$E$5:$E$200=$B9)*Inputs!$F$5:$F$200*(((Inputs!$G$5:$G$200="moeda")+(Inputs!$G$5:$G$200="acoes"))*Inputs!$B$1+((Inputs!$G$5:$G$200&lt;&gt;"moeda")*(Inputs!$G$5:$G$200&lt;&gt;"acoes")))*INDEX(Inputs!$K$5:$AJ$200,0,MATCH(L$2,Inputs!$K$4:$AJ$4,0)))))</f>
        <v>4.031</v>
      </c>
      <c r="M9" s="3">
        <f>SUM(I9:L9)</f>
        <v>77.221</v>
      </c>
      <c r="N9" s="6">
        <f>IF(ISNA(MATCH(N$2,Inputs!$K$4:$AJ$4,0)),NA(),IF(SUMPRODUCT((Inputs!$A$5:$A$200=$B9)*ISNUMBER(INDEX(Inputs!$K$5:$AJ$200,0,MATCH(N$2,Inputs!$K$4:$AJ$4,0))))+SUMPRODUCT((Inputs!$C$5:$C$200=$B9)*ISNUMBER(INDEX(Inputs!$K$5:$AJ$200,0,MATCH(N$2,Inputs!$K$4:$AJ$4,0))))+SUMPRODUCT((Inputs!$E$5:$E$200=$B9)*ISNUMBER(INDEX(Inputs!$K$5:$AJ$200,0,MATCH(N$2,Inputs!$K$4:$AJ$4,0))))=0,NA(),SUMPRODUCT((Inputs!$A$5:$A$200=$B9)*Inputs!$B$5:$B$200*(((Inputs!$G$5:$G$200="moeda")+(Inputs!$G$5:$G$200="acoes"))*Inputs!$B$1+((Inputs!$G$5:$G$200&lt;&gt;"moeda")*(Inputs!$G$5:$G$200&lt;&gt;"acoes")))*INDEX(Inputs!$K$5:$AJ$200,0,MATCH(N$2,Inputs!$K$4:$AJ$4,0)))+SUMPRODUCT((Inputs!$C$5:$C$200=$B9)*Inputs!$D$5:$D$200*(((Inputs!$G$5:$G$200="moeda")+(Inputs!$G$5:$G$200="acoes"))*Inputs!$B$1+((Inputs!$G$5:$G$200&lt;&gt;"moeda")*(Inputs!$G$5:$G$200&lt;&gt;"acoes")))*INDEX(Inputs!$K$5:$AJ$200,0,MATCH(N$2,Inputs!$K$4:$AJ$4,0)))+SUMPRODUCT((Inputs!$E$5:$E$200=$B9)*Inputs!$F$5:$F$200*(((Inputs!$G$5:$G$200="moeda")+(Inputs!$G$5:$G$200="acoes"))*Inputs!$B$1+((Inputs!$G$5:$G$200&lt;&gt;"moeda")*(Inputs!$G$5:$G$200&lt;&gt;"acoes")))*INDEX(Inputs!$K$5:$AJ$200,0,MATCH(N$2,Inputs!$K$4:$AJ$4,0)))))</f>
        <v>4.578</v>
      </c>
      <c r="O9" s="6">
        <f>IF(ISNA(MATCH(O$2,Inputs!$K$4:$AJ$4,0)),NA(),IF(SUMPRODUCT((Inputs!$A$5:$A$200=$B9)*ISNUMBER(INDEX(Inputs!$K$5:$AJ$200,0,MATCH(O$2,Inputs!$K$4:$AJ$4,0))))+SUMPRODUCT((Inputs!$C$5:$C$200=$B9)*ISNUMBER(INDEX(Inputs!$K$5:$AJ$200,0,MATCH(O$2,Inputs!$K$4:$AJ$4,0))))+SUMPRODUCT((Inputs!$E$5:$E$200=$B9)*ISNUMBER(INDEX(Inputs!$K$5:$AJ$200,0,MATCH(O$2,Inputs!$K$4:$AJ$4,0))))=0,NA(),SUMPRODUCT((Inputs!$A$5:$A$200=$B9)*Inputs!$B$5:$B$200*(((Inputs!$G$5:$G$200="moeda")+(Inputs!$G$5:$G$200="acoes"))*Inputs!$B$1+((Inputs!$G$5:$G$200&lt;&gt;"moeda")*(Inputs!$G$5:$G$200&lt;&gt;"acoes")))*INDEX(Inputs!$K$5:$AJ$200,0,MATCH(O$2,Inputs!$K$4:$AJ$4,0)))+SUMPRODUCT((Inputs!$C$5:$C$200=$B9)*Inputs!$D$5:$D$200*(((Inputs!$G$5:$G$200="moeda")+(Inputs!$G$5:$G$200="acoes"))*Inputs!$B$1+((Inputs!$G$5:$G$200&lt;&gt;"moeda")*(Inputs!$G$5:$G$200&lt;&gt;"acoes")))*INDEX(Inputs!$K$5:$AJ$200,0,MATCH(O$2,Inputs!$K$4:$AJ$4,0)))+SUMPRODUCT((Inputs!$E$5:$E$200=$B9)*Inputs!$F$5:$F$200*(((Inputs!$G$5:$G$200="moeda")+(Inputs!$G$5:$G$200="acoes"))*Inputs!$B$1+((Inputs!$G$5:$G$200&lt;&gt;"moeda")*(Inputs!$G$5:$G$200&lt;&gt;"acoes")))*INDEX(Inputs!$K$5:$AJ$200,0,MATCH(O$2,Inputs!$K$4:$AJ$4,0)))))</f>
        <v>8.653</v>
      </c>
      <c r="P9" s="6">
        <f>IF(ISNA(MATCH(P$2,Inputs!$K$4:$AJ$4,0)),NA(),IF(SUMPRODUCT((Inputs!$A$5:$A$200=$B9)*ISNUMBER(INDEX(Inputs!$K$5:$AJ$200,0,MATCH(P$2,Inputs!$K$4:$AJ$4,0))))+SUMPRODUCT((Inputs!$C$5:$C$200=$B9)*ISNUMBER(INDEX(Inputs!$K$5:$AJ$200,0,MATCH(P$2,Inputs!$K$4:$AJ$4,0))))+SUMPRODUCT((Inputs!$E$5:$E$200=$B9)*ISNUMBER(INDEX(Inputs!$K$5:$AJ$200,0,MATCH(P$2,Inputs!$K$4:$AJ$4,0))))=0,NA(),SUMPRODUCT((Inputs!$A$5:$A$200=$B9)*Inputs!$B$5:$B$200*(((Inputs!$G$5:$G$200="moeda")+(Inputs!$G$5:$G$200="acoes"))*Inputs!$B$1+((Inputs!$G$5:$G$200&lt;&gt;"moeda")*(Inputs!$G$5:$G$200&lt;&gt;"acoes")))*INDEX(Inputs!$K$5:$AJ$200,0,MATCH(P$2,Inputs!$K$4:$AJ$4,0)))+SUMPRODUCT((Inputs!$C$5:$C$200=$B9)*Inputs!$D$5:$D$200*(((Inputs!$G$5:$G$200="moeda")+(Inputs!$G$5:$G$200="acoes"))*Inputs!$B$1+((Inputs!$G$5:$G$200&lt;&gt;"moeda")*(Inputs!$G$5:$G$200&lt;&gt;"acoes")))*INDEX(Inputs!$K$5:$AJ$200,0,MATCH(P$2,Inputs!$K$4:$AJ$4,0)))+SUMPRODUCT((Inputs!$E$5:$E$200=$B9)*Inputs!$F$5:$F$200*(((Inputs!$G$5:$G$200="moeda")+(Inputs!$G$5:$G$200="acoes"))*Inputs!$B$1+((Inputs!$G$5:$G$200&lt;&gt;"moeda")*(Inputs!$G$5:$G$200&lt;&gt;"acoes")))*INDEX(Inputs!$K$5:$AJ$200,0,MATCH(P$2,Inputs!$K$4:$AJ$4,0)))))</f>
        <v>11.044</v>
      </c>
      <c r="Q9" s="6">
        <f>IF(ISNA(MATCH(Q$2,Inputs!$K$4:$AJ$4,0)),NA(),IF(SUMPRODUCT((Inputs!$A$5:$A$200=$B9)*ISNUMBER(INDEX(Inputs!$K$5:$AJ$200,0,MATCH(Q$2,Inputs!$K$4:$AJ$4,0))))+SUMPRODUCT((Inputs!$C$5:$C$200=$B9)*ISNUMBER(INDEX(Inputs!$K$5:$AJ$200,0,MATCH(Q$2,Inputs!$K$4:$AJ$4,0))))+SUMPRODUCT((Inputs!$E$5:$E$200=$B9)*ISNUMBER(INDEX(Inputs!$K$5:$AJ$200,0,MATCH(Q$2,Inputs!$K$4:$AJ$4,0))))=0,NA(),SUMPRODUCT((Inputs!$A$5:$A$200=$B9)*Inputs!$B$5:$B$200*(((Inputs!$G$5:$G$200="moeda")+(Inputs!$G$5:$G$200="acoes"))*Inputs!$B$1+((Inputs!$G$5:$G$200&lt;&gt;"moeda")*(Inputs!$G$5:$G$200&lt;&gt;"acoes")))*INDEX(Inputs!$K$5:$AJ$200,0,MATCH(Q$2,Inputs!$K$4:$AJ$4,0)))+SUMPRODUCT((Inputs!$C$5:$C$200=$B9)*Inputs!$D$5:$D$200*(((Inputs!$G$5:$G$200="moeda")+(Inputs!$G$5:$G$200="acoes"))*Inputs!$B$1+((Inputs!$G$5:$G$200&lt;&gt;"moeda")*(Inputs!$G$5:$G$200&lt;&gt;"acoes")))*INDEX(Inputs!$K$5:$AJ$200,0,MATCH(Q$2,Inputs!$K$4:$AJ$4,0)))+SUMPRODUCT((Inputs!$E$5:$E$200=$B9)*Inputs!$F$5:$F$200*(((Inputs!$G$5:$G$200="moeda")+(Inputs!$G$5:$G$200="acoes"))*Inputs!$B$1+((Inputs!$G$5:$G$200&lt;&gt;"moeda")*(Inputs!$G$5:$G$200&lt;&gt;"acoes")))*INDEX(Inputs!$K$5:$AJ$200,0,MATCH(Q$2,Inputs!$K$4:$AJ$4,0)))))</f>
        <v>56.112</v>
      </c>
      <c r="R9" s="3">
        <f>SUM(N9:Q9)</f>
        <v>80.387</v>
      </c>
      <c r="S9" s="6">
        <f>IF(ISNA(MATCH(S$2,Inputs!$K$4:$AJ$4,0)),NA(),IF(SUMPRODUCT((Inputs!$A$5:$A$200=$B9)*ISNUMBER(INDEX(Inputs!$K$5:$AJ$200,0,MATCH(S$2,Inputs!$K$4:$AJ$4,0))))+SUMPRODUCT((Inputs!$C$5:$C$200=$B9)*ISNUMBER(INDEX(Inputs!$K$5:$AJ$200,0,MATCH(S$2,Inputs!$K$4:$AJ$4,0))))+SUMPRODUCT((Inputs!$E$5:$E$200=$B9)*ISNUMBER(INDEX(Inputs!$K$5:$AJ$200,0,MATCH(S$2,Inputs!$K$4:$AJ$4,0))))=0,NA(),SUMPRODUCT((Inputs!$A$5:$A$200=$B9)*Inputs!$B$5:$B$200*(((Inputs!$G$5:$G$200="moeda")+(Inputs!$G$5:$G$200="acoes"))*Inputs!$B$1+((Inputs!$G$5:$G$200&lt;&gt;"moeda")*(Inputs!$G$5:$G$200&lt;&gt;"acoes")))*INDEX(Inputs!$K$5:$AJ$200,0,MATCH(S$2,Inputs!$K$4:$AJ$4,0)))+SUMPRODUCT((Inputs!$C$5:$C$200=$B9)*Inputs!$D$5:$D$200*(((Inputs!$G$5:$G$200="moeda")+(Inputs!$G$5:$G$200="acoes"))*Inputs!$B$1+((Inputs!$G$5:$G$200&lt;&gt;"moeda")*(Inputs!$G$5:$G$200&lt;&gt;"acoes")))*INDEX(Inputs!$K$5:$AJ$200,0,MATCH(S$2,Inputs!$K$4:$AJ$4,0)))+SUMPRODUCT((Inputs!$E$5:$E$200=$B9)*Inputs!$F$5:$F$200*(((Inputs!$G$5:$G$200="moeda")+(Inputs!$G$5:$G$200="acoes"))*Inputs!$B$1+((Inputs!$G$5:$G$200&lt;&gt;"moeda")*(Inputs!$G$5:$G$200&lt;&gt;"acoes")))*INDEX(Inputs!$K$5:$AJ$200,0,MATCH(S$2,Inputs!$K$4:$AJ$4,0)))))</f>
        <v>7.702</v>
      </c>
      <c r="T9" s="6">
        <f>IF(ISNA(MATCH(T$2,Inputs!$K$4:$AJ$4,0)),NA(),IF(SUMPRODUCT((Inputs!$A$5:$A$200=$B9)*ISNUMBER(INDEX(Inputs!$K$5:$AJ$200,0,MATCH(T$2,Inputs!$K$4:$AJ$4,0))))+SUMPRODUCT((Inputs!$C$5:$C$200=$B9)*ISNUMBER(INDEX(Inputs!$K$5:$AJ$200,0,MATCH(T$2,Inputs!$K$4:$AJ$4,0))))+SUMPRODUCT((Inputs!$E$5:$E$200=$B9)*ISNUMBER(INDEX(Inputs!$K$5:$AJ$200,0,MATCH(T$2,Inputs!$K$4:$AJ$4,0))))=0,NA(),SUMPRODUCT((Inputs!$A$5:$A$200=$B9)*Inputs!$B$5:$B$200*(((Inputs!$G$5:$G$200="moeda")+(Inputs!$G$5:$G$200="acoes"))*Inputs!$B$1+((Inputs!$G$5:$G$200&lt;&gt;"moeda")*(Inputs!$G$5:$G$200&lt;&gt;"acoes")))*INDEX(Inputs!$K$5:$AJ$200,0,MATCH(T$2,Inputs!$K$4:$AJ$4,0)))+SUMPRODUCT((Inputs!$C$5:$C$200=$B9)*Inputs!$D$5:$D$200*(((Inputs!$G$5:$G$200="moeda")+(Inputs!$G$5:$G$200="acoes"))*Inputs!$B$1+((Inputs!$G$5:$G$200&lt;&gt;"moeda")*(Inputs!$G$5:$G$200&lt;&gt;"acoes")))*INDEX(Inputs!$K$5:$AJ$200,0,MATCH(T$2,Inputs!$K$4:$AJ$4,0)))+SUMPRODUCT((Inputs!$E$5:$E$200=$B9)*Inputs!$F$5:$F$200*(((Inputs!$G$5:$G$200="moeda")+(Inputs!$G$5:$G$200="acoes"))*Inputs!$B$1+((Inputs!$G$5:$G$200&lt;&gt;"moeda")*(Inputs!$G$5:$G$200&lt;&gt;"acoes")))*INDEX(Inputs!$K$5:$AJ$200,0,MATCH(T$2,Inputs!$K$4:$AJ$4,0)))))</f>
        <v>12.609</v>
      </c>
      <c r="U9" s="6">
        <f>IF(ISNA(MATCH(U$2,Inputs!$K$4:$AJ$4,0)),NA(),IF(SUMPRODUCT((Inputs!$A$5:$A$200=$B9)*ISNUMBER(INDEX(Inputs!$K$5:$AJ$200,0,MATCH(U$2,Inputs!$K$4:$AJ$4,0))))+SUMPRODUCT((Inputs!$C$5:$C$200=$B9)*ISNUMBER(INDEX(Inputs!$K$5:$AJ$200,0,MATCH(U$2,Inputs!$K$4:$AJ$4,0))))+SUMPRODUCT((Inputs!$E$5:$E$200=$B9)*ISNUMBER(INDEX(Inputs!$K$5:$AJ$200,0,MATCH(U$2,Inputs!$K$4:$AJ$4,0))))=0,NA(),SUMPRODUCT((Inputs!$A$5:$A$200=$B9)*Inputs!$B$5:$B$200*(((Inputs!$G$5:$G$200="moeda")+(Inputs!$G$5:$G$200="acoes"))*Inputs!$B$1+((Inputs!$G$5:$G$200&lt;&gt;"moeda")*(Inputs!$G$5:$G$200&lt;&gt;"acoes")))*INDEX(Inputs!$K$5:$AJ$200,0,MATCH(U$2,Inputs!$K$4:$AJ$4,0)))+SUMPRODUCT((Inputs!$C$5:$C$200=$B9)*Inputs!$D$5:$D$200*(((Inputs!$G$5:$G$200="moeda")+(Inputs!$G$5:$G$200="acoes"))*Inputs!$B$1+((Inputs!$G$5:$G$200&lt;&gt;"moeda")*(Inputs!$G$5:$G$200&lt;&gt;"acoes")))*INDEX(Inputs!$K$5:$AJ$200,0,MATCH(U$2,Inputs!$K$4:$AJ$4,0)))+SUMPRODUCT((Inputs!$E$5:$E$200=$B9)*Inputs!$F$5:$F$200*(((Inputs!$G$5:$G$200="moeda")+(Inputs!$G$5:$G$200="acoes"))*Inputs!$B$1+((Inputs!$G$5:$G$200&lt;&gt;"moeda")*(Inputs!$G$5:$G$200&lt;&gt;"acoes")))*INDEX(Inputs!$K$5:$AJ$200,0,MATCH(U$2,Inputs!$K$4:$AJ$4,0)))))</f>
        <v>9.343</v>
      </c>
      <c r="V9" s="6">
        <f>IF(ISNA(MATCH(V$2,Inputs!$K$4:$AJ$4,0)),NA(),IF(SUMPRODUCT((Inputs!$A$5:$A$200=$B9)*ISNUMBER(INDEX(Inputs!$K$5:$AJ$200,0,MATCH(V$2,Inputs!$K$4:$AJ$4,0))))+SUMPRODUCT((Inputs!$C$5:$C$200=$B9)*ISNUMBER(INDEX(Inputs!$K$5:$AJ$200,0,MATCH(V$2,Inputs!$K$4:$AJ$4,0))))+SUMPRODUCT((Inputs!$E$5:$E$200=$B9)*ISNUMBER(INDEX(Inputs!$K$5:$AJ$200,0,MATCH(V$2,Inputs!$K$4:$AJ$4,0))))=0,NA(),SUMPRODUCT((Inputs!$A$5:$A$200=$B9)*Inputs!$B$5:$B$200*(((Inputs!$G$5:$G$200="moeda")+(Inputs!$G$5:$G$200="acoes"))*Inputs!$B$1+((Inputs!$G$5:$G$200&lt;&gt;"moeda")*(Inputs!$G$5:$G$200&lt;&gt;"acoes")))*INDEX(Inputs!$K$5:$AJ$200,0,MATCH(V$2,Inputs!$K$4:$AJ$4,0)))+SUMPRODUCT((Inputs!$C$5:$C$200=$B9)*Inputs!$D$5:$D$200*(((Inputs!$G$5:$G$200="moeda")+(Inputs!$G$5:$G$200="acoes"))*Inputs!$B$1+((Inputs!$G$5:$G$200&lt;&gt;"moeda")*(Inputs!$G$5:$G$200&lt;&gt;"acoes")))*INDEX(Inputs!$K$5:$AJ$200,0,MATCH(V$2,Inputs!$K$4:$AJ$4,0)))+SUMPRODUCT((Inputs!$E$5:$E$200=$B9)*Inputs!$F$5:$F$200*(((Inputs!$G$5:$G$200="moeda")+(Inputs!$G$5:$G$200="acoes"))*Inputs!$B$1+((Inputs!$G$5:$G$200&lt;&gt;"moeda")*(Inputs!$G$5:$G$200&lt;&gt;"acoes")))*INDEX(Inputs!$K$5:$AJ$200,0,MATCH(V$2,Inputs!$K$4:$AJ$4,0)))))</f>
        <v>28.989</v>
      </c>
      <c r="W9" s="3">
        <f>SUM(S9:V9)</f>
        <v>58.643</v>
      </c>
      <c r="X9" s="6">
        <f>IF(ISNA(MATCH(X$2,Inputs!$K$4:$AJ$4,0)),NA(),IF(SUMPRODUCT((Inputs!$A$5:$A$200=$B9)*ISNUMBER(INDEX(Inputs!$K$5:$AJ$200,0,MATCH(X$2,Inputs!$K$4:$AJ$4,0))))+SUMPRODUCT((Inputs!$C$5:$C$200=$B9)*ISNUMBER(INDEX(Inputs!$K$5:$AJ$200,0,MATCH(X$2,Inputs!$K$4:$AJ$4,0))))+SUMPRODUCT((Inputs!$E$5:$E$200=$B9)*ISNUMBER(INDEX(Inputs!$K$5:$AJ$200,0,MATCH(X$2,Inputs!$K$4:$AJ$4,0))))=0,NA(),SUMPRODUCT((Inputs!$A$5:$A$200=$B9)*Inputs!$B$5:$B$200*(((Inputs!$G$5:$G$200="moeda")+(Inputs!$G$5:$G$200="acoes"))*Inputs!$B$1+((Inputs!$G$5:$G$200&lt;&gt;"moeda")*(Inputs!$G$5:$G$200&lt;&gt;"acoes")))*INDEX(Inputs!$K$5:$AJ$200,0,MATCH(X$2,Inputs!$K$4:$AJ$4,0)))+SUMPRODUCT((Inputs!$C$5:$C$200=$B9)*Inputs!$D$5:$D$200*(((Inputs!$G$5:$G$200="moeda")+(Inputs!$G$5:$G$200="acoes"))*Inputs!$B$1+((Inputs!$G$5:$G$200&lt;&gt;"moeda")*(Inputs!$G$5:$G$200&lt;&gt;"acoes")))*INDEX(Inputs!$K$5:$AJ$200,0,MATCH(X$2,Inputs!$K$4:$AJ$4,0)))+SUMPRODUCT((Inputs!$E$5:$E$200=$B9)*Inputs!$F$5:$F$200*(((Inputs!$G$5:$G$200="moeda")+(Inputs!$G$5:$G$200="acoes"))*Inputs!$B$1+((Inputs!$G$5:$G$200&lt;&gt;"moeda")*(Inputs!$G$5:$G$200&lt;&gt;"acoes")))*INDEX(Inputs!$K$5:$AJ$200,0,MATCH(X$2,Inputs!$K$4:$AJ$4,0)))))</f>
        <v>18.835</v>
      </c>
      <c r="Y9" s="6">
        <f>IF(ISNA(MATCH(Y$2,Inputs!$K$4:$AJ$4,0)),NA(),IF(SUMPRODUCT((Inputs!$A$5:$A$200=$B9)*ISNUMBER(INDEX(Inputs!$K$5:$AJ$200,0,MATCH(Y$2,Inputs!$K$4:$AJ$4,0))))+SUMPRODUCT((Inputs!$C$5:$C$200=$B9)*ISNUMBER(INDEX(Inputs!$K$5:$AJ$200,0,MATCH(Y$2,Inputs!$K$4:$AJ$4,0))))+SUMPRODUCT((Inputs!$E$5:$E$200=$B9)*ISNUMBER(INDEX(Inputs!$K$5:$AJ$200,0,MATCH(Y$2,Inputs!$K$4:$AJ$4,0))))=0,NA(),SUMPRODUCT((Inputs!$A$5:$A$200=$B9)*Inputs!$B$5:$B$200*(((Inputs!$G$5:$G$200="moeda")+(Inputs!$G$5:$G$200="acoes"))*Inputs!$B$1+((Inputs!$G$5:$G$200&lt;&gt;"moeda")*(Inputs!$G$5:$G$200&lt;&gt;"acoes")))*INDEX(Inputs!$K$5:$AJ$200,0,MATCH(Y$2,Inputs!$K$4:$AJ$4,0)))+SUMPRODUCT((Inputs!$C$5:$C$200=$B9)*Inputs!$D$5:$D$200*(((Inputs!$G$5:$G$200="moeda")+(Inputs!$G$5:$G$200="acoes"))*Inputs!$B$1+((Inputs!$G$5:$G$200&lt;&gt;"moeda")*(Inputs!$G$5:$G$200&lt;&gt;"acoes")))*INDEX(Inputs!$K$5:$AJ$200,0,MATCH(Y$2,Inputs!$K$4:$AJ$4,0)))+SUMPRODUCT((Inputs!$E$5:$E$200=$B9)*Inputs!$F$5:$F$200*(((Inputs!$G$5:$G$200="moeda")+(Inputs!$G$5:$G$200="acoes"))*Inputs!$B$1+((Inputs!$G$5:$G$200&lt;&gt;"moeda")*(Inputs!$G$5:$G$200&lt;&gt;"acoes")))*INDEX(Inputs!$K$5:$AJ$200,0,MATCH(Y$2,Inputs!$K$4:$AJ$4,0)))))</f>
        <v>24.933</v>
      </c>
      <c r="Z9" s="6">
        <f>IF(ISNA(MATCH(Z$2,Inputs!$K$4:$AJ$4,0)),NA(),IF(SUMPRODUCT((Inputs!$A$5:$A$200=$B9)*ISNUMBER(INDEX(Inputs!$K$5:$AJ$200,0,MATCH(Z$2,Inputs!$K$4:$AJ$4,0))))+SUMPRODUCT((Inputs!$C$5:$C$200=$B9)*ISNUMBER(INDEX(Inputs!$K$5:$AJ$200,0,MATCH(Z$2,Inputs!$K$4:$AJ$4,0))))+SUMPRODUCT((Inputs!$E$5:$E$200=$B9)*ISNUMBER(INDEX(Inputs!$K$5:$AJ$200,0,MATCH(Z$2,Inputs!$K$4:$AJ$4,0))))=0,NA(),SUMPRODUCT((Inputs!$A$5:$A$200=$B9)*Inputs!$B$5:$B$200*(((Inputs!$G$5:$G$200="moeda")+(Inputs!$G$5:$G$200="acoes"))*Inputs!$B$1+((Inputs!$G$5:$G$200&lt;&gt;"moeda")*(Inputs!$G$5:$G$200&lt;&gt;"acoes")))*INDEX(Inputs!$K$5:$AJ$200,0,MATCH(Z$2,Inputs!$K$4:$AJ$4,0)))+SUMPRODUCT((Inputs!$C$5:$C$200=$B9)*Inputs!$D$5:$D$200*(((Inputs!$G$5:$G$200="moeda")+(Inputs!$G$5:$G$200="acoes"))*Inputs!$B$1+((Inputs!$G$5:$G$200&lt;&gt;"moeda")*(Inputs!$G$5:$G$200&lt;&gt;"acoes")))*INDEX(Inputs!$K$5:$AJ$200,0,MATCH(Z$2,Inputs!$K$4:$AJ$4,0)))+SUMPRODUCT((Inputs!$E$5:$E$200=$B9)*Inputs!$F$5:$F$200*(((Inputs!$G$5:$G$200="moeda")+(Inputs!$G$5:$G$200="acoes"))*Inputs!$B$1+((Inputs!$G$5:$G$200&lt;&gt;"moeda")*(Inputs!$G$5:$G$200&lt;&gt;"acoes")))*INDEX(Inputs!$K$5:$AJ$200,0,MATCH(Z$2,Inputs!$K$4:$AJ$4,0)))))</f>
        <v>36.113</v>
      </c>
      <c r="AA9" s="6">
        <f>IF(ISNA(MATCH(AA$2,Inputs!$K$4:$AJ$4,0)),NA(),IF(SUMPRODUCT((Inputs!$A$5:$A$200=$B9)*ISNUMBER(INDEX(Inputs!$K$5:$AJ$200,0,MATCH(AA$2,Inputs!$K$4:$AJ$4,0))))+SUMPRODUCT((Inputs!$C$5:$C$200=$B9)*ISNUMBER(INDEX(Inputs!$K$5:$AJ$200,0,MATCH(AA$2,Inputs!$K$4:$AJ$4,0))))+SUMPRODUCT((Inputs!$E$5:$E$200=$B9)*ISNUMBER(INDEX(Inputs!$K$5:$AJ$200,0,MATCH(AA$2,Inputs!$K$4:$AJ$4,0))))=0,NA(),SUMPRODUCT((Inputs!$A$5:$A$200=$B9)*Inputs!$B$5:$B$200*(((Inputs!$G$5:$G$200="moeda")+(Inputs!$G$5:$G$200="acoes"))*Inputs!$B$1+((Inputs!$G$5:$G$200&lt;&gt;"moeda")*(Inputs!$G$5:$G$200&lt;&gt;"acoes")))*INDEX(Inputs!$K$5:$AJ$200,0,MATCH(AA$2,Inputs!$K$4:$AJ$4,0)))+SUMPRODUCT((Inputs!$C$5:$C$200=$B9)*Inputs!$D$5:$D$200*(((Inputs!$G$5:$G$200="moeda")+(Inputs!$G$5:$G$200="acoes"))*Inputs!$B$1+((Inputs!$G$5:$G$200&lt;&gt;"moeda")*(Inputs!$G$5:$G$200&lt;&gt;"acoes")))*INDEX(Inputs!$K$5:$AJ$200,0,MATCH(AA$2,Inputs!$K$4:$AJ$4,0)))+SUMPRODUCT((Inputs!$E$5:$E$200=$B9)*Inputs!$F$5:$F$200*(((Inputs!$G$5:$G$200="moeda")+(Inputs!$G$5:$G$200="acoes"))*Inputs!$B$1+((Inputs!$G$5:$G$200&lt;&gt;"moeda")*(Inputs!$G$5:$G$200&lt;&gt;"acoes")))*INDEX(Inputs!$K$5:$AJ$200,0,MATCH(AA$2,Inputs!$K$4:$AJ$4,0)))))</f>
        <v>32.198</v>
      </c>
      <c r="AB9" s="3">
        <f>SUM(X9:AA9)</f>
        <v>112.079</v>
      </c>
      <c r="AC9" s="6">
        <f>IF(ISNA(MATCH(AC$2,Inputs!$K$4:$AJ$4,0)),NA(),IF(SUMPRODUCT((Inputs!$A$5:$A$200=$B9)*ISNUMBER(INDEX(Inputs!$K$5:$AJ$200,0,MATCH(AC$2,Inputs!$K$4:$AJ$4,0))))+SUMPRODUCT((Inputs!$C$5:$C$200=$B9)*ISNUMBER(INDEX(Inputs!$K$5:$AJ$200,0,MATCH(AC$2,Inputs!$K$4:$AJ$4,0))))+SUMPRODUCT((Inputs!$E$5:$E$200=$B9)*ISNUMBER(INDEX(Inputs!$K$5:$AJ$200,0,MATCH(AC$2,Inputs!$K$4:$AJ$4,0))))=0,NA(),SUMPRODUCT((Inputs!$A$5:$A$200=$B9)*Inputs!$B$5:$B$200*(((Inputs!$G$5:$G$200="moeda")+(Inputs!$G$5:$G$200="acoes"))*Inputs!$B$1+((Inputs!$G$5:$G$200&lt;&gt;"moeda")*(Inputs!$G$5:$G$200&lt;&gt;"acoes")))*INDEX(Inputs!$K$5:$AJ$200,0,MATCH(AC$2,Inputs!$K$4:$AJ$4,0)))+SUMPRODUCT((Inputs!$C$5:$C$200=$B9)*Inputs!$D$5:$D$200*(((Inputs!$G$5:$G$200="moeda")+(Inputs!$G$5:$G$200="acoes"))*Inputs!$B$1+((Inputs!$G$5:$G$200&lt;&gt;"moeda")*(Inputs!$G$5:$G$200&lt;&gt;"acoes")))*INDEX(Inputs!$K$5:$AJ$200,0,MATCH(AC$2,Inputs!$K$4:$AJ$4,0)))+SUMPRODUCT((Inputs!$E$5:$E$200=$B9)*Inputs!$F$5:$F$200*(((Inputs!$G$5:$G$200="moeda")+(Inputs!$G$5:$G$200="acoes"))*Inputs!$B$1+((Inputs!$G$5:$G$200&lt;&gt;"moeda")*(Inputs!$G$5:$G$200&lt;&gt;"acoes")))*INDEX(Inputs!$K$5:$AJ$200,0,MATCH(AC$2,Inputs!$K$4:$AJ$4,0)))))</f>
        <v>25.952</v>
      </c>
      <c r="AD9" s="6">
        <f>IF(ISNA(MATCH(AD$2,Inputs!$K$4:$AJ$4,0)),NA(),IF(SUMPRODUCT((Inputs!$A$5:$A$200=$B9)*ISNUMBER(INDEX(Inputs!$K$5:$AJ$200,0,MATCH(AD$2,Inputs!$K$4:$AJ$4,0))))+SUMPRODUCT((Inputs!$C$5:$C$200=$B9)*ISNUMBER(INDEX(Inputs!$K$5:$AJ$200,0,MATCH(AD$2,Inputs!$K$4:$AJ$4,0))))+SUMPRODUCT((Inputs!$E$5:$E$200=$B9)*ISNUMBER(INDEX(Inputs!$K$5:$AJ$200,0,MATCH(AD$2,Inputs!$K$4:$AJ$4,0))))=0,NA(),SUMPRODUCT((Inputs!$A$5:$A$200=$B9)*Inputs!$B$5:$B$200*(((Inputs!$G$5:$G$200="moeda")+(Inputs!$G$5:$G$200="acoes"))*Inputs!$B$1+((Inputs!$G$5:$G$200&lt;&gt;"moeda")*(Inputs!$G$5:$G$200&lt;&gt;"acoes")))*INDEX(Inputs!$K$5:$AJ$200,0,MATCH(AD$2,Inputs!$K$4:$AJ$4,0)))+SUMPRODUCT((Inputs!$C$5:$C$200=$B9)*Inputs!$D$5:$D$200*(((Inputs!$G$5:$G$200="moeda")+(Inputs!$G$5:$G$200="acoes"))*Inputs!$B$1+((Inputs!$G$5:$G$200&lt;&gt;"moeda")*(Inputs!$G$5:$G$200&lt;&gt;"acoes")))*INDEX(Inputs!$K$5:$AJ$200,0,MATCH(AD$2,Inputs!$K$4:$AJ$4,0)))+SUMPRODUCT((Inputs!$E$5:$E$200=$B9)*Inputs!$F$5:$F$200*(((Inputs!$G$5:$G$200="moeda")+(Inputs!$G$5:$G$200="acoes"))*Inputs!$B$1+((Inputs!$G$5:$G$200&lt;&gt;"moeda")*(Inputs!$G$5:$G$200&lt;&gt;"acoes")))*INDEX(Inputs!$K$5:$AJ$200,0,MATCH(AD$2,Inputs!$K$4:$AJ$4,0)))))</f>
        <v>35.17</v>
      </c>
      <c r="AE9" s="6" t="e">
        <f>IF(ISNA(MATCH(AE$2,Inputs!$K$4:$AJ$4,0)),NA(),IF(SUMPRODUCT((Inputs!$A$5:$A$200=$B9)*ISNUMBER(INDEX(Inputs!$K$5:$AJ$200,0,MATCH(AE$2,Inputs!$K$4:$AJ$4,0))))+SUMPRODUCT((Inputs!$C$5:$C$200=$B9)*ISNUMBER(INDEX(Inputs!$K$5:$AJ$200,0,MATCH(AE$2,Inputs!$K$4:$AJ$4,0))))+SUMPRODUCT((Inputs!$E$5:$E$200=$B9)*ISNUMBER(INDEX(Inputs!$K$5:$AJ$200,0,MATCH(AE$2,Inputs!$K$4:$AJ$4,0))))=0,NA(),SUMPRODUCT((Inputs!$A$5:$A$200=$B9)*Inputs!$B$5:$B$200*(((Inputs!$G$5:$G$200="moeda")+(Inputs!$G$5:$G$200="acoes"))*Inputs!$B$1+((Inputs!$G$5:$G$200&lt;&gt;"moeda")*(Inputs!$G$5:$G$200&lt;&gt;"acoes")))*INDEX(Inputs!$K$5:$AJ$200,0,MATCH(AE$2,Inputs!$K$4:$AJ$4,0)))+SUMPRODUCT((Inputs!$C$5:$C$200=$B9)*Inputs!$D$5:$D$200*(((Inputs!$G$5:$G$200="moeda")+(Inputs!$G$5:$G$200="acoes"))*Inputs!$B$1+((Inputs!$G$5:$G$200&lt;&gt;"moeda")*(Inputs!$G$5:$G$200&lt;&gt;"acoes")))*INDEX(Inputs!$K$5:$AJ$200,0,MATCH(AE$2,Inputs!$K$4:$AJ$4,0)))+SUMPRODUCT((Inputs!$E$5:$E$200=$B9)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9" s="6" t="e">
        <f>IF(ISNA(MATCH(AF$2,Inputs!$K$4:$AJ$4,0)),NA(),IF(SUMPRODUCT((Inputs!$A$5:$A$200=$B9)*ISNUMBER(INDEX(Inputs!$K$5:$AJ$200,0,MATCH(AF$2,Inputs!$K$4:$AJ$4,0))))+SUMPRODUCT((Inputs!$C$5:$C$200=$B9)*ISNUMBER(INDEX(Inputs!$K$5:$AJ$200,0,MATCH(AF$2,Inputs!$K$4:$AJ$4,0))))+SUMPRODUCT((Inputs!$E$5:$E$200=$B9)*ISNUMBER(INDEX(Inputs!$K$5:$AJ$200,0,MATCH(AF$2,Inputs!$K$4:$AJ$4,0))))=0,NA(),SUMPRODUCT((Inputs!$A$5:$A$200=$B9)*Inputs!$B$5:$B$200*(((Inputs!$G$5:$G$200="moeda")+(Inputs!$G$5:$G$200="acoes"))*Inputs!$B$1+((Inputs!$G$5:$G$200&lt;&gt;"moeda")*(Inputs!$G$5:$G$200&lt;&gt;"acoes")))*INDEX(Inputs!$K$5:$AJ$200,0,MATCH(AF$2,Inputs!$K$4:$AJ$4,0)))+SUMPRODUCT((Inputs!$C$5:$C$200=$B9)*Inputs!$D$5:$D$200*(((Inputs!$G$5:$G$200="moeda")+(Inputs!$G$5:$G$200="acoes"))*Inputs!$B$1+((Inputs!$G$5:$G$200&lt;&gt;"moeda")*(Inputs!$G$5:$G$200&lt;&gt;"acoes")))*INDEX(Inputs!$K$5:$AJ$200,0,MATCH(AF$2,Inputs!$K$4:$AJ$4,0)))+SUMPRODUCT((Inputs!$E$5:$E$200=$B9)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9" s="3" t="e">
        <f>SUM(AC9:AF9)</f>
        <v>#N/A</v>
      </c>
      <c r="AH9" s="6">
        <f>IF(ISNA(MATCH(AH$2,Inputs!$K$4:$AJ$4,0)),NA(),IF(SUMPRODUCT((Inputs!$A$5:$A$200=$B9)*ISNUMBER(INDEX(Inputs!$K$5:$AJ$200,0,MATCH(AH$2,Inputs!$K$4:$AJ$4,0))))+SUMPRODUCT((Inputs!$C$5:$C$200=$B9)*ISNUMBER(INDEX(Inputs!$K$5:$AJ$200,0,MATCH(AH$2,Inputs!$K$4:$AJ$4,0))))+SUMPRODUCT((Inputs!$E$5:$E$200=$B9)*ISNUMBER(INDEX(Inputs!$K$5:$AJ$200,0,MATCH(AH$2,Inputs!$K$4:$AJ$4,0))))=0,NA(),SUMPRODUCT((Inputs!$A$5:$A$200=$B9)*Inputs!$B$5:$B$200*(((Inputs!$G$5:$G$200="moeda")+(Inputs!$G$5:$G$200="acoes"))*Inputs!$B$1+((Inputs!$G$5:$G$200&lt;&gt;"moeda")*(Inputs!$G$5:$G$200&lt;&gt;"acoes")))*INDEX(Inputs!$K$5:$AJ$200,0,MATCH(AH$2,Inputs!$K$4:$AJ$4,0)))+SUMPRODUCT((Inputs!$C$5:$C$200=$B9)*Inputs!$D$5:$D$200*(((Inputs!$G$5:$G$200="moeda")+(Inputs!$G$5:$G$200="acoes"))*Inputs!$B$1+((Inputs!$G$5:$G$200&lt;&gt;"moeda")*(Inputs!$G$5:$G$200&lt;&gt;"acoes")))*INDEX(Inputs!$K$5:$AJ$200,0,MATCH(AH$2,Inputs!$K$4:$AJ$4,0)))+SUMPRODUCT((Inputs!$E$5:$E$200=$B9)*Inputs!$F$5:$F$200*(((Inputs!$G$5:$G$200="moeda")+(Inputs!$G$5:$G$200="acoes"))*Inputs!$B$1+((Inputs!$G$5:$G$200&lt;&gt;"moeda")*(Inputs!$G$5:$G$200&lt;&gt;"acoes")))*INDEX(Inputs!$K$5:$AJ$200,0,MATCH(AH$2,Inputs!$K$4:$AJ$4,0)))))</f>
        <v>0.708</v>
      </c>
      <c r="AI9" s="6">
        <f>IF(ISNA(MATCH(AI$2,Inputs!$K$4:$AJ$4,0)),NA(),IF(SUMPRODUCT((Inputs!$A$5:$A$200=$B9)*ISNUMBER(INDEX(Inputs!$K$5:$AJ$200,0,MATCH(AI$2,Inputs!$K$4:$AJ$4,0))))+SUMPRODUCT((Inputs!$C$5:$C$200=$B9)*ISNUMBER(INDEX(Inputs!$K$5:$AJ$200,0,MATCH(AI$2,Inputs!$K$4:$AJ$4,0))))+SUMPRODUCT((Inputs!$E$5:$E$200=$B9)*ISNUMBER(INDEX(Inputs!$K$5:$AJ$200,0,MATCH(AI$2,Inputs!$K$4:$AJ$4,0))))=0,NA(),SUMPRODUCT((Inputs!$A$5:$A$200=$B9)*Inputs!$B$5:$B$200*(((Inputs!$G$5:$G$200="moeda")+(Inputs!$G$5:$G$200="acoes"))*Inputs!$B$1+((Inputs!$G$5:$G$200&lt;&gt;"moeda")*(Inputs!$G$5:$G$200&lt;&gt;"acoes")))*INDEX(Inputs!$K$5:$AJ$200,0,MATCH(AI$2,Inputs!$K$4:$AJ$4,0)))+SUMPRODUCT((Inputs!$C$5:$C$200=$B9)*Inputs!$D$5:$D$200*(((Inputs!$G$5:$G$200="moeda")+(Inputs!$G$5:$G$200="acoes"))*Inputs!$B$1+((Inputs!$G$5:$G$200&lt;&gt;"moeda")*(Inputs!$G$5:$G$200&lt;&gt;"acoes")))*INDEX(Inputs!$K$5:$AJ$200,0,MATCH(AI$2,Inputs!$K$4:$AJ$4,0)))+SUMPRODUCT((Inputs!$E$5:$E$200=$B9)*Inputs!$F$5:$F$200*(((Inputs!$G$5:$G$200="moeda")+(Inputs!$G$5:$G$200="acoes"))*Inputs!$B$1+((Inputs!$G$5:$G$200&lt;&gt;"moeda")*(Inputs!$G$5:$G$200&lt;&gt;"acoes")))*INDEX(Inputs!$K$5:$AJ$200,0,MATCH(AI$2,Inputs!$K$4:$AJ$4,0)))))</f>
        <v>25.852</v>
      </c>
      <c r="AJ9" s="6">
        <f>IF(ISNA(MATCH(AJ$2,Inputs!$K$4:$AJ$4,0)),NA(),IF(SUMPRODUCT((Inputs!$A$5:$A$200=$B9)*ISNUMBER(INDEX(Inputs!$K$5:$AJ$200,0,MATCH(AJ$2,Inputs!$K$4:$AJ$4,0))))+SUMPRODUCT((Inputs!$C$5:$C$200=$B9)*ISNUMBER(INDEX(Inputs!$K$5:$AJ$200,0,MATCH(AJ$2,Inputs!$K$4:$AJ$4,0))))+SUMPRODUCT((Inputs!$E$5:$E$200=$B9)*ISNUMBER(INDEX(Inputs!$K$5:$AJ$200,0,MATCH(AJ$2,Inputs!$K$4:$AJ$4,0))))=0,NA(),SUMPRODUCT((Inputs!$A$5:$A$200=$B9)*Inputs!$B$5:$B$200*(((Inputs!$G$5:$G$200="moeda")+(Inputs!$G$5:$G$200="acoes"))*Inputs!$B$1+((Inputs!$G$5:$G$200&lt;&gt;"moeda")*(Inputs!$G$5:$G$200&lt;&gt;"acoes")))*INDEX(Inputs!$K$5:$AJ$200,0,MATCH(AJ$2,Inputs!$K$4:$AJ$4,0)))+SUMPRODUCT((Inputs!$C$5:$C$200=$B9)*Inputs!$D$5:$D$200*(((Inputs!$G$5:$G$200="moeda")+(Inputs!$G$5:$G$200="acoes"))*Inputs!$B$1+((Inputs!$G$5:$G$200&lt;&gt;"moeda")*(Inputs!$G$5:$G$200&lt;&gt;"acoes")))*INDEX(Inputs!$K$5:$AJ$200,0,MATCH(AJ$2,Inputs!$K$4:$AJ$4,0)))+SUMPRODUCT((Inputs!$E$5:$E$200=$B9)*Inputs!$F$5:$F$200*(((Inputs!$G$5:$G$200="moeda")+(Inputs!$G$5:$G$200="acoes"))*Inputs!$B$1+((Inputs!$G$5:$G$200&lt;&gt;"moeda")*(Inputs!$G$5:$G$200&lt;&gt;"acoes")))*INDEX(Inputs!$K$5:$AJ$200,0,MATCH(AJ$2,Inputs!$K$4:$AJ$4,0)))))</f>
        <v>3.182</v>
      </c>
      <c r="AK9" s="6">
        <f>IF(ISNA(MATCH(AK$2,Inputs!$K$4:$AJ$4,0)),NA(),IF(SUMPRODUCT((Inputs!$A$5:$A$200=$B9)*ISNUMBER(INDEX(Inputs!$K$5:$AJ$200,0,MATCH(AK$2,Inputs!$K$4:$AJ$4,0))))+SUMPRODUCT((Inputs!$C$5:$C$200=$B9)*ISNUMBER(INDEX(Inputs!$K$5:$AJ$200,0,MATCH(AK$2,Inputs!$K$4:$AJ$4,0))))+SUMPRODUCT((Inputs!$E$5:$E$200=$B9)*ISNUMBER(INDEX(Inputs!$K$5:$AJ$200,0,MATCH(AK$2,Inputs!$K$4:$AJ$4,0))))=0,NA(),SUMPRODUCT((Inputs!$A$5:$A$200=$B9)*Inputs!$B$5:$B$200*(((Inputs!$G$5:$G$200="moeda")+(Inputs!$G$5:$G$200="acoes"))*Inputs!$B$1+((Inputs!$G$5:$G$200&lt;&gt;"moeda")*(Inputs!$G$5:$G$200&lt;&gt;"acoes")))*INDEX(Inputs!$K$5:$AJ$200,0,MATCH(AK$2,Inputs!$K$4:$AJ$4,0)))+SUMPRODUCT((Inputs!$C$5:$C$200=$B9)*Inputs!$D$5:$D$200*(((Inputs!$G$5:$G$200="moeda")+(Inputs!$G$5:$G$200="acoes"))*Inputs!$B$1+((Inputs!$G$5:$G$200&lt;&gt;"moeda")*(Inputs!$G$5:$G$200&lt;&gt;"acoes")))*INDEX(Inputs!$K$5:$AJ$200,0,MATCH(AK$2,Inputs!$K$4:$AJ$4,0)))+SUMPRODUCT((Inputs!$E$5:$E$200=$B9)*Inputs!$F$5:$F$200*(((Inputs!$G$5:$G$200="moeda")+(Inputs!$G$5:$G$200="acoes"))*Inputs!$B$1+((Inputs!$G$5:$G$200&lt;&gt;"moeda")*(Inputs!$G$5:$G$200&lt;&gt;"acoes")))*INDEX(Inputs!$K$5:$AJ$200,0,MATCH(AK$2,Inputs!$K$4:$AJ$4,0)))))</f>
        <v>-3.268</v>
      </c>
      <c r="AL9" s="3">
        <f>SUM(AH9:AK9)</f>
        <v>26.474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$200=$B10)*ISNUMBER(INDEX(Inputs!$K$5:$AJ$200,0,MATCH(D$2,Inputs!$K$4:$AJ$4,0))))+SUMPRODUCT((Inputs!$C$5:$C$200=$B10)*ISNUMBER(INDEX(Inputs!$K$5:$AJ$200,0,MATCH(D$2,Inputs!$K$4:$AJ$4,0))))+SUMPRODUCT((Inputs!$E$5:$E$200=$B10)*ISNUMBER(INDEX(Inputs!$K$5:$AJ$200,0,MATCH(D$2,Inputs!$K$4:$AJ$4,0))))=0,NA(),SUMPRODUCT((Inputs!$A$5:$A$200=$B10)*Inputs!$B$5:$B$200*(((Inputs!$G$5:$G$200="moeda")+(Inputs!$G$5:$G$200="acoes"))*Inputs!$B$1+((Inputs!$G$5:$G$200&lt;&gt;"moeda")*(Inputs!$G$5:$G$200&lt;&gt;"acoes")))*INDEX(Inputs!$K$5:$AJ$200,0,MATCH(D$2,Inputs!$K$4:$AJ$4,0)))+SUMPRODUCT((Inputs!$C$5:$C$200=$B10)*Inputs!$D$5:$D$200*(((Inputs!$G$5:$G$200="moeda")+(Inputs!$G$5:$G$200="acoes"))*Inputs!$B$1+((Inputs!$G$5:$G$200&lt;&gt;"moeda")*(Inputs!$G$5:$G$200&lt;&gt;"acoes")))*INDEX(Inputs!$K$5:$AJ$200,0,MATCH(D$2,Inputs!$K$4:$AJ$4,0)))+SUMPRODUCT((Inputs!$E$5:$E$200=$B10)*Inputs!$F$5:$F$200*(((Inputs!$G$5:$G$200="moeda")+(Inputs!$G$5:$G$200="acoes"))*Inputs!$B$1+((Inputs!$G$5:$G$200&lt;&gt;"moeda")*(Inputs!$G$5:$G$200&lt;&gt;"acoes")))*INDEX(Inputs!$K$5:$AJ$200,0,MATCH(D$2,Inputs!$K$4:$AJ$4,0)))))</f>
        <v>-2.195</v>
      </c>
      <c r="E10" s="6">
        <f>IF(ISNA(MATCH(E$2,Inputs!$K$4:$AJ$4,0)),NA(),IF(SUMPRODUCT((Inputs!$A$5:$A$200=$B10)*ISNUMBER(INDEX(Inputs!$K$5:$AJ$200,0,MATCH(E$2,Inputs!$K$4:$AJ$4,0))))+SUMPRODUCT((Inputs!$C$5:$C$200=$B10)*ISNUMBER(INDEX(Inputs!$K$5:$AJ$200,0,MATCH(E$2,Inputs!$K$4:$AJ$4,0))))+SUMPRODUCT((Inputs!$E$5:$E$200=$B10)*ISNUMBER(INDEX(Inputs!$K$5:$AJ$200,0,MATCH(E$2,Inputs!$K$4:$AJ$4,0))))=0,NA(),SUMPRODUCT((Inputs!$A$5:$A$200=$B10)*Inputs!$B$5:$B$200*(((Inputs!$G$5:$G$200="moeda")+(Inputs!$G$5:$G$200="acoes"))*Inputs!$B$1+((Inputs!$G$5:$G$200&lt;&gt;"moeda")*(Inputs!$G$5:$G$200&lt;&gt;"acoes")))*INDEX(Inputs!$K$5:$AJ$200,0,MATCH(E$2,Inputs!$K$4:$AJ$4,0)))+SUMPRODUCT((Inputs!$C$5:$C$200=$B10)*Inputs!$D$5:$D$200*(((Inputs!$G$5:$G$200="moeda")+(Inputs!$G$5:$G$200="acoes"))*Inputs!$B$1+((Inputs!$G$5:$G$200&lt;&gt;"moeda")*(Inputs!$G$5:$G$200&lt;&gt;"acoes")))*INDEX(Inputs!$K$5:$AJ$200,0,MATCH(E$2,Inputs!$K$4:$AJ$4,0)))+SUMPRODUCT((Inputs!$E$5:$E$200=$B10)*Inputs!$F$5:$F$200*(((Inputs!$G$5:$G$200="moeda")+(Inputs!$G$5:$G$200="acoes"))*Inputs!$B$1+((Inputs!$G$5:$G$200&lt;&gt;"moeda")*(Inputs!$G$5:$G$200&lt;&gt;"acoes")))*INDEX(Inputs!$K$5:$AJ$200,0,MATCH(E$2,Inputs!$K$4:$AJ$4,0)))))</f>
        <v>-4.937</v>
      </c>
      <c r="F10" s="6">
        <f>IF(ISNA(MATCH(F$2,Inputs!$K$4:$AJ$4,0)),NA(),IF(SUMPRODUCT((Inputs!$A$5:$A$200=$B10)*ISNUMBER(INDEX(Inputs!$K$5:$AJ$200,0,MATCH(F$2,Inputs!$K$4:$AJ$4,0))))+SUMPRODUCT((Inputs!$C$5:$C$200=$B10)*ISNUMBER(INDEX(Inputs!$K$5:$AJ$200,0,MATCH(F$2,Inputs!$K$4:$AJ$4,0))))+SUMPRODUCT((Inputs!$E$5:$E$200=$B10)*ISNUMBER(INDEX(Inputs!$K$5:$AJ$200,0,MATCH(F$2,Inputs!$K$4:$AJ$4,0))))=0,NA(),SUMPRODUCT((Inputs!$A$5:$A$200=$B10)*Inputs!$B$5:$B$200*(((Inputs!$G$5:$G$200="moeda")+(Inputs!$G$5:$G$200="acoes"))*Inputs!$B$1+((Inputs!$G$5:$G$200&lt;&gt;"moeda")*(Inputs!$G$5:$G$200&lt;&gt;"acoes")))*INDEX(Inputs!$K$5:$AJ$200,0,MATCH(F$2,Inputs!$K$4:$AJ$4,0)))+SUMPRODUCT((Inputs!$C$5:$C$200=$B10)*Inputs!$D$5:$D$200*(((Inputs!$G$5:$G$200="moeda")+(Inputs!$G$5:$G$200="acoes"))*Inputs!$B$1+((Inputs!$G$5:$G$200&lt;&gt;"moeda")*(Inputs!$G$5:$G$200&lt;&gt;"acoes")))*INDEX(Inputs!$K$5:$AJ$200,0,MATCH(F$2,Inputs!$K$4:$AJ$4,0)))+SUMPRODUCT((Inputs!$E$5:$E$200=$B10)*Inputs!$F$5:$F$200*(((Inputs!$G$5:$G$200="moeda")+(Inputs!$G$5:$G$200="acoes"))*Inputs!$B$1+((Inputs!$G$5:$G$200&lt;&gt;"moeda")*(Inputs!$G$5:$G$200&lt;&gt;"acoes")))*INDEX(Inputs!$K$5:$AJ$200,0,MATCH(F$2,Inputs!$K$4:$AJ$4,0)))))</f>
        <v>-6.923</v>
      </c>
      <c r="G10" s="6">
        <f>IF(ISNA(MATCH(G$2,Inputs!$K$4:$AJ$4,0)),NA(),IF(SUMPRODUCT((Inputs!$A$5:$A$200=$B10)*ISNUMBER(INDEX(Inputs!$K$5:$AJ$200,0,MATCH(G$2,Inputs!$K$4:$AJ$4,0))))+SUMPRODUCT((Inputs!$C$5:$C$200=$B10)*ISNUMBER(INDEX(Inputs!$K$5:$AJ$200,0,MATCH(G$2,Inputs!$K$4:$AJ$4,0))))+SUMPRODUCT((Inputs!$E$5:$E$200=$B10)*ISNUMBER(INDEX(Inputs!$K$5:$AJ$200,0,MATCH(G$2,Inputs!$K$4:$AJ$4,0))))=0,NA(),SUMPRODUCT((Inputs!$A$5:$A$200=$B10)*Inputs!$B$5:$B$200*(((Inputs!$G$5:$G$200="moeda")+(Inputs!$G$5:$G$200="acoes"))*Inputs!$B$1+((Inputs!$G$5:$G$200&lt;&gt;"moeda")*(Inputs!$G$5:$G$200&lt;&gt;"acoes")))*INDEX(Inputs!$K$5:$AJ$200,0,MATCH(G$2,Inputs!$K$4:$AJ$4,0)))+SUMPRODUCT((Inputs!$C$5:$C$200=$B10)*Inputs!$D$5:$D$200*(((Inputs!$G$5:$G$200="moeda")+(Inputs!$G$5:$G$200="acoes"))*Inputs!$B$1+((Inputs!$G$5:$G$200&lt;&gt;"moeda")*(Inputs!$G$5:$G$200&lt;&gt;"acoes")))*INDEX(Inputs!$K$5:$AJ$200,0,MATCH(G$2,Inputs!$K$4:$AJ$4,0)))+SUMPRODUCT((Inputs!$E$5:$E$200=$B10)*Inputs!$F$5:$F$200*(((Inputs!$G$5:$G$200="moeda")+(Inputs!$G$5:$G$200="acoes"))*Inputs!$B$1+((Inputs!$G$5:$G$200&lt;&gt;"moeda")*(Inputs!$G$5:$G$200&lt;&gt;"acoes")))*INDEX(Inputs!$K$5:$AJ$200,0,MATCH(G$2,Inputs!$K$4:$AJ$4,0)))))</f>
        <v>-21.959</v>
      </c>
      <c r="H10" s="3">
        <f>SUM(D10:G10)</f>
        <v>-36.014</v>
      </c>
      <c r="I10" s="6">
        <f>IF(ISNA(MATCH(I$2,Inputs!$K$4:$AJ$4,0)),NA(),IF(SUMPRODUCT((Inputs!$A$5:$A$200=$B10)*ISNUMBER(INDEX(Inputs!$K$5:$AJ$200,0,MATCH(I$2,Inputs!$K$4:$AJ$4,0))))+SUMPRODUCT((Inputs!$C$5:$C$200=$B10)*ISNUMBER(INDEX(Inputs!$K$5:$AJ$200,0,MATCH(I$2,Inputs!$K$4:$AJ$4,0))))+SUMPRODUCT((Inputs!$E$5:$E$200=$B10)*ISNUMBER(INDEX(Inputs!$K$5:$AJ$200,0,MATCH(I$2,Inputs!$K$4:$AJ$4,0))))=0,NA(),SUMPRODUCT((Inputs!$A$5:$A$200=$B10)*Inputs!$B$5:$B$200*(((Inputs!$G$5:$G$200="moeda")+(Inputs!$G$5:$G$200="acoes"))*Inputs!$B$1+((Inputs!$G$5:$G$200&lt;&gt;"moeda")*(Inputs!$G$5:$G$200&lt;&gt;"acoes")))*INDEX(Inputs!$K$5:$AJ$200,0,MATCH(I$2,Inputs!$K$4:$AJ$4,0)))+SUMPRODUCT((Inputs!$C$5:$C$200=$B10)*Inputs!$D$5:$D$200*(((Inputs!$G$5:$G$200="moeda")+(Inputs!$G$5:$G$200="acoes"))*Inputs!$B$1+((Inputs!$G$5:$G$200&lt;&gt;"moeda")*(Inputs!$G$5:$G$200&lt;&gt;"acoes")))*INDEX(Inputs!$K$5:$AJ$200,0,MATCH(I$2,Inputs!$K$4:$AJ$4,0)))+SUMPRODUCT((Inputs!$E$5:$E$200=$B10)*Inputs!$F$5:$F$200*(((Inputs!$G$5:$G$200="moeda")+(Inputs!$G$5:$G$200="acoes"))*Inputs!$B$1+((Inputs!$G$5:$G$200&lt;&gt;"moeda")*(Inputs!$G$5:$G$200&lt;&gt;"acoes")))*INDEX(Inputs!$K$5:$AJ$200,0,MATCH(I$2,Inputs!$K$4:$AJ$4,0)))))</f>
        <v>-4.231</v>
      </c>
      <c r="J10" s="6">
        <f>IF(ISNA(MATCH(J$2,Inputs!$K$4:$AJ$4,0)),NA(),IF(SUMPRODUCT((Inputs!$A$5:$A$200=$B10)*ISNUMBER(INDEX(Inputs!$K$5:$AJ$200,0,MATCH(J$2,Inputs!$K$4:$AJ$4,0))))+SUMPRODUCT((Inputs!$C$5:$C$200=$B10)*ISNUMBER(INDEX(Inputs!$K$5:$AJ$200,0,MATCH(J$2,Inputs!$K$4:$AJ$4,0))))+SUMPRODUCT((Inputs!$E$5:$E$200=$B10)*ISNUMBER(INDEX(Inputs!$K$5:$AJ$200,0,MATCH(J$2,Inputs!$K$4:$AJ$4,0))))=0,NA(),SUMPRODUCT((Inputs!$A$5:$A$200=$B10)*Inputs!$B$5:$B$200*(((Inputs!$G$5:$G$200="moeda")+(Inputs!$G$5:$G$200="acoes"))*Inputs!$B$1+((Inputs!$G$5:$G$200&lt;&gt;"moeda")*(Inputs!$G$5:$G$200&lt;&gt;"acoes")))*INDEX(Inputs!$K$5:$AJ$200,0,MATCH(J$2,Inputs!$K$4:$AJ$4,0)))+SUMPRODUCT((Inputs!$C$5:$C$200=$B10)*Inputs!$D$5:$D$200*(((Inputs!$G$5:$G$200="moeda")+(Inputs!$G$5:$G$200="acoes"))*Inputs!$B$1+((Inputs!$G$5:$G$200&lt;&gt;"moeda")*(Inputs!$G$5:$G$200&lt;&gt;"acoes")))*INDEX(Inputs!$K$5:$AJ$200,0,MATCH(J$2,Inputs!$K$4:$AJ$4,0)))+SUMPRODUCT((Inputs!$E$5:$E$200=$B10)*Inputs!$F$5:$F$200*(((Inputs!$G$5:$G$200="moeda")+(Inputs!$G$5:$G$200="acoes"))*Inputs!$B$1+((Inputs!$G$5:$G$200&lt;&gt;"moeda")*(Inputs!$G$5:$G$200&lt;&gt;"acoes")))*INDEX(Inputs!$K$5:$AJ$200,0,MATCH(J$2,Inputs!$K$4:$AJ$4,0)))))</f>
        <v>-18.959</v>
      </c>
      <c r="K10" s="6">
        <f>IF(ISNA(MATCH(K$2,Inputs!$K$4:$AJ$4,0)),NA(),IF(SUMPRODUCT((Inputs!$A$5:$A$200=$B10)*ISNUMBER(INDEX(Inputs!$K$5:$AJ$200,0,MATCH(K$2,Inputs!$K$4:$AJ$4,0))))+SUMPRODUCT((Inputs!$C$5:$C$200=$B10)*ISNUMBER(INDEX(Inputs!$K$5:$AJ$200,0,MATCH(K$2,Inputs!$K$4:$AJ$4,0))))+SUMPRODUCT((Inputs!$E$5:$E$200=$B10)*ISNUMBER(INDEX(Inputs!$K$5:$AJ$200,0,MATCH(K$2,Inputs!$K$4:$AJ$4,0))))=0,NA(),SUMPRODUCT((Inputs!$A$5:$A$200=$B10)*Inputs!$B$5:$B$200*(((Inputs!$G$5:$G$200="moeda")+(Inputs!$G$5:$G$200="acoes"))*Inputs!$B$1+((Inputs!$G$5:$G$200&lt;&gt;"moeda")*(Inputs!$G$5:$G$200&lt;&gt;"acoes")))*INDEX(Inputs!$K$5:$AJ$200,0,MATCH(K$2,Inputs!$K$4:$AJ$4,0)))+SUMPRODUCT((Inputs!$C$5:$C$200=$B10)*Inputs!$D$5:$D$200*(((Inputs!$G$5:$G$200="moeda")+(Inputs!$G$5:$G$200="acoes"))*Inputs!$B$1+((Inputs!$G$5:$G$200&lt;&gt;"moeda")*(Inputs!$G$5:$G$200&lt;&gt;"acoes")))*INDEX(Inputs!$K$5:$AJ$200,0,MATCH(K$2,Inputs!$K$4:$AJ$4,0)))+SUMPRODUCT((Inputs!$E$5:$E$200=$B10)*Inputs!$F$5:$F$200*(((Inputs!$G$5:$G$200="moeda")+(Inputs!$G$5:$G$200="acoes"))*Inputs!$B$1+((Inputs!$G$5:$G$200&lt;&gt;"moeda")*(Inputs!$G$5:$G$200&lt;&gt;"acoes")))*INDEX(Inputs!$K$5:$AJ$200,0,MATCH(K$2,Inputs!$K$4:$AJ$4,0)))))</f>
        <v>-14.78</v>
      </c>
      <c r="L10" s="6">
        <f>IF(ISNA(MATCH(L$2,Inputs!$K$4:$AJ$4,0)),NA(),IF(SUMPRODUCT((Inputs!$A$5:$A$200=$B10)*ISNUMBER(INDEX(Inputs!$K$5:$AJ$200,0,MATCH(L$2,Inputs!$K$4:$AJ$4,0))))+SUMPRODUCT((Inputs!$C$5:$C$200=$B10)*ISNUMBER(INDEX(Inputs!$K$5:$AJ$200,0,MATCH(L$2,Inputs!$K$4:$AJ$4,0))))+SUMPRODUCT((Inputs!$E$5:$E$200=$B10)*ISNUMBER(INDEX(Inputs!$K$5:$AJ$200,0,MATCH(L$2,Inputs!$K$4:$AJ$4,0))))=0,NA(),SUMPRODUCT((Inputs!$A$5:$A$200=$B10)*Inputs!$B$5:$B$200*(((Inputs!$G$5:$G$200="moeda")+(Inputs!$G$5:$G$200="acoes"))*Inputs!$B$1+((Inputs!$G$5:$G$200&lt;&gt;"moeda")*(Inputs!$G$5:$G$200&lt;&gt;"acoes")))*INDEX(Inputs!$K$5:$AJ$200,0,MATCH(L$2,Inputs!$K$4:$AJ$4,0)))+SUMPRODUCT((Inputs!$C$5:$C$200=$B10)*Inputs!$D$5:$D$200*(((Inputs!$G$5:$G$200="moeda")+(Inputs!$G$5:$G$200="acoes"))*Inputs!$B$1+((Inputs!$G$5:$G$200&lt;&gt;"moeda")*(Inputs!$G$5:$G$200&lt;&gt;"acoes")))*INDEX(Inputs!$K$5:$AJ$200,0,MATCH(L$2,Inputs!$K$4:$AJ$4,0)))+SUMPRODUCT((Inputs!$E$5:$E$200=$B10)*Inputs!$F$5:$F$200*(((Inputs!$G$5:$G$200="moeda")+(Inputs!$G$5:$G$200="acoes"))*Inputs!$B$1+((Inputs!$G$5:$G$200&lt;&gt;"moeda")*(Inputs!$G$5:$G$200&lt;&gt;"acoes")))*INDEX(Inputs!$K$5:$AJ$200,0,MATCH(L$2,Inputs!$K$4:$AJ$4,0)))))</f>
        <v>-8.64</v>
      </c>
      <c r="M10" s="3">
        <f>SUM(I10:L10)</f>
        <v>-46.61</v>
      </c>
      <c r="N10" s="6">
        <f>IF(ISNA(MATCH(N$2,Inputs!$K$4:$AJ$4,0)),NA(),IF(SUMPRODUCT((Inputs!$A$5:$A$200=$B10)*ISNUMBER(INDEX(Inputs!$K$5:$AJ$200,0,MATCH(N$2,Inputs!$K$4:$AJ$4,0))))+SUMPRODUCT((Inputs!$C$5:$C$200=$B10)*ISNUMBER(INDEX(Inputs!$K$5:$AJ$200,0,MATCH(N$2,Inputs!$K$4:$AJ$4,0))))+SUMPRODUCT((Inputs!$E$5:$E$200=$B10)*ISNUMBER(INDEX(Inputs!$K$5:$AJ$200,0,MATCH(N$2,Inputs!$K$4:$AJ$4,0))))=0,NA(),SUMPRODUCT((Inputs!$A$5:$A$200=$B10)*Inputs!$B$5:$B$200*(((Inputs!$G$5:$G$200="moeda")+(Inputs!$G$5:$G$200="acoes"))*Inputs!$B$1+((Inputs!$G$5:$G$200&lt;&gt;"moeda")*(Inputs!$G$5:$G$200&lt;&gt;"acoes")))*INDEX(Inputs!$K$5:$AJ$200,0,MATCH(N$2,Inputs!$K$4:$AJ$4,0)))+SUMPRODUCT((Inputs!$C$5:$C$200=$B10)*Inputs!$D$5:$D$200*(((Inputs!$G$5:$G$200="moeda")+(Inputs!$G$5:$G$200="acoes"))*Inputs!$B$1+((Inputs!$G$5:$G$200&lt;&gt;"moeda")*(Inputs!$G$5:$G$200&lt;&gt;"acoes")))*INDEX(Inputs!$K$5:$AJ$200,0,MATCH(N$2,Inputs!$K$4:$AJ$4,0)))+SUMPRODUCT((Inputs!$E$5:$E$200=$B10)*Inputs!$F$5:$F$200*(((Inputs!$G$5:$G$200="moeda")+(Inputs!$G$5:$G$200="acoes"))*Inputs!$B$1+((Inputs!$G$5:$G$200&lt;&gt;"moeda")*(Inputs!$G$5:$G$200&lt;&gt;"acoes")))*INDEX(Inputs!$K$5:$AJ$200,0,MATCH(N$2,Inputs!$K$4:$AJ$4,0)))))</f>
        <v>-7.213</v>
      </c>
      <c r="O10" s="6">
        <f>IF(ISNA(MATCH(O$2,Inputs!$K$4:$AJ$4,0)),NA(),IF(SUMPRODUCT((Inputs!$A$5:$A$200=$B10)*ISNUMBER(INDEX(Inputs!$K$5:$AJ$200,0,MATCH(O$2,Inputs!$K$4:$AJ$4,0))))+SUMPRODUCT((Inputs!$C$5:$C$200=$B10)*ISNUMBER(INDEX(Inputs!$K$5:$AJ$200,0,MATCH(O$2,Inputs!$K$4:$AJ$4,0))))+SUMPRODUCT((Inputs!$E$5:$E$200=$B10)*ISNUMBER(INDEX(Inputs!$K$5:$AJ$200,0,MATCH(O$2,Inputs!$K$4:$AJ$4,0))))=0,NA(),SUMPRODUCT((Inputs!$A$5:$A$200=$B10)*Inputs!$B$5:$B$200*(((Inputs!$G$5:$G$200="moeda")+(Inputs!$G$5:$G$200="acoes"))*Inputs!$B$1+((Inputs!$G$5:$G$200&lt;&gt;"moeda")*(Inputs!$G$5:$G$200&lt;&gt;"acoes")))*INDEX(Inputs!$K$5:$AJ$200,0,MATCH(O$2,Inputs!$K$4:$AJ$4,0)))+SUMPRODUCT((Inputs!$C$5:$C$200=$B10)*Inputs!$D$5:$D$200*(((Inputs!$G$5:$G$200="moeda")+(Inputs!$G$5:$G$200="acoes"))*Inputs!$B$1+((Inputs!$G$5:$G$200&lt;&gt;"moeda")*(Inputs!$G$5:$G$200&lt;&gt;"acoes")))*INDEX(Inputs!$K$5:$AJ$200,0,MATCH(O$2,Inputs!$K$4:$AJ$4,0)))+SUMPRODUCT((Inputs!$E$5:$E$200=$B10)*Inputs!$F$5:$F$200*(((Inputs!$G$5:$G$200="moeda")+(Inputs!$G$5:$G$200="acoes"))*Inputs!$B$1+((Inputs!$G$5:$G$200&lt;&gt;"moeda")*(Inputs!$G$5:$G$200&lt;&gt;"acoes")))*INDEX(Inputs!$K$5:$AJ$200,0,MATCH(O$2,Inputs!$K$4:$AJ$4,0)))))</f>
        <v>-9.89</v>
      </c>
      <c r="P10" s="6">
        <f>IF(ISNA(MATCH(P$2,Inputs!$K$4:$AJ$4,0)),NA(),IF(SUMPRODUCT((Inputs!$A$5:$A$200=$B10)*ISNUMBER(INDEX(Inputs!$K$5:$AJ$200,0,MATCH(P$2,Inputs!$K$4:$AJ$4,0))))+SUMPRODUCT((Inputs!$C$5:$C$200=$B10)*ISNUMBER(INDEX(Inputs!$K$5:$AJ$200,0,MATCH(P$2,Inputs!$K$4:$AJ$4,0))))+SUMPRODUCT((Inputs!$E$5:$E$200=$B10)*ISNUMBER(INDEX(Inputs!$K$5:$AJ$200,0,MATCH(P$2,Inputs!$K$4:$AJ$4,0))))=0,NA(),SUMPRODUCT((Inputs!$A$5:$A$200=$B10)*Inputs!$B$5:$B$200*(((Inputs!$G$5:$G$200="moeda")+(Inputs!$G$5:$G$200="acoes"))*Inputs!$B$1+((Inputs!$G$5:$G$200&lt;&gt;"moeda")*(Inputs!$G$5:$G$200&lt;&gt;"acoes")))*INDEX(Inputs!$K$5:$AJ$200,0,MATCH(P$2,Inputs!$K$4:$AJ$4,0)))+SUMPRODUCT((Inputs!$C$5:$C$200=$B10)*Inputs!$D$5:$D$200*(((Inputs!$G$5:$G$200="moeda")+(Inputs!$G$5:$G$200="acoes"))*Inputs!$B$1+((Inputs!$G$5:$G$200&lt;&gt;"moeda")*(Inputs!$G$5:$G$200&lt;&gt;"acoes")))*INDEX(Inputs!$K$5:$AJ$200,0,MATCH(P$2,Inputs!$K$4:$AJ$4,0)))+SUMPRODUCT((Inputs!$E$5:$E$200=$B10)*Inputs!$F$5:$F$200*(((Inputs!$G$5:$G$200="moeda")+(Inputs!$G$5:$G$200="acoes"))*Inputs!$B$1+((Inputs!$G$5:$G$200&lt;&gt;"moeda")*(Inputs!$G$5:$G$200&lt;&gt;"acoes")))*INDEX(Inputs!$K$5:$AJ$200,0,MATCH(P$2,Inputs!$K$4:$AJ$4,0)))))</f>
        <v>-6.123</v>
      </c>
      <c r="Q10" s="6">
        <f>IF(ISNA(MATCH(Q$2,Inputs!$K$4:$AJ$4,0)),NA(),IF(SUMPRODUCT((Inputs!$A$5:$A$200=$B10)*ISNUMBER(INDEX(Inputs!$K$5:$AJ$200,0,MATCH(Q$2,Inputs!$K$4:$AJ$4,0))))+SUMPRODUCT((Inputs!$C$5:$C$200=$B10)*ISNUMBER(INDEX(Inputs!$K$5:$AJ$200,0,MATCH(Q$2,Inputs!$K$4:$AJ$4,0))))+SUMPRODUCT((Inputs!$E$5:$E$200=$B10)*ISNUMBER(INDEX(Inputs!$K$5:$AJ$200,0,MATCH(Q$2,Inputs!$K$4:$AJ$4,0))))=0,NA(),SUMPRODUCT((Inputs!$A$5:$A$200=$B10)*Inputs!$B$5:$B$200*(((Inputs!$G$5:$G$200="moeda")+(Inputs!$G$5:$G$200="acoes"))*Inputs!$B$1+((Inputs!$G$5:$G$200&lt;&gt;"moeda")*(Inputs!$G$5:$G$200&lt;&gt;"acoes")))*INDEX(Inputs!$K$5:$AJ$200,0,MATCH(Q$2,Inputs!$K$4:$AJ$4,0)))+SUMPRODUCT((Inputs!$C$5:$C$200=$B10)*Inputs!$D$5:$D$200*(((Inputs!$G$5:$G$200="moeda")+(Inputs!$G$5:$G$200="acoes"))*Inputs!$B$1+((Inputs!$G$5:$G$200&lt;&gt;"moeda")*(Inputs!$G$5:$G$200&lt;&gt;"acoes")))*INDEX(Inputs!$K$5:$AJ$200,0,MATCH(Q$2,Inputs!$K$4:$AJ$4,0)))+SUMPRODUCT((Inputs!$E$5:$E$200=$B10)*Inputs!$F$5:$F$200*(((Inputs!$G$5:$G$200="moeda")+(Inputs!$G$5:$G$200="acoes"))*Inputs!$B$1+((Inputs!$G$5:$G$200&lt;&gt;"moeda")*(Inputs!$G$5:$G$200&lt;&gt;"acoes")))*INDEX(Inputs!$K$5:$AJ$200,0,MATCH(Q$2,Inputs!$K$4:$AJ$4,0)))))</f>
        <v>2.477</v>
      </c>
      <c r="R10" s="3">
        <f>SUM(N10:Q10)</f>
        <v>-20.749</v>
      </c>
      <c r="S10" s="6">
        <f>IF(ISNA(MATCH(S$2,Inputs!$K$4:$AJ$4,0)),NA(),IF(SUMPRODUCT((Inputs!$A$5:$A$200=$B10)*ISNUMBER(INDEX(Inputs!$K$5:$AJ$200,0,MATCH(S$2,Inputs!$K$4:$AJ$4,0))))+SUMPRODUCT((Inputs!$C$5:$C$200=$B10)*ISNUMBER(INDEX(Inputs!$K$5:$AJ$200,0,MATCH(S$2,Inputs!$K$4:$AJ$4,0))))+SUMPRODUCT((Inputs!$E$5:$E$200=$B10)*ISNUMBER(INDEX(Inputs!$K$5:$AJ$200,0,MATCH(S$2,Inputs!$K$4:$AJ$4,0))))=0,NA(),SUMPRODUCT((Inputs!$A$5:$A$200=$B10)*Inputs!$B$5:$B$200*(((Inputs!$G$5:$G$200="moeda")+(Inputs!$G$5:$G$200="acoes"))*Inputs!$B$1+((Inputs!$G$5:$G$200&lt;&gt;"moeda")*(Inputs!$G$5:$G$200&lt;&gt;"acoes")))*INDEX(Inputs!$K$5:$AJ$200,0,MATCH(S$2,Inputs!$K$4:$AJ$4,0)))+SUMPRODUCT((Inputs!$C$5:$C$200=$B10)*Inputs!$D$5:$D$200*(((Inputs!$G$5:$G$200="moeda")+(Inputs!$G$5:$G$200="acoes"))*Inputs!$B$1+((Inputs!$G$5:$G$200&lt;&gt;"moeda")*(Inputs!$G$5:$G$200&lt;&gt;"acoes")))*INDEX(Inputs!$K$5:$AJ$200,0,MATCH(S$2,Inputs!$K$4:$AJ$4,0)))+SUMPRODUCT((Inputs!$E$5:$E$200=$B10)*Inputs!$F$5:$F$200*(((Inputs!$G$5:$G$200="moeda")+(Inputs!$G$5:$G$200="acoes"))*Inputs!$B$1+((Inputs!$G$5:$G$200&lt;&gt;"moeda")*(Inputs!$G$5:$G$200&lt;&gt;"acoes")))*INDEX(Inputs!$K$5:$AJ$200,0,MATCH(S$2,Inputs!$K$4:$AJ$4,0)))))</f>
        <v>-1.743</v>
      </c>
      <c r="T10" s="6">
        <f>IF(ISNA(MATCH(T$2,Inputs!$K$4:$AJ$4,0)),NA(),IF(SUMPRODUCT((Inputs!$A$5:$A$200=$B10)*ISNUMBER(INDEX(Inputs!$K$5:$AJ$200,0,MATCH(T$2,Inputs!$K$4:$AJ$4,0))))+SUMPRODUCT((Inputs!$C$5:$C$200=$B10)*ISNUMBER(INDEX(Inputs!$K$5:$AJ$200,0,MATCH(T$2,Inputs!$K$4:$AJ$4,0))))+SUMPRODUCT((Inputs!$E$5:$E$200=$B10)*ISNUMBER(INDEX(Inputs!$K$5:$AJ$200,0,MATCH(T$2,Inputs!$K$4:$AJ$4,0))))=0,NA(),SUMPRODUCT((Inputs!$A$5:$A$200=$B10)*Inputs!$B$5:$B$200*(((Inputs!$G$5:$G$200="moeda")+(Inputs!$G$5:$G$200="acoes"))*Inputs!$B$1+((Inputs!$G$5:$G$200&lt;&gt;"moeda")*(Inputs!$G$5:$G$200&lt;&gt;"acoes")))*INDEX(Inputs!$K$5:$AJ$200,0,MATCH(T$2,Inputs!$K$4:$AJ$4,0)))+SUMPRODUCT((Inputs!$C$5:$C$200=$B10)*Inputs!$D$5:$D$200*(((Inputs!$G$5:$G$200="moeda")+(Inputs!$G$5:$G$200="acoes"))*Inputs!$B$1+((Inputs!$G$5:$G$200&lt;&gt;"moeda")*(Inputs!$G$5:$G$200&lt;&gt;"acoes")))*INDEX(Inputs!$K$5:$AJ$200,0,MATCH(T$2,Inputs!$K$4:$AJ$4,0)))+SUMPRODUCT((Inputs!$E$5:$E$200=$B10)*Inputs!$F$5:$F$200*(((Inputs!$G$5:$G$200="moeda")+(Inputs!$G$5:$G$200="acoes"))*Inputs!$B$1+((Inputs!$G$5:$G$200&lt;&gt;"moeda")*(Inputs!$G$5:$G$200&lt;&gt;"acoes")))*INDEX(Inputs!$K$5:$AJ$200,0,MATCH(T$2,Inputs!$K$4:$AJ$4,0)))))</f>
        <v>-16.947</v>
      </c>
      <c r="U10" s="6">
        <f>IF(ISNA(MATCH(U$2,Inputs!$K$4:$AJ$4,0)),NA(),IF(SUMPRODUCT((Inputs!$A$5:$A$200=$B10)*ISNUMBER(INDEX(Inputs!$K$5:$AJ$200,0,MATCH(U$2,Inputs!$K$4:$AJ$4,0))))+SUMPRODUCT((Inputs!$C$5:$C$200=$B10)*ISNUMBER(INDEX(Inputs!$K$5:$AJ$200,0,MATCH(U$2,Inputs!$K$4:$AJ$4,0))))+SUMPRODUCT((Inputs!$E$5:$E$200=$B10)*ISNUMBER(INDEX(Inputs!$K$5:$AJ$200,0,MATCH(U$2,Inputs!$K$4:$AJ$4,0))))=0,NA(),SUMPRODUCT((Inputs!$A$5:$A$200=$B10)*Inputs!$B$5:$B$200*(((Inputs!$G$5:$G$200="moeda")+(Inputs!$G$5:$G$200="acoes"))*Inputs!$B$1+((Inputs!$G$5:$G$200&lt;&gt;"moeda")*(Inputs!$G$5:$G$200&lt;&gt;"acoes")))*INDEX(Inputs!$K$5:$AJ$200,0,MATCH(U$2,Inputs!$K$4:$AJ$4,0)))+SUMPRODUCT((Inputs!$C$5:$C$200=$B10)*Inputs!$D$5:$D$200*(((Inputs!$G$5:$G$200="moeda")+(Inputs!$G$5:$G$200="acoes"))*Inputs!$B$1+((Inputs!$G$5:$G$200&lt;&gt;"moeda")*(Inputs!$G$5:$G$200&lt;&gt;"acoes")))*INDEX(Inputs!$K$5:$AJ$200,0,MATCH(U$2,Inputs!$K$4:$AJ$4,0)))+SUMPRODUCT((Inputs!$E$5:$E$200=$B10)*Inputs!$F$5:$F$200*(((Inputs!$G$5:$G$200="moeda")+(Inputs!$G$5:$G$200="acoes"))*Inputs!$B$1+((Inputs!$G$5:$G$200&lt;&gt;"moeda")*(Inputs!$G$5:$G$200&lt;&gt;"acoes")))*INDEX(Inputs!$K$5:$AJ$200,0,MATCH(U$2,Inputs!$K$4:$AJ$4,0)))))</f>
        <v>-3.096</v>
      </c>
      <c r="V10" s="6">
        <f>IF(ISNA(MATCH(V$2,Inputs!$K$4:$AJ$4,0)),NA(),IF(SUMPRODUCT((Inputs!$A$5:$A$200=$B10)*ISNUMBER(INDEX(Inputs!$K$5:$AJ$200,0,MATCH(V$2,Inputs!$K$4:$AJ$4,0))))+SUMPRODUCT((Inputs!$C$5:$C$200=$B10)*ISNUMBER(INDEX(Inputs!$K$5:$AJ$200,0,MATCH(V$2,Inputs!$K$4:$AJ$4,0))))+SUMPRODUCT((Inputs!$E$5:$E$200=$B10)*ISNUMBER(INDEX(Inputs!$K$5:$AJ$200,0,MATCH(V$2,Inputs!$K$4:$AJ$4,0))))=0,NA(),SUMPRODUCT((Inputs!$A$5:$A$200=$B10)*Inputs!$B$5:$B$200*(((Inputs!$G$5:$G$200="moeda")+(Inputs!$G$5:$G$200="acoes"))*Inputs!$B$1+((Inputs!$G$5:$G$200&lt;&gt;"moeda")*(Inputs!$G$5:$G$200&lt;&gt;"acoes")))*INDEX(Inputs!$K$5:$AJ$200,0,MATCH(V$2,Inputs!$K$4:$AJ$4,0)))+SUMPRODUCT((Inputs!$C$5:$C$200=$B10)*Inputs!$D$5:$D$200*(((Inputs!$G$5:$G$200="moeda")+(Inputs!$G$5:$G$200="acoes"))*Inputs!$B$1+((Inputs!$G$5:$G$200&lt;&gt;"moeda")*(Inputs!$G$5:$G$200&lt;&gt;"acoes")))*INDEX(Inputs!$K$5:$AJ$200,0,MATCH(V$2,Inputs!$K$4:$AJ$4,0)))+SUMPRODUCT((Inputs!$E$5:$E$200=$B10)*Inputs!$F$5:$F$200*(((Inputs!$G$5:$G$200="moeda")+(Inputs!$G$5:$G$200="acoes"))*Inputs!$B$1+((Inputs!$G$5:$G$200&lt;&gt;"moeda")*(Inputs!$G$5:$G$200&lt;&gt;"acoes")))*INDEX(Inputs!$K$5:$AJ$200,0,MATCH(V$2,Inputs!$K$4:$AJ$4,0)))))</f>
        <v>-6.086</v>
      </c>
      <c r="W10" s="3">
        <f>SUM(S10:V10)</f>
        <v>-27.872</v>
      </c>
      <c r="X10" s="6">
        <f>IF(ISNA(MATCH(X$2,Inputs!$K$4:$AJ$4,0)),NA(),IF(SUMPRODUCT((Inputs!$A$5:$A$200=$B10)*ISNUMBER(INDEX(Inputs!$K$5:$AJ$200,0,MATCH(X$2,Inputs!$K$4:$AJ$4,0))))+SUMPRODUCT((Inputs!$C$5:$C$200=$B10)*ISNUMBER(INDEX(Inputs!$K$5:$AJ$200,0,MATCH(X$2,Inputs!$K$4:$AJ$4,0))))+SUMPRODUCT((Inputs!$E$5:$E$200=$B10)*ISNUMBER(INDEX(Inputs!$K$5:$AJ$200,0,MATCH(X$2,Inputs!$K$4:$AJ$4,0))))=0,NA(),SUMPRODUCT((Inputs!$A$5:$A$200=$B10)*Inputs!$B$5:$B$200*(((Inputs!$G$5:$G$200="moeda")+(Inputs!$G$5:$G$200="acoes"))*Inputs!$B$1+((Inputs!$G$5:$G$200&lt;&gt;"moeda")*(Inputs!$G$5:$G$200&lt;&gt;"acoes")))*INDEX(Inputs!$K$5:$AJ$200,0,MATCH(X$2,Inputs!$K$4:$AJ$4,0)))+SUMPRODUCT((Inputs!$C$5:$C$200=$B10)*Inputs!$D$5:$D$200*(((Inputs!$G$5:$G$200="moeda")+(Inputs!$G$5:$G$200="acoes"))*Inputs!$B$1+((Inputs!$G$5:$G$200&lt;&gt;"moeda")*(Inputs!$G$5:$G$200&lt;&gt;"acoes")))*INDEX(Inputs!$K$5:$AJ$200,0,MATCH(X$2,Inputs!$K$4:$AJ$4,0)))+SUMPRODUCT((Inputs!$E$5:$E$200=$B10)*Inputs!$F$5:$F$200*(((Inputs!$G$5:$G$200="moeda")+(Inputs!$G$5:$G$200="acoes"))*Inputs!$B$1+((Inputs!$G$5:$G$200&lt;&gt;"moeda")*(Inputs!$G$5:$G$200&lt;&gt;"acoes")))*INDEX(Inputs!$K$5:$AJ$200,0,MATCH(X$2,Inputs!$K$4:$AJ$4,0)))))</f>
        <v>-8.023</v>
      </c>
      <c r="Y10" s="6">
        <f>IF(ISNA(MATCH(Y$2,Inputs!$K$4:$AJ$4,0)),NA(),IF(SUMPRODUCT((Inputs!$A$5:$A$200=$B10)*ISNUMBER(INDEX(Inputs!$K$5:$AJ$200,0,MATCH(Y$2,Inputs!$K$4:$AJ$4,0))))+SUMPRODUCT((Inputs!$C$5:$C$200=$B10)*ISNUMBER(INDEX(Inputs!$K$5:$AJ$200,0,MATCH(Y$2,Inputs!$K$4:$AJ$4,0))))+SUMPRODUCT((Inputs!$E$5:$E$200=$B10)*ISNUMBER(INDEX(Inputs!$K$5:$AJ$200,0,MATCH(Y$2,Inputs!$K$4:$AJ$4,0))))=0,NA(),SUMPRODUCT((Inputs!$A$5:$A$200=$B10)*Inputs!$B$5:$B$200*(((Inputs!$G$5:$G$200="moeda")+(Inputs!$G$5:$G$200="acoes"))*Inputs!$B$1+((Inputs!$G$5:$G$200&lt;&gt;"moeda")*(Inputs!$G$5:$G$200&lt;&gt;"acoes")))*INDEX(Inputs!$K$5:$AJ$200,0,MATCH(Y$2,Inputs!$K$4:$AJ$4,0)))+SUMPRODUCT((Inputs!$C$5:$C$200=$B10)*Inputs!$D$5:$D$200*(((Inputs!$G$5:$G$200="moeda")+(Inputs!$G$5:$G$200="acoes"))*Inputs!$B$1+((Inputs!$G$5:$G$200&lt;&gt;"moeda")*(Inputs!$G$5:$G$200&lt;&gt;"acoes")))*INDEX(Inputs!$K$5:$AJ$200,0,MATCH(Y$2,Inputs!$K$4:$AJ$4,0)))+SUMPRODUCT((Inputs!$E$5:$E$200=$B10)*Inputs!$F$5:$F$200*(((Inputs!$G$5:$G$200="moeda")+(Inputs!$G$5:$G$200="acoes"))*Inputs!$B$1+((Inputs!$G$5:$G$200&lt;&gt;"moeda")*(Inputs!$G$5:$G$200&lt;&gt;"acoes")))*INDEX(Inputs!$K$5:$AJ$200,0,MATCH(Y$2,Inputs!$K$4:$AJ$4,0)))))</f>
        <v>-5.741</v>
      </c>
      <c r="Z10" s="6">
        <f>IF(ISNA(MATCH(Z$2,Inputs!$K$4:$AJ$4,0)),NA(),IF(SUMPRODUCT((Inputs!$A$5:$A$200=$B10)*ISNUMBER(INDEX(Inputs!$K$5:$AJ$200,0,MATCH(Z$2,Inputs!$K$4:$AJ$4,0))))+SUMPRODUCT((Inputs!$C$5:$C$200=$B10)*ISNUMBER(INDEX(Inputs!$K$5:$AJ$200,0,MATCH(Z$2,Inputs!$K$4:$AJ$4,0))))+SUMPRODUCT((Inputs!$E$5:$E$200=$B10)*ISNUMBER(INDEX(Inputs!$K$5:$AJ$200,0,MATCH(Z$2,Inputs!$K$4:$AJ$4,0))))=0,NA(),SUMPRODUCT((Inputs!$A$5:$A$200=$B10)*Inputs!$B$5:$B$200*(((Inputs!$G$5:$G$200="moeda")+(Inputs!$G$5:$G$200="acoes"))*Inputs!$B$1+((Inputs!$G$5:$G$200&lt;&gt;"moeda")*(Inputs!$G$5:$G$200&lt;&gt;"acoes")))*INDEX(Inputs!$K$5:$AJ$200,0,MATCH(Z$2,Inputs!$K$4:$AJ$4,0)))+SUMPRODUCT((Inputs!$C$5:$C$200=$B10)*Inputs!$D$5:$D$200*(((Inputs!$G$5:$G$200="moeda")+(Inputs!$G$5:$G$200="acoes"))*Inputs!$B$1+((Inputs!$G$5:$G$200&lt;&gt;"moeda")*(Inputs!$G$5:$G$200&lt;&gt;"acoes")))*INDEX(Inputs!$K$5:$AJ$200,0,MATCH(Z$2,Inputs!$K$4:$AJ$4,0)))+SUMPRODUCT((Inputs!$E$5:$E$200=$B10)*Inputs!$F$5:$F$200*(((Inputs!$G$5:$G$200="moeda")+(Inputs!$G$5:$G$200="acoes"))*Inputs!$B$1+((Inputs!$G$5:$G$200&lt;&gt;"moeda")*(Inputs!$G$5:$G$200&lt;&gt;"acoes")))*INDEX(Inputs!$K$5:$AJ$200,0,MATCH(Z$2,Inputs!$K$4:$AJ$4,0)))))</f>
        <v>-3.384</v>
      </c>
      <c r="AA10" s="6">
        <f>IF(ISNA(MATCH(AA$2,Inputs!$K$4:$AJ$4,0)),NA(),IF(SUMPRODUCT((Inputs!$A$5:$A$200=$B10)*ISNUMBER(INDEX(Inputs!$K$5:$AJ$200,0,MATCH(AA$2,Inputs!$K$4:$AJ$4,0))))+SUMPRODUCT((Inputs!$C$5:$C$200=$B10)*ISNUMBER(INDEX(Inputs!$K$5:$AJ$200,0,MATCH(AA$2,Inputs!$K$4:$AJ$4,0))))+SUMPRODUCT((Inputs!$E$5:$E$200=$B10)*ISNUMBER(INDEX(Inputs!$K$5:$AJ$200,0,MATCH(AA$2,Inputs!$K$4:$AJ$4,0))))=0,NA(),SUMPRODUCT((Inputs!$A$5:$A$200=$B10)*Inputs!$B$5:$B$200*(((Inputs!$G$5:$G$200="moeda")+(Inputs!$G$5:$G$200="acoes"))*Inputs!$B$1+((Inputs!$G$5:$G$200&lt;&gt;"moeda")*(Inputs!$G$5:$G$200&lt;&gt;"acoes")))*INDEX(Inputs!$K$5:$AJ$200,0,MATCH(AA$2,Inputs!$K$4:$AJ$4,0)))+SUMPRODUCT((Inputs!$C$5:$C$200=$B10)*Inputs!$D$5:$D$200*(((Inputs!$G$5:$G$200="moeda")+(Inputs!$G$5:$G$200="acoes"))*Inputs!$B$1+((Inputs!$G$5:$G$200&lt;&gt;"moeda")*(Inputs!$G$5:$G$200&lt;&gt;"acoes")))*INDEX(Inputs!$K$5:$AJ$200,0,MATCH(AA$2,Inputs!$K$4:$AJ$4,0)))+SUMPRODUCT((Inputs!$E$5:$E$200=$B10)*Inputs!$F$5:$F$200*(((Inputs!$G$5:$G$200="moeda")+(Inputs!$G$5:$G$200="acoes"))*Inputs!$B$1+((Inputs!$G$5:$G$200&lt;&gt;"moeda")*(Inputs!$G$5:$G$200&lt;&gt;"acoes")))*INDEX(Inputs!$K$5:$AJ$200,0,MATCH(AA$2,Inputs!$K$4:$AJ$4,0)))))</f>
        <v>-5.759</v>
      </c>
      <c r="AB10" s="3">
        <f>SUM(X10:AA10)</f>
        <v>-22.907</v>
      </c>
      <c r="AC10" s="6">
        <f>IF(ISNA(MATCH(AC$2,Inputs!$K$4:$AJ$4,0)),NA(),IF(SUMPRODUCT((Inputs!$A$5:$A$200=$B10)*ISNUMBER(INDEX(Inputs!$K$5:$AJ$200,0,MATCH(AC$2,Inputs!$K$4:$AJ$4,0))))+SUMPRODUCT((Inputs!$C$5:$C$200=$B10)*ISNUMBER(INDEX(Inputs!$K$5:$AJ$200,0,MATCH(AC$2,Inputs!$K$4:$AJ$4,0))))+SUMPRODUCT((Inputs!$E$5:$E$200=$B10)*ISNUMBER(INDEX(Inputs!$K$5:$AJ$200,0,MATCH(AC$2,Inputs!$K$4:$AJ$4,0))))=0,NA(),SUMPRODUCT((Inputs!$A$5:$A$200=$B10)*Inputs!$B$5:$B$200*(((Inputs!$G$5:$G$200="moeda")+(Inputs!$G$5:$G$200="acoes"))*Inputs!$B$1+((Inputs!$G$5:$G$200&lt;&gt;"moeda")*(Inputs!$G$5:$G$200&lt;&gt;"acoes")))*INDEX(Inputs!$K$5:$AJ$200,0,MATCH(AC$2,Inputs!$K$4:$AJ$4,0)))+SUMPRODUCT((Inputs!$C$5:$C$200=$B10)*Inputs!$D$5:$D$200*(((Inputs!$G$5:$G$200="moeda")+(Inputs!$G$5:$G$200="acoes"))*Inputs!$B$1+((Inputs!$G$5:$G$200&lt;&gt;"moeda")*(Inputs!$G$5:$G$200&lt;&gt;"acoes")))*INDEX(Inputs!$K$5:$AJ$200,0,MATCH(AC$2,Inputs!$K$4:$AJ$4,0)))+SUMPRODUCT((Inputs!$E$5:$E$200=$B10)*Inputs!$F$5:$F$200*(((Inputs!$G$5:$G$200="moeda")+(Inputs!$G$5:$G$200="acoes"))*Inputs!$B$1+((Inputs!$G$5:$G$200&lt;&gt;"moeda")*(Inputs!$G$5:$G$200&lt;&gt;"acoes")))*INDEX(Inputs!$K$5:$AJ$200,0,MATCH(AC$2,Inputs!$K$4:$AJ$4,0)))))</f>
        <v>-12.257</v>
      </c>
      <c r="AD10" s="6">
        <f>IF(ISNA(MATCH(AD$2,Inputs!$K$4:$AJ$4,0)),NA(),IF(SUMPRODUCT((Inputs!$A$5:$A$200=$B10)*ISNUMBER(INDEX(Inputs!$K$5:$AJ$200,0,MATCH(AD$2,Inputs!$K$4:$AJ$4,0))))+SUMPRODUCT((Inputs!$C$5:$C$200=$B10)*ISNUMBER(INDEX(Inputs!$K$5:$AJ$200,0,MATCH(AD$2,Inputs!$K$4:$AJ$4,0))))+SUMPRODUCT((Inputs!$E$5:$E$200=$B10)*ISNUMBER(INDEX(Inputs!$K$5:$AJ$200,0,MATCH(AD$2,Inputs!$K$4:$AJ$4,0))))=0,NA(),SUMPRODUCT((Inputs!$A$5:$A$200=$B10)*Inputs!$B$5:$B$200*(((Inputs!$G$5:$G$200="moeda")+(Inputs!$G$5:$G$200="acoes"))*Inputs!$B$1+((Inputs!$G$5:$G$200&lt;&gt;"moeda")*(Inputs!$G$5:$G$200&lt;&gt;"acoes")))*INDEX(Inputs!$K$5:$AJ$200,0,MATCH(AD$2,Inputs!$K$4:$AJ$4,0)))+SUMPRODUCT((Inputs!$C$5:$C$200=$B10)*Inputs!$D$5:$D$200*(((Inputs!$G$5:$G$200="moeda")+(Inputs!$G$5:$G$200="acoes"))*Inputs!$B$1+((Inputs!$G$5:$G$200&lt;&gt;"moeda")*(Inputs!$G$5:$G$200&lt;&gt;"acoes")))*INDEX(Inputs!$K$5:$AJ$200,0,MATCH(AD$2,Inputs!$K$4:$AJ$4,0)))+SUMPRODUCT((Inputs!$E$5:$E$200=$B10)*Inputs!$F$5:$F$200*(((Inputs!$G$5:$G$200="moeda")+(Inputs!$G$5:$G$200="acoes"))*Inputs!$B$1+((Inputs!$G$5:$G$200&lt;&gt;"moeda")*(Inputs!$G$5:$G$200&lt;&gt;"acoes")))*INDEX(Inputs!$K$5:$AJ$200,0,MATCH(AD$2,Inputs!$K$4:$AJ$4,0)))))</f>
        <v>-32.25</v>
      </c>
      <c r="AE10" s="6" t="e">
        <f>IF(ISNA(MATCH(AE$2,Inputs!$K$4:$AJ$4,0)),NA(),IF(SUMPRODUCT((Inputs!$A$5:$A$200=$B10)*ISNUMBER(INDEX(Inputs!$K$5:$AJ$200,0,MATCH(AE$2,Inputs!$K$4:$AJ$4,0))))+SUMPRODUCT((Inputs!$C$5:$C$200=$B10)*ISNUMBER(INDEX(Inputs!$K$5:$AJ$200,0,MATCH(AE$2,Inputs!$K$4:$AJ$4,0))))+SUMPRODUCT((Inputs!$E$5:$E$200=$B10)*ISNUMBER(INDEX(Inputs!$K$5:$AJ$200,0,MATCH(AE$2,Inputs!$K$4:$AJ$4,0))))=0,NA(),SUMPRODUCT((Inputs!$A$5:$A$200=$B10)*Inputs!$B$5:$B$200*(((Inputs!$G$5:$G$200="moeda")+(Inputs!$G$5:$G$200="acoes"))*Inputs!$B$1+((Inputs!$G$5:$G$200&lt;&gt;"moeda")*(Inputs!$G$5:$G$200&lt;&gt;"acoes")))*INDEX(Inputs!$K$5:$AJ$200,0,MATCH(AE$2,Inputs!$K$4:$AJ$4,0)))+SUMPRODUCT((Inputs!$C$5:$C$200=$B10)*Inputs!$D$5:$D$200*(((Inputs!$G$5:$G$200="moeda")+(Inputs!$G$5:$G$200="acoes"))*Inputs!$B$1+((Inputs!$G$5:$G$200&lt;&gt;"moeda")*(Inputs!$G$5:$G$200&lt;&gt;"acoes")))*INDEX(Inputs!$K$5:$AJ$200,0,MATCH(AE$2,Inputs!$K$4:$AJ$4,0)))+SUMPRODUCT((Inputs!$E$5:$E$200=$B10)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0" s="6" t="e">
        <f>IF(ISNA(MATCH(AF$2,Inputs!$K$4:$AJ$4,0)),NA(),IF(SUMPRODUCT((Inputs!$A$5:$A$200=$B10)*ISNUMBER(INDEX(Inputs!$K$5:$AJ$200,0,MATCH(AF$2,Inputs!$K$4:$AJ$4,0))))+SUMPRODUCT((Inputs!$C$5:$C$200=$B10)*ISNUMBER(INDEX(Inputs!$K$5:$AJ$200,0,MATCH(AF$2,Inputs!$K$4:$AJ$4,0))))+SUMPRODUCT((Inputs!$E$5:$E$200=$B10)*ISNUMBER(INDEX(Inputs!$K$5:$AJ$200,0,MATCH(AF$2,Inputs!$K$4:$AJ$4,0))))=0,NA(),SUMPRODUCT((Inputs!$A$5:$A$200=$B10)*Inputs!$B$5:$B$200*(((Inputs!$G$5:$G$200="moeda")+(Inputs!$G$5:$G$200="acoes"))*Inputs!$B$1+((Inputs!$G$5:$G$200&lt;&gt;"moeda")*(Inputs!$G$5:$G$200&lt;&gt;"acoes")))*INDEX(Inputs!$K$5:$AJ$200,0,MATCH(AF$2,Inputs!$K$4:$AJ$4,0)))+SUMPRODUCT((Inputs!$C$5:$C$200=$B10)*Inputs!$D$5:$D$200*(((Inputs!$G$5:$G$200="moeda")+(Inputs!$G$5:$G$200="acoes"))*Inputs!$B$1+((Inputs!$G$5:$G$200&lt;&gt;"moeda")*(Inputs!$G$5:$G$200&lt;&gt;"acoes")))*INDEX(Inputs!$K$5:$AJ$200,0,MATCH(AF$2,Inputs!$K$4:$AJ$4,0)))+SUMPRODUCT((Inputs!$E$5:$E$200=$B10)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0" s="3" t="e">
        <f>SUM(AC10:AF10)</f>
        <v>#N/A</v>
      </c>
      <c r="AH10" s="6">
        <f>IF(ISNA(MATCH(AH$2,Inputs!$K$4:$AJ$4,0)),NA(),IF(SUMPRODUCT((Inputs!$A$5:$A$200=$B10)*ISNUMBER(INDEX(Inputs!$K$5:$AJ$200,0,MATCH(AH$2,Inputs!$K$4:$AJ$4,0))))+SUMPRODUCT((Inputs!$C$5:$C$200=$B10)*ISNUMBER(INDEX(Inputs!$K$5:$AJ$200,0,MATCH(AH$2,Inputs!$K$4:$AJ$4,0))))+SUMPRODUCT((Inputs!$E$5:$E$200=$B10)*ISNUMBER(INDEX(Inputs!$K$5:$AJ$200,0,MATCH(AH$2,Inputs!$K$4:$AJ$4,0))))=0,NA(),SUMPRODUCT((Inputs!$A$5:$A$200=$B10)*Inputs!$B$5:$B$200*(((Inputs!$G$5:$G$200="moeda")+(Inputs!$G$5:$G$200="acoes"))*Inputs!$B$1+((Inputs!$G$5:$G$200&lt;&gt;"moeda")*(Inputs!$G$5:$G$200&lt;&gt;"acoes")))*INDEX(Inputs!$K$5:$AJ$200,0,MATCH(AH$2,Inputs!$K$4:$AJ$4,0)))+SUMPRODUCT((Inputs!$C$5:$C$200=$B10)*Inputs!$D$5:$D$200*(((Inputs!$G$5:$G$200="moeda")+(Inputs!$G$5:$G$200="acoes"))*Inputs!$B$1+((Inputs!$G$5:$G$200&lt;&gt;"moeda")*(Inputs!$G$5:$G$200&lt;&gt;"acoes")))*INDEX(Inputs!$K$5:$AJ$200,0,MATCH(AH$2,Inputs!$K$4:$AJ$4,0)))+SUMPRODUCT((Inputs!$E$5:$E$200=$B10)*Inputs!$F$5:$F$200*(((Inputs!$G$5:$G$200="moeda")+(Inputs!$G$5:$G$200="acoes"))*Inputs!$B$1+((Inputs!$G$5:$G$200&lt;&gt;"moeda")*(Inputs!$G$5:$G$200&lt;&gt;"acoes")))*INDEX(Inputs!$K$5:$AJ$200,0,MATCH(AH$2,Inputs!$K$4:$AJ$4,0)))))</f>
        <v>-3.524</v>
      </c>
      <c r="AI10" s="6">
        <f>IF(ISNA(MATCH(AI$2,Inputs!$K$4:$AJ$4,0)),NA(),IF(SUMPRODUCT((Inputs!$A$5:$A$200=$B10)*ISNUMBER(INDEX(Inputs!$K$5:$AJ$200,0,MATCH(AI$2,Inputs!$K$4:$AJ$4,0))))+SUMPRODUCT((Inputs!$C$5:$C$200=$B10)*ISNUMBER(INDEX(Inputs!$K$5:$AJ$200,0,MATCH(AI$2,Inputs!$K$4:$AJ$4,0))))+SUMPRODUCT((Inputs!$E$5:$E$200=$B10)*ISNUMBER(INDEX(Inputs!$K$5:$AJ$200,0,MATCH(AI$2,Inputs!$K$4:$AJ$4,0))))=0,NA(),SUMPRODUCT((Inputs!$A$5:$A$200=$B10)*Inputs!$B$5:$B$200*(((Inputs!$G$5:$G$200="moeda")+(Inputs!$G$5:$G$200="acoes"))*Inputs!$B$1+((Inputs!$G$5:$G$200&lt;&gt;"moeda")*(Inputs!$G$5:$G$200&lt;&gt;"acoes")))*INDEX(Inputs!$K$5:$AJ$200,0,MATCH(AI$2,Inputs!$K$4:$AJ$4,0)))+SUMPRODUCT((Inputs!$C$5:$C$200=$B10)*Inputs!$D$5:$D$200*(((Inputs!$G$5:$G$200="moeda")+(Inputs!$G$5:$G$200="acoes"))*Inputs!$B$1+((Inputs!$G$5:$G$200&lt;&gt;"moeda")*(Inputs!$G$5:$G$200&lt;&gt;"acoes")))*INDEX(Inputs!$K$5:$AJ$200,0,MATCH(AI$2,Inputs!$K$4:$AJ$4,0)))+SUMPRODUCT((Inputs!$E$5:$E$200=$B10)*Inputs!$F$5:$F$200*(((Inputs!$G$5:$G$200="moeda")+(Inputs!$G$5:$G$200="acoes"))*Inputs!$B$1+((Inputs!$G$5:$G$200&lt;&gt;"moeda")*(Inputs!$G$5:$G$200&lt;&gt;"acoes")))*INDEX(Inputs!$K$5:$AJ$200,0,MATCH(AI$2,Inputs!$K$4:$AJ$4,0)))))</f>
        <v>-5.593</v>
      </c>
      <c r="AJ10" s="6">
        <f>IF(ISNA(MATCH(AJ$2,Inputs!$K$4:$AJ$4,0)),NA(),IF(SUMPRODUCT((Inputs!$A$5:$A$200=$B10)*ISNUMBER(INDEX(Inputs!$K$5:$AJ$200,0,MATCH(AJ$2,Inputs!$K$4:$AJ$4,0))))+SUMPRODUCT((Inputs!$C$5:$C$200=$B10)*ISNUMBER(INDEX(Inputs!$K$5:$AJ$200,0,MATCH(AJ$2,Inputs!$K$4:$AJ$4,0))))+SUMPRODUCT((Inputs!$E$5:$E$200=$B10)*ISNUMBER(INDEX(Inputs!$K$5:$AJ$200,0,MATCH(AJ$2,Inputs!$K$4:$AJ$4,0))))=0,NA(),SUMPRODUCT((Inputs!$A$5:$A$200=$B10)*Inputs!$B$5:$B$200*(((Inputs!$G$5:$G$200="moeda")+(Inputs!$G$5:$G$200="acoes"))*Inputs!$B$1+((Inputs!$G$5:$G$200&lt;&gt;"moeda")*(Inputs!$G$5:$G$200&lt;&gt;"acoes")))*INDEX(Inputs!$K$5:$AJ$200,0,MATCH(AJ$2,Inputs!$K$4:$AJ$4,0)))+SUMPRODUCT((Inputs!$C$5:$C$200=$B10)*Inputs!$D$5:$D$200*(((Inputs!$G$5:$G$200="moeda")+(Inputs!$G$5:$G$200="acoes"))*Inputs!$B$1+((Inputs!$G$5:$G$200&lt;&gt;"moeda")*(Inputs!$G$5:$G$200&lt;&gt;"acoes")))*INDEX(Inputs!$K$5:$AJ$200,0,MATCH(AJ$2,Inputs!$K$4:$AJ$4,0)))+SUMPRODUCT((Inputs!$E$5:$E$200=$B10)*Inputs!$F$5:$F$200*(((Inputs!$G$5:$G$200="moeda")+(Inputs!$G$5:$G$200="acoes"))*Inputs!$B$1+((Inputs!$G$5:$G$200&lt;&gt;"moeda")*(Inputs!$G$5:$G$200&lt;&gt;"acoes")))*INDEX(Inputs!$K$5:$AJ$200,0,MATCH(AJ$2,Inputs!$K$4:$AJ$4,0)))))</f>
        <v>-4.35</v>
      </c>
      <c r="AK10" s="6">
        <f>IF(ISNA(MATCH(AK$2,Inputs!$K$4:$AJ$4,0)),NA(),IF(SUMPRODUCT((Inputs!$A$5:$A$200=$B10)*ISNUMBER(INDEX(Inputs!$K$5:$AJ$200,0,MATCH(AK$2,Inputs!$K$4:$AJ$4,0))))+SUMPRODUCT((Inputs!$C$5:$C$200=$B10)*ISNUMBER(INDEX(Inputs!$K$5:$AJ$200,0,MATCH(AK$2,Inputs!$K$4:$AJ$4,0))))+SUMPRODUCT((Inputs!$E$5:$E$200=$B10)*ISNUMBER(INDEX(Inputs!$K$5:$AJ$200,0,MATCH(AK$2,Inputs!$K$4:$AJ$4,0))))=0,NA(),SUMPRODUCT((Inputs!$A$5:$A$200=$B10)*Inputs!$B$5:$B$200*(((Inputs!$G$5:$G$200="moeda")+(Inputs!$G$5:$G$200="acoes"))*Inputs!$B$1+((Inputs!$G$5:$G$200&lt;&gt;"moeda")*(Inputs!$G$5:$G$200&lt;&gt;"acoes")))*INDEX(Inputs!$K$5:$AJ$200,0,MATCH(AK$2,Inputs!$K$4:$AJ$4,0)))+SUMPRODUCT((Inputs!$C$5:$C$200=$B10)*Inputs!$D$5:$D$200*(((Inputs!$G$5:$G$200="moeda")+(Inputs!$G$5:$G$200="acoes"))*Inputs!$B$1+((Inputs!$G$5:$G$200&lt;&gt;"moeda")*(Inputs!$G$5:$G$200&lt;&gt;"acoes")))*INDEX(Inputs!$K$5:$AJ$200,0,MATCH(AK$2,Inputs!$K$4:$AJ$4,0)))+SUMPRODUCT((Inputs!$E$5:$E$200=$B10)*Inputs!$F$5:$F$200*(((Inputs!$G$5:$G$200="moeda")+(Inputs!$G$5:$G$200="acoes"))*Inputs!$B$1+((Inputs!$G$5:$G$200&lt;&gt;"moeda")*(Inputs!$G$5:$G$200&lt;&gt;"acoes")))*INDEX(Inputs!$K$5:$AJ$200,0,MATCH(AK$2,Inputs!$K$4:$AJ$4,0)))))</f>
        <v>-10.344</v>
      </c>
      <c r="AL10" s="3">
        <f>SUM(AH10:AK10)</f>
        <v>-23.811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$200=$B11)*ISNUMBER(INDEX(Inputs!$K$5:$AJ$200,0,MATCH(D$2,Inputs!$K$4:$AJ$4,0))))+SUMPRODUCT((Inputs!$C$5:$C$200=$B11)*ISNUMBER(INDEX(Inputs!$K$5:$AJ$200,0,MATCH(D$2,Inputs!$K$4:$AJ$4,0))))+SUMPRODUCT((Inputs!$E$5:$E$200=$B11)*ISNUMBER(INDEX(Inputs!$K$5:$AJ$200,0,MATCH(D$2,Inputs!$K$4:$AJ$4,0))))=0,NA(),SUMPRODUCT((Inputs!$A$5:$A$200=$B11)*Inputs!$B$5:$B$200*(((Inputs!$G$5:$G$200="moeda")+(Inputs!$G$5:$G$200="acoes"))*Inputs!$B$1+((Inputs!$G$5:$G$200&lt;&gt;"moeda")*(Inputs!$G$5:$G$200&lt;&gt;"acoes")))*INDEX(Inputs!$K$5:$AJ$200,0,MATCH(D$2,Inputs!$K$4:$AJ$4,0)))+SUMPRODUCT((Inputs!$C$5:$C$200=$B11)*Inputs!$D$5:$D$200*(((Inputs!$G$5:$G$200="moeda")+(Inputs!$G$5:$G$200="acoes"))*Inputs!$B$1+((Inputs!$G$5:$G$200&lt;&gt;"moeda")*(Inputs!$G$5:$G$200&lt;&gt;"acoes")))*INDEX(Inputs!$K$5:$AJ$200,0,MATCH(D$2,Inputs!$K$4:$AJ$4,0)))+SUMPRODUCT((Inputs!$E$5:$E$200=$B11)*Inputs!$F$5:$F$200*(((Inputs!$G$5:$G$200="moeda")+(Inputs!$G$5:$G$200="acoes"))*Inputs!$B$1+((Inputs!$G$5:$G$200&lt;&gt;"moeda")*(Inputs!$G$5:$G$200&lt;&gt;"acoes")))*INDEX(Inputs!$K$5:$AJ$200,0,MATCH(D$2,Inputs!$K$4:$AJ$4,0)))))</f>
        <v>0.102</v>
      </c>
      <c r="E11" s="6">
        <f>IF(ISNA(MATCH(E$2,Inputs!$K$4:$AJ$4,0)),NA(),IF(SUMPRODUCT((Inputs!$A$5:$A$200=$B11)*ISNUMBER(INDEX(Inputs!$K$5:$AJ$200,0,MATCH(E$2,Inputs!$K$4:$AJ$4,0))))+SUMPRODUCT((Inputs!$C$5:$C$200=$B11)*ISNUMBER(INDEX(Inputs!$K$5:$AJ$200,0,MATCH(E$2,Inputs!$K$4:$AJ$4,0))))+SUMPRODUCT((Inputs!$E$5:$E$200=$B11)*ISNUMBER(INDEX(Inputs!$K$5:$AJ$200,0,MATCH(E$2,Inputs!$K$4:$AJ$4,0))))=0,NA(),SUMPRODUCT((Inputs!$A$5:$A$200=$B11)*Inputs!$B$5:$B$200*(((Inputs!$G$5:$G$200="moeda")+(Inputs!$G$5:$G$200="acoes"))*Inputs!$B$1+((Inputs!$G$5:$G$200&lt;&gt;"moeda")*(Inputs!$G$5:$G$200&lt;&gt;"acoes")))*INDEX(Inputs!$K$5:$AJ$200,0,MATCH(E$2,Inputs!$K$4:$AJ$4,0)))+SUMPRODUCT((Inputs!$C$5:$C$200=$B11)*Inputs!$D$5:$D$200*(((Inputs!$G$5:$G$200="moeda")+(Inputs!$G$5:$G$200="acoes"))*Inputs!$B$1+((Inputs!$G$5:$G$200&lt;&gt;"moeda")*(Inputs!$G$5:$G$200&lt;&gt;"acoes")))*INDEX(Inputs!$K$5:$AJ$200,0,MATCH(E$2,Inputs!$K$4:$AJ$4,0)))+SUMPRODUCT((Inputs!$E$5:$E$200=$B11)*Inputs!$F$5:$F$200*(((Inputs!$G$5:$G$200="moeda")+(Inputs!$G$5:$G$200="acoes"))*Inputs!$B$1+((Inputs!$G$5:$G$200&lt;&gt;"moeda")*(Inputs!$G$5:$G$200&lt;&gt;"acoes")))*INDEX(Inputs!$K$5:$AJ$200,0,MATCH(E$2,Inputs!$K$4:$AJ$4,0)))))</f>
        <v>0.028</v>
      </c>
      <c r="F11" s="6">
        <f>IF(ISNA(MATCH(F$2,Inputs!$K$4:$AJ$4,0)),NA(),IF(SUMPRODUCT((Inputs!$A$5:$A$200=$B11)*ISNUMBER(INDEX(Inputs!$K$5:$AJ$200,0,MATCH(F$2,Inputs!$K$4:$AJ$4,0))))+SUMPRODUCT((Inputs!$C$5:$C$200=$B11)*ISNUMBER(INDEX(Inputs!$K$5:$AJ$200,0,MATCH(F$2,Inputs!$K$4:$AJ$4,0))))+SUMPRODUCT((Inputs!$E$5:$E$200=$B11)*ISNUMBER(INDEX(Inputs!$K$5:$AJ$200,0,MATCH(F$2,Inputs!$K$4:$AJ$4,0))))=0,NA(),SUMPRODUCT((Inputs!$A$5:$A$200=$B11)*Inputs!$B$5:$B$200*(((Inputs!$G$5:$G$200="moeda")+(Inputs!$G$5:$G$200="acoes"))*Inputs!$B$1+((Inputs!$G$5:$G$200&lt;&gt;"moeda")*(Inputs!$G$5:$G$200&lt;&gt;"acoes")))*INDEX(Inputs!$K$5:$AJ$200,0,MATCH(F$2,Inputs!$K$4:$AJ$4,0)))+SUMPRODUCT((Inputs!$C$5:$C$200=$B11)*Inputs!$D$5:$D$200*(((Inputs!$G$5:$G$200="moeda")+(Inputs!$G$5:$G$200="acoes"))*Inputs!$B$1+((Inputs!$G$5:$G$200&lt;&gt;"moeda")*(Inputs!$G$5:$G$200&lt;&gt;"acoes")))*INDEX(Inputs!$K$5:$AJ$200,0,MATCH(F$2,Inputs!$K$4:$AJ$4,0)))+SUMPRODUCT((Inputs!$E$5:$E$200=$B11)*Inputs!$F$5:$F$200*(((Inputs!$G$5:$G$200="moeda")+(Inputs!$G$5:$G$200="acoes"))*Inputs!$B$1+((Inputs!$G$5:$G$200&lt;&gt;"moeda")*(Inputs!$G$5:$G$200&lt;&gt;"acoes")))*INDEX(Inputs!$K$5:$AJ$200,0,MATCH(F$2,Inputs!$K$4:$AJ$4,0)))))</f>
        <v>0.215</v>
      </c>
      <c r="G11" s="6">
        <f>IF(ISNA(MATCH(G$2,Inputs!$K$4:$AJ$4,0)),NA(),IF(SUMPRODUCT((Inputs!$A$5:$A$200=$B11)*ISNUMBER(INDEX(Inputs!$K$5:$AJ$200,0,MATCH(G$2,Inputs!$K$4:$AJ$4,0))))+SUMPRODUCT((Inputs!$C$5:$C$200=$B11)*ISNUMBER(INDEX(Inputs!$K$5:$AJ$200,0,MATCH(G$2,Inputs!$K$4:$AJ$4,0))))+SUMPRODUCT((Inputs!$E$5:$E$200=$B11)*ISNUMBER(INDEX(Inputs!$K$5:$AJ$200,0,MATCH(G$2,Inputs!$K$4:$AJ$4,0))))=0,NA(),SUMPRODUCT((Inputs!$A$5:$A$200=$B11)*Inputs!$B$5:$B$200*(((Inputs!$G$5:$G$200="moeda")+(Inputs!$G$5:$G$200="acoes"))*Inputs!$B$1+((Inputs!$G$5:$G$200&lt;&gt;"moeda")*(Inputs!$G$5:$G$200&lt;&gt;"acoes")))*INDEX(Inputs!$K$5:$AJ$200,0,MATCH(G$2,Inputs!$K$4:$AJ$4,0)))+SUMPRODUCT((Inputs!$C$5:$C$200=$B11)*Inputs!$D$5:$D$200*(((Inputs!$G$5:$G$200="moeda")+(Inputs!$G$5:$G$200="acoes"))*Inputs!$B$1+((Inputs!$G$5:$G$200&lt;&gt;"moeda")*(Inputs!$G$5:$G$200&lt;&gt;"acoes")))*INDEX(Inputs!$K$5:$AJ$200,0,MATCH(G$2,Inputs!$K$4:$AJ$4,0)))+SUMPRODUCT((Inputs!$E$5:$E$200=$B11)*Inputs!$F$5:$F$200*(((Inputs!$G$5:$G$200="moeda")+(Inputs!$G$5:$G$200="acoes"))*Inputs!$B$1+((Inputs!$G$5:$G$200&lt;&gt;"moeda")*(Inputs!$G$5:$G$200&lt;&gt;"acoes")))*INDEX(Inputs!$K$5:$AJ$200,0,MATCH(G$2,Inputs!$K$4:$AJ$4,0)))))</f>
        <v>0.379</v>
      </c>
      <c r="H11" s="3">
        <f>SUM(D11:G11)</f>
        <v>0.724</v>
      </c>
      <c r="I11" s="6">
        <f>IF(ISNA(MATCH(I$2,Inputs!$K$4:$AJ$4,0)),NA(),IF(SUMPRODUCT((Inputs!$A$5:$A$200=$B11)*ISNUMBER(INDEX(Inputs!$K$5:$AJ$200,0,MATCH(I$2,Inputs!$K$4:$AJ$4,0))))+SUMPRODUCT((Inputs!$C$5:$C$200=$B11)*ISNUMBER(INDEX(Inputs!$K$5:$AJ$200,0,MATCH(I$2,Inputs!$K$4:$AJ$4,0))))+SUMPRODUCT((Inputs!$E$5:$E$200=$B11)*ISNUMBER(INDEX(Inputs!$K$5:$AJ$200,0,MATCH(I$2,Inputs!$K$4:$AJ$4,0))))=0,NA(),SUMPRODUCT((Inputs!$A$5:$A$200=$B11)*Inputs!$B$5:$B$200*(((Inputs!$G$5:$G$200="moeda")+(Inputs!$G$5:$G$200="acoes"))*Inputs!$B$1+((Inputs!$G$5:$G$200&lt;&gt;"moeda")*(Inputs!$G$5:$G$200&lt;&gt;"acoes")))*INDEX(Inputs!$K$5:$AJ$200,0,MATCH(I$2,Inputs!$K$4:$AJ$4,0)))+SUMPRODUCT((Inputs!$C$5:$C$200=$B11)*Inputs!$D$5:$D$200*(((Inputs!$G$5:$G$200="moeda")+(Inputs!$G$5:$G$200="acoes"))*Inputs!$B$1+((Inputs!$G$5:$G$200&lt;&gt;"moeda")*(Inputs!$G$5:$G$200&lt;&gt;"acoes")))*INDEX(Inputs!$K$5:$AJ$200,0,MATCH(I$2,Inputs!$K$4:$AJ$4,0)))+SUMPRODUCT((Inputs!$E$5:$E$200=$B11)*Inputs!$F$5:$F$200*(((Inputs!$G$5:$G$200="moeda")+(Inputs!$G$5:$G$200="acoes"))*Inputs!$B$1+((Inputs!$G$5:$G$200&lt;&gt;"moeda")*(Inputs!$G$5:$G$200&lt;&gt;"acoes")))*INDEX(Inputs!$K$5:$AJ$200,0,MATCH(I$2,Inputs!$K$4:$AJ$4,0)))))</f>
        <v>-0.001</v>
      </c>
      <c r="J11" s="6">
        <f>IF(ISNA(MATCH(J$2,Inputs!$K$4:$AJ$4,0)),NA(),IF(SUMPRODUCT((Inputs!$A$5:$A$200=$B11)*ISNUMBER(INDEX(Inputs!$K$5:$AJ$200,0,MATCH(J$2,Inputs!$K$4:$AJ$4,0))))+SUMPRODUCT((Inputs!$C$5:$C$200=$B11)*ISNUMBER(INDEX(Inputs!$K$5:$AJ$200,0,MATCH(J$2,Inputs!$K$4:$AJ$4,0))))+SUMPRODUCT((Inputs!$E$5:$E$200=$B11)*ISNUMBER(INDEX(Inputs!$K$5:$AJ$200,0,MATCH(J$2,Inputs!$K$4:$AJ$4,0))))=0,NA(),SUMPRODUCT((Inputs!$A$5:$A$200=$B11)*Inputs!$B$5:$B$200*(((Inputs!$G$5:$G$200="moeda")+(Inputs!$G$5:$G$200="acoes"))*Inputs!$B$1+((Inputs!$G$5:$G$200&lt;&gt;"moeda")*(Inputs!$G$5:$G$200&lt;&gt;"acoes")))*INDEX(Inputs!$K$5:$AJ$200,0,MATCH(J$2,Inputs!$K$4:$AJ$4,0)))+SUMPRODUCT((Inputs!$C$5:$C$200=$B11)*Inputs!$D$5:$D$200*(((Inputs!$G$5:$G$200="moeda")+(Inputs!$G$5:$G$200="acoes"))*Inputs!$B$1+((Inputs!$G$5:$G$200&lt;&gt;"moeda")*(Inputs!$G$5:$G$200&lt;&gt;"acoes")))*INDEX(Inputs!$K$5:$AJ$200,0,MATCH(J$2,Inputs!$K$4:$AJ$4,0)))+SUMPRODUCT((Inputs!$E$5:$E$200=$B11)*Inputs!$F$5:$F$200*(((Inputs!$G$5:$G$200="moeda")+(Inputs!$G$5:$G$200="acoes"))*Inputs!$B$1+((Inputs!$G$5:$G$200&lt;&gt;"moeda")*(Inputs!$G$5:$G$200&lt;&gt;"acoes")))*INDEX(Inputs!$K$5:$AJ$200,0,MATCH(J$2,Inputs!$K$4:$AJ$4,0)))))</f>
        <v>-5.637</v>
      </c>
      <c r="K11" s="6">
        <f>IF(ISNA(MATCH(K$2,Inputs!$K$4:$AJ$4,0)),NA(),IF(SUMPRODUCT((Inputs!$A$5:$A$200=$B11)*ISNUMBER(INDEX(Inputs!$K$5:$AJ$200,0,MATCH(K$2,Inputs!$K$4:$AJ$4,0))))+SUMPRODUCT((Inputs!$C$5:$C$200=$B11)*ISNUMBER(INDEX(Inputs!$K$5:$AJ$200,0,MATCH(K$2,Inputs!$K$4:$AJ$4,0))))+SUMPRODUCT((Inputs!$E$5:$E$200=$B11)*ISNUMBER(INDEX(Inputs!$K$5:$AJ$200,0,MATCH(K$2,Inputs!$K$4:$AJ$4,0))))=0,NA(),SUMPRODUCT((Inputs!$A$5:$A$200=$B11)*Inputs!$B$5:$B$200*(((Inputs!$G$5:$G$200="moeda")+(Inputs!$G$5:$G$200="acoes"))*Inputs!$B$1+((Inputs!$G$5:$G$200&lt;&gt;"moeda")*(Inputs!$G$5:$G$200&lt;&gt;"acoes")))*INDEX(Inputs!$K$5:$AJ$200,0,MATCH(K$2,Inputs!$K$4:$AJ$4,0)))+SUMPRODUCT((Inputs!$C$5:$C$200=$B11)*Inputs!$D$5:$D$200*(((Inputs!$G$5:$G$200="moeda")+(Inputs!$G$5:$G$200="acoes"))*Inputs!$B$1+((Inputs!$G$5:$G$200&lt;&gt;"moeda")*(Inputs!$G$5:$G$200&lt;&gt;"acoes")))*INDEX(Inputs!$K$5:$AJ$200,0,MATCH(K$2,Inputs!$K$4:$AJ$4,0)))+SUMPRODUCT((Inputs!$E$5:$E$200=$B11)*Inputs!$F$5:$F$200*(((Inputs!$G$5:$G$200="moeda")+(Inputs!$G$5:$G$200="acoes"))*Inputs!$B$1+((Inputs!$G$5:$G$200&lt;&gt;"moeda")*(Inputs!$G$5:$G$200&lt;&gt;"acoes")))*INDEX(Inputs!$K$5:$AJ$200,0,MATCH(K$2,Inputs!$K$4:$AJ$4,0)))))</f>
        <v>9.569</v>
      </c>
      <c r="L11" s="6">
        <f>IF(ISNA(MATCH(L$2,Inputs!$K$4:$AJ$4,0)),NA(),IF(SUMPRODUCT((Inputs!$A$5:$A$200=$B11)*ISNUMBER(INDEX(Inputs!$K$5:$AJ$200,0,MATCH(L$2,Inputs!$K$4:$AJ$4,0))))+SUMPRODUCT((Inputs!$C$5:$C$200=$B11)*ISNUMBER(INDEX(Inputs!$K$5:$AJ$200,0,MATCH(L$2,Inputs!$K$4:$AJ$4,0))))+SUMPRODUCT((Inputs!$E$5:$E$200=$B11)*ISNUMBER(INDEX(Inputs!$K$5:$AJ$200,0,MATCH(L$2,Inputs!$K$4:$AJ$4,0))))=0,NA(),SUMPRODUCT((Inputs!$A$5:$A$200=$B11)*Inputs!$B$5:$B$200*(((Inputs!$G$5:$G$200="moeda")+(Inputs!$G$5:$G$200="acoes"))*Inputs!$B$1+((Inputs!$G$5:$G$200&lt;&gt;"moeda")*(Inputs!$G$5:$G$200&lt;&gt;"acoes")))*INDEX(Inputs!$K$5:$AJ$200,0,MATCH(L$2,Inputs!$K$4:$AJ$4,0)))+SUMPRODUCT((Inputs!$C$5:$C$200=$B11)*Inputs!$D$5:$D$200*(((Inputs!$G$5:$G$200="moeda")+(Inputs!$G$5:$G$200="acoes"))*Inputs!$B$1+((Inputs!$G$5:$G$200&lt;&gt;"moeda")*(Inputs!$G$5:$G$200&lt;&gt;"acoes")))*INDEX(Inputs!$K$5:$AJ$200,0,MATCH(L$2,Inputs!$K$4:$AJ$4,0)))+SUMPRODUCT((Inputs!$E$5:$E$200=$B11)*Inputs!$F$5:$F$200*(((Inputs!$G$5:$G$200="moeda")+(Inputs!$G$5:$G$200="acoes"))*Inputs!$B$1+((Inputs!$G$5:$G$200&lt;&gt;"moeda")*(Inputs!$G$5:$G$200&lt;&gt;"acoes")))*INDEX(Inputs!$K$5:$AJ$200,0,MATCH(L$2,Inputs!$K$4:$AJ$4,0)))))</f>
        <v>3.789</v>
      </c>
      <c r="M11" s="3">
        <f>SUM(I11:L11)</f>
        <v>7.72</v>
      </c>
      <c r="N11" s="6">
        <f>IF(ISNA(MATCH(N$2,Inputs!$K$4:$AJ$4,0)),NA(),IF(SUMPRODUCT((Inputs!$A$5:$A$200=$B11)*ISNUMBER(INDEX(Inputs!$K$5:$AJ$200,0,MATCH(N$2,Inputs!$K$4:$AJ$4,0))))+SUMPRODUCT((Inputs!$C$5:$C$200=$B11)*ISNUMBER(INDEX(Inputs!$K$5:$AJ$200,0,MATCH(N$2,Inputs!$K$4:$AJ$4,0))))+SUMPRODUCT((Inputs!$E$5:$E$200=$B11)*ISNUMBER(INDEX(Inputs!$K$5:$AJ$200,0,MATCH(N$2,Inputs!$K$4:$AJ$4,0))))=0,NA(),SUMPRODUCT((Inputs!$A$5:$A$200=$B11)*Inputs!$B$5:$B$200*(((Inputs!$G$5:$G$200="moeda")+(Inputs!$G$5:$G$200="acoes"))*Inputs!$B$1+((Inputs!$G$5:$G$200&lt;&gt;"moeda")*(Inputs!$G$5:$G$200&lt;&gt;"acoes")))*INDEX(Inputs!$K$5:$AJ$200,0,MATCH(N$2,Inputs!$K$4:$AJ$4,0)))+SUMPRODUCT((Inputs!$C$5:$C$200=$B11)*Inputs!$D$5:$D$200*(((Inputs!$G$5:$G$200="moeda")+(Inputs!$G$5:$G$200="acoes"))*Inputs!$B$1+((Inputs!$G$5:$G$200&lt;&gt;"moeda")*(Inputs!$G$5:$G$200&lt;&gt;"acoes")))*INDEX(Inputs!$K$5:$AJ$200,0,MATCH(N$2,Inputs!$K$4:$AJ$4,0)))+SUMPRODUCT((Inputs!$E$5:$E$200=$B11)*Inputs!$F$5:$F$200*(((Inputs!$G$5:$G$200="moeda")+(Inputs!$G$5:$G$200="acoes"))*Inputs!$B$1+((Inputs!$G$5:$G$200&lt;&gt;"moeda")*(Inputs!$G$5:$G$200&lt;&gt;"acoes")))*INDEX(Inputs!$K$5:$AJ$200,0,MATCH(N$2,Inputs!$K$4:$AJ$4,0)))))</f>
        <v>2.973</v>
      </c>
      <c r="O11" s="6">
        <f>IF(ISNA(MATCH(O$2,Inputs!$K$4:$AJ$4,0)),NA(),IF(SUMPRODUCT((Inputs!$A$5:$A$200=$B11)*ISNUMBER(INDEX(Inputs!$K$5:$AJ$200,0,MATCH(O$2,Inputs!$K$4:$AJ$4,0))))+SUMPRODUCT((Inputs!$C$5:$C$200=$B11)*ISNUMBER(INDEX(Inputs!$K$5:$AJ$200,0,MATCH(O$2,Inputs!$K$4:$AJ$4,0))))+SUMPRODUCT((Inputs!$E$5:$E$200=$B11)*ISNUMBER(INDEX(Inputs!$K$5:$AJ$200,0,MATCH(O$2,Inputs!$K$4:$AJ$4,0))))=0,NA(),SUMPRODUCT((Inputs!$A$5:$A$200=$B11)*Inputs!$B$5:$B$200*(((Inputs!$G$5:$G$200="moeda")+(Inputs!$G$5:$G$200="acoes"))*Inputs!$B$1+((Inputs!$G$5:$G$200&lt;&gt;"moeda")*(Inputs!$G$5:$G$200&lt;&gt;"acoes")))*INDEX(Inputs!$K$5:$AJ$200,0,MATCH(O$2,Inputs!$K$4:$AJ$4,0)))+SUMPRODUCT((Inputs!$C$5:$C$200=$B11)*Inputs!$D$5:$D$200*(((Inputs!$G$5:$G$200="moeda")+(Inputs!$G$5:$G$200="acoes"))*Inputs!$B$1+((Inputs!$G$5:$G$200&lt;&gt;"moeda")*(Inputs!$G$5:$G$200&lt;&gt;"acoes")))*INDEX(Inputs!$K$5:$AJ$200,0,MATCH(O$2,Inputs!$K$4:$AJ$4,0)))+SUMPRODUCT((Inputs!$E$5:$E$200=$B11)*Inputs!$F$5:$F$200*(((Inputs!$G$5:$G$200="moeda")+(Inputs!$G$5:$G$200="acoes"))*Inputs!$B$1+((Inputs!$G$5:$G$200&lt;&gt;"moeda")*(Inputs!$G$5:$G$200&lt;&gt;"acoes")))*INDEX(Inputs!$K$5:$AJ$200,0,MATCH(O$2,Inputs!$K$4:$AJ$4,0)))))</f>
        <v>3.062</v>
      </c>
      <c r="P11" s="6">
        <f>IF(ISNA(MATCH(P$2,Inputs!$K$4:$AJ$4,0)),NA(),IF(SUMPRODUCT((Inputs!$A$5:$A$200=$B11)*ISNUMBER(INDEX(Inputs!$K$5:$AJ$200,0,MATCH(P$2,Inputs!$K$4:$AJ$4,0))))+SUMPRODUCT((Inputs!$C$5:$C$200=$B11)*ISNUMBER(INDEX(Inputs!$K$5:$AJ$200,0,MATCH(P$2,Inputs!$K$4:$AJ$4,0))))+SUMPRODUCT((Inputs!$E$5:$E$200=$B11)*ISNUMBER(INDEX(Inputs!$K$5:$AJ$200,0,MATCH(P$2,Inputs!$K$4:$AJ$4,0))))=0,NA(),SUMPRODUCT((Inputs!$A$5:$A$200=$B11)*Inputs!$B$5:$B$200*(((Inputs!$G$5:$G$200="moeda")+(Inputs!$G$5:$G$200="acoes"))*Inputs!$B$1+((Inputs!$G$5:$G$200&lt;&gt;"moeda")*(Inputs!$G$5:$G$200&lt;&gt;"acoes")))*INDEX(Inputs!$K$5:$AJ$200,0,MATCH(P$2,Inputs!$K$4:$AJ$4,0)))+SUMPRODUCT((Inputs!$C$5:$C$200=$B11)*Inputs!$D$5:$D$200*(((Inputs!$G$5:$G$200="moeda")+(Inputs!$G$5:$G$200="acoes"))*Inputs!$B$1+((Inputs!$G$5:$G$200&lt;&gt;"moeda")*(Inputs!$G$5:$G$200&lt;&gt;"acoes")))*INDEX(Inputs!$K$5:$AJ$200,0,MATCH(P$2,Inputs!$K$4:$AJ$4,0)))+SUMPRODUCT((Inputs!$E$5:$E$200=$B11)*Inputs!$F$5:$F$200*(((Inputs!$G$5:$G$200="moeda")+(Inputs!$G$5:$G$200="acoes"))*Inputs!$B$1+((Inputs!$G$5:$G$200&lt;&gt;"moeda")*(Inputs!$G$5:$G$200&lt;&gt;"acoes")))*INDEX(Inputs!$K$5:$AJ$200,0,MATCH(P$2,Inputs!$K$4:$AJ$4,0)))))</f>
        <v>1.779</v>
      </c>
      <c r="Q11" s="6">
        <f>IF(ISNA(MATCH(Q$2,Inputs!$K$4:$AJ$4,0)),NA(),IF(SUMPRODUCT((Inputs!$A$5:$A$200=$B11)*ISNUMBER(INDEX(Inputs!$K$5:$AJ$200,0,MATCH(Q$2,Inputs!$K$4:$AJ$4,0))))+SUMPRODUCT((Inputs!$C$5:$C$200=$B11)*ISNUMBER(INDEX(Inputs!$K$5:$AJ$200,0,MATCH(Q$2,Inputs!$K$4:$AJ$4,0))))+SUMPRODUCT((Inputs!$E$5:$E$200=$B11)*ISNUMBER(INDEX(Inputs!$K$5:$AJ$200,0,MATCH(Q$2,Inputs!$K$4:$AJ$4,0))))=0,NA(),SUMPRODUCT((Inputs!$A$5:$A$200=$B11)*Inputs!$B$5:$B$200*(((Inputs!$G$5:$G$200="moeda")+(Inputs!$G$5:$G$200="acoes"))*Inputs!$B$1+((Inputs!$G$5:$G$200&lt;&gt;"moeda")*(Inputs!$G$5:$G$200&lt;&gt;"acoes")))*INDEX(Inputs!$K$5:$AJ$200,0,MATCH(Q$2,Inputs!$K$4:$AJ$4,0)))+SUMPRODUCT((Inputs!$C$5:$C$200=$B11)*Inputs!$D$5:$D$200*(((Inputs!$G$5:$G$200="moeda")+(Inputs!$G$5:$G$200="acoes"))*Inputs!$B$1+((Inputs!$G$5:$G$200&lt;&gt;"moeda")*(Inputs!$G$5:$G$200&lt;&gt;"acoes")))*INDEX(Inputs!$K$5:$AJ$200,0,MATCH(Q$2,Inputs!$K$4:$AJ$4,0)))+SUMPRODUCT((Inputs!$E$5:$E$200=$B11)*Inputs!$F$5:$F$200*(((Inputs!$G$5:$G$200="moeda")+(Inputs!$G$5:$G$200="acoes"))*Inputs!$B$1+((Inputs!$G$5:$G$200&lt;&gt;"moeda")*(Inputs!$G$5:$G$200&lt;&gt;"acoes")))*INDEX(Inputs!$K$5:$AJ$200,0,MATCH(Q$2,Inputs!$K$4:$AJ$4,0)))))</f>
        <v>3.246</v>
      </c>
      <c r="R11" s="3">
        <f>SUM(N11:Q11)</f>
        <v>11.06</v>
      </c>
      <c r="S11" s="6">
        <f>IF(ISNA(MATCH(S$2,Inputs!$K$4:$AJ$4,0)),NA(),IF(SUMPRODUCT((Inputs!$A$5:$A$200=$B11)*ISNUMBER(INDEX(Inputs!$K$5:$AJ$200,0,MATCH(S$2,Inputs!$K$4:$AJ$4,0))))+SUMPRODUCT((Inputs!$C$5:$C$200=$B11)*ISNUMBER(INDEX(Inputs!$K$5:$AJ$200,0,MATCH(S$2,Inputs!$K$4:$AJ$4,0))))+SUMPRODUCT((Inputs!$E$5:$E$200=$B11)*ISNUMBER(INDEX(Inputs!$K$5:$AJ$200,0,MATCH(S$2,Inputs!$K$4:$AJ$4,0))))=0,NA(),SUMPRODUCT((Inputs!$A$5:$A$200=$B11)*Inputs!$B$5:$B$200*(((Inputs!$G$5:$G$200="moeda")+(Inputs!$G$5:$G$200="acoes"))*Inputs!$B$1+((Inputs!$G$5:$G$200&lt;&gt;"moeda")*(Inputs!$G$5:$G$200&lt;&gt;"acoes")))*INDEX(Inputs!$K$5:$AJ$200,0,MATCH(S$2,Inputs!$K$4:$AJ$4,0)))+SUMPRODUCT((Inputs!$C$5:$C$200=$B11)*Inputs!$D$5:$D$200*(((Inputs!$G$5:$G$200="moeda")+(Inputs!$G$5:$G$200="acoes"))*Inputs!$B$1+((Inputs!$G$5:$G$200&lt;&gt;"moeda")*(Inputs!$G$5:$G$200&lt;&gt;"acoes")))*INDEX(Inputs!$K$5:$AJ$200,0,MATCH(S$2,Inputs!$K$4:$AJ$4,0)))+SUMPRODUCT((Inputs!$E$5:$E$200=$B11)*Inputs!$F$5:$F$200*(((Inputs!$G$5:$G$200="moeda")+(Inputs!$G$5:$G$200="acoes"))*Inputs!$B$1+((Inputs!$G$5:$G$200&lt;&gt;"moeda")*(Inputs!$G$5:$G$200&lt;&gt;"acoes")))*INDEX(Inputs!$K$5:$AJ$200,0,MATCH(S$2,Inputs!$K$4:$AJ$4,0)))))</f>
        <v>4.47</v>
      </c>
      <c r="T11" s="6">
        <f>IF(ISNA(MATCH(T$2,Inputs!$K$4:$AJ$4,0)),NA(),IF(SUMPRODUCT((Inputs!$A$5:$A$200=$B11)*ISNUMBER(INDEX(Inputs!$K$5:$AJ$200,0,MATCH(T$2,Inputs!$K$4:$AJ$4,0))))+SUMPRODUCT((Inputs!$C$5:$C$200=$B11)*ISNUMBER(INDEX(Inputs!$K$5:$AJ$200,0,MATCH(T$2,Inputs!$K$4:$AJ$4,0))))+SUMPRODUCT((Inputs!$E$5:$E$200=$B11)*ISNUMBER(INDEX(Inputs!$K$5:$AJ$200,0,MATCH(T$2,Inputs!$K$4:$AJ$4,0))))=0,NA(),SUMPRODUCT((Inputs!$A$5:$A$200=$B11)*Inputs!$B$5:$B$200*(((Inputs!$G$5:$G$200="moeda")+(Inputs!$G$5:$G$200="acoes"))*Inputs!$B$1+((Inputs!$G$5:$G$200&lt;&gt;"moeda")*(Inputs!$G$5:$G$200&lt;&gt;"acoes")))*INDEX(Inputs!$K$5:$AJ$200,0,MATCH(T$2,Inputs!$K$4:$AJ$4,0)))+SUMPRODUCT((Inputs!$C$5:$C$200=$B11)*Inputs!$D$5:$D$200*(((Inputs!$G$5:$G$200="moeda")+(Inputs!$G$5:$G$200="acoes"))*Inputs!$B$1+((Inputs!$G$5:$G$200&lt;&gt;"moeda")*(Inputs!$G$5:$G$200&lt;&gt;"acoes")))*INDEX(Inputs!$K$5:$AJ$200,0,MATCH(T$2,Inputs!$K$4:$AJ$4,0)))+SUMPRODUCT((Inputs!$E$5:$E$200=$B11)*Inputs!$F$5:$F$200*(((Inputs!$G$5:$G$200="moeda")+(Inputs!$G$5:$G$200="acoes"))*Inputs!$B$1+((Inputs!$G$5:$G$200&lt;&gt;"moeda")*(Inputs!$G$5:$G$200&lt;&gt;"acoes")))*INDEX(Inputs!$K$5:$AJ$200,0,MATCH(T$2,Inputs!$K$4:$AJ$4,0)))))</f>
        <v>2.332</v>
      </c>
      <c r="U11" s="6">
        <f>IF(ISNA(MATCH(U$2,Inputs!$K$4:$AJ$4,0)),NA(),IF(SUMPRODUCT((Inputs!$A$5:$A$200=$B11)*ISNUMBER(INDEX(Inputs!$K$5:$AJ$200,0,MATCH(U$2,Inputs!$K$4:$AJ$4,0))))+SUMPRODUCT((Inputs!$C$5:$C$200=$B11)*ISNUMBER(INDEX(Inputs!$K$5:$AJ$200,0,MATCH(U$2,Inputs!$K$4:$AJ$4,0))))+SUMPRODUCT((Inputs!$E$5:$E$200=$B11)*ISNUMBER(INDEX(Inputs!$K$5:$AJ$200,0,MATCH(U$2,Inputs!$K$4:$AJ$4,0))))=0,NA(),SUMPRODUCT((Inputs!$A$5:$A$200=$B11)*Inputs!$B$5:$B$200*(((Inputs!$G$5:$G$200="moeda")+(Inputs!$G$5:$G$200="acoes"))*Inputs!$B$1+((Inputs!$G$5:$G$200&lt;&gt;"moeda")*(Inputs!$G$5:$G$200&lt;&gt;"acoes")))*INDEX(Inputs!$K$5:$AJ$200,0,MATCH(U$2,Inputs!$K$4:$AJ$4,0)))+SUMPRODUCT((Inputs!$C$5:$C$200=$B11)*Inputs!$D$5:$D$200*(((Inputs!$G$5:$G$200="moeda")+(Inputs!$G$5:$G$200="acoes"))*Inputs!$B$1+((Inputs!$G$5:$G$200&lt;&gt;"moeda")*(Inputs!$G$5:$G$200&lt;&gt;"acoes")))*INDEX(Inputs!$K$5:$AJ$200,0,MATCH(U$2,Inputs!$K$4:$AJ$4,0)))+SUMPRODUCT((Inputs!$E$5:$E$200=$B11)*Inputs!$F$5:$F$200*(((Inputs!$G$5:$G$200="moeda")+(Inputs!$G$5:$G$200="acoes"))*Inputs!$B$1+((Inputs!$G$5:$G$200&lt;&gt;"moeda")*(Inputs!$G$5:$G$200&lt;&gt;"acoes")))*INDEX(Inputs!$K$5:$AJ$200,0,MATCH(U$2,Inputs!$K$4:$AJ$4,0)))))</f>
        <v>5.237</v>
      </c>
      <c r="V11" s="6">
        <f>IF(ISNA(MATCH(V$2,Inputs!$K$4:$AJ$4,0)),NA(),IF(SUMPRODUCT((Inputs!$A$5:$A$200=$B11)*ISNUMBER(INDEX(Inputs!$K$5:$AJ$200,0,MATCH(V$2,Inputs!$K$4:$AJ$4,0))))+SUMPRODUCT((Inputs!$C$5:$C$200=$B11)*ISNUMBER(INDEX(Inputs!$K$5:$AJ$200,0,MATCH(V$2,Inputs!$K$4:$AJ$4,0))))+SUMPRODUCT((Inputs!$E$5:$E$200=$B11)*ISNUMBER(INDEX(Inputs!$K$5:$AJ$200,0,MATCH(V$2,Inputs!$K$4:$AJ$4,0))))=0,NA(),SUMPRODUCT((Inputs!$A$5:$A$200=$B11)*Inputs!$B$5:$B$200*(((Inputs!$G$5:$G$200="moeda")+(Inputs!$G$5:$G$200="acoes"))*Inputs!$B$1+((Inputs!$G$5:$G$200&lt;&gt;"moeda")*(Inputs!$G$5:$G$200&lt;&gt;"acoes")))*INDEX(Inputs!$K$5:$AJ$200,0,MATCH(V$2,Inputs!$K$4:$AJ$4,0)))+SUMPRODUCT((Inputs!$C$5:$C$200=$B11)*Inputs!$D$5:$D$200*(((Inputs!$G$5:$G$200="moeda")+(Inputs!$G$5:$G$200="acoes"))*Inputs!$B$1+((Inputs!$G$5:$G$200&lt;&gt;"moeda")*(Inputs!$G$5:$G$200&lt;&gt;"acoes")))*INDEX(Inputs!$K$5:$AJ$200,0,MATCH(V$2,Inputs!$K$4:$AJ$4,0)))+SUMPRODUCT((Inputs!$E$5:$E$200=$B11)*Inputs!$F$5:$F$200*(((Inputs!$G$5:$G$200="moeda")+(Inputs!$G$5:$G$200="acoes"))*Inputs!$B$1+((Inputs!$G$5:$G$200&lt;&gt;"moeda")*(Inputs!$G$5:$G$200&lt;&gt;"acoes")))*INDEX(Inputs!$K$5:$AJ$200,0,MATCH(V$2,Inputs!$K$4:$AJ$4,0)))))</f>
        <v>2.648</v>
      </c>
      <c r="W11" s="3">
        <f>SUM(S11:V11)</f>
        <v>14.687</v>
      </c>
      <c r="X11" s="6">
        <f>IF(ISNA(MATCH(X$2,Inputs!$K$4:$AJ$4,0)),NA(),IF(SUMPRODUCT((Inputs!$A$5:$A$200=$B11)*ISNUMBER(INDEX(Inputs!$K$5:$AJ$200,0,MATCH(X$2,Inputs!$K$4:$AJ$4,0))))+SUMPRODUCT((Inputs!$C$5:$C$200=$B11)*ISNUMBER(INDEX(Inputs!$K$5:$AJ$200,0,MATCH(X$2,Inputs!$K$4:$AJ$4,0))))+SUMPRODUCT((Inputs!$E$5:$E$200=$B11)*ISNUMBER(INDEX(Inputs!$K$5:$AJ$200,0,MATCH(X$2,Inputs!$K$4:$AJ$4,0))))=0,NA(),SUMPRODUCT((Inputs!$A$5:$A$200=$B11)*Inputs!$B$5:$B$200*(((Inputs!$G$5:$G$200="moeda")+(Inputs!$G$5:$G$200="acoes"))*Inputs!$B$1+((Inputs!$G$5:$G$200&lt;&gt;"moeda")*(Inputs!$G$5:$G$200&lt;&gt;"acoes")))*INDEX(Inputs!$K$5:$AJ$200,0,MATCH(X$2,Inputs!$K$4:$AJ$4,0)))+SUMPRODUCT((Inputs!$C$5:$C$200=$B11)*Inputs!$D$5:$D$200*(((Inputs!$G$5:$G$200="moeda")+(Inputs!$G$5:$G$200="acoes"))*Inputs!$B$1+((Inputs!$G$5:$G$200&lt;&gt;"moeda")*(Inputs!$G$5:$G$200&lt;&gt;"acoes")))*INDEX(Inputs!$K$5:$AJ$200,0,MATCH(X$2,Inputs!$K$4:$AJ$4,0)))+SUMPRODUCT((Inputs!$E$5:$E$200=$B11)*Inputs!$F$5:$F$200*(((Inputs!$G$5:$G$200="moeda")+(Inputs!$G$5:$G$200="acoes"))*Inputs!$B$1+((Inputs!$G$5:$G$200&lt;&gt;"moeda")*(Inputs!$G$5:$G$200&lt;&gt;"acoes")))*INDEX(Inputs!$K$5:$AJ$200,0,MATCH(X$2,Inputs!$K$4:$AJ$4,0)))))</f>
        <v>4.179</v>
      </c>
      <c r="Y11" s="6">
        <f>IF(ISNA(MATCH(Y$2,Inputs!$K$4:$AJ$4,0)),NA(),IF(SUMPRODUCT((Inputs!$A$5:$A$200=$B11)*ISNUMBER(INDEX(Inputs!$K$5:$AJ$200,0,MATCH(Y$2,Inputs!$K$4:$AJ$4,0))))+SUMPRODUCT((Inputs!$C$5:$C$200=$B11)*ISNUMBER(INDEX(Inputs!$K$5:$AJ$200,0,MATCH(Y$2,Inputs!$K$4:$AJ$4,0))))+SUMPRODUCT((Inputs!$E$5:$E$200=$B11)*ISNUMBER(INDEX(Inputs!$K$5:$AJ$200,0,MATCH(Y$2,Inputs!$K$4:$AJ$4,0))))=0,NA(),SUMPRODUCT((Inputs!$A$5:$A$200=$B11)*Inputs!$B$5:$B$200*(((Inputs!$G$5:$G$200="moeda")+(Inputs!$G$5:$G$200="acoes"))*Inputs!$B$1+((Inputs!$G$5:$G$200&lt;&gt;"moeda")*(Inputs!$G$5:$G$200&lt;&gt;"acoes")))*INDEX(Inputs!$K$5:$AJ$200,0,MATCH(Y$2,Inputs!$K$4:$AJ$4,0)))+SUMPRODUCT((Inputs!$C$5:$C$200=$B11)*Inputs!$D$5:$D$200*(((Inputs!$G$5:$G$200="moeda")+(Inputs!$G$5:$G$200="acoes"))*Inputs!$B$1+((Inputs!$G$5:$G$200&lt;&gt;"moeda")*(Inputs!$G$5:$G$200&lt;&gt;"acoes")))*INDEX(Inputs!$K$5:$AJ$200,0,MATCH(Y$2,Inputs!$K$4:$AJ$4,0)))+SUMPRODUCT((Inputs!$E$5:$E$200=$B11)*Inputs!$F$5:$F$200*(((Inputs!$G$5:$G$200="moeda")+(Inputs!$G$5:$G$200="acoes"))*Inputs!$B$1+((Inputs!$G$5:$G$200&lt;&gt;"moeda")*(Inputs!$G$5:$G$200&lt;&gt;"acoes")))*INDEX(Inputs!$K$5:$AJ$200,0,MATCH(Y$2,Inputs!$K$4:$AJ$4,0)))))</f>
        <v>1.578</v>
      </c>
      <c r="Z11" s="6">
        <f>IF(ISNA(MATCH(Z$2,Inputs!$K$4:$AJ$4,0)),NA(),IF(SUMPRODUCT((Inputs!$A$5:$A$200=$B11)*ISNUMBER(INDEX(Inputs!$K$5:$AJ$200,0,MATCH(Z$2,Inputs!$K$4:$AJ$4,0))))+SUMPRODUCT((Inputs!$C$5:$C$200=$B11)*ISNUMBER(INDEX(Inputs!$K$5:$AJ$200,0,MATCH(Z$2,Inputs!$K$4:$AJ$4,0))))+SUMPRODUCT((Inputs!$E$5:$E$200=$B11)*ISNUMBER(INDEX(Inputs!$K$5:$AJ$200,0,MATCH(Z$2,Inputs!$K$4:$AJ$4,0))))=0,NA(),SUMPRODUCT((Inputs!$A$5:$A$200=$B11)*Inputs!$B$5:$B$200*(((Inputs!$G$5:$G$200="moeda")+(Inputs!$G$5:$G$200="acoes"))*Inputs!$B$1+((Inputs!$G$5:$G$200&lt;&gt;"moeda")*(Inputs!$G$5:$G$200&lt;&gt;"acoes")))*INDEX(Inputs!$K$5:$AJ$200,0,MATCH(Z$2,Inputs!$K$4:$AJ$4,0)))+SUMPRODUCT((Inputs!$C$5:$C$200=$B11)*Inputs!$D$5:$D$200*(((Inputs!$G$5:$G$200="moeda")+(Inputs!$G$5:$G$200="acoes"))*Inputs!$B$1+((Inputs!$G$5:$G$200&lt;&gt;"moeda")*(Inputs!$G$5:$G$200&lt;&gt;"acoes")))*INDEX(Inputs!$K$5:$AJ$200,0,MATCH(Z$2,Inputs!$K$4:$AJ$4,0)))+SUMPRODUCT((Inputs!$E$5:$E$200=$B11)*Inputs!$F$5:$F$200*(((Inputs!$G$5:$G$200="moeda")+(Inputs!$G$5:$G$200="acoes"))*Inputs!$B$1+((Inputs!$G$5:$G$200&lt;&gt;"moeda")*(Inputs!$G$5:$G$200&lt;&gt;"acoes")))*INDEX(Inputs!$K$5:$AJ$200,0,MATCH(Z$2,Inputs!$K$4:$AJ$4,0)))))</f>
        <v>1.024</v>
      </c>
      <c r="AA11" s="6">
        <f>IF(ISNA(MATCH(AA$2,Inputs!$K$4:$AJ$4,0)),NA(),IF(SUMPRODUCT((Inputs!$A$5:$A$200=$B11)*ISNUMBER(INDEX(Inputs!$K$5:$AJ$200,0,MATCH(AA$2,Inputs!$K$4:$AJ$4,0))))+SUMPRODUCT((Inputs!$C$5:$C$200=$B11)*ISNUMBER(INDEX(Inputs!$K$5:$AJ$200,0,MATCH(AA$2,Inputs!$K$4:$AJ$4,0))))+SUMPRODUCT((Inputs!$E$5:$E$200=$B11)*ISNUMBER(INDEX(Inputs!$K$5:$AJ$200,0,MATCH(AA$2,Inputs!$K$4:$AJ$4,0))))=0,NA(),SUMPRODUCT((Inputs!$A$5:$A$200=$B11)*Inputs!$B$5:$B$200*(((Inputs!$G$5:$G$200="moeda")+(Inputs!$G$5:$G$200="acoes"))*Inputs!$B$1+((Inputs!$G$5:$G$200&lt;&gt;"moeda")*(Inputs!$G$5:$G$200&lt;&gt;"acoes")))*INDEX(Inputs!$K$5:$AJ$200,0,MATCH(AA$2,Inputs!$K$4:$AJ$4,0)))+SUMPRODUCT((Inputs!$C$5:$C$200=$B11)*Inputs!$D$5:$D$200*(((Inputs!$G$5:$G$200="moeda")+(Inputs!$G$5:$G$200="acoes"))*Inputs!$B$1+((Inputs!$G$5:$G$200&lt;&gt;"moeda")*(Inputs!$G$5:$G$200&lt;&gt;"acoes")))*INDEX(Inputs!$K$5:$AJ$200,0,MATCH(AA$2,Inputs!$K$4:$AJ$4,0)))+SUMPRODUCT((Inputs!$E$5:$E$200=$B11)*Inputs!$F$5:$F$200*(((Inputs!$G$5:$G$200="moeda")+(Inputs!$G$5:$G$200="acoes"))*Inputs!$B$1+((Inputs!$G$5:$G$200&lt;&gt;"moeda")*(Inputs!$G$5:$G$200&lt;&gt;"acoes")))*INDEX(Inputs!$K$5:$AJ$200,0,MATCH(AA$2,Inputs!$K$4:$AJ$4,0)))))</f>
        <v>0.034</v>
      </c>
      <c r="AB11" s="3">
        <f>SUM(X11:AA11)</f>
        <v>6.815</v>
      </c>
      <c r="AC11" s="6">
        <f>IF(ISNA(MATCH(AC$2,Inputs!$K$4:$AJ$4,0)),NA(),IF(SUMPRODUCT((Inputs!$A$5:$A$200=$B11)*ISNUMBER(INDEX(Inputs!$K$5:$AJ$200,0,MATCH(AC$2,Inputs!$K$4:$AJ$4,0))))+SUMPRODUCT((Inputs!$C$5:$C$200=$B11)*ISNUMBER(INDEX(Inputs!$K$5:$AJ$200,0,MATCH(AC$2,Inputs!$K$4:$AJ$4,0))))+SUMPRODUCT((Inputs!$E$5:$E$200=$B11)*ISNUMBER(INDEX(Inputs!$K$5:$AJ$200,0,MATCH(AC$2,Inputs!$K$4:$AJ$4,0))))=0,NA(),SUMPRODUCT((Inputs!$A$5:$A$200=$B11)*Inputs!$B$5:$B$200*(((Inputs!$G$5:$G$200="moeda")+(Inputs!$G$5:$G$200="acoes"))*Inputs!$B$1+((Inputs!$G$5:$G$200&lt;&gt;"moeda")*(Inputs!$G$5:$G$200&lt;&gt;"acoes")))*INDEX(Inputs!$K$5:$AJ$200,0,MATCH(AC$2,Inputs!$K$4:$AJ$4,0)))+SUMPRODUCT((Inputs!$C$5:$C$200=$B11)*Inputs!$D$5:$D$200*(((Inputs!$G$5:$G$200="moeda")+(Inputs!$G$5:$G$200="acoes"))*Inputs!$B$1+((Inputs!$G$5:$G$200&lt;&gt;"moeda")*(Inputs!$G$5:$G$200&lt;&gt;"acoes")))*INDEX(Inputs!$K$5:$AJ$200,0,MATCH(AC$2,Inputs!$K$4:$AJ$4,0)))+SUMPRODUCT((Inputs!$E$5:$E$200=$B11)*Inputs!$F$5:$F$200*(((Inputs!$G$5:$G$200="moeda")+(Inputs!$G$5:$G$200="acoes"))*Inputs!$B$1+((Inputs!$G$5:$G$200&lt;&gt;"moeda")*(Inputs!$G$5:$G$200&lt;&gt;"acoes")))*INDEX(Inputs!$K$5:$AJ$200,0,MATCH(AC$2,Inputs!$K$4:$AJ$4,0)))))</f>
        <v>-0.461</v>
      </c>
      <c r="AD11" s="6">
        <f>IF(ISNA(MATCH(AD$2,Inputs!$K$4:$AJ$4,0)),NA(),IF(SUMPRODUCT((Inputs!$A$5:$A$200=$B11)*ISNUMBER(INDEX(Inputs!$K$5:$AJ$200,0,MATCH(AD$2,Inputs!$K$4:$AJ$4,0))))+SUMPRODUCT((Inputs!$C$5:$C$200=$B11)*ISNUMBER(INDEX(Inputs!$K$5:$AJ$200,0,MATCH(AD$2,Inputs!$K$4:$AJ$4,0))))+SUMPRODUCT((Inputs!$E$5:$E$200=$B11)*ISNUMBER(INDEX(Inputs!$K$5:$AJ$200,0,MATCH(AD$2,Inputs!$K$4:$AJ$4,0))))=0,NA(),SUMPRODUCT((Inputs!$A$5:$A$200=$B11)*Inputs!$B$5:$B$200*(((Inputs!$G$5:$G$200="moeda")+(Inputs!$G$5:$G$200="acoes"))*Inputs!$B$1+((Inputs!$G$5:$G$200&lt;&gt;"moeda")*(Inputs!$G$5:$G$200&lt;&gt;"acoes")))*INDEX(Inputs!$K$5:$AJ$200,0,MATCH(AD$2,Inputs!$K$4:$AJ$4,0)))+SUMPRODUCT((Inputs!$C$5:$C$200=$B11)*Inputs!$D$5:$D$200*(((Inputs!$G$5:$G$200="moeda")+(Inputs!$G$5:$G$200="acoes"))*Inputs!$B$1+((Inputs!$G$5:$G$200&lt;&gt;"moeda")*(Inputs!$G$5:$G$200&lt;&gt;"acoes")))*INDEX(Inputs!$K$5:$AJ$200,0,MATCH(AD$2,Inputs!$K$4:$AJ$4,0)))+SUMPRODUCT((Inputs!$E$5:$E$200=$B11)*Inputs!$F$5:$F$200*(((Inputs!$G$5:$G$200="moeda")+(Inputs!$G$5:$G$200="acoes"))*Inputs!$B$1+((Inputs!$G$5:$G$200&lt;&gt;"moeda")*(Inputs!$G$5:$G$200&lt;&gt;"acoes")))*INDEX(Inputs!$K$5:$AJ$200,0,MATCH(AD$2,Inputs!$K$4:$AJ$4,0)))))</f>
        <v>-4.378</v>
      </c>
      <c r="AE11" s="6" t="e">
        <f>IF(ISNA(MATCH(AE$2,Inputs!$K$4:$AJ$4,0)),NA(),IF(SUMPRODUCT((Inputs!$A$5:$A$200=$B11)*ISNUMBER(INDEX(Inputs!$K$5:$AJ$200,0,MATCH(AE$2,Inputs!$K$4:$AJ$4,0))))+SUMPRODUCT((Inputs!$C$5:$C$200=$B11)*ISNUMBER(INDEX(Inputs!$K$5:$AJ$200,0,MATCH(AE$2,Inputs!$K$4:$AJ$4,0))))+SUMPRODUCT((Inputs!$E$5:$E$200=$B11)*ISNUMBER(INDEX(Inputs!$K$5:$AJ$200,0,MATCH(AE$2,Inputs!$K$4:$AJ$4,0))))=0,NA(),SUMPRODUCT((Inputs!$A$5:$A$200=$B11)*Inputs!$B$5:$B$200*(((Inputs!$G$5:$G$200="moeda")+(Inputs!$G$5:$G$200="acoes"))*Inputs!$B$1+((Inputs!$G$5:$G$200&lt;&gt;"moeda")*(Inputs!$G$5:$G$200&lt;&gt;"acoes")))*INDEX(Inputs!$K$5:$AJ$200,0,MATCH(AE$2,Inputs!$K$4:$AJ$4,0)))+SUMPRODUCT((Inputs!$C$5:$C$200=$B11)*Inputs!$D$5:$D$200*(((Inputs!$G$5:$G$200="moeda")+(Inputs!$G$5:$G$200="acoes"))*Inputs!$B$1+((Inputs!$G$5:$G$200&lt;&gt;"moeda")*(Inputs!$G$5:$G$200&lt;&gt;"acoes")))*INDEX(Inputs!$K$5:$AJ$200,0,MATCH(AE$2,Inputs!$K$4:$AJ$4,0)))+SUMPRODUCT((Inputs!$E$5:$E$200=$B11)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1" s="6" t="e">
        <f>IF(ISNA(MATCH(AF$2,Inputs!$K$4:$AJ$4,0)),NA(),IF(SUMPRODUCT((Inputs!$A$5:$A$200=$B11)*ISNUMBER(INDEX(Inputs!$K$5:$AJ$200,0,MATCH(AF$2,Inputs!$K$4:$AJ$4,0))))+SUMPRODUCT((Inputs!$C$5:$C$200=$B11)*ISNUMBER(INDEX(Inputs!$K$5:$AJ$200,0,MATCH(AF$2,Inputs!$K$4:$AJ$4,0))))+SUMPRODUCT((Inputs!$E$5:$E$200=$B11)*ISNUMBER(INDEX(Inputs!$K$5:$AJ$200,0,MATCH(AF$2,Inputs!$K$4:$AJ$4,0))))=0,NA(),SUMPRODUCT((Inputs!$A$5:$A$200=$B11)*Inputs!$B$5:$B$200*(((Inputs!$G$5:$G$200="moeda")+(Inputs!$G$5:$G$200="acoes"))*Inputs!$B$1+((Inputs!$G$5:$G$200&lt;&gt;"moeda")*(Inputs!$G$5:$G$200&lt;&gt;"acoes")))*INDEX(Inputs!$K$5:$AJ$200,0,MATCH(AF$2,Inputs!$K$4:$AJ$4,0)))+SUMPRODUCT((Inputs!$C$5:$C$200=$B11)*Inputs!$D$5:$D$200*(((Inputs!$G$5:$G$200="moeda")+(Inputs!$G$5:$G$200="acoes"))*Inputs!$B$1+((Inputs!$G$5:$G$200&lt;&gt;"moeda")*(Inputs!$G$5:$G$200&lt;&gt;"acoes")))*INDEX(Inputs!$K$5:$AJ$200,0,MATCH(AF$2,Inputs!$K$4:$AJ$4,0)))+SUMPRODUCT((Inputs!$E$5:$E$200=$B11)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1" s="3" t="e">
        <f>SUM(AC11:AF11)</f>
        <v>#N/A</v>
      </c>
      <c r="AH11" s="6">
        <f>IF(ISNA(MATCH(AH$2,Inputs!$K$4:$AJ$4,0)),NA(),IF(SUMPRODUCT((Inputs!$A$5:$A$200=$B11)*ISNUMBER(INDEX(Inputs!$K$5:$AJ$200,0,MATCH(AH$2,Inputs!$K$4:$AJ$4,0))))+SUMPRODUCT((Inputs!$C$5:$C$200=$B11)*ISNUMBER(INDEX(Inputs!$K$5:$AJ$200,0,MATCH(AH$2,Inputs!$K$4:$AJ$4,0))))+SUMPRODUCT((Inputs!$E$5:$E$200=$B11)*ISNUMBER(INDEX(Inputs!$K$5:$AJ$200,0,MATCH(AH$2,Inputs!$K$4:$AJ$4,0))))=0,NA(),SUMPRODUCT((Inputs!$A$5:$A$200=$B11)*Inputs!$B$5:$B$200*(((Inputs!$G$5:$G$200="moeda")+(Inputs!$G$5:$G$200="acoes"))*Inputs!$B$1+((Inputs!$G$5:$G$200&lt;&gt;"moeda")*(Inputs!$G$5:$G$200&lt;&gt;"acoes")))*INDEX(Inputs!$K$5:$AJ$200,0,MATCH(AH$2,Inputs!$K$4:$AJ$4,0)))+SUMPRODUCT((Inputs!$C$5:$C$200=$B11)*Inputs!$D$5:$D$200*(((Inputs!$G$5:$G$200="moeda")+(Inputs!$G$5:$G$200="acoes"))*Inputs!$B$1+((Inputs!$G$5:$G$200&lt;&gt;"moeda")*(Inputs!$G$5:$G$200&lt;&gt;"acoes")))*INDEX(Inputs!$K$5:$AJ$200,0,MATCH(AH$2,Inputs!$K$4:$AJ$4,0)))+SUMPRODUCT((Inputs!$E$5:$E$200=$B11)*Inputs!$F$5:$F$200*(((Inputs!$G$5:$G$200="moeda")+(Inputs!$G$5:$G$200="acoes"))*Inputs!$B$1+((Inputs!$G$5:$G$200&lt;&gt;"moeda")*(Inputs!$G$5:$G$200&lt;&gt;"acoes")))*INDEX(Inputs!$K$5:$AJ$200,0,MATCH(AH$2,Inputs!$K$4:$AJ$4,0)))))</f>
        <v>-0.035</v>
      </c>
      <c r="AI11" s="6">
        <f>IF(ISNA(MATCH(AI$2,Inputs!$K$4:$AJ$4,0)),NA(),IF(SUMPRODUCT((Inputs!$A$5:$A$200=$B11)*ISNUMBER(INDEX(Inputs!$K$5:$AJ$200,0,MATCH(AI$2,Inputs!$K$4:$AJ$4,0))))+SUMPRODUCT((Inputs!$C$5:$C$200=$B11)*ISNUMBER(INDEX(Inputs!$K$5:$AJ$200,0,MATCH(AI$2,Inputs!$K$4:$AJ$4,0))))+SUMPRODUCT((Inputs!$E$5:$E$200=$B11)*ISNUMBER(INDEX(Inputs!$K$5:$AJ$200,0,MATCH(AI$2,Inputs!$K$4:$AJ$4,0))))=0,NA(),SUMPRODUCT((Inputs!$A$5:$A$200=$B11)*Inputs!$B$5:$B$200*(((Inputs!$G$5:$G$200="moeda")+(Inputs!$G$5:$G$200="acoes"))*Inputs!$B$1+((Inputs!$G$5:$G$200&lt;&gt;"moeda")*(Inputs!$G$5:$G$200&lt;&gt;"acoes")))*INDEX(Inputs!$K$5:$AJ$200,0,MATCH(AI$2,Inputs!$K$4:$AJ$4,0)))+SUMPRODUCT((Inputs!$C$5:$C$200=$B11)*Inputs!$D$5:$D$200*(((Inputs!$G$5:$G$200="moeda")+(Inputs!$G$5:$G$200="acoes"))*Inputs!$B$1+((Inputs!$G$5:$G$200&lt;&gt;"moeda")*(Inputs!$G$5:$G$200&lt;&gt;"acoes")))*INDEX(Inputs!$K$5:$AJ$200,0,MATCH(AI$2,Inputs!$K$4:$AJ$4,0)))+SUMPRODUCT((Inputs!$E$5:$E$200=$B11)*Inputs!$F$5:$F$200*(((Inputs!$G$5:$G$200="moeda")+(Inputs!$G$5:$G$200="acoes"))*Inputs!$B$1+((Inputs!$G$5:$G$200&lt;&gt;"moeda")*(Inputs!$G$5:$G$200&lt;&gt;"acoes")))*INDEX(Inputs!$K$5:$AJ$200,0,MATCH(AI$2,Inputs!$K$4:$AJ$4,0)))))</f>
        <v>0.007</v>
      </c>
      <c r="AJ11" s="6">
        <f>IF(ISNA(MATCH(AJ$2,Inputs!$K$4:$AJ$4,0)),NA(),IF(SUMPRODUCT((Inputs!$A$5:$A$200=$B11)*ISNUMBER(INDEX(Inputs!$K$5:$AJ$200,0,MATCH(AJ$2,Inputs!$K$4:$AJ$4,0))))+SUMPRODUCT((Inputs!$C$5:$C$200=$B11)*ISNUMBER(INDEX(Inputs!$K$5:$AJ$200,0,MATCH(AJ$2,Inputs!$K$4:$AJ$4,0))))+SUMPRODUCT((Inputs!$E$5:$E$200=$B11)*ISNUMBER(INDEX(Inputs!$K$5:$AJ$200,0,MATCH(AJ$2,Inputs!$K$4:$AJ$4,0))))=0,NA(),SUMPRODUCT((Inputs!$A$5:$A$200=$B11)*Inputs!$B$5:$B$200*(((Inputs!$G$5:$G$200="moeda")+(Inputs!$G$5:$G$200="acoes"))*Inputs!$B$1+((Inputs!$G$5:$G$200&lt;&gt;"moeda")*(Inputs!$G$5:$G$200&lt;&gt;"acoes")))*INDEX(Inputs!$K$5:$AJ$200,0,MATCH(AJ$2,Inputs!$K$4:$AJ$4,0)))+SUMPRODUCT((Inputs!$C$5:$C$200=$B11)*Inputs!$D$5:$D$200*(((Inputs!$G$5:$G$200="moeda")+(Inputs!$G$5:$G$200="acoes"))*Inputs!$B$1+((Inputs!$G$5:$G$200&lt;&gt;"moeda")*(Inputs!$G$5:$G$200&lt;&gt;"acoes")))*INDEX(Inputs!$K$5:$AJ$200,0,MATCH(AJ$2,Inputs!$K$4:$AJ$4,0)))+SUMPRODUCT((Inputs!$E$5:$E$200=$B11)*Inputs!$F$5:$F$200*(((Inputs!$G$5:$G$200="moeda")+(Inputs!$G$5:$G$200="acoes"))*Inputs!$B$1+((Inputs!$G$5:$G$200&lt;&gt;"moeda")*(Inputs!$G$5:$G$200&lt;&gt;"acoes")))*INDEX(Inputs!$K$5:$AJ$200,0,MATCH(AJ$2,Inputs!$K$4:$AJ$4,0)))))</f>
        <v>0.456</v>
      </c>
      <c r="AK11" s="6">
        <f>IF(ISNA(MATCH(AK$2,Inputs!$K$4:$AJ$4,0)),NA(),IF(SUMPRODUCT((Inputs!$A$5:$A$200=$B11)*ISNUMBER(INDEX(Inputs!$K$5:$AJ$200,0,MATCH(AK$2,Inputs!$K$4:$AJ$4,0))))+SUMPRODUCT((Inputs!$C$5:$C$200=$B11)*ISNUMBER(INDEX(Inputs!$K$5:$AJ$200,0,MATCH(AK$2,Inputs!$K$4:$AJ$4,0))))+SUMPRODUCT((Inputs!$E$5:$E$200=$B11)*ISNUMBER(INDEX(Inputs!$K$5:$AJ$200,0,MATCH(AK$2,Inputs!$K$4:$AJ$4,0))))=0,NA(),SUMPRODUCT((Inputs!$A$5:$A$200=$B11)*Inputs!$B$5:$B$200*(((Inputs!$G$5:$G$200="moeda")+(Inputs!$G$5:$G$200="acoes"))*Inputs!$B$1+((Inputs!$G$5:$G$200&lt;&gt;"moeda")*(Inputs!$G$5:$G$200&lt;&gt;"acoes")))*INDEX(Inputs!$K$5:$AJ$200,0,MATCH(AK$2,Inputs!$K$4:$AJ$4,0)))+SUMPRODUCT((Inputs!$C$5:$C$200=$B11)*Inputs!$D$5:$D$200*(((Inputs!$G$5:$G$200="moeda")+(Inputs!$G$5:$G$200="acoes"))*Inputs!$B$1+((Inputs!$G$5:$G$200&lt;&gt;"moeda")*(Inputs!$G$5:$G$200&lt;&gt;"acoes")))*INDEX(Inputs!$K$5:$AJ$200,0,MATCH(AK$2,Inputs!$K$4:$AJ$4,0)))+SUMPRODUCT((Inputs!$E$5:$E$200=$B11)*Inputs!$F$5:$F$200*(((Inputs!$G$5:$G$200="moeda")+(Inputs!$G$5:$G$200="acoes"))*Inputs!$B$1+((Inputs!$G$5:$G$200&lt;&gt;"moeda")*(Inputs!$G$5:$G$200&lt;&gt;"acoes")))*INDEX(Inputs!$K$5:$AJ$200,0,MATCH(AK$2,Inputs!$K$4:$AJ$4,0)))))</f>
        <v>0.15</v>
      </c>
      <c r="AL11" s="3">
        <f>SUM(AH11:AK11)</f>
        <v>0.578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$200=$B12)*ISNUMBER(INDEX(Inputs!$K$5:$AJ$200,0,MATCH(D$2,Inputs!$K$4:$AJ$4,0))))+SUMPRODUCT((Inputs!$C$5:$C$200=$B12)*ISNUMBER(INDEX(Inputs!$K$5:$AJ$200,0,MATCH(D$2,Inputs!$K$4:$AJ$4,0))))+SUMPRODUCT((Inputs!$E$5:$E$200=$B12)*ISNUMBER(INDEX(Inputs!$K$5:$AJ$200,0,MATCH(D$2,Inputs!$K$4:$AJ$4,0))))=0,NA(),SUMPRODUCT((Inputs!$A$5:$A$200=$B12)*Inputs!$B$5:$B$200*(((Inputs!$G$5:$G$200="moeda")+(Inputs!$G$5:$G$200="acoes"))*Inputs!$B$1+((Inputs!$G$5:$G$200&lt;&gt;"moeda")*(Inputs!$G$5:$G$200&lt;&gt;"acoes")))*INDEX(Inputs!$K$5:$AJ$200,0,MATCH(D$2,Inputs!$K$4:$AJ$4,0)))+SUMPRODUCT((Inputs!$C$5:$C$200=$B12)*Inputs!$D$5:$D$200*(((Inputs!$G$5:$G$200="moeda")+(Inputs!$G$5:$G$200="acoes"))*Inputs!$B$1+((Inputs!$G$5:$G$200&lt;&gt;"moeda")*(Inputs!$G$5:$G$200&lt;&gt;"acoes")))*INDEX(Inputs!$K$5:$AJ$200,0,MATCH(D$2,Inputs!$K$4:$AJ$4,0)))+SUMPRODUCT((Inputs!$E$5:$E$200=$B12)*Inputs!$F$5:$F$200*(((Inputs!$G$5:$G$200="moeda")+(Inputs!$G$5:$G$200="acoes"))*Inputs!$B$1+((Inputs!$G$5:$G$200&lt;&gt;"moeda")*(Inputs!$G$5:$G$200&lt;&gt;"acoes")))*INDEX(Inputs!$K$5:$AJ$200,0,MATCH(D$2,Inputs!$K$4:$AJ$4,0)))))</f>
        <v>-1.054</v>
      </c>
      <c r="E12" s="6">
        <f>IF(ISNA(MATCH(E$2,Inputs!$K$4:$AJ$4,0)),NA(),IF(SUMPRODUCT((Inputs!$A$5:$A$200=$B12)*ISNUMBER(INDEX(Inputs!$K$5:$AJ$200,0,MATCH(E$2,Inputs!$K$4:$AJ$4,0))))+SUMPRODUCT((Inputs!$C$5:$C$200=$B12)*ISNUMBER(INDEX(Inputs!$K$5:$AJ$200,0,MATCH(E$2,Inputs!$K$4:$AJ$4,0))))+SUMPRODUCT((Inputs!$E$5:$E$200=$B12)*ISNUMBER(INDEX(Inputs!$K$5:$AJ$200,0,MATCH(E$2,Inputs!$K$4:$AJ$4,0))))=0,NA(),SUMPRODUCT((Inputs!$A$5:$A$200=$B12)*Inputs!$B$5:$B$200*(((Inputs!$G$5:$G$200="moeda")+(Inputs!$G$5:$G$200="acoes"))*Inputs!$B$1+((Inputs!$G$5:$G$200&lt;&gt;"moeda")*(Inputs!$G$5:$G$200&lt;&gt;"acoes")))*INDEX(Inputs!$K$5:$AJ$200,0,MATCH(E$2,Inputs!$K$4:$AJ$4,0)))+SUMPRODUCT((Inputs!$C$5:$C$200=$B12)*Inputs!$D$5:$D$200*(((Inputs!$G$5:$G$200="moeda")+(Inputs!$G$5:$G$200="acoes"))*Inputs!$B$1+((Inputs!$G$5:$G$200&lt;&gt;"moeda")*(Inputs!$G$5:$G$200&lt;&gt;"acoes")))*INDEX(Inputs!$K$5:$AJ$200,0,MATCH(E$2,Inputs!$K$4:$AJ$4,0)))+SUMPRODUCT((Inputs!$E$5:$E$200=$B12)*Inputs!$F$5:$F$200*(((Inputs!$G$5:$G$200="moeda")+(Inputs!$G$5:$G$200="acoes"))*Inputs!$B$1+((Inputs!$G$5:$G$200&lt;&gt;"moeda")*(Inputs!$G$5:$G$200&lt;&gt;"acoes")))*INDEX(Inputs!$K$5:$AJ$200,0,MATCH(E$2,Inputs!$K$4:$AJ$4,0)))))</f>
        <v>-0.988</v>
      </c>
      <c r="F12" s="6">
        <f>IF(ISNA(MATCH(F$2,Inputs!$K$4:$AJ$4,0)),NA(),IF(SUMPRODUCT((Inputs!$A$5:$A$200=$B12)*ISNUMBER(INDEX(Inputs!$K$5:$AJ$200,0,MATCH(F$2,Inputs!$K$4:$AJ$4,0))))+SUMPRODUCT((Inputs!$C$5:$C$200=$B12)*ISNUMBER(INDEX(Inputs!$K$5:$AJ$200,0,MATCH(F$2,Inputs!$K$4:$AJ$4,0))))+SUMPRODUCT((Inputs!$E$5:$E$200=$B12)*ISNUMBER(INDEX(Inputs!$K$5:$AJ$200,0,MATCH(F$2,Inputs!$K$4:$AJ$4,0))))=0,NA(),SUMPRODUCT((Inputs!$A$5:$A$200=$B12)*Inputs!$B$5:$B$200*(((Inputs!$G$5:$G$200="moeda")+(Inputs!$G$5:$G$200="acoes"))*Inputs!$B$1+((Inputs!$G$5:$G$200&lt;&gt;"moeda")*(Inputs!$G$5:$G$200&lt;&gt;"acoes")))*INDEX(Inputs!$K$5:$AJ$200,0,MATCH(F$2,Inputs!$K$4:$AJ$4,0)))+SUMPRODUCT((Inputs!$C$5:$C$200=$B12)*Inputs!$D$5:$D$200*(((Inputs!$G$5:$G$200="moeda")+(Inputs!$G$5:$G$200="acoes"))*Inputs!$B$1+((Inputs!$G$5:$G$200&lt;&gt;"moeda")*(Inputs!$G$5:$G$200&lt;&gt;"acoes")))*INDEX(Inputs!$K$5:$AJ$200,0,MATCH(F$2,Inputs!$K$4:$AJ$4,0)))+SUMPRODUCT((Inputs!$E$5:$E$200=$B12)*Inputs!$F$5:$F$200*(((Inputs!$G$5:$G$200="moeda")+(Inputs!$G$5:$G$200="acoes"))*Inputs!$B$1+((Inputs!$G$5:$G$200&lt;&gt;"moeda")*(Inputs!$G$5:$G$200&lt;&gt;"acoes")))*INDEX(Inputs!$K$5:$AJ$200,0,MATCH(F$2,Inputs!$K$4:$AJ$4,0)))))</f>
        <v>-0.859</v>
      </c>
      <c r="G12" s="6">
        <f>IF(ISNA(MATCH(G$2,Inputs!$K$4:$AJ$4,0)),NA(),IF(SUMPRODUCT((Inputs!$A$5:$A$200=$B12)*ISNUMBER(INDEX(Inputs!$K$5:$AJ$200,0,MATCH(G$2,Inputs!$K$4:$AJ$4,0))))+SUMPRODUCT((Inputs!$C$5:$C$200=$B12)*ISNUMBER(INDEX(Inputs!$K$5:$AJ$200,0,MATCH(G$2,Inputs!$K$4:$AJ$4,0))))+SUMPRODUCT((Inputs!$E$5:$E$200=$B12)*ISNUMBER(INDEX(Inputs!$K$5:$AJ$200,0,MATCH(G$2,Inputs!$K$4:$AJ$4,0))))=0,NA(),SUMPRODUCT((Inputs!$A$5:$A$200=$B12)*Inputs!$B$5:$B$200*(((Inputs!$G$5:$G$200="moeda")+(Inputs!$G$5:$G$200="acoes"))*Inputs!$B$1+((Inputs!$G$5:$G$200&lt;&gt;"moeda")*(Inputs!$G$5:$G$200&lt;&gt;"acoes")))*INDEX(Inputs!$K$5:$AJ$200,0,MATCH(G$2,Inputs!$K$4:$AJ$4,0)))+SUMPRODUCT((Inputs!$C$5:$C$200=$B12)*Inputs!$D$5:$D$200*(((Inputs!$G$5:$G$200="moeda")+(Inputs!$G$5:$G$200="acoes"))*Inputs!$B$1+((Inputs!$G$5:$G$200&lt;&gt;"moeda")*(Inputs!$G$5:$G$200&lt;&gt;"acoes")))*INDEX(Inputs!$K$5:$AJ$200,0,MATCH(G$2,Inputs!$K$4:$AJ$4,0)))+SUMPRODUCT((Inputs!$E$5:$E$200=$B12)*Inputs!$F$5:$F$200*(((Inputs!$G$5:$G$200="moeda")+(Inputs!$G$5:$G$200="acoes"))*Inputs!$B$1+((Inputs!$G$5:$G$200&lt;&gt;"moeda")*(Inputs!$G$5:$G$200&lt;&gt;"acoes")))*INDEX(Inputs!$K$5:$AJ$200,0,MATCH(G$2,Inputs!$K$4:$AJ$4,0)))))</f>
        <v>-3.618</v>
      </c>
      <c r="H12" s="3">
        <f>SUM(D12:G12)</f>
        <v>-6.519</v>
      </c>
      <c r="I12" s="6">
        <f>IF(ISNA(MATCH(I$2,Inputs!$K$4:$AJ$4,0)),NA(),IF(SUMPRODUCT((Inputs!$A$5:$A$200=$B12)*ISNUMBER(INDEX(Inputs!$K$5:$AJ$200,0,MATCH(I$2,Inputs!$K$4:$AJ$4,0))))+SUMPRODUCT((Inputs!$C$5:$C$200=$B12)*ISNUMBER(INDEX(Inputs!$K$5:$AJ$200,0,MATCH(I$2,Inputs!$K$4:$AJ$4,0))))+SUMPRODUCT((Inputs!$E$5:$E$200=$B12)*ISNUMBER(INDEX(Inputs!$K$5:$AJ$200,0,MATCH(I$2,Inputs!$K$4:$AJ$4,0))))=0,NA(),SUMPRODUCT((Inputs!$A$5:$A$200=$B12)*Inputs!$B$5:$B$200*(((Inputs!$G$5:$G$200="moeda")+(Inputs!$G$5:$G$200="acoes"))*Inputs!$B$1+((Inputs!$G$5:$G$200&lt;&gt;"moeda")*(Inputs!$G$5:$G$200&lt;&gt;"acoes")))*INDEX(Inputs!$K$5:$AJ$200,0,MATCH(I$2,Inputs!$K$4:$AJ$4,0)))+SUMPRODUCT((Inputs!$C$5:$C$200=$B12)*Inputs!$D$5:$D$200*(((Inputs!$G$5:$G$200="moeda")+(Inputs!$G$5:$G$200="acoes"))*Inputs!$B$1+((Inputs!$G$5:$G$200&lt;&gt;"moeda")*(Inputs!$G$5:$G$200&lt;&gt;"acoes")))*INDEX(Inputs!$K$5:$AJ$200,0,MATCH(I$2,Inputs!$K$4:$AJ$4,0)))+SUMPRODUCT((Inputs!$E$5:$E$200=$B12)*Inputs!$F$5:$F$200*(((Inputs!$G$5:$G$200="moeda")+(Inputs!$G$5:$G$200="acoes"))*Inputs!$B$1+((Inputs!$G$5:$G$200&lt;&gt;"moeda")*(Inputs!$G$5:$G$200&lt;&gt;"acoes")))*INDEX(Inputs!$K$5:$AJ$200,0,MATCH(I$2,Inputs!$K$4:$AJ$4,0)))))</f>
        <v>-0.773</v>
      </c>
      <c r="J12" s="6">
        <f>IF(ISNA(MATCH(J$2,Inputs!$K$4:$AJ$4,0)),NA(),IF(SUMPRODUCT((Inputs!$A$5:$A$200=$B12)*ISNUMBER(INDEX(Inputs!$K$5:$AJ$200,0,MATCH(J$2,Inputs!$K$4:$AJ$4,0))))+SUMPRODUCT((Inputs!$C$5:$C$200=$B12)*ISNUMBER(INDEX(Inputs!$K$5:$AJ$200,0,MATCH(J$2,Inputs!$K$4:$AJ$4,0))))+SUMPRODUCT((Inputs!$E$5:$E$200=$B12)*ISNUMBER(INDEX(Inputs!$K$5:$AJ$200,0,MATCH(J$2,Inputs!$K$4:$AJ$4,0))))=0,NA(),SUMPRODUCT((Inputs!$A$5:$A$200=$B12)*Inputs!$B$5:$B$200*(((Inputs!$G$5:$G$200="moeda")+(Inputs!$G$5:$G$200="acoes"))*Inputs!$B$1+((Inputs!$G$5:$G$200&lt;&gt;"moeda")*(Inputs!$G$5:$G$200&lt;&gt;"acoes")))*INDEX(Inputs!$K$5:$AJ$200,0,MATCH(J$2,Inputs!$K$4:$AJ$4,0)))+SUMPRODUCT((Inputs!$C$5:$C$200=$B12)*Inputs!$D$5:$D$200*(((Inputs!$G$5:$G$200="moeda")+(Inputs!$G$5:$G$200="acoes"))*Inputs!$B$1+((Inputs!$G$5:$G$200&lt;&gt;"moeda")*(Inputs!$G$5:$G$200&lt;&gt;"acoes")))*INDEX(Inputs!$K$5:$AJ$200,0,MATCH(J$2,Inputs!$K$4:$AJ$4,0)))+SUMPRODUCT((Inputs!$E$5:$E$200=$B12)*Inputs!$F$5:$F$200*(((Inputs!$G$5:$G$200="moeda")+(Inputs!$G$5:$G$200="acoes"))*Inputs!$B$1+((Inputs!$G$5:$G$200&lt;&gt;"moeda")*(Inputs!$G$5:$G$200&lt;&gt;"acoes")))*INDEX(Inputs!$K$5:$AJ$200,0,MATCH(J$2,Inputs!$K$4:$AJ$4,0)))))</f>
        <v>-1.65</v>
      </c>
      <c r="K12" s="6">
        <f>IF(ISNA(MATCH(K$2,Inputs!$K$4:$AJ$4,0)),NA(),IF(SUMPRODUCT((Inputs!$A$5:$A$200=$B12)*ISNUMBER(INDEX(Inputs!$K$5:$AJ$200,0,MATCH(K$2,Inputs!$K$4:$AJ$4,0))))+SUMPRODUCT((Inputs!$C$5:$C$200=$B12)*ISNUMBER(INDEX(Inputs!$K$5:$AJ$200,0,MATCH(K$2,Inputs!$K$4:$AJ$4,0))))+SUMPRODUCT((Inputs!$E$5:$E$200=$B12)*ISNUMBER(INDEX(Inputs!$K$5:$AJ$200,0,MATCH(K$2,Inputs!$K$4:$AJ$4,0))))=0,NA(),SUMPRODUCT((Inputs!$A$5:$A$200=$B12)*Inputs!$B$5:$B$200*(((Inputs!$G$5:$G$200="moeda")+(Inputs!$G$5:$G$200="acoes"))*Inputs!$B$1+((Inputs!$G$5:$G$200&lt;&gt;"moeda")*(Inputs!$G$5:$G$200&lt;&gt;"acoes")))*INDEX(Inputs!$K$5:$AJ$200,0,MATCH(K$2,Inputs!$K$4:$AJ$4,0)))+SUMPRODUCT((Inputs!$C$5:$C$200=$B12)*Inputs!$D$5:$D$200*(((Inputs!$G$5:$G$200="moeda")+(Inputs!$G$5:$G$200="acoes"))*Inputs!$B$1+((Inputs!$G$5:$G$200&lt;&gt;"moeda")*(Inputs!$G$5:$G$200&lt;&gt;"acoes")))*INDEX(Inputs!$K$5:$AJ$200,0,MATCH(K$2,Inputs!$K$4:$AJ$4,0)))+SUMPRODUCT((Inputs!$E$5:$E$200=$B12)*Inputs!$F$5:$F$200*(((Inputs!$G$5:$G$200="moeda")+(Inputs!$G$5:$G$200="acoes"))*Inputs!$B$1+((Inputs!$G$5:$G$200&lt;&gt;"moeda")*(Inputs!$G$5:$G$200&lt;&gt;"acoes")))*INDEX(Inputs!$K$5:$AJ$200,0,MATCH(K$2,Inputs!$K$4:$AJ$4,0)))))</f>
        <v>-1.467</v>
      </c>
      <c r="L12" s="6">
        <f>IF(ISNA(MATCH(L$2,Inputs!$K$4:$AJ$4,0)),NA(),IF(SUMPRODUCT((Inputs!$A$5:$A$200=$B12)*ISNUMBER(INDEX(Inputs!$K$5:$AJ$200,0,MATCH(L$2,Inputs!$K$4:$AJ$4,0))))+SUMPRODUCT((Inputs!$C$5:$C$200=$B12)*ISNUMBER(INDEX(Inputs!$K$5:$AJ$200,0,MATCH(L$2,Inputs!$K$4:$AJ$4,0))))+SUMPRODUCT((Inputs!$E$5:$E$200=$B12)*ISNUMBER(INDEX(Inputs!$K$5:$AJ$200,0,MATCH(L$2,Inputs!$K$4:$AJ$4,0))))=0,NA(),SUMPRODUCT((Inputs!$A$5:$A$200=$B12)*Inputs!$B$5:$B$200*(((Inputs!$G$5:$G$200="moeda")+(Inputs!$G$5:$G$200="acoes"))*Inputs!$B$1+((Inputs!$G$5:$G$200&lt;&gt;"moeda")*(Inputs!$G$5:$G$200&lt;&gt;"acoes")))*INDEX(Inputs!$K$5:$AJ$200,0,MATCH(L$2,Inputs!$K$4:$AJ$4,0)))+SUMPRODUCT((Inputs!$C$5:$C$200=$B12)*Inputs!$D$5:$D$200*(((Inputs!$G$5:$G$200="moeda")+(Inputs!$G$5:$G$200="acoes"))*Inputs!$B$1+((Inputs!$G$5:$G$200&lt;&gt;"moeda")*(Inputs!$G$5:$G$200&lt;&gt;"acoes")))*INDEX(Inputs!$K$5:$AJ$200,0,MATCH(L$2,Inputs!$K$4:$AJ$4,0)))+SUMPRODUCT((Inputs!$E$5:$E$200=$B12)*Inputs!$F$5:$F$200*(((Inputs!$G$5:$G$200="moeda")+(Inputs!$G$5:$G$200="acoes"))*Inputs!$B$1+((Inputs!$G$5:$G$200&lt;&gt;"moeda")*(Inputs!$G$5:$G$200&lt;&gt;"acoes")))*INDEX(Inputs!$K$5:$AJ$200,0,MATCH(L$2,Inputs!$K$4:$AJ$4,0)))))</f>
        <v>-1.652</v>
      </c>
      <c r="M12" s="3">
        <f>SUM(I12:L12)</f>
        <v>-5.542</v>
      </c>
      <c r="N12" s="6">
        <f>IF(ISNA(MATCH(N$2,Inputs!$K$4:$AJ$4,0)),NA(),IF(SUMPRODUCT((Inputs!$A$5:$A$200=$B12)*ISNUMBER(INDEX(Inputs!$K$5:$AJ$200,0,MATCH(N$2,Inputs!$K$4:$AJ$4,0))))+SUMPRODUCT((Inputs!$C$5:$C$200=$B12)*ISNUMBER(INDEX(Inputs!$K$5:$AJ$200,0,MATCH(N$2,Inputs!$K$4:$AJ$4,0))))+SUMPRODUCT((Inputs!$E$5:$E$200=$B12)*ISNUMBER(INDEX(Inputs!$K$5:$AJ$200,0,MATCH(N$2,Inputs!$K$4:$AJ$4,0))))=0,NA(),SUMPRODUCT((Inputs!$A$5:$A$200=$B12)*Inputs!$B$5:$B$200*(((Inputs!$G$5:$G$200="moeda")+(Inputs!$G$5:$G$200="acoes"))*Inputs!$B$1+((Inputs!$G$5:$G$200&lt;&gt;"moeda")*(Inputs!$G$5:$G$200&lt;&gt;"acoes")))*INDEX(Inputs!$K$5:$AJ$200,0,MATCH(N$2,Inputs!$K$4:$AJ$4,0)))+SUMPRODUCT((Inputs!$C$5:$C$200=$B12)*Inputs!$D$5:$D$200*(((Inputs!$G$5:$G$200="moeda")+(Inputs!$G$5:$G$200="acoes"))*Inputs!$B$1+((Inputs!$G$5:$G$200&lt;&gt;"moeda")*(Inputs!$G$5:$G$200&lt;&gt;"acoes")))*INDEX(Inputs!$K$5:$AJ$200,0,MATCH(N$2,Inputs!$K$4:$AJ$4,0)))+SUMPRODUCT((Inputs!$E$5:$E$200=$B12)*Inputs!$F$5:$F$200*(((Inputs!$G$5:$G$200="moeda")+(Inputs!$G$5:$G$200="acoes"))*Inputs!$B$1+((Inputs!$G$5:$G$200&lt;&gt;"moeda")*(Inputs!$G$5:$G$200&lt;&gt;"acoes")))*INDEX(Inputs!$K$5:$AJ$200,0,MATCH(N$2,Inputs!$K$4:$AJ$4,0)))))</f>
        <v>-1.893</v>
      </c>
      <c r="O12" s="6">
        <f>IF(ISNA(MATCH(O$2,Inputs!$K$4:$AJ$4,0)),NA(),IF(SUMPRODUCT((Inputs!$A$5:$A$200=$B12)*ISNUMBER(INDEX(Inputs!$K$5:$AJ$200,0,MATCH(O$2,Inputs!$K$4:$AJ$4,0))))+SUMPRODUCT((Inputs!$C$5:$C$200=$B12)*ISNUMBER(INDEX(Inputs!$K$5:$AJ$200,0,MATCH(O$2,Inputs!$K$4:$AJ$4,0))))+SUMPRODUCT((Inputs!$E$5:$E$200=$B12)*ISNUMBER(INDEX(Inputs!$K$5:$AJ$200,0,MATCH(O$2,Inputs!$K$4:$AJ$4,0))))=0,NA(),SUMPRODUCT((Inputs!$A$5:$A$200=$B12)*Inputs!$B$5:$B$200*(((Inputs!$G$5:$G$200="moeda")+(Inputs!$G$5:$G$200="acoes"))*Inputs!$B$1+((Inputs!$G$5:$G$200&lt;&gt;"moeda")*(Inputs!$G$5:$G$200&lt;&gt;"acoes")))*INDEX(Inputs!$K$5:$AJ$200,0,MATCH(O$2,Inputs!$K$4:$AJ$4,0)))+SUMPRODUCT((Inputs!$C$5:$C$200=$B12)*Inputs!$D$5:$D$200*(((Inputs!$G$5:$G$200="moeda")+(Inputs!$G$5:$G$200="acoes"))*Inputs!$B$1+((Inputs!$G$5:$G$200&lt;&gt;"moeda")*(Inputs!$G$5:$G$200&lt;&gt;"acoes")))*INDEX(Inputs!$K$5:$AJ$200,0,MATCH(O$2,Inputs!$K$4:$AJ$4,0)))+SUMPRODUCT((Inputs!$E$5:$E$200=$B12)*Inputs!$F$5:$F$200*(((Inputs!$G$5:$G$200="moeda")+(Inputs!$G$5:$G$200="acoes"))*Inputs!$B$1+((Inputs!$G$5:$G$200&lt;&gt;"moeda")*(Inputs!$G$5:$G$200&lt;&gt;"acoes")))*INDEX(Inputs!$K$5:$AJ$200,0,MATCH(O$2,Inputs!$K$4:$AJ$4,0)))))</f>
        <v>-2.298</v>
      </c>
      <c r="P12" s="6">
        <f>IF(ISNA(MATCH(P$2,Inputs!$K$4:$AJ$4,0)),NA(),IF(SUMPRODUCT((Inputs!$A$5:$A$200=$B12)*ISNUMBER(INDEX(Inputs!$K$5:$AJ$200,0,MATCH(P$2,Inputs!$K$4:$AJ$4,0))))+SUMPRODUCT((Inputs!$C$5:$C$200=$B12)*ISNUMBER(INDEX(Inputs!$K$5:$AJ$200,0,MATCH(P$2,Inputs!$K$4:$AJ$4,0))))+SUMPRODUCT((Inputs!$E$5:$E$200=$B12)*ISNUMBER(INDEX(Inputs!$K$5:$AJ$200,0,MATCH(P$2,Inputs!$K$4:$AJ$4,0))))=0,NA(),SUMPRODUCT((Inputs!$A$5:$A$200=$B12)*Inputs!$B$5:$B$200*(((Inputs!$G$5:$G$200="moeda")+(Inputs!$G$5:$G$200="acoes"))*Inputs!$B$1+((Inputs!$G$5:$G$200&lt;&gt;"moeda")*(Inputs!$G$5:$G$200&lt;&gt;"acoes")))*INDEX(Inputs!$K$5:$AJ$200,0,MATCH(P$2,Inputs!$K$4:$AJ$4,0)))+SUMPRODUCT((Inputs!$C$5:$C$200=$B12)*Inputs!$D$5:$D$200*(((Inputs!$G$5:$G$200="moeda")+(Inputs!$G$5:$G$200="acoes"))*Inputs!$B$1+((Inputs!$G$5:$G$200&lt;&gt;"moeda")*(Inputs!$G$5:$G$200&lt;&gt;"acoes")))*INDEX(Inputs!$K$5:$AJ$200,0,MATCH(P$2,Inputs!$K$4:$AJ$4,0)))+SUMPRODUCT((Inputs!$E$5:$E$200=$B12)*Inputs!$F$5:$F$200*(((Inputs!$G$5:$G$200="moeda")+(Inputs!$G$5:$G$200="acoes"))*Inputs!$B$1+((Inputs!$G$5:$G$200&lt;&gt;"moeda")*(Inputs!$G$5:$G$200&lt;&gt;"acoes")))*INDEX(Inputs!$K$5:$AJ$200,0,MATCH(P$2,Inputs!$K$4:$AJ$4,0)))))</f>
        <v>-2.043</v>
      </c>
      <c r="Q12" s="6">
        <f>IF(ISNA(MATCH(Q$2,Inputs!$K$4:$AJ$4,0)),NA(),IF(SUMPRODUCT((Inputs!$A$5:$A$200=$B12)*ISNUMBER(INDEX(Inputs!$K$5:$AJ$200,0,MATCH(Q$2,Inputs!$K$4:$AJ$4,0))))+SUMPRODUCT((Inputs!$C$5:$C$200=$B12)*ISNUMBER(INDEX(Inputs!$K$5:$AJ$200,0,MATCH(Q$2,Inputs!$K$4:$AJ$4,0))))+SUMPRODUCT((Inputs!$E$5:$E$200=$B12)*ISNUMBER(INDEX(Inputs!$K$5:$AJ$200,0,MATCH(Q$2,Inputs!$K$4:$AJ$4,0))))=0,NA(),SUMPRODUCT((Inputs!$A$5:$A$200=$B12)*Inputs!$B$5:$B$200*(((Inputs!$G$5:$G$200="moeda")+(Inputs!$G$5:$G$200="acoes"))*Inputs!$B$1+((Inputs!$G$5:$G$200&lt;&gt;"moeda")*(Inputs!$G$5:$G$200&lt;&gt;"acoes")))*INDEX(Inputs!$K$5:$AJ$200,0,MATCH(Q$2,Inputs!$K$4:$AJ$4,0)))+SUMPRODUCT((Inputs!$C$5:$C$200=$B12)*Inputs!$D$5:$D$200*(((Inputs!$G$5:$G$200="moeda")+(Inputs!$G$5:$G$200="acoes"))*Inputs!$B$1+((Inputs!$G$5:$G$200&lt;&gt;"moeda")*(Inputs!$G$5:$G$200&lt;&gt;"acoes")))*INDEX(Inputs!$K$5:$AJ$200,0,MATCH(Q$2,Inputs!$K$4:$AJ$4,0)))+SUMPRODUCT((Inputs!$E$5:$E$200=$B12)*Inputs!$F$5:$F$200*(((Inputs!$G$5:$G$200="moeda")+(Inputs!$G$5:$G$200="acoes"))*Inputs!$B$1+((Inputs!$G$5:$G$200&lt;&gt;"moeda")*(Inputs!$G$5:$G$200&lt;&gt;"acoes")))*INDEX(Inputs!$K$5:$AJ$200,0,MATCH(Q$2,Inputs!$K$4:$AJ$4,0)))))</f>
        <v>-3.818</v>
      </c>
      <c r="R12" s="3">
        <f>SUM(N12:Q12)</f>
        <v>-10.052</v>
      </c>
      <c r="S12" s="6">
        <f>IF(ISNA(MATCH(S$2,Inputs!$K$4:$AJ$4,0)),NA(),IF(SUMPRODUCT((Inputs!$A$5:$A$200=$B12)*ISNUMBER(INDEX(Inputs!$K$5:$AJ$200,0,MATCH(S$2,Inputs!$K$4:$AJ$4,0))))+SUMPRODUCT((Inputs!$C$5:$C$200=$B12)*ISNUMBER(INDEX(Inputs!$K$5:$AJ$200,0,MATCH(S$2,Inputs!$K$4:$AJ$4,0))))+SUMPRODUCT((Inputs!$E$5:$E$200=$B12)*ISNUMBER(INDEX(Inputs!$K$5:$AJ$200,0,MATCH(S$2,Inputs!$K$4:$AJ$4,0))))=0,NA(),SUMPRODUCT((Inputs!$A$5:$A$200=$B12)*Inputs!$B$5:$B$200*(((Inputs!$G$5:$G$200="moeda")+(Inputs!$G$5:$G$200="acoes"))*Inputs!$B$1+((Inputs!$G$5:$G$200&lt;&gt;"moeda")*(Inputs!$G$5:$G$200&lt;&gt;"acoes")))*INDEX(Inputs!$K$5:$AJ$200,0,MATCH(S$2,Inputs!$K$4:$AJ$4,0)))+SUMPRODUCT((Inputs!$C$5:$C$200=$B12)*Inputs!$D$5:$D$200*(((Inputs!$G$5:$G$200="moeda")+(Inputs!$G$5:$G$200="acoes"))*Inputs!$B$1+((Inputs!$G$5:$G$200&lt;&gt;"moeda")*(Inputs!$G$5:$G$200&lt;&gt;"acoes")))*INDEX(Inputs!$K$5:$AJ$200,0,MATCH(S$2,Inputs!$K$4:$AJ$4,0)))+SUMPRODUCT((Inputs!$E$5:$E$200=$B12)*Inputs!$F$5:$F$200*(((Inputs!$G$5:$G$200="moeda")+(Inputs!$G$5:$G$200="acoes"))*Inputs!$B$1+((Inputs!$G$5:$G$200&lt;&gt;"moeda")*(Inputs!$G$5:$G$200&lt;&gt;"acoes")))*INDEX(Inputs!$K$5:$AJ$200,0,MATCH(S$2,Inputs!$K$4:$AJ$4,0)))))</f>
        <v>-4.651</v>
      </c>
      <c r="T12" s="6">
        <f>IF(ISNA(MATCH(T$2,Inputs!$K$4:$AJ$4,0)),NA(),IF(SUMPRODUCT((Inputs!$A$5:$A$200=$B12)*ISNUMBER(INDEX(Inputs!$K$5:$AJ$200,0,MATCH(T$2,Inputs!$K$4:$AJ$4,0))))+SUMPRODUCT((Inputs!$C$5:$C$200=$B12)*ISNUMBER(INDEX(Inputs!$K$5:$AJ$200,0,MATCH(T$2,Inputs!$K$4:$AJ$4,0))))+SUMPRODUCT((Inputs!$E$5:$E$200=$B12)*ISNUMBER(INDEX(Inputs!$K$5:$AJ$200,0,MATCH(T$2,Inputs!$K$4:$AJ$4,0))))=0,NA(),SUMPRODUCT((Inputs!$A$5:$A$200=$B12)*Inputs!$B$5:$B$200*(((Inputs!$G$5:$G$200="moeda")+(Inputs!$G$5:$G$200="acoes"))*Inputs!$B$1+((Inputs!$G$5:$G$200&lt;&gt;"moeda")*(Inputs!$G$5:$G$200&lt;&gt;"acoes")))*INDEX(Inputs!$K$5:$AJ$200,0,MATCH(T$2,Inputs!$K$4:$AJ$4,0)))+SUMPRODUCT((Inputs!$C$5:$C$200=$B12)*Inputs!$D$5:$D$200*(((Inputs!$G$5:$G$200="moeda")+(Inputs!$G$5:$G$200="acoes"))*Inputs!$B$1+((Inputs!$G$5:$G$200&lt;&gt;"moeda")*(Inputs!$G$5:$G$200&lt;&gt;"acoes")))*INDEX(Inputs!$K$5:$AJ$200,0,MATCH(T$2,Inputs!$K$4:$AJ$4,0)))+SUMPRODUCT((Inputs!$E$5:$E$200=$B12)*Inputs!$F$5:$F$200*(((Inputs!$G$5:$G$200="moeda")+(Inputs!$G$5:$G$200="acoes"))*Inputs!$B$1+((Inputs!$G$5:$G$200&lt;&gt;"moeda")*(Inputs!$G$5:$G$200&lt;&gt;"acoes")))*INDEX(Inputs!$K$5:$AJ$200,0,MATCH(T$2,Inputs!$K$4:$AJ$4,0)))))</f>
        <v>-2.353</v>
      </c>
      <c r="U12" s="6">
        <f>IF(ISNA(MATCH(U$2,Inputs!$K$4:$AJ$4,0)),NA(),IF(SUMPRODUCT((Inputs!$A$5:$A$200=$B12)*ISNUMBER(INDEX(Inputs!$K$5:$AJ$200,0,MATCH(U$2,Inputs!$K$4:$AJ$4,0))))+SUMPRODUCT((Inputs!$C$5:$C$200=$B12)*ISNUMBER(INDEX(Inputs!$K$5:$AJ$200,0,MATCH(U$2,Inputs!$K$4:$AJ$4,0))))+SUMPRODUCT((Inputs!$E$5:$E$200=$B12)*ISNUMBER(INDEX(Inputs!$K$5:$AJ$200,0,MATCH(U$2,Inputs!$K$4:$AJ$4,0))))=0,NA(),SUMPRODUCT((Inputs!$A$5:$A$200=$B12)*Inputs!$B$5:$B$200*(((Inputs!$G$5:$G$200="moeda")+(Inputs!$G$5:$G$200="acoes"))*Inputs!$B$1+((Inputs!$G$5:$G$200&lt;&gt;"moeda")*(Inputs!$G$5:$G$200&lt;&gt;"acoes")))*INDEX(Inputs!$K$5:$AJ$200,0,MATCH(U$2,Inputs!$K$4:$AJ$4,0)))+SUMPRODUCT((Inputs!$C$5:$C$200=$B12)*Inputs!$D$5:$D$200*(((Inputs!$G$5:$G$200="moeda")+(Inputs!$G$5:$G$200="acoes"))*Inputs!$B$1+((Inputs!$G$5:$G$200&lt;&gt;"moeda")*(Inputs!$G$5:$G$200&lt;&gt;"acoes")))*INDEX(Inputs!$K$5:$AJ$200,0,MATCH(U$2,Inputs!$K$4:$AJ$4,0)))+SUMPRODUCT((Inputs!$E$5:$E$200=$B12)*Inputs!$F$5:$F$200*(((Inputs!$G$5:$G$200="moeda")+(Inputs!$G$5:$G$200="acoes"))*Inputs!$B$1+((Inputs!$G$5:$G$200&lt;&gt;"moeda")*(Inputs!$G$5:$G$200&lt;&gt;"acoes")))*INDEX(Inputs!$K$5:$AJ$200,0,MATCH(U$2,Inputs!$K$4:$AJ$4,0)))))</f>
        <v>-4.172</v>
      </c>
      <c r="V12" s="6">
        <f>IF(ISNA(MATCH(V$2,Inputs!$K$4:$AJ$4,0)),NA(),IF(SUMPRODUCT((Inputs!$A$5:$A$200=$B12)*ISNUMBER(INDEX(Inputs!$K$5:$AJ$200,0,MATCH(V$2,Inputs!$K$4:$AJ$4,0))))+SUMPRODUCT((Inputs!$C$5:$C$200=$B12)*ISNUMBER(INDEX(Inputs!$K$5:$AJ$200,0,MATCH(V$2,Inputs!$K$4:$AJ$4,0))))+SUMPRODUCT((Inputs!$E$5:$E$200=$B12)*ISNUMBER(INDEX(Inputs!$K$5:$AJ$200,0,MATCH(V$2,Inputs!$K$4:$AJ$4,0))))=0,NA(),SUMPRODUCT((Inputs!$A$5:$A$200=$B12)*Inputs!$B$5:$B$200*(((Inputs!$G$5:$G$200="moeda")+(Inputs!$G$5:$G$200="acoes"))*Inputs!$B$1+((Inputs!$G$5:$G$200&lt;&gt;"moeda")*(Inputs!$G$5:$G$200&lt;&gt;"acoes")))*INDEX(Inputs!$K$5:$AJ$200,0,MATCH(V$2,Inputs!$K$4:$AJ$4,0)))+SUMPRODUCT((Inputs!$C$5:$C$200=$B12)*Inputs!$D$5:$D$200*(((Inputs!$G$5:$G$200="moeda")+(Inputs!$G$5:$G$200="acoes"))*Inputs!$B$1+((Inputs!$G$5:$G$200&lt;&gt;"moeda")*(Inputs!$G$5:$G$200&lt;&gt;"acoes")))*INDEX(Inputs!$K$5:$AJ$200,0,MATCH(V$2,Inputs!$K$4:$AJ$4,0)))+SUMPRODUCT((Inputs!$E$5:$E$200=$B12)*Inputs!$F$5:$F$200*(((Inputs!$G$5:$G$200="moeda")+(Inputs!$G$5:$G$200="acoes"))*Inputs!$B$1+((Inputs!$G$5:$G$200&lt;&gt;"moeda")*(Inputs!$G$5:$G$200&lt;&gt;"acoes")))*INDEX(Inputs!$K$5:$AJ$200,0,MATCH(V$2,Inputs!$K$4:$AJ$4,0)))))</f>
        <v>-2.403</v>
      </c>
      <c r="W12" s="3">
        <f>SUM(S12:V12)</f>
        <v>-13.579</v>
      </c>
      <c r="X12" s="6">
        <f>IF(ISNA(MATCH(X$2,Inputs!$K$4:$AJ$4,0)),NA(),IF(SUMPRODUCT((Inputs!$A$5:$A$200=$B12)*ISNUMBER(INDEX(Inputs!$K$5:$AJ$200,0,MATCH(X$2,Inputs!$K$4:$AJ$4,0))))+SUMPRODUCT((Inputs!$C$5:$C$200=$B12)*ISNUMBER(INDEX(Inputs!$K$5:$AJ$200,0,MATCH(X$2,Inputs!$K$4:$AJ$4,0))))+SUMPRODUCT((Inputs!$E$5:$E$200=$B12)*ISNUMBER(INDEX(Inputs!$K$5:$AJ$200,0,MATCH(X$2,Inputs!$K$4:$AJ$4,0))))=0,NA(),SUMPRODUCT((Inputs!$A$5:$A$200=$B12)*Inputs!$B$5:$B$200*(((Inputs!$G$5:$G$200="moeda")+(Inputs!$G$5:$G$200="acoes"))*Inputs!$B$1+((Inputs!$G$5:$G$200&lt;&gt;"moeda")*(Inputs!$G$5:$G$200&lt;&gt;"acoes")))*INDEX(Inputs!$K$5:$AJ$200,0,MATCH(X$2,Inputs!$K$4:$AJ$4,0)))+SUMPRODUCT((Inputs!$C$5:$C$200=$B12)*Inputs!$D$5:$D$200*(((Inputs!$G$5:$G$200="moeda")+(Inputs!$G$5:$G$200="acoes"))*Inputs!$B$1+((Inputs!$G$5:$G$200&lt;&gt;"moeda")*(Inputs!$G$5:$G$200&lt;&gt;"acoes")))*INDEX(Inputs!$K$5:$AJ$200,0,MATCH(X$2,Inputs!$K$4:$AJ$4,0)))+SUMPRODUCT((Inputs!$E$5:$E$200=$B12)*Inputs!$F$5:$F$200*(((Inputs!$G$5:$G$200="moeda")+(Inputs!$G$5:$G$200="acoes"))*Inputs!$B$1+((Inputs!$G$5:$G$200&lt;&gt;"moeda")*(Inputs!$G$5:$G$200&lt;&gt;"acoes")))*INDEX(Inputs!$K$5:$AJ$200,0,MATCH(X$2,Inputs!$K$4:$AJ$4,0)))))</f>
        <v>-2.765</v>
      </c>
      <c r="Y12" s="6">
        <f>IF(ISNA(MATCH(Y$2,Inputs!$K$4:$AJ$4,0)),NA(),IF(SUMPRODUCT((Inputs!$A$5:$A$200=$B12)*ISNUMBER(INDEX(Inputs!$K$5:$AJ$200,0,MATCH(Y$2,Inputs!$K$4:$AJ$4,0))))+SUMPRODUCT((Inputs!$C$5:$C$200=$B12)*ISNUMBER(INDEX(Inputs!$K$5:$AJ$200,0,MATCH(Y$2,Inputs!$K$4:$AJ$4,0))))+SUMPRODUCT((Inputs!$E$5:$E$200=$B12)*ISNUMBER(INDEX(Inputs!$K$5:$AJ$200,0,MATCH(Y$2,Inputs!$K$4:$AJ$4,0))))=0,NA(),SUMPRODUCT((Inputs!$A$5:$A$200=$B12)*Inputs!$B$5:$B$200*(((Inputs!$G$5:$G$200="moeda")+(Inputs!$G$5:$G$200="acoes"))*Inputs!$B$1+((Inputs!$G$5:$G$200&lt;&gt;"moeda")*(Inputs!$G$5:$G$200&lt;&gt;"acoes")))*INDEX(Inputs!$K$5:$AJ$200,0,MATCH(Y$2,Inputs!$K$4:$AJ$4,0)))+SUMPRODUCT((Inputs!$C$5:$C$200=$B12)*Inputs!$D$5:$D$200*(((Inputs!$G$5:$G$200="moeda")+(Inputs!$G$5:$G$200="acoes"))*Inputs!$B$1+((Inputs!$G$5:$G$200&lt;&gt;"moeda")*(Inputs!$G$5:$G$200&lt;&gt;"acoes")))*INDEX(Inputs!$K$5:$AJ$200,0,MATCH(Y$2,Inputs!$K$4:$AJ$4,0)))+SUMPRODUCT((Inputs!$E$5:$E$200=$B12)*Inputs!$F$5:$F$200*(((Inputs!$G$5:$G$200="moeda")+(Inputs!$G$5:$G$200="acoes"))*Inputs!$B$1+((Inputs!$G$5:$G$200&lt;&gt;"moeda")*(Inputs!$G$5:$G$200&lt;&gt;"acoes")))*INDEX(Inputs!$K$5:$AJ$200,0,MATCH(Y$2,Inputs!$K$4:$AJ$4,0)))))</f>
        <v>-2.911</v>
      </c>
      <c r="Z12" s="6">
        <f>IF(ISNA(MATCH(Z$2,Inputs!$K$4:$AJ$4,0)),NA(),IF(SUMPRODUCT((Inputs!$A$5:$A$200=$B12)*ISNUMBER(INDEX(Inputs!$K$5:$AJ$200,0,MATCH(Z$2,Inputs!$K$4:$AJ$4,0))))+SUMPRODUCT((Inputs!$C$5:$C$200=$B12)*ISNUMBER(INDEX(Inputs!$K$5:$AJ$200,0,MATCH(Z$2,Inputs!$K$4:$AJ$4,0))))+SUMPRODUCT((Inputs!$E$5:$E$200=$B12)*ISNUMBER(INDEX(Inputs!$K$5:$AJ$200,0,MATCH(Z$2,Inputs!$K$4:$AJ$4,0))))=0,NA(),SUMPRODUCT((Inputs!$A$5:$A$200=$B12)*Inputs!$B$5:$B$200*(((Inputs!$G$5:$G$200="moeda")+(Inputs!$G$5:$G$200="acoes"))*Inputs!$B$1+((Inputs!$G$5:$G$200&lt;&gt;"moeda")*(Inputs!$G$5:$G$200&lt;&gt;"acoes")))*INDEX(Inputs!$K$5:$AJ$200,0,MATCH(Z$2,Inputs!$K$4:$AJ$4,0)))+SUMPRODUCT((Inputs!$C$5:$C$200=$B12)*Inputs!$D$5:$D$200*(((Inputs!$G$5:$G$200="moeda")+(Inputs!$G$5:$G$200="acoes"))*Inputs!$B$1+((Inputs!$G$5:$G$200&lt;&gt;"moeda")*(Inputs!$G$5:$G$200&lt;&gt;"acoes")))*INDEX(Inputs!$K$5:$AJ$200,0,MATCH(Z$2,Inputs!$K$4:$AJ$4,0)))+SUMPRODUCT((Inputs!$E$5:$E$200=$B12)*Inputs!$F$5:$F$200*(((Inputs!$G$5:$G$200="moeda")+(Inputs!$G$5:$G$200="acoes"))*Inputs!$B$1+((Inputs!$G$5:$G$200&lt;&gt;"moeda")*(Inputs!$G$5:$G$200&lt;&gt;"acoes")))*INDEX(Inputs!$K$5:$AJ$200,0,MATCH(Z$2,Inputs!$K$4:$AJ$4,0)))))</f>
        <v>-4.054</v>
      </c>
      <c r="AA12" s="6">
        <f>IF(ISNA(MATCH(AA$2,Inputs!$K$4:$AJ$4,0)),NA(),IF(SUMPRODUCT((Inputs!$A$5:$A$200=$B12)*ISNUMBER(INDEX(Inputs!$K$5:$AJ$200,0,MATCH(AA$2,Inputs!$K$4:$AJ$4,0))))+SUMPRODUCT((Inputs!$C$5:$C$200=$B12)*ISNUMBER(INDEX(Inputs!$K$5:$AJ$200,0,MATCH(AA$2,Inputs!$K$4:$AJ$4,0))))+SUMPRODUCT((Inputs!$E$5:$E$200=$B12)*ISNUMBER(INDEX(Inputs!$K$5:$AJ$200,0,MATCH(AA$2,Inputs!$K$4:$AJ$4,0))))=0,NA(),SUMPRODUCT((Inputs!$A$5:$A$200=$B12)*Inputs!$B$5:$B$200*(((Inputs!$G$5:$G$200="moeda")+(Inputs!$G$5:$G$200="acoes"))*Inputs!$B$1+((Inputs!$G$5:$G$200&lt;&gt;"moeda")*(Inputs!$G$5:$G$200&lt;&gt;"acoes")))*INDEX(Inputs!$K$5:$AJ$200,0,MATCH(AA$2,Inputs!$K$4:$AJ$4,0)))+SUMPRODUCT((Inputs!$C$5:$C$200=$B12)*Inputs!$D$5:$D$200*(((Inputs!$G$5:$G$200="moeda")+(Inputs!$G$5:$G$200="acoes"))*Inputs!$B$1+((Inputs!$G$5:$G$200&lt;&gt;"moeda")*(Inputs!$G$5:$G$200&lt;&gt;"acoes")))*INDEX(Inputs!$K$5:$AJ$200,0,MATCH(AA$2,Inputs!$K$4:$AJ$4,0)))+SUMPRODUCT((Inputs!$E$5:$E$200=$B12)*Inputs!$F$5:$F$200*(((Inputs!$G$5:$G$200="moeda")+(Inputs!$G$5:$G$200="acoes"))*Inputs!$B$1+((Inputs!$G$5:$G$200&lt;&gt;"moeda")*(Inputs!$G$5:$G$200&lt;&gt;"acoes")))*INDEX(Inputs!$K$5:$AJ$200,0,MATCH(AA$2,Inputs!$K$4:$AJ$4,0)))))</f>
        <v>-4.09</v>
      </c>
      <c r="AB12" s="3">
        <f>SUM(X12:AA12)</f>
        <v>-13.82</v>
      </c>
      <c r="AC12" s="6">
        <f>IF(ISNA(MATCH(AC$2,Inputs!$K$4:$AJ$4,0)),NA(),IF(SUMPRODUCT((Inputs!$A$5:$A$200=$B12)*ISNUMBER(INDEX(Inputs!$K$5:$AJ$200,0,MATCH(AC$2,Inputs!$K$4:$AJ$4,0))))+SUMPRODUCT((Inputs!$C$5:$C$200=$B12)*ISNUMBER(INDEX(Inputs!$K$5:$AJ$200,0,MATCH(AC$2,Inputs!$K$4:$AJ$4,0))))+SUMPRODUCT((Inputs!$E$5:$E$200=$B12)*ISNUMBER(INDEX(Inputs!$K$5:$AJ$200,0,MATCH(AC$2,Inputs!$K$4:$AJ$4,0))))=0,NA(),SUMPRODUCT((Inputs!$A$5:$A$200=$B12)*Inputs!$B$5:$B$200*(((Inputs!$G$5:$G$200="moeda")+(Inputs!$G$5:$G$200="acoes"))*Inputs!$B$1+((Inputs!$G$5:$G$200&lt;&gt;"moeda")*(Inputs!$G$5:$G$200&lt;&gt;"acoes")))*INDEX(Inputs!$K$5:$AJ$200,0,MATCH(AC$2,Inputs!$K$4:$AJ$4,0)))+SUMPRODUCT((Inputs!$C$5:$C$200=$B12)*Inputs!$D$5:$D$200*(((Inputs!$G$5:$G$200="moeda")+(Inputs!$G$5:$G$200="acoes"))*Inputs!$B$1+((Inputs!$G$5:$G$200&lt;&gt;"moeda")*(Inputs!$G$5:$G$200&lt;&gt;"acoes")))*INDEX(Inputs!$K$5:$AJ$200,0,MATCH(AC$2,Inputs!$K$4:$AJ$4,0)))+SUMPRODUCT((Inputs!$E$5:$E$200=$B12)*Inputs!$F$5:$F$200*(((Inputs!$G$5:$G$200="moeda")+(Inputs!$G$5:$G$200="acoes"))*Inputs!$B$1+((Inputs!$G$5:$G$200&lt;&gt;"moeda")*(Inputs!$G$5:$G$200&lt;&gt;"acoes")))*INDEX(Inputs!$K$5:$AJ$200,0,MATCH(AC$2,Inputs!$K$4:$AJ$4,0)))))</f>
        <v>-3.838</v>
      </c>
      <c r="AD12" s="6">
        <f>IF(ISNA(MATCH(AD$2,Inputs!$K$4:$AJ$4,0)),NA(),IF(SUMPRODUCT((Inputs!$A$5:$A$200=$B12)*ISNUMBER(INDEX(Inputs!$K$5:$AJ$200,0,MATCH(AD$2,Inputs!$K$4:$AJ$4,0))))+SUMPRODUCT((Inputs!$C$5:$C$200=$B12)*ISNUMBER(INDEX(Inputs!$K$5:$AJ$200,0,MATCH(AD$2,Inputs!$K$4:$AJ$4,0))))+SUMPRODUCT((Inputs!$E$5:$E$200=$B12)*ISNUMBER(INDEX(Inputs!$K$5:$AJ$200,0,MATCH(AD$2,Inputs!$K$4:$AJ$4,0))))=0,NA(),SUMPRODUCT((Inputs!$A$5:$A$200=$B12)*Inputs!$B$5:$B$200*(((Inputs!$G$5:$G$200="moeda")+(Inputs!$G$5:$G$200="acoes"))*Inputs!$B$1+((Inputs!$G$5:$G$200&lt;&gt;"moeda")*(Inputs!$G$5:$G$200&lt;&gt;"acoes")))*INDEX(Inputs!$K$5:$AJ$200,0,MATCH(AD$2,Inputs!$K$4:$AJ$4,0)))+SUMPRODUCT((Inputs!$C$5:$C$200=$B12)*Inputs!$D$5:$D$200*(((Inputs!$G$5:$G$200="moeda")+(Inputs!$G$5:$G$200="acoes"))*Inputs!$B$1+((Inputs!$G$5:$G$200&lt;&gt;"moeda")*(Inputs!$G$5:$G$200&lt;&gt;"acoes")))*INDEX(Inputs!$K$5:$AJ$200,0,MATCH(AD$2,Inputs!$K$4:$AJ$4,0)))+SUMPRODUCT((Inputs!$E$5:$E$200=$B12)*Inputs!$F$5:$F$200*(((Inputs!$G$5:$G$200="moeda")+(Inputs!$G$5:$G$200="acoes"))*Inputs!$B$1+((Inputs!$G$5:$G$200&lt;&gt;"moeda")*(Inputs!$G$5:$G$200&lt;&gt;"acoes")))*INDEX(Inputs!$K$5:$AJ$200,0,MATCH(AD$2,Inputs!$K$4:$AJ$4,0)))))</f>
        <v>-17.498</v>
      </c>
      <c r="AE12" s="6" t="e">
        <f>IF(ISNA(MATCH(AE$2,Inputs!$K$4:$AJ$4,0)),NA(),IF(SUMPRODUCT((Inputs!$A$5:$A$200=$B12)*ISNUMBER(INDEX(Inputs!$K$5:$AJ$200,0,MATCH(AE$2,Inputs!$K$4:$AJ$4,0))))+SUMPRODUCT((Inputs!$C$5:$C$200=$B12)*ISNUMBER(INDEX(Inputs!$K$5:$AJ$200,0,MATCH(AE$2,Inputs!$K$4:$AJ$4,0))))+SUMPRODUCT((Inputs!$E$5:$E$200=$B12)*ISNUMBER(INDEX(Inputs!$K$5:$AJ$200,0,MATCH(AE$2,Inputs!$K$4:$AJ$4,0))))=0,NA(),SUMPRODUCT((Inputs!$A$5:$A$200=$B12)*Inputs!$B$5:$B$200*(((Inputs!$G$5:$G$200="moeda")+(Inputs!$G$5:$G$200="acoes"))*Inputs!$B$1+((Inputs!$G$5:$G$200&lt;&gt;"moeda")*(Inputs!$G$5:$G$200&lt;&gt;"acoes")))*INDEX(Inputs!$K$5:$AJ$200,0,MATCH(AE$2,Inputs!$K$4:$AJ$4,0)))+SUMPRODUCT((Inputs!$C$5:$C$200=$B12)*Inputs!$D$5:$D$200*(((Inputs!$G$5:$G$200="moeda")+(Inputs!$G$5:$G$200="acoes"))*Inputs!$B$1+((Inputs!$G$5:$G$200&lt;&gt;"moeda")*(Inputs!$G$5:$G$200&lt;&gt;"acoes")))*INDEX(Inputs!$K$5:$AJ$200,0,MATCH(AE$2,Inputs!$K$4:$AJ$4,0)))+SUMPRODUCT((Inputs!$E$5:$E$200=$B12)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2" s="6" t="e">
        <f>IF(ISNA(MATCH(AF$2,Inputs!$K$4:$AJ$4,0)),NA(),IF(SUMPRODUCT((Inputs!$A$5:$A$200=$B12)*ISNUMBER(INDEX(Inputs!$K$5:$AJ$200,0,MATCH(AF$2,Inputs!$K$4:$AJ$4,0))))+SUMPRODUCT((Inputs!$C$5:$C$200=$B12)*ISNUMBER(INDEX(Inputs!$K$5:$AJ$200,0,MATCH(AF$2,Inputs!$K$4:$AJ$4,0))))+SUMPRODUCT((Inputs!$E$5:$E$200=$B12)*ISNUMBER(INDEX(Inputs!$K$5:$AJ$200,0,MATCH(AF$2,Inputs!$K$4:$AJ$4,0))))=0,NA(),SUMPRODUCT((Inputs!$A$5:$A$200=$B12)*Inputs!$B$5:$B$200*(((Inputs!$G$5:$G$200="moeda")+(Inputs!$G$5:$G$200="acoes"))*Inputs!$B$1+((Inputs!$G$5:$G$200&lt;&gt;"moeda")*(Inputs!$G$5:$G$200&lt;&gt;"acoes")))*INDEX(Inputs!$K$5:$AJ$200,0,MATCH(AF$2,Inputs!$K$4:$AJ$4,0)))+SUMPRODUCT((Inputs!$C$5:$C$200=$B12)*Inputs!$D$5:$D$200*(((Inputs!$G$5:$G$200="moeda")+(Inputs!$G$5:$G$200="acoes"))*Inputs!$B$1+((Inputs!$G$5:$G$200&lt;&gt;"moeda")*(Inputs!$G$5:$G$200&lt;&gt;"acoes")))*INDEX(Inputs!$K$5:$AJ$200,0,MATCH(AF$2,Inputs!$K$4:$AJ$4,0)))+SUMPRODUCT((Inputs!$E$5:$E$200=$B12)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2" s="3" t="e">
        <f>SUM(AC12:AF12)</f>
        <v>#N/A</v>
      </c>
      <c r="AH12" s="6">
        <f>IF(ISNA(MATCH(AH$2,Inputs!$K$4:$AJ$4,0)),NA(),IF(SUMPRODUCT((Inputs!$A$5:$A$200=$B12)*ISNUMBER(INDEX(Inputs!$K$5:$AJ$200,0,MATCH(AH$2,Inputs!$K$4:$AJ$4,0))))+SUMPRODUCT((Inputs!$C$5:$C$200=$B12)*ISNUMBER(INDEX(Inputs!$K$5:$AJ$200,0,MATCH(AH$2,Inputs!$K$4:$AJ$4,0))))+SUMPRODUCT((Inputs!$E$5:$E$200=$B12)*ISNUMBER(INDEX(Inputs!$K$5:$AJ$200,0,MATCH(AH$2,Inputs!$K$4:$AJ$4,0))))=0,NA(),SUMPRODUCT((Inputs!$A$5:$A$200=$B12)*Inputs!$B$5:$B$200*(((Inputs!$G$5:$G$200="moeda")+(Inputs!$G$5:$G$200="acoes"))*Inputs!$B$1+((Inputs!$G$5:$G$200&lt;&gt;"moeda")*(Inputs!$G$5:$G$200&lt;&gt;"acoes")))*INDEX(Inputs!$K$5:$AJ$200,0,MATCH(AH$2,Inputs!$K$4:$AJ$4,0)))+SUMPRODUCT((Inputs!$C$5:$C$200=$B12)*Inputs!$D$5:$D$200*(((Inputs!$G$5:$G$200="moeda")+(Inputs!$G$5:$G$200="acoes"))*Inputs!$B$1+((Inputs!$G$5:$G$200&lt;&gt;"moeda")*(Inputs!$G$5:$G$200&lt;&gt;"acoes")))*INDEX(Inputs!$K$5:$AJ$200,0,MATCH(AH$2,Inputs!$K$4:$AJ$4,0)))+SUMPRODUCT((Inputs!$E$5:$E$200=$B12)*Inputs!$F$5:$F$200*(((Inputs!$G$5:$G$200="moeda")+(Inputs!$G$5:$G$200="acoes"))*Inputs!$B$1+((Inputs!$G$5:$G$200&lt;&gt;"moeda")*(Inputs!$G$5:$G$200&lt;&gt;"acoes")))*INDEX(Inputs!$K$5:$AJ$200,0,MATCH(AH$2,Inputs!$K$4:$AJ$4,0)))))</f>
        <v>-0.846</v>
      </c>
      <c r="AI12" s="6">
        <f>IF(ISNA(MATCH(AI$2,Inputs!$K$4:$AJ$4,0)),NA(),IF(SUMPRODUCT((Inputs!$A$5:$A$200=$B12)*ISNUMBER(INDEX(Inputs!$K$5:$AJ$200,0,MATCH(AI$2,Inputs!$K$4:$AJ$4,0))))+SUMPRODUCT((Inputs!$C$5:$C$200=$B12)*ISNUMBER(INDEX(Inputs!$K$5:$AJ$200,0,MATCH(AI$2,Inputs!$K$4:$AJ$4,0))))+SUMPRODUCT((Inputs!$E$5:$E$200=$B12)*ISNUMBER(INDEX(Inputs!$K$5:$AJ$200,0,MATCH(AI$2,Inputs!$K$4:$AJ$4,0))))=0,NA(),SUMPRODUCT((Inputs!$A$5:$A$200=$B12)*Inputs!$B$5:$B$200*(((Inputs!$G$5:$G$200="moeda")+(Inputs!$G$5:$G$200="acoes"))*Inputs!$B$1+((Inputs!$G$5:$G$200&lt;&gt;"moeda")*(Inputs!$G$5:$G$200&lt;&gt;"acoes")))*INDEX(Inputs!$K$5:$AJ$200,0,MATCH(AI$2,Inputs!$K$4:$AJ$4,0)))+SUMPRODUCT((Inputs!$C$5:$C$200=$B12)*Inputs!$D$5:$D$200*(((Inputs!$G$5:$G$200="moeda")+(Inputs!$G$5:$G$200="acoes"))*Inputs!$B$1+((Inputs!$G$5:$G$200&lt;&gt;"moeda")*(Inputs!$G$5:$G$200&lt;&gt;"acoes")))*INDEX(Inputs!$K$5:$AJ$200,0,MATCH(AI$2,Inputs!$K$4:$AJ$4,0)))+SUMPRODUCT((Inputs!$E$5:$E$200=$B12)*Inputs!$F$5:$F$200*(((Inputs!$G$5:$G$200="moeda")+(Inputs!$G$5:$G$200="acoes"))*Inputs!$B$1+((Inputs!$G$5:$G$200&lt;&gt;"moeda")*(Inputs!$G$5:$G$200&lt;&gt;"acoes")))*INDEX(Inputs!$K$5:$AJ$200,0,MATCH(AI$2,Inputs!$K$4:$AJ$4,0)))))</f>
        <v>-0.662</v>
      </c>
      <c r="AJ12" s="6">
        <f>IF(ISNA(MATCH(AJ$2,Inputs!$K$4:$AJ$4,0)),NA(),IF(SUMPRODUCT((Inputs!$A$5:$A$200=$B12)*ISNUMBER(INDEX(Inputs!$K$5:$AJ$200,0,MATCH(AJ$2,Inputs!$K$4:$AJ$4,0))))+SUMPRODUCT((Inputs!$C$5:$C$200=$B12)*ISNUMBER(INDEX(Inputs!$K$5:$AJ$200,0,MATCH(AJ$2,Inputs!$K$4:$AJ$4,0))))+SUMPRODUCT((Inputs!$E$5:$E$200=$B12)*ISNUMBER(INDEX(Inputs!$K$5:$AJ$200,0,MATCH(AJ$2,Inputs!$K$4:$AJ$4,0))))=0,NA(),SUMPRODUCT((Inputs!$A$5:$A$200=$B12)*Inputs!$B$5:$B$200*(((Inputs!$G$5:$G$200="moeda")+(Inputs!$G$5:$G$200="acoes"))*Inputs!$B$1+((Inputs!$G$5:$G$200&lt;&gt;"moeda")*(Inputs!$G$5:$G$200&lt;&gt;"acoes")))*INDEX(Inputs!$K$5:$AJ$200,0,MATCH(AJ$2,Inputs!$K$4:$AJ$4,0)))+SUMPRODUCT((Inputs!$C$5:$C$200=$B12)*Inputs!$D$5:$D$200*(((Inputs!$G$5:$G$200="moeda")+(Inputs!$G$5:$G$200="acoes"))*Inputs!$B$1+((Inputs!$G$5:$G$200&lt;&gt;"moeda")*(Inputs!$G$5:$G$200&lt;&gt;"acoes")))*INDEX(Inputs!$K$5:$AJ$200,0,MATCH(AJ$2,Inputs!$K$4:$AJ$4,0)))+SUMPRODUCT((Inputs!$E$5:$E$200=$B12)*Inputs!$F$5:$F$200*(((Inputs!$G$5:$G$200="moeda")+(Inputs!$G$5:$G$200="acoes"))*Inputs!$B$1+((Inputs!$G$5:$G$200&lt;&gt;"moeda")*(Inputs!$G$5:$G$200&lt;&gt;"acoes")))*INDEX(Inputs!$K$5:$AJ$200,0,MATCH(AJ$2,Inputs!$K$4:$AJ$4,0)))))</f>
        <v>-1.268</v>
      </c>
      <c r="AK12" s="6">
        <f>IF(ISNA(MATCH(AK$2,Inputs!$K$4:$AJ$4,0)),NA(),IF(SUMPRODUCT((Inputs!$A$5:$A$200=$B12)*ISNUMBER(INDEX(Inputs!$K$5:$AJ$200,0,MATCH(AK$2,Inputs!$K$4:$AJ$4,0))))+SUMPRODUCT((Inputs!$C$5:$C$200=$B12)*ISNUMBER(INDEX(Inputs!$K$5:$AJ$200,0,MATCH(AK$2,Inputs!$K$4:$AJ$4,0))))+SUMPRODUCT((Inputs!$E$5:$E$200=$B12)*ISNUMBER(INDEX(Inputs!$K$5:$AJ$200,0,MATCH(AK$2,Inputs!$K$4:$AJ$4,0))))=0,NA(),SUMPRODUCT((Inputs!$A$5:$A$200=$B12)*Inputs!$B$5:$B$200*(((Inputs!$G$5:$G$200="moeda")+(Inputs!$G$5:$G$200="acoes"))*Inputs!$B$1+((Inputs!$G$5:$G$200&lt;&gt;"moeda")*(Inputs!$G$5:$G$200&lt;&gt;"acoes")))*INDEX(Inputs!$K$5:$AJ$200,0,MATCH(AK$2,Inputs!$K$4:$AJ$4,0)))+SUMPRODUCT((Inputs!$C$5:$C$200=$B12)*Inputs!$D$5:$D$200*(((Inputs!$G$5:$G$200="moeda")+(Inputs!$G$5:$G$200="acoes"))*Inputs!$B$1+((Inputs!$G$5:$G$200&lt;&gt;"moeda")*(Inputs!$G$5:$G$200&lt;&gt;"acoes")))*INDEX(Inputs!$K$5:$AJ$200,0,MATCH(AK$2,Inputs!$K$4:$AJ$4,0)))+SUMPRODUCT((Inputs!$E$5:$E$200=$B12)*Inputs!$F$5:$F$200*(((Inputs!$G$5:$G$200="moeda")+(Inputs!$G$5:$G$200="acoes"))*Inputs!$B$1+((Inputs!$G$5:$G$200&lt;&gt;"moeda")*(Inputs!$G$5:$G$200&lt;&gt;"acoes")))*INDEX(Inputs!$K$5:$AJ$200,0,MATCH(AK$2,Inputs!$K$4:$AJ$4,0)))))</f>
        <v>-17.289</v>
      </c>
      <c r="AL12" s="3">
        <f>SUM(AH12:AK12)</f>
        <v>-20.065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$200=$B13)*ISNUMBER(INDEX(Inputs!$K$5:$AJ$200,0,MATCH(D$2,Inputs!$K$4:$AJ$4,0))))+SUMPRODUCT((Inputs!$C$5:$C$200=$B13)*ISNUMBER(INDEX(Inputs!$K$5:$AJ$200,0,MATCH(D$2,Inputs!$K$4:$AJ$4,0))))+SUMPRODUCT((Inputs!$E$5:$E$200=$B13)*ISNUMBER(INDEX(Inputs!$K$5:$AJ$200,0,MATCH(D$2,Inputs!$K$4:$AJ$4,0))))=0,NA(),SUMPRODUCT((Inputs!$A$5:$A$200=$B13)*Inputs!$B$5:$B$200*(((Inputs!$G$5:$G$200="moeda")+(Inputs!$G$5:$G$200="acoes"))*Inputs!$B$1+((Inputs!$G$5:$G$200&lt;&gt;"moeda")*(Inputs!$G$5:$G$200&lt;&gt;"acoes")))*INDEX(Inputs!$K$5:$AJ$200,0,MATCH(D$2,Inputs!$K$4:$AJ$4,0)))+SUMPRODUCT((Inputs!$C$5:$C$200=$B13)*Inputs!$D$5:$D$200*(((Inputs!$G$5:$G$200="moeda")+(Inputs!$G$5:$G$200="acoes"))*Inputs!$B$1+((Inputs!$G$5:$G$200&lt;&gt;"moeda")*(Inputs!$G$5:$G$200&lt;&gt;"acoes")))*INDEX(Inputs!$K$5:$AJ$200,0,MATCH(D$2,Inputs!$K$4:$AJ$4,0)))+SUMPRODUCT((Inputs!$E$5:$E$200=$B13)*Inputs!$F$5:$F$200*(((Inputs!$G$5:$G$200="moeda")+(Inputs!$G$5:$G$200="acoes"))*Inputs!$B$1+((Inputs!$G$5:$G$200&lt;&gt;"moeda")*(Inputs!$G$5:$G$200&lt;&gt;"acoes")))*INDEX(Inputs!$K$5:$AJ$200,0,MATCH(D$2,Inputs!$K$4:$AJ$4,0)))))</f>
        <v>0</v>
      </c>
      <c r="E13" s="6">
        <f>IF(ISNA(MATCH(E$2,Inputs!$K$4:$AJ$4,0)),NA(),IF(SUMPRODUCT((Inputs!$A$5:$A$200=$B13)*ISNUMBER(INDEX(Inputs!$K$5:$AJ$200,0,MATCH(E$2,Inputs!$K$4:$AJ$4,0))))+SUMPRODUCT((Inputs!$C$5:$C$200=$B13)*ISNUMBER(INDEX(Inputs!$K$5:$AJ$200,0,MATCH(E$2,Inputs!$K$4:$AJ$4,0))))+SUMPRODUCT((Inputs!$E$5:$E$200=$B13)*ISNUMBER(INDEX(Inputs!$K$5:$AJ$200,0,MATCH(E$2,Inputs!$K$4:$AJ$4,0))))=0,NA(),SUMPRODUCT((Inputs!$A$5:$A$200=$B13)*Inputs!$B$5:$B$200*(((Inputs!$G$5:$G$200="moeda")+(Inputs!$G$5:$G$200="acoes"))*Inputs!$B$1+((Inputs!$G$5:$G$200&lt;&gt;"moeda")*(Inputs!$G$5:$G$200&lt;&gt;"acoes")))*INDEX(Inputs!$K$5:$AJ$200,0,MATCH(E$2,Inputs!$K$4:$AJ$4,0)))+SUMPRODUCT((Inputs!$C$5:$C$200=$B13)*Inputs!$D$5:$D$200*(((Inputs!$G$5:$G$200="moeda")+(Inputs!$G$5:$G$200="acoes"))*Inputs!$B$1+((Inputs!$G$5:$G$200&lt;&gt;"moeda")*(Inputs!$G$5:$G$200&lt;&gt;"acoes")))*INDEX(Inputs!$K$5:$AJ$200,0,MATCH(E$2,Inputs!$K$4:$AJ$4,0)))+SUMPRODUCT((Inputs!$E$5:$E$200=$B13)*Inputs!$F$5:$F$200*(((Inputs!$G$5:$G$200="moeda")+(Inputs!$G$5:$G$200="acoes"))*Inputs!$B$1+((Inputs!$G$5:$G$200&lt;&gt;"moeda")*(Inputs!$G$5:$G$200&lt;&gt;"acoes")))*INDEX(Inputs!$K$5:$AJ$200,0,MATCH(E$2,Inputs!$K$4:$AJ$4,0)))))</f>
        <v>0</v>
      </c>
      <c r="F13" s="6">
        <f>IF(ISNA(MATCH(F$2,Inputs!$K$4:$AJ$4,0)),NA(),IF(SUMPRODUCT((Inputs!$A$5:$A$200=$B13)*ISNUMBER(INDEX(Inputs!$K$5:$AJ$200,0,MATCH(F$2,Inputs!$K$4:$AJ$4,0))))+SUMPRODUCT((Inputs!$C$5:$C$200=$B13)*ISNUMBER(INDEX(Inputs!$K$5:$AJ$200,0,MATCH(F$2,Inputs!$K$4:$AJ$4,0))))+SUMPRODUCT((Inputs!$E$5:$E$200=$B13)*ISNUMBER(INDEX(Inputs!$K$5:$AJ$200,0,MATCH(F$2,Inputs!$K$4:$AJ$4,0))))=0,NA(),SUMPRODUCT((Inputs!$A$5:$A$200=$B13)*Inputs!$B$5:$B$200*(((Inputs!$G$5:$G$200="moeda")+(Inputs!$G$5:$G$200="acoes"))*Inputs!$B$1+((Inputs!$G$5:$G$200&lt;&gt;"moeda")*(Inputs!$G$5:$G$200&lt;&gt;"acoes")))*INDEX(Inputs!$K$5:$AJ$200,0,MATCH(F$2,Inputs!$K$4:$AJ$4,0)))+SUMPRODUCT((Inputs!$C$5:$C$200=$B13)*Inputs!$D$5:$D$200*(((Inputs!$G$5:$G$200="moeda")+(Inputs!$G$5:$G$200="acoes"))*Inputs!$B$1+((Inputs!$G$5:$G$200&lt;&gt;"moeda")*(Inputs!$G$5:$G$200&lt;&gt;"acoes")))*INDEX(Inputs!$K$5:$AJ$200,0,MATCH(F$2,Inputs!$K$4:$AJ$4,0)))+SUMPRODUCT((Inputs!$E$5:$E$200=$B13)*Inputs!$F$5:$F$200*(((Inputs!$G$5:$G$200="moeda")+(Inputs!$G$5:$G$200="acoes"))*Inputs!$B$1+((Inputs!$G$5:$G$200&lt;&gt;"moeda")*(Inputs!$G$5:$G$200&lt;&gt;"acoes")))*INDEX(Inputs!$K$5:$AJ$200,0,MATCH(F$2,Inputs!$K$4:$AJ$4,0)))))</f>
        <v>0</v>
      </c>
      <c r="G13" s="6">
        <f>IF(ISNA(MATCH(G$2,Inputs!$K$4:$AJ$4,0)),NA(),IF(SUMPRODUCT((Inputs!$A$5:$A$200=$B13)*ISNUMBER(INDEX(Inputs!$K$5:$AJ$200,0,MATCH(G$2,Inputs!$K$4:$AJ$4,0))))+SUMPRODUCT((Inputs!$C$5:$C$200=$B13)*ISNUMBER(INDEX(Inputs!$K$5:$AJ$200,0,MATCH(G$2,Inputs!$K$4:$AJ$4,0))))+SUMPRODUCT((Inputs!$E$5:$E$200=$B13)*ISNUMBER(INDEX(Inputs!$K$5:$AJ$200,0,MATCH(G$2,Inputs!$K$4:$AJ$4,0))))=0,NA(),SUMPRODUCT((Inputs!$A$5:$A$200=$B13)*Inputs!$B$5:$B$200*(((Inputs!$G$5:$G$200="moeda")+(Inputs!$G$5:$G$200="acoes"))*Inputs!$B$1+((Inputs!$G$5:$G$200&lt;&gt;"moeda")*(Inputs!$G$5:$G$200&lt;&gt;"acoes")))*INDEX(Inputs!$K$5:$AJ$200,0,MATCH(G$2,Inputs!$K$4:$AJ$4,0)))+SUMPRODUCT((Inputs!$C$5:$C$200=$B13)*Inputs!$D$5:$D$200*(((Inputs!$G$5:$G$200="moeda")+(Inputs!$G$5:$G$200="acoes"))*Inputs!$B$1+((Inputs!$G$5:$G$200&lt;&gt;"moeda")*(Inputs!$G$5:$G$200&lt;&gt;"acoes")))*INDEX(Inputs!$K$5:$AJ$200,0,MATCH(G$2,Inputs!$K$4:$AJ$4,0)))+SUMPRODUCT((Inputs!$E$5:$E$200=$B13)*Inputs!$F$5:$F$200*(((Inputs!$G$5:$G$200="moeda")+(Inputs!$G$5:$G$200="acoes"))*Inputs!$B$1+((Inputs!$G$5:$G$200&lt;&gt;"moeda")*(Inputs!$G$5:$G$200&lt;&gt;"acoes")))*INDEX(Inputs!$K$5:$AJ$200,0,MATCH(G$2,Inputs!$K$4:$AJ$4,0)))))</f>
        <v>0</v>
      </c>
      <c r="H13" s="3">
        <f>SUM(D13:G13)</f>
        <v>0</v>
      </c>
      <c r="I13" s="6">
        <f>IF(ISNA(MATCH(I$2,Inputs!$K$4:$AJ$4,0)),NA(),IF(SUMPRODUCT((Inputs!$A$5:$A$200=$B13)*ISNUMBER(INDEX(Inputs!$K$5:$AJ$200,0,MATCH(I$2,Inputs!$K$4:$AJ$4,0))))+SUMPRODUCT((Inputs!$C$5:$C$200=$B13)*ISNUMBER(INDEX(Inputs!$K$5:$AJ$200,0,MATCH(I$2,Inputs!$K$4:$AJ$4,0))))+SUMPRODUCT((Inputs!$E$5:$E$200=$B13)*ISNUMBER(INDEX(Inputs!$K$5:$AJ$200,0,MATCH(I$2,Inputs!$K$4:$AJ$4,0))))=0,NA(),SUMPRODUCT((Inputs!$A$5:$A$200=$B13)*Inputs!$B$5:$B$200*(((Inputs!$G$5:$G$200="moeda")+(Inputs!$G$5:$G$200="acoes"))*Inputs!$B$1+((Inputs!$G$5:$G$200&lt;&gt;"moeda")*(Inputs!$G$5:$G$200&lt;&gt;"acoes")))*INDEX(Inputs!$K$5:$AJ$200,0,MATCH(I$2,Inputs!$K$4:$AJ$4,0)))+SUMPRODUCT((Inputs!$C$5:$C$200=$B13)*Inputs!$D$5:$D$200*(((Inputs!$G$5:$G$200="moeda")+(Inputs!$G$5:$G$200="acoes"))*Inputs!$B$1+((Inputs!$G$5:$G$200&lt;&gt;"moeda")*(Inputs!$G$5:$G$200&lt;&gt;"acoes")))*INDEX(Inputs!$K$5:$AJ$200,0,MATCH(I$2,Inputs!$K$4:$AJ$4,0)))+SUMPRODUCT((Inputs!$E$5:$E$200=$B13)*Inputs!$F$5:$F$200*(((Inputs!$G$5:$G$200="moeda")+(Inputs!$G$5:$G$200="acoes"))*Inputs!$B$1+((Inputs!$G$5:$G$200&lt;&gt;"moeda")*(Inputs!$G$5:$G$200&lt;&gt;"acoes")))*INDEX(Inputs!$K$5:$AJ$200,0,MATCH(I$2,Inputs!$K$4:$AJ$4,0)))))</f>
        <v>0</v>
      </c>
      <c r="J13" s="6">
        <f>IF(ISNA(MATCH(J$2,Inputs!$K$4:$AJ$4,0)),NA(),IF(SUMPRODUCT((Inputs!$A$5:$A$200=$B13)*ISNUMBER(INDEX(Inputs!$K$5:$AJ$200,0,MATCH(J$2,Inputs!$K$4:$AJ$4,0))))+SUMPRODUCT((Inputs!$C$5:$C$200=$B13)*ISNUMBER(INDEX(Inputs!$K$5:$AJ$200,0,MATCH(J$2,Inputs!$K$4:$AJ$4,0))))+SUMPRODUCT((Inputs!$E$5:$E$200=$B13)*ISNUMBER(INDEX(Inputs!$K$5:$AJ$200,0,MATCH(J$2,Inputs!$K$4:$AJ$4,0))))=0,NA(),SUMPRODUCT((Inputs!$A$5:$A$200=$B13)*Inputs!$B$5:$B$200*(((Inputs!$G$5:$G$200="moeda")+(Inputs!$G$5:$G$200="acoes"))*Inputs!$B$1+((Inputs!$G$5:$G$200&lt;&gt;"moeda")*(Inputs!$G$5:$G$200&lt;&gt;"acoes")))*INDEX(Inputs!$K$5:$AJ$200,0,MATCH(J$2,Inputs!$K$4:$AJ$4,0)))+SUMPRODUCT((Inputs!$C$5:$C$200=$B13)*Inputs!$D$5:$D$200*(((Inputs!$G$5:$G$200="moeda")+(Inputs!$G$5:$G$200="acoes"))*Inputs!$B$1+((Inputs!$G$5:$G$200&lt;&gt;"moeda")*(Inputs!$G$5:$G$200&lt;&gt;"acoes")))*INDEX(Inputs!$K$5:$AJ$200,0,MATCH(J$2,Inputs!$K$4:$AJ$4,0)))+SUMPRODUCT((Inputs!$E$5:$E$200=$B13)*Inputs!$F$5:$F$200*(((Inputs!$G$5:$G$200="moeda")+(Inputs!$G$5:$G$200="acoes"))*Inputs!$B$1+((Inputs!$G$5:$G$200&lt;&gt;"moeda")*(Inputs!$G$5:$G$200&lt;&gt;"acoes")))*INDEX(Inputs!$K$5:$AJ$200,0,MATCH(J$2,Inputs!$K$4:$AJ$4,0)))))</f>
        <v>0</v>
      </c>
      <c r="K13" s="6">
        <f>IF(ISNA(MATCH(K$2,Inputs!$K$4:$AJ$4,0)),NA(),IF(SUMPRODUCT((Inputs!$A$5:$A$200=$B13)*ISNUMBER(INDEX(Inputs!$K$5:$AJ$200,0,MATCH(K$2,Inputs!$K$4:$AJ$4,0))))+SUMPRODUCT((Inputs!$C$5:$C$200=$B13)*ISNUMBER(INDEX(Inputs!$K$5:$AJ$200,0,MATCH(K$2,Inputs!$K$4:$AJ$4,0))))+SUMPRODUCT((Inputs!$E$5:$E$200=$B13)*ISNUMBER(INDEX(Inputs!$K$5:$AJ$200,0,MATCH(K$2,Inputs!$K$4:$AJ$4,0))))=0,NA(),SUMPRODUCT((Inputs!$A$5:$A$200=$B13)*Inputs!$B$5:$B$200*(((Inputs!$G$5:$G$200="moeda")+(Inputs!$G$5:$G$200="acoes"))*Inputs!$B$1+((Inputs!$G$5:$G$200&lt;&gt;"moeda")*(Inputs!$G$5:$G$200&lt;&gt;"acoes")))*INDEX(Inputs!$K$5:$AJ$200,0,MATCH(K$2,Inputs!$K$4:$AJ$4,0)))+SUMPRODUCT((Inputs!$C$5:$C$200=$B13)*Inputs!$D$5:$D$200*(((Inputs!$G$5:$G$200="moeda")+(Inputs!$G$5:$G$200="acoes"))*Inputs!$B$1+((Inputs!$G$5:$G$200&lt;&gt;"moeda")*(Inputs!$G$5:$G$200&lt;&gt;"acoes")))*INDEX(Inputs!$K$5:$AJ$200,0,MATCH(K$2,Inputs!$K$4:$AJ$4,0)))+SUMPRODUCT((Inputs!$E$5:$E$200=$B13)*Inputs!$F$5:$F$200*(((Inputs!$G$5:$G$200="moeda")+(Inputs!$G$5:$G$200="acoes"))*Inputs!$B$1+((Inputs!$G$5:$G$200&lt;&gt;"moeda")*(Inputs!$G$5:$G$200&lt;&gt;"acoes")))*INDEX(Inputs!$K$5:$AJ$200,0,MATCH(K$2,Inputs!$K$4:$AJ$4,0)))))</f>
        <v>0</v>
      </c>
      <c r="L13" s="6">
        <f>IF(ISNA(MATCH(L$2,Inputs!$K$4:$AJ$4,0)),NA(),IF(SUMPRODUCT((Inputs!$A$5:$A$200=$B13)*ISNUMBER(INDEX(Inputs!$K$5:$AJ$200,0,MATCH(L$2,Inputs!$K$4:$AJ$4,0))))+SUMPRODUCT((Inputs!$C$5:$C$200=$B13)*ISNUMBER(INDEX(Inputs!$K$5:$AJ$200,0,MATCH(L$2,Inputs!$K$4:$AJ$4,0))))+SUMPRODUCT((Inputs!$E$5:$E$200=$B13)*ISNUMBER(INDEX(Inputs!$K$5:$AJ$200,0,MATCH(L$2,Inputs!$K$4:$AJ$4,0))))=0,NA(),SUMPRODUCT((Inputs!$A$5:$A$200=$B13)*Inputs!$B$5:$B$200*(((Inputs!$G$5:$G$200="moeda")+(Inputs!$G$5:$G$200="acoes"))*Inputs!$B$1+((Inputs!$G$5:$G$200&lt;&gt;"moeda")*(Inputs!$G$5:$G$200&lt;&gt;"acoes")))*INDEX(Inputs!$K$5:$AJ$200,0,MATCH(L$2,Inputs!$K$4:$AJ$4,0)))+SUMPRODUCT((Inputs!$C$5:$C$200=$B13)*Inputs!$D$5:$D$200*(((Inputs!$G$5:$G$200="moeda")+(Inputs!$G$5:$G$200="acoes"))*Inputs!$B$1+((Inputs!$G$5:$G$200&lt;&gt;"moeda")*(Inputs!$G$5:$G$200&lt;&gt;"acoes")))*INDEX(Inputs!$K$5:$AJ$200,0,MATCH(L$2,Inputs!$K$4:$AJ$4,0)))+SUMPRODUCT((Inputs!$E$5:$E$200=$B13)*Inputs!$F$5:$F$200*(((Inputs!$G$5:$G$200="moeda")+(Inputs!$G$5:$G$200="acoes"))*Inputs!$B$1+((Inputs!$G$5:$G$200&lt;&gt;"moeda")*(Inputs!$G$5:$G$200&lt;&gt;"acoes")))*INDEX(Inputs!$K$5:$AJ$200,0,MATCH(L$2,Inputs!$K$4:$AJ$4,0)))))</f>
        <v>0</v>
      </c>
      <c r="M13" s="3">
        <f>SUM(I13:L13)</f>
        <v>0</v>
      </c>
      <c r="N13" s="6">
        <f>IF(ISNA(MATCH(N$2,Inputs!$K$4:$AJ$4,0)),NA(),IF(SUMPRODUCT((Inputs!$A$5:$A$200=$B13)*ISNUMBER(INDEX(Inputs!$K$5:$AJ$200,0,MATCH(N$2,Inputs!$K$4:$AJ$4,0))))+SUMPRODUCT((Inputs!$C$5:$C$200=$B13)*ISNUMBER(INDEX(Inputs!$K$5:$AJ$200,0,MATCH(N$2,Inputs!$K$4:$AJ$4,0))))+SUMPRODUCT((Inputs!$E$5:$E$200=$B13)*ISNUMBER(INDEX(Inputs!$K$5:$AJ$200,0,MATCH(N$2,Inputs!$K$4:$AJ$4,0))))=0,NA(),SUMPRODUCT((Inputs!$A$5:$A$200=$B13)*Inputs!$B$5:$B$200*(((Inputs!$G$5:$G$200="moeda")+(Inputs!$G$5:$G$200="acoes"))*Inputs!$B$1+((Inputs!$G$5:$G$200&lt;&gt;"moeda")*(Inputs!$G$5:$G$200&lt;&gt;"acoes")))*INDEX(Inputs!$K$5:$AJ$200,0,MATCH(N$2,Inputs!$K$4:$AJ$4,0)))+SUMPRODUCT((Inputs!$C$5:$C$200=$B13)*Inputs!$D$5:$D$200*(((Inputs!$G$5:$G$200="moeda")+(Inputs!$G$5:$G$200="acoes"))*Inputs!$B$1+((Inputs!$G$5:$G$200&lt;&gt;"moeda")*(Inputs!$G$5:$G$200&lt;&gt;"acoes")))*INDEX(Inputs!$K$5:$AJ$200,0,MATCH(N$2,Inputs!$K$4:$AJ$4,0)))+SUMPRODUCT((Inputs!$E$5:$E$200=$B13)*Inputs!$F$5:$F$200*(((Inputs!$G$5:$G$200="moeda")+(Inputs!$G$5:$G$200="acoes"))*Inputs!$B$1+((Inputs!$G$5:$G$200&lt;&gt;"moeda")*(Inputs!$G$5:$G$200&lt;&gt;"acoes")))*INDEX(Inputs!$K$5:$AJ$200,0,MATCH(N$2,Inputs!$K$4:$AJ$4,0)))))</f>
        <v>0</v>
      </c>
      <c r="O13" s="6">
        <f>IF(ISNA(MATCH(O$2,Inputs!$K$4:$AJ$4,0)),NA(),IF(SUMPRODUCT((Inputs!$A$5:$A$200=$B13)*ISNUMBER(INDEX(Inputs!$K$5:$AJ$200,0,MATCH(O$2,Inputs!$K$4:$AJ$4,0))))+SUMPRODUCT((Inputs!$C$5:$C$200=$B13)*ISNUMBER(INDEX(Inputs!$K$5:$AJ$200,0,MATCH(O$2,Inputs!$K$4:$AJ$4,0))))+SUMPRODUCT((Inputs!$E$5:$E$200=$B13)*ISNUMBER(INDEX(Inputs!$K$5:$AJ$200,0,MATCH(O$2,Inputs!$K$4:$AJ$4,0))))=0,NA(),SUMPRODUCT((Inputs!$A$5:$A$200=$B13)*Inputs!$B$5:$B$200*(((Inputs!$G$5:$G$200="moeda")+(Inputs!$G$5:$G$200="acoes"))*Inputs!$B$1+((Inputs!$G$5:$G$200&lt;&gt;"moeda")*(Inputs!$G$5:$G$200&lt;&gt;"acoes")))*INDEX(Inputs!$K$5:$AJ$200,0,MATCH(O$2,Inputs!$K$4:$AJ$4,0)))+SUMPRODUCT((Inputs!$C$5:$C$200=$B13)*Inputs!$D$5:$D$200*(((Inputs!$G$5:$G$200="moeda")+(Inputs!$G$5:$G$200="acoes"))*Inputs!$B$1+((Inputs!$G$5:$G$200&lt;&gt;"moeda")*(Inputs!$G$5:$G$200&lt;&gt;"acoes")))*INDEX(Inputs!$K$5:$AJ$200,0,MATCH(O$2,Inputs!$K$4:$AJ$4,0)))+SUMPRODUCT((Inputs!$E$5:$E$200=$B13)*Inputs!$F$5:$F$200*(((Inputs!$G$5:$G$200="moeda")+(Inputs!$G$5:$G$200="acoes"))*Inputs!$B$1+((Inputs!$G$5:$G$200&lt;&gt;"moeda")*(Inputs!$G$5:$G$200&lt;&gt;"acoes")))*INDEX(Inputs!$K$5:$AJ$200,0,MATCH(O$2,Inputs!$K$4:$AJ$4,0)))))</f>
        <v>0</v>
      </c>
      <c r="P13" s="6">
        <f>IF(ISNA(MATCH(P$2,Inputs!$K$4:$AJ$4,0)),NA(),IF(SUMPRODUCT((Inputs!$A$5:$A$200=$B13)*ISNUMBER(INDEX(Inputs!$K$5:$AJ$200,0,MATCH(P$2,Inputs!$K$4:$AJ$4,0))))+SUMPRODUCT((Inputs!$C$5:$C$200=$B13)*ISNUMBER(INDEX(Inputs!$K$5:$AJ$200,0,MATCH(P$2,Inputs!$K$4:$AJ$4,0))))+SUMPRODUCT((Inputs!$E$5:$E$200=$B13)*ISNUMBER(INDEX(Inputs!$K$5:$AJ$200,0,MATCH(P$2,Inputs!$K$4:$AJ$4,0))))=0,NA(),SUMPRODUCT((Inputs!$A$5:$A$200=$B13)*Inputs!$B$5:$B$200*(((Inputs!$G$5:$G$200="moeda")+(Inputs!$G$5:$G$200="acoes"))*Inputs!$B$1+((Inputs!$G$5:$G$200&lt;&gt;"moeda")*(Inputs!$G$5:$G$200&lt;&gt;"acoes")))*INDEX(Inputs!$K$5:$AJ$200,0,MATCH(P$2,Inputs!$K$4:$AJ$4,0)))+SUMPRODUCT((Inputs!$C$5:$C$200=$B13)*Inputs!$D$5:$D$200*(((Inputs!$G$5:$G$200="moeda")+(Inputs!$G$5:$G$200="acoes"))*Inputs!$B$1+((Inputs!$G$5:$G$200&lt;&gt;"moeda")*(Inputs!$G$5:$G$200&lt;&gt;"acoes")))*INDEX(Inputs!$K$5:$AJ$200,0,MATCH(P$2,Inputs!$K$4:$AJ$4,0)))+SUMPRODUCT((Inputs!$E$5:$E$200=$B13)*Inputs!$F$5:$F$200*(((Inputs!$G$5:$G$200="moeda")+(Inputs!$G$5:$G$200="acoes"))*Inputs!$B$1+((Inputs!$G$5:$G$200&lt;&gt;"moeda")*(Inputs!$G$5:$G$200&lt;&gt;"acoes")))*INDEX(Inputs!$K$5:$AJ$200,0,MATCH(P$2,Inputs!$K$4:$AJ$4,0)))))</f>
        <v>0</v>
      </c>
      <c r="Q13" s="6">
        <f>IF(ISNA(MATCH(Q$2,Inputs!$K$4:$AJ$4,0)),NA(),IF(SUMPRODUCT((Inputs!$A$5:$A$200=$B13)*ISNUMBER(INDEX(Inputs!$K$5:$AJ$200,0,MATCH(Q$2,Inputs!$K$4:$AJ$4,0))))+SUMPRODUCT((Inputs!$C$5:$C$200=$B13)*ISNUMBER(INDEX(Inputs!$K$5:$AJ$200,0,MATCH(Q$2,Inputs!$K$4:$AJ$4,0))))+SUMPRODUCT((Inputs!$E$5:$E$200=$B13)*ISNUMBER(INDEX(Inputs!$K$5:$AJ$200,0,MATCH(Q$2,Inputs!$K$4:$AJ$4,0))))=0,NA(),SUMPRODUCT((Inputs!$A$5:$A$200=$B13)*Inputs!$B$5:$B$200*(((Inputs!$G$5:$G$200="moeda")+(Inputs!$G$5:$G$200="acoes"))*Inputs!$B$1+((Inputs!$G$5:$G$200&lt;&gt;"moeda")*(Inputs!$G$5:$G$200&lt;&gt;"acoes")))*INDEX(Inputs!$K$5:$AJ$200,0,MATCH(Q$2,Inputs!$K$4:$AJ$4,0)))+SUMPRODUCT((Inputs!$C$5:$C$200=$B13)*Inputs!$D$5:$D$200*(((Inputs!$G$5:$G$200="moeda")+(Inputs!$G$5:$G$200="acoes"))*Inputs!$B$1+((Inputs!$G$5:$G$200&lt;&gt;"moeda")*(Inputs!$G$5:$G$200&lt;&gt;"acoes")))*INDEX(Inputs!$K$5:$AJ$200,0,MATCH(Q$2,Inputs!$K$4:$AJ$4,0)))+SUMPRODUCT((Inputs!$E$5:$E$200=$B13)*Inputs!$F$5:$F$200*(((Inputs!$G$5:$G$200="moeda")+(Inputs!$G$5:$G$200="acoes"))*Inputs!$B$1+((Inputs!$G$5:$G$200&lt;&gt;"moeda")*(Inputs!$G$5:$G$200&lt;&gt;"acoes")))*INDEX(Inputs!$K$5:$AJ$200,0,MATCH(Q$2,Inputs!$K$4:$AJ$4,0)))))</f>
        <v>0</v>
      </c>
      <c r="R13" s="3">
        <f>SUM(N13:Q13)</f>
        <v>0</v>
      </c>
      <c r="S13" s="6">
        <f>IF(ISNA(MATCH(S$2,Inputs!$K$4:$AJ$4,0)),NA(),IF(SUMPRODUCT((Inputs!$A$5:$A$200=$B13)*ISNUMBER(INDEX(Inputs!$K$5:$AJ$200,0,MATCH(S$2,Inputs!$K$4:$AJ$4,0))))+SUMPRODUCT((Inputs!$C$5:$C$200=$B13)*ISNUMBER(INDEX(Inputs!$K$5:$AJ$200,0,MATCH(S$2,Inputs!$K$4:$AJ$4,0))))+SUMPRODUCT((Inputs!$E$5:$E$200=$B13)*ISNUMBER(INDEX(Inputs!$K$5:$AJ$200,0,MATCH(S$2,Inputs!$K$4:$AJ$4,0))))=0,NA(),SUMPRODUCT((Inputs!$A$5:$A$200=$B13)*Inputs!$B$5:$B$200*(((Inputs!$G$5:$G$200="moeda")+(Inputs!$G$5:$G$200="acoes"))*Inputs!$B$1+((Inputs!$G$5:$G$200&lt;&gt;"moeda")*(Inputs!$G$5:$G$200&lt;&gt;"acoes")))*INDEX(Inputs!$K$5:$AJ$200,0,MATCH(S$2,Inputs!$K$4:$AJ$4,0)))+SUMPRODUCT((Inputs!$C$5:$C$200=$B13)*Inputs!$D$5:$D$200*(((Inputs!$G$5:$G$200="moeda")+(Inputs!$G$5:$G$200="acoes"))*Inputs!$B$1+((Inputs!$G$5:$G$200&lt;&gt;"moeda")*(Inputs!$G$5:$G$200&lt;&gt;"acoes")))*INDEX(Inputs!$K$5:$AJ$200,0,MATCH(S$2,Inputs!$K$4:$AJ$4,0)))+SUMPRODUCT((Inputs!$E$5:$E$200=$B13)*Inputs!$F$5:$F$200*(((Inputs!$G$5:$G$200="moeda")+(Inputs!$G$5:$G$200="acoes"))*Inputs!$B$1+((Inputs!$G$5:$G$200&lt;&gt;"moeda")*(Inputs!$G$5:$G$200&lt;&gt;"acoes")))*INDEX(Inputs!$K$5:$AJ$200,0,MATCH(S$2,Inputs!$K$4:$AJ$4,0)))))</f>
        <v>0</v>
      </c>
      <c r="T13" s="6">
        <f>IF(ISNA(MATCH(T$2,Inputs!$K$4:$AJ$4,0)),NA(),IF(SUMPRODUCT((Inputs!$A$5:$A$200=$B13)*ISNUMBER(INDEX(Inputs!$K$5:$AJ$200,0,MATCH(T$2,Inputs!$K$4:$AJ$4,0))))+SUMPRODUCT((Inputs!$C$5:$C$200=$B13)*ISNUMBER(INDEX(Inputs!$K$5:$AJ$200,0,MATCH(T$2,Inputs!$K$4:$AJ$4,0))))+SUMPRODUCT((Inputs!$E$5:$E$200=$B13)*ISNUMBER(INDEX(Inputs!$K$5:$AJ$200,0,MATCH(T$2,Inputs!$K$4:$AJ$4,0))))=0,NA(),SUMPRODUCT((Inputs!$A$5:$A$200=$B13)*Inputs!$B$5:$B$200*(((Inputs!$G$5:$G$200="moeda")+(Inputs!$G$5:$G$200="acoes"))*Inputs!$B$1+((Inputs!$G$5:$G$200&lt;&gt;"moeda")*(Inputs!$G$5:$G$200&lt;&gt;"acoes")))*INDEX(Inputs!$K$5:$AJ$200,0,MATCH(T$2,Inputs!$K$4:$AJ$4,0)))+SUMPRODUCT((Inputs!$C$5:$C$200=$B13)*Inputs!$D$5:$D$200*(((Inputs!$G$5:$G$200="moeda")+(Inputs!$G$5:$G$200="acoes"))*Inputs!$B$1+((Inputs!$G$5:$G$200&lt;&gt;"moeda")*(Inputs!$G$5:$G$200&lt;&gt;"acoes")))*INDEX(Inputs!$K$5:$AJ$200,0,MATCH(T$2,Inputs!$K$4:$AJ$4,0)))+SUMPRODUCT((Inputs!$E$5:$E$200=$B13)*Inputs!$F$5:$F$200*(((Inputs!$G$5:$G$200="moeda")+(Inputs!$G$5:$G$200="acoes"))*Inputs!$B$1+((Inputs!$G$5:$G$200&lt;&gt;"moeda")*(Inputs!$G$5:$G$200&lt;&gt;"acoes")))*INDEX(Inputs!$K$5:$AJ$200,0,MATCH(T$2,Inputs!$K$4:$AJ$4,0)))))</f>
        <v>0</v>
      </c>
      <c r="U13" s="6">
        <f>IF(ISNA(MATCH(U$2,Inputs!$K$4:$AJ$4,0)),NA(),IF(SUMPRODUCT((Inputs!$A$5:$A$200=$B13)*ISNUMBER(INDEX(Inputs!$K$5:$AJ$200,0,MATCH(U$2,Inputs!$K$4:$AJ$4,0))))+SUMPRODUCT((Inputs!$C$5:$C$200=$B13)*ISNUMBER(INDEX(Inputs!$K$5:$AJ$200,0,MATCH(U$2,Inputs!$K$4:$AJ$4,0))))+SUMPRODUCT((Inputs!$E$5:$E$200=$B13)*ISNUMBER(INDEX(Inputs!$K$5:$AJ$200,0,MATCH(U$2,Inputs!$K$4:$AJ$4,0))))=0,NA(),SUMPRODUCT((Inputs!$A$5:$A$200=$B13)*Inputs!$B$5:$B$200*(((Inputs!$G$5:$G$200="moeda")+(Inputs!$G$5:$G$200="acoes"))*Inputs!$B$1+((Inputs!$G$5:$G$200&lt;&gt;"moeda")*(Inputs!$G$5:$G$200&lt;&gt;"acoes")))*INDEX(Inputs!$K$5:$AJ$200,0,MATCH(U$2,Inputs!$K$4:$AJ$4,0)))+SUMPRODUCT((Inputs!$C$5:$C$200=$B13)*Inputs!$D$5:$D$200*(((Inputs!$G$5:$G$200="moeda")+(Inputs!$G$5:$G$200="acoes"))*Inputs!$B$1+((Inputs!$G$5:$G$200&lt;&gt;"moeda")*(Inputs!$G$5:$G$200&lt;&gt;"acoes")))*INDEX(Inputs!$K$5:$AJ$200,0,MATCH(U$2,Inputs!$K$4:$AJ$4,0)))+SUMPRODUCT((Inputs!$E$5:$E$200=$B13)*Inputs!$F$5:$F$200*(((Inputs!$G$5:$G$200="moeda")+(Inputs!$G$5:$G$200="acoes"))*Inputs!$B$1+((Inputs!$G$5:$G$200&lt;&gt;"moeda")*(Inputs!$G$5:$G$200&lt;&gt;"acoes")))*INDEX(Inputs!$K$5:$AJ$200,0,MATCH(U$2,Inputs!$K$4:$AJ$4,0)))))</f>
        <v>0</v>
      </c>
      <c r="V13" s="6">
        <f>IF(ISNA(MATCH(V$2,Inputs!$K$4:$AJ$4,0)),NA(),IF(SUMPRODUCT((Inputs!$A$5:$A$200=$B13)*ISNUMBER(INDEX(Inputs!$K$5:$AJ$200,0,MATCH(V$2,Inputs!$K$4:$AJ$4,0))))+SUMPRODUCT((Inputs!$C$5:$C$200=$B13)*ISNUMBER(INDEX(Inputs!$K$5:$AJ$200,0,MATCH(V$2,Inputs!$K$4:$AJ$4,0))))+SUMPRODUCT((Inputs!$E$5:$E$200=$B13)*ISNUMBER(INDEX(Inputs!$K$5:$AJ$200,0,MATCH(V$2,Inputs!$K$4:$AJ$4,0))))=0,NA(),SUMPRODUCT((Inputs!$A$5:$A$200=$B13)*Inputs!$B$5:$B$200*(((Inputs!$G$5:$G$200="moeda")+(Inputs!$G$5:$G$200="acoes"))*Inputs!$B$1+((Inputs!$G$5:$G$200&lt;&gt;"moeda")*(Inputs!$G$5:$G$200&lt;&gt;"acoes")))*INDEX(Inputs!$K$5:$AJ$200,0,MATCH(V$2,Inputs!$K$4:$AJ$4,0)))+SUMPRODUCT((Inputs!$C$5:$C$200=$B13)*Inputs!$D$5:$D$200*(((Inputs!$G$5:$G$200="moeda")+(Inputs!$G$5:$G$200="acoes"))*Inputs!$B$1+((Inputs!$G$5:$G$200&lt;&gt;"moeda")*(Inputs!$G$5:$G$200&lt;&gt;"acoes")))*INDEX(Inputs!$K$5:$AJ$200,0,MATCH(V$2,Inputs!$K$4:$AJ$4,0)))+SUMPRODUCT((Inputs!$E$5:$E$200=$B13)*Inputs!$F$5:$F$200*(((Inputs!$G$5:$G$200="moeda")+(Inputs!$G$5:$G$200="acoes"))*Inputs!$B$1+((Inputs!$G$5:$G$200&lt;&gt;"moeda")*(Inputs!$G$5:$G$200&lt;&gt;"acoes")))*INDEX(Inputs!$K$5:$AJ$200,0,MATCH(V$2,Inputs!$K$4:$AJ$4,0)))))</f>
        <v>0</v>
      </c>
      <c r="W13" s="3">
        <f>SUM(S13:V13)</f>
        <v>0</v>
      </c>
      <c r="X13" s="6">
        <f>IF(ISNA(MATCH(X$2,Inputs!$K$4:$AJ$4,0)),NA(),IF(SUMPRODUCT((Inputs!$A$5:$A$200=$B13)*ISNUMBER(INDEX(Inputs!$K$5:$AJ$200,0,MATCH(X$2,Inputs!$K$4:$AJ$4,0))))+SUMPRODUCT((Inputs!$C$5:$C$200=$B13)*ISNUMBER(INDEX(Inputs!$K$5:$AJ$200,0,MATCH(X$2,Inputs!$K$4:$AJ$4,0))))+SUMPRODUCT((Inputs!$E$5:$E$200=$B13)*ISNUMBER(INDEX(Inputs!$K$5:$AJ$200,0,MATCH(X$2,Inputs!$K$4:$AJ$4,0))))=0,NA(),SUMPRODUCT((Inputs!$A$5:$A$200=$B13)*Inputs!$B$5:$B$200*(((Inputs!$G$5:$G$200="moeda")+(Inputs!$G$5:$G$200="acoes"))*Inputs!$B$1+((Inputs!$G$5:$G$200&lt;&gt;"moeda")*(Inputs!$G$5:$G$200&lt;&gt;"acoes")))*INDEX(Inputs!$K$5:$AJ$200,0,MATCH(X$2,Inputs!$K$4:$AJ$4,0)))+SUMPRODUCT((Inputs!$C$5:$C$200=$B13)*Inputs!$D$5:$D$200*(((Inputs!$G$5:$G$200="moeda")+(Inputs!$G$5:$G$200="acoes"))*Inputs!$B$1+((Inputs!$G$5:$G$200&lt;&gt;"moeda")*(Inputs!$G$5:$G$200&lt;&gt;"acoes")))*INDEX(Inputs!$K$5:$AJ$200,0,MATCH(X$2,Inputs!$K$4:$AJ$4,0)))+SUMPRODUCT((Inputs!$E$5:$E$200=$B13)*Inputs!$F$5:$F$200*(((Inputs!$G$5:$G$200="moeda")+(Inputs!$G$5:$G$200="acoes"))*Inputs!$B$1+((Inputs!$G$5:$G$200&lt;&gt;"moeda")*(Inputs!$G$5:$G$200&lt;&gt;"acoes")))*INDEX(Inputs!$K$5:$AJ$200,0,MATCH(X$2,Inputs!$K$4:$AJ$4,0)))))</f>
        <v>0</v>
      </c>
      <c r="Y13" s="6">
        <f>IF(ISNA(MATCH(Y$2,Inputs!$K$4:$AJ$4,0)),NA(),IF(SUMPRODUCT((Inputs!$A$5:$A$200=$B13)*ISNUMBER(INDEX(Inputs!$K$5:$AJ$200,0,MATCH(Y$2,Inputs!$K$4:$AJ$4,0))))+SUMPRODUCT((Inputs!$C$5:$C$200=$B13)*ISNUMBER(INDEX(Inputs!$K$5:$AJ$200,0,MATCH(Y$2,Inputs!$K$4:$AJ$4,0))))+SUMPRODUCT((Inputs!$E$5:$E$200=$B13)*ISNUMBER(INDEX(Inputs!$K$5:$AJ$200,0,MATCH(Y$2,Inputs!$K$4:$AJ$4,0))))=0,NA(),SUMPRODUCT((Inputs!$A$5:$A$200=$B13)*Inputs!$B$5:$B$200*(((Inputs!$G$5:$G$200="moeda")+(Inputs!$G$5:$G$200="acoes"))*Inputs!$B$1+((Inputs!$G$5:$G$200&lt;&gt;"moeda")*(Inputs!$G$5:$G$200&lt;&gt;"acoes")))*INDEX(Inputs!$K$5:$AJ$200,0,MATCH(Y$2,Inputs!$K$4:$AJ$4,0)))+SUMPRODUCT((Inputs!$C$5:$C$200=$B13)*Inputs!$D$5:$D$200*(((Inputs!$G$5:$G$200="moeda")+(Inputs!$G$5:$G$200="acoes"))*Inputs!$B$1+((Inputs!$G$5:$G$200&lt;&gt;"moeda")*(Inputs!$G$5:$G$200&lt;&gt;"acoes")))*INDEX(Inputs!$K$5:$AJ$200,0,MATCH(Y$2,Inputs!$K$4:$AJ$4,0)))+SUMPRODUCT((Inputs!$E$5:$E$200=$B13)*Inputs!$F$5:$F$200*(((Inputs!$G$5:$G$200="moeda")+(Inputs!$G$5:$G$200="acoes"))*Inputs!$B$1+((Inputs!$G$5:$G$200&lt;&gt;"moeda")*(Inputs!$G$5:$G$200&lt;&gt;"acoes")))*INDEX(Inputs!$K$5:$AJ$200,0,MATCH(Y$2,Inputs!$K$4:$AJ$4,0)))))</f>
        <v>0</v>
      </c>
      <c r="Z13" s="6">
        <f>IF(ISNA(MATCH(Z$2,Inputs!$K$4:$AJ$4,0)),NA(),IF(SUMPRODUCT((Inputs!$A$5:$A$200=$B13)*ISNUMBER(INDEX(Inputs!$K$5:$AJ$200,0,MATCH(Z$2,Inputs!$K$4:$AJ$4,0))))+SUMPRODUCT((Inputs!$C$5:$C$200=$B13)*ISNUMBER(INDEX(Inputs!$K$5:$AJ$200,0,MATCH(Z$2,Inputs!$K$4:$AJ$4,0))))+SUMPRODUCT((Inputs!$E$5:$E$200=$B13)*ISNUMBER(INDEX(Inputs!$K$5:$AJ$200,0,MATCH(Z$2,Inputs!$K$4:$AJ$4,0))))=0,NA(),SUMPRODUCT((Inputs!$A$5:$A$200=$B13)*Inputs!$B$5:$B$200*(((Inputs!$G$5:$G$200="moeda")+(Inputs!$G$5:$G$200="acoes"))*Inputs!$B$1+((Inputs!$G$5:$G$200&lt;&gt;"moeda")*(Inputs!$G$5:$G$200&lt;&gt;"acoes")))*INDEX(Inputs!$K$5:$AJ$200,0,MATCH(Z$2,Inputs!$K$4:$AJ$4,0)))+SUMPRODUCT((Inputs!$C$5:$C$200=$B13)*Inputs!$D$5:$D$200*(((Inputs!$G$5:$G$200="moeda")+(Inputs!$G$5:$G$200="acoes"))*Inputs!$B$1+((Inputs!$G$5:$G$200&lt;&gt;"moeda")*(Inputs!$G$5:$G$200&lt;&gt;"acoes")))*INDEX(Inputs!$K$5:$AJ$200,0,MATCH(Z$2,Inputs!$K$4:$AJ$4,0)))+SUMPRODUCT((Inputs!$E$5:$E$200=$B13)*Inputs!$F$5:$F$200*(((Inputs!$G$5:$G$200="moeda")+(Inputs!$G$5:$G$200="acoes"))*Inputs!$B$1+((Inputs!$G$5:$G$200&lt;&gt;"moeda")*(Inputs!$G$5:$G$200&lt;&gt;"acoes")))*INDEX(Inputs!$K$5:$AJ$200,0,MATCH(Z$2,Inputs!$K$4:$AJ$4,0)))))</f>
        <v>0</v>
      </c>
      <c r="AA13" s="6">
        <f>IF(ISNA(MATCH(AA$2,Inputs!$K$4:$AJ$4,0)),NA(),IF(SUMPRODUCT((Inputs!$A$5:$A$200=$B13)*ISNUMBER(INDEX(Inputs!$K$5:$AJ$200,0,MATCH(AA$2,Inputs!$K$4:$AJ$4,0))))+SUMPRODUCT((Inputs!$C$5:$C$200=$B13)*ISNUMBER(INDEX(Inputs!$K$5:$AJ$200,0,MATCH(AA$2,Inputs!$K$4:$AJ$4,0))))+SUMPRODUCT((Inputs!$E$5:$E$200=$B13)*ISNUMBER(INDEX(Inputs!$K$5:$AJ$200,0,MATCH(AA$2,Inputs!$K$4:$AJ$4,0))))=0,NA(),SUMPRODUCT((Inputs!$A$5:$A$200=$B13)*Inputs!$B$5:$B$200*(((Inputs!$G$5:$G$200="moeda")+(Inputs!$G$5:$G$200="acoes"))*Inputs!$B$1+((Inputs!$G$5:$G$200&lt;&gt;"moeda")*(Inputs!$G$5:$G$200&lt;&gt;"acoes")))*INDEX(Inputs!$K$5:$AJ$200,0,MATCH(AA$2,Inputs!$K$4:$AJ$4,0)))+SUMPRODUCT((Inputs!$C$5:$C$200=$B13)*Inputs!$D$5:$D$200*(((Inputs!$G$5:$G$200="moeda")+(Inputs!$G$5:$G$200="acoes"))*Inputs!$B$1+((Inputs!$G$5:$G$200&lt;&gt;"moeda")*(Inputs!$G$5:$G$200&lt;&gt;"acoes")))*INDEX(Inputs!$K$5:$AJ$200,0,MATCH(AA$2,Inputs!$K$4:$AJ$4,0)))+SUMPRODUCT((Inputs!$E$5:$E$200=$B13)*Inputs!$F$5:$F$200*(((Inputs!$G$5:$G$200="moeda")+(Inputs!$G$5:$G$200="acoes"))*Inputs!$B$1+((Inputs!$G$5:$G$200&lt;&gt;"moeda")*(Inputs!$G$5:$G$200&lt;&gt;"acoes")))*INDEX(Inputs!$K$5:$AJ$200,0,MATCH(AA$2,Inputs!$K$4:$AJ$4,0)))))</f>
        <v>0</v>
      </c>
      <c r="AB13" s="3">
        <f>SUM(X13:AA13)</f>
        <v>0</v>
      </c>
      <c r="AC13" s="6">
        <f>IF(ISNA(MATCH(AC$2,Inputs!$K$4:$AJ$4,0)),NA(),IF(SUMPRODUCT((Inputs!$A$5:$A$200=$B13)*ISNUMBER(INDEX(Inputs!$K$5:$AJ$200,0,MATCH(AC$2,Inputs!$K$4:$AJ$4,0))))+SUMPRODUCT((Inputs!$C$5:$C$200=$B13)*ISNUMBER(INDEX(Inputs!$K$5:$AJ$200,0,MATCH(AC$2,Inputs!$K$4:$AJ$4,0))))+SUMPRODUCT((Inputs!$E$5:$E$200=$B13)*ISNUMBER(INDEX(Inputs!$K$5:$AJ$200,0,MATCH(AC$2,Inputs!$K$4:$AJ$4,0))))=0,NA(),SUMPRODUCT((Inputs!$A$5:$A$200=$B13)*Inputs!$B$5:$B$200*(((Inputs!$G$5:$G$200="moeda")+(Inputs!$G$5:$G$200="acoes"))*Inputs!$B$1+((Inputs!$G$5:$G$200&lt;&gt;"moeda")*(Inputs!$G$5:$G$200&lt;&gt;"acoes")))*INDEX(Inputs!$K$5:$AJ$200,0,MATCH(AC$2,Inputs!$K$4:$AJ$4,0)))+SUMPRODUCT((Inputs!$C$5:$C$200=$B13)*Inputs!$D$5:$D$200*(((Inputs!$G$5:$G$200="moeda")+(Inputs!$G$5:$G$200="acoes"))*Inputs!$B$1+((Inputs!$G$5:$G$200&lt;&gt;"moeda")*(Inputs!$G$5:$G$200&lt;&gt;"acoes")))*INDEX(Inputs!$K$5:$AJ$200,0,MATCH(AC$2,Inputs!$K$4:$AJ$4,0)))+SUMPRODUCT((Inputs!$E$5:$E$200=$B13)*Inputs!$F$5:$F$200*(((Inputs!$G$5:$G$200="moeda")+(Inputs!$G$5:$G$200="acoes"))*Inputs!$B$1+((Inputs!$G$5:$G$200&lt;&gt;"moeda")*(Inputs!$G$5:$G$200&lt;&gt;"acoes")))*INDEX(Inputs!$K$5:$AJ$200,0,MATCH(AC$2,Inputs!$K$4:$AJ$4,0)))))</f>
        <v>0</v>
      </c>
      <c r="AD13" s="6">
        <f>IF(ISNA(MATCH(AD$2,Inputs!$K$4:$AJ$4,0)),NA(),IF(SUMPRODUCT((Inputs!$A$5:$A$200=$B13)*ISNUMBER(INDEX(Inputs!$K$5:$AJ$200,0,MATCH(AD$2,Inputs!$K$4:$AJ$4,0))))+SUMPRODUCT((Inputs!$C$5:$C$200=$B13)*ISNUMBER(INDEX(Inputs!$K$5:$AJ$200,0,MATCH(AD$2,Inputs!$K$4:$AJ$4,0))))+SUMPRODUCT((Inputs!$E$5:$E$200=$B13)*ISNUMBER(INDEX(Inputs!$K$5:$AJ$200,0,MATCH(AD$2,Inputs!$K$4:$AJ$4,0))))=0,NA(),SUMPRODUCT((Inputs!$A$5:$A$200=$B13)*Inputs!$B$5:$B$200*(((Inputs!$G$5:$G$200="moeda")+(Inputs!$G$5:$G$200="acoes"))*Inputs!$B$1+((Inputs!$G$5:$G$200&lt;&gt;"moeda")*(Inputs!$G$5:$G$200&lt;&gt;"acoes")))*INDEX(Inputs!$K$5:$AJ$200,0,MATCH(AD$2,Inputs!$K$4:$AJ$4,0)))+SUMPRODUCT((Inputs!$C$5:$C$200=$B13)*Inputs!$D$5:$D$200*(((Inputs!$G$5:$G$200="moeda")+(Inputs!$G$5:$G$200="acoes"))*Inputs!$B$1+((Inputs!$G$5:$G$200&lt;&gt;"moeda")*(Inputs!$G$5:$G$200&lt;&gt;"acoes")))*INDEX(Inputs!$K$5:$AJ$200,0,MATCH(AD$2,Inputs!$K$4:$AJ$4,0)))+SUMPRODUCT((Inputs!$E$5:$E$200=$B13)*Inputs!$F$5:$F$200*(((Inputs!$G$5:$G$200="moeda")+(Inputs!$G$5:$G$200="acoes"))*Inputs!$B$1+((Inputs!$G$5:$G$200&lt;&gt;"moeda")*(Inputs!$G$5:$G$200&lt;&gt;"acoes")))*INDEX(Inputs!$K$5:$AJ$200,0,MATCH(AD$2,Inputs!$K$4:$AJ$4,0)))))</f>
        <v>0</v>
      </c>
      <c r="AE13" s="6" t="e">
        <f>IF(ISNA(MATCH(AE$2,Inputs!$K$4:$AJ$4,0)),NA(),IF(SUMPRODUCT((Inputs!$A$5:$A$200=$B13)*ISNUMBER(INDEX(Inputs!$K$5:$AJ$200,0,MATCH(AE$2,Inputs!$K$4:$AJ$4,0))))+SUMPRODUCT((Inputs!$C$5:$C$200=$B13)*ISNUMBER(INDEX(Inputs!$K$5:$AJ$200,0,MATCH(AE$2,Inputs!$K$4:$AJ$4,0))))+SUMPRODUCT((Inputs!$E$5:$E$200=$B13)*ISNUMBER(INDEX(Inputs!$K$5:$AJ$200,0,MATCH(AE$2,Inputs!$K$4:$AJ$4,0))))=0,NA(),SUMPRODUCT((Inputs!$A$5:$A$200=$B13)*Inputs!$B$5:$B$200*(((Inputs!$G$5:$G$200="moeda")+(Inputs!$G$5:$G$200="acoes"))*Inputs!$B$1+((Inputs!$G$5:$G$200&lt;&gt;"moeda")*(Inputs!$G$5:$G$200&lt;&gt;"acoes")))*INDEX(Inputs!$K$5:$AJ$200,0,MATCH(AE$2,Inputs!$K$4:$AJ$4,0)))+SUMPRODUCT((Inputs!$C$5:$C$200=$B13)*Inputs!$D$5:$D$200*(((Inputs!$G$5:$G$200="moeda")+(Inputs!$G$5:$G$200="acoes"))*Inputs!$B$1+((Inputs!$G$5:$G$200&lt;&gt;"moeda")*(Inputs!$G$5:$G$200&lt;&gt;"acoes")))*INDEX(Inputs!$K$5:$AJ$200,0,MATCH(AE$2,Inputs!$K$4:$AJ$4,0)))+SUMPRODUCT((Inputs!$E$5:$E$200=$B13)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3" s="6" t="e">
        <f>IF(ISNA(MATCH(AF$2,Inputs!$K$4:$AJ$4,0)),NA(),IF(SUMPRODUCT((Inputs!$A$5:$A$200=$B13)*ISNUMBER(INDEX(Inputs!$K$5:$AJ$200,0,MATCH(AF$2,Inputs!$K$4:$AJ$4,0))))+SUMPRODUCT((Inputs!$C$5:$C$200=$B13)*ISNUMBER(INDEX(Inputs!$K$5:$AJ$200,0,MATCH(AF$2,Inputs!$K$4:$AJ$4,0))))+SUMPRODUCT((Inputs!$E$5:$E$200=$B13)*ISNUMBER(INDEX(Inputs!$K$5:$AJ$200,0,MATCH(AF$2,Inputs!$K$4:$AJ$4,0))))=0,NA(),SUMPRODUCT((Inputs!$A$5:$A$200=$B13)*Inputs!$B$5:$B$200*(((Inputs!$G$5:$G$200="moeda")+(Inputs!$G$5:$G$200="acoes"))*Inputs!$B$1+((Inputs!$G$5:$G$200&lt;&gt;"moeda")*(Inputs!$G$5:$G$200&lt;&gt;"acoes")))*INDEX(Inputs!$K$5:$AJ$200,0,MATCH(AF$2,Inputs!$K$4:$AJ$4,0)))+SUMPRODUCT((Inputs!$C$5:$C$200=$B13)*Inputs!$D$5:$D$200*(((Inputs!$G$5:$G$200="moeda")+(Inputs!$G$5:$G$200="acoes"))*Inputs!$B$1+((Inputs!$G$5:$G$200&lt;&gt;"moeda")*(Inputs!$G$5:$G$200&lt;&gt;"acoes")))*INDEX(Inputs!$K$5:$AJ$200,0,MATCH(AF$2,Inputs!$K$4:$AJ$4,0)))+SUMPRODUCT((Inputs!$E$5:$E$200=$B13)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3" s="3" t="e">
        <f>SUM(AC13:AF13)</f>
        <v>#N/A</v>
      </c>
      <c r="AH13" s="6">
        <f>IF(ISNA(MATCH(AH$2,Inputs!$K$4:$AJ$4,0)),NA(),IF(SUMPRODUCT((Inputs!$A$5:$A$200=$B13)*ISNUMBER(INDEX(Inputs!$K$5:$AJ$200,0,MATCH(AH$2,Inputs!$K$4:$AJ$4,0))))+SUMPRODUCT((Inputs!$C$5:$C$200=$B13)*ISNUMBER(INDEX(Inputs!$K$5:$AJ$200,0,MATCH(AH$2,Inputs!$K$4:$AJ$4,0))))+SUMPRODUCT((Inputs!$E$5:$E$200=$B13)*ISNUMBER(INDEX(Inputs!$K$5:$AJ$200,0,MATCH(AH$2,Inputs!$K$4:$AJ$4,0))))=0,NA(),SUMPRODUCT((Inputs!$A$5:$A$200=$B13)*Inputs!$B$5:$B$200*(((Inputs!$G$5:$G$200="moeda")+(Inputs!$G$5:$G$200="acoes"))*Inputs!$B$1+((Inputs!$G$5:$G$200&lt;&gt;"moeda")*(Inputs!$G$5:$G$200&lt;&gt;"acoes")))*INDEX(Inputs!$K$5:$AJ$200,0,MATCH(AH$2,Inputs!$K$4:$AJ$4,0)))+SUMPRODUCT((Inputs!$C$5:$C$200=$B13)*Inputs!$D$5:$D$200*(((Inputs!$G$5:$G$200="moeda")+(Inputs!$G$5:$G$200="acoes"))*Inputs!$B$1+((Inputs!$G$5:$G$200&lt;&gt;"moeda")*(Inputs!$G$5:$G$200&lt;&gt;"acoes")))*INDEX(Inputs!$K$5:$AJ$200,0,MATCH(AH$2,Inputs!$K$4:$AJ$4,0)))+SUMPRODUCT((Inputs!$E$5:$E$200=$B13)*Inputs!$F$5:$F$200*(((Inputs!$G$5:$G$200="moeda")+(Inputs!$G$5:$G$200="acoes"))*Inputs!$B$1+((Inputs!$G$5:$G$200&lt;&gt;"moeda")*(Inputs!$G$5:$G$200&lt;&gt;"acoes")))*INDEX(Inputs!$K$5:$AJ$200,0,MATCH(AH$2,Inputs!$K$4:$AJ$4,0)))))</f>
        <v>0</v>
      </c>
      <c r="AI13" s="6">
        <f>IF(ISNA(MATCH(AI$2,Inputs!$K$4:$AJ$4,0)),NA(),IF(SUMPRODUCT((Inputs!$A$5:$A$200=$B13)*ISNUMBER(INDEX(Inputs!$K$5:$AJ$200,0,MATCH(AI$2,Inputs!$K$4:$AJ$4,0))))+SUMPRODUCT((Inputs!$C$5:$C$200=$B13)*ISNUMBER(INDEX(Inputs!$K$5:$AJ$200,0,MATCH(AI$2,Inputs!$K$4:$AJ$4,0))))+SUMPRODUCT((Inputs!$E$5:$E$200=$B13)*ISNUMBER(INDEX(Inputs!$K$5:$AJ$200,0,MATCH(AI$2,Inputs!$K$4:$AJ$4,0))))=0,NA(),SUMPRODUCT((Inputs!$A$5:$A$200=$B13)*Inputs!$B$5:$B$200*(((Inputs!$G$5:$G$200="moeda")+(Inputs!$G$5:$G$200="acoes"))*Inputs!$B$1+((Inputs!$G$5:$G$200&lt;&gt;"moeda")*(Inputs!$G$5:$G$200&lt;&gt;"acoes")))*INDEX(Inputs!$K$5:$AJ$200,0,MATCH(AI$2,Inputs!$K$4:$AJ$4,0)))+SUMPRODUCT((Inputs!$C$5:$C$200=$B13)*Inputs!$D$5:$D$200*(((Inputs!$G$5:$G$200="moeda")+(Inputs!$G$5:$G$200="acoes"))*Inputs!$B$1+((Inputs!$G$5:$G$200&lt;&gt;"moeda")*(Inputs!$G$5:$G$200&lt;&gt;"acoes")))*INDEX(Inputs!$K$5:$AJ$200,0,MATCH(AI$2,Inputs!$K$4:$AJ$4,0)))+SUMPRODUCT((Inputs!$E$5:$E$200=$B13)*Inputs!$F$5:$F$200*(((Inputs!$G$5:$G$200="moeda")+(Inputs!$G$5:$G$200="acoes"))*Inputs!$B$1+((Inputs!$G$5:$G$200&lt;&gt;"moeda")*(Inputs!$G$5:$G$200&lt;&gt;"acoes")))*INDEX(Inputs!$K$5:$AJ$200,0,MATCH(AI$2,Inputs!$K$4:$AJ$4,0)))))</f>
        <v>0</v>
      </c>
      <c r="AJ13" s="6">
        <f>IF(ISNA(MATCH(AJ$2,Inputs!$K$4:$AJ$4,0)),NA(),IF(SUMPRODUCT((Inputs!$A$5:$A$200=$B13)*ISNUMBER(INDEX(Inputs!$K$5:$AJ$200,0,MATCH(AJ$2,Inputs!$K$4:$AJ$4,0))))+SUMPRODUCT((Inputs!$C$5:$C$200=$B13)*ISNUMBER(INDEX(Inputs!$K$5:$AJ$200,0,MATCH(AJ$2,Inputs!$K$4:$AJ$4,0))))+SUMPRODUCT((Inputs!$E$5:$E$200=$B13)*ISNUMBER(INDEX(Inputs!$K$5:$AJ$200,0,MATCH(AJ$2,Inputs!$K$4:$AJ$4,0))))=0,NA(),SUMPRODUCT((Inputs!$A$5:$A$200=$B13)*Inputs!$B$5:$B$200*(((Inputs!$G$5:$G$200="moeda")+(Inputs!$G$5:$G$200="acoes"))*Inputs!$B$1+((Inputs!$G$5:$G$200&lt;&gt;"moeda")*(Inputs!$G$5:$G$200&lt;&gt;"acoes")))*INDEX(Inputs!$K$5:$AJ$200,0,MATCH(AJ$2,Inputs!$K$4:$AJ$4,0)))+SUMPRODUCT((Inputs!$C$5:$C$200=$B13)*Inputs!$D$5:$D$200*(((Inputs!$G$5:$G$200="moeda")+(Inputs!$G$5:$G$200="acoes"))*Inputs!$B$1+((Inputs!$G$5:$G$200&lt;&gt;"moeda")*(Inputs!$G$5:$G$200&lt;&gt;"acoes")))*INDEX(Inputs!$K$5:$AJ$200,0,MATCH(AJ$2,Inputs!$K$4:$AJ$4,0)))+SUMPRODUCT((Inputs!$E$5:$E$200=$B13)*Inputs!$F$5:$F$200*(((Inputs!$G$5:$G$200="moeda")+(Inputs!$G$5:$G$200="acoes"))*Inputs!$B$1+((Inputs!$G$5:$G$200&lt;&gt;"moeda")*(Inputs!$G$5:$G$200&lt;&gt;"acoes")))*INDEX(Inputs!$K$5:$AJ$200,0,MATCH(AJ$2,Inputs!$K$4:$AJ$4,0)))))</f>
        <v>0</v>
      </c>
      <c r="AK13" s="6">
        <f>IF(ISNA(MATCH(AK$2,Inputs!$K$4:$AJ$4,0)),NA(),IF(SUMPRODUCT((Inputs!$A$5:$A$200=$B13)*ISNUMBER(INDEX(Inputs!$K$5:$AJ$200,0,MATCH(AK$2,Inputs!$K$4:$AJ$4,0))))+SUMPRODUCT((Inputs!$C$5:$C$200=$B13)*ISNUMBER(INDEX(Inputs!$K$5:$AJ$200,0,MATCH(AK$2,Inputs!$K$4:$AJ$4,0))))+SUMPRODUCT((Inputs!$E$5:$E$200=$B13)*ISNUMBER(INDEX(Inputs!$K$5:$AJ$200,0,MATCH(AK$2,Inputs!$K$4:$AJ$4,0))))=0,NA(),SUMPRODUCT((Inputs!$A$5:$A$200=$B13)*Inputs!$B$5:$B$200*(((Inputs!$G$5:$G$200="moeda")+(Inputs!$G$5:$G$200="acoes"))*Inputs!$B$1+((Inputs!$G$5:$G$200&lt;&gt;"moeda")*(Inputs!$G$5:$G$200&lt;&gt;"acoes")))*INDEX(Inputs!$K$5:$AJ$200,0,MATCH(AK$2,Inputs!$K$4:$AJ$4,0)))+SUMPRODUCT((Inputs!$C$5:$C$200=$B13)*Inputs!$D$5:$D$200*(((Inputs!$G$5:$G$200="moeda")+(Inputs!$G$5:$G$200="acoes"))*Inputs!$B$1+((Inputs!$G$5:$G$200&lt;&gt;"moeda")*(Inputs!$G$5:$G$200&lt;&gt;"acoes")))*INDEX(Inputs!$K$5:$AJ$200,0,MATCH(AK$2,Inputs!$K$4:$AJ$4,0)))+SUMPRODUCT((Inputs!$E$5:$E$200=$B13)*Inputs!$F$5:$F$200*(((Inputs!$G$5:$G$200="moeda")+(Inputs!$G$5:$G$200="acoes"))*Inputs!$B$1+((Inputs!$G$5:$G$200&lt;&gt;"moeda")*(Inputs!$G$5:$G$200&lt;&gt;"acoes")))*INDEX(Inputs!$K$5:$AJ$200,0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$200=$B15)*ISNUMBER(INDEX(Inputs!$K$5:$AJ$200,0,MATCH(D$2,Inputs!$K$4:$AJ$4,0))))+SUMPRODUCT((Inputs!$C$5:$C$200=$B15)*ISNUMBER(INDEX(Inputs!$K$5:$AJ$200,0,MATCH(D$2,Inputs!$K$4:$AJ$4,0))))+SUMPRODUCT((Inputs!$E$5:$E$200=$B15)*ISNUMBER(INDEX(Inputs!$K$5:$AJ$200,0,MATCH(D$2,Inputs!$K$4:$AJ$4,0))))=0,NA(),SUMPRODUCT((Inputs!$A$5:$A$200=$B15)*Inputs!$B$5:$B$200*(((Inputs!$G$5:$G$200="moeda")+(Inputs!$G$5:$G$200="acoes"))*Inputs!$B$1+((Inputs!$G$5:$G$200&lt;&gt;"moeda")*(Inputs!$G$5:$G$200&lt;&gt;"acoes")))*INDEX(Inputs!$K$5:$AJ$200,0,MATCH(D$2,Inputs!$K$4:$AJ$4,0)))+SUMPRODUCT((Inputs!$C$5:$C$200=$B15)*Inputs!$D$5:$D$200*(((Inputs!$G$5:$G$200="moeda")+(Inputs!$G$5:$G$200="acoes"))*Inputs!$B$1+((Inputs!$G$5:$G$200&lt;&gt;"moeda")*(Inputs!$G$5:$G$200&lt;&gt;"acoes")))*INDEX(Inputs!$K$5:$AJ$200,0,MATCH(D$2,Inputs!$K$4:$AJ$4,0)))+SUMPRODUCT((Inputs!$E$5:$E$200=$B15)*Inputs!$F$5:$F$200*(((Inputs!$G$5:$G$200="moeda")+(Inputs!$G$5:$G$200="acoes"))*Inputs!$B$1+((Inputs!$G$5:$G$200&lt;&gt;"moeda")*(Inputs!$G$5:$G$200&lt;&gt;"acoes")))*INDEX(Inputs!$K$5:$AJ$200,0,MATCH(D$2,Inputs!$K$4:$AJ$4,0)))))</f>
        <v>351.55</v>
      </c>
      <c r="E15" s="6">
        <f>IF(ISNA(MATCH(E$2,Inputs!$K$4:$AJ$4,0)),NA(),IF(SUMPRODUCT((Inputs!$A$5:$A$200=$B15)*ISNUMBER(INDEX(Inputs!$K$5:$AJ$200,0,MATCH(E$2,Inputs!$K$4:$AJ$4,0))))+SUMPRODUCT((Inputs!$C$5:$C$200=$B15)*ISNUMBER(INDEX(Inputs!$K$5:$AJ$200,0,MATCH(E$2,Inputs!$K$4:$AJ$4,0))))+SUMPRODUCT((Inputs!$E$5:$E$200=$B15)*ISNUMBER(INDEX(Inputs!$K$5:$AJ$200,0,MATCH(E$2,Inputs!$K$4:$AJ$4,0))))=0,NA(),SUMPRODUCT((Inputs!$A$5:$A$200=$B15)*Inputs!$B$5:$B$200*(((Inputs!$G$5:$G$200="moeda")+(Inputs!$G$5:$G$200="acoes"))*Inputs!$B$1+((Inputs!$G$5:$G$200&lt;&gt;"moeda")*(Inputs!$G$5:$G$200&lt;&gt;"acoes")))*INDEX(Inputs!$K$5:$AJ$200,0,MATCH(E$2,Inputs!$K$4:$AJ$4,0)))+SUMPRODUCT((Inputs!$C$5:$C$200=$B15)*Inputs!$D$5:$D$200*(((Inputs!$G$5:$G$200="moeda")+(Inputs!$G$5:$G$200="acoes"))*Inputs!$B$1+((Inputs!$G$5:$G$200&lt;&gt;"moeda")*(Inputs!$G$5:$G$200&lt;&gt;"acoes")))*INDEX(Inputs!$K$5:$AJ$200,0,MATCH(E$2,Inputs!$K$4:$AJ$4,0)))+SUMPRODUCT((Inputs!$E$5:$E$200=$B15)*Inputs!$F$5:$F$200*(((Inputs!$G$5:$G$200="moeda")+(Inputs!$G$5:$G$200="acoes"))*Inputs!$B$1+((Inputs!$G$5:$G$200&lt;&gt;"moeda")*(Inputs!$G$5:$G$200&lt;&gt;"acoes")))*INDEX(Inputs!$K$5:$AJ$200,0,MATCH(E$2,Inputs!$K$4:$AJ$4,0)))))</f>
        <v>265.616</v>
      </c>
      <c r="F15" s="6">
        <f>IF(ISNA(MATCH(F$2,Inputs!$K$4:$AJ$4,0)),NA(),IF(SUMPRODUCT((Inputs!$A$5:$A$200=$B15)*ISNUMBER(INDEX(Inputs!$K$5:$AJ$200,0,MATCH(F$2,Inputs!$K$4:$AJ$4,0))))+SUMPRODUCT((Inputs!$C$5:$C$200=$B15)*ISNUMBER(INDEX(Inputs!$K$5:$AJ$200,0,MATCH(F$2,Inputs!$K$4:$AJ$4,0))))+SUMPRODUCT((Inputs!$E$5:$E$200=$B15)*ISNUMBER(INDEX(Inputs!$K$5:$AJ$200,0,MATCH(F$2,Inputs!$K$4:$AJ$4,0))))=0,NA(),SUMPRODUCT((Inputs!$A$5:$A$200=$B15)*Inputs!$B$5:$B$200*(((Inputs!$G$5:$G$200="moeda")+(Inputs!$G$5:$G$200="acoes"))*Inputs!$B$1+((Inputs!$G$5:$G$200&lt;&gt;"moeda")*(Inputs!$G$5:$G$200&lt;&gt;"acoes")))*INDEX(Inputs!$K$5:$AJ$200,0,MATCH(F$2,Inputs!$K$4:$AJ$4,0)))+SUMPRODUCT((Inputs!$C$5:$C$200=$B15)*Inputs!$D$5:$D$200*(((Inputs!$G$5:$G$200="moeda")+(Inputs!$G$5:$G$200="acoes"))*Inputs!$B$1+((Inputs!$G$5:$G$200&lt;&gt;"moeda")*(Inputs!$G$5:$G$200&lt;&gt;"acoes")))*INDEX(Inputs!$K$5:$AJ$200,0,MATCH(F$2,Inputs!$K$4:$AJ$4,0)))+SUMPRODUCT((Inputs!$E$5:$E$200=$B15)*Inputs!$F$5:$F$200*(((Inputs!$G$5:$G$200="moeda")+(Inputs!$G$5:$G$200="acoes"))*Inputs!$B$1+((Inputs!$G$5:$G$200&lt;&gt;"moeda")*(Inputs!$G$5:$G$200&lt;&gt;"acoes")))*INDEX(Inputs!$K$5:$AJ$200,0,MATCH(F$2,Inputs!$K$4:$AJ$4,0)))))</f>
        <v>210.74</v>
      </c>
      <c r="G15" s="6">
        <f>IF(ISNA(MATCH(G$2,Inputs!$K$4:$AJ$4,0)),NA(),IF(SUMPRODUCT((Inputs!$A$5:$A$200=$B15)*ISNUMBER(INDEX(Inputs!$K$5:$AJ$200,0,MATCH(G$2,Inputs!$K$4:$AJ$4,0))))+SUMPRODUCT((Inputs!$C$5:$C$200=$B15)*ISNUMBER(INDEX(Inputs!$K$5:$AJ$200,0,MATCH(G$2,Inputs!$K$4:$AJ$4,0))))+SUMPRODUCT((Inputs!$E$5:$E$200=$B15)*ISNUMBER(INDEX(Inputs!$K$5:$AJ$200,0,MATCH(G$2,Inputs!$K$4:$AJ$4,0))))=0,NA(),SUMPRODUCT((Inputs!$A$5:$A$200=$B15)*Inputs!$B$5:$B$200*(((Inputs!$G$5:$G$200="moeda")+(Inputs!$G$5:$G$200="acoes"))*Inputs!$B$1+((Inputs!$G$5:$G$200&lt;&gt;"moeda")*(Inputs!$G$5:$G$200&lt;&gt;"acoes")))*INDEX(Inputs!$K$5:$AJ$200,0,MATCH(G$2,Inputs!$K$4:$AJ$4,0)))+SUMPRODUCT((Inputs!$C$5:$C$200=$B15)*Inputs!$D$5:$D$200*(((Inputs!$G$5:$G$200="moeda")+(Inputs!$G$5:$G$200="acoes"))*Inputs!$B$1+((Inputs!$G$5:$G$200&lt;&gt;"moeda")*(Inputs!$G$5:$G$200&lt;&gt;"acoes")))*INDEX(Inputs!$K$5:$AJ$200,0,MATCH(G$2,Inputs!$K$4:$AJ$4,0)))+SUMPRODUCT((Inputs!$E$5:$E$200=$B15)*Inputs!$F$5:$F$200*(((Inputs!$G$5:$G$200="moeda")+(Inputs!$G$5:$G$200="acoes"))*Inputs!$B$1+((Inputs!$G$5:$G$200&lt;&gt;"moeda")*(Inputs!$G$5:$G$200&lt;&gt;"acoes")))*INDEX(Inputs!$K$5:$AJ$200,0,MATCH(G$2,Inputs!$K$4:$AJ$4,0)))))</f>
        <v>401.375</v>
      </c>
      <c r="H15" s="3">
        <f>G15</f>
        <v>401.375</v>
      </c>
      <c r="I15" s="6">
        <f>IF(ISNA(MATCH(I$2,Inputs!$K$4:$AJ$4,0)),NA(),IF(SUMPRODUCT((Inputs!$A$5:$A$200=$B15)*ISNUMBER(INDEX(Inputs!$K$5:$AJ$200,0,MATCH(I$2,Inputs!$K$4:$AJ$4,0))))+SUMPRODUCT((Inputs!$C$5:$C$200=$B15)*ISNUMBER(INDEX(Inputs!$K$5:$AJ$200,0,MATCH(I$2,Inputs!$K$4:$AJ$4,0))))+SUMPRODUCT((Inputs!$E$5:$E$200=$B15)*ISNUMBER(INDEX(Inputs!$K$5:$AJ$200,0,MATCH(I$2,Inputs!$K$4:$AJ$4,0))))=0,NA(),SUMPRODUCT((Inputs!$A$5:$A$200=$B15)*Inputs!$B$5:$B$200*(((Inputs!$G$5:$G$200="moeda")+(Inputs!$G$5:$G$200="acoes"))*Inputs!$B$1+((Inputs!$G$5:$G$200&lt;&gt;"moeda")*(Inputs!$G$5:$G$200&lt;&gt;"acoes")))*INDEX(Inputs!$K$5:$AJ$200,0,MATCH(I$2,Inputs!$K$4:$AJ$4,0)))+SUMPRODUCT((Inputs!$C$5:$C$200=$B15)*Inputs!$D$5:$D$200*(((Inputs!$G$5:$G$200="moeda")+(Inputs!$G$5:$G$200="acoes"))*Inputs!$B$1+((Inputs!$G$5:$G$200&lt;&gt;"moeda")*(Inputs!$G$5:$G$200&lt;&gt;"acoes")))*INDEX(Inputs!$K$5:$AJ$200,0,MATCH(I$2,Inputs!$K$4:$AJ$4,0)))+SUMPRODUCT((Inputs!$E$5:$E$200=$B15)*Inputs!$F$5:$F$200*(((Inputs!$G$5:$G$200="moeda")+(Inputs!$G$5:$G$200="acoes"))*Inputs!$B$1+((Inputs!$G$5:$G$200&lt;&gt;"moeda")*(Inputs!$G$5:$G$200&lt;&gt;"acoes")))*INDEX(Inputs!$K$5:$AJ$200,0,MATCH(I$2,Inputs!$K$4:$AJ$4,0)))))</f>
        <v>274.885</v>
      </c>
      <c r="J15" s="6">
        <f>IF(ISNA(MATCH(J$2,Inputs!$K$4:$AJ$4,0)),NA(),IF(SUMPRODUCT((Inputs!$A$5:$A$200=$B15)*ISNUMBER(INDEX(Inputs!$K$5:$AJ$200,0,MATCH(J$2,Inputs!$K$4:$AJ$4,0))))+SUMPRODUCT((Inputs!$C$5:$C$200=$B15)*ISNUMBER(INDEX(Inputs!$K$5:$AJ$200,0,MATCH(J$2,Inputs!$K$4:$AJ$4,0))))+SUMPRODUCT((Inputs!$E$5:$E$200=$B15)*ISNUMBER(INDEX(Inputs!$K$5:$AJ$200,0,MATCH(J$2,Inputs!$K$4:$AJ$4,0))))=0,NA(),SUMPRODUCT((Inputs!$A$5:$A$200=$B15)*Inputs!$B$5:$B$200*(((Inputs!$G$5:$G$200="moeda")+(Inputs!$G$5:$G$200="acoes"))*Inputs!$B$1+((Inputs!$G$5:$G$200&lt;&gt;"moeda")*(Inputs!$G$5:$G$200&lt;&gt;"acoes")))*INDEX(Inputs!$K$5:$AJ$200,0,MATCH(J$2,Inputs!$K$4:$AJ$4,0)))+SUMPRODUCT((Inputs!$C$5:$C$200=$B15)*Inputs!$D$5:$D$200*(((Inputs!$G$5:$G$200="moeda")+(Inputs!$G$5:$G$200="acoes"))*Inputs!$B$1+((Inputs!$G$5:$G$200&lt;&gt;"moeda")*(Inputs!$G$5:$G$200&lt;&gt;"acoes")))*INDEX(Inputs!$K$5:$AJ$200,0,MATCH(J$2,Inputs!$K$4:$AJ$4,0)))+SUMPRODUCT((Inputs!$E$5:$E$200=$B15)*Inputs!$F$5:$F$200*(((Inputs!$G$5:$G$200="moeda")+(Inputs!$G$5:$G$200="acoes"))*Inputs!$B$1+((Inputs!$G$5:$G$200&lt;&gt;"moeda")*(Inputs!$G$5:$G$200&lt;&gt;"acoes")))*INDEX(Inputs!$K$5:$AJ$200,0,MATCH(J$2,Inputs!$K$4:$AJ$4,0)))))</f>
        <v>61.846</v>
      </c>
      <c r="K15" s="6">
        <f>IF(ISNA(MATCH(K$2,Inputs!$K$4:$AJ$4,0)),NA(),IF(SUMPRODUCT((Inputs!$A$5:$A$200=$B15)*ISNUMBER(INDEX(Inputs!$K$5:$AJ$200,0,MATCH(K$2,Inputs!$K$4:$AJ$4,0))))+SUMPRODUCT((Inputs!$C$5:$C$200=$B15)*ISNUMBER(INDEX(Inputs!$K$5:$AJ$200,0,MATCH(K$2,Inputs!$K$4:$AJ$4,0))))+SUMPRODUCT((Inputs!$E$5:$E$200=$B15)*ISNUMBER(INDEX(Inputs!$K$5:$AJ$200,0,MATCH(K$2,Inputs!$K$4:$AJ$4,0))))=0,NA(),SUMPRODUCT((Inputs!$A$5:$A$200=$B15)*Inputs!$B$5:$B$200*(((Inputs!$G$5:$G$200="moeda")+(Inputs!$G$5:$G$200="acoes"))*Inputs!$B$1+((Inputs!$G$5:$G$200&lt;&gt;"moeda")*(Inputs!$G$5:$G$200&lt;&gt;"acoes")))*INDEX(Inputs!$K$5:$AJ$200,0,MATCH(K$2,Inputs!$K$4:$AJ$4,0)))+SUMPRODUCT((Inputs!$C$5:$C$200=$B15)*Inputs!$D$5:$D$200*(((Inputs!$G$5:$G$200="moeda")+(Inputs!$G$5:$G$200="acoes"))*Inputs!$B$1+((Inputs!$G$5:$G$200&lt;&gt;"moeda")*(Inputs!$G$5:$G$200&lt;&gt;"acoes")))*INDEX(Inputs!$K$5:$AJ$200,0,MATCH(K$2,Inputs!$K$4:$AJ$4,0)))+SUMPRODUCT((Inputs!$E$5:$E$200=$B15)*Inputs!$F$5:$F$200*(((Inputs!$G$5:$G$200="moeda")+(Inputs!$G$5:$G$200="acoes"))*Inputs!$B$1+((Inputs!$G$5:$G$200&lt;&gt;"moeda")*(Inputs!$G$5:$G$200&lt;&gt;"acoes")))*INDEX(Inputs!$K$5:$AJ$200,0,MATCH(K$2,Inputs!$K$4:$AJ$4,0)))))</f>
        <v>46.907</v>
      </c>
      <c r="L15" s="6">
        <f>IF(ISNA(MATCH(L$2,Inputs!$K$4:$AJ$4,0)),NA(),IF(SUMPRODUCT((Inputs!$A$5:$A$200=$B15)*ISNUMBER(INDEX(Inputs!$K$5:$AJ$200,0,MATCH(L$2,Inputs!$K$4:$AJ$4,0))))+SUMPRODUCT((Inputs!$C$5:$C$200=$B15)*ISNUMBER(INDEX(Inputs!$K$5:$AJ$200,0,MATCH(L$2,Inputs!$K$4:$AJ$4,0))))+SUMPRODUCT((Inputs!$E$5:$E$200=$B15)*ISNUMBER(INDEX(Inputs!$K$5:$AJ$200,0,MATCH(L$2,Inputs!$K$4:$AJ$4,0))))=0,NA(),SUMPRODUCT((Inputs!$A$5:$A$200=$B15)*Inputs!$B$5:$B$200*(((Inputs!$G$5:$G$200="moeda")+(Inputs!$G$5:$G$200="acoes"))*Inputs!$B$1+((Inputs!$G$5:$G$200&lt;&gt;"moeda")*(Inputs!$G$5:$G$200&lt;&gt;"acoes")))*INDEX(Inputs!$K$5:$AJ$200,0,MATCH(L$2,Inputs!$K$4:$AJ$4,0)))+SUMPRODUCT((Inputs!$C$5:$C$200=$B15)*Inputs!$D$5:$D$200*(((Inputs!$G$5:$G$200="moeda")+(Inputs!$G$5:$G$200="acoes"))*Inputs!$B$1+((Inputs!$G$5:$G$200&lt;&gt;"moeda")*(Inputs!$G$5:$G$200&lt;&gt;"acoes")))*INDEX(Inputs!$K$5:$AJ$200,0,MATCH(L$2,Inputs!$K$4:$AJ$4,0)))+SUMPRODUCT((Inputs!$E$5:$E$200=$B15)*Inputs!$F$5:$F$200*(((Inputs!$G$5:$G$200="moeda")+(Inputs!$G$5:$G$200="acoes"))*Inputs!$B$1+((Inputs!$G$5:$G$200&lt;&gt;"moeda")*(Inputs!$G$5:$G$200&lt;&gt;"acoes")))*INDEX(Inputs!$K$5:$AJ$200,0,MATCH(L$2,Inputs!$K$4:$AJ$4,0)))))</f>
        <v>240.797</v>
      </c>
      <c r="M15" s="3">
        <f>L15</f>
        <v>240.797</v>
      </c>
      <c r="N15" s="6">
        <f>IF(ISNA(MATCH(N$2,Inputs!$K$4:$AJ$4,0)),NA(),IF(SUMPRODUCT((Inputs!$A$5:$A$200=$B15)*ISNUMBER(INDEX(Inputs!$K$5:$AJ$200,0,MATCH(N$2,Inputs!$K$4:$AJ$4,0))))+SUMPRODUCT((Inputs!$C$5:$C$200=$B15)*ISNUMBER(INDEX(Inputs!$K$5:$AJ$200,0,MATCH(N$2,Inputs!$K$4:$AJ$4,0))))+SUMPRODUCT((Inputs!$E$5:$E$200=$B15)*ISNUMBER(INDEX(Inputs!$K$5:$AJ$200,0,MATCH(N$2,Inputs!$K$4:$AJ$4,0))))=0,NA(),SUMPRODUCT((Inputs!$A$5:$A$200=$B15)*Inputs!$B$5:$B$200*(((Inputs!$G$5:$G$200="moeda")+(Inputs!$G$5:$G$200="acoes"))*Inputs!$B$1+((Inputs!$G$5:$G$200&lt;&gt;"moeda")*(Inputs!$G$5:$G$200&lt;&gt;"acoes")))*INDEX(Inputs!$K$5:$AJ$200,0,MATCH(N$2,Inputs!$K$4:$AJ$4,0)))+SUMPRODUCT((Inputs!$C$5:$C$200=$B15)*Inputs!$D$5:$D$200*(((Inputs!$G$5:$G$200="moeda")+(Inputs!$G$5:$G$200="acoes"))*Inputs!$B$1+((Inputs!$G$5:$G$200&lt;&gt;"moeda")*(Inputs!$G$5:$G$200&lt;&gt;"acoes")))*INDEX(Inputs!$K$5:$AJ$200,0,MATCH(N$2,Inputs!$K$4:$AJ$4,0)))+SUMPRODUCT((Inputs!$E$5:$E$200=$B15)*Inputs!$F$5:$F$200*(((Inputs!$G$5:$G$200="moeda")+(Inputs!$G$5:$G$200="acoes"))*Inputs!$B$1+((Inputs!$G$5:$G$200&lt;&gt;"moeda")*(Inputs!$G$5:$G$200&lt;&gt;"acoes")))*INDEX(Inputs!$K$5:$AJ$200,0,MATCH(N$2,Inputs!$K$4:$AJ$4,0)))))</f>
        <v>192.927</v>
      </c>
      <c r="O15" s="6">
        <f>IF(ISNA(MATCH(O$2,Inputs!$K$4:$AJ$4,0)),NA(),IF(SUMPRODUCT((Inputs!$A$5:$A$200=$B15)*ISNUMBER(INDEX(Inputs!$K$5:$AJ$200,0,MATCH(O$2,Inputs!$K$4:$AJ$4,0))))+SUMPRODUCT((Inputs!$C$5:$C$200=$B15)*ISNUMBER(INDEX(Inputs!$K$5:$AJ$200,0,MATCH(O$2,Inputs!$K$4:$AJ$4,0))))+SUMPRODUCT((Inputs!$E$5:$E$200=$B15)*ISNUMBER(INDEX(Inputs!$K$5:$AJ$200,0,MATCH(O$2,Inputs!$K$4:$AJ$4,0))))=0,NA(),SUMPRODUCT((Inputs!$A$5:$A$200=$B15)*Inputs!$B$5:$B$200*(((Inputs!$G$5:$G$200="moeda")+(Inputs!$G$5:$G$200="acoes"))*Inputs!$B$1+((Inputs!$G$5:$G$200&lt;&gt;"moeda")*(Inputs!$G$5:$G$200&lt;&gt;"acoes")))*INDEX(Inputs!$K$5:$AJ$200,0,MATCH(O$2,Inputs!$K$4:$AJ$4,0)))+SUMPRODUCT((Inputs!$C$5:$C$200=$B15)*Inputs!$D$5:$D$200*(((Inputs!$G$5:$G$200="moeda")+(Inputs!$G$5:$G$200="acoes"))*Inputs!$B$1+((Inputs!$G$5:$G$200&lt;&gt;"moeda")*(Inputs!$G$5:$G$200&lt;&gt;"acoes")))*INDEX(Inputs!$K$5:$AJ$200,0,MATCH(O$2,Inputs!$K$4:$AJ$4,0)))+SUMPRODUCT((Inputs!$E$5:$E$200=$B15)*Inputs!$F$5:$F$200*(((Inputs!$G$5:$G$200="moeda")+(Inputs!$G$5:$G$200="acoes"))*Inputs!$B$1+((Inputs!$G$5:$G$200&lt;&gt;"moeda")*(Inputs!$G$5:$G$200&lt;&gt;"acoes")))*INDEX(Inputs!$K$5:$AJ$200,0,MATCH(O$2,Inputs!$K$4:$AJ$4,0)))))</f>
        <v>217.733</v>
      </c>
      <c r="P15" s="6">
        <f>IF(ISNA(MATCH(P$2,Inputs!$K$4:$AJ$4,0)),NA(),IF(SUMPRODUCT((Inputs!$A$5:$A$200=$B15)*ISNUMBER(INDEX(Inputs!$K$5:$AJ$200,0,MATCH(P$2,Inputs!$K$4:$AJ$4,0))))+SUMPRODUCT((Inputs!$C$5:$C$200=$B15)*ISNUMBER(INDEX(Inputs!$K$5:$AJ$200,0,MATCH(P$2,Inputs!$K$4:$AJ$4,0))))+SUMPRODUCT((Inputs!$E$5:$E$200=$B15)*ISNUMBER(INDEX(Inputs!$K$5:$AJ$200,0,MATCH(P$2,Inputs!$K$4:$AJ$4,0))))=0,NA(),SUMPRODUCT((Inputs!$A$5:$A$200=$B15)*Inputs!$B$5:$B$200*(((Inputs!$G$5:$G$200="moeda")+(Inputs!$G$5:$G$200="acoes"))*Inputs!$B$1+((Inputs!$G$5:$G$200&lt;&gt;"moeda")*(Inputs!$G$5:$G$200&lt;&gt;"acoes")))*INDEX(Inputs!$K$5:$AJ$200,0,MATCH(P$2,Inputs!$K$4:$AJ$4,0)))+SUMPRODUCT((Inputs!$C$5:$C$200=$B15)*Inputs!$D$5:$D$200*(((Inputs!$G$5:$G$200="moeda")+(Inputs!$G$5:$G$200="acoes"))*Inputs!$B$1+((Inputs!$G$5:$G$200&lt;&gt;"moeda")*(Inputs!$G$5:$G$200&lt;&gt;"acoes")))*INDEX(Inputs!$K$5:$AJ$200,0,MATCH(P$2,Inputs!$K$4:$AJ$4,0)))+SUMPRODUCT((Inputs!$E$5:$E$200=$B15)*Inputs!$F$5:$F$200*(((Inputs!$G$5:$G$200="moeda")+(Inputs!$G$5:$G$200="acoes"))*Inputs!$B$1+((Inputs!$G$5:$G$200&lt;&gt;"moeda")*(Inputs!$G$5:$G$200&lt;&gt;"acoes")))*INDEX(Inputs!$K$5:$AJ$200,0,MATCH(P$2,Inputs!$K$4:$AJ$4,0)))))</f>
        <v>263.359</v>
      </c>
      <c r="Q15" s="6">
        <f>IF(ISNA(MATCH(Q$2,Inputs!$K$4:$AJ$4,0)),NA(),IF(SUMPRODUCT((Inputs!$A$5:$A$200=$B15)*ISNUMBER(INDEX(Inputs!$K$5:$AJ$200,0,MATCH(Q$2,Inputs!$K$4:$AJ$4,0))))+SUMPRODUCT((Inputs!$C$5:$C$200=$B15)*ISNUMBER(INDEX(Inputs!$K$5:$AJ$200,0,MATCH(Q$2,Inputs!$K$4:$AJ$4,0))))+SUMPRODUCT((Inputs!$E$5:$E$200=$B15)*ISNUMBER(INDEX(Inputs!$K$5:$AJ$200,0,MATCH(Q$2,Inputs!$K$4:$AJ$4,0))))=0,NA(),SUMPRODUCT((Inputs!$A$5:$A$200=$B15)*Inputs!$B$5:$B$200*(((Inputs!$G$5:$G$200="moeda")+(Inputs!$G$5:$G$200="acoes"))*Inputs!$B$1+((Inputs!$G$5:$G$200&lt;&gt;"moeda")*(Inputs!$G$5:$G$200&lt;&gt;"acoes")))*INDEX(Inputs!$K$5:$AJ$200,0,MATCH(Q$2,Inputs!$K$4:$AJ$4,0)))+SUMPRODUCT((Inputs!$C$5:$C$200=$B15)*Inputs!$D$5:$D$200*(((Inputs!$G$5:$G$200="moeda")+(Inputs!$G$5:$G$200="acoes"))*Inputs!$B$1+((Inputs!$G$5:$G$200&lt;&gt;"moeda")*(Inputs!$G$5:$G$200&lt;&gt;"acoes")))*INDEX(Inputs!$K$5:$AJ$200,0,MATCH(Q$2,Inputs!$K$4:$AJ$4,0)))+SUMPRODUCT((Inputs!$E$5:$E$200=$B15)*Inputs!$F$5:$F$200*(((Inputs!$G$5:$G$200="moeda")+(Inputs!$G$5:$G$200="acoes"))*Inputs!$B$1+((Inputs!$G$5:$G$200&lt;&gt;"moeda")*(Inputs!$G$5:$G$200&lt;&gt;"acoes")))*INDEX(Inputs!$K$5:$AJ$200,0,MATCH(Q$2,Inputs!$K$4:$AJ$4,0)))))</f>
        <v>323.034</v>
      </c>
      <c r="R15" s="3">
        <f>Q15</f>
        <v>323.034</v>
      </c>
      <c r="S15" s="6">
        <f>IF(ISNA(MATCH(S$2,Inputs!$K$4:$AJ$4,0)),NA(),IF(SUMPRODUCT((Inputs!$A$5:$A$200=$B15)*ISNUMBER(INDEX(Inputs!$K$5:$AJ$200,0,MATCH(S$2,Inputs!$K$4:$AJ$4,0))))+SUMPRODUCT((Inputs!$C$5:$C$200=$B15)*ISNUMBER(INDEX(Inputs!$K$5:$AJ$200,0,MATCH(S$2,Inputs!$K$4:$AJ$4,0))))+SUMPRODUCT((Inputs!$E$5:$E$200=$B15)*ISNUMBER(INDEX(Inputs!$K$5:$AJ$200,0,MATCH(S$2,Inputs!$K$4:$AJ$4,0))))=0,NA(),SUMPRODUCT((Inputs!$A$5:$A$200=$B15)*Inputs!$B$5:$B$200*(((Inputs!$G$5:$G$200="moeda")+(Inputs!$G$5:$G$200="acoes"))*Inputs!$B$1+((Inputs!$G$5:$G$200&lt;&gt;"moeda")*(Inputs!$G$5:$G$200&lt;&gt;"acoes")))*INDEX(Inputs!$K$5:$AJ$200,0,MATCH(S$2,Inputs!$K$4:$AJ$4,0)))+SUMPRODUCT((Inputs!$C$5:$C$200=$B15)*Inputs!$D$5:$D$200*(((Inputs!$G$5:$G$200="moeda")+(Inputs!$G$5:$G$200="acoes"))*Inputs!$B$1+((Inputs!$G$5:$G$200&lt;&gt;"moeda")*(Inputs!$G$5:$G$200&lt;&gt;"acoes")))*INDEX(Inputs!$K$5:$AJ$200,0,MATCH(S$2,Inputs!$K$4:$AJ$4,0)))+SUMPRODUCT((Inputs!$E$5:$E$200=$B15)*Inputs!$F$5:$F$200*(((Inputs!$G$5:$G$200="moeda")+(Inputs!$G$5:$G$200="acoes"))*Inputs!$B$1+((Inputs!$G$5:$G$200&lt;&gt;"moeda")*(Inputs!$G$5:$G$200&lt;&gt;"acoes")))*INDEX(Inputs!$K$5:$AJ$200,0,MATCH(S$2,Inputs!$K$4:$AJ$4,0)))))</f>
        <v>272.932</v>
      </c>
      <c r="T15" s="6">
        <f>IF(ISNA(MATCH(T$2,Inputs!$K$4:$AJ$4,0)),NA(),IF(SUMPRODUCT((Inputs!$A$5:$A$200=$B15)*ISNUMBER(INDEX(Inputs!$K$5:$AJ$200,0,MATCH(T$2,Inputs!$K$4:$AJ$4,0))))+SUMPRODUCT((Inputs!$C$5:$C$200=$B15)*ISNUMBER(INDEX(Inputs!$K$5:$AJ$200,0,MATCH(T$2,Inputs!$K$4:$AJ$4,0))))+SUMPRODUCT((Inputs!$E$5:$E$200=$B15)*ISNUMBER(INDEX(Inputs!$K$5:$AJ$200,0,MATCH(T$2,Inputs!$K$4:$AJ$4,0))))=0,NA(),SUMPRODUCT((Inputs!$A$5:$A$200=$B15)*Inputs!$B$5:$B$200*(((Inputs!$G$5:$G$200="moeda")+(Inputs!$G$5:$G$200="acoes"))*Inputs!$B$1+((Inputs!$G$5:$G$200&lt;&gt;"moeda")*(Inputs!$G$5:$G$200&lt;&gt;"acoes")))*INDEX(Inputs!$K$5:$AJ$200,0,MATCH(T$2,Inputs!$K$4:$AJ$4,0)))+SUMPRODUCT((Inputs!$C$5:$C$200=$B15)*Inputs!$D$5:$D$200*(((Inputs!$G$5:$G$200="moeda")+(Inputs!$G$5:$G$200="acoes"))*Inputs!$B$1+((Inputs!$G$5:$G$200&lt;&gt;"moeda")*(Inputs!$G$5:$G$200&lt;&gt;"acoes")))*INDEX(Inputs!$K$5:$AJ$200,0,MATCH(T$2,Inputs!$K$4:$AJ$4,0)))+SUMPRODUCT((Inputs!$E$5:$E$200=$B15)*Inputs!$F$5:$F$200*(((Inputs!$G$5:$G$200="moeda")+(Inputs!$G$5:$G$200="acoes"))*Inputs!$B$1+((Inputs!$G$5:$G$200&lt;&gt;"moeda")*(Inputs!$G$5:$G$200&lt;&gt;"acoes")))*INDEX(Inputs!$K$5:$AJ$200,0,MATCH(T$2,Inputs!$K$4:$AJ$4,0)))))</f>
        <v>309.587</v>
      </c>
      <c r="U15" s="6">
        <f>IF(ISNA(MATCH(U$2,Inputs!$K$4:$AJ$4,0)),NA(),IF(SUMPRODUCT((Inputs!$A$5:$A$200=$B15)*ISNUMBER(INDEX(Inputs!$K$5:$AJ$200,0,MATCH(U$2,Inputs!$K$4:$AJ$4,0))))+SUMPRODUCT((Inputs!$C$5:$C$200=$B15)*ISNUMBER(INDEX(Inputs!$K$5:$AJ$200,0,MATCH(U$2,Inputs!$K$4:$AJ$4,0))))+SUMPRODUCT((Inputs!$E$5:$E$200=$B15)*ISNUMBER(INDEX(Inputs!$K$5:$AJ$200,0,MATCH(U$2,Inputs!$K$4:$AJ$4,0))))=0,NA(),SUMPRODUCT((Inputs!$A$5:$A$200=$B15)*Inputs!$B$5:$B$200*(((Inputs!$G$5:$G$200="moeda")+(Inputs!$G$5:$G$200="acoes"))*Inputs!$B$1+((Inputs!$G$5:$G$200&lt;&gt;"moeda")*(Inputs!$G$5:$G$200&lt;&gt;"acoes")))*INDEX(Inputs!$K$5:$AJ$200,0,MATCH(U$2,Inputs!$K$4:$AJ$4,0)))+SUMPRODUCT((Inputs!$C$5:$C$200=$B15)*Inputs!$D$5:$D$200*(((Inputs!$G$5:$G$200="moeda")+(Inputs!$G$5:$G$200="acoes"))*Inputs!$B$1+((Inputs!$G$5:$G$200&lt;&gt;"moeda")*(Inputs!$G$5:$G$200&lt;&gt;"acoes")))*INDEX(Inputs!$K$5:$AJ$200,0,MATCH(U$2,Inputs!$K$4:$AJ$4,0)))+SUMPRODUCT((Inputs!$E$5:$E$200=$B15)*Inputs!$F$5:$F$200*(((Inputs!$G$5:$G$200="moeda")+(Inputs!$G$5:$G$200="acoes"))*Inputs!$B$1+((Inputs!$G$5:$G$200&lt;&gt;"moeda")*(Inputs!$G$5:$G$200&lt;&gt;"acoes")))*INDEX(Inputs!$K$5:$AJ$200,0,MATCH(U$2,Inputs!$K$4:$AJ$4,0)))))</f>
        <v>794.179</v>
      </c>
      <c r="V15" s="6">
        <f>IF(ISNA(MATCH(V$2,Inputs!$K$4:$AJ$4,0)),NA(),IF(SUMPRODUCT((Inputs!$A$5:$A$200=$B15)*ISNUMBER(INDEX(Inputs!$K$5:$AJ$200,0,MATCH(V$2,Inputs!$K$4:$AJ$4,0))))+SUMPRODUCT((Inputs!$C$5:$C$200=$B15)*ISNUMBER(INDEX(Inputs!$K$5:$AJ$200,0,MATCH(V$2,Inputs!$K$4:$AJ$4,0))))+SUMPRODUCT((Inputs!$E$5:$E$200=$B15)*ISNUMBER(INDEX(Inputs!$K$5:$AJ$200,0,MATCH(V$2,Inputs!$K$4:$AJ$4,0))))=0,NA(),SUMPRODUCT((Inputs!$A$5:$A$200=$B15)*Inputs!$B$5:$B$200*(((Inputs!$G$5:$G$200="moeda")+(Inputs!$G$5:$G$200="acoes"))*Inputs!$B$1+((Inputs!$G$5:$G$200&lt;&gt;"moeda")*(Inputs!$G$5:$G$200&lt;&gt;"acoes")))*INDEX(Inputs!$K$5:$AJ$200,0,MATCH(V$2,Inputs!$K$4:$AJ$4,0)))+SUMPRODUCT((Inputs!$C$5:$C$200=$B15)*Inputs!$D$5:$D$200*(((Inputs!$G$5:$G$200="moeda")+(Inputs!$G$5:$G$200="acoes"))*Inputs!$B$1+((Inputs!$G$5:$G$200&lt;&gt;"moeda")*(Inputs!$G$5:$G$200&lt;&gt;"acoes")))*INDEX(Inputs!$K$5:$AJ$200,0,MATCH(V$2,Inputs!$K$4:$AJ$4,0)))+SUMPRODUCT((Inputs!$E$5:$E$200=$B15)*Inputs!$F$5:$F$200*(((Inputs!$G$5:$G$200="moeda")+(Inputs!$G$5:$G$200="acoes"))*Inputs!$B$1+((Inputs!$G$5:$G$200&lt;&gt;"moeda")*(Inputs!$G$5:$G$200&lt;&gt;"acoes")))*INDEX(Inputs!$K$5:$AJ$200,0,MATCH(V$2,Inputs!$K$4:$AJ$4,0)))))</f>
        <v>601.823</v>
      </c>
      <c r="W15" s="3">
        <f>V15</f>
        <v>601.823</v>
      </c>
      <c r="X15" s="6">
        <f>IF(ISNA(MATCH(X$2,Inputs!$K$4:$AJ$4,0)),NA(),IF(SUMPRODUCT((Inputs!$A$5:$A$200=$B15)*ISNUMBER(INDEX(Inputs!$K$5:$AJ$200,0,MATCH(X$2,Inputs!$K$4:$AJ$4,0))))+SUMPRODUCT((Inputs!$C$5:$C$200=$B15)*ISNUMBER(INDEX(Inputs!$K$5:$AJ$200,0,MATCH(X$2,Inputs!$K$4:$AJ$4,0))))+SUMPRODUCT((Inputs!$E$5:$E$200=$B15)*ISNUMBER(INDEX(Inputs!$K$5:$AJ$200,0,MATCH(X$2,Inputs!$K$4:$AJ$4,0))))=0,NA(),SUMPRODUCT((Inputs!$A$5:$A$200=$B15)*Inputs!$B$5:$B$200*(((Inputs!$G$5:$G$200="moeda")+(Inputs!$G$5:$G$200="acoes"))*Inputs!$B$1+((Inputs!$G$5:$G$200&lt;&gt;"moeda")*(Inputs!$G$5:$G$200&lt;&gt;"acoes")))*INDEX(Inputs!$K$5:$AJ$200,0,MATCH(X$2,Inputs!$K$4:$AJ$4,0)))+SUMPRODUCT((Inputs!$C$5:$C$200=$B15)*Inputs!$D$5:$D$200*(((Inputs!$G$5:$G$200="moeda")+(Inputs!$G$5:$G$200="acoes"))*Inputs!$B$1+((Inputs!$G$5:$G$200&lt;&gt;"moeda")*(Inputs!$G$5:$G$200&lt;&gt;"acoes")))*INDEX(Inputs!$K$5:$AJ$200,0,MATCH(X$2,Inputs!$K$4:$AJ$4,0)))+SUMPRODUCT((Inputs!$E$5:$E$200=$B15)*Inputs!$F$5:$F$200*(((Inputs!$G$5:$G$200="moeda")+(Inputs!$G$5:$G$200="acoes"))*Inputs!$B$1+((Inputs!$G$5:$G$200&lt;&gt;"moeda")*(Inputs!$G$5:$G$200&lt;&gt;"acoes")))*INDEX(Inputs!$K$5:$AJ$200,0,MATCH(X$2,Inputs!$K$4:$AJ$4,0)))))</f>
        <v>549.637</v>
      </c>
      <c r="Y15" s="6">
        <f>IF(ISNA(MATCH(Y$2,Inputs!$K$4:$AJ$4,0)),NA(),IF(SUMPRODUCT((Inputs!$A$5:$A$200=$B15)*ISNUMBER(INDEX(Inputs!$K$5:$AJ$200,0,MATCH(Y$2,Inputs!$K$4:$AJ$4,0))))+SUMPRODUCT((Inputs!$C$5:$C$200=$B15)*ISNUMBER(INDEX(Inputs!$K$5:$AJ$200,0,MATCH(Y$2,Inputs!$K$4:$AJ$4,0))))+SUMPRODUCT((Inputs!$E$5:$E$200=$B15)*ISNUMBER(INDEX(Inputs!$K$5:$AJ$200,0,MATCH(Y$2,Inputs!$K$4:$AJ$4,0))))=0,NA(),SUMPRODUCT((Inputs!$A$5:$A$200=$B15)*Inputs!$B$5:$B$200*(((Inputs!$G$5:$G$200="moeda")+(Inputs!$G$5:$G$200="acoes"))*Inputs!$B$1+((Inputs!$G$5:$G$200&lt;&gt;"moeda")*(Inputs!$G$5:$G$200&lt;&gt;"acoes")))*INDEX(Inputs!$K$5:$AJ$200,0,MATCH(Y$2,Inputs!$K$4:$AJ$4,0)))+SUMPRODUCT((Inputs!$C$5:$C$200=$B15)*Inputs!$D$5:$D$200*(((Inputs!$G$5:$G$200="moeda")+(Inputs!$G$5:$G$200="acoes"))*Inputs!$B$1+((Inputs!$G$5:$G$200&lt;&gt;"moeda")*(Inputs!$G$5:$G$200&lt;&gt;"acoes")))*INDEX(Inputs!$K$5:$AJ$200,0,MATCH(Y$2,Inputs!$K$4:$AJ$4,0)))+SUMPRODUCT((Inputs!$E$5:$E$200=$B15)*Inputs!$F$5:$F$200*(((Inputs!$G$5:$G$200="moeda")+(Inputs!$G$5:$G$200="acoes"))*Inputs!$B$1+((Inputs!$G$5:$G$200&lt;&gt;"moeda")*(Inputs!$G$5:$G$200&lt;&gt;"acoes")))*INDEX(Inputs!$K$5:$AJ$200,0,MATCH(Y$2,Inputs!$K$4:$AJ$4,0)))))</f>
        <v>1012.91</v>
      </c>
      <c r="Z15" s="6">
        <f>IF(ISNA(MATCH(Z$2,Inputs!$K$4:$AJ$4,0)),NA(),IF(SUMPRODUCT((Inputs!$A$5:$A$200=$B15)*ISNUMBER(INDEX(Inputs!$K$5:$AJ$200,0,MATCH(Z$2,Inputs!$K$4:$AJ$4,0))))+SUMPRODUCT((Inputs!$C$5:$C$200=$B15)*ISNUMBER(INDEX(Inputs!$K$5:$AJ$200,0,MATCH(Z$2,Inputs!$K$4:$AJ$4,0))))+SUMPRODUCT((Inputs!$E$5:$E$200=$B15)*ISNUMBER(INDEX(Inputs!$K$5:$AJ$200,0,MATCH(Z$2,Inputs!$K$4:$AJ$4,0))))=0,NA(),SUMPRODUCT((Inputs!$A$5:$A$200=$B15)*Inputs!$B$5:$B$200*(((Inputs!$G$5:$G$200="moeda")+(Inputs!$G$5:$G$200="acoes"))*Inputs!$B$1+((Inputs!$G$5:$G$200&lt;&gt;"moeda")*(Inputs!$G$5:$G$200&lt;&gt;"acoes")))*INDEX(Inputs!$K$5:$AJ$200,0,MATCH(Z$2,Inputs!$K$4:$AJ$4,0)))+SUMPRODUCT((Inputs!$C$5:$C$200=$B15)*Inputs!$D$5:$D$200*(((Inputs!$G$5:$G$200="moeda")+(Inputs!$G$5:$G$200="acoes"))*Inputs!$B$1+((Inputs!$G$5:$G$200&lt;&gt;"moeda")*(Inputs!$G$5:$G$200&lt;&gt;"acoes")))*INDEX(Inputs!$K$5:$AJ$200,0,MATCH(Z$2,Inputs!$K$4:$AJ$4,0)))+SUMPRODUCT((Inputs!$E$5:$E$200=$B15)*Inputs!$F$5:$F$200*(((Inputs!$G$5:$G$200="moeda")+(Inputs!$G$5:$G$200="acoes"))*Inputs!$B$1+((Inputs!$G$5:$G$200&lt;&gt;"moeda")*(Inputs!$G$5:$G$200&lt;&gt;"acoes")))*INDEX(Inputs!$K$5:$AJ$200,0,MATCH(Z$2,Inputs!$K$4:$AJ$4,0)))))</f>
        <v>1058.856</v>
      </c>
      <c r="AA15" s="6">
        <f>IF(ISNA(MATCH(AA$2,Inputs!$K$4:$AJ$4,0)),NA(),IF(SUMPRODUCT((Inputs!$A$5:$A$200=$B15)*ISNUMBER(INDEX(Inputs!$K$5:$AJ$200,0,MATCH(AA$2,Inputs!$K$4:$AJ$4,0))))+SUMPRODUCT((Inputs!$C$5:$C$200=$B15)*ISNUMBER(INDEX(Inputs!$K$5:$AJ$200,0,MATCH(AA$2,Inputs!$K$4:$AJ$4,0))))+SUMPRODUCT((Inputs!$E$5:$E$200=$B15)*ISNUMBER(INDEX(Inputs!$K$5:$AJ$200,0,MATCH(AA$2,Inputs!$K$4:$AJ$4,0))))=0,NA(),SUMPRODUCT((Inputs!$A$5:$A$200=$B15)*Inputs!$B$5:$B$200*(((Inputs!$G$5:$G$200="moeda")+(Inputs!$G$5:$G$200="acoes"))*Inputs!$B$1+((Inputs!$G$5:$G$200&lt;&gt;"moeda")*(Inputs!$G$5:$G$200&lt;&gt;"acoes")))*INDEX(Inputs!$K$5:$AJ$200,0,MATCH(AA$2,Inputs!$K$4:$AJ$4,0)))+SUMPRODUCT((Inputs!$C$5:$C$200=$B15)*Inputs!$D$5:$D$200*(((Inputs!$G$5:$G$200="moeda")+(Inputs!$G$5:$G$200="acoes"))*Inputs!$B$1+((Inputs!$G$5:$G$200&lt;&gt;"moeda")*(Inputs!$G$5:$G$200&lt;&gt;"acoes")))*INDEX(Inputs!$K$5:$AJ$200,0,MATCH(AA$2,Inputs!$K$4:$AJ$4,0)))+SUMPRODUCT((Inputs!$E$5:$E$200=$B15)*Inputs!$F$5:$F$200*(((Inputs!$G$5:$G$200="moeda")+(Inputs!$G$5:$G$200="acoes"))*Inputs!$B$1+((Inputs!$G$5:$G$200&lt;&gt;"moeda")*(Inputs!$G$5:$G$200&lt;&gt;"acoes")))*INDEX(Inputs!$K$5:$AJ$200,0,MATCH(AA$2,Inputs!$K$4:$AJ$4,0)))))</f>
        <v>922.369</v>
      </c>
      <c r="AB15" s="3">
        <f>AA15</f>
        <v>922.369</v>
      </c>
      <c r="AC15" s="6">
        <f>IF(ISNA(MATCH(AC$2,Inputs!$K$4:$AJ$4,0)),NA(),IF(SUMPRODUCT((Inputs!$A$5:$A$200=$B15)*ISNUMBER(INDEX(Inputs!$K$5:$AJ$200,0,MATCH(AC$2,Inputs!$K$4:$AJ$4,0))))+SUMPRODUCT((Inputs!$C$5:$C$200=$B15)*ISNUMBER(INDEX(Inputs!$K$5:$AJ$200,0,MATCH(AC$2,Inputs!$K$4:$AJ$4,0))))+SUMPRODUCT((Inputs!$E$5:$E$200=$B15)*ISNUMBER(INDEX(Inputs!$K$5:$AJ$200,0,MATCH(AC$2,Inputs!$K$4:$AJ$4,0))))=0,NA(),SUMPRODUCT((Inputs!$A$5:$A$200=$B15)*Inputs!$B$5:$B$200*(((Inputs!$G$5:$G$200="moeda")+(Inputs!$G$5:$G$200="acoes"))*Inputs!$B$1+((Inputs!$G$5:$G$200&lt;&gt;"moeda")*(Inputs!$G$5:$G$200&lt;&gt;"acoes")))*INDEX(Inputs!$K$5:$AJ$200,0,MATCH(AC$2,Inputs!$K$4:$AJ$4,0)))+SUMPRODUCT((Inputs!$C$5:$C$200=$B15)*Inputs!$D$5:$D$200*(((Inputs!$G$5:$G$200="moeda")+(Inputs!$G$5:$G$200="acoes"))*Inputs!$B$1+((Inputs!$G$5:$G$200&lt;&gt;"moeda")*(Inputs!$G$5:$G$200&lt;&gt;"acoes")))*INDEX(Inputs!$K$5:$AJ$200,0,MATCH(AC$2,Inputs!$K$4:$AJ$4,0)))+SUMPRODUCT((Inputs!$E$5:$E$200=$B15)*Inputs!$F$5:$F$200*(((Inputs!$G$5:$G$200="moeda")+(Inputs!$G$5:$G$200="acoes"))*Inputs!$B$1+((Inputs!$G$5:$G$200&lt;&gt;"moeda")*(Inputs!$G$5:$G$200&lt;&gt;"acoes")))*INDEX(Inputs!$K$5:$AJ$200,0,MATCH(AC$2,Inputs!$K$4:$AJ$4,0)))))</f>
        <v>870.114</v>
      </c>
      <c r="AD15" s="6">
        <f>IF(ISNA(MATCH(AD$2,Inputs!$K$4:$AJ$4,0)),NA(),IF(SUMPRODUCT((Inputs!$A$5:$A$200=$B15)*ISNUMBER(INDEX(Inputs!$K$5:$AJ$200,0,MATCH(AD$2,Inputs!$K$4:$AJ$4,0))))+SUMPRODUCT((Inputs!$C$5:$C$200=$B15)*ISNUMBER(INDEX(Inputs!$K$5:$AJ$200,0,MATCH(AD$2,Inputs!$K$4:$AJ$4,0))))+SUMPRODUCT((Inputs!$E$5:$E$200=$B15)*ISNUMBER(INDEX(Inputs!$K$5:$AJ$200,0,MATCH(AD$2,Inputs!$K$4:$AJ$4,0))))=0,NA(),SUMPRODUCT((Inputs!$A$5:$A$200=$B15)*Inputs!$B$5:$B$200*(((Inputs!$G$5:$G$200="moeda")+(Inputs!$G$5:$G$200="acoes"))*Inputs!$B$1+((Inputs!$G$5:$G$200&lt;&gt;"moeda")*(Inputs!$G$5:$G$200&lt;&gt;"acoes")))*INDEX(Inputs!$K$5:$AJ$200,0,MATCH(AD$2,Inputs!$K$4:$AJ$4,0)))+SUMPRODUCT((Inputs!$C$5:$C$200=$B15)*Inputs!$D$5:$D$200*(((Inputs!$G$5:$G$200="moeda")+(Inputs!$G$5:$G$200="acoes"))*Inputs!$B$1+((Inputs!$G$5:$G$200&lt;&gt;"moeda")*(Inputs!$G$5:$G$200&lt;&gt;"acoes")))*INDEX(Inputs!$K$5:$AJ$200,0,MATCH(AD$2,Inputs!$K$4:$AJ$4,0)))+SUMPRODUCT((Inputs!$E$5:$E$200=$B15)*Inputs!$F$5:$F$200*(((Inputs!$G$5:$G$200="moeda")+(Inputs!$G$5:$G$200="acoes"))*Inputs!$B$1+((Inputs!$G$5:$G$200&lt;&gt;"moeda")*(Inputs!$G$5:$G$200&lt;&gt;"acoes")))*INDEX(Inputs!$K$5:$AJ$200,0,MATCH(AD$2,Inputs!$K$4:$AJ$4,0)))))</f>
        <v>1544.303</v>
      </c>
      <c r="AE15" s="6" t="e">
        <f>IF(ISNA(MATCH(AE$2,Inputs!$K$4:$AJ$4,0)),NA(),IF(SUMPRODUCT((Inputs!$A$5:$A$200=$B15)*ISNUMBER(INDEX(Inputs!$K$5:$AJ$200,0,MATCH(AE$2,Inputs!$K$4:$AJ$4,0))))+SUMPRODUCT((Inputs!$C$5:$C$200=$B15)*ISNUMBER(INDEX(Inputs!$K$5:$AJ$200,0,MATCH(AE$2,Inputs!$K$4:$AJ$4,0))))+SUMPRODUCT((Inputs!$E$5:$E$200=$B15)*ISNUMBER(INDEX(Inputs!$K$5:$AJ$200,0,MATCH(AE$2,Inputs!$K$4:$AJ$4,0))))=0,NA(),SUMPRODUCT((Inputs!$A$5:$A$200=$B15)*Inputs!$B$5:$B$200*(((Inputs!$G$5:$G$200="moeda")+(Inputs!$G$5:$G$200="acoes"))*Inputs!$B$1+((Inputs!$G$5:$G$200&lt;&gt;"moeda")*(Inputs!$G$5:$G$200&lt;&gt;"acoes")))*INDEX(Inputs!$K$5:$AJ$200,0,MATCH(AE$2,Inputs!$K$4:$AJ$4,0)))+SUMPRODUCT((Inputs!$C$5:$C$200=$B15)*Inputs!$D$5:$D$200*(((Inputs!$G$5:$G$200="moeda")+(Inputs!$G$5:$G$200="acoes"))*Inputs!$B$1+((Inputs!$G$5:$G$200&lt;&gt;"moeda")*(Inputs!$G$5:$G$200&lt;&gt;"acoes")))*INDEX(Inputs!$K$5:$AJ$200,0,MATCH(AE$2,Inputs!$K$4:$AJ$4,0)))+SUMPRODUCT((Inputs!$E$5:$E$200=$B15)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5" s="6" t="e">
        <f>IF(ISNA(MATCH(AF$2,Inputs!$K$4:$AJ$4,0)),NA(),IF(SUMPRODUCT((Inputs!$A$5:$A$200=$B15)*ISNUMBER(INDEX(Inputs!$K$5:$AJ$200,0,MATCH(AF$2,Inputs!$K$4:$AJ$4,0))))+SUMPRODUCT((Inputs!$C$5:$C$200=$B15)*ISNUMBER(INDEX(Inputs!$K$5:$AJ$200,0,MATCH(AF$2,Inputs!$K$4:$AJ$4,0))))+SUMPRODUCT((Inputs!$E$5:$E$200=$B15)*ISNUMBER(INDEX(Inputs!$K$5:$AJ$200,0,MATCH(AF$2,Inputs!$K$4:$AJ$4,0))))=0,NA(),SUMPRODUCT((Inputs!$A$5:$A$200=$B15)*Inputs!$B$5:$B$200*(((Inputs!$G$5:$G$200="moeda")+(Inputs!$G$5:$G$200="acoes"))*Inputs!$B$1+((Inputs!$G$5:$G$200&lt;&gt;"moeda")*(Inputs!$G$5:$G$200&lt;&gt;"acoes")))*INDEX(Inputs!$K$5:$AJ$200,0,MATCH(AF$2,Inputs!$K$4:$AJ$4,0)))+SUMPRODUCT((Inputs!$C$5:$C$200=$B15)*Inputs!$D$5:$D$200*(((Inputs!$G$5:$G$200="moeda")+(Inputs!$G$5:$G$200="acoes"))*Inputs!$B$1+((Inputs!$G$5:$G$200&lt;&gt;"moeda")*(Inputs!$G$5:$G$200&lt;&gt;"acoes")))*INDEX(Inputs!$K$5:$AJ$200,0,MATCH(AF$2,Inputs!$K$4:$AJ$4,0)))+SUMPRODUCT((Inputs!$E$5:$E$200=$B15)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5" s="3" t="e">
        <f>AF15</f>
        <v>#N/A</v>
      </c>
      <c r="AH15" s="6">
        <f>IF(ISNA(MATCH(AH$2,Inputs!$K$4:$AJ$4,0)),NA(),IF(SUMPRODUCT((Inputs!$A$5:$A$200=$B15)*ISNUMBER(INDEX(Inputs!$K$5:$AJ$200,0,MATCH(AH$2,Inputs!$K$4:$AJ$4,0))))+SUMPRODUCT((Inputs!$C$5:$C$200=$B15)*ISNUMBER(INDEX(Inputs!$K$5:$AJ$200,0,MATCH(AH$2,Inputs!$K$4:$AJ$4,0))))+SUMPRODUCT((Inputs!$E$5:$E$200=$B15)*ISNUMBER(INDEX(Inputs!$K$5:$AJ$200,0,MATCH(AH$2,Inputs!$K$4:$AJ$4,0))))=0,NA(),SUMPRODUCT((Inputs!$A$5:$A$200=$B15)*Inputs!$B$5:$B$200*(((Inputs!$G$5:$G$200="moeda")+(Inputs!$G$5:$G$200="acoes"))*Inputs!$B$1+((Inputs!$G$5:$G$200&lt;&gt;"moeda")*(Inputs!$G$5:$G$200&lt;&gt;"acoes")))*INDEX(Inputs!$K$5:$AJ$200,0,MATCH(AH$2,Inputs!$K$4:$AJ$4,0)))+SUMPRODUCT((Inputs!$C$5:$C$200=$B15)*Inputs!$D$5:$D$200*(((Inputs!$G$5:$G$200="moeda")+(Inputs!$G$5:$G$200="acoes"))*Inputs!$B$1+((Inputs!$G$5:$G$200&lt;&gt;"moeda")*(Inputs!$G$5:$G$200&lt;&gt;"acoes")))*INDEX(Inputs!$K$5:$AJ$200,0,MATCH(AH$2,Inputs!$K$4:$AJ$4,0)))+SUMPRODUCT((Inputs!$E$5:$E$200=$B15)*Inputs!$F$5:$F$200*(((Inputs!$G$5:$G$200="moeda")+(Inputs!$G$5:$G$200="acoes"))*Inputs!$B$1+((Inputs!$G$5:$G$200&lt;&gt;"moeda")*(Inputs!$G$5:$G$200&lt;&gt;"acoes")))*INDEX(Inputs!$K$5:$AJ$200,0,MATCH(AH$2,Inputs!$K$4:$AJ$4,0)))))</f>
        <v>18.083</v>
      </c>
      <c r="AI15" s="6">
        <f>IF(ISNA(MATCH(AI$2,Inputs!$K$4:$AJ$4,0)),NA(),IF(SUMPRODUCT((Inputs!$A$5:$A$200=$B15)*ISNUMBER(INDEX(Inputs!$K$5:$AJ$200,0,MATCH(AI$2,Inputs!$K$4:$AJ$4,0))))+SUMPRODUCT((Inputs!$C$5:$C$200=$B15)*ISNUMBER(INDEX(Inputs!$K$5:$AJ$200,0,MATCH(AI$2,Inputs!$K$4:$AJ$4,0))))+SUMPRODUCT((Inputs!$E$5:$E$200=$B15)*ISNUMBER(INDEX(Inputs!$K$5:$AJ$200,0,MATCH(AI$2,Inputs!$K$4:$AJ$4,0))))=0,NA(),SUMPRODUCT((Inputs!$A$5:$A$200=$B15)*Inputs!$B$5:$B$200*(((Inputs!$G$5:$G$200="moeda")+(Inputs!$G$5:$G$200="acoes"))*Inputs!$B$1+((Inputs!$G$5:$G$200&lt;&gt;"moeda")*(Inputs!$G$5:$G$200&lt;&gt;"acoes")))*INDEX(Inputs!$K$5:$AJ$200,0,MATCH(AI$2,Inputs!$K$4:$AJ$4,0)))+SUMPRODUCT((Inputs!$C$5:$C$200=$B15)*Inputs!$D$5:$D$200*(((Inputs!$G$5:$G$200="moeda")+(Inputs!$G$5:$G$200="acoes"))*Inputs!$B$1+((Inputs!$G$5:$G$200&lt;&gt;"moeda")*(Inputs!$G$5:$G$200&lt;&gt;"acoes")))*INDEX(Inputs!$K$5:$AJ$200,0,MATCH(AI$2,Inputs!$K$4:$AJ$4,0)))+SUMPRODUCT((Inputs!$E$5:$E$200=$B15)*Inputs!$F$5:$F$200*(((Inputs!$G$5:$G$200="moeda")+(Inputs!$G$5:$G$200="acoes"))*Inputs!$B$1+((Inputs!$G$5:$G$200&lt;&gt;"moeda")*(Inputs!$G$5:$G$200&lt;&gt;"acoes")))*INDEX(Inputs!$K$5:$AJ$200,0,MATCH(AI$2,Inputs!$K$4:$AJ$4,0)))))</f>
        <v>14.548</v>
      </c>
      <c r="AJ15" s="6">
        <f>IF(ISNA(MATCH(AJ$2,Inputs!$K$4:$AJ$4,0)),NA(),IF(SUMPRODUCT((Inputs!$A$5:$A$200=$B15)*ISNUMBER(INDEX(Inputs!$K$5:$AJ$200,0,MATCH(AJ$2,Inputs!$K$4:$AJ$4,0))))+SUMPRODUCT((Inputs!$C$5:$C$200=$B15)*ISNUMBER(INDEX(Inputs!$K$5:$AJ$200,0,MATCH(AJ$2,Inputs!$K$4:$AJ$4,0))))+SUMPRODUCT((Inputs!$E$5:$E$200=$B15)*ISNUMBER(INDEX(Inputs!$K$5:$AJ$200,0,MATCH(AJ$2,Inputs!$K$4:$AJ$4,0))))=0,NA(),SUMPRODUCT((Inputs!$A$5:$A$200=$B15)*Inputs!$B$5:$B$200*(((Inputs!$G$5:$G$200="moeda")+(Inputs!$G$5:$G$200="acoes"))*Inputs!$B$1+((Inputs!$G$5:$G$200&lt;&gt;"moeda")*(Inputs!$G$5:$G$200&lt;&gt;"acoes")))*INDEX(Inputs!$K$5:$AJ$200,0,MATCH(AJ$2,Inputs!$K$4:$AJ$4,0)))+SUMPRODUCT((Inputs!$C$5:$C$200=$B15)*Inputs!$D$5:$D$200*(((Inputs!$G$5:$G$200="moeda")+(Inputs!$G$5:$G$200="acoes"))*Inputs!$B$1+((Inputs!$G$5:$G$200&lt;&gt;"moeda")*(Inputs!$G$5:$G$200&lt;&gt;"acoes")))*INDEX(Inputs!$K$5:$AJ$200,0,MATCH(AJ$2,Inputs!$K$4:$AJ$4,0)))+SUMPRODUCT((Inputs!$E$5:$E$200=$B15)*Inputs!$F$5:$F$200*(((Inputs!$G$5:$G$200="moeda")+(Inputs!$G$5:$G$200="acoes"))*Inputs!$B$1+((Inputs!$G$5:$G$200&lt;&gt;"moeda")*(Inputs!$G$5:$G$200&lt;&gt;"acoes")))*INDEX(Inputs!$K$5:$AJ$200,0,MATCH(AJ$2,Inputs!$K$4:$AJ$4,0)))))</f>
        <v>16.927</v>
      </c>
      <c r="AK15" s="6">
        <f>IF(ISNA(MATCH(AK$2,Inputs!$K$4:$AJ$4,0)),NA(),IF(SUMPRODUCT((Inputs!$A$5:$A$200=$B15)*ISNUMBER(INDEX(Inputs!$K$5:$AJ$200,0,MATCH(AK$2,Inputs!$K$4:$AJ$4,0))))+SUMPRODUCT((Inputs!$C$5:$C$200=$B15)*ISNUMBER(INDEX(Inputs!$K$5:$AJ$200,0,MATCH(AK$2,Inputs!$K$4:$AJ$4,0))))+SUMPRODUCT((Inputs!$E$5:$E$200=$B15)*ISNUMBER(INDEX(Inputs!$K$5:$AJ$200,0,MATCH(AK$2,Inputs!$K$4:$AJ$4,0))))=0,NA(),SUMPRODUCT((Inputs!$A$5:$A$200=$B15)*Inputs!$B$5:$B$200*(((Inputs!$G$5:$G$200="moeda")+(Inputs!$G$5:$G$200="acoes"))*Inputs!$B$1+((Inputs!$G$5:$G$200&lt;&gt;"moeda")*(Inputs!$G$5:$G$200&lt;&gt;"acoes")))*INDEX(Inputs!$K$5:$AJ$200,0,MATCH(AK$2,Inputs!$K$4:$AJ$4,0)))+SUMPRODUCT((Inputs!$C$5:$C$200=$B15)*Inputs!$D$5:$D$200*(((Inputs!$G$5:$G$200="moeda")+(Inputs!$G$5:$G$200="acoes"))*Inputs!$B$1+((Inputs!$G$5:$G$200&lt;&gt;"moeda")*(Inputs!$G$5:$G$200&lt;&gt;"acoes")))*INDEX(Inputs!$K$5:$AJ$200,0,MATCH(AK$2,Inputs!$K$4:$AJ$4,0)))+SUMPRODUCT((Inputs!$E$5:$E$200=$B15)*Inputs!$F$5:$F$200*(((Inputs!$G$5:$G$200="moeda")+(Inputs!$G$5:$G$200="acoes"))*Inputs!$B$1+((Inputs!$G$5:$G$200&lt;&gt;"moeda")*(Inputs!$G$5:$G$200&lt;&gt;"acoes")))*INDEX(Inputs!$K$5:$AJ$200,0,MATCH(AK$2,Inputs!$K$4:$AJ$4,0)))))</f>
        <v>16.555</v>
      </c>
      <c r="AL15" s="3">
        <f>AK15</f>
        <v>16.555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$200=$B16)*ISNUMBER(INDEX(Inputs!$K$5:$AJ$200,0,MATCH(D$2,Inputs!$K$4:$AJ$4,0))))+SUMPRODUCT((Inputs!$C$5:$C$200=$B16)*ISNUMBER(INDEX(Inputs!$K$5:$AJ$200,0,MATCH(D$2,Inputs!$K$4:$AJ$4,0))))+SUMPRODUCT((Inputs!$E$5:$E$200=$B16)*ISNUMBER(INDEX(Inputs!$K$5:$AJ$200,0,MATCH(D$2,Inputs!$K$4:$AJ$4,0))))=0,NA(),SUMPRODUCT((Inputs!$A$5:$A$200=$B16)*Inputs!$B$5:$B$200*(((Inputs!$G$5:$G$200="moeda")+(Inputs!$G$5:$G$200="acoes"))*Inputs!$B$1+((Inputs!$G$5:$G$200&lt;&gt;"moeda")*(Inputs!$G$5:$G$200&lt;&gt;"acoes")))*INDEX(Inputs!$K$5:$AJ$200,0,MATCH(D$2,Inputs!$K$4:$AJ$4,0)))+SUMPRODUCT((Inputs!$C$5:$C$200=$B16)*Inputs!$D$5:$D$200*(((Inputs!$G$5:$G$200="moeda")+(Inputs!$G$5:$G$200="acoes"))*Inputs!$B$1+((Inputs!$G$5:$G$200&lt;&gt;"moeda")*(Inputs!$G$5:$G$200&lt;&gt;"acoes")))*INDEX(Inputs!$K$5:$AJ$200,0,MATCH(D$2,Inputs!$K$4:$AJ$4,0)))+SUMPRODUCT((Inputs!$E$5:$E$200=$B16)*Inputs!$F$5:$F$200*(((Inputs!$G$5:$G$200="moeda")+(Inputs!$G$5:$G$200="acoes"))*Inputs!$B$1+((Inputs!$G$5:$G$200&lt;&gt;"moeda")*(Inputs!$G$5:$G$200&lt;&gt;"acoes")))*INDEX(Inputs!$K$5:$AJ$200,0,MATCH(D$2,Inputs!$K$4:$AJ$4,0)))))</f>
        <v>129.652</v>
      </c>
      <c r="E16" s="6">
        <f>IF(ISNA(MATCH(E$2,Inputs!$K$4:$AJ$4,0)),NA(),IF(SUMPRODUCT((Inputs!$A$5:$A$200=$B16)*ISNUMBER(INDEX(Inputs!$K$5:$AJ$200,0,MATCH(E$2,Inputs!$K$4:$AJ$4,0))))+SUMPRODUCT((Inputs!$C$5:$C$200=$B16)*ISNUMBER(INDEX(Inputs!$K$5:$AJ$200,0,MATCH(E$2,Inputs!$K$4:$AJ$4,0))))+SUMPRODUCT((Inputs!$E$5:$E$200=$B16)*ISNUMBER(INDEX(Inputs!$K$5:$AJ$200,0,MATCH(E$2,Inputs!$K$4:$AJ$4,0))))=0,NA(),SUMPRODUCT((Inputs!$A$5:$A$200=$B16)*Inputs!$B$5:$B$200*(((Inputs!$G$5:$G$200="moeda")+(Inputs!$G$5:$G$200="acoes"))*Inputs!$B$1+((Inputs!$G$5:$G$200&lt;&gt;"moeda")*(Inputs!$G$5:$G$200&lt;&gt;"acoes")))*INDEX(Inputs!$K$5:$AJ$200,0,MATCH(E$2,Inputs!$K$4:$AJ$4,0)))+SUMPRODUCT((Inputs!$C$5:$C$200=$B16)*Inputs!$D$5:$D$200*(((Inputs!$G$5:$G$200="moeda")+(Inputs!$G$5:$G$200="acoes"))*Inputs!$B$1+((Inputs!$G$5:$G$200&lt;&gt;"moeda")*(Inputs!$G$5:$G$200&lt;&gt;"acoes")))*INDEX(Inputs!$K$5:$AJ$200,0,MATCH(E$2,Inputs!$K$4:$AJ$4,0)))+SUMPRODUCT((Inputs!$E$5:$E$200=$B16)*Inputs!$F$5:$F$200*(((Inputs!$G$5:$G$200="moeda")+(Inputs!$G$5:$G$200="acoes"))*Inputs!$B$1+((Inputs!$G$5:$G$200&lt;&gt;"moeda")*(Inputs!$G$5:$G$200&lt;&gt;"acoes")))*INDEX(Inputs!$K$5:$AJ$200,0,MATCH(E$2,Inputs!$K$4:$AJ$4,0)))))</f>
        <v>147.827</v>
      </c>
      <c r="F16" s="6">
        <f>IF(ISNA(MATCH(F$2,Inputs!$K$4:$AJ$4,0)),NA(),IF(SUMPRODUCT((Inputs!$A$5:$A$200=$B16)*ISNUMBER(INDEX(Inputs!$K$5:$AJ$200,0,MATCH(F$2,Inputs!$K$4:$AJ$4,0))))+SUMPRODUCT((Inputs!$C$5:$C$200=$B16)*ISNUMBER(INDEX(Inputs!$K$5:$AJ$200,0,MATCH(F$2,Inputs!$K$4:$AJ$4,0))))+SUMPRODUCT((Inputs!$E$5:$E$200=$B16)*ISNUMBER(INDEX(Inputs!$K$5:$AJ$200,0,MATCH(F$2,Inputs!$K$4:$AJ$4,0))))=0,NA(),SUMPRODUCT((Inputs!$A$5:$A$200=$B16)*Inputs!$B$5:$B$200*(((Inputs!$G$5:$G$200="moeda")+(Inputs!$G$5:$G$200="acoes"))*Inputs!$B$1+((Inputs!$G$5:$G$200&lt;&gt;"moeda")*(Inputs!$G$5:$G$200&lt;&gt;"acoes")))*INDEX(Inputs!$K$5:$AJ$200,0,MATCH(F$2,Inputs!$K$4:$AJ$4,0)))+SUMPRODUCT((Inputs!$C$5:$C$200=$B16)*Inputs!$D$5:$D$200*(((Inputs!$G$5:$G$200="moeda")+(Inputs!$G$5:$G$200="acoes"))*Inputs!$B$1+((Inputs!$G$5:$G$200&lt;&gt;"moeda")*(Inputs!$G$5:$G$200&lt;&gt;"acoes")))*INDEX(Inputs!$K$5:$AJ$200,0,MATCH(F$2,Inputs!$K$4:$AJ$4,0)))+SUMPRODUCT((Inputs!$E$5:$E$200=$B16)*Inputs!$F$5:$F$200*(((Inputs!$G$5:$G$200="moeda")+(Inputs!$G$5:$G$200="acoes"))*Inputs!$B$1+((Inputs!$G$5:$G$200&lt;&gt;"moeda")*(Inputs!$G$5:$G$200&lt;&gt;"acoes")))*INDEX(Inputs!$K$5:$AJ$200,0,MATCH(F$2,Inputs!$K$4:$AJ$4,0)))))</f>
        <v>131.016</v>
      </c>
      <c r="G16" s="6">
        <f>IF(ISNA(MATCH(G$2,Inputs!$K$4:$AJ$4,0)),NA(),IF(SUMPRODUCT((Inputs!$A$5:$A$200=$B16)*ISNUMBER(INDEX(Inputs!$K$5:$AJ$200,0,MATCH(G$2,Inputs!$K$4:$AJ$4,0))))+SUMPRODUCT((Inputs!$C$5:$C$200=$B16)*ISNUMBER(INDEX(Inputs!$K$5:$AJ$200,0,MATCH(G$2,Inputs!$K$4:$AJ$4,0))))+SUMPRODUCT((Inputs!$E$5:$E$200=$B16)*ISNUMBER(INDEX(Inputs!$K$5:$AJ$200,0,MATCH(G$2,Inputs!$K$4:$AJ$4,0))))=0,NA(),SUMPRODUCT((Inputs!$A$5:$A$200=$B16)*Inputs!$B$5:$B$200*(((Inputs!$G$5:$G$200="moeda")+(Inputs!$G$5:$G$200="acoes"))*Inputs!$B$1+((Inputs!$G$5:$G$200&lt;&gt;"moeda")*(Inputs!$G$5:$G$200&lt;&gt;"acoes")))*INDEX(Inputs!$K$5:$AJ$200,0,MATCH(G$2,Inputs!$K$4:$AJ$4,0)))+SUMPRODUCT((Inputs!$C$5:$C$200=$B16)*Inputs!$D$5:$D$200*(((Inputs!$G$5:$G$200="moeda")+(Inputs!$G$5:$G$200="acoes"))*Inputs!$B$1+((Inputs!$G$5:$G$200&lt;&gt;"moeda")*(Inputs!$G$5:$G$200&lt;&gt;"acoes")))*INDEX(Inputs!$K$5:$AJ$200,0,MATCH(G$2,Inputs!$K$4:$AJ$4,0)))+SUMPRODUCT((Inputs!$E$5:$E$200=$B16)*Inputs!$F$5:$F$200*(((Inputs!$G$5:$G$200="moeda")+(Inputs!$G$5:$G$200="acoes"))*Inputs!$B$1+((Inputs!$G$5:$G$200&lt;&gt;"moeda")*(Inputs!$G$5:$G$200&lt;&gt;"acoes")))*INDEX(Inputs!$K$5:$AJ$200,0,MATCH(G$2,Inputs!$K$4:$AJ$4,0)))))</f>
        <v>163.362</v>
      </c>
      <c r="H16" s="3">
        <f>G16</f>
        <v>163.362</v>
      </c>
      <c r="I16" s="6">
        <f>IF(ISNA(MATCH(I$2,Inputs!$K$4:$AJ$4,0)),NA(),IF(SUMPRODUCT((Inputs!$A$5:$A$200=$B16)*ISNUMBER(INDEX(Inputs!$K$5:$AJ$200,0,MATCH(I$2,Inputs!$K$4:$AJ$4,0))))+SUMPRODUCT((Inputs!$C$5:$C$200=$B16)*ISNUMBER(INDEX(Inputs!$K$5:$AJ$200,0,MATCH(I$2,Inputs!$K$4:$AJ$4,0))))+SUMPRODUCT((Inputs!$E$5:$E$200=$B16)*ISNUMBER(INDEX(Inputs!$K$5:$AJ$200,0,MATCH(I$2,Inputs!$K$4:$AJ$4,0))))=0,NA(),SUMPRODUCT((Inputs!$A$5:$A$200=$B16)*Inputs!$B$5:$B$200*(((Inputs!$G$5:$G$200="moeda")+(Inputs!$G$5:$G$200="acoes"))*Inputs!$B$1+((Inputs!$G$5:$G$200&lt;&gt;"moeda")*(Inputs!$G$5:$G$200&lt;&gt;"acoes")))*INDEX(Inputs!$K$5:$AJ$200,0,MATCH(I$2,Inputs!$K$4:$AJ$4,0)))+SUMPRODUCT((Inputs!$C$5:$C$200=$B16)*Inputs!$D$5:$D$200*(((Inputs!$G$5:$G$200="moeda")+(Inputs!$G$5:$G$200="acoes"))*Inputs!$B$1+((Inputs!$G$5:$G$200&lt;&gt;"moeda")*(Inputs!$G$5:$G$200&lt;&gt;"acoes")))*INDEX(Inputs!$K$5:$AJ$200,0,MATCH(I$2,Inputs!$K$4:$AJ$4,0)))+SUMPRODUCT((Inputs!$E$5:$E$200=$B16)*Inputs!$F$5:$F$200*(((Inputs!$G$5:$G$200="moeda")+(Inputs!$G$5:$G$200="acoes"))*Inputs!$B$1+((Inputs!$G$5:$G$200&lt;&gt;"moeda")*(Inputs!$G$5:$G$200&lt;&gt;"acoes")))*INDEX(Inputs!$K$5:$AJ$200,0,MATCH(I$2,Inputs!$K$4:$AJ$4,0)))))</f>
        <v>166.673</v>
      </c>
      <c r="J16" s="6">
        <f>IF(ISNA(MATCH(J$2,Inputs!$K$4:$AJ$4,0)),NA(),IF(SUMPRODUCT((Inputs!$A$5:$A$200=$B16)*ISNUMBER(INDEX(Inputs!$K$5:$AJ$200,0,MATCH(J$2,Inputs!$K$4:$AJ$4,0))))+SUMPRODUCT((Inputs!$C$5:$C$200=$B16)*ISNUMBER(INDEX(Inputs!$K$5:$AJ$200,0,MATCH(J$2,Inputs!$K$4:$AJ$4,0))))+SUMPRODUCT((Inputs!$E$5:$E$200=$B16)*ISNUMBER(INDEX(Inputs!$K$5:$AJ$200,0,MATCH(J$2,Inputs!$K$4:$AJ$4,0))))=0,NA(),SUMPRODUCT((Inputs!$A$5:$A$200=$B16)*Inputs!$B$5:$B$200*(((Inputs!$G$5:$G$200="moeda")+(Inputs!$G$5:$G$200="acoes"))*Inputs!$B$1+((Inputs!$G$5:$G$200&lt;&gt;"moeda")*(Inputs!$G$5:$G$200&lt;&gt;"acoes")))*INDEX(Inputs!$K$5:$AJ$200,0,MATCH(J$2,Inputs!$K$4:$AJ$4,0)))+SUMPRODUCT((Inputs!$C$5:$C$200=$B16)*Inputs!$D$5:$D$200*(((Inputs!$G$5:$G$200="moeda")+(Inputs!$G$5:$G$200="acoes"))*Inputs!$B$1+((Inputs!$G$5:$G$200&lt;&gt;"moeda")*(Inputs!$G$5:$G$200&lt;&gt;"acoes")))*INDEX(Inputs!$K$5:$AJ$200,0,MATCH(J$2,Inputs!$K$4:$AJ$4,0)))+SUMPRODUCT((Inputs!$E$5:$E$200=$B16)*Inputs!$F$5:$F$200*(((Inputs!$G$5:$G$200="moeda")+(Inputs!$G$5:$G$200="acoes"))*Inputs!$B$1+((Inputs!$G$5:$G$200&lt;&gt;"moeda")*(Inputs!$G$5:$G$200&lt;&gt;"acoes")))*INDEX(Inputs!$K$5:$AJ$200,0,MATCH(J$2,Inputs!$K$4:$AJ$4,0)))))</f>
        <v>249.356</v>
      </c>
      <c r="K16" s="6">
        <f>IF(ISNA(MATCH(K$2,Inputs!$K$4:$AJ$4,0)),NA(),IF(SUMPRODUCT((Inputs!$A$5:$A$200=$B16)*ISNUMBER(INDEX(Inputs!$K$5:$AJ$200,0,MATCH(K$2,Inputs!$K$4:$AJ$4,0))))+SUMPRODUCT((Inputs!$C$5:$C$200=$B16)*ISNUMBER(INDEX(Inputs!$K$5:$AJ$200,0,MATCH(K$2,Inputs!$K$4:$AJ$4,0))))+SUMPRODUCT((Inputs!$E$5:$E$200=$B16)*ISNUMBER(INDEX(Inputs!$K$5:$AJ$200,0,MATCH(K$2,Inputs!$K$4:$AJ$4,0))))=0,NA(),SUMPRODUCT((Inputs!$A$5:$A$200=$B16)*Inputs!$B$5:$B$200*(((Inputs!$G$5:$G$200="moeda")+(Inputs!$G$5:$G$200="acoes"))*Inputs!$B$1+((Inputs!$G$5:$G$200&lt;&gt;"moeda")*(Inputs!$G$5:$G$200&lt;&gt;"acoes")))*INDEX(Inputs!$K$5:$AJ$200,0,MATCH(K$2,Inputs!$K$4:$AJ$4,0)))+SUMPRODUCT((Inputs!$C$5:$C$200=$B16)*Inputs!$D$5:$D$200*(((Inputs!$G$5:$G$200="moeda")+(Inputs!$G$5:$G$200="acoes"))*Inputs!$B$1+((Inputs!$G$5:$G$200&lt;&gt;"moeda")*(Inputs!$G$5:$G$200&lt;&gt;"acoes")))*INDEX(Inputs!$K$5:$AJ$200,0,MATCH(K$2,Inputs!$K$4:$AJ$4,0)))+SUMPRODUCT((Inputs!$E$5:$E$200=$B16)*Inputs!$F$5:$F$200*(((Inputs!$G$5:$G$200="moeda")+(Inputs!$G$5:$G$200="acoes"))*Inputs!$B$1+((Inputs!$G$5:$G$200&lt;&gt;"moeda")*(Inputs!$G$5:$G$200&lt;&gt;"acoes")))*INDEX(Inputs!$K$5:$AJ$200,0,MATCH(K$2,Inputs!$K$4:$AJ$4,0)))))</f>
        <v>284.134</v>
      </c>
      <c r="L16" s="6">
        <f>IF(ISNA(MATCH(L$2,Inputs!$K$4:$AJ$4,0)),NA(),IF(SUMPRODUCT((Inputs!$A$5:$A$200=$B16)*ISNUMBER(INDEX(Inputs!$K$5:$AJ$200,0,MATCH(L$2,Inputs!$K$4:$AJ$4,0))))+SUMPRODUCT((Inputs!$C$5:$C$200=$B16)*ISNUMBER(INDEX(Inputs!$K$5:$AJ$200,0,MATCH(L$2,Inputs!$K$4:$AJ$4,0))))+SUMPRODUCT((Inputs!$E$5:$E$200=$B16)*ISNUMBER(INDEX(Inputs!$K$5:$AJ$200,0,MATCH(L$2,Inputs!$K$4:$AJ$4,0))))=0,NA(),SUMPRODUCT((Inputs!$A$5:$A$200=$B16)*Inputs!$B$5:$B$200*(((Inputs!$G$5:$G$200="moeda")+(Inputs!$G$5:$G$200="acoes"))*Inputs!$B$1+((Inputs!$G$5:$G$200&lt;&gt;"moeda")*(Inputs!$G$5:$G$200&lt;&gt;"acoes")))*INDEX(Inputs!$K$5:$AJ$200,0,MATCH(L$2,Inputs!$K$4:$AJ$4,0)))+SUMPRODUCT((Inputs!$C$5:$C$200=$B16)*Inputs!$D$5:$D$200*(((Inputs!$G$5:$G$200="moeda")+(Inputs!$G$5:$G$200="acoes"))*Inputs!$B$1+((Inputs!$G$5:$G$200&lt;&gt;"moeda")*(Inputs!$G$5:$G$200&lt;&gt;"acoes")))*INDEX(Inputs!$K$5:$AJ$200,0,MATCH(L$2,Inputs!$K$4:$AJ$4,0)))+SUMPRODUCT((Inputs!$E$5:$E$200=$B16)*Inputs!$F$5:$F$200*(((Inputs!$G$5:$G$200="moeda")+(Inputs!$G$5:$G$200="acoes"))*Inputs!$B$1+((Inputs!$G$5:$G$200&lt;&gt;"moeda")*(Inputs!$G$5:$G$200&lt;&gt;"acoes")))*INDEX(Inputs!$K$5:$AJ$200,0,MATCH(L$2,Inputs!$K$4:$AJ$4,0)))))</f>
        <v>258.897</v>
      </c>
      <c r="M16" s="3">
        <f>L16</f>
        <v>258.897</v>
      </c>
      <c r="N16" s="6">
        <f>IF(ISNA(MATCH(N$2,Inputs!$K$4:$AJ$4,0)),NA(),IF(SUMPRODUCT((Inputs!$A$5:$A$200=$B16)*ISNUMBER(INDEX(Inputs!$K$5:$AJ$200,0,MATCH(N$2,Inputs!$K$4:$AJ$4,0))))+SUMPRODUCT((Inputs!$C$5:$C$200=$B16)*ISNUMBER(INDEX(Inputs!$K$5:$AJ$200,0,MATCH(N$2,Inputs!$K$4:$AJ$4,0))))+SUMPRODUCT((Inputs!$E$5:$E$200=$B16)*ISNUMBER(INDEX(Inputs!$K$5:$AJ$200,0,MATCH(N$2,Inputs!$K$4:$AJ$4,0))))=0,NA(),SUMPRODUCT((Inputs!$A$5:$A$200=$B16)*Inputs!$B$5:$B$200*(((Inputs!$G$5:$G$200="moeda")+(Inputs!$G$5:$G$200="acoes"))*Inputs!$B$1+((Inputs!$G$5:$G$200&lt;&gt;"moeda")*(Inputs!$G$5:$G$200&lt;&gt;"acoes")))*INDEX(Inputs!$K$5:$AJ$200,0,MATCH(N$2,Inputs!$K$4:$AJ$4,0)))+SUMPRODUCT((Inputs!$C$5:$C$200=$B16)*Inputs!$D$5:$D$200*(((Inputs!$G$5:$G$200="moeda")+(Inputs!$G$5:$G$200="acoes"))*Inputs!$B$1+((Inputs!$G$5:$G$200&lt;&gt;"moeda")*(Inputs!$G$5:$G$200&lt;&gt;"acoes")))*INDEX(Inputs!$K$5:$AJ$200,0,MATCH(N$2,Inputs!$K$4:$AJ$4,0)))+SUMPRODUCT((Inputs!$E$5:$E$200=$B16)*Inputs!$F$5:$F$200*(((Inputs!$G$5:$G$200="moeda")+(Inputs!$G$5:$G$200="acoes"))*Inputs!$B$1+((Inputs!$G$5:$G$200&lt;&gt;"moeda")*(Inputs!$G$5:$G$200&lt;&gt;"acoes")))*INDEX(Inputs!$K$5:$AJ$200,0,MATCH(N$2,Inputs!$K$4:$AJ$4,0)))))</f>
        <v>242.769</v>
      </c>
      <c r="O16" s="6">
        <f>IF(ISNA(MATCH(O$2,Inputs!$K$4:$AJ$4,0)),NA(),IF(SUMPRODUCT((Inputs!$A$5:$A$200=$B16)*ISNUMBER(INDEX(Inputs!$K$5:$AJ$200,0,MATCH(O$2,Inputs!$K$4:$AJ$4,0))))+SUMPRODUCT((Inputs!$C$5:$C$200=$B16)*ISNUMBER(INDEX(Inputs!$K$5:$AJ$200,0,MATCH(O$2,Inputs!$K$4:$AJ$4,0))))+SUMPRODUCT((Inputs!$E$5:$E$200=$B16)*ISNUMBER(INDEX(Inputs!$K$5:$AJ$200,0,MATCH(O$2,Inputs!$K$4:$AJ$4,0))))=0,NA(),SUMPRODUCT((Inputs!$A$5:$A$200=$B16)*Inputs!$B$5:$B$200*(((Inputs!$G$5:$G$200="moeda")+(Inputs!$G$5:$G$200="acoes"))*Inputs!$B$1+((Inputs!$G$5:$G$200&lt;&gt;"moeda")*(Inputs!$G$5:$G$200&lt;&gt;"acoes")))*INDEX(Inputs!$K$5:$AJ$200,0,MATCH(O$2,Inputs!$K$4:$AJ$4,0)))+SUMPRODUCT((Inputs!$C$5:$C$200=$B16)*Inputs!$D$5:$D$200*(((Inputs!$G$5:$G$200="moeda")+(Inputs!$G$5:$G$200="acoes"))*Inputs!$B$1+((Inputs!$G$5:$G$200&lt;&gt;"moeda")*(Inputs!$G$5:$G$200&lt;&gt;"acoes")))*INDEX(Inputs!$K$5:$AJ$200,0,MATCH(O$2,Inputs!$K$4:$AJ$4,0)))+SUMPRODUCT((Inputs!$E$5:$E$200=$B16)*Inputs!$F$5:$F$200*(((Inputs!$G$5:$G$200="moeda")+(Inputs!$G$5:$G$200="acoes"))*Inputs!$B$1+((Inputs!$G$5:$G$200&lt;&gt;"moeda")*(Inputs!$G$5:$G$200&lt;&gt;"acoes")))*INDEX(Inputs!$K$5:$AJ$200,0,MATCH(O$2,Inputs!$K$4:$AJ$4,0)))))</f>
        <v>216.24</v>
      </c>
      <c r="P16" s="6">
        <f>IF(ISNA(MATCH(P$2,Inputs!$K$4:$AJ$4,0)),NA(),IF(SUMPRODUCT((Inputs!$A$5:$A$200=$B16)*ISNUMBER(INDEX(Inputs!$K$5:$AJ$200,0,MATCH(P$2,Inputs!$K$4:$AJ$4,0))))+SUMPRODUCT((Inputs!$C$5:$C$200=$B16)*ISNUMBER(INDEX(Inputs!$K$5:$AJ$200,0,MATCH(P$2,Inputs!$K$4:$AJ$4,0))))+SUMPRODUCT((Inputs!$E$5:$E$200=$B16)*ISNUMBER(INDEX(Inputs!$K$5:$AJ$200,0,MATCH(P$2,Inputs!$K$4:$AJ$4,0))))=0,NA(),SUMPRODUCT((Inputs!$A$5:$A$200=$B16)*Inputs!$B$5:$B$200*(((Inputs!$G$5:$G$200="moeda")+(Inputs!$G$5:$G$200="acoes"))*Inputs!$B$1+((Inputs!$G$5:$G$200&lt;&gt;"moeda")*(Inputs!$G$5:$G$200&lt;&gt;"acoes")))*INDEX(Inputs!$K$5:$AJ$200,0,MATCH(P$2,Inputs!$K$4:$AJ$4,0)))+SUMPRODUCT((Inputs!$C$5:$C$200=$B16)*Inputs!$D$5:$D$200*(((Inputs!$G$5:$G$200="moeda")+(Inputs!$G$5:$G$200="acoes"))*Inputs!$B$1+((Inputs!$G$5:$G$200&lt;&gt;"moeda")*(Inputs!$G$5:$G$200&lt;&gt;"acoes")))*INDEX(Inputs!$K$5:$AJ$200,0,MATCH(P$2,Inputs!$K$4:$AJ$4,0)))+SUMPRODUCT((Inputs!$E$5:$E$200=$B16)*Inputs!$F$5:$F$200*(((Inputs!$G$5:$G$200="moeda")+(Inputs!$G$5:$G$200="acoes"))*Inputs!$B$1+((Inputs!$G$5:$G$200&lt;&gt;"moeda")*(Inputs!$G$5:$G$200&lt;&gt;"acoes")))*INDEX(Inputs!$K$5:$AJ$200,0,MATCH(P$2,Inputs!$K$4:$AJ$4,0)))))</f>
        <v>236.505</v>
      </c>
      <c r="Q16" s="6">
        <f>IF(ISNA(MATCH(Q$2,Inputs!$K$4:$AJ$4,0)),NA(),IF(SUMPRODUCT((Inputs!$A$5:$A$200=$B16)*ISNUMBER(INDEX(Inputs!$K$5:$AJ$200,0,MATCH(Q$2,Inputs!$K$4:$AJ$4,0))))+SUMPRODUCT((Inputs!$C$5:$C$200=$B16)*ISNUMBER(INDEX(Inputs!$K$5:$AJ$200,0,MATCH(Q$2,Inputs!$K$4:$AJ$4,0))))+SUMPRODUCT((Inputs!$E$5:$E$200=$B16)*ISNUMBER(INDEX(Inputs!$K$5:$AJ$200,0,MATCH(Q$2,Inputs!$K$4:$AJ$4,0))))=0,NA(),SUMPRODUCT((Inputs!$A$5:$A$200=$B16)*Inputs!$B$5:$B$200*(((Inputs!$G$5:$G$200="moeda")+(Inputs!$G$5:$G$200="acoes"))*Inputs!$B$1+((Inputs!$G$5:$G$200&lt;&gt;"moeda")*(Inputs!$G$5:$G$200&lt;&gt;"acoes")))*INDEX(Inputs!$K$5:$AJ$200,0,MATCH(Q$2,Inputs!$K$4:$AJ$4,0)))+SUMPRODUCT((Inputs!$C$5:$C$200=$B16)*Inputs!$D$5:$D$200*(((Inputs!$G$5:$G$200="moeda")+(Inputs!$G$5:$G$200="acoes"))*Inputs!$B$1+((Inputs!$G$5:$G$200&lt;&gt;"moeda")*(Inputs!$G$5:$G$200&lt;&gt;"acoes")))*INDEX(Inputs!$K$5:$AJ$200,0,MATCH(Q$2,Inputs!$K$4:$AJ$4,0)))+SUMPRODUCT((Inputs!$E$5:$E$200=$B16)*Inputs!$F$5:$F$200*(((Inputs!$G$5:$G$200="moeda")+(Inputs!$G$5:$G$200="acoes"))*Inputs!$B$1+((Inputs!$G$5:$G$200&lt;&gt;"moeda")*(Inputs!$G$5:$G$200&lt;&gt;"acoes")))*INDEX(Inputs!$K$5:$AJ$200,0,MATCH(Q$2,Inputs!$K$4:$AJ$4,0)))))</f>
        <v>184.168</v>
      </c>
      <c r="R16" s="3">
        <f>Q16</f>
        <v>184.168</v>
      </c>
      <c r="S16" s="6">
        <f>IF(ISNA(MATCH(S$2,Inputs!$K$4:$AJ$4,0)),NA(),IF(SUMPRODUCT((Inputs!$A$5:$A$200=$B16)*ISNUMBER(INDEX(Inputs!$K$5:$AJ$200,0,MATCH(S$2,Inputs!$K$4:$AJ$4,0))))+SUMPRODUCT((Inputs!$C$5:$C$200=$B16)*ISNUMBER(INDEX(Inputs!$K$5:$AJ$200,0,MATCH(S$2,Inputs!$K$4:$AJ$4,0))))+SUMPRODUCT((Inputs!$E$5:$E$200=$B16)*ISNUMBER(INDEX(Inputs!$K$5:$AJ$200,0,MATCH(S$2,Inputs!$K$4:$AJ$4,0))))=0,NA(),SUMPRODUCT((Inputs!$A$5:$A$200=$B16)*Inputs!$B$5:$B$200*(((Inputs!$G$5:$G$200="moeda")+(Inputs!$G$5:$G$200="acoes"))*Inputs!$B$1+((Inputs!$G$5:$G$200&lt;&gt;"moeda")*(Inputs!$G$5:$G$200&lt;&gt;"acoes")))*INDEX(Inputs!$K$5:$AJ$200,0,MATCH(S$2,Inputs!$K$4:$AJ$4,0)))+SUMPRODUCT((Inputs!$C$5:$C$200=$B16)*Inputs!$D$5:$D$200*(((Inputs!$G$5:$G$200="moeda")+(Inputs!$G$5:$G$200="acoes"))*Inputs!$B$1+((Inputs!$G$5:$G$200&lt;&gt;"moeda")*(Inputs!$G$5:$G$200&lt;&gt;"acoes")))*INDEX(Inputs!$K$5:$AJ$200,0,MATCH(S$2,Inputs!$K$4:$AJ$4,0)))+SUMPRODUCT((Inputs!$E$5:$E$200=$B16)*Inputs!$F$5:$F$200*(((Inputs!$G$5:$G$200="moeda")+(Inputs!$G$5:$G$200="acoes"))*Inputs!$B$1+((Inputs!$G$5:$G$200&lt;&gt;"moeda")*(Inputs!$G$5:$G$200&lt;&gt;"acoes")))*INDEX(Inputs!$K$5:$AJ$200,0,MATCH(S$2,Inputs!$K$4:$AJ$4,0)))))</f>
        <v>207.49</v>
      </c>
      <c r="T16" s="6">
        <f>IF(ISNA(MATCH(T$2,Inputs!$K$4:$AJ$4,0)),NA(),IF(SUMPRODUCT((Inputs!$A$5:$A$200=$B16)*ISNUMBER(INDEX(Inputs!$K$5:$AJ$200,0,MATCH(T$2,Inputs!$K$4:$AJ$4,0))))+SUMPRODUCT((Inputs!$C$5:$C$200=$B16)*ISNUMBER(INDEX(Inputs!$K$5:$AJ$200,0,MATCH(T$2,Inputs!$K$4:$AJ$4,0))))+SUMPRODUCT((Inputs!$E$5:$E$200=$B16)*ISNUMBER(INDEX(Inputs!$K$5:$AJ$200,0,MATCH(T$2,Inputs!$K$4:$AJ$4,0))))=0,NA(),SUMPRODUCT((Inputs!$A$5:$A$200=$B16)*Inputs!$B$5:$B$200*(((Inputs!$G$5:$G$200="moeda")+(Inputs!$G$5:$G$200="acoes"))*Inputs!$B$1+((Inputs!$G$5:$G$200&lt;&gt;"moeda")*(Inputs!$G$5:$G$200&lt;&gt;"acoes")))*INDEX(Inputs!$K$5:$AJ$200,0,MATCH(T$2,Inputs!$K$4:$AJ$4,0)))+SUMPRODUCT((Inputs!$C$5:$C$200=$B16)*Inputs!$D$5:$D$200*(((Inputs!$G$5:$G$200="moeda")+(Inputs!$G$5:$G$200="acoes"))*Inputs!$B$1+((Inputs!$G$5:$G$200&lt;&gt;"moeda")*(Inputs!$G$5:$G$200&lt;&gt;"acoes")))*INDEX(Inputs!$K$5:$AJ$200,0,MATCH(T$2,Inputs!$K$4:$AJ$4,0)))+SUMPRODUCT((Inputs!$E$5:$E$200=$B16)*Inputs!$F$5:$F$200*(((Inputs!$G$5:$G$200="moeda")+(Inputs!$G$5:$G$200="acoes"))*Inputs!$B$1+((Inputs!$G$5:$G$200&lt;&gt;"moeda")*(Inputs!$G$5:$G$200&lt;&gt;"acoes")))*INDEX(Inputs!$K$5:$AJ$200,0,MATCH(T$2,Inputs!$K$4:$AJ$4,0)))))</f>
        <v>209.745</v>
      </c>
      <c r="U16" s="6">
        <f>IF(ISNA(MATCH(U$2,Inputs!$K$4:$AJ$4,0)),NA(),IF(SUMPRODUCT((Inputs!$A$5:$A$200=$B16)*ISNUMBER(INDEX(Inputs!$K$5:$AJ$200,0,MATCH(U$2,Inputs!$K$4:$AJ$4,0))))+SUMPRODUCT((Inputs!$C$5:$C$200=$B16)*ISNUMBER(INDEX(Inputs!$K$5:$AJ$200,0,MATCH(U$2,Inputs!$K$4:$AJ$4,0))))+SUMPRODUCT((Inputs!$E$5:$E$200=$B16)*ISNUMBER(INDEX(Inputs!$K$5:$AJ$200,0,MATCH(U$2,Inputs!$K$4:$AJ$4,0))))=0,NA(),SUMPRODUCT((Inputs!$A$5:$A$200=$B16)*Inputs!$B$5:$B$200*(((Inputs!$G$5:$G$200="moeda")+(Inputs!$G$5:$G$200="acoes"))*Inputs!$B$1+((Inputs!$G$5:$G$200&lt;&gt;"moeda")*(Inputs!$G$5:$G$200&lt;&gt;"acoes")))*INDEX(Inputs!$K$5:$AJ$200,0,MATCH(U$2,Inputs!$K$4:$AJ$4,0)))+SUMPRODUCT((Inputs!$C$5:$C$200=$B16)*Inputs!$D$5:$D$200*(((Inputs!$G$5:$G$200="moeda")+(Inputs!$G$5:$G$200="acoes"))*Inputs!$B$1+((Inputs!$G$5:$G$200&lt;&gt;"moeda")*(Inputs!$G$5:$G$200&lt;&gt;"acoes")))*INDEX(Inputs!$K$5:$AJ$200,0,MATCH(U$2,Inputs!$K$4:$AJ$4,0)))+SUMPRODUCT((Inputs!$E$5:$E$200=$B16)*Inputs!$F$5:$F$200*(((Inputs!$G$5:$G$200="moeda")+(Inputs!$G$5:$G$200="acoes"))*Inputs!$B$1+((Inputs!$G$5:$G$200&lt;&gt;"moeda")*(Inputs!$G$5:$G$200&lt;&gt;"acoes")))*INDEX(Inputs!$K$5:$AJ$200,0,MATCH(U$2,Inputs!$K$4:$AJ$4,0)))))</f>
        <v>212.121</v>
      </c>
      <c r="V16" s="6">
        <f>IF(ISNA(MATCH(V$2,Inputs!$K$4:$AJ$4,0)),NA(),IF(SUMPRODUCT((Inputs!$A$5:$A$200=$B16)*ISNUMBER(INDEX(Inputs!$K$5:$AJ$200,0,MATCH(V$2,Inputs!$K$4:$AJ$4,0))))+SUMPRODUCT((Inputs!$C$5:$C$200=$B16)*ISNUMBER(INDEX(Inputs!$K$5:$AJ$200,0,MATCH(V$2,Inputs!$K$4:$AJ$4,0))))+SUMPRODUCT((Inputs!$E$5:$E$200=$B16)*ISNUMBER(INDEX(Inputs!$K$5:$AJ$200,0,MATCH(V$2,Inputs!$K$4:$AJ$4,0))))=0,NA(),SUMPRODUCT((Inputs!$A$5:$A$200=$B16)*Inputs!$B$5:$B$200*(((Inputs!$G$5:$G$200="moeda")+(Inputs!$G$5:$G$200="acoes"))*Inputs!$B$1+((Inputs!$G$5:$G$200&lt;&gt;"moeda")*(Inputs!$G$5:$G$200&lt;&gt;"acoes")))*INDEX(Inputs!$K$5:$AJ$200,0,MATCH(V$2,Inputs!$K$4:$AJ$4,0)))+SUMPRODUCT((Inputs!$C$5:$C$200=$B16)*Inputs!$D$5:$D$200*(((Inputs!$G$5:$G$200="moeda")+(Inputs!$G$5:$G$200="acoes"))*Inputs!$B$1+((Inputs!$G$5:$G$200&lt;&gt;"moeda")*(Inputs!$G$5:$G$200&lt;&gt;"acoes")))*INDEX(Inputs!$K$5:$AJ$200,0,MATCH(V$2,Inputs!$K$4:$AJ$4,0)))+SUMPRODUCT((Inputs!$E$5:$E$200=$B16)*Inputs!$F$5:$F$200*(((Inputs!$G$5:$G$200="moeda")+(Inputs!$G$5:$G$200="acoes"))*Inputs!$B$1+((Inputs!$G$5:$G$200&lt;&gt;"moeda")*(Inputs!$G$5:$G$200&lt;&gt;"acoes")))*INDEX(Inputs!$K$5:$AJ$200,0,MATCH(V$2,Inputs!$K$4:$AJ$4,0)))))</f>
        <v>194.288</v>
      </c>
      <c r="W16" s="3">
        <f>V16</f>
        <v>194.288</v>
      </c>
      <c r="X16" s="6">
        <f>IF(ISNA(MATCH(X$2,Inputs!$K$4:$AJ$4,0)),NA(),IF(SUMPRODUCT((Inputs!$A$5:$A$200=$B16)*ISNUMBER(INDEX(Inputs!$K$5:$AJ$200,0,MATCH(X$2,Inputs!$K$4:$AJ$4,0))))+SUMPRODUCT((Inputs!$C$5:$C$200=$B16)*ISNUMBER(INDEX(Inputs!$K$5:$AJ$200,0,MATCH(X$2,Inputs!$K$4:$AJ$4,0))))+SUMPRODUCT((Inputs!$E$5:$E$200=$B16)*ISNUMBER(INDEX(Inputs!$K$5:$AJ$200,0,MATCH(X$2,Inputs!$K$4:$AJ$4,0))))=0,NA(),SUMPRODUCT((Inputs!$A$5:$A$200=$B16)*Inputs!$B$5:$B$200*(((Inputs!$G$5:$G$200="moeda")+(Inputs!$G$5:$G$200="acoes"))*Inputs!$B$1+((Inputs!$G$5:$G$200&lt;&gt;"moeda")*(Inputs!$G$5:$G$200&lt;&gt;"acoes")))*INDEX(Inputs!$K$5:$AJ$200,0,MATCH(X$2,Inputs!$K$4:$AJ$4,0)))+SUMPRODUCT((Inputs!$C$5:$C$200=$B16)*Inputs!$D$5:$D$200*(((Inputs!$G$5:$G$200="moeda")+(Inputs!$G$5:$G$200="acoes"))*Inputs!$B$1+((Inputs!$G$5:$G$200&lt;&gt;"moeda")*(Inputs!$G$5:$G$200&lt;&gt;"acoes")))*INDEX(Inputs!$K$5:$AJ$200,0,MATCH(X$2,Inputs!$K$4:$AJ$4,0)))+SUMPRODUCT((Inputs!$E$5:$E$200=$B16)*Inputs!$F$5:$F$200*(((Inputs!$G$5:$G$200="moeda")+(Inputs!$G$5:$G$200="acoes"))*Inputs!$B$1+((Inputs!$G$5:$G$200&lt;&gt;"moeda")*(Inputs!$G$5:$G$200&lt;&gt;"acoes")))*INDEX(Inputs!$K$5:$AJ$200,0,MATCH(X$2,Inputs!$K$4:$AJ$4,0)))))</f>
        <v>210.775</v>
      </c>
      <c r="Y16" s="6">
        <f>IF(ISNA(MATCH(Y$2,Inputs!$K$4:$AJ$4,0)),NA(),IF(SUMPRODUCT((Inputs!$A$5:$A$200=$B16)*ISNUMBER(INDEX(Inputs!$K$5:$AJ$200,0,MATCH(Y$2,Inputs!$K$4:$AJ$4,0))))+SUMPRODUCT((Inputs!$C$5:$C$200=$B16)*ISNUMBER(INDEX(Inputs!$K$5:$AJ$200,0,MATCH(Y$2,Inputs!$K$4:$AJ$4,0))))+SUMPRODUCT((Inputs!$E$5:$E$200=$B16)*ISNUMBER(INDEX(Inputs!$K$5:$AJ$200,0,MATCH(Y$2,Inputs!$K$4:$AJ$4,0))))=0,NA(),SUMPRODUCT((Inputs!$A$5:$A$200=$B16)*Inputs!$B$5:$B$200*(((Inputs!$G$5:$G$200="moeda")+(Inputs!$G$5:$G$200="acoes"))*Inputs!$B$1+((Inputs!$G$5:$G$200&lt;&gt;"moeda")*(Inputs!$G$5:$G$200&lt;&gt;"acoes")))*INDEX(Inputs!$K$5:$AJ$200,0,MATCH(Y$2,Inputs!$K$4:$AJ$4,0)))+SUMPRODUCT((Inputs!$C$5:$C$200=$B16)*Inputs!$D$5:$D$200*(((Inputs!$G$5:$G$200="moeda")+(Inputs!$G$5:$G$200="acoes"))*Inputs!$B$1+((Inputs!$G$5:$G$200&lt;&gt;"moeda")*(Inputs!$G$5:$G$200&lt;&gt;"acoes")))*INDEX(Inputs!$K$5:$AJ$200,0,MATCH(Y$2,Inputs!$K$4:$AJ$4,0)))+SUMPRODUCT((Inputs!$E$5:$E$200=$B16)*Inputs!$F$5:$F$200*(((Inputs!$G$5:$G$200="moeda")+(Inputs!$G$5:$G$200="acoes"))*Inputs!$B$1+((Inputs!$G$5:$G$200&lt;&gt;"moeda")*(Inputs!$G$5:$G$200&lt;&gt;"acoes")))*INDEX(Inputs!$K$5:$AJ$200,0,MATCH(Y$2,Inputs!$K$4:$AJ$4,0)))))</f>
        <v>229.449</v>
      </c>
      <c r="Z16" s="6">
        <f>IF(ISNA(MATCH(Z$2,Inputs!$K$4:$AJ$4,0)),NA(),IF(SUMPRODUCT((Inputs!$A$5:$A$200=$B16)*ISNUMBER(INDEX(Inputs!$K$5:$AJ$200,0,MATCH(Z$2,Inputs!$K$4:$AJ$4,0))))+SUMPRODUCT((Inputs!$C$5:$C$200=$B16)*ISNUMBER(INDEX(Inputs!$K$5:$AJ$200,0,MATCH(Z$2,Inputs!$K$4:$AJ$4,0))))+SUMPRODUCT((Inputs!$E$5:$E$200=$B16)*ISNUMBER(INDEX(Inputs!$K$5:$AJ$200,0,MATCH(Z$2,Inputs!$K$4:$AJ$4,0))))=0,NA(),SUMPRODUCT((Inputs!$A$5:$A$200=$B16)*Inputs!$B$5:$B$200*(((Inputs!$G$5:$G$200="moeda")+(Inputs!$G$5:$G$200="acoes"))*Inputs!$B$1+((Inputs!$G$5:$G$200&lt;&gt;"moeda")*(Inputs!$G$5:$G$200&lt;&gt;"acoes")))*INDEX(Inputs!$K$5:$AJ$200,0,MATCH(Z$2,Inputs!$K$4:$AJ$4,0)))+SUMPRODUCT((Inputs!$C$5:$C$200=$B16)*Inputs!$D$5:$D$200*(((Inputs!$G$5:$G$200="moeda")+(Inputs!$G$5:$G$200="acoes"))*Inputs!$B$1+((Inputs!$G$5:$G$200&lt;&gt;"moeda")*(Inputs!$G$5:$G$200&lt;&gt;"acoes")))*INDEX(Inputs!$K$5:$AJ$200,0,MATCH(Z$2,Inputs!$K$4:$AJ$4,0)))+SUMPRODUCT((Inputs!$E$5:$E$200=$B16)*Inputs!$F$5:$F$200*(((Inputs!$G$5:$G$200="moeda")+(Inputs!$G$5:$G$200="acoes"))*Inputs!$B$1+((Inputs!$G$5:$G$200&lt;&gt;"moeda")*(Inputs!$G$5:$G$200&lt;&gt;"acoes")))*INDEX(Inputs!$K$5:$AJ$200,0,MATCH(Z$2,Inputs!$K$4:$AJ$4,0)))))</f>
        <v>261.497</v>
      </c>
      <c r="AA16" s="6">
        <f>IF(ISNA(MATCH(AA$2,Inputs!$K$4:$AJ$4,0)),NA(),IF(SUMPRODUCT((Inputs!$A$5:$A$200=$B16)*ISNUMBER(INDEX(Inputs!$K$5:$AJ$200,0,MATCH(AA$2,Inputs!$K$4:$AJ$4,0))))+SUMPRODUCT((Inputs!$C$5:$C$200=$B16)*ISNUMBER(INDEX(Inputs!$K$5:$AJ$200,0,MATCH(AA$2,Inputs!$K$4:$AJ$4,0))))+SUMPRODUCT((Inputs!$E$5:$E$200=$B16)*ISNUMBER(INDEX(Inputs!$K$5:$AJ$200,0,MATCH(AA$2,Inputs!$K$4:$AJ$4,0))))=0,NA(),SUMPRODUCT((Inputs!$A$5:$A$200=$B16)*Inputs!$B$5:$B$200*(((Inputs!$G$5:$G$200="moeda")+(Inputs!$G$5:$G$200="acoes"))*Inputs!$B$1+((Inputs!$G$5:$G$200&lt;&gt;"moeda")*(Inputs!$G$5:$G$200&lt;&gt;"acoes")))*INDEX(Inputs!$K$5:$AJ$200,0,MATCH(AA$2,Inputs!$K$4:$AJ$4,0)))+SUMPRODUCT((Inputs!$C$5:$C$200=$B16)*Inputs!$D$5:$D$200*(((Inputs!$G$5:$G$200="moeda")+(Inputs!$G$5:$G$200="acoes"))*Inputs!$B$1+((Inputs!$G$5:$G$200&lt;&gt;"moeda")*(Inputs!$G$5:$G$200&lt;&gt;"acoes")))*INDEX(Inputs!$K$5:$AJ$200,0,MATCH(AA$2,Inputs!$K$4:$AJ$4,0)))+SUMPRODUCT((Inputs!$E$5:$E$200=$B16)*Inputs!$F$5:$F$200*(((Inputs!$G$5:$G$200="moeda")+(Inputs!$G$5:$G$200="acoes"))*Inputs!$B$1+((Inputs!$G$5:$G$200&lt;&gt;"moeda")*(Inputs!$G$5:$G$200&lt;&gt;"acoes")))*INDEX(Inputs!$K$5:$AJ$200,0,MATCH(AA$2,Inputs!$K$4:$AJ$4,0)))))</f>
        <v>281.694</v>
      </c>
      <c r="AB16" s="3">
        <f>AA16</f>
        <v>281.694</v>
      </c>
      <c r="AC16" s="6">
        <f>IF(ISNA(MATCH(AC$2,Inputs!$K$4:$AJ$4,0)),NA(),IF(SUMPRODUCT((Inputs!$A$5:$A$200=$B16)*ISNUMBER(INDEX(Inputs!$K$5:$AJ$200,0,MATCH(AC$2,Inputs!$K$4:$AJ$4,0))))+SUMPRODUCT((Inputs!$C$5:$C$200=$B16)*ISNUMBER(INDEX(Inputs!$K$5:$AJ$200,0,MATCH(AC$2,Inputs!$K$4:$AJ$4,0))))+SUMPRODUCT((Inputs!$E$5:$E$200=$B16)*ISNUMBER(INDEX(Inputs!$K$5:$AJ$200,0,MATCH(AC$2,Inputs!$K$4:$AJ$4,0))))=0,NA(),SUMPRODUCT((Inputs!$A$5:$A$200=$B16)*Inputs!$B$5:$B$200*(((Inputs!$G$5:$G$200="moeda")+(Inputs!$G$5:$G$200="acoes"))*Inputs!$B$1+((Inputs!$G$5:$G$200&lt;&gt;"moeda")*(Inputs!$G$5:$G$200&lt;&gt;"acoes")))*INDEX(Inputs!$K$5:$AJ$200,0,MATCH(AC$2,Inputs!$K$4:$AJ$4,0)))+SUMPRODUCT((Inputs!$C$5:$C$200=$B16)*Inputs!$D$5:$D$200*(((Inputs!$G$5:$G$200="moeda")+(Inputs!$G$5:$G$200="acoes"))*Inputs!$B$1+((Inputs!$G$5:$G$200&lt;&gt;"moeda")*(Inputs!$G$5:$G$200&lt;&gt;"acoes")))*INDEX(Inputs!$K$5:$AJ$200,0,MATCH(AC$2,Inputs!$K$4:$AJ$4,0)))+SUMPRODUCT((Inputs!$E$5:$E$200=$B16)*Inputs!$F$5:$F$200*(((Inputs!$G$5:$G$200="moeda")+(Inputs!$G$5:$G$200="acoes"))*Inputs!$B$1+((Inputs!$G$5:$G$200&lt;&gt;"moeda")*(Inputs!$G$5:$G$200&lt;&gt;"acoes")))*INDEX(Inputs!$K$5:$AJ$200,0,MATCH(AC$2,Inputs!$K$4:$AJ$4,0)))))</f>
        <v>311.671</v>
      </c>
      <c r="AD16" s="6">
        <f>IF(ISNA(MATCH(AD$2,Inputs!$K$4:$AJ$4,0)),NA(),IF(SUMPRODUCT((Inputs!$A$5:$A$200=$B16)*ISNUMBER(INDEX(Inputs!$K$5:$AJ$200,0,MATCH(AD$2,Inputs!$K$4:$AJ$4,0))))+SUMPRODUCT((Inputs!$C$5:$C$200=$B16)*ISNUMBER(INDEX(Inputs!$K$5:$AJ$200,0,MATCH(AD$2,Inputs!$K$4:$AJ$4,0))))+SUMPRODUCT((Inputs!$E$5:$E$200=$B16)*ISNUMBER(INDEX(Inputs!$K$5:$AJ$200,0,MATCH(AD$2,Inputs!$K$4:$AJ$4,0))))=0,NA(),SUMPRODUCT((Inputs!$A$5:$A$200=$B16)*Inputs!$B$5:$B$200*(((Inputs!$G$5:$G$200="moeda")+(Inputs!$G$5:$G$200="acoes"))*Inputs!$B$1+((Inputs!$G$5:$G$200&lt;&gt;"moeda")*(Inputs!$G$5:$G$200&lt;&gt;"acoes")))*INDEX(Inputs!$K$5:$AJ$200,0,MATCH(AD$2,Inputs!$K$4:$AJ$4,0)))+SUMPRODUCT((Inputs!$C$5:$C$200=$B16)*Inputs!$D$5:$D$200*(((Inputs!$G$5:$G$200="moeda")+(Inputs!$G$5:$G$200="acoes"))*Inputs!$B$1+((Inputs!$G$5:$G$200&lt;&gt;"moeda")*(Inputs!$G$5:$G$200&lt;&gt;"acoes")))*INDEX(Inputs!$K$5:$AJ$200,0,MATCH(AD$2,Inputs!$K$4:$AJ$4,0)))+SUMPRODUCT((Inputs!$E$5:$E$200=$B16)*Inputs!$F$5:$F$200*(((Inputs!$G$5:$G$200="moeda")+(Inputs!$G$5:$G$200="acoes"))*Inputs!$B$1+((Inputs!$G$5:$G$200&lt;&gt;"moeda")*(Inputs!$G$5:$G$200&lt;&gt;"acoes")))*INDEX(Inputs!$K$5:$AJ$200,0,MATCH(AD$2,Inputs!$K$4:$AJ$4,0)))))</f>
        <v>822.886</v>
      </c>
      <c r="AE16" s="6" t="e">
        <f>IF(ISNA(MATCH(AE$2,Inputs!$K$4:$AJ$4,0)),NA(),IF(SUMPRODUCT((Inputs!$A$5:$A$200=$B16)*ISNUMBER(INDEX(Inputs!$K$5:$AJ$200,0,MATCH(AE$2,Inputs!$K$4:$AJ$4,0))))+SUMPRODUCT((Inputs!$C$5:$C$200=$B16)*ISNUMBER(INDEX(Inputs!$K$5:$AJ$200,0,MATCH(AE$2,Inputs!$K$4:$AJ$4,0))))+SUMPRODUCT((Inputs!$E$5:$E$200=$B16)*ISNUMBER(INDEX(Inputs!$K$5:$AJ$200,0,MATCH(AE$2,Inputs!$K$4:$AJ$4,0))))=0,NA(),SUMPRODUCT((Inputs!$A$5:$A$200=$B16)*Inputs!$B$5:$B$200*(((Inputs!$G$5:$G$200="moeda")+(Inputs!$G$5:$G$200="acoes"))*Inputs!$B$1+((Inputs!$G$5:$G$200&lt;&gt;"moeda")*(Inputs!$G$5:$G$200&lt;&gt;"acoes")))*INDEX(Inputs!$K$5:$AJ$200,0,MATCH(AE$2,Inputs!$K$4:$AJ$4,0)))+SUMPRODUCT((Inputs!$C$5:$C$200=$B16)*Inputs!$D$5:$D$200*(((Inputs!$G$5:$G$200="moeda")+(Inputs!$G$5:$G$200="acoes"))*Inputs!$B$1+((Inputs!$G$5:$G$200&lt;&gt;"moeda")*(Inputs!$G$5:$G$200&lt;&gt;"acoes")))*INDEX(Inputs!$K$5:$AJ$200,0,MATCH(AE$2,Inputs!$K$4:$AJ$4,0)))+SUMPRODUCT((Inputs!$E$5:$E$200=$B16)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6" s="6" t="e">
        <f>IF(ISNA(MATCH(AF$2,Inputs!$K$4:$AJ$4,0)),NA(),IF(SUMPRODUCT((Inputs!$A$5:$A$200=$B16)*ISNUMBER(INDEX(Inputs!$K$5:$AJ$200,0,MATCH(AF$2,Inputs!$K$4:$AJ$4,0))))+SUMPRODUCT((Inputs!$C$5:$C$200=$B16)*ISNUMBER(INDEX(Inputs!$K$5:$AJ$200,0,MATCH(AF$2,Inputs!$K$4:$AJ$4,0))))+SUMPRODUCT((Inputs!$E$5:$E$200=$B16)*ISNUMBER(INDEX(Inputs!$K$5:$AJ$200,0,MATCH(AF$2,Inputs!$K$4:$AJ$4,0))))=0,NA(),SUMPRODUCT((Inputs!$A$5:$A$200=$B16)*Inputs!$B$5:$B$200*(((Inputs!$G$5:$G$200="moeda")+(Inputs!$G$5:$G$200="acoes"))*Inputs!$B$1+((Inputs!$G$5:$G$200&lt;&gt;"moeda")*(Inputs!$G$5:$G$200&lt;&gt;"acoes")))*INDEX(Inputs!$K$5:$AJ$200,0,MATCH(AF$2,Inputs!$K$4:$AJ$4,0)))+SUMPRODUCT((Inputs!$C$5:$C$200=$B16)*Inputs!$D$5:$D$200*(((Inputs!$G$5:$G$200="moeda")+(Inputs!$G$5:$G$200="acoes"))*Inputs!$B$1+((Inputs!$G$5:$G$200&lt;&gt;"moeda")*(Inputs!$G$5:$G$200&lt;&gt;"acoes")))*INDEX(Inputs!$K$5:$AJ$200,0,MATCH(AF$2,Inputs!$K$4:$AJ$4,0)))+SUMPRODUCT((Inputs!$E$5:$E$200=$B16)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6" s="3" t="e">
        <f>AF16</f>
        <v>#N/A</v>
      </c>
      <c r="AH16" s="6">
        <f>IF(ISNA(MATCH(AH$2,Inputs!$K$4:$AJ$4,0)),NA(),IF(SUMPRODUCT((Inputs!$A$5:$A$200=$B16)*ISNUMBER(INDEX(Inputs!$K$5:$AJ$200,0,MATCH(AH$2,Inputs!$K$4:$AJ$4,0))))+SUMPRODUCT((Inputs!$C$5:$C$200=$B16)*ISNUMBER(INDEX(Inputs!$K$5:$AJ$200,0,MATCH(AH$2,Inputs!$K$4:$AJ$4,0))))+SUMPRODUCT((Inputs!$E$5:$E$200=$B16)*ISNUMBER(INDEX(Inputs!$K$5:$AJ$200,0,MATCH(AH$2,Inputs!$K$4:$AJ$4,0))))=0,NA(),SUMPRODUCT((Inputs!$A$5:$A$200=$B16)*Inputs!$B$5:$B$200*(((Inputs!$G$5:$G$200="moeda")+(Inputs!$G$5:$G$200="acoes"))*Inputs!$B$1+((Inputs!$G$5:$G$200&lt;&gt;"moeda")*(Inputs!$G$5:$G$200&lt;&gt;"acoes")))*INDEX(Inputs!$K$5:$AJ$200,0,MATCH(AH$2,Inputs!$K$4:$AJ$4,0)))+SUMPRODUCT((Inputs!$C$5:$C$200=$B16)*Inputs!$D$5:$D$200*(((Inputs!$G$5:$G$200="moeda")+(Inputs!$G$5:$G$200="acoes"))*Inputs!$B$1+((Inputs!$G$5:$G$200&lt;&gt;"moeda")*(Inputs!$G$5:$G$200&lt;&gt;"acoes")))*INDEX(Inputs!$K$5:$AJ$200,0,MATCH(AH$2,Inputs!$K$4:$AJ$4,0)))+SUMPRODUCT((Inputs!$E$5:$E$200=$B16)*Inputs!$F$5:$F$200*(((Inputs!$G$5:$G$200="moeda")+(Inputs!$G$5:$G$200="acoes"))*Inputs!$B$1+((Inputs!$G$5:$G$200&lt;&gt;"moeda")*(Inputs!$G$5:$G$200&lt;&gt;"acoes")))*INDEX(Inputs!$K$5:$AJ$200,0,MATCH(AH$2,Inputs!$K$4:$AJ$4,0)))))</f>
        <v>83.784</v>
      </c>
      <c r="AI16" s="6">
        <f>IF(ISNA(MATCH(AI$2,Inputs!$K$4:$AJ$4,0)),NA(),IF(SUMPRODUCT((Inputs!$A$5:$A$200=$B16)*ISNUMBER(INDEX(Inputs!$K$5:$AJ$200,0,MATCH(AI$2,Inputs!$K$4:$AJ$4,0))))+SUMPRODUCT((Inputs!$C$5:$C$200=$B16)*ISNUMBER(INDEX(Inputs!$K$5:$AJ$200,0,MATCH(AI$2,Inputs!$K$4:$AJ$4,0))))+SUMPRODUCT((Inputs!$E$5:$E$200=$B16)*ISNUMBER(INDEX(Inputs!$K$5:$AJ$200,0,MATCH(AI$2,Inputs!$K$4:$AJ$4,0))))=0,NA(),SUMPRODUCT((Inputs!$A$5:$A$200=$B16)*Inputs!$B$5:$B$200*(((Inputs!$G$5:$G$200="moeda")+(Inputs!$G$5:$G$200="acoes"))*Inputs!$B$1+((Inputs!$G$5:$G$200&lt;&gt;"moeda")*(Inputs!$G$5:$G$200&lt;&gt;"acoes")))*INDEX(Inputs!$K$5:$AJ$200,0,MATCH(AI$2,Inputs!$K$4:$AJ$4,0)))+SUMPRODUCT((Inputs!$C$5:$C$200=$B16)*Inputs!$D$5:$D$200*(((Inputs!$G$5:$G$200="moeda")+(Inputs!$G$5:$G$200="acoes"))*Inputs!$B$1+((Inputs!$G$5:$G$200&lt;&gt;"moeda")*(Inputs!$G$5:$G$200&lt;&gt;"acoes")))*INDEX(Inputs!$K$5:$AJ$200,0,MATCH(AI$2,Inputs!$K$4:$AJ$4,0)))+SUMPRODUCT((Inputs!$E$5:$E$200=$B16)*Inputs!$F$5:$F$200*(((Inputs!$G$5:$G$200="moeda")+(Inputs!$G$5:$G$200="acoes"))*Inputs!$B$1+((Inputs!$G$5:$G$200&lt;&gt;"moeda")*(Inputs!$G$5:$G$200&lt;&gt;"acoes")))*INDEX(Inputs!$K$5:$AJ$200,0,MATCH(AI$2,Inputs!$K$4:$AJ$4,0)))))</f>
        <v>101.994</v>
      </c>
      <c r="AJ16" s="6">
        <f>IF(ISNA(MATCH(AJ$2,Inputs!$K$4:$AJ$4,0)),NA(),IF(SUMPRODUCT((Inputs!$A$5:$A$200=$B16)*ISNUMBER(INDEX(Inputs!$K$5:$AJ$200,0,MATCH(AJ$2,Inputs!$K$4:$AJ$4,0))))+SUMPRODUCT((Inputs!$C$5:$C$200=$B16)*ISNUMBER(INDEX(Inputs!$K$5:$AJ$200,0,MATCH(AJ$2,Inputs!$K$4:$AJ$4,0))))+SUMPRODUCT((Inputs!$E$5:$E$200=$B16)*ISNUMBER(INDEX(Inputs!$K$5:$AJ$200,0,MATCH(AJ$2,Inputs!$K$4:$AJ$4,0))))=0,NA(),SUMPRODUCT((Inputs!$A$5:$A$200=$B16)*Inputs!$B$5:$B$200*(((Inputs!$G$5:$G$200="moeda")+(Inputs!$G$5:$G$200="acoes"))*Inputs!$B$1+((Inputs!$G$5:$G$200&lt;&gt;"moeda")*(Inputs!$G$5:$G$200&lt;&gt;"acoes")))*INDEX(Inputs!$K$5:$AJ$200,0,MATCH(AJ$2,Inputs!$K$4:$AJ$4,0)))+SUMPRODUCT((Inputs!$C$5:$C$200=$B16)*Inputs!$D$5:$D$200*(((Inputs!$G$5:$G$200="moeda")+(Inputs!$G$5:$G$200="acoes"))*Inputs!$B$1+((Inputs!$G$5:$G$200&lt;&gt;"moeda")*(Inputs!$G$5:$G$200&lt;&gt;"acoes")))*INDEX(Inputs!$K$5:$AJ$200,0,MATCH(AJ$2,Inputs!$K$4:$AJ$4,0)))+SUMPRODUCT((Inputs!$E$5:$E$200=$B16)*Inputs!$F$5:$F$200*(((Inputs!$G$5:$G$200="moeda")+(Inputs!$G$5:$G$200="acoes"))*Inputs!$B$1+((Inputs!$G$5:$G$200&lt;&gt;"moeda")*(Inputs!$G$5:$G$200&lt;&gt;"acoes")))*INDEX(Inputs!$K$5:$AJ$200,0,MATCH(AJ$2,Inputs!$K$4:$AJ$4,0)))))</f>
        <v>114.514</v>
      </c>
      <c r="AK16" s="6">
        <f>IF(ISNA(MATCH(AK$2,Inputs!$K$4:$AJ$4,0)),NA(),IF(SUMPRODUCT((Inputs!$A$5:$A$200=$B16)*ISNUMBER(INDEX(Inputs!$K$5:$AJ$200,0,MATCH(AK$2,Inputs!$K$4:$AJ$4,0))))+SUMPRODUCT((Inputs!$C$5:$C$200=$B16)*ISNUMBER(INDEX(Inputs!$K$5:$AJ$200,0,MATCH(AK$2,Inputs!$K$4:$AJ$4,0))))+SUMPRODUCT((Inputs!$E$5:$E$200=$B16)*ISNUMBER(INDEX(Inputs!$K$5:$AJ$200,0,MATCH(AK$2,Inputs!$K$4:$AJ$4,0))))=0,NA(),SUMPRODUCT((Inputs!$A$5:$A$200=$B16)*Inputs!$B$5:$B$200*(((Inputs!$G$5:$G$200="moeda")+(Inputs!$G$5:$G$200="acoes"))*Inputs!$B$1+((Inputs!$G$5:$G$200&lt;&gt;"moeda")*(Inputs!$G$5:$G$200&lt;&gt;"acoes")))*INDEX(Inputs!$K$5:$AJ$200,0,MATCH(AK$2,Inputs!$K$4:$AJ$4,0)))+SUMPRODUCT((Inputs!$C$5:$C$200=$B16)*Inputs!$D$5:$D$200*(((Inputs!$G$5:$G$200="moeda")+(Inputs!$G$5:$G$200="acoes"))*Inputs!$B$1+((Inputs!$G$5:$G$200&lt;&gt;"moeda")*(Inputs!$G$5:$G$200&lt;&gt;"acoes")))*INDEX(Inputs!$K$5:$AJ$200,0,MATCH(AK$2,Inputs!$K$4:$AJ$4,0)))+SUMPRODUCT((Inputs!$E$5:$E$200=$B16)*Inputs!$F$5:$F$200*(((Inputs!$G$5:$G$200="moeda")+(Inputs!$G$5:$G$200="acoes"))*Inputs!$B$1+((Inputs!$G$5:$G$200&lt;&gt;"moeda")*(Inputs!$G$5:$G$200&lt;&gt;"acoes")))*INDEX(Inputs!$K$5:$AJ$200,0,MATCH(AK$2,Inputs!$K$4:$AJ$4,0)))))</f>
        <v>112.143</v>
      </c>
      <c r="AL16" s="3">
        <f>AK16</f>
        <v>112.143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$200=$B17)*ISNUMBER(INDEX(Inputs!$K$5:$AJ$200,0,MATCH(D$2,Inputs!$K$4:$AJ$4,0))))+SUMPRODUCT((Inputs!$C$5:$C$200=$B17)*ISNUMBER(INDEX(Inputs!$K$5:$AJ$200,0,MATCH(D$2,Inputs!$K$4:$AJ$4,0))))+SUMPRODUCT((Inputs!$E$5:$E$200=$B17)*ISNUMBER(INDEX(Inputs!$K$5:$AJ$200,0,MATCH(D$2,Inputs!$K$4:$AJ$4,0))))=0,NA(),SUMPRODUCT((Inputs!$A$5:$A$200=$B17)*Inputs!$B$5:$B$200*(((Inputs!$G$5:$G$200="moeda")+(Inputs!$G$5:$G$200="acoes"))*Inputs!$B$1+((Inputs!$G$5:$G$200&lt;&gt;"moeda")*(Inputs!$G$5:$G$200&lt;&gt;"acoes")))*INDEX(Inputs!$K$5:$AJ$200,0,MATCH(D$2,Inputs!$K$4:$AJ$4,0)))+SUMPRODUCT((Inputs!$C$5:$C$200=$B17)*Inputs!$D$5:$D$200*(((Inputs!$G$5:$G$200="moeda")+(Inputs!$G$5:$G$200="acoes"))*Inputs!$B$1+((Inputs!$G$5:$G$200&lt;&gt;"moeda")*(Inputs!$G$5:$G$200&lt;&gt;"acoes")))*INDEX(Inputs!$K$5:$AJ$200,0,MATCH(D$2,Inputs!$K$4:$AJ$4,0)))+SUMPRODUCT((Inputs!$E$5:$E$200=$B17)*Inputs!$F$5:$F$200*(((Inputs!$G$5:$G$200="moeda")+(Inputs!$G$5:$G$200="acoes"))*Inputs!$B$1+((Inputs!$G$5:$G$200&lt;&gt;"moeda")*(Inputs!$G$5:$G$200&lt;&gt;"acoes")))*INDEX(Inputs!$K$5:$AJ$200,0,MATCH(D$2,Inputs!$K$4:$AJ$4,0)))))</f>
        <v>0</v>
      </c>
      <c r="E17" s="6">
        <f>IF(ISNA(MATCH(E$2,Inputs!$K$4:$AJ$4,0)),NA(),IF(SUMPRODUCT((Inputs!$A$5:$A$200=$B17)*ISNUMBER(INDEX(Inputs!$K$5:$AJ$200,0,MATCH(E$2,Inputs!$K$4:$AJ$4,0))))+SUMPRODUCT((Inputs!$C$5:$C$200=$B17)*ISNUMBER(INDEX(Inputs!$K$5:$AJ$200,0,MATCH(E$2,Inputs!$K$4:$AJ$4,0))))+SUMPRODUCT((Inputs!$E$5:$E$200=$B17)*ISNUMBER(INDEX(Inputs!$K$5:$AJ$200,0,MATCH(E$2,Inputs!$K$4:$AJ$4,0))))=0,NA(),SUMPRODUCT((Inputs!$A$5:$A$200=$B17)*Inputs!$B$5:$B$200*(((Inputs!$G$5:$G$200="moeda")+(Inputs!$G$5:$G$200="acoes"))*Inputs!$B$1+((Inputs!$G$5:$G$200&lt;&gt;"moeda")*(Inputs!$G$5:$G$200&lt;&gt;"acoes")))*INDEX(Inputs!$K$5:$AJ$200,0,MATCH(E$2,Inputs!$K$4:$AJ$4,0)))+SUMPRODUCT((Inputs!$C$5:$C$200=$B17)*Inputs!$D$5:$D$200*(((Inputs!$G$5:$G$200="moeda")+(Inputs!$G$5:$G$200="acoes"))*Inputs!$B$1+((Inputs!$G$5:$G$200&lt;&gt;"moeda")*(Inputs!$G$5:$G$200&lt;&gt;"acoes")))*INDEX(Inputs!$K$5:$AJ$200,0,MATCH(E$2,Inputs!$K$4:$AJ$4,0)))+SUMPRODUCT((Inputs!$E$5:$E$200=$B17)*Inputs!$F$5:$F$200*(((Inputs!$G$5:$G$200="moeda")+(Inputs!$G$5:$G$200="acoes"))*Inputs!$B$1+((Inputs!$G$5:$G$200&lt;&gt;"moeda")*(Inputs!$G$5:$G$200&lt;&gt;"acoes")))*INDEX(Inputs!$K$5:$AJ$200,0,MATCH(E$2,Inputs!$K$4:$AJ$4,0)))))</f>
        <v>0</v>
      </c>
      <c r="F17" s="6">
        <f>IF(ISNA(MATCH(F$2,Inputs!$K$4:$AJ$4,0)),NA(),IF(SUMPRODUCT((Inputs!$A$5:$A$200=$B17)*ISNUMBER(INDEX(Inputs!$K$5:$AJ$200,0,MATCH(F$2,Inputs!$K$4:$AJ$4,0))))+SUMPRODUCT((Inputs!$C$5:$C$200=$B17)*ISNUMBER(INDEX(Inputs!$K$5:$AJ$200,0,MATCH(F$2,Inputs!$K$4:$AJ$4,0))))+SUMPRODUCT((Inputs!$E$5:$E$200=$B17)*ISNUMBER(INDEX(Inputs!$K$5:$AJ$200,0,MATCH(F$2,Inputs!$K$4:$AJ$4,0))))=0,NA(),SUMPRODUCT((Inputs!$A$5:$A$200=$B17)*Inputs!$B$5:$B$200*(((Inputs!$G$5:$G$200="moeda")+(Inputs!$G$5:$G$200="acoes"))*Inputs!$B$1+((Inputs!$G$5:$G$200&lt;&gt;"moeda")*(Inputs!$G$5:$G$200&lt;&gt;"acoes")))*INDEX(Inputs!$K$5:$AJ$200,0,MATCH(F$2,Inputs!$K$4:$AJ$4,0)))+SUMPRODUCT((Inputs!$C$5:$C$200=$B17)*Inputs!$D$5:$D$200*(((Inputs!$G$5:$G$200="moeda")+(Inputs!$G$5:$G$200="acoes"))*Inputs!$B$1+((Inputs!$G$5:$G$200&lt;&gt;"moeda")*(Inputs!$G$5:$G$200&lt;&gt;"acoes")))*INDEX(Inputs!$K$5:$AJ$200,0,MATCH(F$2,Inputs!$K$4:$AJ$4,0)))+SUMPRODUCT((Inputs!$E$5:$E$200=$B17)*Inputs!$F$5:$F$200*(((Inputs!$G$5:$G$200="moeda")+(Inputs!$G$5:$G$200="acoes"))*Inputs!$B$1+((Inputs!$G$5:$G$200&lt;&gt;"moeda")*(Inputs!$G$5:$G$200&lt;&gt;"acoes")))*INDEX(Inputs!$K$5:$AJ$200,0,MATCH(F$2,Inputs!$K$4:$AJ$4,0)))))</f>
        <v>0</v>
      </c>
      <c r="G17" s="6">
        <f>IF(ISNA(MATCH(G$2,Inputs!$K$4:$AJ$4,0)),NA(),IF(SUMPRODUCT((Inputs!$A$5:$A$200=$B17)*ISNUMBER(INDEX(Inputs!$K$5:$AJ$200,0,MATCH(G$2,Inputs!$K$4:$AJ$4,0))))+SUMPRODUCT((Inputs!$C$5:$C$200=$B17)*ISNUMBER(INDEX(Inputs!$K$5:$AJ$200,0,MATCH(G$2,Inputs!$K$4:$AJ$4,0))))+SUMPRODUCT((Inputs!$E$5:$E$200=$B17)*ISNUMBER(INDEX(Inputs!$K$5:$AJ$200,0,MATCH(G$2,Inputs!$K$4:$AJ$4,0))))=0,NA(),SUMPRODUCT((Inputs!$A$5:$A$200=$B17)*Inputs!$B$5:$B$200*(((Inputs!$G$5:$G$200="moeda")+(Inputs!$G$5:$G$200="acoes"))*Inputs!$B$1+((Inputs!$G$5:$G$200&lt;&gt;"moeda")*(Inputs!$G$5:$G$200&lt;&gt;"acoes")))*INDEX(Inputs!$K$5:$AJ$200,0,MATCH(G$2,Inputs!$K$4:$AJ$4,0)))+SUMPRODUCT((Inputs!$C$5:$C$200=$B17)*Inputs!$D$5:$D$200*(((Inputs!$G$5:$G$200="moeda")+(Inputs!$G$5:$G$200="acoes"))*Inputs!$B$1+((Inputs!$G$5:$G$200&lt;&gt;"moeda")*(Inputs!$G$5:$G$200&lt;&gt;"acoes")))*INDEX(Inputs!$K$5:$AJ$200,0,MATCH(G$2,Inputs!$K$4:$AJ$4,0)))+SUMPRODUCT((Inputs!$E$5:$E$200=$B17)*Inputs!$F$5:$F$200*(((Inputs!$G$5:$G$200="moeda")+(Inputs!$G$5:$G$200="acoes"))*Inputs!$B$1+((Inputs!$G$5:$G$200&lt;&gt;"moeda")*(Inputs!$G$5:$G$200&lt;&gt;"acoes")))*INDEX(Inputs!$K$5:$AJ$200,0,MATCH(G$2,Inputs!$K$4:$AJ$4,0)))))</f>
        <v>0</v>
      </c>
      <c r="H17" s="3">
        <f>G17</f>
        <v>0</v>
      </c>
      <c r="I17" s="6">
        <f>IF(ISNA(MATCH(I$2,Inputs!$K$4:$AJ$4,0)),NA(),IF(SUMPRODUCT((Inputs!$A$5:$A$200=$B17)*ISNUMBER(INDEX(Inputs!$K$5:$AJ$200,0,MATCH(I$2,Inputs!$K$4:$AJ$4,0))))+SUMPRODUCT((Inputs!$C$5:$C$200=$B17)*ISNUMBER(INDEX(Inputs!$K$5:$AJ$200,0,MATCH(I$2,Inputs!$K$4:$AJ$4,0))))+SUMPRODUCT((Inputs!$E$5:$E$200=$B17)*ISNUMBER(INDEX(Inputs!$K$5:$AJ$200,0,MATCH(I$2,Inputs!$K$4:$AJ$4,0))))=0,NA(),SUMPRODUCT((Inputs!$A$5:$A$200=$B17)*Inputs!$B$5:$B$200*(((Inputs!$G$5:$G$200="moeda")+(Inputs!$G$5:$G$200="acoes"))*Inputs!$B$1+((Inputs!$G$5:$G$200&lt;&gt;"moeda")*(Inputs!$G$5:$G$200&lt;&gt;"acoes")))*INDEX(Inputs!$K$5:$AJ$200,0,MATCH(I$2,Inputs!$K$4:$AJ$4,0)))+SUMPRODUCT((Inputs!$C$5:$C$200=$B17)*Inputs!$D$5:$D$200*(((Inputs!$G$5:$G$200="moeda")+(Inputs!$G$5:$G$200="acoes"))*Inputs!$B$1+((Inputs!$G$5:$G$200&lt;&gt;"moeda")*(Inputs!$G$5:$G$200&lt;&gt;"acoes")))*INDEX(Inputs!$K$5:$AJ$200,0,MATCH(I$2,Inputs!$K$4:$AJ$4,0)))+SUMPRODUCT((Inputs!$E$5:$E$200=$B17)*Inputs!$F$5:$F$200*(((Inputs!$G$5:$G$200="moeda")+(Inputs!$G$5:$G$200="acoes"))*Inputs!$B$1+((Inputs!$G$5:$G$200&lt;&gt;"moeda")*(Inputs!$G$5:$G$200&lt;&gt;"acoes")))*INDEX(Inputs!$K$5:$AJ$200,0,MATCH(I$2,Inputs!$K$4:$AJ$4,0)))))</f>
        <v>0</v>
      </c>
      <c r="J17" s="6">
        <f>IF(ISNA(MATCH(J$2,Inputs!$K$4:$AJ$4,0)),NA(),IF(SUMPRODUCT((Inputs!$A$5:$A$200=$B17)*ISNUMBER(INDEX(Inputs!$K$5:$AJ$200,0,MATCH(J$2,Inputs!$K$4:$AJ$4,0))))+SUMPRODUCT((Inputs!$C$5:$C$200=$B17)*ISNUMBER(INDEX(Inputs!$K$5:$AJ$200,0,MATCH(J$2,Inputs!$K$4:$AJ$4,0))))+SUMPRODUCT((Inputs!$E$5:$E$200=$B17)*ISNUMBER(INDEX(Inputs!$K$5:$AJ$200,0,MATCH(J$2,Inputs!$K$4:$AJ$4,0))))=0,NA(),SUMPRODUCT((Inputs!$A$5:$A$200=$B17)*Inputs!$B$5:$B$200*(((Inputs!$G$5:$G$200="moeda")+(Inputs!$G$5:$G$200="acoes"))*Inputs!$B$1+((Inputs!$G$5:$G$200&lt;&gt;"moeda")*(Inputs!$G$5:$G$200&lt;&gt;"acoes")))*INDEX(Inputs!$K$5:$AJ$200,0,MATCH(J$2,Inputs!$K$4:$AJ$4,0)))+SUMPRODUCT((Inputs!$C$5:$C$200=$B17)*Inputs!$D$5:$D$200*(((Inputs!$G$5:$G$200="moeda")+(Inputs!$G$5:$G$200="acoes"))*Inputs!$B$1+((Inputs!$G$5:$G$200&lt;&gt;"moeda")*(Inputs!$G$5:$G$200&lt;&gt;"acoes")))*INDEX(Inputs!$K$5:$AJ$200,0,MATCH(J$2,Inputs!$K$4:$AJ$4,0)))+SUMPRODUCT((Inputs!$E$5:$E$200=$B17)*Inputs!$F$5:$F$200*(((Inputs!$G$5:$G$200="moeda")+(Inputs!$G$5:$G$200="acoes"))*Inputs!$B$1+((Inputs!$G$5:$G$200&lt;&gt;"moeda")*(Inputs!$G$5:$G$200&lt;&gt;"acoes")))*INDEX(Inputs!$K$5:$AJ$200,0,MATCH(J$2,Inputs!$K$4:$AJ$4,0)))))</f>
        <v>0</v>
      </c>
      <c r="K17" s="6">
        <f>IF(ISNA(MATCH(K$2,Inputs!$K$4:$AJ$4,0)),NA(),IF(SUMPRODUCT((Inputs!$A$5:$A$200=$B17)*ISNUMBER(INDEX(Inputs!$K$5:$AJ$200,0,MATCH(K$2,Inputs!$K$4:$AJ$4,0))))+SUMPRODUCT((Inputs!$C$5:$C$200=$B17)*ISNUMBER(INDEX(Inputs!$K$5:$AJ$200,0,MATCH(K$2,Inputs!$K$4:$AJ$4,0))))+SUMPRODUCT((Inputs!$E$5:$E$200=$B17)*ISNUMBER(INDEX(Inputs!$K$5:$AJ$200,0,MATCH(K$2,Inputs!$K$4:$AJ$4,0))))=0,NA(),SUMPRODUCT((Inputs!$A$5:$A$200=$B17)*Inputs!$B$5:$B$200*(((Inputs!$G$5:$G$200="moeda")+(Inputs!$G$5:$G$200="acoes"))*Inputs!$B$1+((Inputs!$G$5:$G$200&lt;&gt;"moeda")*(Inputs!$G$5:$G$200&lt;&gt;"acoes")))*INDEX(Inputs!$K$5:$AJ$200,0,MATCH(K$2,Inputs!$K$4:$AJ$4,0)))+SUMPRODUCT((Inputs!$C$5:$C$200=$B17)*Inputs!$D$5:$D$200*(((Inputs!$G$5:$G$200="moeda")+(Inputs!$G$5:$G$200="acoes"))*Inputs!$B$1+((Inputs!$G$5:$G$200&lt;&gt;"moeda")*(Inputs!$G$5:$G$200&lt;&gt;"acoes")))*INDEX(Inputs!$K$5:$AJ$200,0,MATCH(K$2,Inputs!$K$4:$AJ$4,0)))+SUMPRODUCT((Inputs!$E$5:$E$200=$B17)*Inputs!$F$5:$F$200*(((Inputs!$G$5:$G$200="moeda")+(Inputs!$G$5:$G$200="acoes"))*Inputs!$B$1+((Inputs!$G$5:$G$200&lt;&gt;"moeda")*(Inputs!$G$5:$G$200&lt;&gt;"acoes")))*INDEX(Inputs!$K$5:$AJ$200,0,MATCH(K$2,Inputs!$K$4:$AJ$4,0)))))</f>
        <v>0</v>
      </c>
      <c r="L17" s="6">
        <f>IF(ISNA(MATCH(L$2,Inputs!$K$4:$AJ$4,0)),NA(),IF(SUMPRODUCT((Inputs!$A$5:$A$200=$B17)*ISNUMBER(INDEX(Inputs!$K$5:$AJ$200,0,MATCH(L$2,Inputs!$K$4:$AJ$4,0))))+SUMPRODUCT((Inputs!$C$5:$C$200=$B17)*ISNUMBER(INDEX(Inputs!$K$5:$AJ$200,0,MATCH(L$2,Inputs!$K$4:$AJ$4,0))))+SUMPRODUCT((Inputs!$E$5:$E$200=$B17)*ISNUMBER(INDEX(Inputs!$K$5:$AJ$200,0,MATCH(L$2,Inputs!$K$4:$AJ$4,0))))=0,NA(),SUMPRODUCT((Inputs!$A$5:$A$200=$B17)*Inputs!$B$5:$B$200*(((Inputs!$G$5:$G$200="moeda")+(Inputs!$G$5:$G$200="acoes"))*Inputs!$B$1+((Inputs!$G$5:$G$200&lt;&gt;"moeda")*(Inputs!$G$5:$G$200&lt;&gt;"acoes")))*INDEX(Inputs!$K$5:$AJ$200,0,MATCH(L$2,Inputs!$K$4:$AJ$4,0)))+SUMPRODUCT((Inputs!$C$5:$C$200=$B17)*Inputs!$D$5:$D$200*(((Inputs!$G$5:$G$200="moeda")+(Inputs!$G$5:$G$200="acoes"))*Inputs!$B$1+((Inputs!$G$5:$G$200&lt;&gt;"moeda")*(Inputs!$G$5:$G$200&lt;&gt;"acoes")))*INDEX(Inputs!$K$5:$AJ$200,0,MATCH(L$2,Inputs!$K$4:$AJ$4,0)))+SUMPRODUCT((Inputs!$E$5:$E$200=$B17)*Inputs!$F$5:$F$200*(((Inputs!$G$5:$G$200="moeda")+(Inputs!$G$5:$G$200="acoes"))*Inputs!$B$1+((Inputs!$G$5:$G$200&lt;&gt;"moeda")*(Inputs!$G$5:$G$200&lt;&gt;"acoes")))*INDEX(Inputs!$K$5:$AJ$200,0,MATCH(L$2,Inputs!$K$4:$AJ$4,0)))))</f>
        <v>0</v>
      </c>
      <c r="M17" s="3">
        <f>L17</f>
        <v>0</v>
      </c>
      <c r="N17" s="6">
        <f>IF(ISNA(MATCH(N$2,Inputs!$K$4:$AJ$4,0)),NA(),IF(SUMPRODUCT((Inputs!$A$5:$A$200=$B17)*ISNUMBER(INDEX(Inputs!$K$5:$AJ$200,0,MATCH(N$2,Inputs!$K$4:$AJ$4,0))))+SUMPRODUCT((Inputs!$C$5:$C$200=$B17)*ISNUMBER(INDEX(Inputs!$K$5:$AJ$200,0,MATCH(N$2,Inputs!$K$4:$AJ$4,0))))+SUMPRODUCT((Inputs!$E$5:$E$200=$B17)*ISNUMBER(INDEX(Inputs!$K$5:$AJ$200,0,MATCH(N$2,Inputs!$K$4:$AJ$4,0))))=0,NA(),SUMPRODUCT((Inputs!$A$5:$A$200=$B17)*Inputs!$B$5:$B$200*(((Inputs!$G$5:$G$200="moeda")+(Inputs!$G$5:$G$200="acoes"))*Inputs!$B$1+((Inputs!$G$5:$G$200&lt;&gt;"moeda")*(Inputs!$G$5:$G$200&lt;&gt;"acoes")))*INDEX(Inputs!$K$5:$AJ$200,0,MATCH(N$2,Inputs!$K$4:$AJ$4,0)))+SUMPRODUCT((Inputs!$C$5:$C$200=$B17)*Inputs!$D$5:$D$200*(((Inputs!$G$5:$G$200="moeda")+(Inputs!$G$5:$G$200="acoes"))*Inputs!$B$1+((Inputs!$G$5:$G$200&lt;&gt;"moeda")*(Inputs!$G$5:$G$200&lt;&gt;"acoes")))*INDEX(Inputs!$K$5:$AJ$200,0,MATCH(N$2,Inputs!$K$4:$AJ$4,0)))+SUMPRODUCT((Inputs!$E$5:$E$200=$B17)*Inputs!$F$5:$F$200*(((Inputs!$G$5:$G$200="moeda")+(Inputs!$G$5:$G$200="acoes"))*Inputs!$B$1+((Inputs!$G$5:$G$200&lt;&gt;"moeda")*(Inputs!$G$5:$G$200&lt;&gt;"acoes")))*INDEX(Inputs!$K$5:$AJ$200,0,MATCH(N$2,Inputs!$K$4:$AJ$4,0)))))</f>
        <v>0</v>
      </c>
      <c r="O17" s="6">
        <f>IF(ISNA(MATCH(O$2,Inputs!$K$4:$AJ$4,0)),NA(),IF(SUMPRODUCT((Inputs!$A$5:$A$200=$B17)*ISNUMBER(INDEX(Inputs!$K$5:$AJ$200,0,MATCH(O$2,Inputs!$K$4:$AJ$4,0))))+SUMPRODUCT((Inputs!$C$5:$C$200=$B17)*ISNUMBER(INDEX(Inputs!$K$5:$AJ$200,0,MATCH(O$2,Inputs!$K$4:$AJ$4,0))))+SUMPRODUCT((Inputs!$E$5:$E$200=$B17)*ISNUMBER(INDEX(Inputs!$K$5:$AJ$200,0,MATCH(O$2,Inputs!$K$4:$AJ$4,0))))=0,NA(),SUMPRODUCT((Inputs!$A$5:$A$200=$B17)*Inputs!$B$5:$B$200*(((Inputs!$G$5:$G$200="moeda")+(Inputs!$G$5:$G$200="acoes"))*Inputs!$B$1+((Inputs!$G$5:$G$200&lt;&gt;"moeda")*(Inputs!$G$5:$G$200&lt;&gt;"acoes")))*INDEX(Inputs!$K$5:$AJ$200,0,MATCH(O$2,Inputs!$K$4:$AJ$4,0)))+SUMPRODUCT((Inputs!$C$5:$C$200=$B17)*Inputs!$D$5:$D$200*(((Inputs!$G$5:$G$200="moeda")+(Inputs!$G$5:$G$200="acoes"))*Inputs!$B$1+((Inputs!$G$5:$G$200&lt;&gt;"moeda")*(Inputs!$G$5:$G$200&lt;&gt;"acoes")))*INDEX(Inputs!$K$5:$AJ$200,0,MATCH(O$2,Inputs!$K$4:$AJ$4,0)))+SUMPRODUCT((Inputs!$E$5:$E$200=$B17)*Inputs!$F$5:$F$200*(((Inputs!$G$5:$G$200="moeda")+(Inputs!$G$5:$G$200="acoes"))*Inputs!$B$1+((Inputs!$G$5:$G$200&lt;&gt;"moeda")*(Inputs!$G$5:$G$200&lt;&gt;"acoes")))*INDEX(Inputs!$K$5:$AJ$200,0,MATCH(O$2,Inputs!$K$4:$AJ$4,0)))))</f>
        <v>0</v>
      </c>
      <c r="P17" s="6">
        <f>IF(ISNA(MATCH(P$2,Inputs!$K$4:$AJ$4,0)),NA(),IF(SUMPRODUCT((Inputs!$A$5:$A$200=$B17)*ISNUMBER(INDEX(Inputs!$K$5:$AJ$200,0,MATCH(P$2,Inputs!$K$4:$AJ$4,0))))+SUMPRODUCT((Inputs!$C$5:$C$200=$B17)*ISNUMBER(INDEX(Inputs!$K$5:$AJ$200,0,MATCH(P$2,Inputs!$K$4:$AJ$4,0))))+SUMPRODUCT((Inputs!$E$5:$E$200=$B17)*ISNUMBER(INDEX(Inputs!$K$5:$AJ$200,0,MATCH(P$2,Inputs!$K$4:$AJ$4,0))))=0,NA(),SUMPRODUCT((Inputs!$A$5:$A$200=$B17)*Inputs!$B$5:$B$200*(((Inputs!$G$5:$G$200="moeda")+(Inputs!$G$5:$G$200="acoes"))*Inputs!$B$1+((Inputs!$G$5:$G$200&lt;&gt;"moeda")*(Inputs!$G$5:$G$200&lt;&gt;"acoes")))*INDEX(Inputs!$K$5:$AJ$200,0,MATCH(P$2,Inputs!$K$4:$AJ$4,0)))+SUMPRODUCT((Inputs!$C$5:$C$200=$B17)*Inputs!$D$5:$D$200*(((Inputs!$G$5:$G$200="moeda")+(Inputs!$G$5:$G$200="acoes"))*Inputs!$B$1+((Inputs!$G$5:$G$200&lt;&gt;"moeda")*(Inputs!$G$5:$G$200&lt;&gt;"acoes")))*INDEX(Inputs!$K$5:$AJ$200,0,MATCH(P$2,Inputs!$K$4:$AJ$4,0)))+SUMPRODUCT((Inputs!$E$5:$E$200=$B17)*Inputs!$F$5:$F$200*(((Inputs!$G$5:$G$200="moeda")+(Inputs!$G$5:$G$200="acoes"))*Inputs!$B$1+((Inputs!$G$5:$G$200&lt;&gt;"moeda")*(Inputs!$G$5:$G$200&lt;&gt;"acoes")))*INDEX(Inputs!$K$5:$AJ$200,0,MATCH(P$2,Inputs!$K$4:$AJ$4,0)))))</f>
        <v>0</v>
      </c>
      <c r="Q17" s="6">
        <f>IF(ISNA(MATCH(Q$2,Inputs!$K$4:$AJ$4,0)),NA(),IF(SUMPRODUCT((Inputs!$A$5:$A$200=$B17)*ISNUMBER(INDEX(Inputs!$K$5:$AJ$200,0,MATCH(Q$2,Inputs!$K$4:$AJ$4,0))))+SUMPRODUCT((Inputs!$C$5:$C$200=$B17)*ISNUMBER(INDEX(Inputs!$K$5:$AJ$200,0,MATCH(Q$2,Inputs!$K$4:$AJ$4,0))))+SUMPRODUCT((Inputs!$E$5:$E$200=$B17)*ISNUMBER(INDEX(Inputs!$K$5:$AJ$200,0,MATCH(Q$2,Inputs!$K$4:$AJ$4,0))))=0,NA(),SUMPRODUCT((Inputs!$A$5:$A$200=$B17)*Inputs!$B$5:$B$200*(((Inputs!$G$5:$G$200="moeda")+(Inputs!$G$5:$G$200="acoes"))*Inputs!$B$1+((Inputs!$G$5:$G$200&lt;&gt;"moeda")*(Inputs!$G$5:$G$200&lt;&gt;"acoes")))*INDEX(Inputs!$K$5:$AJ$200,0,MATCH(Q$2,Inputs!$K$4:$AJ$4,0)))+SUMPRODUCT((Inputs!$C$5:$C$200=$B17)*Inputs!$D$5:$D$200*(((Inputs!$G$5:$G$200="moeda")+(Inputs!$G$5:$G$200="acoes"))*Inputs!$B$1+((Inputs!$G$5:$G$200&lt;&gt;"moeda")*(Inputs!$G$5:$G$200&lt;&gt;"acoes")))*INDEX(Inputs!$K$5:$AJ$200,0,MATCH(Q$2,Inputs!$K$4:$AJ$4,0)))+SUMPRODUCT((Inputs!$E$5:$E$200=$B17)*Inputs!$F$5:$F$200*(((Inputs!$G$5:$G$200="moeda")+(Inputs!$G$5:$G$200="acoes"))*Inputs!$B$1+((Inputs!$G$5:$G$200&lt;&gt;"moeda")*(Inputs!$G$5:$G$200&lt;&gt;"acoes")))*INDEX(Inputs!$K$5:$AJ$200,0,MATCH(Q$2,Inputs!$K$4:$AJ$4,0)))))</f>
        <v>0</v>
      </c>
      <c r="R17" s="3">
        <f>Q17</f>
        <v>0</v>
      </c>
      <c r="S17" s="6">
        <f>IF(ISNA(MATCH(S$2,Inputs!$K$4:$AJ$4,0)),NA(),IF(SUMPRODUCT((Inputs!$A$5:$A$200=$B17)*ISNUMBER(INDEX(Inputs!$K$5:$AJ$200,0,MATCH(S$2,Inputs!$K$4:$AJ$4,0))))+SUMPRODUCT((Inputs!$C$5:$C$200=$B17)*ISNUMBER(INDEX(Inputs!$K$5:$AJ$200,0,MATCH(S$2,Inputs!$K$4:$AJ$4,0))))+SUMPRODUCT((Inputs!$E$5:$E$200=$B17)*ISNUMBER(INDEX(Inputs!$K$5:$AJ$200,0,MATCH(S$2,Inputs!$K$4:$AJ$4,0))))=0,NA(),SUMPRODUCT((Inputs!$A$5:$A$200=$B17)*Inputs!$B$5:$B$200*(((Inputs!$G$5:$G$200="moeda")+(Inputs!$G$5:$G$200="acoes"))*Inputs!$B$1+((Inputs!$G$5:$G$200&lt;&gt;"moeda")*(Inputs!$G$5:$G$200&lt;&gt;"acoes")))*INDEX(Inputs!$K$5:$AJ$200,0,MATCH(S$2,Inputs!$K$4:$AJ$4,0)))+SUMPRODUCT((Inputs!$C$5:$C$200=$B17)*Inputs!$D$5:$D$200*(((Inputs!$G$5:$G$200="moeda")+(Inputs!$G$5:$G$200="acoes"))*Inputs!$B$1+((Inputs!$G$5:$G$200&lt;&gt;"moeda")*(Inputs!$G$5:$G$200&lt;&gt;"acoes")))*INDEX(Inputs!$K$5:$AJ$200,0,MATCH(S$2,Inputs!$K$4:$AJ$4,0)))+SUMPRODUCT((Inputs!$E$5:$E$200=$B17)*Inputs!$F$5:$F$200*(((Inputs!$G$5:$G$200="moeda")+(Inputs!$G$5:$G$200="acoes"))*Inputs!$B$1+((Inputs!$G$5:$G$200&lt;&gt;"moeda")*(Inputs!$G$5:$G$200&lt;&gt;"acoes")))*INDEX(Inputs!$K$5:$AJ$200,0,MATCH(S$2,Inputs!$K$4:$AJ$4,0)))))</f>
        <v>0</v>
      </c>
      <c r="T17" s="6">
        <f>IF(ISNA(MATCH(T$2,Inputs!$K$4:$AJ$4,0)),NA(),IF(SUMPRODUCT((Inputs!$A$5:$A$200=$B17)*ISNUMBER(INDEX(Inputs!$K$5:$AJ$200,0,MATCH(T$2,Inputs!$K$4:$AJ$4,0))))+SUMPRODUCT((Inputs!$C$5:$C$200=$B17)*ISNUMBER(INDEX(Inputs!$K$5:$AJ$200,0,MATCH(T$2,Inputs!$K$4:$AJ$4,0))))+SUMPRODUCT((Inputs!$E$5:$E$200=$B17)*ISNUMBER(INDEX(Inputs!$K$5:$AJ$200,0,MATCH(T$2,Inputs!$K$4:$AJ$4,0))))=0,NA(),SUMPRODUCT((Inputs!$A$5:$A$200=$B17)*Inputs!$B$5:$B$200*(((Inputs!$G$5:$G$200="moeda")+(Inputs!$G$5:$G$200="acoes"))*Inputs!$B$1+((Inputs!$G$5:$G$200&lt;&gt;"moeda")*(Inputs!$G$5:$G$200&lt;&gt;"acoes")))*INDEX(Inputs!$K$5:$AJ$200,0,MATCH(T$2,Inputs!$K$4:$AJ$4,0)))+SUMPRODUCT((Inputs!$C$5:$C$200=$B17)*Inputs!$D$5:$D$200*(((Inputs!$G$5:$G$200="moeda")+(Inputs!$G$5:$G$200="acoes"))*Inputs!$B$1+((Inputs!$G$5:$G$200&lt;&gt;"moeda")*(Inputs!$G$5:$G$200&lt;&gt;"acoes")))*INDEX(Inputs!$K$5:$AJ$200,0,MATCH(T$2,Inputs!$K$4:$AJ$4,0)))+SUMPRODUCT((Inputs!$E$5:$E$200=$B17)*Inputs!$F$5:$F$200*(((Inputs!$G$5:$G$200="moeda")+(Inputs!$G$5:$G$200="acoes"))*Inputs!$B$1+((Inputs!$G$5:$G$200&lt;&gt;"moeda")*(Inputs!$G$5:$G$200&lt;&gt;"acoes")))*INDEX(Inputs!$K$5:$AJ$200,0,MATCH(T$2,Inputs!$K$4:$AJ$4,0)))))</f>
        <v>0</v>
      </c>
      <c r="U17" s="6">
        <f>IF(ISNA(MATCH(U$2,Inputs!$K$4:$AJ$4,0)),NA(),IF(SUMPRODUCT((Inputs!$A$5:$A$200=$B17)*ISNUMBER(INDEX(Inputs!$K$5:$AJ$200,0,MATCH(U$2,Inputs!$K$4:$AJ$4,0))))+SUMPRODUCT((Inputs!$C$5:$C$200=$B17)*ISNUMBER(INDEX(Inputs!$K$5:$AJ$200,0,MATCH(U$2,Inputs!$K$4:$AJ$4,0))))+SUMPRODUCT((Inputs!$E$5:$E$200=$B17)*ISNUMBER(INDEX(Inputs!$K$5:$AJ$200,0,MATCH(U$2,Inputs!$K$4:$AJ$4,0))))=0,NA(),SUMPRODUCT((Inputs!$A$5:$A$200=$B17)*Inputs!$B$5:$B$200*(((Inputs!$G$5:$G$200="moeda")+(Inputs!$G$5:$G$200="acoes"))*Inputs!$B$1+((Inputs!$G$5:$G$200&lt;&gt;"moeda")*(Inputs!$G$5:$G$200&lt;&gt;"acoes")))*INDEX(Inputs!$K$5:$AJ$200,0,MATCH(U$2,Inputs!$K$4:$AJ$4,0)))+SUMPRODUCT((Inputs!$C$5:$C$200=$B17)*Inputs!$D$5:$D$200*(((Inputs!$G$5:$G$200="moeda")+(Inputs!$G$5:$G$200="acoes"))*Inputs!$B$1+((Inputs!$G$5:$G$200&lt;&gt;"moeda")*(Inputs!$G$5:$G$200&lt;&gt;"acoes")))*INDEX(Inputs!$K$5:$AJ$200,0,MATCH(U$2,Inputs!$K$4:$AJ$4,0)))+SUMPRODUCT((Inputs!$E$5:$E$200=$B17)*Inputs!$F$5:$F$200*(((Inputs!$G$5:$G$200="moeda")+(Inputs!$G$5:$G$200="acoes"))*Inputs!$B$1+((Inputs!$G$5:$G$200&lt;&gt;"moeda")*(Inputs!$G$5:$G$200&lt;&gt;"acoes")))*INDEX(Inputs!$K$5:$AJ$200,0,MATCH(U$2,Inputs!$K$4:$AJ$4,0)))))</f>
        <v>0</v>
      </c>
      <c r="V17" s="6">
        <f>IF(ISNA(MATCH(V$2,Inputs!$K$4:$AJ$4,0)),NA(),IF(SUMPRODUCT((Inputs!$A$5:$A$200=$B17)*ISNUMBER(INDEX(Inputs!$K$5:$AJ$200,0,MATCH(V$2,Inputs!$K$4:$AJ$4,0))))+SUMPRODUCT((Inputs!$C$5:$C$200=$B17)*ISNUMBER(INDEX(Inputs!$K$5:$AJ$200,0,MATCH(V$2,Inputs!$K$4:$AJ$4,0))))+SUMPRODUCT((Inputs!$E$5:$E$200=$B17)*ISNUMBER(INDEX(Inputs!$K$5:$AJ$200,0,MATCH(V$2,Inputs!$K$4:$AJ$4,0))))=0,NA(),SUMPRODUCT((Inputs!$A$5:$A$200=$B17)*Inputs!$B$5:$B$200*(((Inputs!$G$5:$G$200="moeda")+(Inputs!$G$5:$G$200="acoes"))*Inputs!$B$1+((Inputs!$G$5:$G$200&lt;&gt;"moeda")*(Inputs!$G$5:$G$200&lt;&gt;"acoes")))*INDEX(Inputs!$K$5:$AJ$200,0,MATCH(V$2,Inputs!$K$4:$AJ$4,0)))+SUMPRODUCT((Inputs!$C$5:$C$200=$B17)*Inputs!$D$5:$D$200*(((Inputs!$G$5:$G$200="moeda")+(Inputs!$G$5:$G$200="acoes"))*Inputs!$B$1+((Inputs!$G$5:$G$200&lt;&gt;"moeda")*(Inputs!$G$5:$G$200&lt;&gt;"acoes")))*INDEX(Inputs!$K$5:$AJ$200,0,MATCH(V$2,Inputs!$K$4:$AJ$4,0)))+SUMPRODUCT((Inputs!$E$5:$E$200=$B17)*Inputs!$F$5:$F$200*(((Inputs!$G$5:$G$200="moeda")+(Inputs!$G$5:$G$200="acoes"))*Inputs!$B$1+((Inputs!$G$5:$G$200&lt;&gt;"moeda")*(Inputs!$G$5:$G$200&lt;&gt;"acoes")))*INDEX(Inputs!$K$5:$AJ$200,0,MATCH(V$2,Inputs!$K$4:$AJ$4,0)))))</f>
        <v>0</v>
      </c>
      <c r="W17" s="3">
        <f>V17</f>
        <v>0</v>
      </c>
      <c r="X17" s="6">
        <f>IF(ISNA(MATCH(X$2,Inputs!$K$4:$AJ$4,0)),NA(),IF(SUMPRODUCT((Inputs!$A$5:$A$200=$B17)*ISNUMBER(INDEX(Inputs!$K$5:$AJ$200,0,MATCH(X$2,Inputs!$K$4:$AJ$4,0))))+SUMPRODUCT((Inputs!$C$5:$C$200=$B17)*ISNUMBER(INDEX(Inputs!$K$5:$AJ$200,0,MATCH(X$2,Inputs!$K$4:$AJ$4,0))))+SUMPRODUCT((Inputs!$E$5:$E$200=$B17)*ISNUMBER(INDEX(Inputs!$K$5:$AJ$200,0,MATCH(X$2,Inputs!$K$4:$AJ$4,0))))=0,NA(),SUMPRODUCT((Inputs!$A$5:$A$200=$B17)*Inputs!$B$5:$B$200*(((Inputs!$G$5:$G$200="moeda")+(Inputs!$G$5:$G$200="acoes"))*Inputs!$B$1+((Inputs!$G$5:$G$200&lt;&gt;"moeda")*(Inputs!$G$5:$G$200&lt;&gt;"acoes")))*INDEX(Inputs!$K$5:$AJ$200,0,MATCH(X$2,Inputs!$K$4:$AJ$4,0)))+SUMPRODUCT((Inputs!$C$5:$C$200=$B17)*Inputs!$D$5:$D$200*(((Inputs!$G$5:$G$200="moeda")+(Inputs!$G$5:$G$200="acoes"))*Inputs!$B$1+((Inputs!$G$5:$G$200&lt;&gt;"moeda")*(Inputs!$G$5:$G$200&lt;&gt;"acoes")))*INDEX(Inputs!$K$5:$AJ$200,0,MATCH(X$2,Inputs!$K$4:$AJ$4,0)))+SUMPRODUCT((Inputs!$E$5:$E$200=$B17)*Inputs!$F$5:$F$200*(((Inputs!$G$5:$G$200="moeda")+(Inputs!$G$5:$G$200="acoes"))*Inputs!$B$1+((Inputs!$G$5:$G$200&lt;&gt;"moeda")*(Inputs!$G$5:$G$200&lt;&gt;"acoes")))*INDEX(Inputs!$K$5:$AJ$200,0,MATCH(X$2,Inputs!$K$4:$AJ$4,0)))))</f>
        <v>0</v>
      </c>
      <c r="Y17" s="6">
        <f>IF(ISNA(MATCH(Y$2,Inputs!$K$4:$AJ$4,0)),NA(),IF(SUMPRODUCT((Inputs!$A$5:$A$200=$B17)*ISNUMBER(INDEX(Inputs!$K$5:$AJ$200,0,MATCH(Y$2,Inputs!$K$4:$AJ$4,0))))+SUMPRODUCT((Inputs!$C$5:$C$200=$B17)*ISNUMBER(INDEX(Inputs!$K$5:$AJ$200,0,MATCH(Y$2,Inputs!$K$4:$AJ$4,0))))+SUMPRODUCT((Inputs!$E$5:$E$200=$B17)*ISNUMBER(INDEX(Inputs!$K$5:$AJ$200,0,MATCH(Y$2,Inputs!$K$4:$AJ$4,0))))=0,NA(),SUMPRODUCT((Inputs!$A$5:$A$200=$B17)*Inputs!$B$5:$B$200*(((Inputs!$G$5:$G$200="moeda")+(Inputs!$G$5:$G$200="acoes"))*Inputs!$B$1+((Inputs!$G$5:$G$200&lt;&gt;"moeda")*(Inputs!$G$5:$G$200&lt;&gt;"acoes")))*INDEX(Inputs!$K$5:$AJ$200,0,MATCH(Y$2,Inputs!$K$4:$AJ$4,0)))+SUMPRODUCT((Inputs!$C$5:$C$200=$B17)*Inputs!$D$5:$D$200*(((Inputs!$G$5:$G$200="moeda")+(Inputs!$G$5:$G$200="acoes"))*Inputs!$B$1+((Inputs!$G$5:$G$200&lt;&gt;"moeda")*(Inputs!$G$5:$G$200&lt;&gt;"acoes")))*INDEX(Inputs!$K$5:$AJ$200,0,MATCH(Y$2,Inputs!$K$4:$AJ$4,0)))+SUMPRODUCT((Inputs!$E$5:$E$200=$B17)*Inputs!$F$5:$F$200*(((Inputs!$G$5:$G$200="moeda")+(Inputs!$G$5:$G$200="acoes"))*Inputs!$B$1+((Inputs!$G$5:$G$200&lt;&gt;"moeda")*(Inputs!$G$5:$G$200&lt;&gt;"acoes")))*INDEX(Inputs!$K$5:$AJ$200,0,MATCH(Y$2,Inputs!$K$4:$AJ$4,0)))))</f>
        <v>0</v>
      </c>
      <c r="Z17" s="6">
        <f>IF(ISNA(MATCH(Z$2,Inputs!$K$4:$AJ$4,0)),NA(),IF(SUMPRODUCT((Inputs!$A$5:$A$200=$B17)*ISNUMBER(INDEX(Inputs!$K$5:$AJ$200,0,MATCH(Z$2,Inputs!$K$4:$AJ$4,0))))+SUMPRODUCT((Inputs!$C$5:$C$200=$B17)*ISNUMBER(INDEX(Inputs!$K$5:$AJ$200,0,MATCH(Z$2,Inputs!$K$4:$AJ$4,0))))+SUMPRODUCT((Inputs!$E$5:$E$200=$B17)*ISNUMBER(INDEX(Inputs!$K$5:$AJ$200,0,MATCH(Z$2,Inputs!$K$4:$AJ$4,0))))=0,NA(),SUMPRODUCT((Inputs!$A$5:$A$200=$B17)*Inputs!$B$5:$B$200*(((Inputs!$G$5:$G$200="moeda")+(Inputs!$G$5:$G$200="acoes"))*Inputs!$B$1+((Inputs!$G$5:$G$200&lt;&gt;"moeda")*(Inputs!$G$5:$G$200&lt;&gt;"acoes")))*INDEX(Inputs!$K$5:$AJ$200,0,MATCH(Z$2,Inputs!$K$4:$AJ$4,0)))+SUMPRODUCT((Inputs!$C$5:$C$200=$B17)*Inputs!$D$5:$D$200*(((Inputs!$G$5:$G$200="moeda")+(Inputs!$G$5:$G$200="acoes"))*Inputs!$B$1+((Inputs!$G$5:$G$200&lt;&gt;"moeda")*(Inputs!$G$5:$G$200&lt;&gt;"acoes")))*INDEX(Inputs!$K$5:$AJ$200,0,MATCH(Z$2,Inputs!$K$4:$AJ$4,0)))+SUMPRODUCT((Inputs!$E$5:$E$200=$B17)*Inputs!$F$5:$F$200*(((Inputs!$G$5:$G$200="moeda")+(Inputs!$G$5:$G$200="acoes"))*Inputs!$B$1+((Inputs!$G$5:$G$200&lt;&gt;"moeda")*(Inputs!$G$5:$G$200&lt;&gt;"acoes")))*INDEX(Inputs!$K$5:$AJ$200,0,MATCH(Z$2,Inputs!$K$4:$AJ$4,0)))))</f>
        <v>0</v>
      </c>
      <c r="AA17" s="6">
        <f>IF(ISNA(MATCH(AA$2,Inputs!$K$4:$AJ$4,0)),NA(),IF(SUMPRODUCT((Inputs!$A$5:$A$200=$B17)*ISNUMBER(INDEX(Inputs!$K$5:$AJ$200,0,MATCH(AA$2,Inputs!$K$4:$AJ$4,0))))+SUMPRODUCT((Inputs!$C$5:$C$200=$B17)*ISNUMBER(INDEX(Inputs!$K$5:$AJ$200,0,MATCH(AA$2,Inputs!$K$4:$AJ$4,0))))+SUMPRODUCT((Inputs!$E$5:$E$200=$B17)*ISNUMBER(INDEX(Inputs!$K$5:$AJ$200,0,MATCH(AA$2,Inputs!$K$4:$AJ$4,0))))=0,NA(),SUMPRODUCT((Inputs!$A$5:$A$200=$B17)*Inputs!$B$5:$B$200*(((Inputs!$G$5:$G$200="moeda")+(Inputs!$G$5:$G$200="acoes"))*Inputs!$B$1+((Inputs!$G$5:$G$200&lt;&gt;"moeda")*(Inputs!$G$5:$G$200&lt;&gt;"acoes")))*INDEX(Inputs!$K$5:$AJ$200,0,MATCH(AA$2,Inputs!$K$4:$AJ$4,0)))+SUMPRODUCT((Inputs!$C$5:$C$200=$B17)*Inputs!$D$5:$D$200*(((Inputs!$G$5:$G$200="moeda")+(Inputs!$G$5:$G$200="acoes"))*Inputs!$B$1+((Inputs!$G$5:$G$200&lt;&gt;"moeda")*(Inputs!$G$5:$G$200&lt;&gt;"acoes")))*INDEX(Inputs!$K$5:$AJ$200,0,MATCH(AA$2,Inputs!$K$4:$AJ$4,0)))+SUMPRODUCT((Inputs!$E$5:$E$200=$B17)*Inputs!$F$5:$F$200*(((Inputs!$G$5:$G$200="moeda")+(Inputs!$G$5:$G$200="acoes"))*Inputs!$B$1+((Inputs!$G$5:$G$200&lt;&gt;"moeda")*(Inputs!$G$5:$G$200&lt;&gt;"acoes")))*INDEX(Inputs!$K$5:$AJ$200,0,MATCH(AA$2,Inputs!$K$4:$AJ$4,0)))))</f>
        <v>0</v>
      </c>
      <c r="AB17" s="3">
        <f>AA17</f>
        <v>0</v>
      </c>
      <c r="AC17" s="6">
        <f>IF(ISNA(MATCH(AC$2,Inputs!$K$4:$AJ$4,0)),NA(),IF(SUMPRODUCT((Inputs!$A$5:$A$200=$B17)*ISNUMBER(INDEX(Inputs!$K$5:$AJ$200,0,MATCH(AC$2,Inputs!$K$4:$AJ$4,0))))+SUMPRODUCT((Inputs!$C$5:$C$200=$B17)*ISNUMBER(INDEX(Inputs!$K$5:$AJ$200,0,MATCH(AC$2,Inputs!$K$4:$AJ$4,0))))+SUMPRODUCT((Inputs!$E$5:$E$200=$B17)*ISNUMBER(INDEX(Inputs!$K$5:$AJ$200,0,MATCH(AC$2,Inputs!$K$4:$AJ$4,0))))=0,NA(),SUMPRODUCT((Inputs!$A$5:$A$200=$B17)*Inputs!$B$5:$B$200*(((Inputs!$G$5:$G$200="moeda")+(Inputs!$G$5:$G$200="acoes"))*Inputs!$B$1+((Inputs!$G$5:$G$200&lt;&gt;"moeda")*(Inputs!$G$5:$G$200&lt;&gt;"acoes")))*INDEX(Inputs!$K$5:$AJ$200,0,MATCH(AC$2,Inputs!$K$4:$AJ$4,0)))+SUMPRODUCT((Inputs!$C$5:$C$200=$B17)*Inputs!$D$5:$D$200*(((Inputs!$G$5:$G$200="moeda")+(Inputs!$G$5:$G$200="acoes"))*Inputs!$B$1+((Inputs!$G$5:$G$200&lt;&gt;"moeda")*(Inputs!$G$5:$G$200&lt;&gt;"acoes")))*INDEX(Inputs!$K$5:$AJ$200,0,MATCH(AC$2,Inputs!$K$4:$AJ$4,0)))+SUMPRODUCT((Inputs!$E$5:$E$200=$B17)*Inputs!$F$5:$F$200*(((Inputs!$G$5:$G$200="moeda")+(Inputs!$G$5:$G$200="acoes"))*Inputs!$B$1+((Inputs!$G$5:$G$200&lt;&gt;"moeda")*(Inputs!$G$5:$G$200&lt;&gt;"acoes")))*INDEX(Inputs!$K$5:$AJ$200,0,MATCH(AC$2,Inputs!$K$4:$AJ$4,0)))))</f>
        <v>0</v>
      </c>
      <c r="AD17" s="6">
        <f>IF(ISNA(MATCH(AD$2,Inputs!$K$4:$AJ$4,0)),NA(),IF(SUMPRODUCT((Inputs!$A$5:$A$200=$B17)*ISNUMBER(INDEX(Inputs!$K$5:$AJ$200,0,MATCH(AD$2,Inputs!$K$4:$AJ$4,0))))+SUMPRODUCT((Inputs!$C$5:$C$200=$B17)*ISNUMBER(INDEX(Inputs!$K$5:$AJ$200,0,MATCH(AD$2,Inputs!$K$4:$AJ$4,0))))+SUMPRODUCT((Inputs!$E$5:$E$200=$B17)*ISNUMBER(INDEX(Inputs!$K$5:$AJ$200,0,MATCH(AD$2,Inputs!$K$4:$AJ$4,0))))=0,NA(),SUMPRODUCT((Inputs!$A$5:$A$200=$B17)*Inputs!$B$5:$B$200*(((Inputs!$G$5:$G$200="moeda")+(Inputs!$G$5:$G$200="acoes"))*Inputs!$B$1+((Inputs!$G$5:$G$200&lt;&gt;"moeda")*(Inputs!$G$5:$G$200&lt;&gt;"acoes")))*INDEX(Inputs!$K$5:$AJ$200,0,MATCH(AD$2,Inputs!$K$4:$AJ$4,0)))+SUMPRODUCT((Inputs!$C$5:$C$200=$B17)*Inputs!$D$5:$D$200*(((Inputs!$G$5:$G$200="moeda")+(Inputs!$G$5:$G$200="acoes"))*Inputs!$B$1+((Inputs!$G$5:$G$200&lt;&gt;"moeda")*(Inputs!$G$5:$G$200&lt;&gt;"acoes")))*INDEX(Inputs!$K$5:$AJ$200,0,MATCH(AD$2,Inputs!$K$4:$AJ$4,0)))+SUMPRODUCT((Inputs!$E$5:$E$200=$B17)*Inputs!$F$5:$F$200*(((Inputs!$G$5:$G$200="moeda")+(Inputs!$G$5:$G$200="acoes"))*Inputs!$B$1+((Inputs!$G$5:$G$200&lt;&gt;"moeda")*(Inputs!$G$5:$G$200&lt;&gt;"acoes")))*INDEX(Inputs!$K$5:$AJ$200,0,MATCH(AD$2,Inputs!$K$4:$AJ$4,0)))))</f>
        <v>0</v>
      </c>
      <c r="AE17" s="6" t="e">
        <f>IF(ISNA(MATCH(AE$2,Inputs!$K$4:$AJ$4,0)),NA(),IF(SUMPRODUCT((Inputs!$A$5:$A$200=$B17)*ISNUMBER(INDEX(Inputs!$K$5:$AJ$200,0,MATCH(AE$2,Inputs!$K$4:$AJ$4,0))))+SUMPRODUCT((Inputs!$C$5:$C$200=$B17)*ISNUMBER(INDEX(Inputs!$K$5:$AJ$200,0,MATCH(AE$2,Inputs!$K$4:$AJ$4,0))))+SUMPRODUCT((Inputs!$E$5:$E$200=$B17)*ISNUMBER(INDEX(Inputs!$K$5:$AJ$200,0,MATCH(AE$2,Inputs!$K$4:$AJ$4,0))))=0,NA(),SUMPRODUCT((Inputs!$A$5:$A$200=$B17)*Inputs!$B$5:$B$200*(((Inputs!$G$5:$G$200="moeda")+(Inputs!$G$5:$G$200="acoes"))*Inputs!$B$1+((Inputs!$G$5:$G$200&lt;&gt;"moeda")*(Inputs!$G$5:$G$200&lt;&gt;"acoes")))*INDEX(Inputs!$K$5:$AJ$200,0,MATCH(AE$2,Inputs!$K$4:$AJ$4,0)))+SUMPRODUCT((Inputs!$C$5:$C$200=$B17)*Inputs!$D$5:$D$200*(((Inputs!$G$5:$G$200="moeda")+(Inputs!$G$5:$G$200="acoes"))*Inputs!$B$1+((Inputs!$G$5:$G$200&lt;&gt;"moeda")*(Inputs!$G$5:$G$200&lt;&gt;"acoes")))*INDEX(Inputs!$K$5:$AJ$200,0,MATCH(AE$2,Inputs!$K$4:$AJ$4,0)))+SUMPRODUCT((Inputs!$E$5:$E$200=$B17)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7" s="6" t="e">
        <f>IF(ISNA(MATCH(AF$2,Inputs!$K$4:$AJ$4,0)),NA(),IF(SUMPRODUCT((Inputs!$A$5:$A$200=$B17)*ISNUMBER(INDEX(Inputs!$K$5:$AJ$200,0,MATCH(AF$2,Inputs!$K$4:$AJ$4,0))))+SUMPRODUCT((Inputs!$C$5:$C$200=$B17)*ISNUMBER(INDEX(Inputs!$K$5:$AJ$200,0,MATCH(AF$2,Inputs!$K$4:$AJ$4,0))))+SUMPRODUCT((Inputs!$E$5:$E$200=$B17)*ISNUMBER(INDEX(Inputs!$K$5:$AJ$200,0,MATCH(AF$2,Inputs!$K$4:$AJ$4,0))))=0,NA(),SUMPRODUCT((Inputs!$A$5:$A$200=$B17)*Inputs!$B$5:$B$200*(((Inputs!$G$5:$G$200="moeda")+(Inputs!$G$5:$G$200="acoes"))*Inputs!$B$1+((Inputs!$G$5:$G$200&lt;&gt;"moeda")*(Inputs!$G$5:$G$200&lt;&gt;"acoes")))*INDEX(Inputs!$K$5:$AJ$200,0,MATCH(AF$2,Inputs!$K$4:$AJ$4,0)))+SUMPRODUCT((Inputs!$C$5:$C$200=$B17)*Inputs!$D$5:$D$200*(((Inputs!$G$5:$G$200="moeda")+(Inputs!$G$5:$G$200="acoes"))*Inputs!$B$1+((Inputs!$G$5:$G$200&lt;&gt;"moeda")*(Inputs!$G$5:$G$200&lt;&gt;"acoes")))*INDEX(Inputs!$K$5:$AJ$200,0,MATCH(AF$2,Inputs!$K$4:$AJ$4,0)))+SUMPRODUCT((Inputs!$E$5:$E$200=$B17)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7" s="3" t="e">
        <f>AF17</f>
        <v>#N/A</v>
      </c>
      <c r="AH17" s="6">
        <f>IF(ISNA(MATCH(AH$2,Inputs!$K$4:$AJ$4,0)),NA(),IF(SUMPRODUCT((Inputs!$A$5:$A$200=$B17)*ISNUMBER(INDEX(Inputs!$K$5:$AJ$200,0,MATCH(AH$2,Inputs!$K$4:$AJ$4,0))))+SUMPRODUCT((Inputs!$C$5:$C$200=$B17)*ISNUMBER(INDEX(Inputs!$K$5:$AJ$200,0,MATCH(AH$2,Inputs!$K$4:$AJ$4,0))))+SUMPRODUCT((Inputs!$E$5:$E$200=$B17)*ISNUMBER(INDEX(Inputs!$K$5:$AJ$200,0,MATCH(AH$2,Inputs!$K$4:$AJ$4,0))))=0,NA(),SUMPRODUCT((Inputs!$A$5:$A$200=$B17)*Inputs!$B$5:$B$200*(((Inputs!$G$5:$G$200="moeda")+(Inputs!$G$5:$G$200="acoes"))*Inputs!$B$1+((Inputs!$G$5:$G$200&lt;&gt;"moeda")*(Inputs!$G$5:$G$200&lt;&gt;"acoes")))*INDEX(Inputs!$K$5:$AJ$200,0,MATCH(AH$2,Inputs!$K$4:$AJ$4,0)))+SUMPRODUCT((Inputs!$C$5:$C$200=$B17)*Inputs!$D$5:$D$200*(((Inputs!$G$5:$G$200="moeda")+(Inputs!$G$5:$G$200="acoes"))*Inputs!$B$1+((Inputs!$G$5:$G$200&lt;&gt;"moeda")*(Inputs!$G$5:$G$200&lt;&gt;"acoes")))*INDEX(Inputs!$K$5:$AJ$200,0,MATCH(AH$2,Inputs!$K$4:$AJ$4,0)))+SUMPRODUCT((Inputs!$E$5:$E$200=$B17)*Inputs!$F$5:$F$200*(((Inputs!$G$5:$G$200="moeda")+(Inputs!$G$5:$G$200="acoes"))*Inputs!$B$1+((Inputs!$G$5:$G$200&lt;&gt;"moeda")*(Inputs!$G$5:$G$200&lt;&gt;"acoes")))*INDEX(Inputs!$K$5:$AJ$200,0,MATCH(AH$2,Inputs!$K$4:$AJ$4,0)))))</f>
        <v>0</v>
      </c>
      <c r="AI17" s="6">
        <f>IF(ISNA(MATCH(AI$2,Inputs!$K$4:$AJ$4,0)),NA(),IF(SUMPRODUCT((Inputs!$A$5:$A$200=$B17)*ISNUMBER(INDEX(Inputs!$K$5:$AJ$200,0,MATCH(AI$2,Inputs!$K$4:$AJ$4,0))))+SUMPRODUCT((Inputs!$C$5:$C$200=$B17)*ISNUMBER(INDEX(Inputs!$K$5:$AJ$200,0,MATCH(AI$2,Inputs!$K$4:$AJ$4,0))))+SUMPRODUCT((Inputs!$E$5:$E$200=$B17)*ISNUMBER(INDEX(Inputs!$K$5:$AJ$200,0,MATCH(AI$2,Inputs!$K$4:$AJ$4,0))))=0,NA(),SUMPRODUCT((Inputs!$A$5:$A$200=$B17)*Inputs!$B$5:$B$200*(((Inputs!$G$5:$G$200="moeda")+(Inputs!$G$5:$G$200="acoes"))*Inputs!$B$1+((Inputs!$G$5:$G$200&lt;&gt;"moeda")*(Inputs!$G$5:$G$200&lt;&gt;"acoes")))*INDEX(Inputs!$K$5:$AJ$200,0,MATCH(AI$2,Inputs!$K$4:$AJ$4,0)))+SUMPRODUCT((Inputs!$C$5:$C$200=$B17)*Inputs!$D$5:$D$200*(((Inputs!$G$5:$G$200="moeda")+(Inputs!$G$5:$G$200="acoes"))*Inputs!$B$1+((Inputs!$G$5:$G$200&lt;&gt;"moeda")*(Inputs!$G$5:$G$200&lt;&gt;"acoes")))*INDEX(Inputs!$K$5:$AJ$200,0,MATCH(AI$2,Inputs!$K$4:$AJ$4,0)))+SUMPRODUCT((Inputs!$E$5:$E$200=$B17)*Inputs!$F$5:$F$200*(((Inputs!$G$5:$G$200="moeda")+(Inputs!$G$5:$G$200="acoes"))*Inputs!$B$1+((Inputs!$G$5:$G$200&lt;&gt;"moeda")*(Inputs!$G$5:$G$200&lt;&gt;"acoes")))*INDEX(Inputs!$K$5:$AJ$200,0,MATCH(AI$2,Inputs!$K$4:$AJ$4,0)))))</f>
        <v>0</v>
      </c>
      <c r="AJ17" s="6">
        <f>IF(ISNA(MATCH(AJ$2,Inputs!$K$4:$AJ$4,0)),NA(),IF(SUMPRODUCT((Inputs!$A$5:$A$200=$B17)*ISNUMBER(INDEX(Inputs!$K$5:$AJ$200,0,MATCH(AJ$2,Inputs!$K$4:$AJ$4,0))))+SUMPRODUCT((Inputs!$C$5:$C$200=$B17)*ISNUMBER(INDEX(Inputs!$K$5:$AJ$200,0,MATCH(AJ$2,Inputs!$K$4:$AJ$4,0))))+SUMPRODUCT((Inputs!$E$5:$E$200=$B17)*ISNUMBER(INDEX(Inputs!$K$5:$AJ$200,0,MATCH(AJ$2,Inputs!$K$4:$AJ$4,0))))=0,NA(),SUMPRODUCT((Inputs!$A$5:$A$200=$B17)*Inputs!$B$5:$B$200*(((Inputs!$G$5:$G$200="moeda")+(Inputs!$G$5:$G$200="acoes"))*Inputs!$B$1+((Inputs!$G$5:$G$200&lt;&gt;"moeda")*(Inputs!$G$5:$G$200&lt;&gt;"acoes")))*INDEX(Inputs!$K$5:$AJ$200,0,MATCH(AJ$2,Inputs!$K$4:$AJ$4,0)))+SUMPRODUCT((Inputs!$C$5:$C$200=$B17)*Inputs!$D$5:$D$200*(((Inputs!$G$5:$G$200="moeda")+(Inputs!$G$5:$G$200="acoes"))*Inputs!$B$1+((Inputs!$G$5:$G$200&lt;&gt;"moeda")*(Inputs!$G$5:$G$200&lt;&gt;"acoes")))*INDEX(Inputs!$K$5:$AJ$200,0,MATCH(AJ$2,Inputs!$K$4:$AJ$4,0)))+SUMPRODUCT((Inputs!$E$5:$E$200=$B17)*Inputs!$F$5:$F$200*(((Inputs!$G$5:$G$200="moeda")+(Inputs!$G$5:$G$200="acoes"))*Inputs!$B$1+((Inputs!$G$5:$G$200&lt;&gt;"moeda")*(Inputs!$G$5:$G$200&lt;&gt;"acoes")))*INDEX(Inputs!$K$5:$AJ$200,0,MATCH(AJ$2,Inputs!$K$4:$AJ$4,0)))))</f>
        <v>0</v>
      </c>
      <c r="AK17" s="6">
        <f>IF(ISNA(MATCH(AK$2,Inputs!$K$4:$AJ$4,0)),NA(),IF(SUMPRODUCT((Inputs!$A$5:$A$200=$B17)*ISNUMBER(INDEX(Inputs!$K$5:$AJ$200,0,MATCH(AK$2,Inputs!$K$4:$AJ$4,0))))+SUMPRODUCT((Inputs!$C$5:$C$200=$B17)*ISNUMBER(INDEX(Inputs!$K$5:$AJ$200,0,MATCH(AK$2,Inputs!$K$4:$AJ$4,0))))+SUMPRODUCT((Inputs!$E$5:$E$200=$B17)*ISNUMBER(INDEX(Inputs!$K$5:$AJ$200,0,MATCH(AK$2,Inputs!$K$4:$AJ$4,0))))=0,NA(),SUMPRODUCT((Inputs!$A$5:$A$200=$B17)*Inputs!$B$5:$B$200*(((Inputs!$G$5:$G$200="moeda")+(Inputs!$G$5:$G$200="acoes"))*Inputs!$B$1+((Inputs!$G$5:$G$200&lt;&gt;"moeda")*(Inputs!$G$5:$G$200&lt;&gt;"acoes")))*INDEX(Inputs!$K$5:$AJ$200,0,MATCH(AK$2,Inputs!$K$4:$AJ$4,0)))+SUMPRODUCT((Inputs!$C$5:$C$200=$B17)*Inputs!$D$5:$D$200*(((Inputs!$G$5:$G$200="moeda")+(Inputs!$G$5:$G$200="acoes"))*Inputs!$B$1+((Inputs!$G$5:$G$200&lt;&gt;"moeda")*(Inputs!$G$5:$G$200&lt;&gt;"acoes")))*INDEX(Inputs!$K$5:$AJ$200,0,MATCH(AK$2,Inputs!$K$4:$AJ$4,0)))+SUMPRODUCT((Inputs!$E$5:$E$200=$B17)*Inputs!$F$5:$F$200*(((Inputs!$G$5:$G$200="moeda")+(Inputs!$G$5:$G$200="acoes"))*Inputs!$B$1+((Inputs!$G$5:$G$200&lt;&gt;"moeda")*(Inputs!$G$5:$G$200&lt;&gt;"acoes")))*INDEX(Inputs!$K$5:$AJ$200,0,MATCH(AK$2,Inputs!$K$4:$AJ$4,0)))))</f>
        <v>0</v>
      </c>
      <c r="AL17" s="3">
        <f>AK17</f>
        <v>0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$200=$B18)*ISNUMBER(INDEX(Inputs!$K$5:$AJ$200,0,MATCH(D$2,Inputs!$K$4:$AJ$4,0))))+SUMPRODUCT((Inputs!$C$5:$C$200=$B18)*ISNUMBER(INDEX(Inputs!$K$5:$AJ$200,0,MATCH(D$2,Inputs!$K$4:$AJ$4,0))))+SUMPRODUCT((Inputs!$E$5:$E$200=$B18)*ISNUMBER(INDEX(Inputs!$K$5:$AJ$200,0,MATCH(D$2,Inputs!$K$4:$AJ$4,0))))=0,NA(),SUMPRODUCT((Inputs!$A$5:$A$200=$B18)*Inputs!$B$5:$B$200*(((Inputs!$G$5:$G$200="moeda")+(Inputs!$G$5:$G$200="acoes"))*Inputs!$B$1+((Inputs!$G$5:$G$200&lt;&gt;"moeda")*(Inputs!$G$5:$G$200&lt;&gt;"acoes")))*INDEX(Inputs!$K$5:$AJ$200,0,MATCH(D$2,Inputs!$K$4:$AJ$4,0)))+SUMPRODUCT((Inputs!$C$5:$C$200=$B18)*Inputs!$D$5:$D$200*(((Inputs!$G$5:$G$200="moeda")+(Inputs!$G$5:$G$200="acoes"))*Inputs!$B$1+((Inputs!$G$5:$G$200&lt;&gt;"moeda")*(Inputs!$G$5:$G$200&lt;&gt;"acoes")))*INDEX(Inputs!$K$5:$AJ$200,0,MATCH(D$2,Inputs!$K$4:$AJ$4,0)))+SUMPRODUCT((Inputs!$E$5:$E$200=$B18)*Inputs!$F$5:$F$200*(((Inputs!$G$5:$G$200="moeda")+(Inputs!$G$5:$G$200="acoes"))*Inputs!$B$1+((Inputs!$G$5:$G$200&lt;&gt;"moeda")*(Inputs!$G$5:$G$200&lt;&gt;"acoes")))*INDEX(Inputs!$K$5:$AJ$200,0,MATCH(D$2,Inputs!$K$4:$AJ$4,0)))))</f>
        <v>77.555</v>
      </c>
      <c r="E18" s="6">
        <f>IF(ISNA(MATCH(E$2,Inputs!$K$4:$AJ$4,0)),NA(),IF(SUMPRODUCT((Inputs!$A$5:$A$200=$B18)*ISNUMBER(INDEX(Inputs!$K$5:$AJ$200,0,MATCH(E$2,Inputs!$K$4:$AJ$4,0))))+SUMPRODUCT((Inputs!$C$5:$C$200=$B18)*ISNUMBER(INDEX(Inputs!$K$5:$AJ$200,0,MATCH(E$2,Inputs!$K$4:$AJ$4,0))))+SUMPRODUCT((Inputs!$E$5:$E$200=$B18)*ISNUMBER(INDEX(Inputs!$K$5:$AJ$200,0,MATCH(E$2,Inputs!$K$4:$AJ$4,0))))=0,NA(),SUMPRODUCT((Inputs!$A$5:$A$200=$B18)*Inputs!$B$5:$B$200*(((Inputs!$G$5:$G$200="moeda")+(Inputs!$G$5:$G$200="acoes"))*Inputs!$B$1+((Inputs!$G$5:$G$200&lt;&gt;"moeda")*(Inputs!$G$5:$G$200&lt;&gt;"acoes")))*INDEX(Inputs!$K$5:$AJ$200,0,MATCH(E$2,Inputs!$K$4:$AJ$4,0)))+SUMPRODUCT((Inputs!$C$5:$C$200=$B18)*Inputs!$D$5:$D$200*(((Inputs!$G$5:$G$200="moeda")+(Inputs!$G$5:$G$200="acoes"))*Inputs!$B$1+((Inputs!$G$5:$G$200&lt;&gt;"moeda")*(Inputs!$G$5:$G$200&lt;&gt;"acoes")))*INDEX(Inputs!$K$5:$AJ$200,0,MATCH(E$2,Inputs!$K$4:$AJ$4,0)))+SUMPRODUCT((Inputs!$E$5:$E$200=$B18)*Inputs!$F$5:$F$200*(((Inputs!$G$5:$G$200="moeda")+(Inputs!$G$5:$G$200="acoes"))*Inputs!$B$1+((Inputs!$G$5:$G$200&lt;&gt;"moeda")*(Inputs!$G$5:$G$200&lt;&gt;"acoes")))*INDEX(Inputs!$K$5:$AJ$200,0,MATCH(E$2,Inputs!$K$4:$AJ$4,0)))))</f>
        <v>77.455</v>
      </c>
      <c r="F18" s="6">
        <f>IF(ISNA(MATCH(F$2,Inputs!$K$4:$AJ$4,0)),NA(),IF(SUMPRODUCT((Inputs!$A$5:$A$200=$B18)*ISNUMBER(INDEX(Inputs!$K$5:$AJ$200,0,MATCH(F$2,Inputs!$K$4:$AJ$4,0))))+SUMPRODUCT((Inputs!$C$5:$C$200=$B18)*ISNUMBER(INDEX(Inputs!$K$5:$AJ$200,0,MATCH(F$2,Inputs!$K$4:$AJ$4,0))))+SUMPRODUCT((Inputs!$E$5:$E$200=$B18)*ISNUMBER(INDEX(Inputs!$K$5:$AJ$200,0,MATCH(F$2,Inputs!$K$4:$AJ$4,0))))=0,NA(),SUMPRODUCT((Inputs!$A$5:$A$200=$B18)*Inputs!$B$5:$B$200*(((Inputs!$G$5:$G$200="moeda")+(Inputs!$G$5:$G$200="acoes"))*Inputs!$B$1+((Inputs!$G$5:$G$200&lt;&gt;"moeda")*(Inputs!$G$5:$G$200&lt;&gt;"acoes")))*INDEX(Inputs!$K$5:$AJ$200,0,MATCH(F$2,Inputs!$K$4:$AJ$4,0)))+SUMPRODUCT((Inputs!$C$5:$C$200=$B18)*Inputs!$D$5:$D$200*(((Inputs!$G$5:$G$200="moeda")+(Inputs!$G$5:$G$200="acoes"))*Inputs!$B$1+((Inputs!$G$5:$G$200&lt;&gt;"moeda")*(Inputs!$G$5:$G$200&lt;&gt;"acoes")))*INDEX(Inputs!$K$5:$AJ$200,0,MATCH(F$2,Inputs!$K$4:$AJ$4,0)))+SUMPRODUCT((Inputs!$E$5:$E$200=$B18)*Inputs!$F$5:$F$200*(((Inputs!$G$5:$G$200="moeda")+(Inputs!$G$5:$G$200="acoes"))*Inputs!$B$1+((Inputs!$G$5:$G$200&lt;&gt;"moeda")*(Inputs!$G$5:$G$200&lt;&gt;"acoes")))*INDEX(Inputs!$K$5:$AJ$200,0,MATCH(F$2,Inputs!$K$4:$AJ$4,0)))))</f>
        <v>79.154</v>
      </c>
      <c r="G18" s="6">
        <f>IF(ISNA(MATCH(G$2,Inputs!$K$4:$AJ$4,0)),NA(),IF(SUMPRODUCT((Inputs!$A$5:$A$200=$B18)*ISNUMBER(INDEX(Inputs!$K$5:$AJ$200,0,MATCH(G$2,Inputs!$K$4:$AJ$4,0))))+SUMPRODUCT((Inputs!$C$5:$C$200=$B18)*ISNUMBER(INDEX(Inputs!$K$5:$AJ$200,0,MATCH(G$2,Inputs!$K$4:$AJ$4,0))))+SUMPRODUCT((Inputs!$E$5:$E$200=$B18)*ISNUMBER(INDEX(Inputs!$K$5:$AJ$200,0,MATCH(G$2,Inputs!$K$4:$AJ$4,0))))=0,NA(),SUMPRODUCT((Inputs!$A$5:$A$200=$B18)*Inputs!$B$5:$B$200*(((Inputs!$G$5:$G$200="moeda")+(Inputs!$G$5:$G$200="acoes"))*Inputs!$B$1+((Inputs!$G$5:$G$200&lt;&gt;"moeda")*(Inputs!$G$5:$G$200&lt;&gt;"acoes")))*INDEX(Inputs!$K$5:$AJ$200,0,MATCH(G$2,Inputs!$K$4:$AJ$4,0)))+SUMPRODUCT((Inputs!$C$5:$C$200=$B18)*Inputs!$D$5:$D$200*(((Inputs!$G$5:$G$200="moeda")+(Inputs!$G$5:$G$200="acoes"))*Inputs!$B$1+((Inputs!$G$5:$G$200&lt;&gt;"moeda")*(Inputs!$G$5:$G$200&lt;&gt;"acoes")))*INDEX(Inputs!$K$5:$AJ$200,0,MATCH(G$2,Inputs!$K$4:$AJ$4,0)))+SUMPRODUCT((Inputs!$E$5:$E$200=$B18)*Inputs!$F$5:$F$200*(((Inputs!$G$5:$G$200="moeda")+(Inputs!$G$5:$G$200="acoes"))*Inputs!$B$1+((Inputs!$G$5:$G$200&lt;&gt;"moeda")*(Inputs!$G$5:$G$200&lt;&gt;"acoes")))*INDEX(Inputs!$K$5:$AJ$200,0,MATCH(G$2,Inputs!$K$4:$AJ$4,0)))))</f>
        <v>69.563</v>
      </c>
      <c r="H18" s="3">
        <f>G18</f>
        <v>69.563</v>
      </c>
      <c r="I18" s="6">
        <f>IF(ISNA(MATCH(I$2,Inputs!$K$4:$AJ$4,0)),NA(),IF(SUMPRODUCT((Inputs!$A$5:$A$200=$B18)*ISNUMBER(INDEX(Inputs!$K$5:$AJ$200,0,MATCH(I$2,Inputs!$K$4:$AJ$4,0))))+SUMPRODUCT((Inputs!$C$5:$C$200=$B18)*ISNUMBER(INDEX(Inputs!$K$5:$AJ$200,0,MATCH(I$2,Inputs!$K$4:$AJ$4,0))))+SUMPRODUCT((Inputs!$E$5:$E$200=$B18)*ISNUMBER(INDEX(Inputs!$K$5:$AJ$200,0,MATCH(I$2,Inputs!$K$4:$AJ$4,0))))=0,NA(),SUMPRODUCT((Inputs!$A$5:$A$200=$B18)*Inputs!$B$5:$B$200*(((Inputs!$G$5:$G$200="moeda")+(Inputs!$G$5:$G$200="acoes"))*Inputs!$B$1+((Inputs!$G$5:$G$200&lt;&gt;"moeda")*(Inputs!$G$5:$G$200&lt;&gt;"acoes")))*INDEX(Inputs!$K$5:$AJ$200,0,MATCH(I$2,Inputs!$K$4:$AJ$4,0)))+SUMPRODUCT((Inputs!$C$5:$C$200=$B18)*Inputs!$D$5:$D$200*(((Inputs!$G$5:$G$200="moeda")+(Inputs!$G$5:$G$200="acoes"))*Inputs!$B$1+((Inputs!$G$5:$G$200&lt;&gt;"moeda")*(Inputs!$G$5:$G$200&lt;&gt;"acoes")))*INDEX(Inputs!$K$5:$AJ$200,0,MATCH(I$2,Inputs!$K$4:$AJ$4,0)))+SUMPRODUCT((Inputs!$E$5:$E$200=$B18)*Inputs!$F$5:$F$200*(((Inputs!$G$5:$G$200="moeda")+(Inputs!$G$5:$G$200="acoes"))*Inputs!$B$1+((Inputs!$G$5:$G$200&lt;&gt;"moeda")*(Inputs!$G$5:$G$200&lt;&gt;"acoes")))*INDEX(Inputs!$K$5:$AJ$200,0,MATCH(I$2,Inputs!$K$4:$AJ$4,0)))))</f>
        <v>69.511</v>
      </c>
      <c r="J18" s="6">
        <f>IF(ISNA(MATCH(J$2,Inputs!$K$4:$AJ$4,0)),NA(),IF(SUMPRODUCT((Inputs!$A$5:$A$200=$B18)*ISNUMBER(INDEX(Inputs!$K$5:$AJ$200,0,MATCH(J$2,Inputs!$K$4:$AJ$4,0))))+SUMPRODUCT((Inputs!$C$5:$C$200=$B18)*ISNUMBER(INDEX(Inputs!$K$5:$AJ$200,0,MATCH(J$2,Inputs!$K$4:$AJ$4,0))))+SUMPRODUCT((Inputs!$E$5:$E$200=$B18)*ISNUMBER(INDEX(Inputs!$K$5:$AJ$200,0,MATCH(J$2,Inputs!$K$4:$AJ$4,0))))=0,NA(),SUMPRODUCT((Inputs!$A$5:$A$200=$B18)*Inputs!$B$5:$B$200*(((Inputs!$G$5:$G$200="moeda")+(Inputs!$G$5:$G$200="acoes"))*Inputs!$B$1+((Inputs!$G$5:$G$200&lt;&gt;"moeda")*(Inputs!$G$5:$G$200&lt;&gt;"acoes")))*INDEX(Inputs!$K$5:$AJ$200,0,MATCH(J$2,Inputs!$K$4:$AJ$4,0)))+SUMPRODUCT((Inputs!$C$5:$C$200=$B18)*Inputs!$D$5:$D$200*(((Inputs!$G$5:$G$200="moeda")+(Inputs!$G$5:$G$200="acoes"))*Inputs!$B$1+((Inputs!$G$5:$G$200&lt;&gt;"moeda")*(Inputs!$G$5:$G$200&lt;&gt;"acoes")))*INDEX(Inputs!$K$5:$AJ$200,0,MATCH(J$2,Inputs!$K$4:$AJ$4,0)))+SUMPRODUCT((Inputs!$E$5:$E$200=$B18)*Inputs!$F$5:$F$200*(((Inputs!$G$5:$G$200="moeda")+(Inputs!$G$5:$G$200="acoes"))*Inputs!$B$1+((Inputs!$G$5:$G$200&lt;&gt;"moeda")*(Inputs!$G$5:$G$200&lt;&gt;"acoes")))*INDEX(Inputs!$K$5:$AJ$200,0,MATCH(J$2,Inputs!$K$4:$AJ$4,0)))))</f>
        <v>62.675</v>
      </c>
      <c r="K18" s="6">
        <f>IF(ISNA(MATCH(K$2,Inputs!$K$4:$AJ$4,0)),NA(),IF(SUMPRODUCT((Inputs!$A$5:$A$200=$B18)*ISNUMBER(INDEX(Inputs!$K$5:$AJ$200,0,MATCH(K$2,Inputs!$K$4:$AJ$4,0))))+SUMPRODUCT((Inputs!$C$5:$C$200=$B18)*ISNUMBER(INDEX(Inputs!$K$5:$AJ$200,0,MATCH(K$2,Inputs!$K$4:$AJ$4,0))))+SUMPRODUCT((Inputs!$E$5:$E$200=$B18)*ISNUMBER(INDEX(Inputs!$K$5:$AJ$200,0,MATCH(K$2,Inputs!$K$4:$AJ$4,0))))=0,NA(),SUMPRODUCT((Inputs!$A$5:$A$200=$B18)*Inputs!$B$5:$B$200*(((Inputs!$G$5:$G$200="moeda")+(Inputs!$G$5:$G$200="acoes"))*Inputs!$B$1+((Inputs!$G$5:$G$200&lt;&gt;"moeda")*(Inputs!$G$5:$G$200&lt;&gt;"acoes")))*INDEX(Inputs!$K$5:$AJ$200,0,MATCH(K$2,Inputs!$K$4:$AJ$4,0)))+SUMPRODUCT((Inputs!$C$5:$C$200=$B18)*Inputs!$D$5:$D$200*(((Inputs!$G$5:$G$200="moeda")+(Inputs!$G$5:$G$200="acoes"))*Inputs!$B$1+((Inputs!$G$5:$G$200&lt;&gt;"moeda")*(Inputs!$G$5:$G$200&lt;&gt;"acoes")))*INDEX(Inputs!$K$5:$AJ$200,0,MATCH(K$2,Inputs!$K$4:$AJ$4,0)))+SUMPRODUCT((Inputs!$E$5:$E$200=$B18)*Inputs!$F$5:$F$200*(((Inputs!$G$5:$G$200="moeda")+(Inputs!$G$5:$G$200="acoes"))*Inputs!$B$1+((Inputs!$G$5:$G$200&lt;&gt;"moeda")*(Inputs!$G$5:$G$200&lt;&gt;"acoes")))*INDEX(Inputs!$K$5:$AJ$200,0,MATCH(K$2,Inputs!$K$4:$AJ$4,0)))))</f>
        <v>60.56</v>
      </c>
      <c r="L18" s="6">
        <f>IF(ISNA(MATCH(L$2,Inputs!$K$4:$AJ$4,0)),NA(),IF(SUMPRODUCT((Inputs!$A$5:$A$200=$B18)*ISNUMBER(INDEX(Inputs!$K$5:$AJ$200,0,MATCH(L$2,Inputs!$K$4:$AJ$4,0))))+SUMPRODUCT((Inputs!$C$5:$C$200=$B18)*ISNUMBER(INDEX(Inputs!$K$5:$AJ$200,0,MATCH(L$2,Inputs!$K$4:$AJ$4,0))))+SUMPRODUCT((Inputs!$E$5:$E$200=$B18)*ISNUMBER(INDEX(Inputs!$K$5:$AJ$200,0,MATCH(L$2,Inputs!$K$4:$AJ$4,0))))=0,NA(),SUMPRODUCT((Inputs!$A$5:$A$200=$B18)*Inputs!$B$5:$B$200*(((Inputs!$G$5:$G$200="moeda")+(Inputs!$G$5:$G$200="acoes"))*Inputs!$B$1+((Inputs!$G$5:$G$200&lt;&gt;"moeda")*(Inputs!$G$5:$G$200&lt;&gt;"acoes")))*INDEX(Inputs!$K$5:$AJ$200,0,MATCH(L$2,Inputs!$K$4:$AJ$4,0)))+SUMPRODUCT((Inputs!$C$5:$C$200=$B18)*Inputs!$D$5:$D$200*(((Inputs!$G$5:$G$200="moeda")+(Inputs!$G$5:$G$200="acoes"))*Inputs!$B$1+((Inputs!$G$5:$G$200&lt;&gt;"moeda")*(Inputs!$G$5:$G$200&lt;&gt;"acoes")))*INDEX(Inputs!$K$5:$AJ$200,0,MATCH(L$2,Inputs!$K$4:$AJ$4,0)))+SUMPRODUCT((Inputs!$E$5:$E$200=$B18)*Inputs!$F$5:$F$200*(((Inputs!$G$5:$G$200="moeda")+(Inputs!$G$5:$G$200="acoes"))*Inputs!$B$1+((Inputs!$G$5:$G$200&lt;&gt;"moeda")*(Inputs!$G$5:$G$200&lt;&gt;"acoes")))*INDEX(Inputs!$K$5:$AJ$200,0,MATCH(L$2,Inputs!$K$4:$AJ$4,0)))))</f>
        <v>53.09</v>
      </c>
      <c r="M18" s="3">
        <f>L18</f>
        <v>53.09</v>
      </c>
      <c r="N18" s="6">
        <f>IF(ISNA(MATCH(N$2,Inputs!$K$4:$AJ$4,0)),NA(),IF(SUMPRODUCT((Inputs!$A$5:$A$200=$B18)*ISNUMBER(INDEX(Inputs!$K$5:$AJ$200,0,MATCH(N$2,Inputs!$K$4:$AJ$4,0))))+SUMPRODUCT((Inputs!$C$5:$C$200=$B18)*ISNUMBER(INDEX(Inputs!$K$5:$AJ$200,0,MATCH(N$2,Inputs!$K$4:$AJ$4,0))))+SUMPRODUCT((Inputs!$E$5:$E$200=$B18)*ISNUMBER(INDEX(Inputs!$K$5:$AJ$200,0,MATCH(N$2,Inputs!$K$4:$AJ$4,0))))=0,NA(),SUMPRODUCT((Inputs!$A$5:$A$200=$B18)*Inputs!$B$5:$B$200*(((Inputs!$G$5:$G$200="moeda")+(Inputs!$G$5:$G$200="acoes"))*Inputs!$B$1+((Inputs!$G$5:$G$200&lt;&gt;"moeda")*(Inputs!$G$5:$G$200&lt;&gt;"acoes")))*INDEX(Inputs!$K$5:$AJ$200,0,MATCH(N$2,Inputs!$K$4:$AJ$4,0)))+SUMPRODUCT((Inputs!$C$5:$C$200=$B18)*Inputs!$D$5:$D$200*(((Inputs!$G$5:$G$200="moeda")+(Inputs!$G$5:$G$200="acoes"))*Inputs!$B$1+((Inputs!$G$5:$G$200&lt;&gt;"moeda")*(Inputs!$G$5:$G$200&lt;&gt;"acoes")))*INDEX(Inputs!$K$5:$AJ$200,0,MATCH(N$2,Inputs!$K$4:$AJ$4,0)))+SUMPRODUCT((Inputs!$E$5:$E$200=$B18)*Inputs!$F$5:$F$200*(((Inputs!$G$5:$G$200="moeda")+(Inputs!$G$5:$G$200="acoes"))*Inputs!$B$1+((Inputs!$G$5:$G$200&lt;&gt;"moeda")*(Inputs!$G$5:$G$200&lt;&gt;"acoes")))*INDEX(Inputs!$K$5:$AJ$200,0,MATCH(N$2,Inputs!$K$4:$AJ$4,0)))))</f>
        <v>62.972</v>
      </c>
      <c r="O18" s="6">
        <f>IF(ISNA(MATCH(O$2,Inputs!$K$4:$AJ$4,0)),NA(),IF(SUMPRODUCT((Inputs!$A$5:$A$200=$B18)*ISNUMBER(INDEX(Inputs!$K$5:$AJ$200,0,MATCH(O$2,Inputs!$K$4:$AJ$4,0))))+SUMPRODUCT((Inputs!$C$5:$C$200=$B18)*ISNUMBER(INDEX(Inputs!$K$5:$AJ$200,0,MATCH(O$2,Inputs!$K$4:$AJ$4,0))))+SUMPRODUCT((Inputs!$E$5:$E$200=$B18)*ISNUMBER(INDEX(Inputs!$K$5:$AJ$200,0,MATCH(O$2,Inputs!$K$4:$AJ$4,0))))=0,NA(),SUMPRODUCT((Inputs!$A$5:$A$200=$B18)*Inputs!$B$5:$B$200*(((Inputs!$G$5:$G$200="moeda")+(Inputs!$G$5:$G$200="acoes"))*Inputs!$B$1+((Inputs!$G$5:$G$200&lt;&gt;"moeda")*(Inputs!$G$5:$G$200&lt;&gt;"acoes")))*INDEX(Inputs!$K$5:$AJ$200,0,MATCH(O$2,Inputs!$K$4:$AJ$4,0)))+SUMPRODUCT((Inputs!$C$5:$C$200=$B18)*Inputs!$D$5:$D$200*(((Inputs!$G$5:$G$200="moeda")+(Inputs!$G$5:$G$200="acoes"))*Inputs!$B$1+((Inputs!$G$5:$G$200&lt;&gt;"moeda")*(Inputs!$G$5:$G$200&lt;&gt;"acoes")))*INDEX(Inputs!$K$5:$AJ$200,0,MATCH(O$2,Inputs!$K$4:$AJ$4,0)))+SUMPRODUCT((Inputs!$E$5:$E$200=$B18)*Inputs!$F$5:$F$200*(((Inputs!$G$5:$G$200="moeda")+(Inputs!$G$5:$G$200="acoes"))*Inputs!$B$1+((Inputs!$G$5:$G$200&lt;&gt;"moeda")*(Inputs!$G$5:$G$200&lt;&gt;"acoes")))*INDEX(Inputs!$K$5:$AJ$200,0,MATCH(O$2,Inputs!$K$4:$AJ$4,0)))))</f>
        <v>63.54</v>
      </c>
      <c r="P18" s="6">
        <f>IF(ISNA(MATCH(P$2,Inputs!$K$4:$AJ$4,0)),NA(),IF(SUMPRODUCT((Inputs!$A$5:$A$200=$B18)*ISNUMBER(INDEX(Inputs!$K$5:$AJ$200,0,MATCH(P$2,Inputs!$K$4:$AJ$4,0))))+SUMPRODUCT((Inputs!$C$5:$C$200=$B18)*ISNUMBER(INDEX(Inputs!$K$5:$AJ$200,0,MATCH(P$2,Inputs!$K$4:$AJ$4,0))))+SUMPRODUCT((Inputs!$E$5:$E$200=$B18)*ISNUMBER(INDEX(Inputs!$K$5:$AJ$200,0,MATCH(P$2,Inputs!$K$4:$AJ$4,0))))=0,NA(),SUMPRODUCT((Inputs!$A$5:$A$200=$B18)*Inputs!$B$5:$B$200*(((Inputs!$G$5:$G$200="moeda")+(Inputs!$G$5:$G$200="acoes"))*Inputs!$B$1+((Inputs!$G$5:$G$200&lt;&gt;"moeda")*(Inputs!$G$5:$G$200&lt;&gt;"acoes")))*INDEX(Inputs!$K$5:$AJ$200,0,MATCH(P$2,Inputs!$K$4:$AJ$4,0)))+SUMPRODUCT((Inputs!$C$5:$C$200=$B18)*Inputs!$D$5:$D$200*(((Inputs!$G$5:$G$200="moeda")+(Inputs!$G$5:$G$200="acoes"))*Inputs!$B$1+((Inputs!$G$5:$G$200&lt;&gt;"moeda")*(Inputs!$G$5:$G$200&lt;&gt;"acoes")))*INDEX(Inputs!$K$5:$AJ$200,0,MATCH(P$2,Inputs!$K$4:$AJ$4,0)))+SUMPRODUCT((Inputs!$E$5:$E$200=$B18)*Inputs!$F$5:$F$200*(((Inputs!$G$5:$G$200="moeda")+(Inputs!$G$5:$G$200="acoes"))*Inputs!$B$1+((Inputs!$G$5:$G$200&lt;&gt;"moeda")*(Inputs!$G$5:$G$200&lt;&gt;"acoes")))*INDEX(Inputs!$K$5:$AJ$200,0,MATCH(P$2,Inputs!$K$4:$AJ$4,0)))))</f>
        <v>64.128</v>
      </c>
      <c r="Q18" s="6">
        <f>IF(ISNA(MATCH(Q$2,Inputs!$K$4:$AJ$4,0)),NA(),IF(SUMPRODUCT((Inputs!$A$5:$A$200=$B18)*ISNUMBER(INDEX(Inputs!$K$5:$AJ$200,0,MATCH(Q$2,Inputs!$K$4:$AJ$4,0))))+SUMPRODUCT((Inputs!$C$5:$C$200=$B18)*ISNUMBER(INDEX(Inputs!$K$5:$AJ$200,0,MATCH(Q$2,Inputs!$K$4:$AJ$4,0))))+SUMPRODUCT((Inputs!$E$5:$E$200=$B18)*ISNUMBER(INDEX(Inputs!$K$5:$AJ$200,0,MATCH(Q$2,Inputs!$K$4:$AJ$4,0))))=0,NA(),SUMPRODUCT((Inputs!$A$5:$A$200=$B18)*Inputs!$B$5:$B$200*(((Inputs!$G$5:$G$200="moeda")+(Inputs!$G$5:$G$200="acoes"))*Inputs!$B$1+((Inputs!$G$5:$G$200&lt;&gt;"moeda")*(Inputs!$G$5:$G$200&lt;&gt;"acoes")))*INDEX(Inputs!$K$5:$AJ$200,0,MATCH(Q$2,Inputs!$K$4:$AJ$4,0)))+SUMPRODUCT((Inputs!$C$5:$C$200=$B18)*Inputs!$D$5:$D$200*(((Inputs!$G$5:$G$200="moeda")+(Inputs!$G$5:$G$200="acoes"))*Inputs!$B$1+((Inputs!$G$5:$G$200&lt;&gt;"moeda")*(Inputs!$G$5:$G$200&lt;&gt;"acoes")))*INDEX(Inputs!$K$5:$AJ$200,0,MATCH(Q$2,Inputs!$K$4:$AJ$4,0)))+SUMPRODUCT((Inputs!$E$5:$E$200=$B18)*Inputs!$F$5:$F$200*(((Inputs!$G$5:$G$200="moeda")+(Inputs!$G$5:$G$200="acoes"))*Inputs!$B$1+((Inputs!$G$5:$G$200&lt;&gt;"moeda")*(Inputs!$G$5:$G$200&lt;&gt;"acoes")))*INDEX(Inputs!$K$5:$AJ$200,0,MATCH(Q$2,Inputs!$K$4:$AJ$4,0)))))</f>
        <v>76.287</v>
      </c>
      <c r="R18" s="3">
        <f>Q18</f>
        <v>76.287</v>
      </c>
      <c r="S18" s="6">
        <f>IF(ISNA(MATCH(S$2,Inputs!$K$4:$AJ$4,0)),NA(),IF(SUMPRODUCT((Inputs!$A$5:$A$200=$B18)*ISNUMBER(INDEX(Inputs!$K$5:$AJ$200,0,MATCH(S$2,Inputs!$K$4:$AJ$4,0))))+SUMPRODUCT((Inputs!$C$5:$C$200=$B18)*ISNUMBER(INDEX(Inputs!$K$5:$AJ$200,0,MATCH(S$2,Inputs!$K$4:$AJ$4,0))))+SUMPRODUCT((Inputs!$E$5:$E$200=$B18)*ISNUMBER(INDEX(Inputs!$K$5:$AJ$200,0,MATCH(S$2,Inputs!$K$4:$AJ$4,0))))=0,NA(),SUMPRODUCT((Inputs!$A$5:$A$200=$B18)*Inputs!$B$5:$B$200*(((Inputs!$G$5:$G$200="moeda")+(Inputs!$G$5:$G$200="acoes"))*Inputs!$B$1+((Inputs!$G$5:$G$200&lt;&gt;"moeda")*(Inputs!$G$5:$G$200&lt;&gt;"acoes")))*INDEX(Inputs!$K$5:$AJ$200,0,MATCH(S$2,Inputs!$K$4:$AJ$4,0)))+SUMPRODUCT((Inputs!$C$5:$C$200=$B18)*Inputs!$D$5:$D$200*(((Inputs!$G$5:$G$200="moeda")+(Inputs!$G$5:$G$200="acoes"))*Inputs!$B$1+((Inputs!$G$5:$G$200&lt;&gt;"moeda")*(Inputs!$G$5:$G$200&lt;&gt;"acoes")))*INDEX(Inputs!$K$5:$AJ$200,0,MATCH(S$2,Inputs!$K$4:$AJ$4,0)))+SUMPRODUCT((Inputs!$E$5:$E$200=$B18)*Inputs!$F$5:$F$200*(((Inputs!$G$5:$G$200="moeda")+(Inputs!$G$5:$G$200="acoes"))*Inputs!$B$1+((Inputs!$G$5:$G$200&lt;&gt;"moeda")*(Inputs!$G$5:$G$200&lt;&gt;"acoes")))*INDEX(Inputs!$K$5:$AJ$200,0,MATCH(S$2,Inputs!$K$4:$AJ$4,0)))))</f>
        <v>76.755</v>
      </c>
      <c r="T18" s="6">
        <f>IF(ISNA(MATCH(T$2,Inputs!$K$4:$AJ$4,0)),NA(),IF(SUMPRODUCT((Inputs!$A$5:$A$200=$B18)*ISNUMBER(INDEX(Inputs!$K$5:$AJ$200,0,MATCH(T$2,Inputs!$K$4:$AJ$4,0))))+SUMPRODUCT((Inputs!$C$5:$C$200=$B18)*ISNUMBER(INDEX(Inputs!$K$5:$AJ$200,0,MATCH(T$2,Inputs!$K$4:$AJ$4,0))))+SUMPRODUCT((Inputs!$E$5:$E$200=$B18)*ISNUMBER(INDEX(Inputs!$K$5:$AJ$200,0,MATCH(T$2,Inputs!$K$4:$AJ$4,0))))=0,NA(),SUMPRODUCT((Inputs!$A$5:$A$200=$B18)*Inputs!$B$5:$B$200*(((Inputs!$G$5:$G$200="moeda")+(Inputs!$G$5:$G$200="acoes"))*Inputs!$B$1+((Inputs!$G$5:$G$200&lt;&gt;"moeda")*(Inputs!$G$5:$G$200&lt;&gt;"acoes")))*INDEX(Inputs!$K$5:$AJ$200,0,MATCH(T$2,Inputs!$K$4:$AJ$4,0)))+SUMPRODUCT((Inputs!$C$5:$C$200=$B18)*Inputs!$D$5:$D$200*(((Inputs!$G$5:$G$200="moeda")+(Inputs!$G$5:$G$200="acoes"))*Inputs!$B$1+((Inputs!$G$5:$G$200&lt;&gt;"moeda")*(Inputs!$G$5:$G$200&lt;&gt;"acoes")))*INDEX(Inputs!$K$5:$AJ$200,0,MATCH(T$2,Inputs!$K$4:$AJ$4,0)))+SUMPRODUCT((Inputs!$E$5:$E$200=$B18)*Inputs!$F$5:$F$200*(((Inputs!$G$5:$G$200="moeda")+(Inputs!$G$5:$G$200="acoes"))*Inputs!$B$1+((Inputs!$G$5:$G$200&lt;&gt;"moeda")*(Inputs!$G$5:$G$200&lt;&gt;"acoes")))*INDEX(Inputs!$K$5:$AJ$200,0,MATCH(T$2,Inputs!$K$4:$AJ$4,0)))))</f>
        <v>77.275</v>
      </c>
      <c r="U18" s="6">
        <f>IF(ISNA(MATCH(U$2,Inputs!$K$4:$AJ$4,0)),NA(),IF(SUMPRODUCT((Inputs!$A$5:$A$200=$B18)*ISNUMBER(INDEX(Inputs!$K$5:$AJ$200,0,MATCH(U$2,Inputs!$K$4:$AJ$4,0))))+SUMPRODUCT((Inputs!$C$5:$C$200=$B18)*ISNUMBER(INDEX(Inputs!$K$5:$AJ$200,0,MATCH(U$2,Inputs!$K$4:$AJ$4,0))))+SUMPRODUCT((Inputs!$E$5:$E$200=$B18)*ISNUMBER(INDEX(Inputs!$K$5:$AJ$200,0,MATCH(U$2,Inputs!$K$4:$AJ$4,0))))=0,NA(),SUMPRODUCT((Inputs!$A$5:$A$200=$B18)*Inputs!$B$5:$B$200*(((Inputs!$G$5:$G$200="moeda")+(Inputs!$G$5:$G$200="acoes"))*Inputs!$B$1+((Inputs!$G$5:$G$200&lt;&gt;"moeda")*(Inputs!$G$5:$G$200&lt;&gt;"acoes")))*INDEX(Inputs!$K$5:$AJ$200,0,MATCH(U$2,Inputs!$K$4:$AJ$4,0)))+SUMPRODUCT((Inputs!$C$5:$C$200=$B18)*Inputs!$D$5:$D$200*(((Inputs!$G$5:$G$200="moeda")+(Inputs!$G$5:$G$200="acoes"))*Inputs!$B$1+((Inputs!$G$5:$G$200&lt;&gt;"moeda")*(Inputs!$G$5:$G$200&lt;&gt;"acoes")))*INDEX(Inputs!$K$5:$AJ$200,0,MATCH(U$2,Inputs!$K$4:$AJ$4,0)))+SUMPRODUCT((Inputs!$E$5:$E$200=$B18)*Inputs!$F$5:$F$200*(((Inputs!$G$5:$G$200="moeda")+(Inputs!$G$5:$G$200="acoes"))*Inputs!$B$1+((Inputs!$G$5:$G$200&lt;&gt;"moeda")*(Inputs!$G$5:$G$200&lt;&gt;"acoes")))*INDEX(Inputs!$K$5:$AJ$200,0,MATCH(U$2,Inputs!$K$4:$AJ$4,0)))))</f>
        <v>78.453</v>
      </c>
      <c r="V18" s="6">
        <f>IF(ISNA(MATCH(V$2,Inputs!$K$4:$AJ$4,0)),NA(),IF(SUMPRODUCT((Inputs!$A$5:$A$200=$B18)*ISNUMBER(INDEX(Inputs!$K$5:$AJ$200,0,MATCH(V$2,Inputs!$K$4:$AJ$4,0))))+SUMPRODUCT((Inputs!$C$5:$C$200=$B18)*ISNUMBER(INDEX(Inputs!$K$5:$AJ$200,0,MATCH(V$2,Inputs!$K$4:$AJ$4,0))))+SUMPRODUCT((Inputs!$E$5:$E$200=$B18)*ISNUMBER(INDEX(Inputs!$K$5:$AJ$200,0,MATCH(V$2,Inputs!$K$4:$AJ$4,0))))=0,NA(),SUMPRODUCT((Inputs!$A$5:$A$200=$B18)*Inputs!$B$5:$B$200*(((Inputs!$G$5:$G$200="moeda")+(Inputs!$G$5:$G$200="acoes"))*Inputs!$B$1+((Inputs!$G$5:$G$200&lt;&gt;"moeda")*(Inputs!$G$5:$G$200&lt;&gt;"acoes")))*INDEX(Inputs!$K$5:$AJ$200,0,MATCH(V$2,Inputs!$K$4:$AJ$4,0)))+SUMPRODUCT((Inputs!$C$5:$C$200=$B18)*Inputs!$D$5:$D$200*(((Inputs!$G$5:$G$200="moeda")+(Inputs!$G$5:$G$200="acoes"))*Inputs!$B$1+((Inputs!$G$5:$G$200&lt;&gt;"moeda")*(Inputs!$G$5:$G$200&lt;&gt;"acoes")))*INDEX(Inputs!$K$5:$AJ$200,0,MATCH(V$2,Inputs!$K$4:$AJ$4,0)))+SUMPRODUCT((Inputs!$E$5:$E$200=$B18)*Inputs!$F$5:$F$200*(((Inputs!$G$5:$G$200="moeda")+(Inputs!$G$5:$G$200="acoes"))*Inputs!$B$1+((Inputs!$G$5:$G$200&lt;&gt;"moeda")*(Inputs!$G$5:$G$200&lt;&gt;"acoes")))*INDEX(Inputs!$K$5:$AJ$200,0,MATCH(V$2,Inputs!$K$4:$AJ$4,0)))))</f>
        <v>79.973</v>
      </c>
      <c r="W18" s="3">
        <f>V18</f>
        <v>79.973</v>
      </c>
      <c r="X18" s="6">
        <f>IF(ISNA(MATCH(X$2,Inputs!$K$4:$AJ$4,0)),NA(),IF(SUMPRODUCT((Inputs!$A$5:$A$200=$B18)*ISNUMBER(INDEX(Inputs!$K$5:$AJ$200,0,MATCH(X$2,Inputs!$K$4:$AJ$4,0))))+SUMPRODUCT((Inputs!$C$5:$C$200=$B18)*ISNUMBER(INDEX(Inputs!$K$5:$AJ$200,0,MATCH(X$2,Inputs!$K$4:$AJ$4,0))))+SUMPRODUCT((Inputs!$E$5:$E$200=$B18)*ISNUMBER(INDEX(Inputs!$K$5:$AJ$200,0,MATCH(X$2,Inputs!$K$4:$AJ$4,0))))=0,NA(),SUMPRODUCT((Inputs!$A$5:$A$200=$B18)*Inputs!$B$5:$B$200*(((Inputs!$G$5:$G$200="moeda")+(Inputs!$G$5:$G$200="acoes"))*Inputs!$B$1+((Inputs!$G$5:$G$200&lt;&gt;"moeda")*(Inputs!$G$5:$G$200&lt;&gt;"acoes")))*INDEX(Inputs!$K$5:$AJ$200,0,MATCH(X$2,Inputs!$K$4:$AJ$4,0)))+SUMPRODUCT((Inputs!$C$5:$C$200=$B18)*Inputs!$D$5:$D$200*(((Inputs!$G$5:$G$200="moeda")+(Inputs!$G$5:$G$200="acoes"))*Inputs!$B$1+((Inputs!$G$5:$G$200&lt;&gt;"moeda")*(Inputs!$G$5:$G$200&lt;&gt;"acoes")))*INDEX(Inputs!$K$5:$AJ$200,0,MATCH(X$2,Inputs!$K$4:$AJ$4,0)))+SUMPRODUCT((Inputs!$E$5:$E$200=$B18)*Inputs!$F$5:$F$200*(((Inputs!$G$5:$G$200="moeda")+(Inputs!$G$5:$G$200="acoes"))*Inputs!$B$1+((Inputs!$G$5:$G$200&lt;&gt;"moeda")*(Inputs!$G$5:$G$200&lt;&gt;"acoes")))*INDEX(Inputs!$K$5:$AJ$200,0,MATCH(X$2,Inputs!$K$4:$AJ$4,0)))))</f>
        <v>80.773</v>
      </c>
      <c r="Y18" s="6">
        <f>IF(ISNA(MATCH(Y$2,Inputs!$K$4:$AJ$4,0)),NA(),IF(SUMPRODUCT((Inputs!$A$5:$A$200=$B18)*ISNUMBER(INDEX(Inputs!$K$5:$AJ$200,0,MATCH(Y$2,Inputs!$K$4:$AJ$4,0))))+SUMPRODUCT((Inputs!$C$5:$C$200=$B18)*ISNUMBER(INDEX(Inputs!$K$5:$AJ$200,0,MATCH(Y$2,Inputs!$K$4:$AJ$4,0))))+SUMPRODUCT((Inputs!$E$5:$E$200=$B18)*ISNUMBER(INDEX(Inputs!$K$5:$AJ$200,0,MATCH(Y$2,Inputs!$K$4:$AJ$4,0))))=0,NA(),SUMPRODUCT((Inputs!$A$5:$A$200=$B18)*Inputs!$B$5:$B$200*(((Inputs!$G$5:$G$200="moeda")+(Inputs!$G$5:$G$200="acoes"))*Inputs!$B$1+((Inputs!$G$5:$G$200&lt;&gt;"moeda")*(Inputs!$G$5:$G$200&lt;&gt;"acoes")))*INDEX(Inputs!$K$5:$AJ$200,0,MATCH(Y$2,Inputs!$K$4:$AJ$4,0)))+SUMPRODUCT((Inputs!$C$5:$C$200=$B18)*Inputs!$D$5:$D$200*(((Inputs!$G$5:$G$200="moeda")+(Inputs!$G$5:$G$200="acoes"))*Inputs!$B$1+((Inputs!$G$5:$G$200&lt;&gt;"moeda")*(Inputs!$G$5:$G$200&lt;&gt;"acoes")))*INDEX(Inputs!$K$5:$AJ$200,0,MATCH(Y$2,Inputs!$K$4:$AJ$4,0)))+SUMPRODUCT((Inputs!$E$5:$E$200=$B18)*Inputs!$F$5:$F$200*(((Inputs!$G$5:$G$200="moeda")+(Inputs!$G$5:$G$200="acoes"))*Inputs!$B$1+((Inputs!$G$5:$G$200&lt;&gt;"moeda")*(Inputs!$G$5:$G$200&lt;&gt;"acoes")))*INDEX(Inputs!$K$5:$AJ$200,0,MATCH(Y$2,Inputs!$K$4:$AJ$4,0)))))</f>
        <v>81.277</v>
      </c>
      <c r="Z18" s="6">
        <f>IF(ISNA(MATCH(Z$2,Inputs!$K$4:$AJ$4,0)),NA(),IF(SUMPRODUCT((Inputs!$A$5:$A$200=$B18)*ISNUMBER(INDEX(Inputs!$K$5:$AJ$200,0,MATCH(Z$2,Inputs!$K$4:$AJ$4,0))))+SUMPRODUCT((Inputs!$C$5:$C$200=$B18)*ISNUMBER(INDEX(Inputs!$K$5:$AJ$200,0,MATCH(Z$2,Inputs!$K$4:$AJ$4,0))))+SUMPRODUCT((Inputs!$E$5:$E$200=$B18)*ISNUMBER(INDEX(Inputs!$K$5:$AJ$200,0,MATCH(Z$2,Inputs!$K$4:$AJ$4,0))))=0,NA(),SUMPRODUCT((Inputs!$A$5:$A$200=$B18)*Inputs!$B$5:$B$200*(((Inputs!$G$5:$G$200="moeda")+(Inputs!$G$5:$G$200="acoes"))*Inputs!$B$1+((Inputs!$G$5:$G$200&lt;&gt;"moeda")*(Inputs!$G$5:$G$200&lt;&gt;"acoes")))*INDEX(Inputs!$K$5:$AJ$200,0,MATCH(Z$2,Inputs!$K$4:$AJ$4,0)))+SUMPRODUCT((Inputs!$C$5:$C$200=$B18)*Inputs!$D$5:$D$200*(((Inputs!$G$5:$G$200="moeda")+(Inputs!$G$5:$G$200="acoes"))*Inputs!$B$1+((Inputs!$G$5:$G$200&lt;&gt;"moeda")*(Inputs!$G$5:$G$200&lt;&gt;"acoes")))*INDEX(Inputs!$K$5:$AJ$200,0,MATCH(Z$2,Inputs!$K$4:$AJ$4,0)))+SUMPRODUCT((Inputs!$E$5:$E$200=$B18)*Inputs!$F$5:$F$200*(((Inputs!$G$5:$G$200="moeda")+(Inputs!$G$5:$G$200="acoes"))*Inputs!$B$1+((Inputs!$G$5:$G$200&lt;&gt;"moeda")*(Inputs!$G$5:$G$200&lt;&gt;"acoes")))*INDEX(Inputs!$K$5:$AJ$200,0,MATCH(Z$2,Inputs!$K$4:$AJ$4,0)))))</f>
        <v>81.875</v>
      </c>
      <c r="AA18" s="6">
        <f>IF(ISNA(MATCH(AA$2,Inputs!$K$4:$AJ$4,0)),NA(),IF(SUMPRODUCT((Inputs!$A$5:$A$200=$B18)*ISNUMBER(INDEX(Inputs!$K$5:$AJ$200,0,MATCH(AA$2,Inputs!$K$4:$AJ$4,0))))+SUMPRODUCT((Inputs!$C$5:$C$200=$B18)*ISNUMBER(INDEX(Inputs!$K$5:$AJ$200,0,MATCH(AA$2,Inputs!$K$4:$AJ$4,0))))+SUMPRODUCT((Inputs!$E$5:$E$200=$B18)*ISNUMBER(INDEX(Inputs!$K$5:$AJ$200,0,MATCH(AA$2,Inputs!$K$4:$AJ$4,0))))=0,NA(),SUMPRODUCT((Inputs!$A$5:$A$200=$B18)*Inputs!$B$5:$B$200*(((Inputs!$G$5:$G$200="moeda")+(Inputs!$G$5:$G$200="acoes"))*Inputs!$B$1+((Inputs!$G$5:$G$200&lt;&gt;"moeda")*(Inputs!$G$5:$G$200&lt;&gt;"acoes")))*INDEX(Inputs!$K$5:$AJ$200,0,MATCH(AA$2,Inputs!$K$4:$AJ$4,0)))+SUMPRODUCT((Inputs!$C$5:$C$200=$B18)*Inputs!$D$5:$D$200*(((Inputs!$G$5:$G$200="moeda")+(Inputs!$G$5:$G$200="acoes"))*Inputs!$B$1+((Inputs!$G$5:$G$200&lt;&gt;"moeda")*(Inputs!$G$5:$G$200&lt;&gt;"acoes")))*INDEX(Inputs!$K$5:$AJ$200,0,MATCH(AA$2,Inputs!$K$4:$AJ$4,0)))+SUMPRODUCT((Inputs!$E$5:$E$200=$B18)*Inputs!$F$5:$F$200*(((Inputs!$G$5:$G$200="moeda")+(Inputs!$G$5:$G$200="acoes"))*Inputs!$B$1+((Inputs!$G$5:$G$200&lt;&gt;"moeda")*(Inputs!$G$5:$G$200&lt;&gt;"acoes")))*INDEX(Inputs!$K$5:$AJ$200,0,MATCH(AA$2,Inputs!$K$4:$AJ$4,0)))))</f>
        <v>82.325</v>
      </c>
      <c r="AB18" s="3">
        <f>AA18</f>
        <v>82.325</v>
      </c>
      <c r="AC18" s="6">
        <f>IF(ISNA(MATCH(AC$2,Inputs!$K$4:$AJ$4,0)),NA(),IF(SUMPRODUCT((Inputs!$A$5:$A$200=$B18)*ISNUMBER(INDEX(Inputs!$K$5:$AJ$200,0,MATCH(AC$2,Inputs!$K$4:$AJ$4,0))))+SUMPRODUCT((Inputs!$C$5:$C$200=$B18)*ISNUMBER(INDEX(Inputs!$K$5:$AJ$200,0,MATCH(AC$2,Inputs!$K$4:$AJ$4,0))))+SUMPRODUCT((Inputs!$E$5:$E$200=$B18)*ISNUMBER(INDEX(Inputs!$K$5:$AJ$200,0,MATCH(AC$2,Inputs!$K$4:$AJ$4,0))))=0,NA(),SUMPRODUCT((Inputs!$A$5:$A$200=$B18)*Inputs!$B$5:$B$200*(((Inputs!$G$5:$G$200="moeda")+(Inputs!$G$5:$G$200="acoes"))*Inputs!$B$1+((Inputs!$G$5:$G$200&lt;&gt;"moeda")*(Inputs!$G$5:$G$200&lt;&gt;"acoes")))*INDEX(Inputs!$K$5:$AJ$200,0,MATCH(AC$2,Inputs!$K$4:$AJ$4,0)))+SUMPRODUCT((Inputs!$C$5:$C$200=$B18)*Inputs!$D$5:$D$200*(((Inputs!$G$5:$G$200="moeda")+(Inputs!$G$5:$G$200="acoes"))*Inputs!$B$1+((Inputs!$G$5:$G$200&lt;&gt;"moeda")*(Inputs!$G$5:$G$200&lt;&gt;"acoes")))*INDEX(Inputs!$K$5:$AJ$200,0,MATCH(AC$2,Inputs!$K$4:$AJ$4,0)))+SUMPRODUCT((Inputs!$E$5:$E$200=$B18)*Inputs!$F$5:$F$200*(((Inputs!$G$5:$G$200="moeda")+(Inputs!$G$5:$G$200="acoes"))*Inputs!$B$1+((Inputs!$G$5:$G$200&lt;&gt;"moeda")*(Inputs!$G$5:$G$200&lt;&gt;"acoes")))*INDEX(Inputs!$K$5:$AJ$200,0,MATCH(AC$2,Inputs!$K$4:$AJ$4,0)))))</f>
        <v>84.986</v>
      </c>
      <c r="AD18" s="6">
        <f>IF(ISNA(MATCH(AD$2,Inputs!$K$4:$AJ$4,0)),NA(),IF(SUMPRODUCT((Inputs!$A$5:$A$200=$B18)*ISNUMBER(INDEX(Inputs!$K$5:$AJ$200,0,MATCH(AD$2,Inputs!$K$4:$AJ$4,0))))+SUMPRODUCT((Inputs!$C$5:$C$200=$B18)*ISNUMBER(INDEX(Inputs!$K$5:$AJ$200,0,MATCH(AD$2,Inputs!$K$4:$AJ$4,0))))+SUMPRODUCT((Inputs!$E$5:$E$200=$B18)*ISNUMBER(INDEX(Inputs!$K$5:$AJ$200,0,MATCH(AD$2,Inputs!$K$4:$AJ$4,0))))=0,NA(),SUMPRODUCT((Inputs!$A$5:$A$200=$B18)*Inputs!$B$5:$B$200*(((Inputs!$G$5:$G$200="moeda")+(Inputs!$G$5:$G$200="acoes"))*Inputs!$B$1+((Inputs!$G$5:$G$200&lt;&gt;"moeda")*(Inputs!$G$5:$G$200&lt;&gt;"acoes")))*INDEX(Inputs!$K$5:$AJ$200,0,MATCH(AD$2,Inputs!$K$4:$AJ$4,0)))+SUMPRODUCT((Inputs!$C$5:$C$200=$B18)*Inputs!$D$5:$D$200*(((Inputs!$G$5:$G$200="moeda")+(Inputs!$G$5:$G$200="acoes"))*Inputs!$B$1+((Inputs!$G$5:$G$200&lt;&gt;"moeda")*(Inputs!$G$5:$G$200&lt;&gt;"acoes")))*INDEX(Inputs!$K$5:$AJ$200,0,MATCH(AD$2,Inputs!$K$4:$AJ$4,0)))+SUMPRODUCT((Inputs!$E$5:$E$200=$B18)*Inputs!$F$5:$F$200*(((Inputs!$G$5:$G$200="moeda")+(Inputs!$G$5:$G$200="acoes"))*Inputs!$B$1+((Inputs!$G$5:$G$200&lt;&gt;"moeda")*(Inputs!$G$5:$G$200&lt;&gt;"acoes")))*INDEX(Inputs!$K$5:$AJ$200,0,MATCH(AD$2,Inputs!$K$4:$AJ$4,0)))))</f>
        <v>85.345</v>
      </c>
      <c r="AE18" s="6" t="e">
        <f>IF(ISNA(MATCH(AE$2,Inputs!$K$4:$AJ$4,0)),NA(),IF(SUMPRODUCT((Inputs!$A$5:$A$200=$B18)*ISNUMBER(INDEX(Inputs!$K$5:$AJ$200,0,MATCH(AE$2,Inputs!$K$4:$AJ$4,0))))+SUMPRODUCT((Inputs!$C$5:$C$200=$B18)*ISNUMBER(INDEX(Inputs!$K$5:$AJ$200,0,MATCH(AE$2,Inputs!$K$4:$AJ$4,0))))+SUMPRODUCT((Inputs!$E$5:$E$200=$B18)*ISNUMBER(INDEX(Inputs!$K$5:$AJ$200,0,MATCH(AE$2,Inputs!$K$4:$AJ$4,0))))=0,NA(),SUMPRODUCT((Inputs!$A$5:$A$200=$B18)*Inputs!$B$5:$B$200*(((Inputs!$G$5:$G$200="moeda")+(Inputs!$G$5:$G$200="acoes"))*Inputs!$B$1+((Inputs!$G$5:$G$200&lt;&gt;"moeda")*(Inputs!$G$5:$G$200&lt;&gt;"acoes")))*INDEX(Inputs!$K$5:$AJ$200,0,MATCH(AE$2,Inputs!$K$4:$AJ$4,0)))+SUMPRODUCT((Inputs!$C$5:$C$200=$B18)*Inputs!$D$5:$D$200*(((Inputs!$G$5:$G$200="moeda")+(Inputs!$G$5:$G$200="acoes"))*Inputs!$B$1+((Inputs!$G$5:$G$200&lt;&gt;"moeda")*(Inputs!$G$5:$G$200&lt;&gt;"acoes")))*INDEX(Inputs!$K$5:$AJ$200,0,MATCH(AE$2,Inputs!$K$4:$AJ$4,0)))+SUMPRODUCT((Inputs!$E$5:$E$200=$B18)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8" s="6" t="e">
        <f>IF(ISNA(MATCH(AF$2,Inputs!$K$4:$AJ$4,0)),NA(),IF(SUMPRODUCT((Inputs!$A$5:$A$200=$B18)*ISNUMBER(INDEX(Inputs!$K$5:$AJ$200,0,MATCH(AF$2,Inputs!$K$4:$AJ$4,0))))+SUMPRODUCT((Inputs!$C$5:$C$200=$B18)*ISNUMBER(INDEX(Inputs!$K$5:$AJ$200,0,MATCH(AF$2,Inputs!$K$4:$AJ$4,0))))+SUMPRODUCT((Inputs!$E$5:$E$200=$B18)*ISNUMBER(INDEX(Inputs!$K$5:$AJ$200,0,MATCH(AF$2,Inputs!$K$4:$AJ$4,0))))=0,NA(),SUMPRODUCT((Inputs!$A$5:$A$200=$B18)*Inputs!$B$5:$B$200*(((Inputs!$G$5:$G$200="moeda")+(Inputs!$G$5:$G$200="acoes"))*Inputs!$B$1+((Inputs!$G$5:$G$200&lt;&gt;"moeda")*(Inputs!$G$5:$G$200&lt;&gt;"acoes")))*INDEX(Inputs!$K$5:$AJ$200,0,MATCH(AF$2,Inputs!$K$4:$AJ$4,0)))+SUMPRODUCT((Inputs!$C$5:$C$200=$B18)*Inputs!$D$5:$D$200*(((Inputs!$G$5:$G$200="moeda")+(Inputs!$G$5:$G$200="acoes"))*Inputs!$B$1+((Inputs!$G$5:$G$200&lt;&gt;"moeda")*(Inputs!$G$5:$G$200&lt;&gt;"acoes")))*INDEX(Inputs!$K$5:$AJ$200,0,MATCH(AF$2,Inputs!$K$4:$AJ$4,0)))+SUMPRODUCT((Inputs!$E$5:$E$200=$B18)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8" s="3" t="e">
        <f>AF18</f>
        <v>#N/A</v>
      </c>
      <c r="AH18" s="6">
        <f>IF(ISNA(MATCH(AH$2,Inputs!$K$4:$AJ$4,0)),NA(),IF(SUMPRODUCT((Inputs!$A$5:$A$200=$B18)*ISNUMBER(INDEX(Inputs!$K$5:$AJ$200,0,MATCH(AH$2,Inputs!$K$4:$AJ$4,0))))+SUMPRODUCT((Inputs!$C$5:$C$200=$B18)*ISNUMBER(INDEX(Inputs!$K$5:$AJ$200,0,MATCH(AH$2,Inputs!$K$4:$AJ$4,0))))+SUMPRODUCT((Inputs!$E$5:$E$200=$B18)*ISNUMBER(INDEX(Inputs!$K$5:$AJ$200,0,MATCH(AH$2,Inputs!$K$4:$AJ$4,0))))=0,NA(),SUMPRODUCT((Inputs!$A$5:$A$200=$B18)*Inputs!$B$5:$B$200*(((Inputs!$G$5:$G$200="moeda")+(Inputs!$G$5:$G$200="acoes"))*Inputs!$B$1+((Inputs!$G$5:$G$200&lt;&gt;"moeda")*(Inputs!$G$5:$G$200&lt;&gt;"acoes")))*INDEX(Inputs!$K$5:$AJ$200,0,MATCH(AH$2,Inputs!$K$4:$AJ$4,0)))+SUMPRODUCT((Inputs!$C$5:$C$200=$B18)*Inputs!$D$5:$D$200*(((Inputs!$G$5:$G$200="moeda")+(Inputs!$G$5:$G$200="acoes"))*Inputs!$B$1+((Inputs!$G$5:$G$200&lt;&gt;"moeda")*(Inputs!$G$5:$G$200&lt;&gt;"acoes")))*INDEX(Inputs!$K$5:$AJ$200,0,MATCH(AH$2,Inputs!$K$4:$AJ$4,0)))+SUMPRODUCT((Inputs!$E$5:$E$200=$B18)*Inputs!$F$5:$F$200*(((Inputs!$G$5:$G$200="moeda")+(Inputs!$G$5:$G$200="acoes"))*Inputs!$B$1+((Inputs!$G$5:$G$200&lt;&gt;"moeda")*(Inputs!$G$5:$G$200&lt;&gt;"acoes")))*INDEX(Inputs!$K$5:$AJ$200,0,MATCH(AH$2,Inputs!$K$4:$AJ$4,0)))))</f>
        <v>112.994</v>
      </c>
      <c r="AI18" s="6">
        <f>IF(ISNA(MATCH(AI$2,Inputs!$K$4:$AJ$4,0)),NA(),IF(SUMPRODUCT((Inputs!$A$5:$A$200=$B18)*ISNUMBER(INDEX(Inputs!$K$5:$AJ$200,0,MATCH(AI$2,Inputs!$K$4:$AJ$4,0))))+SUMPRODUCT((Inputs!$C$5:$C$200=$B18)*ISNUMBER(INDEX(Inputs!$K$5:$AJ$200,0,MATCH(AI$2,Inputs!$K$4:$AJ$4,0))))+SUMPRODUCT((Inputs!$E$5:$E$200=$B18)*ISNUMBER(INDEX(Inputs!$K$5:$AJ$200,0,MATCH(AI$2,Inputs!$K$4:$AJ$4,0))))=0,NA(),SUMPRODUCT((Inputs!$A$5:$A$200=$B18)*Inputs!$B$5:$B$200*(((Inputs!$G$5:$G$200="moeda")+(Inputs!$G$5:$G$200="acoes"))*Inputs!$B$1+((Inputs!$G$5:$G$200&lt;&gt;"moeda")*(Inputs!$G$5:$G$200&lt;&gt;"acoes")))*INDEX(Inputs!$K$5:$AJ$200,0,MATCH(AI$2,Inputs!$K$4:$AJ$4,0)))+SUMPRODUCT((Inputs!$C$5:$C$200=$B18)*Inputs!$D$5:$D$200*(((Inputs!$G$5:$G$200="moeda")+(Inputs!$G$5:$G$200="acoes"))*Inputs!$B$1+((Inputs!$G$5:$G$200&lt;&gt;"moeda")*(Inputs!$G$5:$G$200&lt;&gt;"acoes")))*INDEX(Inputs!$K$5:$AJ$200,0,MATCH(AI$2,Inputs!$K$4:$AJ$4,0)))+SUMPRODUCT((Inputs!$E$5:$E$200=$B18)*Inputs!$F$5:$F$200*(((Inputs!$G$5:$G$200="moeda")+(Inputs!$G$5:$G$200="acoes"))*Inputs!$B$1+((Inputs!$G$5:$G$200&lt;&gt;"moeda")*(Inputs!$G$5:$G$200&lt;&gt;"acoes")))*INDEX(Inputs!$K$5:$AJ$200,0,MATCH(AI$2,Inputs!$K$4:$AJ$4,0)))))</f>
        <v>111.321</v>
      </c>
      <c r="AJ18" s="6">
        <f>IF(ISNA(MATCH(AJ$2,Inputs!$K$4:$AJ$4,0)),NA(),IF(SUMPRODUCT((Inputs!$A$5:$A$200=$B18)*ISNUMBER(INDEX(Inputs!$K$5:$AJ$200,0,MATCH(AJ$2,Inputs!$K$4:$AJ$4,0))))+SUMPRODUCT((Inputs!$C$5:$C$200=$B18)*ISNUMBER(INDEX(Inputs!$K$5:$AJ$200,0,MATCH(AJ$2,Inputs!$K$4:$AJ$4,0))))+SUMPRODUCT((Inputs!$E$5:$E$200=$B18)*ISNUMBER(INDEX(Inputs!$K$5:$AJ$200,0,MATCH(AJ$2,Inputs!$K$4:$AJ$4,0))))=0,NA(),SUMPRODUCT((Inputs!$A$5:$A$200=$B18)*Inputs!$B$5:$B$200*(((Inputs!$G$5:$G$200="moeda")+(Inputs!$G$5:$G$200="acoes"))*Inputs!$B$1+((Inputs!$G$5:$G$200&lt;&gt;"moeda")*(Inputs!$G$5:$G$200&lt;&gt;"acoes")))*INDEX(Inputs!$K$5:$AJ$200,0,MATCH(AJ$2,Inputs!$K$4:$AJ$4,0)))+SUMPRODUCT((Inputs!$C$5:$C$200=$B18)*Inputs!$D$5:$D$200*(((Inputs!$G$5:$G$200="moeda")+(Inputs!$G$5:$G$200="acoes"))*Inputs!$B$1+((Inputs!$G$5:$G$200&lt;&gt;"moeda")*(Inputs!$G$5:$G$200&lt;&gt;"acoes")))*INDEX(Inputs!$K$5:$AJ$200,0,MATCH(AJ$2,Inputs!$K$4:$AJ$4,0)))+SUMPRODUCT((Inputs!$E$5:$E$200=$B18)*Inputs!$F$5:$F$200*(((Inputs!$G$5:$G$200="moeda")+(Inputs!$G$5:$G$200="acoes"))*Inputs!$B$1+((Inputs!$G$5:$G$200&lt;&gt;"moeda")*(Inputs!$G$5:$G$200&lt;&gt;"acoes")))*INDEX(Inputs!$K$5:$AJ$200,0,MATCH(AJ$2,Inputs!$K$4:$AJ$4,0)))))</f>
        <v>111.321</v>
      </c>
      <c r="AK18" s="6">
        <f>IF(ISNA(MATCH(AK$2,Inputs!$K$4:$AJ$4,0)),NA(),IF(SUMPRODUCT((Inputs!$A$5:$A$200=$B18)*ISNUMBER(INDEX(Inputs!$K$5:$AJ$200,0,MATCH(AK$2,Inputs!$K$4:$AJ$4,0))))+SUMPRODUCT((Inputs!$C$5:$C$200=$B18)*ISNUMBER(INDEX(Inputs!$K$5:$AJ$200,0,MATCH(AK$2,Inputs!$K$4:$AJ$4,0))))+SUMPRODUCT((Inputs!$E$5:$E$200=$B18)*ISNUMBER(INDEX(Inputs!$K$5:$AJ$200,0,MATCH(AK$2,Inputs!$K$4:$AJ$4,0))))=0,NA(),SUMPRODUCT((Inputs!$A$5:$A$200=$B18)*Inputs!$B$5:$B$200*(((Inputs!$G$5:$G$200="moeda")+(Inputs!$G$5:$G$200="acoes"))*Inputs!$B$1+((Inputs!$G$5:$G$200&lt;&gt;"moeda")*(Inputs!$G$5:$G$200&lt;&gt;"acoes")))*INDEX(Inputs!$K$5:$AJ$200,0,MATCH(AK$2,Inputs!$K$4:$AJ$4,0)))+SUMPRODUCT((Inputs!$C$5:$C$200=$B18)*Inputs!$D$5:$D$200*(((Inputs!$G$5:$G$200="moeda")+(Inputs!$G$5:$G$200="acoes"))*Inputs!$B$1+((Inputs!$G$5:$G$200&lt;&gt;"moeda")*(Inputs!$G$5:$G$200&lt;&gt;"acoes")))*INDEX(Inputs!$K$5:$AJ$200,0,MATCH(AK$2,Inputs!$K$4:$AJ$4,0)))+SUMPRODUCT((Inputs!$E$5:$E$200=$B18)*Inputs!$F$5:$F$200*(((Inputs!$G$5:$G$200="moeda")+(Inputs!$G$5:$G$200="acoes"))*Inputs!$B$1+((Inputs!$G$5:$G$200&lt;&gt;"moeda")*(Inputs!$G$5:$G$200&lt;&gt;"acoes")))*INDEX(Inputs!$K$5:$AJ$200,0,MATCH(AK$2,Inputs!$K$4:$AJ$4,0)))))</f>
        <v>82.727</v>
      </c>
      <c r="AL18" s="3">
        <f>AK18</f>
        <v>82.727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$200=$B19)*ISNUMBER(INDEX(Inputs!$K$5:$AJ$200,0,MATCH(D$2,Inputs!$K$4:$AJ$4,0))))+SUMPRODUCT((Inputs!$C$5:$C$200=$B19)*ISNUMBER(INDEX(Inputs!$K$5:$AJ$200,0,MATCH(D$2,Inputs!$K$4:$AJ$4,0))))+SUMPRODUCT((Inputs!$E$5:$E$200=$B19)*ISNUMBER(INDEX(Inputs!$K$5:$AJ$200,0,MATCH(D$2,Inputs!$K$4:$AJ$4,0))))=0,NA(),SUMPRODUCT((Inputs!$A$5:$A$200=$B19)*Inputs!$B$5:$B$200*(((Inputs!$G$5:$G$200="moeda")+(Inputs!$G$5:$G$200="acoes"))*Inputs!$B$1+((Inputs!$G$5:$G$200&lt;&gt;"moeda")*(Inputs!$G$5:$G$200&lt;&gt;"acoes")))*INDEX(Inputs!$K$5:$AJ$200,0,MATCH(D$2,Inputs!$K$4:$AJ$4,0)))+SUMPRODUCT((Inputs!$C$5:$C$200=$B19)*Inputs!$D$5:$D$200*(((Inputs!$G$5:$G$200="moeda")+(Inputs!$G$5:$G$200="acoes"))*Inputs!$B$1+((Inputs!$G$5:$G$200&lt;&gt;"moeda")*(Inputs!$G$5:$G$200&lt;&gt;"acoes")))*INDEX(Inputs!$K$5:$AJ$200,0,MATCH(D$2,Inputs!$K$4:$AJ$4,0)))+SUMPRODUCT((Inputs!$E$5:$E$200=$B19)*Inputs!$F$5:$F$200*(((Inputs!$G$5:$G$200="moeda")+(Inputs!$G$5:$G$200="acoes"))*Inputs!$B$1+((Inputs!$G$5:$G$200&lt;&gt;"moeda")*(Inputs!$G$5:$G$200&lt;&gt;"acoes")))*INDEX(Inputs!$K$5:$AJ$200,0,MATCH(D$2,Inputs!$K$4:$AJ$4,0)))))</f>
        <v>15.496</v>
      </c>
      <c r="E19" s="6">
        <f>IF(ISNA(MATCH(E$2,Inputs!$K$4:$AJ$4,0)),NA(),IF(SUMPRODUCT((Inputs!$A$5:$A$200=$B19)*ISNUMBER(INDEX(Inputs!$K$5:$AJ$200,0,MATCH(E$2,Inputs!$K$4:$AJ$4,0))))+SUMPRODUCT((Inputs!$C$5:$C$200=$B19)*ISNUMBER(INDEX(Inputs!$K$5:$AJ$200,0,MATCH(E$2,Inputs!$K$4:$AJ$4,0))))+SUMPRODUCT((Inputs!$E$5:$E$200=$B19)*ISNUMBER(INDEX(Inputs!$K$5:$AJ$200,0,MATCH(E$2,Inputs!$K$4:$AJ$4,0))))=0,NA(),SUMPRODUCT((Inputs!$A$5:$A$200=$B19)*Inputs!$B$5:$B$200*(((Inputs!$G$5:$G$200="moeda")+(Inputs!$G$5:$G$200="acoes"))*Inputs!$B$1+((Inputs!$G$5:$G$200&lt;&gt;"moeda")*(Inputs!$G$5:$G$200&lt;&gt;"acoes")))*INDEX(Inputs!$K$5:$AJ$200,0,MATCH(E$2,Inputs!$K$4:$AJ$4,0)))+SUMPRODUCT((Inputs!$C$5:$C$200=$B19)*Inputs!$D$5:$D$200*(((Inputs!$G$5:$G$200="moeda")+(Inputs!$G$5:$G$200="acoes"))*Inputs!$B$1+((Inputs!$G$5:$G$200&lt;&gt;"moeda")*(Inputs!$G$5:$G$200&lt;&gt;"acoes")))*INDEX(Inputs!$K$5:$AJ$200,0,MATCH(E$2,Inputs!$K$4:$AJ$4,0)))+SUMPRODUCT((Inputs!$E$5:$E$200=$B19)*Inputs!$F$5:$F$200*(((Inputs!$G$5:$G$200="moeda")+(Inputs!$G$5:$G$200="acoes"))*Inputs!$B$1+((Inputs!$G$5:$G$200&lt;&gt;"moeda")*(Inputs!$G$5:$G$200&lt;&gt;"acoes")))*INDEX(Inputs!$K$5:$AJ$200,0,MATCH(E$2,Inputs!$K$4:$AJ$4,0)))))</f>
        <v>14.198</v>
      </c>
      <c r="F19" s="6">
        <f>IF(ISNA(MATCH(F$2,Inputs!$K$4:$AJ$4,0)),NA(),IF(SUMPRODUCT((Inputs!$A$5:$A$200=$B19)*ISNUMBER(INDEX(Inputs!$K$5:$AJ$200,0,MATCH(F$2,Inputs!$K$4:$AJ$4,0))))+SUMPRODUCT((Inputs!$C$5:$C$200=$B19)*ISNUMBER(INDEX(Inputs!$K$5:$AJ$200,0,MATCH(F$2,Inputs!$K$4:$AJ$4,0))))+SUMPRODUCT((Inputs!$E$5:$E$200=$B19)*ISNUMBER(INDEX(Inputs!$K$5:$AJ$200,0,MATCH(F$2,Inputs!$K$4:$AJ$4,0))))=0,NA(),SUMPRODUCT((Inputs!$A$5:$A$200=$B19)*Inputs!$B$5:$B$200*(((Inputs!$G$5:$G$200="moeda")+(Inputs!$G$5:$G$200="acoes"))*Inputs!$B$1+((Inputs!$G$5:$G$200&lt;&gt;"moeda")*(Inputs!$G$5:$G$200&lt;&gt;"acoes")))*INDEX(Inputs!$K$5:$AJ$200,0,MATCH(F$2,Inputs!$K$4:$AJ$4,0)))+SUMPRODUCT((Inputs!$C$5:$C$200=$B19)*Inputs!$D$5:$D$200*(((Inputs!$G$5:$G$200="moeda")+(Inputs!$G$5:$G$200="acoes"))*Inputs!$B$1+((Inputs!$G$5:$G$200&lt;&gt;"moeda")*(Inputs!$G$5:$G$200&lt;&gt;"acoes")))*INDEX(Inputs!$K$5:$AJ$200,0,MATCH(F$2,Inputs!$K$4:$AJ$4,0)))+SUMPRODUCT((Inputs!$E$5:$E$200=$B19)*Inputs!$F$5:$F$200*(((Inputs!$G$5:$G$200="moeda")+(Inputs!$G$5:$G$200="acoes"))*Inputs!$B$1+((Inputs!$G$5:$G$200&lt;&gt;"moeda")*(Inputs!$G$5:$G$200&lt;&gt;"acoes")))*INDEX(Inputs!$K$5:$AJ$200,0,MATCH(F$2,Inputs!$K$4:$AJ$4,0)))))</f>
        <v>11.118</v>
      </c>
      <c r="G19" s="6">
        <f>IF(ISNA(MATCH(G$2,Inputs!$K$4:$AJ$4,0)),NA(),IF(SUMPRODUCT((Inputs!$A$5:$A$200=$B19)*ISNUMBER(INDEX(Inputs!$K$5:$AJ$200,0,MATCH(G$2,Inputs!$K$4:$AJ$4,0))))+SUMPRODUCT((Inputs!$C$5:$C$200=$B19)*ISNUMBER(INDEX(Inputs!$K$5:$AJ$200,0,MATCH(G$2,Inputs!$K$4:$AJ$4,0))))+SUMPRODUCT((Inputs!$E$5:$E$200=$B19)*ISNUMBER(INDEX(Inputs!$K$5:$AJ$200,0,MATCH(G$2,Inputs!$K$4:$AJ$4,0))))=0,NA(),SUMPRODUCT((Inputs!$A$5:$A$200=$B19)*Inputs!$B$5:$B$200*(((Inputs!$G$5:$G$200="moeda")+(Inputs!$G$5:$G$200="acoes"))*Inputs!$B$1+((Inputs!$G$5:$G$200&lt;&gt;"moeda")*(Inputs!$G$5:$G$200&lt;&gt;"acoes")))*INDEX(Inputs!$K$5:$AJ$200,0,MATCH(G$2,Inputs!$K$4:$AJ$4,0)))+SUMPRODUCT((Inputs!$C$5:$C$200=$B19)*Inputs!$D$5:$D$200*(((Inputs!$G$5:$G$200="moeda")+(Inputs!$G$5:$G$200="acoes"))*Inputs!$B$1+((Inputs!$G$5:$G$200&lt;&gt;"moeda")*(Inputs!$G$5:$G$200&lt;&gt;"acoes")))*INDEX(Inputs!$K$5:$AJ$200,0,MATCH(G$2,Inputs!$K$4:$AJ$4,0)))+SUMPRODUCT((Inputs!$E$5:$E$200=$B19)*Inputs!$F$5:$F$200*(((Inputs!$G$5:$G$200="moeda")+(Inputs!$G$5:$G$200="acoes"))*Inputs!$B$1+((Inputs!$G$5:$G$200&lt;&gt;"moeda")*(Inputs!$G$5:$G$200&lt;&gt;"acoes")))*INDEX(Inputs!$K$5:$AJ$200,0,MATCH(G$2,Inputs!$K$4:$AJ$4,0)))))</f>
        <v>31.276</v>
      </c>
      <c r="H19" s="3">
        <f>G19</f>
        <v>31.276</v>
      </c>
      <c r="I19" s="6">
        <f>IF(ISNA(MATCH(I$2,Inputs!$K$4:$AJ$4,0)),NA(),IF(SUMPRODUCT((Inputs!$A$5:$A$200=$B19)*ISNUMBER(INDEX(Inputs!$K$5:$AJ$200,0,MATCH(I$2,Inputs!$K$4:$AJ$4,0))))+SUMPRODUCT((Inputs!$C$5:$C$200=$B19)*ISNUMBER(INDEX(Inputs!$K$5:$AJ$200,0,MATCH(I$2,Inputs!$K$4:$AJ$4,0))))+SUMPRODUCT((Inputs!$E$5:$E$200=$B19)*ISNUMBER(INDEX(Inputs!$K$5:$AJ$200,0,MATCH(I$2,Inputs!$K$4:$AJ$4,0))))=0,NA(),SUMPRODUCT((Inputs!$A$5:$A$200=$B19)*Inputs!$B$5:$B$200*(((Inputs!$G$5:$G$200="moeda")+(Inputs!$G$5:$G$200="acoes"))*Inputs!$B$1+((Inputs!$G$5:$G$200&lt;&gt;"moeda")*(Inputs!$G$5:$G$200&lt;&gt;"acoes")))*INDEX(Inputs!$K$5:$AJ$200,0,MATCH(I$2,Inputs!$K$4:$AJ$4,0)))+SUMPRODUCT((Inputs!$C$5:$C$200=$B19)*Inputs!$D$5:$D$200*(((Inputs!$G$5:$G$200="moeda")+(Inputs!$G$5:$G$200="acoes"))*Inputs!$B$1+((Inputs!$G$5:$G$200&lt;&gt;"moeda")*(Inputs!$G$5:$G$200&lt;&gt;"acoes")))*INDEX(Inputs!$K$5:$AJ$200,0,MATCH(I$2,Inputs!$K$4:$AJ$4,0)))+SUMPRODUCT((Inputs!$E$5:$E$200=$B19)*Inputs!$F$5:$F$200*(((Inputs!$G$5:$G$200="moeda")+(Inputs!$G$5:$G$200="acoes"))*Inputs!$B$1+((Inputs!$G$5:$G$200&lt;&gt;"moeda")*(Inputs!$G$5:$G$200&lt;&gt;"acoes")))*INDEX(Inputs!$K$5:$AJ$200,0,MATCH(I$2,Inputs!$K$4:$AJ$4,0)))))</f>
        <v>29.85</v>
      </c>
      <c r="J19" s="6">
        <f>IF(ISNA(MATCH(J$2,Inputs!$K$4:$AJ$4,0)),NA(),IF(SUMPRODUCT((Inputs!$A$5:$A$200=$B19)*ISNUMBER(INDEX(Inputs!$K$5:$AJ$200,0,MATCH(J$2,Inputs!$K$4:$AJ$4,0))))+SUMPRODUCT((Inputs!$C$5:$C$200=$B19)*ISNUMBER(INDEX(Inputs!$K$5:$AJ$200,0,MATCH(J$2,Inputs!$K$4:$AJ$4,0))))+SUMPRODUCT((Inputs!$E$5:$E$200=$B19)*ISNUMBER(INDEX(Inputs!$K$5:$AJ$200,0,MATCH(J$2,Inputs!$K$4:$AJ$4,0))))=0,NA(),SUMPRODUCT((Inputs!$A$5:$A$200=$B19)*Inputs!$B$5:$B$200*(((Inputs!$G$5:$G$200="moeda")+(Inputs!$G$5:$G$200="acoes"))*Inputs!$B$1+((Inputs!$G$5:$G$200&lt;&gt;"moeda")*(Inputs!$G$5:$G$200&lt;&gt;"acoes")))*INDEX(Inputs!$K$5:$AJ$200,0,MATCH(J$2,Inputs!$K$4:$AJ$4,0)))+SUMPRODUCT((Inputs!$C$5:$C$200=$B19)*Inputs!$D$5:$D$200*(((Inputs!$G$5:$G$200="moeda")+(Inputs!$G$5:$G$200="acoes"))*Inputs!$B$1+((Inputs!$G$5:$G$200&lt;&gt;"moeda")*(Inputs!$G$5:$G$200&lt;&gt;"acoes")))*INDEX(Inputs!$K$5:$AJ$200,0,MATCH(J$2,Inputs!$K$4:$AJ$4,0)))+SUMPRODUCT((Inputs!$E$5:$E$200=$B19)*Inputs!$F$5:$F$200*(((Inputs!$G$5:$G$200="moeda")+(Inputs!$G$5:$G$200="acoes"))*Inputs!$B$1+((Inputs!$G$5:$G$200&lt;&gt;"moeda")*(Inputs!$G$5:$G$200&lt;&gt;"acoes")))*INDEX(Inputs!$K$5:$AJ$200,0,MATCH(J$2,Inputs!$K$4:$AJ$4,0)))))</f>
        <v>39.457</v>
      </c>
      <c r="K19" s="6">
        <f>IF(ISNA(MATCH(K$2,Inputs!$K$4:$AJ$4,0)),NA(),IF(SUMPRODUCT((Inputs!$A$5:$A$200=$B19)*ISNUMBER(INDEX(Inputs!$K$5:$AJ$200,0,MATCH(K$2,Inputs!$K$4:$AJ$4,0))))+SUMPRODUCT((Inputs!$C$5:$C$200=$B19)*ISNUMBER(INDEX(Inputs!$K$5:$AJ$200,0,MATCH(K$2,Inputs!$K$4:$AJ$4,0))))+SUMPRODUCT((Inputs!$E$5:$E$200=$B19)*ISNUMBER(INDEX(Inputs!$K$5:$AJ$200,0,MATCH(K$2,Inputs!$K$4:$AJ$4,0))))=0,NA(),SUMPRODUCT((Inputs!$A$5:$A$200=$B19)*Inputs!$B$5:$B$200*(((Inputs!$G$5:$G$200="moeda")+(Inputs!$G$5:$G$200="acoes"))*Inputs!$B$1+((Inputs!$G$5:$G$200&lt;&gt;"moeda")*(Inputs!$G$5:$G$200&lt;&gt;"acoes")))*INDEX(Inputs!$K$5:$AJ$200,0,MATCH(K$2,Inputs!$K$4:$AJ$4,0)))+SUMPRODUCT((Inputs!$C$5:$C$200=$B19)*Inputs!$D$5:$D$200*(((Inputs!$G$5:$G$200="moeda")+(Inputs!$G$5:$G$200="acoes"))*Inputs!$B$1+((Inputs!$G$5:$G$200&lt;&gt;"moeda")*(Inputs!$G$5:$G$200&lt;&gt;"acoes")))*INDEX(Inputs!$K$5:$AJ$200,0,MATCH(K$2,Inputs!$K$4:$AJ$4,0)))+SUMPRODUCT((Inputs!$E$5:$E$200=$B19)*Inputs!$F$5:$F$200*(((Inputs!$G$5:$G$200="moeda")+(Inputs!$G$5:$G$200="acoes"))*Inputs!$B$1+((Inputs!$G$5:$G$200&lt;&gt;"moeda")*(Inputs!$G$5:$G$200&lt;&gt;"acoes")))*INDEX(Inputs!$K$5:$AJ$200,0,MATCH(K$2,Inputs!$K$4:$AJ$4,0)))))</f>
        <v>32.52</v>
      </c>
      <c r="L19" s="6">
        <f>IF(ISNA(MATCH(L$2,Inputs!$K$4:$AJ$4,0)),NA(),IF(SUMPRODUCT((Inputs!$A$5:$A$200=$B19)*ISNUMBER(INDEX(Inputs!$K$5:$AJ$200,0,MATCH(L$2,Inputs!$K$4:$AJ$4,0))))+SUMPRODUCT((Inputs!$C$5:$C$200=$B19)*ISNUMBER(INDEX(Inputs!$K$5:$AJ$200,0,MATCH(L$2,Inputs!$K$4:$AJ$4,0))))+SUMPRODUCT((Inputs!$E$5:$E$200=$B19)*ISNUMBER(INDEX(Inputs!$K$5:$AJ$200,0,MATCH(L$2,Inputs!$K$4:$AJ$4,0))))=0,NA(),SUMPRODUCT((Inputs!$A$5:$A$200=$B19)*Inputs!$B$5:$B$200*(((Inputs!$G$5:$G$200="moeda")+(Inputs!$G$5:$G$200="acoes"))*Inputs!$B$1+((Inputs!$G$5:$G$200&lt;&gt;"moeda")*(Inputs!$G$5:$G$200&lt;&gt;"acoes")))*INDEX(Inputs!$K$5:$AJ$200,0,MATCH(L$2,Inputs!$K$4:$AJ$4,0)))+SUMPRODUCT((Inputs!$C$5:$C$200=$B19)*Inputs!$D$5:$D$200*(((Inputs!$G$5:$G$200="moeda")+(Inputs!$G$5:$G$200="acoes"))*Inputs!$B$1+((Inputs!$G$5:$G$200&lt;&gt;"moeda")*(Inputs!$G$5:$G$200&lt;&gt;"acoes")))*INDEX(Inputs!$K$5:$AJ$200,0,MATCH(L$2,Inputs!$K$4:$AJ$4,0)))+SUMPRODUCT((Inputs!$E$5:$E$200=$B19)*Inputs!$F$5:$F$200*(((Inputs!$G$5:$G$200="moeda")+(Inputs!$G$5:$G$200="acoes"))*Inputs!$B$1+((Inputs!$G$5:$G$200&lt;&gt;"moeda")*(Inputs!$G$5:$G$200&lt;&gt;"acoes")))*INDEX(Inputs!$K$5:$AJ$200,0,MATCH(L$2,Inputs!$K$4:$AJ$4,0)))))</f>
        <v>66.61</v>
      </c>
      <c r="M19" s="3">
        <f>L19</f>
        <v>66.61</v>
      </c>
      <c r="N19" s="6">
        <f>IF(ISNA(MATCH(N$2,Inputs!$K$4:$AJ$4,0)),NA(),IF(SUMPRODUCT((Inputs!$A$5:$A$200=$B19)*ISNUMBER(INDEX(Inputs!$K$5:$AJ$200,0,MATCH(N$2,Inputs!$K$4:$AJ$4,0))))+SUMPRODUCT((Inputs!$C$5:$C$200=$B19)*ISNUMBER(INDEX(Inputs!$K$5:$AJ$200,0,MATCH(N$2,Inputs!$K$4:$AJ$4,0))))+SUMPRODUCT((Inputs!$E$5:$E$200=$B19)*ISNUMBER(INDEX(Inputs!$K$5:$AJ$200,0,MATCH(N$2,Inputs!$K$4:$AJ$4,0))))=0,NA(),SUMPRODUCT((Inputs!$A$5:$A$200=$B19)*Inputs!$B$5:$B$200*(((Inputs!$G$5:$G$200="moeda")+(Inputs!$G$5:$G$200="acoes"))*Inputs!$B$1+((Inputs!$G$5:$G$200&lt;&gt;"moeda")*(Inputs!$G$5:$G$200&lt;&gt;"acoes")))*INDEX(Inputs!$K$5:$AJ$200,0,MATCH(N$2,Inputs!$K$4:$AJ$4,0)))+SUMPRODUCT((Inputs!$C$5:$C$200=$B19)*Inputs!$D$5:$D$200*(((Inputs!$G$5:$G$200="moeda")+(Inputs!$G$5:$G$200="acoes"))*Inputs!$B$1+((Inputs!$G$5:$G$200&lt;&gt;"moeda")*(Inputs!$G$5:$G$200&lt;&gt;"acoes")))*INDEX(Inputs!$K$5:$AJ$200,0,MATCH(N$2,Inputs!$K$4:$AJ$4,0)))+SUMPRODUCT((Inputs!$E$5:$E$200=$B19)*Inputs!$F$5:$F$200*(((Inputs!$G$5:$G$200="moeda")+(Inputs!$G$5:$G$200="acoes"))*Inputs!$B$1+((Inputs!$G$5:$G$200&lt;&gt;"moeda")*(Inputs!$G$5:$G$200&lt;&gt;"acoes")))*INDEX(Inputs!$K$5:$AJ$200,0,MATCH(N$2,Inputs!$K$4:$AJ$4,0)))))</f>
        <v>67.208</v>
      </c>
      <c r="O19" s="6">
        <f>IF(ISNA(MATCH(O$2,Inputs!$K$4:$AJ$4,0)),NA(),IF(SUMPRODUCT((Inputs!$A$5:$A$200=$B19)*ISNUMBER(INDEX(Inputs!$K$5:$AJ$200,0,MATCH(O$2,Inputs!$K$4:$AJ$4,0))))+SUMPRODUCT((Inputs!$C$5:$C$200=$B19)*ISNUMBER(INDEX(Inputs!$K$5:$AJ$200,0,MATCH(O$2,Inputs!$K$4:$AJ$4,0))))+SUMPRODUCT((Inputs!$E$5:$E$200=$B19)*ISNUMBER(INDEX(Inputs!$K$5:$AJ$200,0,MATCH(O$2,Inputs!$K$4:$AJ$4,0))))=0,NA(),SUMPRODUCT((Inputs!$A$5:$A$200=$B19)*Inputs!$B$5:$B$200*(((Inputs!$G$5:$G$200="moeda")+(Inputs!$G$5:$G$200="acoes"))*Inputs!$B$1+((Inputs!$G$5:$G$200&lt;&gt;"moeda")*(Inputs!$G$5:$G$200&lt;&gt;"acoes")))*INDEX(Inputs!$K$5:$AJ$200,0,MATCH(O$2,Inputs!$K$4:$AJ$4,0)))+SUMPRODUCT((Inputs!$C$5:$C$200=$B19)*Inputs!$D$5:$D$200*(((Inputs!$G$5:$G$200="moeda")+(Inputs!$G$5:$G$200="acoes"))*Inputs!$B$1+((Inputs!$G$5:$G$200&lt;&gt;"moeda")*(Inputs!$G$5:$G$200&lt;&gt;"acoes")))*INDEX(Inputs!$K$5:$AJ$200,0,MATCH(O$2,Inputs!$K$4:$AJ$4,0)))+SUMPRODUCT((Inputs!$E$5:$E$200=$B19)*Inputs!$F$5:$F$200*(((Inputs!$G$5:$G$200="moeda")+(Inputs!$G$5:$G$200="acoes"))*Inputs!$B$1+((Inputs!$G$5:$G$200&lt;&gt;"moeda")*(Inputs!$G$5:$G$200&lt;&gt;"acoes")))*INDEX(Inputs!$K$5:$AJ$200,0,MATCH(O$2,Inputs!$K$4:$AJ$4,0)))))</f>
        <v>59.864</v>
      </c>
      <c r="P19" s="6">
        <f>IF(ISNA(MATCH(P$2,Inputs!$K$4:$AJ$4,0)),NA(),IF(SUMPRODUCT((Inputs!$A$5:$A$200=$B19)*ISNUMBER(INDEX(Inputs!$K$5:$AJ$200,0,MATCH(P$2,Inputs!$K$4:$AJ$4,0))))+SUMPRODUCT((Inputs!$C$5:$C$200=$B19)*ISNUMBER(INDEX(Inputs!$K$5:$AJ$200,0,MATCH(P$2,Inputs!$K$4:$AJ$4,0))))+SUMPRODUCT((Inputs!$E$5:$E$200=$B19)*ISNUMBER(INDEX(Inputs!$K$5:$AJ$200,0,MATCH(P$2,Inputs!$K$4:$AJ$4,0))))=0,NA(),SUMPRODUCT((Inputs!$A$5:$A$200=$B19)*Inputs!$B$5:$B$200*(((Inputs!$G$5:$G$200="moeda")+(Inputs!$G$5:$G$200="acoes"))*Inputs!$B$1+((Inputs!$G$5:$G$200&lt;&gt;"moeda")*(Inputs!$G$5:$G$200&lt;&gt;"acoes")))*INDEX(Inputs!$K$5:$AJ$200,0,MATCH(P$2,Inputs!$K$4:$AJ$4,0)))+SUMPRODUCT((Inputs!$C$5:$C$200=$B19)*Inputs!$D$5:$D$200*(((Inputs!$G$5:$G$200="moeda")+(Inputs!$G$5:$G$200="acoes"))*Inputs!$B$1+((Inputs!$G$5:$G$200&lt;&gt;"moeda")*(Inputs!$G$5:$G$200&lt;&gt;"acoes")))*INDEX(Inputs!$K$5:$AJ$200,0,MATCH(P$2,Inputs!$K$4:$AJ$4,0)))+SUMPRODUCT((Inputs!$E$5:$E$200=$B19)*Inputs!$F$5:$F$200*(((Inputs!$G$5:$G$200="moeda")+(Inputs!$G$5:$G$200="acoes"))*Inputs!$B$1+((Inputs!$G$5:$G$200&lt;&gt;"moeda")*(Inputs!$G$5:$G$200&lt;&gt;"acoes")))*INDEX(Inputs!$K$5:$AJ$200,0,MATCH(P$2,Inputs!$K$4:$AJ$4,0)))))</f>
        <v>72.984</v>
      </c>
      <c r="Q19" s="6">
        <f>IF(ISNA(MATCH(Q$2,Inputs!$K$4:$AJ$4,0)),NA(),IF(SUMPRODUCT((Inputs!$A$5:$A$200=$B19)*ISNUMBER(INDEX(Inputs!$K$5:$AJ$200,0,MATCH(Q$2,Inputs!$K$4:$AJ$4,0))))+SUMPRODUCT((Inputs!$C$5:$C$200=$B19)*ISNUMBER(INDEX(Inputs!$K$5:$AJ$200,0,MATCH(Q$2,Inputs!$K$4:$AJ$4,0))))+SUMPRODUCT((Inputs!$E$5:$E$200=$B19)*ISNUMBER(INDEX(Inputs!$K$5:$AJ$200,0,MATCH(Q$2,Inputs!$K$4:$AJ$4,0))))=0,NA(),SUMPRODUCT((Inputs!$A$5:$A$200=$B19)*Inputs!$B$5:$B$200*(((Inputs!$G$5:$G$200="moeda")+(Inputs!$G$5:$G$200="acoes"))*Inputs!$B$1+((Inputs!$G$5:$G$200&lt;&gt;"moeda")*(Inputs!$G$5:$G$200&lt;&gt;"acoes")))*INDEX(Inputs!$K$5:$AJ$200,0,MATCH(Q$2,Inputs!$K$4:$AJ$4,0)))+SUMPRODUCT((Inputs!$C$5:$C$200=$B19)*Inputs!$D$5:$D$200*(((Inputs!$G$5:$G$200="moeda")+(Inputs!$G$5:$G$200="acoes"))*Inputs!$B$1+((Inputs!$G$5:$G$200&lt;&gt;"moeda")*(Inputs!$G$5:$G$200&lt;&gt;"acoes")))*INDEX(Inputs!$K$5:$AJ$200,0,MATCH(Q$2,Inputs!$K$4:$AJ$4,0)))+SUMPRODUCT((Inputs!$E$5:$E$200=$B19)*Inputs!$F$5:$F$200*(((Inputs!$G$5:$G$200="moeda")+(Inputs!$G$5:$G$200="acoes"))*Inputs!$B$1+((Inputs!$G$5:$G$200&lt;&gt;"moeda")*(Inputs!$G$5:$G$200&lt;&gt;"acoes")))*INDEX(Inputs!$K$5:$AJ$200,0,MATCH(Q$2,Inputs!$K$4:$AJ$4,0)))))</f>
        <v>55.392</v>
      </c>
      <c r="R19" s="3">
        <f>Q19</f>
        <v>55.392</v>
      </c>
      <c r="S19" s="6">
        <f>IF(ISNA(MATCH(S$2,Inputs!$K$4:$AJ$4,0)),NA(),IF(SUMPRODUCT((Inputs!$A$5:$A$200=$B19)*ISNUMBER(INDEX(Inputs!$K$5:$AJ$200,0,MATCH(S$2,Inputs!$K$4:$AJ$4,0))))+SUMPRODUCT((Inputs!$C$5:$C$200=$B19)*ISNUMBER(INDEX(Inputs!$K$5:$AJ$200,0,MATCH(S$2,Inputs!$K$4:$AJ$4,0))))+SUMPRODUCT((Inputs!$E$5:$E$200=$B19)*ISNUMBER(INDEX(Inputs!$K$5:$AJ$200,0,MATCH(S$2,Inputs!$K$4:$AJ$4,0))))=0,NA(),SUMPRODUCT((Inputs!$A$5:$A$200=$B19)*Inputs!$B$5:$B$200*(((Inputs!$G$5:$G$200="moeda")+(Inputs!$G$5:$G$200="acoes"))*Inputs!$B$1+((Inputs!$G$5:$G$200&lt;&gt;"moeda")*(Inputs!$G$5:$G$200&lt;&gt;"acoes")))*INDEX(Inputs!$K$5:$AJ$200,0,MATCH(S$2,Inputs!$K$4:$AJ$4,0)))+SUMPRODUCT((Inputs!$C$5:$C$200=$B19)*Inputs!$D$5:$D$200*(((Inputs!$G$5:$G$200="moeda")+(Inputs!$G$5:$G$200="acoes"))*Inputs!$B$1+((Inputs!$G$5:$G$200&lt;&gt;"moeda")*(Inputs!$G$5:$G$200&lt;&gt;"acoes")))*INDEX(Inputs!$K$5:$AJ$200,0,MATCH(S$2,Inputs!$K$4:$AJ$4,0)))+SUMPRODUCT((Inputs!$E$5:$E$200=$B19)*Inputs!$F$5:$F$200*(((Inputs!$G$5:$G$200="moeda")+(Inputs!$G$5:$G$200="acoes"))*Inputs!$B$1+((Inputs!$G$5:$G$200&lt;&gt;"moeda")*(Inputs!$G$5:$G$200&lt;&gt;"acoes")))*INDEX(Inputs!$K$5:$AJ$200,0,MATCH(S$2,Inputs!$K$4:$AJ$4,0)))))</f>
        <v>61.007</v>
      </c>
      <c r="T19" s="6">
        <f>IF(ISNA(MATCH(T$2,Inputs!$K$4:$AJ$4,0)),NA(),IF(SUMPRODUCT((Inputs!$A$5:$A$200=$B19)*ISNUMBER(INDEX(Inputs!$K$5:$AJ$200,0,MATCH(T$2,Inputs!$K$4:$AJ$4,0))))+SUMPRODUCT((Inputs!$C$5:$C$200=$B19)*ISNUMBER(INDEX(Inputs!$K$5:$AJ$200,0,MATCH(T$2,Inputs!$K$4:$AJ$4,0))))+SUMPRODUCT((Inputs!$E$5:$E$200=$B19)*ISNUMBER(INDEX(Inputs!$K$5:$AJ$200,0,MATCH(T$2,Inputs!$K$4:$AJ$4,0))))=0,NA(),SUMPRODUCT((Inputs!$A$5:$A$200=$B19)*Inputs!$B$5:$B$200*(((Inputs!$G$5:$G$200="moeda")+(Inputs!$G$5:$G$200="acoes"))*Inputs!$B$1+((Inputs!$G$5:$G$200&lt;&gt;"moeda")*(Inputs!$G$5:$G$200&lt;&gt;"acoes")))*INDEX(Inputs!$K$5:$AJ$200,0,MATCH(T$2,Inputs!$K$4:$AJ$4,0)))+SUMPRODUCT((Inputs!$C$5:$C$200=$B19)*Inputs!$D$5:$D$200*(((Inputs!$G$5:$G$200="moeda")+(Inputs!$G$5:$G$200="acoes"))*Inputs!$B$1+((Inputs!$G$5:$G$200&lt;&gt;"moeda")*(Inputs!$G$5:$G$200&lt;&gt;"acoes")))*INDEX(Inputs!$K$5:$AJ$200,0,MATCH(T$2,Inputs!$K$4:$AJ$4,0)))+SUMPRODUCT((Inputs!$E$5:$E$200=$B19)*Inputs!$F$5:$F$200*(((Inputs!$G$5:$G$200="moeda")+(Inputs!$G$5:$G$200="acoes"))*Inputs!$B$1+((Inputs!$G$5:$G$200&lt;&gt;"moeda")*(Inputs!$G$5:$G$200&lt;&gt;"acoes")))*INDEX(Inputs!$K$5:$AJ$200,0,MATCH(T$2,Inputs!$K$4:$AJ$4,0)))))</f>
        <v>70.199</v>
      </c>
      <c r="U19" s="6">
        <f>IF(ISNA(MATCH(U$2,Inputs!$K$4:$AJ$4,0)),NA(),IF(SUMPRODUCT((Inputs!$A$5:$A$200=$B19)*ISNUMBER(INDEX(Inputs!$K$5:$AJ$200,0,MATCH(U$2,Inputs!$K$4:$AJ$4,0))))+SUMPRODUCT((Inputs!$C$5:$C$200=$B19)*ISNUMBER(INDEX(Inputs!$K$5:$AJ$200,0,MATCH(U$2,Inputs!$K$4:$AJ$4,0))))+SUMPRODUCT((Inputs!$E$5:$E$200=$B19)*ISNUMBER(INDEX(Inputs!$K$5:$AJ$200,0,MATCH(U$2,Inputs!$K$4:$AJ$4,0))))=0,NA(),SUMPRODUCT((Inputs!$A$5:$A$200=$B19)*Inputs!$B$5:$B$200*(((Inputs!$G$5:$G$200="moeda")+(Inputs!$G$5:$G$200="acoes"))*Inputs!$B$1+((Inputs!$G$5:$G$200&lt;&gt;"moeda")*(Inputs!$G$5:$G$200&lt;&gt;"acoes")))*INDEX(Inputs!$K$5:$AJ$200,0,MATCH(U$2,Inputs!$K$4:$AJ$4,0)))+SUMPRODUCT((Inputs!$C$5:$C$200=$B19)*Inputs!$D$5:$D$200*(((Inputs!$G$5:$G$200="moeda")+(Inputs!$G$5:$G$200="acoes"))*Inputs!$B$1+((Inputs!$G$5:$G$200&lt;&gt;"moeda")*(Inputs!$G$5:$G$200&lt;&gt;"acoes")))*INDEX(Inputs!$K$5:$AJ$200,0,MATCH(U$2,Inputs!$K$4:$AJ$4,0)))+SUMPRODUCT((Inputs!$E$5:$E$200=$B19)*Inputs!$F$5:$F$200*(((Inputs!$G$5:$G$200="moeda")+(Inputs!$G$5:$G$200="acoes"))*Inputs!$B$1+((Inputs!$G$5:$G$200&lt;&gt;"moeda")*(Inputs!$G$5:$G$200&lt;&gt;"acoes")))*INDEX(Inputs!$K$5:$AJ$200,0,MATCH(U$2,Inputs!$K$4:$AJ$4,0)))))</f>
        <v>69.438</v>
      </c>
      <c r="V19" s="6">
        <f>IF(ISNA(MATCH(V$2,Inputs!$K$4:$AJ$4,0)),NA(),IF(SUMPRODUCT((Inputs!$A$5:$A$200=$B19)*ISNUMBER(INDEX(Inputs!$K$5:$AJ$200,0,MATCH(V$2,Inputs!$K$4:$AJ$4,0))))+SUMPRODUCT((Inputs!$C$5:$C$200=$B19)*ISNUMBER(INDEX(Inputs!$K$5:$AJ$200,0,MATCH(V$2,Inputs!$K$4:$AJ$4,0))))+SUMPRODUCT((Inputs!$E$5:$E$200=$B19)*ISNUMBER(INDEX(Inputs!$K$5:$AJ$200,0,MATCH(V$2,Inputs!$K$4:$AJ$4,0))))=0,NA(),SUMPRODUCT((Inputs!$A$5:$A$200=$B19)*Inputs!$B$5:$B$200*(((Inputs!$G$5:$G$200="moeda")+(Inputs!$G$5:$G$200="acoes"))*Inputs!$B$1+((Inputs!$G$5:$G$200&lt;&gt;"moeda")*(Inputs!$G$5:$G$200&lt;&gt;"acoes")))*INDEX(Inputs!$K$5:$AJ$200,0,MATCH(V$2,Inputs!$K$4:$AJ$4,0)))+SUMPRODUCT((Inputs!$C$5:$C$200=$B19)*Inputs!$D$5:$D$200*(((Inputs!$G$5:$G$200="moeda")+(Inputs!$G$5:$G$200="acoes"))*Inputs!$B$1+((Inputs!$G$5:$G$200&lt;&gt;"moeda")*(Inputs!$G$5:$G$200&lt;&gt;"acoes")))*INDEX(Inputs!$K$5:$AJ$200,0,MATCH(V$2,Inputs!$K$4:$AJ$4,0)))+SUMPRODUCT((Inputs!$E$5:$E$200=$B19)*Inputs!$F$5:$F$200*(((Inputs!$G$5:$G$200="moeda")+(Inputs!$G$5:$G$200="acoes"))*Inputs!$B$1+((Inputs!$G$5:$G$200&lt;&gt;"moeda")*(Inputs!$G$5:$G$200&lt;&gt;"acoes")))*INDEX(Inputs!$K$5:$AJ$200,0,MATCH(V$2,Inputs!$K$4:$AJ$4,0)))))</f>
        <v>64.71</v>
      </c>
      <c r="W19" s="3">
        <f>V19</f>
        <v>64.71</v>
      </c>
      <c r="X19" s="6">
        <f>IF(ISNA(MATCH(X$2,Inputs!$K$4:$AJ$4,0)),NA(),IF(SUMPRODUCT((Inputs!$A$5:$A$200=$B19)*ISNUMBER(INDEX(Inputs!$K$5:$AJ$200,0,MATCH(X$2,Inputs!$K$4:$AJ$4,0))))+SUMPRODUCT((Inputs!$C$5:$C$200=$B19)*ISNUMBER(INDEX(Inputs!$K$5:$AJ$200,0,MATCH(X$2,Inputs!$K$4:$AJ$4,0))))+SUMPRODUCT((Inputs!$E$5:$E$200=$B19)*ISNUMBER(INDEX(Inputs!$K$5:$AJ$200,0,MATCH(X$2,Inputs!$K$4:$AJ$4,0))))=0,NA(),SUMPRODUCT((Inputs!$A$5:$A$200=$B19)*Inputs!$B$5:$B$200*(((Inputs!$G$5:$G$200="moeda")+(Inputs!$G$5:$G$200="acoes"))*Inputs!$B$1+((Inputs!$G$5:$G$200&lt;&gt;"moeda")*(Inputs!$G$5:$G$200&lt;&gt;"acoes")))*INDEX(Inputs!$K$5:$AJ$200,0,MATCH(X$2,Inputs!$K$4:$AJ$4,0)))+SUMPRODUCT((Inputs!$C$5:$C$200=$B19)*Inputs!$D$5:$D$200*(((Inputs!$G$5:$G$200="moeda")+(Inputs!$G$5:$G$200="acoes"))*Inputs!$B$1+((Inputs!$G$5:$G$200&lt;&gt;"moeda")*(Inputs!$G$5:$G$200&lt;&gt;"acoes")))*INDEX(Inputs!$K$5:$AJ$200,0,MATCH(X$2,Inputs!$K$4:$AJ$4,0)))+SUMPRODUCT((Inputs!$E$5:$E$200=$B19)*Inputs!$F$5:$F$200*(((Inputs!$G$5:$G$200="moeda")+(Inputs!$G$5:$G$200="acoes"))*Inputs!$B$1+((Inputs!$G$5:$G$200&lt;&gt;"moeda")*(Inputs!$G$5:$G$200&lt;&gt;"acoes")))*INDEX(Inputs!$K$5:$AJ$200,0,MATCH(X$2,Inputs!$K$4:$AJ$4,0)))))</f>
        <v>71.189</v>
      </c>
      <c r="Y19" s="6">
        <f>IF(ISNA(MATCH(Y$2,Inputs!$K$4:$AJ$4,0)),NA(),IF(SUMPRODUCT((Inputs!$A$5:$A$200=$B19)*ISNUMBER(INDEX(Inputs!$K$5:$AJ$200,0,MATCH(Y$2,Inputs!$K$4:$AJ$4,0))))+SUMPRODUCT((Inputs!$C$5:$C$200=$B19)*ISNUMBER(INDEX(Inputs!$K$5:$AJ$200,0,MATCH(Y$2,Inputs!$K$4:$AJ$4,0))))+SUMPRODUCT((Inputs!$E$5:$E$200=$B19)*ISNUMBER(INDEX(Inputs!$K$5:$AJ$200,0,MATCH(Y$2,Inputs!$K$4:$AJ$4,0))))=0,NA(),SUMPRODUCT((Inputs!$A$5:$A$200=$B19)*Inputs!$B$5:$B$200*(((Inputs!$G$5:$G$200="moeda")+(Inputs!$G$5:$G$200="acoes"))*Inputs!$B$1+((Inputs!$G$5:$G$200&lt;&gt;"moeda")*(Inputs!$G$5:$G$200&lt;&gt;"acoes")))*INDEX(Inputs!$K$5:$AJ$200,0,MATCH(Y$2,Inputs!$K$4:$AJ$4,0)))+SUMPRODUCT((Inputs!$C$5:$C$200=$B19)*Inputs!$D$5:$D$200*(((Inputs!$G$5:$G$200="moeda")+(Inputs!$G$5:$G$200="acoes"))*Inputs!$B$1+((Inputs!$G$5:$G$200&lt;&gt;"moeda")*(Inputs!$G$5:$G$200&lt;&gt;"acoes")))*INDEX(Inputs!$K$5:$AJ$200,0,MATCH(Y$2,Inputs!$K$4:$AJ$4,0)))+SUMPRODUCT((Inputs!$E$5:$E$200=$B19)*Inputs!$F$5:$F$200*(((Inputs!$G$5:$G$200="moeda")+(Inputs!$G$5:$G$200="acoes"))*Inputs!$B$1+((Inputs!$G$5:$G$200&lt;&gt;"moeda")*(Inputs!$G$5:$G$200&lt;&gt;"acoes")))*INDEX(Inputs!$K$5:$AJ$200,0,MATCH(Y$2,Inputs!$K$4:$AJ$4,0)))))</f>
        <v>66.307</v>
      </c>
      <c r="Z19" s="6">
        <f>IF(ISNA(MATCH(Z$2,Inputs!$K$4:$AJ$4,0)),NA(),IF(SUMPRODUCT((Inputs!$A$5:$A$200=$B19)*ISNUMBER(INDEX(Inputs!$K$5:$AJ$200,0,MATCH(Z$2,Inputs!$K$4:$AJ$4,0))))+SUMPRODUCT((Inputs!$C$5:$C$200=$B19)*ISNUMBER(INDEX(Inputs!$K$5:$AJ$200,0,MATCH(Z$2,Inputs!$K$4:$AJ$4,0))))+SUMPRODUCT((Inputs!$E$5:$E$200=$B19)*ISNUMBER(INDEX(Inputs!$K$5:$AJ$200,0,MATCH(Z$2,Inputs!$K$4:$AJ$4,0))))=0,NA(),SUMPRODUCT((Inputs!$A$5:$A$200=$B19)*Inputs!$B$5:$B$200*(((Inputs!$G$5:$G$200="moeda")+(Inputs!$G$5:$G$200="acoes"))*Inputs!$B$1+((Inputs!$G$5:$G$200&lt;&gt;"moeda")*(Inputs!$G$5:$G$200&lt;&gt;"acoes")))*INDEX(Inputs!$K$5:$AJ$200,0,MATCH(Z$2,Inputs!$K$4:$AJ$4,0)))+SUMPRODUCT((Inputs!$C$5:$C$200=$B19)*Inputs!$D$5:$D$200*(((Inputs!$G$5:$G$200="moeda")+(Inputs!$G$5:$G$200="acoes"))*Inputs!$B$1+((Inputs!$G$5:$G$200&lt;&gt;"moeda")*(Inputs!$G$5:$G$200&lt;&gt;"acoes")))*INDEX(Inputs!$K$5:$AJ$200,0,MATCH(Z$2,Inputs!$K$4:$AJ$4,0)))+SUMPRODUCT((Inputs!$E$5:$E$200=$B19)*Inputs!$F$5:$F$200*(((Inputs!$G$5:$G$200="moeda")+(Inputs!$G$5:$G$200="acoes"))*Inputs!$B$1+((Inputs!$G$5:$G$200&lt;&gt;"moeda")*(Inputs!$G$5:$G$200&lt;&gt;"acoes")))*INDEX(Inputs!$K$5:$AJ$200,0,MATCH(Z$2,Inputs!$K$4:$AJ$4,0)))))</f>
        <v>68.472</v>
      </c>
      <c r="AA19" s="6">
        <f>IF(ISNA(MATCH(AA$2,Inputs!$K$4:$AJ$4,0)),NA(),IF(SUMPRODUCT((Inputs!$A$5:$A$200=$B19)*ISNUMBER(INDEX(Inputs!$K$5:$AJ$200,0,MATCH(AA$2,Inputs!$K$4:$AJ$4,0))))+SUMPRODUCT((Inputs!$C$5:$C$200=$B19)*ISNUMBER(INDEX(Inputs!$K$5:$AJ$200,0,MATCH(AA$2,Inputs!$K$4:$AJ$4,0))))+SUMPRODUCT((Inputs!$E$5:$E$200=$B19)*ISNUMBER(INDEX(Inputs!$K$5:$AJ$200,0,MATCH(AA$2,Inputs!$K$4:$AJ$4,0))))=0,NA(),SUMPRODUCT((Inputs!$A$5:$A$200=$B19)*Inputs!$B$5:$B$200*(((Inputs!$G$5:$G$200="moeda")+(Inputs!$G$5:$G$200="acoes"))*Inputs!$B$1+((Inputs!$G$5:$G$200&lt;&gt;"moeda")*(Inputs!$G$5:$G$200&lt;&gt;"acoes")))*INDEX(Inputs!$K$5:$AJ$200,0,MATCH(AA$2,Inputs!$K$4:$AJ$4,0)))+SUMPRODUCT((Inputs!$C$5:$C$200=$B19)*Inputs!$D$5:$D$200*(((Inputs!$G$5:$G$200="moeda")+(Inputs!$G$5:$G$200="acoes"))*Inputs!$B$1+((Inputs!$G$5:$G$200&lt;&gt;"moeda")*(Inputs!$G$5:$G$200&lt;&gt;"acoes")))*INDEX(Inputs!$K$5:$AJ$200,0,MATCH(AA$2,Inputs!$K$4:$AJ$4,0)))+SUMPRODUCT((Inputs!$E$5:$E$200=$B19)*Inputs!$F$5:$F$200*(((Inputs!$G$5:$G$200="moeda")+(Inputs!$G$5:$G$200="acoes"))*Inputs!$B$1+((Inputs!$G$5:$G$200&lt;&gt;"moeda")*(Inputs!$G$5:$G$200&lt;&gt;"acoes")))*INDEX(Inputs!$K$5:$AJ$200,0,MATCH(AA$2,Inputs!$K$4:$AJ$4,0)))))</f>
        <v>74.018</v>
      </c>
      <c r="AB19" s="3">
        <f>AA19</f>
        <v>74.018</v>
      </c>
      <c r="AC19" s="6">
        <f>IF(ISNA(MATCH(AC$2,Inputs!$K$4:$AJ$4,0)),NA(),IF(SUMPRODUCT((Inputs!$A$5:$A$200=$B19)*ISNUMBER(INDEX(Inputs!$K$5:$AJ$200,0,MATCH(AC$2,Inputs!$K$4:$AJ$4,0))))+SUMPRODUCT((Inputs!$C$5:$C$200=$B19)*ISNUMBER(INDEX(Inputs!$K$5:$AJ$200,0,MATCH(AC$2,Inputs!$K$4:$AJ$4,0))))+SUMPRODUCT((Inputs!$E$5:$E$200=$B19)*ISNUMBER(INDEX(Inputs!$K$5:$AJ$200,0,MATCH(AC$2,Inputs!$K$4:$AJ$4,0))))=0,NA(),SUMPRODUCT((Inputs!$A$5:$A$200=$B19)*Inputs!$B$5:$B$200*(((Inputs!$G$5:$G$200="moeda")+(Inputs!$G$5:$G$200="acoes"))*Inputs!$B$1+((Inputs!$G$5:$G$200&lt;&gt;"moeda")*(Inputs!$G$5:$G$200&lt;&gt;"acoes")))*INDEX(Inputs!$K$5:$AJ$200,0,MATCH(AC$2,Inputs!$K$4:$AJ$4,0)))+SUMPRODUCT((Inputs!$C$5:$C$200=$B19)*Inputs!$D$5:$D$200*(((Inputs!$G$5:$G$200="moeda")+(Inputs!$G$5:$G$200="acoes"))*Inputs!$B$1+((Inputs!$G$5:$G$200&lt;&gt;"moeda")*(Inputs!$G$5:$G$200&lt;&gt;"acoes")))*INDEX(Inputs!$K$5:$AJ$200,0,MATCH(AC$2,Inputs!$K$4:$AJ$4,0)))+SUMPRODUCT((Inputs!$E$5:$E$200=$B19)*Inputs!$F$5:$F$200*(((Inputs!$G$5:$G$200="moeda")+(Inputs!$G$5:$G$200="acoes"))*Inputs!$B$1+((Inputs!$G$5:$G$200&lt;&gt;"moeda")*(Inputs!$G$5:$G$200&lt;&gt;"acoes")))*INDEX(Inputs!$K$5:$AJ$200,0,MATCH(AC$2,Inputs!$K$4:$AJ$4,0)))))</f>
        <v>81.923</v>
      </c>
      <c r="AD19" s="6">
        <f>IF(ISNA(MATCH(AD$2,Inputs!$K$4:$AJ$4,0)),NA(),IF(SUMPRODUCT((Inputs!$A$5:$A$200=$B19)*ISNUMBER(INDEX(Inputs!$K$5:$AJ$200,0,MATCH(AD$2,Inputs!$K$4:$AJ$4,0))))+SUMPRODUCT((Inputs!$C$5:$C$200=$B19)*ISNUMBER(INDEX(Inputs!$K$5:$AJ$200,0,MATCH(AD$2,Inputs!$K$4:$AJ$4,0))))+SUMPRODUCT((Inputs!$E$5:$E$200=$B19)*ISNUMBER(INDEX(Inputs!$K$5:$AJ$200,0,MATCH(AD$2,Inputs!$K$4:$AJ$4,0))))=0,NA(),SUMPRODUCT((Inputs!$A$5:$A$200=$B19)*Inputs!$B$5:$B$200*(((Inputs!$G$5:$G$200="moeda")+(Inputs!$G$5:$G$200="acoes"))*Inputs!$B$1+((Inputs!$G$5:$G$200&lt;&gt;"moeda")*(Inputs!$G$5:$G$200&lt;&gt;"acoes")))*INDEX(Inputs!$K$5:$AJ$200,0,MATCH(AD$2,Inputs!$K$4:$AJ$4,0)))+SUMPRODUCT((Inputs!$C$5:$C$200=$B19)*Inputs!$D$5:$D$200*(((Inputs!$G$5:$G$200="moeda")+(Inputs!$G$5:$G$200="acoes"))*Inputs!$B$1+((Inputs!$G$5:$G$200&lt;&gt;"moeda")*(Inputs!$G$5:$G$200&lt;&gt;"acoes")))*INDEX(Inputs!$K$5:$AJ$200,0,MATCH(AD$2,Inputs!$K$4:$AJ$4,0)))+SUMPRODUCT((Inputs!$E$5:$E$200=$B19)*Inputs!$F$5:$F$200*(((Inputs!$G$5:$G$200="moeda")+(Inputs!$G$5:$G$200="acoes"))*Inputs!$B$1+((Inputs!$G$5:$G$200&lt;&gt;"moeda")*(Inputs!$G$5:$G$200&lt;&gt;"acoes")))*INDEX(Inputs!$K$5:$AJ$200,0,MATCH(AD$2,Inputs!$K$4:$AJ$4,0)))))</f>
        <v>201.152</v>
      </c>
      <c r="AE19" s="6" t="e">
        <f>IF(ISNA(MATCH(AE$2,Inputs!$K$4:$AJ$4,0)),NA(),IF(SUMPRODUCT((Inputs!$A$5:$A$200=$B19)*ISNUMBER(INDEX(Inputs!$K$5:$AJ$200,0,MATCH(AE$2,Inputs!$K$4:$AJ$4,0))))+SUMPRODUCT((Inputs!$C$5:$C$200=$B19)*ISNUMBER(INDEX(Inputs!$K$5:$AJ$200,0,MATCH(AE$2,Inputs!$K$4:$AJ$4,0))))+SUMPRODUCT((Inputs!$E$5:$E$200=$B19)*ISNUMBER(INDEX(Inputs!$K$5:$AJ$200,0,MATCH(AE$2,Inputs!$K$4:$AJ$4,0))))=0,NA(),SUMPRODUCT((Inputs!$A$5:$A$200=$B19)*Inputs!$B$5:$B$200*(((Inputs!$G$5:$G$200="moeda")+(Inputs!$G$5:$G$200="acoes"))*Inputs!$B$1+((Inputs!$G$5:$G$200&lt;&gt;"moeda")*(Inputs!$G$5:$G$200&lt;&gt;"acoes")))*INDEX(Inputs!$K$5:$AJ$200,0,MATCH(AE$2,Inputs!$K$4:$AJ$4,0)))+SUMPRODUCT((Inputs!$C$5:$C$200=$B19)*Inputs!$D$5:$D$200*(((Inputs!$G$5:$G$200="moeda")+(Inputs!$G$5:$G$200="acoes"))*Inputs!$B$1+((Inputs!$G$5:$G$200&lt;&gt;"moeda")*(Inputs!$G$5:$G$200&lt;&gt;"acoes")))*INDEX(Inputs!$K$5:$AJ$200,0,MATCH(AE$2,Inputs!$K$4:$AJ$4,0)))+SUMPRODUCT((Inputs!$E$5:$E$200=$B19)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19" s="6" t="e">
        <f>IF(ISNA(MATCH(AF$2,Inputs!$K$4:$AJ$4,0)),NA(),IF(SUMPRODUCT((Inputs!$A$5:$A$200=$B19)*ISNUMBER(INDEX(Inputs!$K$5:$AJ$200,0,MATCH(AF$2,Inputs!$K$4:$AJ$4,0))))+SUMPRODUCT((Inputs!$C$5:$C$200=$B19)*ISNUMBER(INDEX(Inputs!$K$5:$AJ$200,0,MATCH(AF$2,Inputs!$K$4:$AJ$4,0))))+SUMPRODUCT((Inputs!$E$5:$E$200=$B19)*ISNUMBER(INDEX(Inputs!$K$5:$AJ$200,0,MATCH(AF$2,Inputs!$K$4:$AJ$4,0))))=0,NA(),SUMPRODUCT((Inputs!$A$5:$A$200=$B19)*Inputs!$B$5:$B$200*(((Inputs!$G$5:$G$200="moeda")+(Inputs!$G$5:$G$200="acoes"))*Inputs!$B$1+((Inputs!$G$5:$G$200&lt;&gt;"moeda")*(Inputs!$G$5:$G$200&lt;&gt;"acoes")))*INDEX(Inputs!$K$5:$AJ$200,0,MATCH(AF$2,Inputs!$K$4:$AJ$4,0)))+SUMPRODUCT((Inputs!$C$5:$C$200=$B19)*Inputs!$D$5:$D$200*(((Inputs!$G$5:$G$200="moeda")+(Inputs!$G$5:$G$200="acoes"))*Inputs!$B$1+((Inputs!$G$5:$G$200&lt;&gt;"moeda")*(Inputs!$G$5:$G$200&lt;&gt;"acoes")))*INDEX(Inputs!$K$5:$AJ$200,0,MATCH(AF$2,Inputs!$K$4:$AJ$4,0)))+SUMPRODUCT((Inputs!$E$5:$E$200=$B19)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19" s="3" t="e">
        <f>AF19</f>
        <v>#N/A</v>
      </c>
      <c r="AH19" s="6">
        <f>IF(ISNA(MATCH(AH$2,Inputs!$K$4:$AJ$4,0)),NA(),IF(SUMPRODUCT((Inputs!$A$5:$A$200=$B19)*ISNUMBER(INDEX(Inputs!$K$5:$AJ$200,0,MATCH(AH$2,Inputs!$K$4:$AJ$4,0))))+SUMPRODUCT((Inputs!$C$5:$C$200=$B19)*ISNUMBER(INDEX(Inputs!$K$5:$AJ$200,0,MATCH(AH$2,Inputs!$K$4:$AJ$4,0))))+SUMPRODUCT((Inputs!$E$5:$E$200=$B19)*ISNUMBER(INDEX(Inputs!$K$5:$AJ$200,0,MATCH(AH$2,Inputs!$K$4:$AJ$4,0))))=0,NA(),SUMPRODUCT((Inputs!$A$5:$A$200=$B19)*Inputs!$B$5:$B$200*(((Inputs!$G$5:$G$200="moeda")+(Inputs!$G$5:$G$200="acoes"))*Inputs!$B$1+((Inputs!$G$5:$G$200&lt;&gt;"moeda")*(Inputs!$G$5:$G$200&lt;&gt;"acoes")))*INDEX(Inputs!$K$5:$AJ$200,0,MATCH(AH$2,Inputs!$K$4:$AJ$4,0)))+SUMPRODUCT((Inputs!$C$5:$C$200=$B19)*Inputs!$D$5:$D$200*(((Inputs!$G$5:$G$200="moeda")+(Inputs!$G$5:$G$200="acoes"))*Inputs!$B$1+((Inputs!$G$5:$G$200&lt;&gt;"moeda")*(Inputs!$G$5:$G$200&lt;&gt;"acoes")))*INDEX(Inputs!$K$5:$AJ$200,0,MATCH(AH$2,Inputs!$K$4:$AJ$4,0)))+SUMPRODUCT((Inputs!$E$5:$E$200=$B19)*Inputs!$F$5:$F$200*(((Inputs!$G$5:$G$200="moeda")+(Inputs!$G$5:$G$200="acoes"))*Inputs!$B$1+((Inputs!$G$5:$G$200&lt;&gt;"moeda")*(Inputs!$G$5:$G$200&lt;&gt;"acoes")))*INDEX(Inputs!$K$5:$AJ$200,0,MATCH(AH$2,Inputs!$K$4:$AJ$4,0)))))</f>
        <v>16.073</v>
      </c>
      <c r="AI19" s="6">
        <f>IF(ISNA(MATCH(AI$2,Inputs!$K$4:$AJ$4,0)),NA(),IF(SUMPRODUCT((Inputs!$A$5:$A$200=$B19)*ISNUMBER(INDEX(Inputs!$K$5:$AJ$200,0,MATCH(AI$2,Inputs!$K$4:$AJ$4,0))))+SUMPRODUCT((Inputs!$C$5:$C$200=$B19)*ISNUMBER(INDEX(Inputs!$K$5:$AJ$200,0,MATCH(AI$2,Inputs!$K$4:$AJ$4,0))))+SUMPRODUCT((Inputs!$E$5:$E$200=$B19)*ISNUMBER(INDEX(Inputs!$K$5:$AJ$200,0,MATCH(AI$2,Inputs!$K$4:$AJ$4,0))))=0,NA(),SUMPRODUCT((Inputs!$A$5:$A$200=$B19)*Inputs!$B$5:$B$200*(((Inputs!$G$5:$G$200="moeda")+(Inputs!$G$5:$G$200="acoes"))*Inputs!$B$1+((Inputs!$G$5:$G$200&lt;&gt;"moeda")*(Inputs!$G$5:$G$200&lt;&gt;"acoes")))*INDEX(Inputs!$K$5:$AJ$200,0,MATCH(AI$2,Inputs!$K$4:$AJ$4,0)))+SUMPRODUCT((Inputs!$C$5:$C$200=$B19)*Inputs!$D$5:$D$200*(((Inputs!$G$5:$G$200="moeda")+(Inputs!$G$5:$G$200="acoes"))*Inputs!$B$1+((Inputs!$G$5:$G$200&lt;&gt;"moeda")*(Inputs!$G$5:$G$200&lt;&gt;"acoes")))*INDEX(Inputs!$K$5:$AJ$200,0,MATCH(AI$2,Inputs!$K$4:$AJ$4,0)))+SUMPRODUCT((Inputs!$E$5:$E$200=$B19)*Inputs!$F$5:$F$200*(((Inputs!$G$5:$G$200="moeda")+(Inputs!$G$5:$G$200="acoes"))*Inputs!$B$1+((Inputs!$G$5:$G$200&lt;&gt;"moeda")*(Inputs!$G$5:$G$200&lt;&gt;"acoes")))*INDEX(Inputs!$K$5:$AJ$200,0,MATCH(AI$2,Inputs!$K$4:$AJ$4,0)))))</f>
        <v>12.855</v>
      </c>
      <c r="AJ19" s="6">
        <f>IF(ISNA(MATCH(AJ$2,Inputs!$K$4:$AJ$4,0)),NA(),IF(SUMPRODUCT((Inputs!$A$5:$A$200=$B19)*ISNUMBER(INDEX(Inputs!$K$5:$AJ$200,0,MATCH(AJ$2,Inputs!$K$4:$AJ$4,0))))+SUMPRODUCT((Inputs!$C$5:$C$200=$B19)*ISNUMBER(INDEX(Inputs!$K$5:$AJ$200,0,MATCH(AJ$2,Inputs!$K$4:$AJ$4,0))))+SUMPRODUCT((Inputs!$E$5:$E$200=$B19)*ISNUMBER(INDEX(Inputs!$K$5:$AJ$200,0,MATCH(AJ$2,Inputs!$K$4:$AJ$4,0))))=0,NA(),SUMPRODUCT((Inputs!$A$5:$A$200=$B19)*Inputs!$B$5:$B$200*(((Inputs!$G$5:$G$200="moeda")+(Inputs!$G$5:$G$200="acoes"))*Inputs!$B$1+((Inputs!$G$5:$G$200&lt;&gt;"moeda")*(Inputs!$G$5:$G$200&lt;&gt;"acoes")))*INDEX(Inputs!$K$5:$AJ$200,0,MATCH(AJ$2,Inputs!$K$4:$AJ$4,0)))+SUMPRODUCT((Inputs!$C$5:$C$200=$B19)*Inputs!$D$5:$D$200*(((Inputs!$G$5:$G$200="moeda")+(Inputs!$G$5:$G$200="acoes"))*Inputs!$B$1+((Inputs!$G$5:$G$200&lt;&gt;"moeda")*(Inputs!$G$5:$G$200&lt;&gt;"acoes")))*INDEX(Inputs!$K$5:$AJ$200,0,MATCH(AJ$2,Inputs!$K$4:$AJ$4,0)))+SUMPRODUCT((Inputs!$E$5:$E$200=$B19)*Inputs!$F$5:$F$200*(((Inputs!$G$5:$G$200="moeda")+(Inputs!$G$5:$G$200="acoes"))*Inputs!$B$1+((Inputs!$G$5:$G$200&lt;&gt;"moeda")*(Inputs!$G$5:$G$200&lt;&gt;"acoes")))*INDEX(Inputs!$K$5:$AJ$200,0,MATCH(AJ$2,Inputs!$K$4:$AJ$4,0)))))</f>
        <v>12.469</v>
      </c>
      <c r="AK19" s="6">
        <f>IF(ISNA(MATCH(AK$2,Inputs!$K$4:$AJ$4,0)),NA(),IF(SUMPRODUCT((Inputs!$A$5:$A$200=$B19)*ISNUMBER(INDEX(Inputs!$K$5:$AJ$200,0,MATCH(AK$2,Inputs!$K$4:$AJ$4,0))))+SUMPRODUCT((Inputs!$C$5:$C$200=$B19)*ISNUMBER(INDEX(Inputs!$K$5:$AJ$200,0,MATCH(AK$2,Inputs!$K$4:$AJ$4,0))))+SUMPRODUCT((Inputs!$E$5:$E$200=$B19)*ISNUMBER(INDEX(Inputs!$K$5:$AJ$200,0,MATCH(AK$2,Inputs!$K$4:$AJ$4,0))))=0,NA(),SUMPRODUCT((Inputs!$A$5:$A$200=$B19)*Inputs!$B$5:$B$200*(((Inputs!$G$5:$G$200="moeda")+(Inputs!$G$5:$G$200="acoes"))*Inputs!$B$1+((Inputs!$G$5:$G$200&lt;&gt;"moeda")*(Inputs!$G$5:$G$200&lt;&gt;"acoes")))*INDEX(Inputs!$K$5:$AJ$200,0,MATCH(AK$2,Inputs!$K$4:$AJ$4,0)))+SUMPRODUCT((Inputs!$C$5:$C$200=$B19)*Inputs!$D$5:$D$200*(((Inputs!$G$5:$G$200="moeda")+(Inputs!$G$5:$G$200="acoes"))*Inputs!$B$1+((Inputs!$G$5:$G$200&lt;&gt;"moeda")*(Inputs!$G$5:$G$200&lt;&gt;"acoes")))*INDEX(Inputs!$K$5:$AJ$200,0,MATCH(AK$2,Inputs!$K$4:$AJ$4,0)))+SUMPRODUCT((Inputs!$E$5:$E$200=$B19)*Inputs!$F$5:$F$200*(((Inputs!$G$5:$G$200="moeda")+(Inputs!$G$5:$G$200="acoes"))*Inputs!$B$1+((Inputs!$G$5:$G$200&lt;&gt;"moeda")*(Inputs!$G$5:$G$200&lt;&gt;"acoes")))*INDEX(Inputs!$K$5:$AJ$200,0,MATCH(AK$2,Inputs!$K$4:$AJ$4,0)))))</f>
        <v>17.061</v>
      </c>
      <c r="AL19" s="3">
        <f>AK19</f>
        <v>17.061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$200=$B20)*ISNUMBER(INDEX(Inputs!$K$5:$AJ$200,0,MATCH(D$2,Inputs!$K$4:$AJ$4,0))))+SUMPRODUCT((Inputs!$C$5:$C$200=$B20)*ISNUMBER(INDEX(Inputs!$K$5:$AJ$200,0,MATCH(D$2,Inputs!$K$4:$AJ$4,0))))+SUMPRODUCT((Inputs!$E$5:$E$200=$B20)*ISNUMBER(INDEX(Inputs!$K$5:$AJ$200,0,MATCH(D$2,Inputs!$K$4:$AJ$4,0))))=0,NA(),SUMPRODUCT((Inputs!$A$5:$A$200=$B20)*Inputs!$B$5:$B$200*(((Inputs!$G$5:$G$200="moeda")+(Inputs!$G$5:$G$200="acoes"))*Inputs!$B$1+((Inputs!$G$5:$G$200&lt;&gt;"moeda")*(Inputs!$G$5:$G$200&lt;&gt;"acoes")))*INDEX(Inputs!$K$5:$AJ$200,0,MATCH(D$2,Inputs!$K$4:$AJ$4,0)))+SUMPRODUCT((Inputs!$C$5:$C$200=$B20)*Inputs!$D$5:$D$200*(((Inputs!$G$5:$G$200="moeda")+(Inputs!$G$5:$G$200="acoes"))*Inputs!$B$1+((Inputs!$G$5:$G$200&lt;&gt;"moeda")*(Inputs!$G$5:$G$200&lt;&gt;"acoes")))*INDEX(Inputs!$K$5:$AJ$200,0,MATCH(D$2,Inputs!$K$4:$AJ$4,0)))+SUMPRODUCT((Inputs!$E$5:$E$200=$B20)*Inputs!$F$5:$F$200*(((Inputs!$G$5:$G$200="moeda")+(Inputs!$G$5:$G$200="acoes"))*Inputs!$B$1+((Inputs!$G$5:$G$200&lt;&gt;"moeda")*(Inputs!$G$5:$G$200&lt;&gt;"acoes")))*INDEX(Inputs!$K$5:$AJ$200,0,MATCH(D$2,Inputs!$K$4:$AJ$4,0)))))</f>
        <v>11.09</v>
      </c>
      <c r="E20" s="6">
        <f>IF(ISNA(MATCH(E$2,Inputs!$K$4:$AJ$4,0)),NA(),IF(SUMPRODUCT((Inputs!$A$5:$A$200=$B20)*ISNUMBER(INDEX(Inputs!$K$5:$AJ$200,0,MATCH(E$2,Inputs!$K$4:$AJ$4,0))))+SUMPRODUCT((Inputs!$C$5:$C$200=$B20)*ISNUMBER(INDEX(Inputs!$K$5:$AJ$200,0,MATCH(E$2,Inputs!$K$4:$AJ$4,0))))+SUMPRODUCT((Inputs!$E$5:$E$200=$B20)*ISNUMBER(INDEX(Inputs!$K$5:$AJ$200,0,MATCH(E$2,Inputs!$K$4:$AJ$4,0))))=0,NA(),SUMPRODUCT((Inputs!$A$5:$A$200=$B20)*Inputs!$B$5:$B$200*(((Inputs!$G$5:$G$200="moeda")+(Inputs!$G$5:$G$200="acoes"))*Inputs!$B$1+((Inputs!$G$5:$G$200&lt;&gt;"moeda")*(Inputs!$G$5:$G$200&lt;&gt;"acoes")))*INDEX(Inputs!$K$5:$AJ$200,0,MATCH(E$2,Inputs!$K$4:$AJ$4,0)))+SUMPRODUCT((Inputs!$C$5:$C$200=$B20)*Inputs!$D$5:$D$200*(((Inputs!$G$5:$G$200="moeda")+(Inputs!$G$5:$G$200="acoes"))*Inputs!$B$1+((Inputs!$G$5:$G$200&lt;&gt;"moeda")*(Inputs!$G$5:$G$200&lt;&gt;"acoes")))*INDEX(Inputs!$K$5:$AJ$200,0,MATCH(E$2,Inputs!$K$4:$AJ$4,0)))+SUMPRODUCT((Inputs!$E$5:$E$200=$B20)*Inputs!$F$5:$F$200*(((Inputs!$G$5:$G$200="moeda")+(Inputs!$G$5:$G$200="acoes"))*Inputs!$B$1+((Inputs!$G$5:$G$200&lt;&gt;"moeda")*(Inputs!$G$5:$G$200&lt;&gt;"acoes")))*INDEX(Inputs!$K$5:$AJ$200,0,MATCH(E$2,Inputs!$K$4:$AJ$4,0)))))</f>
        <v>13.927</v>
      </c>
      <c r="F20" s="6">
        <f>IF(ISNA(MATCH(F$2,Inputs!$K$4:$AJ$4,0)),NA(),IF(SUMPRODUCT((Inputs!$A$5:$A$200=$B20)*ISNUMBER(INDEX(Inputs!$K$5:$AJ$200,0,MATCH(F$2,Inputs!$K$4:$AJ$4,0))))+SUMPRODUCT((Inputs!$C$5:$C$200=$B20)*ISNUMBER(INDEX(Inputs!$K$5:$AJ$200,0,MATCH(F$2,Inputs!$K$4:$AJ$4,0))))+SUMPRODUCT((Inputs!$E$5:$E$200=$B20)*ISNUMBER(INDEX(Inputs!$K$5:$AJ$200,0,MATCH(F$2,Inputs!$K$4:$AJ$4,0))))=0,NA(),SUMPRODUCT((Inputs!$A$5:$A$200=$B20)*Inputs!$B$5:$B$200*(((Inputs!$G$5:$G$200="moeda")+(Inputs!$G$5:$G$200="acoes"))*Inputs!$B$1+((Inputs!$G$5:$G$200&lt;&gt;"moeda")*(Inputs!$G$5:$G$200&lt;&gt;"acoes")))*INDEX(Inputs!$K$5:$AJ$200,0,MATCH(F$2,Inputs!$K$4:$AJ$4,0)))+SUMPRODUCT((Inputs!$C$5:$C$200=$B20)*Inputs!$D$5:$D$200*(((Inputs!$G$5:$G$200="moeda")+(Inputs!$G$5:$G$200="acoes"))*Inputs!$B$1+((Inputs!$G$5:$G$200&lt;&gt;"moeda")*(Inputs!$G$5:$G$200&lt;&gt;"acoes")))*INDEX(Inputs!$K$5:$AJ$200,0,MATCH(F$2,Inputs!$K$4:$AJ$4,0)))+SUMPRODUCT((Inputs!$E$5:$E$200=$B20)*Inputs!$F$5:$F$200*(((Inputs!$G$5:$G$200="moeda")+(Inputs!$G$5:$G$200="acoes"))*Inputs!$B$1+((Inputs!$G$5:$G$200&lt;&gt;"moeda")*(Inputs!$G$5:$G$200&lt;&gt;"acoes")))*INDEX(Inputs!$K$5:$AJ$200,0,MATCH(F$2,Inputs!$K$4:$AJ$4,0)))))</f>
        <v>17.947</v>
      </c>
      <c r="G20" s="6">
        <f>IF(ISNA(MATCH(G$2,Inputs!$K$4:$AJ$4,0)),NA(),IF(SUMPRODUCT((Inputs!$A$5:$A$200=$B20)*ISNUMBER(INDEX(Inputs!$K$5:$AJ$200,0,MATCH(G$2,Inputs!$K$4:$AJ$4,0))))+SUMPRODUCT((Inputs!$C$5:$C$200=$B20)*ISNUMBER(INDEX(Inputs!$K$5:$AJ$200,0,MATCH(G$2,Inputs!$K$4:$AJ$4,0))))+SUMPRODUCT((Inputs!$E$5:$E$200=$B20)*ISNUMBER(INDEX(Inputs!$K$5:$AJ$200,0,MATCH(G$2,Inputs!$K$4:$AJ$4,0))))=0,NA(),SUMPRODUCT((Inputs!$A$5:$A$200=$B20)*Inputs!$B$5:$B$200*(((Inputs!$G$5:$G$200="moeda")+(Inputs!$G$5:$G$200="acoes"))*Inputs!$B$1+((Inputs!$G$5:$G$200&lt;&gt;"moeda")*(Inputs!$G$5:$G$200&lt;&gt;"acoes")))*INDEX(Inputs!$K$5:$AJ$200,0,MATCH(G$2,Inputs!$K$4:$AJ$4,0)))+SUMPRODUCT((Inputs!$C$5:$C$200=$B20)*Inputs!$D$5:$D$200*(((Inputs!$G$5:$G$200="moeda")+(Inputs!$G$5:$G$200="acoes"))*Inputs!$B$1+((Inputs!$G$5:$G$200&lt;&gt;"moeda")*(Inputs!$G$5:$G$200&lt;&gt;"acoes")))*INDEX(Inputs!$K$5:$AJ$200,0,MATCH(G$2,Inputs!$K$4:$AJ$4,0)))+SUMPRODUCT((Inputs!$E$5:$E$200=$B20)*Inputs!$F$5:$F$200*(((Inputs!$G$5:$G$200="moeda")+(Inputs!$G$5:$G$200="acoes"))*Inputs!$B$1+((Inputs!$G$5:$G$200&lt;&gt;"moeda")*(Inputs!$G$5:$G$200&lt;&gt;"acoes")))*INDEX(Inputs!$K$5:$AJ$200,0,MATCH(G$2,Inputs!$K$4:$AJ$4,0)))))</f>
        <v>7.136</v>
      </c>
      <c r="H20" s="3">
        <f>G20</f>
        <v>7.136</v>
      </c>
      <c r="I20" s="6">
        <f>IF(ISNA(MATCH(I$2,Inputs!$K$4:$AJ$4,0)),NA(),IF(SUMPRODUCT((Inputs!$A$5:$A$200=$B20)*ISNUMBER(INDEX(Inputs!$K$5:$AJ$200,0,MATCH(I$2,Inputs!$K$4:$AJ$4,0))))+SUMPRODUCT((Inputs!$C$5:$C$200=$B20)*ISNUMBER(INDEX(Inputs!$K$5:$AJ$200,0,MATCH(I$2,Inputs!$K$4:$AJ$4,0))))+SUMPRODUCT((Inputs!$E$5:$E$200=$B20)*ISNUMBER(INDEX(Inputs!$K$5:$AJ$200,0,MATCH(I$2,Inputs!$K$4:$AJ$4,0))))=0,NA(),SUMPRODUCT((Inputs!$A$5:$A$200=$B20)*Inputs!$B$5:$B$200*(((Inputs!$G$5:$G$200="moeda")+(Inputs!$G$5:$G$200="acoes"))*Inputs!$B$1+((Inputs!$G$5:$G$200&lt;&gt;"moeda")*(Inputs!$G$5:$G$200&lt;&gt;"acoes")))*INDEX(Inputs!$K$5:$AJ$200,0,MATCH(I$2,Inputs!$K$4:$AJ$4,0)))+SUMPRODUCT((Inputs!$C$5:$C$200=$B20)*Inputs!$D$5:$D$200*(((Inputs!$G$5:$G$200="moeda")+(Inputs!$G$5:$G$200="acoes"))*Inputs!$B$1+((Inputs!$G$5:$G$200&lt;&gt;"moeda")*(Inputs!$G$5:$G$200&lt;&gt;"acoes")))*INDEX(Inputs!$K$5:$AJ$200,0,MATCH(I$2,Inputs!$K$4:$AJ$4,0)))+SUMPRODUCT((Inputs!$E$5:$E$200=$B20)*Inputs!$F$5:$F$200*(((Inputs!$G$5:$G$200="moeda")+(Inputs!$G$5:$G$200="acoes"))*Inputs!$B$1+((Inputs!$G$5:$G$200&lt;&gt;"moeda")*(Inputs!$G$5:$G$200&lt;&gt;"acoes")))*INDEX(Inputs!$K$5:$AJ$200,0,MATCH(I$2,Inputs!$K$4:$AJ$4,0)))))</f>
        <v>11.111</v>
      </c>
      <c r="J20" s="6">
        <f>IF(ISNA(MATCH(J$2,Inputs!$K$4:$AJ$4,0)),NA(),IF(SUMPRODUCT((Inputs!$A$5:$A$200=$B20)*ISNUMBER(INDEX(Inputs!$K$5:$AJ$200,0,MATCH(J$2,Inputs!$K$4:$AJ$4,0))))+SUMPRODUCT((Inputs!$C$5:$C$200=$B20)*ISNUMBER(INDEX(Inputs!$K$5:$AJ$200,0,MATCH(J$2,Inputs!$K$4:$AJ$4,0))))+SUMPRODUCT((Inputs!$E$5:$E$200=$B20)*ISNUMBER(INDEX(Inputs!$K$5:$AJ$200,0,MATCH(J$2,Inputs!$K$4:$AJ$4,0))))=0,NA(),SUMPRODUCT((Inputs!$A$5:$A$200=$B20)*Inputs!$B$5:$B$200*(((Inputs!$G$5:$G$200="moeda")+(Inputs!$G$5:$G$200="acoes"))*Inputs!$B$1+((Inputs!$G$5:$G$200&lt;&gt;"moeda")*(Inputs!$G$5:$G$200&lt;&gt;"acoes")))*INDEX(Inputs!$K$5:$AJ$200,0,MATCH(J$2,Inputs!$K$4:$AJ$4,0)))+SUMPRODUCT((Inputs!$C$5:$C$200=$B20)*Inputs!$D$5:$D$200*(((Inputs!$G$5:$G$200="moeda")+(Inputs!$G$5:$G$200="acoes"))*Inputs!$B$1+((Inputs!$G$5:$G$200&lt;&gt;"moeda")*(Inputs!$G$5:$G$200&lt;&gt;"acoes")))*INDEX(Inputs!$K$5:$AJ$200,0,MATCH(J$2,Inputs!$K$4:$AJ$4,0)))+SUMPRODUCT((Inputs!$E$5:$E$200=$B20)*Inputs!$F$5:$F$200*(((Inputs!$G$5:$G$200="moeda")+(Inputs!$G$5:$G$200="acoes"))*Inputs!$B$1+((Inputs!$G$5:$G$200&lt;&gt;"moeda")*(Inputs!$G$5:$G$200&lt;&gt;"acoes")))*INDEX(Inputs!$K$5:$AJ$200,0,MATCH(J$2,Inputs!$K$4:$AJ$4,0)))))</f>
        <v>11.562</v>
      </c>
      <c r="K20" s="6">
        <f>IF(ISNA(MATCH(K$2,Inputs!$K$4:$AJ$4,0)),NA(),IF(SUMPRODUCT((Inputs!$A$5:$A$200=$B20)*ISNUMBER(INDEX(Inputs!$K$5:$AJ$200,0,MATCH(K$2,Inputs!$K$4:$AJ$4,0))))+SUMPRODUCT((Inputs!$C$5:$C$200=$B20)*ISNUMBER(INDEX(Inputs!$K$5:$AJ$200,0,MATCH(K$2,Inputs!$K$4:$AJ$4,0))))+SUMPRODUCT((Inputs!$E$5:$E$200=$B20)*ISNUMBER(INDEX(Inputs!$K$5:$AJ$200,0,MATCH(K$2,Inputs!$K$4:$AJ$4,0))))=0,NA(),SUMPRODUCT((Inputs!$A$5:$A$200=$B20)*Inputs!$B$5:$B$200*(((Inputs!$G$5:$G$200="moeda")+(Inputs!$G$5:$G$200="acoes"))*Inputs!$B$1+((Inputs!$G$5:$G$200&lt;&gt;"moeda")*(Inputs!$G$5:$G$200&lt;&gt;"acoes")))*INDEX(Inputs!$K$5:$AJ$200,0,MATCH(K$2,Inputs!$K$4:$AJ$4,0)))+SUMPRODUCT((Inputs!$C$5:$C$200=$B20)*Inputs!$D$5:$D$200*(((Inputs!$G$5:$G$200="moeda")+(Inputs!$G$5:$G$200="acoes"))*Inputs!$B$1+((Inputs!$G$5:$G$200&lt;&gt;"moeda")*(Inputs!$G$5:$G$200&lt;&gt;"acoes")))*INDEX(Inputs!$K$5:$AJ$200,0,MATCH(K$2,Inputs!$K$4:$AJ$4,0)))+SUMPRODUCT((Inputs!$E$5:$E$200=$B20)*Inputs!$F$5:$F$200*(((Inputs!$G$5:$G$200="moeda")+(Inputs!$G$5:$G$200="acoes"))*Inputs!$B$1+((Inputs!$G$5:$G$200&lt;&gt;"moeda")*(Inputs!$G$5:$G$200&lt;&gt;"acoes")))*INDEX(Inputs!$K$5:$AJ$200,0,MATCH(K$2,Inputs!$K$4:$AJ$4,0)))))</f>
        <v>11.519</v>
      </c>
      <c r="L20" s="6">
        <f>IF(ISNA(MATCH(L$2,Inputs!$K$4:$AJ$4,0)),NA(),IF(SUMPRODUCT((Inputs!$A$5:$A$200=$B20)*ISNUMBER(INDEX(Inputs!$K$5:$AJ$200,0,MATCH(L$2,Inputs!$K$4:$AJ$4,0))))+SUMPRODUCT((Inputs!$C$5:$C$200=$B20)*ISNUMBER(INDEX(Inputs!$K$5:$AJ$200,0,MATCH(L$2,Inputs!$K$4:$AJ$4,0))))+SUMPRODUCT((Inputs!$E$5:$E$200=$B20)*ISNUMBER(INDEX(Inputs!$K$5:$AJ$200,0,MATCH(L$2,Inputs!$K$4:$AJ$4,0))))=0,NA(),SUMPRODUCT((Inputs!$A$5:$A$200=$B20)*Inputs!$B$5:$B$200*(((Inputs!$G$5:$G$200="moeda")+(Inputs!$G$5:$G$200="acoes"))*Inputs!$B$1+((Inputs!$G$5:$G$200&lt;&gt;"moeda")*(Inputs!$G$5:$G$200&lt;&gt;"acoes")))*INDEX(Inputs!$K$5:$AJ$200,0,MATCH(L$2,Inputs!$K$4:$AJ$4,0)))+SUMPRODUCT((Inputs!$C$5:$C$200=$B20)*Inputs!$D$5:$D$200*(((Inputs!$G$5:$G$200="moeda")+(Inputs!$G$5:$G$200="acoes"))*Inputs!$B$1+((Inputs!$G$5:$G$200&lt;&gt;"moeda")*(Inputs!$G$5:$G$200&lt;&gt;"acoes")))*INDEX(Inputs!$K$5:$AJ$200,0,MATCH(L$2,Inputs!$K$4:$AJ$4,0)))+SUMPRODUCT((Inputs!$E$5:$E$200=$B20)*Inputs!$F$5:$F$200*(((Inputs!$G$5:$G$200="moeda")+(Inputs!$G$5:$G$200="acoes"))*Inputs!$B$1+((Inputs!$G$5:$G$200&lt;&gt;"moeda")*(Inputs!$G$5:$G$200&lt;&gt;"acoes")))*INDEX(Inputs!$K$5:$AJ$200,0,MATCH(L$2,Inputs!$K$4:$AJ$4,0)))))</f>
        <v>13.907</v>
      </c>
      <c r="M20" s="3">
        <f>L20</f>
        <v>13.907</v>
      </c>
      <c r="N20" s="6">
        <f>IF(ISNA(MATCH(N$2,Inputs!$K$4:$AJ$4,0)),NA(),IF(SUMPRODUCT((Inputs!$A$5:$A$200=$B20)*ISNUMBER(INDEX(Inputs!$K$5:$AJ$200,0,MATCH(N$2,Inputs!$K$4:$AJ$4,0))))+SUMPRODUCT((Inputs!$C$5:$C$200=$B20)*ISNUMBER(INDEX(Inputs!$K$5:$AJ$200,0,MATCH(N$2,Inputs!$K$4:$AJ$4,0))))+SUMPRODUCT((Inputs!$E$5:$E$200=$B20)*ISNUMBER(INDEX(Inputs!$K$5:$AJ$200,0,MATCH(N$2,Inputs!$K$4:$AJ$4,0))))=0,NA(),SUMPRODUCT((Inputs!$A$5:$A$200=$B20)*Inputs!$B$5:$B$200*(((Inputs!$G$5:$G$200="moeda")+(Inputs!$G$5:$G$200="acoes"))*Inputs!$B$1+((Inputs!$G$5:$G$200&lt;&gt;"moeda")*(Inputs!$G$5:$G$200&lt;&gt;"acoes")))*INDEX(Inputs!$K$5:$AJ$200,0,MATCH(N$2,Inputs!$K$4:$AJ$4,0)))+SUMPRODUCT((Inputs!$C$5:$C$200=$B20)*Inputs!$D$5:$D$200*(((Inputs!$G$5:$G$200="moeda")+(Inputs!$G$5:$G$200="acoes"))*Inputs!$B$1+((Inputs!$G$5:$G$200&lt;&gt;"moeda")*(Inputs!$G$5:$G$200&lt;&gt;"acoes")))*INDEX(Inputs!$K$5:$AJ$200,0,MATCH(N$2,Inputs!$K$4:$AJ$4,0)))+SUMPRODUCT((Inputs!$E$5:$E$200=$B20)*Inputs!$F$5:$F$200*(((Inputs!$G$5:$G$200="moeda")+(Inputs!$G$5:$G$200="acoes"))*Inputs!$B$1+((Inputs!$G$5:$G$200&lt;&gt;"moeda")*(Inputs!$G$5:$G$200&lt;&gt;"acoes")))*INDEX(Inputs!$K$5:$AJ$200,0,MATCH(N$2,Inputs!$K$4:$AJ$4,0)))))</f>
        <v>22.276</v>
      </c>
      <c r="O20" s="6">
        <f>IF(ISNA(MATCH(O$2,Inputs!$K$4:$AJ$4,0)),NA(),IF(SUMPRODUCT((Inputs!$A$5:$A$200=$B20)*ISNUMBER(INDEX(Inputs!$K$5:$AJ$200,0,MATCH(O$2,Inputs!$K$4:$AJ$4,0))))+SUMPRODUCT((Inputs!$C$5:$C$200=$B20)*ISNUMBER(INDEX(Inputs!$K$5:$AJ$200,0,MATCH(O$2,Inputs!$K$4:$AJ$4,0))))+SUMPRODUCT((Inputs!$E$5:$E$200=$B20)*ISNUMBER(INDEX(Inputs!$K$5:$AJ$200,0,MATCH(O$2,Inputs!$K$4:$AJ$4,0))))=0,NA(),SUMPRODUCT((Inputs!$A$5:$A$200=$B20)*Inputs!$B$5:$B$200*(((Inputs!$G$5:$G$200="moeda")+(Inputs!$G$5:$G$200="acoes"))*Inputs!$B$1+((Inputs!$G$5:$G$200&lt;&gt;"moeda")*(Inputs!$G$5:$G$200&lt;&gt;"acoes")))*INDEX(Inputs!$K$5:$AJ$200,0,MATCH(O$2,Inputs!$K$4:$AJ$4,0)))+SUMPRODUCT((Inputs!$C$5:$C$200=$B20)*Inputs!$D$5:$D$200*(((Inputs!$G$5:$G$200="moeda")+(Inputs!$G$5:$G$200="acoes"))*Inputs!$B$1+((Inputs!$G$5:$G$200&lt;&gt;"moeda")*(Inputs!$G$5:$G$200&lt;&gt;"acoes")))*INDEX(Inputs!$K$5:$AJ$200,0,MATCH(O$2,Inputs!$K$4:$AJ$4,0)))+SUMPRODUCT((Inputs!$E$5:$E$200=$B20)*Inputs!$F$5:$F$200*(((Inputs!$G$5:$G$200="moeda")+(Inputs!$G$5:$G$200="acoes"))*Inputs!$B$1+((Inputs!$G$5:$G$200&lt;&gt;"moeda")*(Inputs!$G$5:$G$200&lt;&gt;"acoes")))*INDEX(Inputs!$K$5:$AJ$200,0,MATCH(O$2,Inputs!$K$4:$AJ$4,0)))))</f>
        <v>26.09</v>
      </c>
      <c r="P20" s="6">
        <f>IF(ISNA(MATCH(P$2,Inputs!$K$4:$AJ$4,0)),NA(),IF(SUMPRODUCT((Inputs!$A$5:$A$200=$B20)*ISNUMBER(INDEX(Inputs!$K$5:$AJ$200,0,MATCH(P$2,Inputs!$K$4:$AJ$4,0))))+SUMPRODUCT((Inputs!$C$5:$C$200=$B20)*ISNUMBER(INDEX(Inputs!$K$5:$AJ$200,0,MATCH(P$2,Inputs!$K$4:$AJ$4,0))))+SUMPRODUCT((Inputs!$E$5:$E$200=$B20)*ISNUMBER(INDEX(Inputs!$K$5:$AJ$200,0,MATCH(P$2,Inputs!$K$4:$AJ$4,0))))=0,NA(),SUMPRODUCT((Inputs!$A$5:$A$200=$B20)*Inputs!$B$5:$B$200*(((Inputs!$G$5:$G$200="moeda")+(Inputs!$G$5:$G$200="acoes"))*Inputs!$B$1+((Inputs!$G$5:$G$200&lt;&gt;"moeda")*(Inputs!$G$5:$G$200&lt;&gt;"acoes")))*INDEX(Inputs!$K$5:$AJ$200,0,MATCH(P$2,Inputs!$K$4:$AJ$4,0)))+SUMPRODUCT((Inputs!$C$5:$C$200=$B20)*Inputs!$D$5:$D$200*(((Inputs!$G$5:$G$200="moeda")+(Inputs!$G$5:$G$200="acoes"))*Inputs!$B$1+((Inputs!$G$5:$G$200&lt;&gt;"moeda")*(Inputs!$G$5:$G$200&lt;&gt;"acoes")))*INDEX(Inputs!$K$5:$AJ$200,0,MATCH(P$2,Inputs!$K$4:$AJ$4,0)))+SUMPRODUCT((Inputs!$E$5:$E$200=$B20)*Inputs!$F$5:$F$200*(((Inputs!$G$5:$G$200="moeda")+(Inputs!$G$5:$G$200="acoes"))*Inputs!$B$1+((Inputs!$G$5:$G$200&lt;&gt;"moeda")*(Inputs!$G$5:$G$200&lt;&gt;"acoes")))*INDEX(Inputs!$K$5:$AJ$200,0,MATCH(P$2,Inputs!$K$4:$AJ$4,0)))))</f>
        <v>33.197</v>
      </c>
      <c r="Q20" s="6">
        <f>IF(ISNA(MATCH(Q$2,Inputs!$K$4:$AJ$4,0)),NA(),IF(SUMPRODUCT((Inputs!$A$5:$A$200=$B20)*ISNUMBER(INDEX(Inputs!$K$5:$AJ$200,0,MATCH(Q$2,Inputs!$K$4:$AJ$4,0))))+SUMPRODUCT((Inputs!$C$5:$C$200=$B20)*ISNUMBER(INDEX(Inputs!$K$5:$AJ$200,0,MATCH(Q$2,Inputs!$K$4:$AJ$4,0))))+SUMPRODUCT((Inputs!$E$5:$E$200=$B20)*ISNUMBER(INDEX(Inputs!$K$5:$AJ$200,0,MATCH(Q$2,Inputs!$K$4:$AJ$4,0))))=0,NA(),SUMPRODUCT((Inputs!$A$5:$A$200=$B20)*Inputs!$B$5:$B$200*(((Inputs!$G$5:$G$200="moeda")+(Inputs!$G$5:$G$200="acoes"))*Inputs!$B$1+((Inputs!$G$5:$G$200&lt;&gt;"moeda")*(Inputs!$G$5:$G$200&lt;&gt;"acoes")))*INDEX(Inputs!$K$5:$AJ$200,0,MATCH(Q$2,Inputs!$K$4:$AJ$4,0)))+SUMPRODUCT((Inputs!$C$5:$C$200=$B20)*Inputs!$D$5:$D$200*(((Inputs!$G$5:$G$200="moeda")+(Inputs!$G$5:$G$200="acoes"))*Inputs!$B$1+((Inputs!$G$5:$G$200&lt;&gt;"moeda")*(Inputs!$G$5:$G$200&lt;&gt;"acoes")))*INDEX(Inputs!$K$5:$AJ$200,0,MATCH(Q$2,Inputs!$K$4:$AJ$4,0)))+SUMPRODUCT((Inputs!$E$5:$E$200=$B20)*Inputs!$F$5:$F$200*(((Inputs!$G$5:$G$200="moeda")+(Inputs!$G$5:$G$200="acoes"))*Inputs!$B$1+((Inputs!$G$5:$G$200&lt;&gt;"moeda")*(Inputs!$G$5:$G$200&lt;&gt;"acoes")))*INDEX(Inputs!$K$5:$AJ$200,0,MATCH(Q$2,Inputs!$K$4:$AJ$4,0)))))</f>
        <v>30.042</v>
      </c>
      <c r="R20" s="3">
        <f>Q20</f>
        <v>30.042</v>
      </c>
      <c r="S20" s="6">
        <f>IF(ISNA(MATCH(S$2,Inputs!$K$4:$AJ$4,0)),NA(),IF(SUMPRODUCT((Inputs!$A$5:$A$200=$B20)*ISNUMBER(INDEX(Inputs!$K$5:$AJ$200,0,MATCH(S$2,Inputs!$K$4:$AJ$4,0))))+SUMPRODUCT((Inputs!$C$5:$C$200=$B20)*ISNUMBER(INDEX(Inputs!$K$5:$AJ$200,0,MATCH(S$2,Inputs!$K$4:$AJ$4,0))))+SUMPRODUCT((Inputs!$E$5:$E$200=$B20)*ISNUMBER(INDEX(Inputs!$K$5:$AJ$200,0,MATCH(S$2,Inputs!$K$4:$AJ$4,0))))=0,NA(),SUMPRODUCT((Inputs!$A$5:$A$200=$B20)*Inputs!$B$5:$B$200*(((Inputs!$G$5:$G$200="moeda")+(Inputs!$G$5:$G$200="acoes"))*Inputs!$B$1+((Inputs!$G$5:$G$200&lt;&gt;"moeda")*(Inputs!$G$5:$G$200&lt;&gt;"acoes")))*INDEX(Inputs!$K$5:$AJ$200,0,MATCH(S$2,Inputs!$K$4:$AJ$4,0)))+SUMPRODUCT((Inputs!$C$5:$C$200=$B20)*Inputs!$D$5:$D$200*(((Inputs!$G$5:$G$200="moeda")+(Inputs!$G$5:$G$200="acoes"))*Inputs!$B$1+((Inputs!$G$5:$G$200&lt;&gt;"moeda")*(Inputs!$G$5:$G$200&lt;&gt;"acoes")))*INDEX(Inputs!$K$5:$AJ$200,0,MATCH(S$2,Inputs!$K$4:$AJ$4,0)))+SUMPRODUCT((Inputs!$E$5:$E$200=$B20)*Inputs!$F$5:$F$200*(((Inputs!$G$5:$G$200="moeda")+(Inputs!$G$5:$G$200="acoes"))*Inputs!$B$1+((Inputs!$G$5:$G$200&lt;&gt;"moeda")*(Inputs!$G$5:$G$200&lt;&gt;"acoes")))*INDEX(Inputs!$K$5:$AJ$200,0,MATCH(S$2,Inputs!$K$4:$AJ$4,0)))))</f>
        <v>44.227</v>
      </c>
      <c r="T20" s="6">
        <f>IF(ISNA(MATCH(T$2,Inputs!$K$4:$AJ$4,0)),NA(),IF(SUMPRODUCT((Inputs!$A$5:$A$200=$B20)*ISNUMBER(INDEX(Inputs!$K$5:$AJ$200,0,MATCH(T$2,Inputs!$K$4:$AJ$4,0))))+SUMPRODUCT((Inputs!$C$5:$C$200=$B20)*ISNUMBER(INDEX(Inputs!$K$5:$AJ$200,0,MATCH(T$2,Inputs!$K$4:$AJ$4,0))))+SUMPRODUCT((Inputs!$E$5:$E$200=$B20)*ISNUMBER(INDEX(Inputs!$K$5:$AJ$200,0,MATCH(T$2,Inputs!$K$4:$AJ$4,0))))=0,NA(),SUMPRODUCT((Inputs!$A$5:$A$200=$B20)*Inputs!$B$5:$B$200*(((Inputs!$G$5:$G$200="moeda")+(Inputs!$G$5:$G$200="acoes"))*Inputs!$B$1+((Inputs!$G$5:$G$200&lt;&gt;"moeda")*(Inputs!$G$5:$G$200&lt;&gt;"acoes")))*INDEX(Inputs!$K$5:$AJ$200,0,MATCH(T$2,Inputs!$K$4:$AJ$4,0)))+SUMPRODUCT((Inputs!$C$5:$C$200=$B20)*Inputs!$D$5:$D$200*(((Inputs!$G$5:$G$200="moeda")+(Inputs!$G$5:$G$200="acoes"))*Inputs!$B$1+((Inputs!$G$5:$G$200&lt;&gt;"moeda")*(Inputs!$G$5:$G$200&lt;&gt;"acoes")))*INDEX(Inputs!$K$5:$AJ$200,0,MATCH(T$2,Inputs!$K$4:$AJ$4,0)))+SUMPRODUCT((Inputs!$E$5:$E$200=$B20)*Inputs!$F$5:$F$200*(((Inputs!$G$5:$G$200="moeda")+(Inputs!$G$5:$G$200="acoes"))*Inputs!$B$1+((Inputs!$G$5:$G$200&lt;&gt;"moeda")*(Inputs!$G$5:$G$200&lt;&gt;"acoes")))*INDEX(Inputs!$K$5:$AJ$200,0,MATCH(T$2,Inputs!$K$4:$AJ$4,0)))))</f>
        <v>37.837</v>
      </c>
      <c r="U20" s="6">
        <f>IF(ISNA(MATCH(U$2,Inputs!$K$4:$AJ$4,0)),NA(),IF(SUMPRODUCT((Inputs!$A$5:$A$200=$B20)*ISNUMBER(INDEX(Inputs!$K$5:$AJ$200,0,MATCH(U$2,Inputs!$K$4:$AJ$4,0))))+SUMPRODUCT((Inputs!$C$5:$C$200=$B20)*ISNUMBER(INDEX(Inputs!$K$5:$AJ$200,0,MATCH(U$2,Inputs!$K$4:$AJ$4,0))))+SUMPRODUCT((Inputs!$E$5:$E$200=$B20)*ISNUMBER(INDEX(Inputs!$K$5:$AJ$200,0,MATCH(U$2,Inputs!$K$4:$AJ$4,0))))=0,NA(),SUMPRODUCT((Inputs!$A$5:$A$200=$B20)*Inputs!$B$5:$B$200*(((Inputs!$G$5:$G$200="moeda")+(Inputs!$G$5:$G$200="acoes"))*Inputs!$B$1+((Inputs!$G$5:$G$200&lt;&gt;"moeda")*(Inputs!$G$5:$G$200&lt;&gt;"acoes")))*INDEX(Inputs!$K$5:$AJ$200,0,MATCH(U$2,Inputs!$K$4:$AJ$4,0)))+SUMPRODUCT((Inputs!$C$5:$C$200=$B20)*Inputs!$D$5:$D$200*(((Inputs!$G$5:$G$200="moeda")+(Inputs!$G$5:$G$200="acoes"))*Inputs!$B$1+((Inputs!$G$5:$G$200&lt;&gt;"moeda")*(Inputs!$G$5:$G$200&lt;&gt;"acoes")))*INDEX(Inputs!$K$5:$AJ$200,0,MATCH(U$2,Inputs!$K$4:$AJ$4,0)))+SUMPRODUCT((Inputs!$E$5:$E$200=$B20)*Inputs!$F$5:$F$200*(((Inputs!$G$5:$G$200="moeda")+(Inputs!$G$5:$G$200="acoes"))*Inputs!$B$1+((Inputs!$G$5:$G$200&lt;&gt;"moeda")*(Inputs!$G$5:$G$200&lt;&gt;"acoes")))*INDEX(Inputs!$K$5:$AJ$200,0,MATCH(U$2,Inputs!$K$4:$AJ$4,0)))))</f>
        <v>40.005</v>
      </c>
      <c r="V20" s="6">
        <f>IF(ISNA(MATCH(V$2,Inputs!$K$4:$AJ$4,0)),NA(),IF(SUMPRODUCT((Inputs!$A$5:$A$200=$B20)*ISNUMBER(INDEX(Inputs!$K$5:$AJ$200,0,MATCH(V$2,Inputs!$K$4:$AJ$4,0))))+SUMPRODUCT((Inputs!$C$5:$C$200=$B20)*ISNUMBER(INDEX(Inputs!$K$5:$AJ$200,0,MATCH(V$2,Inputs!$K$4:$AJ$4,0))))+SUMPRODUCT((Inputs!$E$5:$E$200=$B20)*ISNUMBER(INDEX(Inputs!$K$5:$AJ$200,0,MATCH(V$2,Inputs!$K$4:$AJ$4,0))))=0,NA(),SUMPRODUCT((Inputs!$A$5:$A$200=$B20)*Inputs!$B$5:$B$200*(((Inputs!$G$5:$G$200="moeda")+(Inputs!$G$5:$G$200="acoes"))*Inputs!$B$1+((Inputs!$G$5:$G$200&lt;&gt;"moeda")*(Inputs!$G$5:$G$200&lt;&gt;"acoes")))*INDEX(Inputs!$K$5:$AJ$200,0,MATCH(V$2,Inputs!$K$4:$AJ$4,0)))+SUMPRODUCT((Inputs!$C$5:$C$200=$B20)*Inputs!$D$5:$D$200*(((Inputs!$G$5:$G$200="moeda")+(Inputs!$G$5:$G$200="acoes"))*Inputs!$B$1+((Inputs!$G$5:$G$200&lt;&gt;"moeda")*(Inputs!$G$5:$G$200&lt;&gt;"acoes")))*INDEX(Inputs!$K$5:$AJ$200,0,MATCH(V$2,Inputs!$K$4:$AJ$4,0)))+SUMPRODUCT((Inputs!$E$5:$E$200=$B20)*Inputs!$F$5:$F$200*(((Inputs!$G$5:$G$200="moeda")+(Inputs!$G$5:$G$200="acoes"))*Inputs!$B$1+((Inputs!$G$5:$G$200&lt;&gt;"moeda")*(Inputs!$G$5:$G$200&lt;&gt;"acoes")))*INDEX(Inputs!$K$5:$AJ$200,0,MATCH(V$2,Inputs!$K$4:$AJ$4,0)))))</f>
        <v>50.927</v>
      </c>
      <c r="W20" s="3">
        <f>V20</f>
        <v>50.927</v>
      </c>
      <c r="X20" s="6">
        <f>IF(ISNA(MATCH(X$2,Inputs!$K$4:$AJ$4,0)),NA(),IF(SUMPRODUCT((Inputs!$A$5:$A$200=$B20)*ISNUMBER(INDEX(Inputs!$K$5:$AJ$200,0,MATCH(X$2,Inputs!$K$4:$AJ$4,0))))+SUMPRODUCT((Inputs!$C$5:$C$200=$B20)*ISNUMBER(INDEX(Inputs!$K$5:$AJ$200,0,MATCH(X$2,Inputs!$K$4:$AJ$4,0))))+SUMPRODUCT((Inputs!$E$5:$E$200=$B20)*ISNUMBER(INDEX(Inputs!$K$5:$AJ$200,0,MATCH(X$2,Inputs!$K$4:$AJ$4,0))))=0,NA(),SUMPRODUCT((Inputs!$A$5:$A$200=$B20)*Inputs!$B$5:$B$200*(((Inputs!$G$5:$G$200="moeda")+(Inputs!$G$5:$G$200="acoes"))*Inputs!$B$1+((Inputs!$G$5:$G$200&lt;&gt;"moeda")*(Inputs!$G$5:$G$200&lt;&gt;"acoes")))*INDEX(Inputs!$K$5:$AJ$200,0,MATCH(X$2,Inputs!$K$4:$AJ$4,0)))+SUMPRODUCT((Inputs!$C$5:$C$200=$B20)*Inputs!$D$5:$D$200*(((Inputs!$G$5:$G$200="moeda")+(Inputs!$G$5:$G$200="acoes"))*Inputs!$B$1+((Inputs!$G$5:$G$200&lt;&gt;"moeda")*(Inputs!$G$5:$G$200&lt;&gt;"acoes")))*INDEX(Inputs!$K$5:$AJ$200,0,MATCH(X$2,Inputs!$K$4:$AJ$4,0)))+SUMPRODUCT((Inputs!$E$5:$E$200=$B20)*Inputs!$F$5:$F$200*(((Inputs!$G$5:$G$200="moeda")+(Inputs!$G$5:$G$200="acoes"))*Inputs!$B$1+((Inputs!$G$5:$G$200&lt;&gt;"moeda")*(Inputs!$G$5:$G$200&lt;&gt;"acoes")))*INDEX(Inputs!$K$5:$AJ$200,0,MATCH(X$2,Inputs!$K$4:$AJ$4,0)))))</f>
        <v>51.368</v>
      </c>
      <c r="Y20" s="6">
        <f>IF(ISNA(MATCH(Y$2,Inputs!$K$4:$AJ$4,0)),NA(),IF(SUMPRODUCT((Inputs!$A$5:$A$200=$B20)*ISNUMBER(INDEX(Inputs!$K$5:$AJ$200,0,MATCH(Y$2,Inputs!$K$4:$AJ$4,0))))+SUMPRODUCT((Inputs!$C$5:$C$200=$B20)*ISNUMBER(INDEX(Inputs!$K$5:$AJ$200,0,MATCH(Y$2,Inputs!$K$4:$AJ$4,0))))+SUMPRODUCT((Inputs!$E$5:$E$200=$B20)*ISNUMBER(INDEX(Inputs!$K$5:$AJ$200,0,MATCH(Y$2,Inputs!$K$4:$AJ$4,0))))=0,NA(),SUMPRODUCT((Inputs!$A$5:$A$200=$B20)*Inputs!$B$5:$B$200*(((Inputs!$G$5:$G$200="moeda")+(Inputs!$G$5:$G$200="acoes"))*Inputs!$B$1+((Inputs!$G$5:$G$200&lt;&gt;"moeda")*(Inputs!$G$5:$G$200&lt;&gt;"acoes")))*INDEX(Inputs!$K$5:$AJ$200,0,MATCH(Y$2,Inputs!$K$4:$AJ$4,0)))+SUMPRODUCT((Inputs!$C$5:$C$200=$B20)*Inputs!$D$5:$D$200*(((Inputs!$G$5:$G$200="moeda")+(Inputs!$G$5:$G$200="acoes"))*Inputs!$B$1+((Inputs!$G$5:$G$200&lt;&gt;"moeda")*(Inputs!$G$5:$G$200&lt;&gt;"acoes")))*INDEX(Inputs!$K$5:$AJ$200,0,MATCH(Y$2,Inputs!$K$4:$AJ$4,0)))+SUMPRODUCT((Inputs!$E$5:$E$200=$B20)*Inputs!$F$5:$F$200*(((Inputs!$G$5:$G$200="moeda")+(Inputs!$G$5:$G$200="acoes"))*Inputs!$B$1+((Inputs!$G$5:$G$200&lt;&gt;"moeda")*(Inputs!$G$5:$G$200&lt;&gt;"acoes")))*INDEX(Inputs!$K$5:$AJ$200,0,MATCH(Y$2,Inputs!$K$4:$AJ$4,0)))))</f>
        <v>58.273</v>
      </c>
      <c r="Z20" s="6">
        <f>IF(ISNA(MATCH(Z$2,Inputs!$K$4:$AJ$4,0)),NA(),IF(SUMPRODUCT((Inputs!$A$5:$A$200=$B20)*ISNUMBER(INDEX(Inputs!$K$5:$AJ$200,0,MATCH(Z$2,Inputs!$K$4:$AJ$4,0))))+SUMPRODUCT((Inputs!$C$5:$C$200=$B20)*ISNUMBER(INDEX(Inputs!$K$5:$AJ$200,0,MATCH(Z$2,Inputs!$K$4:$AJ$4,0))))+SUMPRODUCT((Inputs!$E$5:$E$200=$B20)*ISNUMBER(INDEX(Inputs!$K$5:$AJ$200,0,MATCH(Z$2,Inputs!$K$4:$AJ$4,0))))=0,NA(),SUMPRODUCT((Inputs!$A$5:$A$200=$B20)*Inputs!$B$5:$B$200*(((Inputs!$G$5:$G$200="moeda")+(Inputs!$G$5:$G$200="acoes"))*Inputs!$B$1+((Inputs!$G$5:$G$200&lt;&gt;"moeda")*(Inputs!$G$5:$G$200&lt;&gt;"acoes")))*INDEX(Inputs!$K$5:$AJ$200,0,MATCH(Z$2,Inputs!$K$4:$AJ$4,0)))+SUMPRODUCT((Inputs!$C$5:$C$200=$B20)*Inputs!$D$5:$D$200*(((Inputs!$G$5:$G$200="moeda")+(Inputs!$G$5:$G$200="acoes"))*Inputs!$B$1+((Inputs!$G$5:$G$200&lt;&gt;"moeda")*(Inputs!$G$5:$G$200&lt;&gt;"acoes")))*INDEX(Inputs!$K$5:$AJ$200,0,MATCH(Z$2,Inputs!$K$4:$AJ$4,0)))+SUMPRODUCT((Inputs!$E$5:$E$200=$B20)*Inputs!$F$5:$F$200*(((Inputs!$G$5:$G$200="moeda")+(Inputs!$G$5:$G$200="acoes"))*Inputs!$B$1+((Inputs!$G$5:$G$200&lt;&gt;"moeda")*(Inputs!$G$5:$G$200&lt;&gt;"acoes")))*INDEX(Inputs!$K$5:$AJ$200,0,MATCH(Z$2,Inputs!$K$4:$AJ$4,0)))))</f>
        <v>64.471</v>
      </c>
      <c r="AA20" s="6">
        <f>IF(ISNA(MATCH(AA$2,Inputs!$K$4:$AJ$4,0)),NA(),IF(SUMPRODUCT((Inputs!$A$5:$A$200=$B20)*ISNUMBER(INDEX(Inputs!$K$5:$AJ$200,0,MATCH(AA$2,Inputs!$K$4:$AJ$4,0))))+SUMPRODUCT((Inputs!$C$5:$C$200=$B20)*ISNUMBER(INDEX(Inputs!$K$5:$AJ$200,0,MATCH(AA$2,Inputs!$K$4:$AJ$4,0))))+SUMPRODUCT((Inputs!$E$5:$E$200=$B20)*ISNUMBER(INDEX(Inputs!$K$5:$AJ$200,0,MATCH(AA$2,Inputs!$K$4:$AJ$4,0))))=0,NA(),SUMPRODUCT((Inputs!$A$5:$A$200=$B20)*Inputs!$B$5:$B$200*(((Inputs!$G$5:$G$200="moeda")+(Inputs!$G$5:$G$200="acoes"))*Inputs!$B$1+((Inputs!$G$5:$G$200&lt;&gt;"moeda")*(Inputs!$G$5:$G$200&lt;&gt;"acoes")))*INDEX(Inputs!$K$5:$AJ$200,0,MATCH(AA$2,Inputs!$K$4:$AJ$4,0)))+SUMPRODUCT((Inputs!$C$5:$C$200=$B20)*Inputs!$D$5:$D$200*(((Inputs!$G$5:$G$200="moeda")+(Inputs!$G$5:$G$200="acoes"))*Inputs!$B$1+((Inputs!$G$5:$G$200&lt;&gt;"moeda")*(Inputs!$G$5:$G$200&lt;&gt;"acoes")))*INDEX(Inputs!$K$5:$AJ$200,0,MATCH(AA$2,Inputs!$K$4:$AJ$4,0)))+SUMPRODUCT((Inputs!$E$5:$E$200=$B20)*Inputs!$F$5:$F$200*(((Inputs!$G$5:$G$200="moeda")+(Inputs!$G$5:$G$200="acoes"))*Inputs!$B$1+((Inputs!$G$5:$G$200&lt;&gt;"moeda")*(Inputs!$G$5:$G$200&lt;&gt;"acoes")))*INDEX(Inputs!$K$5:$AJ$200,0,MATCH(AA$2,Inputs!$K$4:$AJ$4,0)))))</f>
        <v>67.166</v>
      </c>
      <c r="AB20" s="3">
        <f>AA20</f>
        <v>67.166</v>
      </c>
      <c r="AC20" s="6">
        <f>IF(ISNA(MATCH(AC$2,Inputs!$K$4:$AJ$4,0)),NA(),IF(SUMPRODUCT((Inputs!$A$5:$A$200=$B20)*ISNUMBER(INDEX(Inputs!$K$5:$AJ$200,0,MATCH(AC$2,Inputs!$K$4:$AJ$4,0))))+SUMPRODUCT((Inputs!$C$5:$C$200=$B20)*ISNUMBER(INDEX(Inputs!$K$5:$AJ$200,0,MATCH(AC$2,Inputs!$K$4:$AJ$4,0))))+SUMPRODUCT((Inputs!$E$5:$E$200=$B20)*ISNUMBER(INDEX(Inputs!$K$5:$AJ$200,0,MATCH(AC$2,Inputs!$K$4:$AJ$4,0))))=0,NA(),SUMPRODUCT((Inputs!$A$5:$A$200=$B20)*Inputs!$B$5:$B$200*(((Inputs!$G$5:$G$200="moeda")+(Inputs!$G$5:$G$200="acoes"))*Inputs!$B$1+((Inputs!$G$5:$G$200&lt;&gt;"moeda")*(Inputs!$G$5:$G$200&lt;&gt;"acoes")))*INDEX(Inputs!$K$5:$AJ$200,0,MATCH(AC$2,Inputs!$K$4:$AJ$4,0)))+SUMPRODUCT((Inputs!$C$5:$C$200=$B20)*Inputs!$D$5:$D$200*(((Inputs!$G$5:$G$200="moeda")+(Inputs!$G$5:$G$200="acoes"))*Inputs!$B$1+((Inputs!$G$5:$G$200&lt;&gt;"moeda")*(Inputs!$G$5:$G$200&lt;&gt;"acoes")))*INDEX(Inputs!$K$5:$AJ$200,0,MATCH(AC$2,Inputs!$K$4:$AJ$4,0)))+SUMPRODUCT((Inputs!$E$5:$E$200=$B20)*Inputs!$F$5:$F$200*(((Inputs!$G$5:$G$200="moeda")+(Inputs!$G$5:$G$200="acoes"))*Inputs!$B$1+((Inputs!$G$5:$G$200&lt;&gt;"moeda")*(Inputs!$G$5:$G$200&lt;&gt;"acoes")))*INDEX(Inputs!$K$5:$AJ$200,0,MATCH(AC$2,Inputs!$K$4:$AJ$4,0)))))</f>
        <v>82.627</v>
      </c>
      <c r="AD20" s="6">
        <f>IF(ISNA(MATCH(AD$2,Inputs!$K$4:$AJ$4,0)),NA(),IF(SUMPRODUCT((Inputs!$A$5:$A$200=$B20)*ISNUMBER(INDEX(Inputs!$K$5:$AJ$200,0,MATCH(AD$2,Inputs!$K$4:$AJ$4,0))))+SUMPRODUCT((Inputs!$C$5:$C$200=$B20)*ISNUMBER(INDEX(Inputs!$K$5:$AJ$200,0,MATCH(AD$2,Inputs!$K$4:$AJ$4,0))))+SUMPRODUCT((Inputs!$E$5:$E$200=$B20)*ISNUMBER(INDEX(Inputs!$K$5:$AJ$200,0,MATCH(AD$2,Inputs!$K$4:$AJ$4,0))))=0,NA(),SUMPRODUCT((Inputs!$A$5:$A$200=$B20)*Inputs!$B$5:$B$200*(((Inputs!$G$5:$G$200="moeda")+(Inputs!$G$5:$G$200="acoes"))*Inputs!$B$1+((Inputs!$G$5:$G$200&lt;&gt;"moeda")*(Inputs!$G$5:$G$200&lt;&gt;"acoes")))*INDEX(Inputs!$K$5:$AJ$200,0,MATCH(AD$2,Inputs!$K$4:$AJ$4,0)))+SUMPRODUCT((Inputs!$C$5:$C$200=$B20)*Inputs!$D$5:$D$200*(((Inputs!$G$5:$G$200="moeda")+(Inputs!$G$5:$G$200="acoes"))*Inputs!$B$1+((Inputs!$G$5:$G$200&lt;&gt;"moeda")*(Inputs!$G$5:$G$200&lt;&gt;"acoes")))*INDEX(Inputs!$K$5:$AJ$200,0,MATCH(AD$2,Inputs!$K$4:$AJ$4,0)))+SUMPRODUCT((Inputs!$E$5:$E$200=$B20)*Inputs!$F$5:$F$200*(((Inputs!$G$5:$G$200="moeda")+(Inputs!$G$5:$G$200="acoes"))*Inputs!$B$1+((Inputs!$G$5:$G$200&lt;&gt;"moeda")*(Inputs!$G$5:$G$200&lt;&gt;"acoes")))*INDEX(Inputs!$K$5:$AJ$200,0,MATCH(AD$2,Inputs!$K$4:$AJ$4,0)))))</f>
        <v>230.817</v>
      </c>
      <c r="AE20" s="6" t="e">
        <f>IF(ISNA(MATCH(AE$2,Inputs!$K$4:$AJ$4,0)),NA(),IF(SUMPRODUCT((Inputs!$A$5:$A$200=$B20)*ISNUMBER(INDEX(Inputs!$K$5:$AJ$200,0,MATCH(AE$2,Inputs!$K$4:$AJ$4,0))))+SUMPRODUCT((Inputs!$C$5:$C$200=$B20)*ISNUMBER(INDEX(Inputs!$K$5:$AJ$200,0,MATCH(AE$2,Inputs!$K$4:$AJ$4,0))))+SUMPRODUCT((Inputs!$E$5:$E$200=$B20)*ISNUMBER(INDEX(Inputs!$K$5:$AJ$200,0,MATCH(AE$2,Inputs!$K$4:$AJ$4,0))))=0,NA(),SUMPRODUCT((Inputs!$A$5:$A$200=$B20)*Inputs!$B$5:$B$200*(((Inputs!$G$5:$G$200="moeda")+(Inputs!$G$5:$G$200="acoes"))*Inputs!$B$1+((Inputs!$G$5:$G$200&lt;&gt;"moeda")*(Inputs!$G$5:$G$200&lt;&gt;"acoes")))*INDEX(Inputs!$K$5:$AJ$200,0,MATCH(AE$2,Inputs!$K$4:$AJ$4,0)))+SUMPRODUCT((Inputs!$C$5:$C$200=$B20)*Inputs!$D$5:$D$200*(((Inputs!$G$5:$G$200="moeda")+(Inputs!$G$5:$G$200="acoes"))*Inputs!$B$1+((Inputs!$G$5:$G$200&lt;&gt;"moeda")*(Inputs!$G$5:$G$200&lt;&gt;"acoes")))*INDEX(Inputs!$K$5:$AJ$200,0,MATCH(AE$2,Inputs!$K$4:$AJ$4,0)))+SUMPRODUCT((Inputs!$E$5:$E$200=$B20)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0" s="6" t="e">
        <f>IF(ISNA(MATCH(AF$2,Inputs!$K$4:$AJ$4,0)),NA(),IF(SUMPRODUCT((Inputs!$A$5:$A$200=$B20)*ISNUMBER(INDEX(Inputs!$K$5:$AJ$200,0,MATCH(AF$2,Inputs!$K$4:$AJ$4,0))))+SUMPRODUCT((Inputs!$C$5:$C$200=$B20)*ISNUMBER(INDEX(Inputs!$K$5:$AJ$200,0,MATCH(AF$2,Inputs!$K$4:$AJ$4,0))))+SUMPRODUCT((Inputs!$E$5:$E$200=$B20)*ISNUMBER(INDEX(Inputs!$K$5:$AJ$200,0,MATCH(AF$2,Inputs!$K$4:$AJ$4,0))))=0,NA(),SUMPRODUCT((Inputs!$A$5:$A$200=$B20)*Inputs!$B$5:$B$200*(((Inputs!$G$5:$G$200="moeda")+(Inputs!$G$5:$G$200="acoes"))*Inputs!$B$1+((Inputs!$G$5:$G$200&lt;&gt;"moeda")*(Inputs!$G$5:$G$200&lt;&gt;"acoes")))*INDEX(Inputs!$K$5:$AJ$200,0,MATCH(AF$2,Inputs!$K$4:$AJ$4,0)))+SUMPRODUCT((Inputs!$C$5:$C$200=$B20)*Inputs!$D$5:$D$200*(((Inputs!$G$5:$G$200="moeda")+(Inputs!$G$5:$G$200="acoes"))*Inputs!$B$1+((Inputs!$G$5:$G$200&lt;&gt;"moeda")*(Inputs!$G$5:$G$200&lt;&gt;"acoes")))*INDEX(Inputs!$K$5:$AJ$200,0,MATCH(AF$2,Inputs!$K$4:$AJ$4,0)))+SUMPRODUCT((Inputs!$E$5:$E$200=$B20)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0" s="3" t="e">
        <f>AF20</f>
        <v>#N/A</v>
      </c>
      <c r="AH20" s="6">
        <f>IF(ISNA(MATCH(AH$2,Inputs!$K$4:$AJ$4,0)),NA(),IF(SUMPRODUCT((Inputs!$A$5:$A$200=$B20)*ISNUMBER(INDEX(Inputs!$K$5:$AJ$200,0,MATCH(AH$2,Inputs!$K$4:$AJ$4,0))))+SUMPRODUCT((Inputs!$C$5:$C$200=$B20)*ISNUMBER(INDEX(Inputs!$K$5:$AJ$200,0,MATCH(AH$2,Inputs!$K$4:$AJ$4,0))))+SUMPRODUCT((Inputs!$E$5:$E$200=$B20)*ISNUMBER(INDEX(Inputs!$K$5:$AJ$200,0,MATCH(AH$2,Inputs!$K$4:$AJ$4,0))))=0,NA(),SUMPRODUCT((Inputs!$A$5:$A$200=$B20)*Inputs!$B$5:$B$200*(((Inputs!$G$5:$G$200="moeda")+(Inputs!$G$5:$G$200="acoes"))*Inputs!$B$1+((Inputs!$G$5:$G$200&lt;&gt;"moeda")*(Inputs!$G$5:$G$200&lt;&gt;"acoes")))*INDEX(Inputs!$K$5:$AJ$200,0,MATCH(AH$2,Inputs!$K$4:$AJ$4,0)))+SUMPRODUCT((Inputs!$C$5:$C$200=$B20)*Inputs!$D$5:$D$200*(((Inputs!$G$5:$G$200="moeda")+(Inputs!$G$5:$G$200="acoes"))*Inputs!$B$1+((Inputs!$G$5:$G$200&lt;&gt;"moeda")*(Inputs!$G$5:$G$200&lt;&gt;"acoes")))*INDEX(Inputs!$K$5:$AJ$200,0,MATCH(AH$2,Inputs!$K$4:$AJ$4,0)))+SUMPRODUCT((Inputs!$E$5:$E$200=$B20)*Inputs!$F$5:$F$200*(((Inputs!$G$5:$G$200="moeda")+(Inputs!$G$5:$G$200="acoes"))*Inputs!$B$1+((Inputs!$G$5:$G$200&lt;&gt;"moeda")*(Inputs!$G$5:$G$200&lt;&gt;"acoes")))*INDEX(Inputs!$K$5:$AJ$200,0,MATCH(AH$2,Inputs!$K$4:$AJ$4,0)))))</f>
        <v>16.837</v>
      </c>
      <c r="AI20" s="6">
        <f>IF(ISNA(MATCH(AI$2,Inputs!$K$4:$AJ$4,0)),NA(),IF(SUMPRODUCT((Inputs!$A$5:$A$200=$B20)*ISNUMBER(INDEX(Inputs!$K$5:$AJ$200,0,MATCH(AI$2,Inputs!$K$4:$AJ$4,0))))+SUMPRODUCT((Inputs!$C$5:$C$200=$B20)*ISNUMBER(INDEX(Inputs!$K$5:$AJ$200,0,MATCH(AI$2,Inputs!$K$4:$AJ$4,0))))+SUMPRODUCT((Inputs!$E$5:$E$200=$B20)*ISNUMBER(INDEX(Inputs!$K$5:$AJ$200,0,MATCH(AI$2,Inputs!$K$4:$AJ$4,0))))=0,NA(),SUMPRODUCT((Inputs!$A$5:$A$200=$B20)*Inputs!$B$5:$B$200*(((Inputs!$G$5:$G$200="moeda")+(Inputs!$G$5:$G$200="acoes"))*Inputs!$B$1+((Inputs!$G$5:$G$200&lt;&gt;"moeda")*(Inputs!$G$5:$G$200&lt;&gt;"acoes")))*INDEX(Inputs!$K$5:$AJ$200,0,MATCH(AI$2,Inputs!$K$4:$AJ$4,0)))+SUMPRODUCT((Inputs!$C$5:$C$200=$B20)*Inputs!$D$5:$D$200*(((Inputs!$G$5:$G$200="moeda")+(Inputs!$G$5:$G$200="acoes"))*Inputs!$B$1+((Inputs!$G$5:$G$200&lt;&gt;"moeda")*(Inputs!$G$5:$G$200&lt;&gt;"acoes")))*INDEX(Inputs!$K$5:$AJ$200,0,MATCH(AI$2,Inputs!$K$4:$AJ$4,0)))+SUMPRODUCT((Inputs!$E$5:$E$200=$B20)*Inputs!$F$5:$F$200*(((Inputs!$G$5:$G$200="moeda")+(Inputs!$G$5:$G$200="acoes"))*Inputs!$B$1+((Inputs!$G$5:$G$200&lt;&gt;"moeda")*(Inputs!$G$5:$G$200&lt;&gt;"acoes")))*INDEX(Inputs!$K$5:$AJ$200,0,MATCH(AI$2,Inputs!$K$4:$AJ$4,0)))))</f>
        <v>9.533</v>
      </c>
      <c r="AJ20" s="6">
        <f>IF(ISNA(MATCH(AJ$2,Inputs!$K$4:$AJ$4,0)),NA(),IF(SUMPRODUCT((Inputs!$A$5:$A$200=$B20)*ISNUMBER(INDEX(Inputs!$K$5:$AJ$200,0,MATCH(AJ$2,Inputs!$K$4:$AJ$4,0))))+SUMPRODUCT((Inputs!$C$5:$C$200=$B20)*ISNUMBER(INDEX(Inputs!$K$5:$AJ$200,0,MATCH(AJ$2,Inputs!$K$4:$AJ$4,0))))+SUMPRODUCT((Inputs!$E$5:$E$200=$B20)*ISNUMBER(INDEX(Inputs!$K$5:$AJ$200,0,MATCH(AJ$2,Inputs!$K$4:$AJ$4,0))))=0,NA(),SUMPRODUCT((Inputs!$A$5:$A$200=$B20)*Inputs!$B$5:$B$200*(((Inputs!$G$5:$G$200="moeda")+(Inputs!$G$5:$G$200="acoes"))*Inputs!$B$1+((Inputs!$G$5:$G$200&lt;&gt;"moeda")*(Inputs!$G$5:$G$200&lt;&gt;"acoes")))*INDEX(Inputs!$K$5:$AJ$200,0,MATCH(AJ$2,Inputs!$K$4:$AJ$4,0)))+SUMPRODUCT((Inputs!$C$5:$C$200=$B20)*Inputs!$D$5:$D$200*(((Inputs!$G$5:$G$200="moeda")+(Inputs!$G$5:$G$200="acoes"))*Inputs!$B$1+((Inputs!$G$5:$G$200&lt;&gt;"moeda")*(Inputs!$G$5:$G$200&lt;&gt;"acoes")))*INDEX(Inputs!$K$5:$AJ$200,0,MATCH(AJ$2,Inputs!$K$4:$AJ$4,0)))+SUMPRODUCT((Inputs!$E$5:$E$200=$B20)*Inputs!$F$5:$F$200*(((Inputs!$G$5:$G$200="moeda")+(Inputs!$G$5:$G$200="acoes"))*Inputs!$B$1+((Inputs!$G$5:$G$200&lt;&gt;"moeda")*(Inputs!$G$5:$G$200&lt;&gt;"acoes")))*INDEX(Inputs!$K$5:$AJ$200,0,MATCH(AJ$2,Inputs!$K$4:$AJ$4,0)))))</f>
        <v>11.758</v>
      </c>
      <c r="AK20" s="6">
        <f>IF(ISNA(MATCH(AK$2,Inputs!$K$4:$AJ$4,0)),NA(),IF(SUMPRODUCT((Inputs!$A$5:$A$200=$B20)*ISNUMBER(INDEX(Inputs!$K$5:$AJ$200,0,MATCH(AK$2,Inputs!$K$4:$AJ$4,0))))+SUMPRODUCT((Inputs!$C$5:$C$200=$B20)*ISNUMBER(INDEX(Inputs!$K$5:$AJ$200,0,MATCH(AK$2,Inputs!$K$4:$AJ$4,0))))+SUMPRODUCT((Inputs!$E$5:$E$200=$B20)*ISNUMBER(INDEX(Inputs!$K$5:$AJ$200,0,MATCH(AK$2,Inputs!$K$4:$AJ$4,0))))=0,NA(),SUMPRODUCT((Inputs!$A$5:$A$200=$B20)*Inputs!$B$5:$B$200*(((Inputs!$G$5:$G$200="moeda")+(Inputs!$G$5:$G$200="acoes"))*Inputs!$B$1+((Inputs!$G$5:$G$200&lt;&gt;"moeda")*(Inputs!$G$5:$G$200&lt;&gt;"acoes")))*INDEX(Inputs!$K$5:$AJ$200,0,MATCH(AK$2,Inputs!$K$4:$AJ$4,0)))+SUMPRODUCT((Inputs!$C$5:$C$200=$B20)*Inputs!$D$5:$D$200*(((Inputs!$G$5:$G$200="moeda")+(Inputs!$G$5:$G$200="acoes"))*Inputs!$B$1+((Inputs!$G$5:$G$200&lt;&gt;"moeda")*(Inputs!$G$5:$G$200&lt;&gt;"acoes")))*INDEX(Inputs!$K$5:$AJ$200,0,MATCH(AK$2,Inputs!$K$4:$AJ$4,0)))+SUMPRODUCT((Inputs!$E$5:$E$200=$B20)*Inputs!$F$5:$F$200*(((Inputs!$G$5:$G$200="moeda")+(Inputs!$G$5:$G$200="acoes"))*Inputs!$B$1+((Inputs!$G$5:$G$200&lt;&gt;"moeda")*(Inputs!$G$5:$G$200&lt;&gt;"acoes")))*INDEX(Inputs!$K$5:$AJ$200,0,MATCH(AK$2,Inputs!$K$4:$AJ$4,0)))))</f>
        <v>9.758</v>
      </c>
      <c r="AL20" s="3">
        <f>AK20</f>
        <v>9.758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$200=$B21)*ISNUMBER(INDEX(Inputs!$K$5:$AJ$200,0,MATCH(D$2,Inputs!$K$4:$AJ$4,0))))+SUMPRODUCT((Inputs!$C$5:$C$200=$B21)*ISNUMBER(INDEX(Inputs!$K$5:$AJ$200,0,MATCH(D$2,Inputs!$K$4:$AJ$4,0))))+SUMPRODUCT((Inputs!$E$5:$E$200=$B21)*ISNUMBER(INDEX(Inputs!$K$5:$AJ$200,0,MATCH(D$2,Inputs!$K$4:$AJ$4,0))))=0,NA(),SUMPRODUCT((Inputs!$A$5:$A$200=$B21)*Inputs!$B$5:$B$200*(((Inputs!$G$5:$G$200="moeda")+(Inputs!$G$5:$G$200="acoes"))*Inputs!$B$1+((Inputs!$G$5:$G$200&lt;&gt;"moeda")*(Inputs!$G$5:$G$200&lt;&gt;"acoes")))*INDEX(Inputs!$K$5:$AJ$200,0,MATCH(D$2,Inputs!$K$4:$AJ$4,0)))+SUMPRODUCT((Inputs!$C$5:$C$200=$B21)*Inputs!$D$5:$D$200*(((Inputs!$G$5:$G$200="moeda")+(Inputs!$G$5:$G$200="acoes"))*Inputs!$B$1+((Inputs!$G$5:$G$200&lt;&gt;"moeda")*(Inputs!$G$5:$G$200&lt;&gt;"acoes")))*INDEX(Inputs!$K$5:$AJ$200,0,MATCH(D$2,Inputs!$K$4:$AJ$4,0)))+SUMPRODUCT((Inputs!$E$5:$E$200=$B21)*Inputs!$F$5:$F$200*(((Inputs!$G$5:$G$200="moeda")+(Inputs!$G$5:$G$200="acoes"))*Inputs!$B$1+((Inputs!$G$5:$G$200&lt;&gt;"moeda")*(Inputs!$G$5:$G$200&lt;&gt;"acoes")))*INDEX(Inputs!$K$5:$AJ$200,0,MATCH(D$2,Inputs!$K$4:$AJ$4,0)))))</f>
        <v>0</v>
      </c>
      <c r="E21" s="6">
        <f>IF(ISNA(MATCH(E$2,Inputs!$K$4:$AJ$4,0)),NA(),IF(SUMPRODUCT((Inputs!$A$5:$A$200=$B21)*ISNUMBER(INDEX(Inputs!$K$5:$AJ$200,0,MATCH(E$2,Inputs!$K$4:$AJ$4,0))))+SUMPRODUCT((Inputs!$C$5:$C$200=$B21)*ISNUMBER(INDEX(Inputs!$K$5:$AJ$200,0,MATCH(E$2,Inputs!$K$4:$AJ$4,0))))+SUMPRODUCT((Inputs!$E$5:$E$200=$B21)*ISNUMBER(INDEX(Inputs!$K$5:$AJ$200,0,MATCH(E$2,Inputs!$K$4:$AJ$4,0))))=0,NA(),SUMPRODUCT((Inputs!$A$5:$A$200=$B21)*Inputs!$B$5:$B$200*(((Inputs!$G$5:$G$200="moeda")+(Inputs!$G$5:$G$200="acoes"))*Inputs!$B$1+((Inputs!$G$5:$G$200&lt;&gt;"moeda")*(Inputs!$G$5:$G$200&lt;&gt;"acoes")))*INDEX(Inputs!$K$5:$AJ$200,0,MATCH(E$2,Inputs!$K$4:$AJ$4,0)))+SUMPRODUCT((Inputs!$C$5:$C$200=$B21)*Inputs!$D$5:$D$200*(((Inputs!$G$5:$G$200="moeda")+(Inputs!$G$5:$G$200="acoes"))*Inputs!$B$1+((Inputs!$G$5:$G$200&lt;&gt;"moeda")*(Inputs!$G$5:$G$200&lt;&gt;"acoes")))*INDEX(Inputs!$K$5:$AJ$200,0,MATCH(E$2,Inputs!$K$4:$AJ$4,0)))+SUMPRODUCT((Inputs!$E$5:$E$200=$B21)*Inputs!$F$5:$F$200*(((Inputs!$G$5:$G$200="moeda")+(Inputs!$G$5:$G$200="acoes"))*Inputs!$B$1+((Inputs!$G$5:$G$200&lt;&gt;"moeda")*(Inputs!$G$5:$G$200&lt;&gt;"acoes")))*INDEX(Inputs!$K$5:$AJ$200,0,MATCH(E$2,Inputs!$K$4:$AJ$4,0)))))</f>
        <v>0</v>
      </c>
      <c r="F21" s="6">
        <f>IF(ISNA(MATCH(F$2,Inputs!$K$4:$AJ$4,0)),NA(),IF(SUMPRODUCT((Inputs!$A$5:$A$200=$B21)*ISNUMBER(INDEX(Inputs!$K$5:$AJ$200,0,MATCH(F$2,Inputs!$K$4:$AJ$4,0))))+SUMPRODUCT((Inputs!$C$5:$C$200=$B21)*ISNUMBER(INDEX(Inputs!$K$5:$AJ$200,0,MATCH(F$2,Inputs!$K$4:$AJ$4,0))))+SUMPRODUCT((Inputs!$E$5:$E$200=$B21)*ISNUMBER(INDEX(Inputs!$K$5:$AJ$200,0,MATCH(F$2,Inputs!$K$4:$AJ$4,0))))=0,NA(),SUMPRODUCT((Inputs!$A$5:$A$200=$B21)*Inputs!$B$5:$B$200*(((Inputs!$G$5:$G$200="moeda")+(Inputs!$G$5:$G$200="acoes"))*Inputs!$B$1+((Inputs!$G$5:$G$200&lt;&gt;"moeda")*(Inputs!$G$5:$G$200&lt;&gt;"acoes")))*INDEX(Inputs!$K$5:$AJ$200,0,MATCH(F$2,Inputs!$K$4:$AJ$4,0)))+SUMPRODUCT((Inputs!$C$5:$C$200=$B21)*Inputs!$D$5:$D$200*(((Inputs!$G$5:$G$200="moeda")+(Inputs!$G$5:$G$200="acoes"))*Inputs!$B$1+((Inputs!$G$5:$G$200&lt;&gt;"moeda")*(Inputs!$G$5:$G$200&lt;&gt;"acoes")))*INDEX(Inputs!$K$5:$AJ$200,0,MATCH(F$2,Inputs!$K$4:$AJ$4,0)))+SUMPRODUCT((Inputs!$E$5:$E$200=$B21)*Inputs!$F$5:$F$200*(((Inputs!$G$5:$G$200="moeda")+(Inputs!$G$5:$G$200="acoes"))*Inputs!$B$1+((Inputs!$G$5:$G$200&lt;&gt;"moeda")*(Inputs!$G$5:$G$200&lt;&gt;"acoes")))*INDEX(Inputs!$K$5:$AJ$200,0,MATCH(F$2,Inputs!$K$4:$AJ$4,0)))))</f>
        <v>1.623</v>
      </c>
      <c r="G21" s="6">
        <f>IF(ISNA(MATCH(G$2,Inputs!$K$4:$AJ$4,0)),NA(),IF(SUMPRODUCT((Inputs!$A$5:$A$200=$B21)*ISNUMBER(INDEX(Inputs!$K$5:$AJ$200,0,MATCH(G$2,Inputs!$K$4:$AJ$4,0))))+SUMPRODUCT((Inputs!$C$5:$C$200=$B21)*ISNUMBER(INDEX(Inputs!$K$5:$AJ$200,0,MATCH(G$2,Inputs!$K$4:$AJ$4,0))))+SUMPRODUCT((Inputs!$E$5:$E$200=$B21)*ISNUMBER(INDEX(Inputs!$K$5:$AJ$200,0,MATCH(G$2,Inputs!$K$4:$AJ$4,0))))=0,NA(),SUMPRODUCT((Inputs!$A$5:$A$200=$B21)*Inputs!$B$5:$B$200*(((Inputs!$G$5:$G$200="moeda")+(Inputs!$G$5:$G$200="acoes"))*Inputs!$B$1+((Inputs!$G$5:$G$200&lt;&gt;"moeda")*(Inputs!$G$5:$G$200&lt;&gt;"acoes")))*INDEX(Inputs!$K$5:$AJ$200,0,MATCH(G$2,Inputs!$K$4:$AJ$4,0)))+SUMPRODUCT((Inputs!$C$5:$C$200=$B21)*Inputs!$D$5:$D$200*(((Inputs!$G$5:$G$200="moeda")+(Inputs!$G$5:$G$200="acoes"))*Inputs!$B$1+((Inputs!$G$5:$G$200&lt;&gt;"moeda")*(Inputs!$G$5:$G$200&lt;&gt;"acoes")))*INDEX(Inputs!$K$5:$AJ$200,0,MATCH(G$2,Inputs!$K$4:$AJ$4,0)))+SUMPRODUCT((Inputs!$E$5:$E$200=$B21)*Inputs!$F$5:$F$200*(((Inputs!$G$5:$G$200="moeda")+(Inputs!$G$5:$G$200="acoes"))*Inputs!$B$1+((Inputs!$G$5:$G$200&lt;&gt;"moeda")*(Inputs!$G$5:$G$200&lt;&gt;"acoes")))*INDEX(Inputs!$K$5:$AJ$200,0,MATCH(G$2,Inputs!$K$4:$AJ$4,0)))))</f>
        <v>4.422</v>
      </c>
      <c r="H21" s="3">
        <f>G21</f>
        <v>4.422</v>
      </c>
      <c r="I21" s="6">
        <f>IF(ISNA(MATCH(I$2,Inputs!$K$4:$AJ$4,0)),NA(),IF(SUMPRODUCT((Inputs!$A$5:$A$200=$B21)*ISNUMBER(INDEX(Inputs!$K$5:$AJ$200,0,MATCH(I$2,Inputs!$K$4:$AJ$4,0))))+SUMPRODUCT((Inputs!$C$5:$C$200=$B21)*ISNUMBER(INDEX(Inputs!$K$5:$AJ$200,0,MATCH(I$2,Inputs!$K$4:$AJ$4,0))))+SUMPRODUCT((Inputs!$E$5:$E$200=$B21)*ISNUMBER(INDEX(Inputs!$K$5:$AJ$200,0,MATCH(I$2,Inputs!$K$4:$AJ$4,0))))=0,NA(),SUMPRODUCT((Inputs!$A$5:$A$200=$B21)*Inputs!$B$5:$B$200*(((Inputs!$G$5:$G$200="moeda")+(Inputs!$G$5:$G$200="acoes"))*Inputs!$B$1+((Inputs!$G$5:$G$200&lt;&gt;"moeda")*(Inputs!$G$5:$G$200&lt;&gt;"acoes")))*INDEX(Inputs!$K$5:$AJ$200,0,MATCH(I$2,Inputs!$K$4:$AJ$4,0)))+SUMPRODUCT((Inputs!$C$5:$C$200=$B21)*Inputs!$D$5:$D$200*(((Inputs!$G$5:$G$200="moeda")+(Inputs!$G$5:$G$200="acoes"))*Inputs!$B$1+((Inputs!$G$5:$G$200&lt;&gt;"moeda")*(Inputs!$G$5:$G$200&lt;&gt;"acoes")))*INDEX(Inputs!$K$5:$AJ$200,0,MATCH(I$2,Inputs!$K$4:$AJ$4,0)))+SUMPRODUCT((Inputs!$E$5:$E$200=$B21)*Inputs!$F$5:$F$200*(((Inputs!$G$5:$G$200="moeda")+(Inputs!$G$5:$G$200="acoes"))*Inputs!$B$1+((Inputs!$G$5:$G$200&lt;&gt;"moeda")*(Inputs!$G$5:$G$200&lt;&gt;"acoes")))*INDEX(Inputs!$K$5:$AJ$200,0,MATCH(I$2,Inputs!$K$4:$AJ$4,0)))))</f>
        <v>15.439</v>
      </c>
      <c r="J21" s="6">
        <f>IF(ISNA(MATCH(J$2,Inputs!$K$4:$AJ$4,0)),NA(),IF(SUMPRODUCT((Inputs!$A$5:$A$200=$B21)*ISNUMBER(INDEX(Inputs!$K$5:$AJ$200,0,MATCH(J$2,Inputs!$K$4:$AJ$4,0))))+SUMPRODUCT((Inputs!$C$5:$C$200=$B21)*ISNUMBER(INDEX(Inputs!$K$5:$AJ$200,0,MATCH(J$2,Inputs!$K$4:$AJ$4,0))))+SUMPRODUCT((Inputs!$E$5:$E$200=$B21)*ISNUMBER(INDEX(Inputs!$K$5:$AJ$200,0,MATCH(J$2,Inputs!$K$4:$AJ$4,0))))=0,NA(),SUMPRODUCT((Inputs!$A$5:$A$200=$B21)*Inputs!$B$5:$B$200*(((Inputs!$G$5:$G$200="moeda")+(Inputs!$G$5:$G$200="acoes"))*Inputs!$B$1+((Inputs!$G$5:$G$200&lt;&gt;"moeda")*(Inputs!$G$5:$G$200&lt;&gt;"acoes")))*INDEX(Inputs!$K$5:$AJ$200,0,MATCH(J$2,Inputs!$K$4:$AJ$4,0)))+SUMPRODUCT((Inputs!$C$5:$C$200=$B21)*Inputs!$D$5:$D$200*(((Inputs!$G$5:$G$200="moeda")+(Inputs!$G$5:$G$200="acoes"))*Inputs!$B$1+((Inputs!$G$5:$G$200&lt;&gt;"moeda")*(Inputs!$G$5:$G$200&lt;&gt;"acoes")))*INDEX(Inputs!$K$5:$AJ$200,0,MATCH(J$2,Inputs!$K$4:$AJ$4,0)))+SUMPRODUCT((Inputs!$E$5:$E$200=$B21)*Inputs!$F$5:$F$200*(((Inputs!$G$5:$G$200="moeda")+(Inputs!$G$5:$G$200="acoes"))*Inputs!$B$1+((Inputs!$G$5:$G$200&lt;&gt;"moeda")*(Inputs!$G$5:$G$200&lt;&gt;"acoes")))*INDEX(Inputs!$K$5:$AJ$200,0,MATCH(J$2,Inputs!$K$4:$AJ$4,0)))))</f>
        <v>30.919</v>
      </c>
      <c r="K21" s="6">
        <f>IF(ISNA(MATCH(K$2,Inputs!$K$4:$AJ$4,0)),NA(),IF(SUMPRODUCT((Inputs!$A$5:$A$200=$B21)*ISNUMBER(INDEX(Inputs!$K$5:$AJ$200,0,MATCH(K$2,Inputs!$K$4:$AJ$4,0))))+SUMPRODUCT((Inputs!$C$5:$C$200=$B21)*ISNUMBER(INDEX(Inputs!$K$5:$AJ$200,0,MATCH(K$2,Inputs!$K$4:$AJ$4,0))))+SUMPRODUCT((Inputs!$E$5:$E$200=$B21)*ISNUMBER(INDEX(Inputs!$K$5:$AJ$200,0,MATCH(K$2,Inputs!$K$4:$AJ$4,0))))=0,NA(),SUMPRODUCT((Inputs!$A$5:$A$200=$B21)*Inputs!$B$5:$B$200*(((Inputs!$G$5:$G$200="moeda")+(Inputs!$G$5:$G$200="acoes"))*Inputs!$B$1+((Inputs!$G$5:$G$200&lt;&gt;"moeda")*(Inputs!$G$5:$G$200&lt;&gt;"acoes")))*INDEX(Inputs!$K$5:$AJ$200,0,MATCH(K$2,Inputs!$K$4:$AJ$4,0)))+SUMPRODUCT((Inputs!$C$5:$C$200=$B21)*Inputs!$D$5:$D$200*(((Inputs!$G$5:$G$200="moeda")+(Inputs!$G$5:$G$200="acoes"))*Inputs!$B$1+((Inputs!$G$5:$G$200&lt;&gt;"moeda")*(Inputs!$G$5:$G$200&lt;&gt;"acoes")))*INDEX(Inputs!$K$5:$AJ$200,0,MATCH(K$2,Inputs!$K$4:$AJ$4,0)))+SUMPRODUCT((Inputs!$E$5:$E$200=$B21)*Inputs!$F$5:$F$200*(((Inputs!$G$5:$G$200="moeda")+(Inputs!$G$5:$G$200="acoes"))*Inputs!$B$1+((Inputs!$G$5:$G$200&lt;&gt;"moeda")*(Inputs!$G$5:$G$200&lt;&gt;"acoes")))*INDEX(Inputs!$K$5:$AJ$200,0,MATCH(K$2,Inputs!$K$4:$AJ$4,0)))))</f>
        <v>39.86</v>
      </c>
      <c r="L21" s="6">
        <f>IF(ISNA(MATCH(L$2,Inputs!$K$4:$AJ$4,0)),NA(),IF(SUMPRODUCT((Inputs!$A$5:$A$200=$B21)*ISNUMBER(INDEX(Inputs!$K$5:$AJ$200,0,MATCH(L$2,Inputs!$K$4:$AJ$4,0))))+SUMPRODUCT((Inputs!$C$5:$C$200=$B21)*ISNUMBER(INDEX(Inputs!$K$5:$AJ$200,0,MATCH(L$2,Inputs!$K$4:$AJ$4,0))))+SUMPRODUCT((Inputs!$E$5:$E$200=$B21)*ISNUMBER(INDEX(Inputs!$K$5:$AJ$200,0,MATCH(L$2,Inputs!$K$4:$AJ$4,0))))=0,NA(),SUMPRODUCT((Inputs!$A$5:$A$200=$B21)*Inputs!$B$5:$B$200*(((Inputs!$G$5:$G$200="moeda")+(Inputs!$G$5:$G$200="acoes"))*Inputs!$B$1+((Inputs!$G$5:$G$200&lt;&gt;"moeda")*(Inputs!$G$5:$G$200&lt;&gt;"acoes")))*INDEX(Inputs!$K$5:$AJ$200,0,MATCH(L$2,Inputs!$K$4:$AJ$4,0)))+SUMPRODUCT((Inputs!$C$5:$C$200=$B21)*Inputs!$D$5:$D$200*(((Inputs!$G$5:$G$200="moeda")+(Inputs!$G$5:$G$200="acoes"))*Inputs!$B$1+((Inputs!$G$5:$G$200&lt;&gt;"moeda")*(Inputs!$G$5:$G$200&lt;&gt;"acoes")))*INDEX(Inputs!$K$5:$AJ$200,0,MATCH(L$2,Inputs!$K$4:$AJ$4,0)))+SUMPRODUCT((Inputs!$E$5:$E$200=$B21)*Inputs!$F$5:$F$200*(((Inputs!$G$5:$G$200="moeda")+(Inputs!$G$5:$G$200="acoes"))*Inputs!$B$1+((Inputs!$G$5:$G$200&lt;&gt;"moeda")*(Inputs!$G$5:$G$200&lt;&gt;"acoes")))*INDEX(Inputs!$K$5:$AJ$200,0,MATCH(L$2,Inputs!$K$4:$AJ$4,0)))))</f>
        <v>44.084</v>
      </c>
      <c r="M21" s="3">
        <f>L21</f>
        <v>44.084</v>
      </c>
      <c r="N21" s="6">
        <f>IF(ISNA(MATCH(N$2,Inputs!$K$4:$AJ$4,0)),NA(),IF(SUMPRODUCT((Inputs!$A$5:$A$200=$B21)*ISNUMBER(INDEX(Inputs!$K$5:$AJ$200,0,MATCH(N$2,Inputs!$K$4:$AJ$4,0))))+SUMPRODUCT((Inputs!$C$5:$C$200=$B21)*ISNUMBER(INDEX(Inputs!$K$5:$AJ$200,0,MATCH(N$2,Inputs!$K$4:$AJ$4,0))))+SUMPRODUCT((Inputs!$E$5:$E$200=$B21)*ISNUMBER(INDEX(Inputs!$K$5:$AJ$200,0,MATCH(N$2,Inputs!$K$4:$AJ$4,0))))=0,NA(),SUMPRODUCT((Inputs!$A$5:$A$200=$B21)*Inputs!$B$5:$B$200*(((Inputs!$G$5:$G$200="moeda")+(Inputs!$G$5:$G$200="acoes"))*Inputs!$B$1+((Inputs!$G$5:$G$200&lt;&gt;"moeda")*(Inputs!$G$5:$G$200&lt;&gt;"acoes")))*INDEX(Inputs!$K$5:$AJ$200,0,MATCH(N$2,Inputs!$K$4:$AJ$4,0)))+SUMPRODUCT((Inputs!$C$5:$C$200=$B21)*Inputs!$D$5:$D$200*(((Inputs!$G$5:$G$200="moeda")+(Inputs!$G$5:$G$200="acoes"))*Inputs!$B$1+((Inputs!$G$5:$G$200&lt;&gt;"moeda")*(Inputs!$G$5:$G$200&lt;&gt;"acoes")))*INDEX(Inputs!$K$5:$AJ$200,0,MATCH(N$2,Inputs!$K$4:$AJ$4,0)))+SUMPRODUCT((Inputs!$E$5:$E$200=$B21)*Inputs!$F$5:$F$200*(((Inputs!$G$5:$G$200="moeda")+(Inputs!$G$5:$G$200="acoes"))*Inputs!$B$1+((Inputs!$G$5:$G$200&lt;&gt;"moeda")*(Inputs!$G$5:$G$200&lt;&gt;"acoes")))*INDEX(Inputs!$K$5:$AJ$200,0,MATCH(N$2,Inputs!$K$4:$AJ$4,0)))))</f>
        <v>47.169</v>
      </c>
      <c r="O21" s="6">
        <f>IF(ISNA(MATCH(O$2,Inputs!$K$4:$AJ$4,0)),NA(),IF(SUMPRODUCT((Inputs!$A$5:$A$200=$B21)*ISNUMBER(INDEX(Inputs!$K$5:$AJ$200,0,MATCH(O$2,Inputs!$K$4:$AJ$4,0))))+SUMPRODUCT((Inputs!$C$5:$C$200=$B21)*ISNUMBER(INDEX(Inputs!$K$5:$AJ$200,0,MATCH(O$2,Inputs!$K$4:$AJ$4,0))))+SUMPRODUCT((Inputs!$E$5:$E$200=$B21)*ISNUMBER(INDEX(Inputs!$K$5:$AJ$200,0,MATCH(O$2,Inputs!$K$4:$AJ$4,0))))=0,NA(),SUMPRODUCT((Inputs!$A$5:$A$200=$B21)*Inputs!$B$5:$B$200*(((Inputs!$G$5:$G$200="moeda")+(Inputs!$G$5:$G$200="acoes"))*Inputs!$B$1+((Inputs!$G$5:$G$200&lt;&gt;"moeda")*(Inputs!$G$5:$G$200&lt;&gt;"acoes")))*INDEX(Inputs!$K$5:$AJ$200,0,MATCH(O$2,Inputs!$K$4:$AJ$4,0)))+SUMPRODUCT((Inputs!$C$5:$C$200=$B21)*Inputs!$D$5:$D$200*(((Inputs!$G$5:$G$200="moeda")+(Inputs!$G$5:$G$200="acoes"))*Inputs!$B$1+((Inputs!$G$5:$G$200&lt;&gt;"moeda")*(Inputs!$G$5:$G$200&lt;&gt;"acoes")))*INDEX(Inputs!$K$5:$AJ$200,0,MATCH(O$2,Inputs!$K$4:$AJ$4,0)))+SUMPRODUCT((Inputs!$E$5:$E$200=$B21)*Inputs!$F$5:$F$200*(((Inputs!$G$5:$G$200="moeda")+(Inputs!$G$5:$G$200="acoes"))*Inputs!$B$1+((Inputs!$G$5:$G$200&lt;&gt;"moeda")*(Inputs!$G$5:$G$200&lt;&gt;"acoes")))*INDEX(Inputs!$K$5:$AJ$200,0,MATCH(O$2,Inputs!$K$4:$AJ$4,0)))))</f>
        <v>79.3</v>
      </c>
      <c r="P21" s="6">
        <f>IF(ISNA(MATCH(P$2,Inputs!$K$4:$AJ$4,0)),NA(),IF(SUMPRODUCT((Inputs!$A$5:$A$200=$B21)*ISNUMBER(INDEX(Inputs!$K$5:$AJ$200,0,MATCH(P$2,Inputs!$K$4:$AJ$4,0))))+SUMPRODUCT((Inputs!$C$5:$C$200=$B21)*ISNUMBER(INDEX(Inputs!$K$5:$AJ$200,0,MATCH(P$2,Inputs!$K$4:$AJ$4,0))))+SUMPRODUCT((Inputs!$E$5:$E$200=$B21)*ISNUMBER(INDEX(Inputs!$K$5:$AJ$200,0,MATCH(P$2,Inputs!$K$4:$AJ$4,0))))=0,NA(),SUMPRODUCT((Inputs!$A$5:$A$200=$B21)*Inputs!$B$5:$B$200*(((Inputs!$G$5:$G$200="moeda")+(Inputs!$G$5:$G$200="acoes"))*Inputs!$B$1+((Inputs!$G$5:$G$200&lt;&gt;"moeda")*(Inputs!$G$5:$G$200&lt;&gt;"acoes")))*INDEX(Inputs!$K$5:$AJ$200,0,MATCH(P$2,Inputs!$K$4:$AJ$4,0)))+SUMPRODUCT((Inputs!$C$5:$C$200=$B21)*Inputs!$D$5:$D$200*(((Inputs!$G$5:$G$200="moeda")+(Inputs!$G$5:$G$200="acoes"))*Inputs!$B$1+((Inputs!$G$5:$G$200&lt;&gt;"moeda")*(Inputs!$G$5:$G$200&lt;&gt;"acoes")))*INDEX(Inputs!$K$5:$AJ$200,0,MATCH(P$2,Inputs!$K$4:$AJ$4,0)))+SUMPRODUCT((Inputs!$E$5:$E$200=$B21)*Inputs!$F$5:$F$200*(((Inputs!$G$5:$G$200="moeda")+(Inputs!$G$5:$G$200="acoes"))*Inputs!$B$1+((Inputs!$G$5:$G$200&lt;&gt;"moeda")*(Inputs!$G$5:$G$200&lt;&gt;"acoes")))*INDEX(Inputs!$K$5:$AJ$200,0,MATCH(P$2,Inputs!$K$4:$AJ$4,0)))))</f>
        <v>77.972</v>
      </c>
      <c r="Q21" s="6">
        <f>IF(ISNA(MATCH(Q$2,Inputs!$K$4:$AJ$4,0)),NA(),IF(SUMPRODUCT((Inputs!$A$5:$A$200=$B21)*ISNUMBER(INDEX(Inputs!$K$5:$AJ$200,0,MATCH(Q$2,Inputs!$K$4:$AJ$4,0))))+SUMPRODUCT((Inputs!$C$5:$C$200=$B21)*ISNUMBER(INDEX(Inputs!$K$5:$AJ$200,0,MATCH(Q$2,Inputs!$K$4:$AJ$4,0))))+SUMPRODUCT((Inputs!$E$5:$E$200=$B21)*ISNUMBER(INDEX(Inputs!$K$5:$AJ$200,0,MATCH(Q$2,Inputs!$K$4:$AJ$4,0))))=0,NA(),SUMPRODUCT((Inputs!$A$5:$A$200=$B21)*Inputs!$B$5:$B$200*(((Inputs!$G$5:$G$200="moeda")+(Inputs!$G$5:$G$200="acoes"))*Inputs!$B$1+((Inputs!$G$5:$G$200&lt;&gt;"moeda")*(Inputs!$G$5:$G$200&lt;&gt;"acoes")))*INDEX(Inputs!$K$5:$AJ$200,0,MATCH(Q$2,Inputs!$K$4:$AJ$4,0)))+SUMPRODUCT((Inputs!$C$5:$C$200=$B21)*Inputs!$D$5:$D$200*(((Inputs!$G$5:$G$200="moeda")+(Inputs!$G$5:$G$200="acoes"))*Inputs!$B$1+((Inputs!$G$5:$G$200&lt;&gt;"moeda")*(Inputs!$G$5:$G$200&lt;&gt;"acoes")))*INDEX(Inputs!$K$5:$AJ$200,0,MATCH(Q$2,Inputs!$K$4:$AJ$4,0)))+SUMPRODUCT((Inputs!$E$5:$E$200=$B21)*Inputs!$F$5:$F$200*(((Inputs!$G$5:$G$200="moeda")+(Inputs!$G$5:$G$200="acoes"))*Inputs!$B$1+((Inputs!$G$5:$G$200&lt;&gt;"moeda")*(Inputs!$G$5:$G$200&lt;&gt;"acoes")))*INDEX(Inputs!$K$5:$AJ$200,0,MATCH(Q$2,Inputs!$K$4:$AJ$4,0)))))</f>
        <v>98.957</v>
      </c>
      <c r="R21" s="3">
        <f>Q21</f>
        <v>98.957</v>
      </c>
      <c r="S21" s="6">
        <f>IF(ISNA(MATCH(S$2,Inputs!$K$4:$AJ$4,0)),NA(),IF(SUMPRODUCT((Inputs!$A$5:$A$200=$B21)*ISNUMBER(INDEX(Inputs!$K$5:$AJ$200,0,MATCH(S$2,Inputs!$K$4:$AJ$4,0))))+SUMPRODUCT((Inputs!$C$5:$C$200=$B21)*ISNUMBER(INDEX(Inputs!$K$5:$AJ$200,0,MATCH(S$2,Inputs!$K$4:$AJ$4,0))))+SUMPRODUCT((Inputs!$E$5:$E$200=$B21)*ISNUMBER(INDEX(Inputs!$K$5:$AJ$200,0,MATCH(S$2,Inputs!$K$4:$AJ$4,0))))=0,NA(),SUMPRODUCT((Inputs!$A$5:$A$200=$B21)*Inputs!$B$5:$B$200*(((Inputs!$G$5:$G$200="moeda")+(Inputs!$G$5:$G$200="acoes"))*Inputs!$B$1+((Inputs!$G$5:$G$200&lt;&gt;"moeda")*(Inputs!$G$5:$G$200&lt;&gt;"acoes")))*INDEX(Inputs!$K$5:$AJ$200,0,MATCH(S$2,Inputs!$K$4:$AJ$4,0)))+SUMPRODUCT((Inputs!$C$5:$C$200=$B21)*Inputs!$D$5:$D$200*(((Inputs!$G$5:$G$200="moeda")+(Inputs!$G$5:$G$200="acoes"))*Inputs!$B$1+((Inputs!$G$5:$G$200&lt;&gt;"moeda")*(Inputs!$G$5:$G$200&lt;&gt;"acoes")))*INDEX(Inputs!$K$5:$AJ$200,0,MATCH(S$2,Inputs!$K$4:$AJ$4,0)))+SUMPRODUCT((Inputs!$E$5:$E$200=$B21)*Inputs!$F$5:$F$200*(((Inputs!$G$5:$G$200="moeda")+(Inputs!$G$5:$G$200="acoes"))*Inputs!$B$1+((Inputs!$G$5:$G$200&lt;&gt;"moeda")*(Inputs!$G$5:$G$200&lt;&gt;"acoes")))*INDEX(Inputs!$K$5:$AJ$200,0,MATCH(S$2,Inputs!$K$4:$AJ$4,0)))))</f>
        <v>102.447</v>
      </c>
      <c r="T21" s="6">
        <f>IF(ISNA(MATCH(T$2,Inputs!$K$4:$AJ$4,0)),NA(),IF(SUMPRODUCT((Inputs!$A$5:$A$200=$B21)*ISNUMBER(INDEX(Inputs!$K$5:$AJ$200,0,MATCH(T$2,Inputs!$K$4:$AJ$4,0))))+SUMPRODUCT((Inputs!$C$5:$C$200=$B21)*ISNUMBER(INDEX(Inputs!$K$5:$AJ$200,0,MATCH(T$2,Inputs!$K$4:$AJ$4,0))))+SUMPRODUCT((Inputs!$E$5:$E$200=$B21)*ISNUMBER(INDEX(Inputs!$K$5:$AJ$200,0,MATCH(T$2,Inputs!$K$4:$AJ$4,0))))=0,NA(),SUMPRODUCT((Inputs!$A$5:$A$200=$B21)*Inputs!$B$5:$B$200*(((Inputs!$G$5:$G$200="moeda")+(Inputs!$G$5:$G$200="acoes"))*Inputs!$B$1+((Inputs!$G$5:$G$200&lt;&gt;"moeda")*(Inputs!$G$5:$G$200&lt;&gt;"acoes")))*INDEX(Inputs!$K$5:$AJ$200,0,MATCH(T$2,Inputs!$K$4:$AJ$4,0)))+SUMPRODUCT((Inputs!$C$5:$C$200=$B21)*Inputs!$D$5:$D$200*(((Inputs!$G$5:$G$200="moeda")+(Inputs!$G$5:$G$200="acoes"))*Inputs!$B$1+((Inputs!$G$5:$G$200&lt;&gt;"moeda")*(Inputs!$G$5:$G$200&lt;&gt;"acoes")))*INDEX(Inputs!$K$5:$AJ$200,0,MATCH(T$2,Inputs!$K$4:$AJ$4,0)))+SUMPRODUCT((Inputs!$E$5:$E$200=$B21)*Inputs!$F$5:$F$200*(((Inputs!$G$5:$G$200="moeda")+(Inputs!$G$5:$G$200="acoes"))*Inputs!$B$1+((Inputs!$G$5:$G$200&lt;&gt;"moeda")*(Inputs!$G$5:$G$200&lt;&gt;"acoes")))*INDEX(Inputs!$K$5:$AJ$200,0,MATCH(T$2,Inputs!$K$4:$AJ$4,0)))))</f>
        <v>101.856</v>
      </c>
      <c r="U21" s="6">
        <f>IF(ISNA(MATCH(U$2,Inputs!$K$4:$AJ$4,0)),NA(),IF(SUMPRODUCT((Inputs!$A$5:$A$200=$B21)*ISNUMBER(INDEX(Inputs!$K$5:$AJ$200,0,MATCH(U$2,Inputs!$K$4:$AJ$4,0))))+SUMPRODUCT((Inputs!$C$5:$C$200=$B21)*ISNUMBER(INDEX(Inputs!$K$5:$AJ$200,0,MATCH(U$2,Inputs!$K$4:$AJ$4,0))))+SUMPRODUCT((Inputs!$E$5:$E$200=$B21)*ISNUMBER(INDEX(Inputs!$K$5:$AJ$200,0,MATCH(U$2,Inputs!$K$4:$AJ$4,0))))=0,NA(),SUMPRODUCT((Inputs!$A$5:$A$200=$B21)*Inputs!$B$5:$B$200*(((Inputs!$G$5:$G$200="moeda")+(Inputs!$G$5:$G$200="acoes"))*Inputs!$B$1+((Inputs!$G$5:$G$200&lt;&gt;"moeda")*(Inputs!$G$5:$G$200&lt;&gt;"acoes")))*INDEX(Inputs!$K$5:$AJ$200,0,MATCH(U$2,Inputs!$K$4:$AJ$4,0)))+SUMPRODUCT((Inputs!$C$5:$C$200=$B21)*Inputs!$D$5:$D$200*(((Inputs!$G$5:$G$200="moeda")+(Inputs!$G$5:$G$200="acoes"))*Inputs!$B$1+((Inputs!$G$5:$G$200&lt;&gt;"moeda")*(Inputs!$G$5:$G$200&lt;&gt;"acoes")))*INDEX(Inputs!$K$5:$AJ$200,0,MATCH(U$2,Inputs!$K$4:$AJ$4,0)))+SUMPRODUCT((Inputs!$E$5:$E$200=$B21)*Inputs!$F$5:$F$200*(((Inputs!$G$5:$G$200="moeda")+(Inputs!$G$5:$G$200="acoes"))*Inputs!$B$1+((Inputs!$G$5:$G$200&lt;&gt;"moeda")*(Inputs!$G$5:$G$200&lt;&gt;"acoes")))*INDEX(Inputs!$K$5:$AJ$200,0,MATCH(U$2,Inputs!$K$4:$AJ$4,0)))))</f>
        <v>106.556</v>
      </c>
      <c r="V21" s="6">
        <f>IF(ISNA(MATCH(V$2,Inputs!$K$4:$AJ$4,0)),NA(),IF(SUMPRODUCT((Inputs!$A$5:$A$200=$B21)*ISNUMBER(INDEX(Inputs!$K$5:$AJ$200,0,MATCH(V$2,Inputs!$K$4:$AJ$4,0))))+SUMPRODUCT((Inputs!$C$5:$C$200=$B21)*ISNUMBER(INDEX(Inputs!$K$5:$AJ$200,0,MATCH(V$2,Inputs!$K$4:$AJ$4,0))))+SUMPRODUCT((Inputs!$E$5:$E$200=$B21)*ISNUMBER(INDEX(Inputs!$K$5:$AJ$200,0,MATCH(V$2,Inputs!$K$4:$AJ$4,0))))=0,NA(),SUMPRODUCT((Inputs!$A$5:$A$200=$B21)*Inputs!$B$5:$B$200*(((Inputs!$G$5:$G$200="moeda")+(Inputs!$G$5:$G$200="acoes"))*Inputs!$B$1+((Inputs!$G$5:$G$200&lt;&gt;"moeda")*(Inputs!$G$5:$G$200&lt;&gt;"acoes")))*INDEX(Inputs!$K$5:$AJ$200,0,MATCH(V$2,Inputs!$K$4:$AJ$4,0)))+SUMPRODUCT((Inputs!$C$5:$C$200=$B21)*Inputs!$D$5:$D$200*(((Inputs!$G$5:$G$200="moeda")+(Inputs!$G$5:$G$200="acoes"))*Inputs!$B$1+((Inputs!$G$5:$G$200&lt;&gt;"moeda")*(Inputs!$G$5:$G$200&lt;&gt;"acoes")))*INDEX(Inputs!$K$5:$AJ$200,0,MATCH(V$2,Inputs!$K$4:$AJ$4,0)))+SUMPRODUCT((Inputs!$E$5:$E$200=$B21)*Inputs!$F$5:$F$200*(((Inputs!$G$5:$G$200="moeda")+(Inputs!$G$5:$G$200="acoes"))*Inputs!$B$1+((Inputs!$G$5:$G$200&lt;&gt;"moeda")*(Inputs!$G$5:$G$200&lt;&gt;"acoes")))*INDEX(Inputs!$K$5:$AJ$200,0,MATCH(V$2,Inputs!$K$4:$AJ$4,0)))))</f>
        <v>112.801</v>
      </c>
      <c r="W21" s="3">
        <f>V21</f>
        <v>112.801</v>
      </c>
      <c r="X21" s="6">
        <f>IF(ISNA(MATCH(X$2,Inputs!$K$4:$AJ$4,0)),NA(),IF(SUMPRODUCT((Inputs!$A$5:$A$200=$B21)*ISNUMBER(INDEX(Inputs!$K$5:$AJ$200,0,MATCH(X$2,Inputs!$K$4:$AJ$4,0))))+SUMPRODUCT((Inputs!$C$5:$C$200=$B21)*ISNUMBER(INDEX(Inputs!$K$5:$AJ$200,0,MATCH(X$2,Inputs!$K$4:$AJ$4,0))))+SUMPRODUCT((Inputs!$E$5:$E$200=$B21)*ISNUMBER(INDEX(Inputs!$K$5:$AJ$200,0,MATCH(X$2,Inputs!$K$4:$AJ$4,0))))=0,NA(),SUMPRODUCT((Inputs!$A$5:$A$200=$B21)*Inputs!$B$5:$B$200*(((Inputs!$G$5:$G$200="moeda")+(Inputs!$G$5:$G$200="acoes"))*Inputs!$B$1+((Inputs!$G$5:$G$200&lt;&gt;"moeda")*(Inputs!$G$5:$G$200&lt;&gt;"acoes")))*INDEX(Inputs!$K$5:$AJ$200,0,MATCH(X$2,Inputs!$K$4:$AJ$4,0)))+SUMPRODUCT((Inputs!$C$5:$C$200=$B21)*Inputs!$D$5:$D$200*(((Inputs!$G$5:$G$200="moeda")+(Inputs!$G$5:$G$200="acoes"))*Inputs!$B$1+((Inputs!$G$5:$G$200&lt;&gt;"moeda")*(Inputs!$G$5:$G$200&lt;&gt;"acoes")))*INDEX(Inputs!$K$5:$AJ$200,0,MATCH(X$2,Inputs!$K$4:$AJ$4,0)))+SUMPRODUCT((Inputs!$E$5:$E$200=$B21)*Inputs!$F$5:$F$200*(((Inputs!$G$5:$G$200="moeda")+(Inputs!$G$5:$G$200="acoes"))*Inputs!$B$1+((Inputs!$G$5:$G$200&lt;&gt;"moeda")*(Inputs!$G$5:$G$200&lt;&gt;"acoes")))*INDEX(Inputs!$K$5:$AJ$200,0,MATCH(X$2,Inputs!$K$4:$AJ$4,0)))))</f>
        <v>116.825</v>
      </c>
      <c r="Y21" s="6">
        <f>IF(ISNA(MATCH(Y$2,Inputs!$K$4:$AJ$4,0)),NA(),IF(SUMPRODUCT((Inputs!$A$5:$A$200=$B21)*ISNUMBER(INDEX(Inputs!$K$5:$AJ$200,0,MATCH(Y$2,Inputs!$K$4:$AJ$4,0))))+SUMPRODUCT((Inputs!$C$5:$C$200=$B21)*ISNUMBER(INDEX(Inputs!$K$5:$AJ$200,0,MATCH(Y$2,Inputs!$K$4:$AJ$4,0))))+SUMPRODUCT((Inputs!$E$5:$E$200=$B21)*ISNUMBER(INDEX(Inputs!$K$5:$AJ$200,0,MATCH(Y$2,Inputs!$K$4:$AJ$4,0))))=0,NA(),SUMPRODUCT((Inputs!$A$5:$A$200=$B21)*Inputs!$B$5:$B$200*(((Inputs!$G$5:$G$200="moeda")+(Inputs!$G$5:$G$200="acoes"))*Inputs!$B$1+((Inputs!$G$5:$G$200&lt;&gt;"moeda")*(Inputs!$G$5:$G$200&lt;&gt;"acoes")))*INDEX(Inputs!$K$5:$AJ$200,0,MATCH(Y$2,Inputs!$K$4:$AJ$4,0)))+SUMPRODUCT((Inputs!$C$5:$C$200=$B21)*Inputs!$D$5:$D$200*(((Inputs!$G$5:$G$200="moeda")+(Inputs!$G$5:$G$200="acoes"))*Inputs!$B$1+((Inputs!$G$5:$G$200&lt;&gt;"moeda")*(Inputs!$G$5:$G$200&lt;&gt;"acoes")))*INDEX(Inputs!$K$5:$AJ$200,0,MATCH(Y$2,Inputs!$K$4:$AJ$4,0)))+SUMPRODUCT((Inputs!$E$5:$E$200=$B21)*Inputs!$F$5:$F$200*(((Inputs!$G$5:$G$200="moeda")+(Inputs!$G$5:$G$200="acoes"))*Inputs!$B$1+((Inputs!$G$5:$G$200&lt;&gt;"moeda")*(Inputs!$G$5:$G$200&lt;&gt;"acoes")))*INDEX(Inputs!$K$5:$AJ$200,0,MATCH(Y$2,Inputs!$K$4:$AJ$4,0)))))</f>
        <v>118.672</v>
      </c>
      <c r="Z21" s="6">
        <f>IF(ISNA(MATCH(Z$2,Inputs!$K$4:$AJ$4,0)),NA(),IF(SUMPRODUCT((Inputs!$A$5:$A$200=$B21)*ISNUMBER(INDEX(Inputs!$K$5:$AJ$200,0,MATCH(Z$2,Inputs!$K$4:$AJ$4,0))))+SUMPRODUCT((Inputs!$C$5:$C$200=$B21)*ISNUMBER(INDEX(Inputs!$K$5:$AJ$200,0,MATCH(Z$2,Inputs!$K$4:$AJ$4,0))))+SUMPRODUCT((Inputs!$E$5:$E$200=$B21)*ISNUMBER(INDEX(Inputs!$K$5:$AJ$200,0,MATCH(Z$2,Inputs!$K$4:$AJ$4,0))))=0,NA(),SUMPRODUCT((Inputs!$A$5:$A$200=$B21)*Inputs!$B$5:$B$200*(((Inputs!$G$5:$G$200="moeda")+(Inputs!$G$5:$G$200="acoes"))*Inputs!$B$1+((Inputs!$G$5:$G$200&lt;&gt;"moeda")*(Inputs!$G$5:$G$200&lt;&gt;"acoes")))*INDEX(Inputs!$K$5:$AJ$200,0,MATCH(Z$2,Inputs!$K$4:$AJ$4,0)))+SUMPRODUCT((Inputs!$C$5:$C$200=$B21)*Inputs!$D$5:$D$200*(((Inputs!$G$5:$G$200="moeda")+(Inputs!$G$5:$G$200="acoes"))*Inputs!$B$1+((Inputs!$G$5:$G$200&lt;&gt;"moeda")*(Inputs!$G$5:$G$200&lt;&gt;"acoes")))*INDEX(Inputs!$K$5:$AJ$200,0,MATCH(Z$2,Inputs!$K$4:$AJ$4,0)))+SUMPRODUCT((Inputs!$E$5:$E$200=$B21)*Inputs!$F$5:$F$200*(((Inputs!$G$5:$G$200="moeda")+(Inputs!$G$5:$G$200="acoes"))*Inputs!$B$1+((Inputs!$G$5:$G$200&lt;&gt;"moeda")*(Inputs!$G$5:$G$200&lt;&gt;"acoes")))*INDEX(Inputs!$K$5:$AJ$200,0,MATCH(Z$2,Inputs!$K$4:$AJ$4,0)))))</f>
        <v>119.706</v>
      </c>
      <c r="AA21" s="6">
        <f>IF(ISNA(MATCH(AA$2,Inputs!$K$4:$AJ$4,0)),NA(),IF(SUMPRODUCT((Inputs!$A$5:$A$200=$B21)*ISNUMBER(INDEX(Inputs!$K$5:$AJ$200,0,MATCH(AA$2,Inputs!$K$4:$AJ$4,0))))+SUMPRODUCT((Inputs!$C$5:$C$200=$B21)*ISNUMBER(INDEX(Inputs!$K$5:$AJ$200,0,MATCH(AA$2,Inputs!$K$4:$AJ$4,0))))+SUMPRODUCT((Inputs!$E$5:$E$200=$B21)*ISNUMBER(INDEX(Inputs!$K$5:$AJ$200,0,MATCH(AA$2,Inputs!$K$4:$AJ$4,0))))=0,NA(),SUMPRODUCT((Inputs!$A$5:$A$200=$B21)*Inputs!$B$5:$B$200*(((Inputs!$G$5:$G$200="moeda")+(Inputs!$G$5:$G$200="acoes"))*Inputs!$B$1+((Inputs!$G$5:$G$200&lt;&gt;"moeda")*(Inputs!$G$5:$G$200&lt;&gt;"acoes")))*INDEX(Inputs!$K$5:$AJ$200,0,MATCH(AA$2,Inputs!$K$4:$AJ$4,0)))+SUMPRODUCT((Inputs!$C$5:$C$200=$B21)*Inputs!$D$5:$D$200*(((Inputs!$G$5:$G$200="moeda")+(Inputs!$G$5:$G$200="acoes"))*Inputs!$B$1+((Inputs!$G$5:$G$200&lt;&gt;"moeda")*(Inputs!$G$5:$G$200&lt;&gt;"acoes")))*INDEX(Inputs!$K$5:$AJ$200,0,MATCH(AA$2,Inputs!$K$4:$AJ$4,0)))+SUMPRODUCT((Inputs!$E$5:$E$200=$B21)*Inputs!$F$5:$F$200*(((Inputs!$G$5:$G$200="moeda")+(Inputs!$G$5:$G$200="acoes"))*Inputs!$B$1+((Inputs!$G$5:$G$200&lt;&gt;"moeda")*(Inputs!$G$5:$G$200&lt;&gt;"acoes")))*INDEX(Inputs!$K$5:$AJ$200,0,MATCH(AA$2,Inputs!$K$4:$AJ$4,0)))))</f>
        <v>117.461</v>
      </c>
      <c r="AB21" s="3">
        <f>AA21</f>
        <v>117.461</v>
      </c>
      <c r="AC21" s="6">
        <f>IF(ISNA(MATCH(AC$2,Inputs!$K$4:$AJ$4,0)),NA(),IF(SUMPRODUCT((Inputs!$A$5:$A$200=$B21)*ISNUMBER(INDEX(Inputs!$K$5:$AJ$200,0,MATCH(AC$2,Inputs!$K$4:$AJ$4,0))))+SUMPRODUCT((Inputs!$C$5:$C$200=$B21)*ISNUMBER(INDEX(Inputs!$K$5:$AJ$200,0,MATCH(AC$2,Inputs!$K$4:$AJ$4,0))))+SUMPRODUCT((Inputs!$E$5:$E$200=$B21)*ISNUMBER(INDEX(Inputs!$K$5:$AJ$200,0,MATCH(AC$2,Inputs!$K$4:$AJ$4,0))))=0,NA(),SUMPRODUCT((Inputs!$A$5:$A$200=$B21)*Inputs!$B$5:$B$200*(((Inputs!$G$5:$G$200="moeda")+(Inputs!$G$5:$G$200="acoes"))*Inputs!$B$1+((Inputs!$G$5:$G$200&lt;&gt;"moeda")*(Inputs!$G$5:$G$200&lt;&gt;"acoes")))*INDEX(Inputs!$K$5:$AJ$200,0,MATCH(AC$2,Inputs!$K$4:$AJ$4,0)))+SUMPRODUCT((Inputs!$C$5:$C$200=$B21)*Inputs!$D$5:$D$200*(((Inputs!$G$5:$G$200="moeda")+(Inputs!$G$5:$G$200="acoes"))*Inputs!$B$1+((Inputs!$G$5:$G$200&lt;&gt;"moeda")*(Inputs!$G$5:$G$200&lt;&gt;"acoes")))*INDEX(Inputs!$K$5:$AJ$200,0,MATCH(AC$2,Inputs!$K$4:$AJ$4,0)))+SUMPRODUCT((Inputs!$E$5:$E$200=$B21)*Inputs!$F$5:$F$200*(((Inputs!$G$5:$G$200="moeda")+(Inputs!$G$5:$G$200="acoes"))*Inputs!$B$1+((Inputs!$G$5:$G$200&lt;&gt;"moeda")*(Inputs!$G$5:$G$200&lt;&gt;"acoes")))*INDEX(Inputs!$K$5:$AJ$200,0,MATCH(AC$2,Inputs!$K$4:$AJ$4,0)))))</f>
        <v>117.036</v>
      </c>
      <c r="AD21" s="6">
        <f>IF(ISNA(MATCH(AD$2,Inputs!$K$4:$AJ$4,0)),NA(),IF(SUMPRODUCT((Inputs!$A$5:$A$200=$B21)*ISNUMBER(INDEX(Inputs!$K$5:$AJ$200,0,MATCH(AD$2,Inputs!$K$4:$AJ$4,0))))+SUMPRODUCT((Inputs!$C$5:$C$200=$B21)*ISNUMBER(INDEX(Inputs!$K$5:$AJ$200,0,MATCH(AD$2,Inputs!$K$4:$AJ$4,0))))+SUMPRODUCT((Inputs!$E$5:$E$200=$B21)*ISNUMBER(INDEX(Inputs!$K$5:$AJ$200,0,MATCH(AD$2,Inputs!$K$4:$AJ$4,0))))=0,NA(),SUMPRODUCT((Inputs!$A$5:$A$200=$B21)*Inputs!$B$5:$B$200*(((Inputs!$G$5:$G$200="moeda")+(Inputs!$G$5:$G$200="acoes"))*Inputs!$B$1+((Inputs!$G$5:$G$200&lt;&gt;"moeda")*(Inputs!$G$5:$G$200&lt;&gt;"acoes")))*INDEX(Inputs!$K$5:$AJ$200,0,MATCH(AD$2,Inputs!$K$4:$AJ$4,0)))+SUMPRODUCT((Inputs!$C$5:$C$200=$B21)*Inputs!$D$5:$D$200*(((Inputs!$G$5:$G$200="moeda")+(Inputs!$G$5:$G$200="acoes"))*Inputs!$B$1+((Inputs!$G$5:$G$200&lt;&gt;"moeda")*(Inputs!$G$5:$G$200&lt;&gt;"acoes")))*INDEX(Inputs!$K$5:$AJ$200,0,MATCH(AD$2,Inputs!$K$4:$AJ$4,0)))+SUMPRODUCT((Inputs!$E$5:$E$200=$B21)*Inputs!$F$5:$F$200*(((Inputs!$G$5:$G$200="moeda")+(Inputs!$G$5:$G$200="acoes"))*Inputs!$B$1+((Inputs!$G$5:$G$200&lt;&gt;"moeda")*(Inputs!$G$5:$G$200&lt;&gt;"acoes")))*INDEX(Inputs!$K$5:$AJ$200,0,MATCH(AD$2,Inputs!$K$4:$AJ$4,0)))))</f>
        <v>142.539</v>
      </c>
      <c r="AE21" s="6" t="e">
        <f>IF(ISNA(MATCH(AE$2,Inputs!$K$4:$AJ$4,0)),NA(),IF(SUMPRODUCT((Inputs!$A$5:$A$200=$B21)*ISNUMBER(INDEX(Inputs!$K$5:$AJ$200,0,MATCH(AE$2,Inputs!$K$4:$AJ$4,0))))+SUMPRODUCT((Inputs!$C$5:$C$200=$B21)*ISNUMBER(INDEX(Inputs!$K$5:$AJ$200,0,MATCH(AE$2,Inputs!$K$4:$AJ$4,0))))+SUMPRODUCT((Inputs!$E$5:$E$200=$B21)*ISNUMBER(INDEX(Inputs!$K$5:$AJ$200,0,MATCH(AE$2,Inputs!$K$4:$AJ$4,0))))=0,NA(),SUMPRODUCT((Inputs!$A$5:$A$200=$B21)*Inputs!$B$5:$B$200*(((Inputs!$G$5:$G$200="moeda")+(Inputs!$G$5:$G$200="acoes"))*Inputs!$B$1+((Inputs!$G$5:$G$200&lt;&gt;"moeda")*(Inputs!$G$5:$G$200&lt;&gt;"acoes")))*INDEX(Inputs!$K$5:$AJ$200,0,MATCH(AE$2,Inputs!$K$4:$AJ$4,0)))+SUMPRODUCT((Inputs!$C$5:$C$200=$B21)*Inputs!$D$5:$D$200*(((Inputs!$G$5:$G$200="moeda")+(Inputs!$G$5:$G$200="acoes"))*Inputs!$B$1+((Inputs!$G$5:$G$200&lt;&gt;"moeda")*(Inputs!$G$5:$G$200&lt;&gt;"acoes")))*INDEX(Inputs!$K$5:$AJ$200,0,MATCH(AE$2,Inputs!$K$4:$AJ$4,0)))+SUMPRODUCT((Inputs!$E$5:$E$200=$B21)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1" s="6" t="e">
        <f>IF(ISNA(MATCH(AF$2,Inputs!$K$4:$AJ$4,0)),NA(),IF(SUMPRODUCT((Inputs!$A$5:$A$200=$B21)*ISNUMBER(INDEX(Inputs!$K$5:$AJ$200,0,MATCH(AF$2,Inputs!$K$4:$AJ$4,0))))+SUMPRODUCT((Inputs!$C$5:$C$200=$B21)*ISNUMBER(INDEX(Inputs!$K$5:$AJ$200,0,MATCH(AF$2,Inputs!$K$4:$AJ$4,0))))+SUMPRODUCT((Inputs!$E$5:$E$200=$B21)*ISNUMBER(INDEX(Inputs!$K$5:$AJ$200,0,MATCH(AF$2,Inputs!$K$4:$AJ$4,0))))=0,NA(),SUMPRODUCT((Inputs!$A$5:$A$200=$B21)*Inputs!$B$5:$B$200*(((Inputs!$G$5:$G$200="moeda")+(Inputs!$G$5:$G$200="acoes"))*Inputs!$B$1+((Inputs!$G$5:$G$200&lt;&gt;"moeda")*(Inputs!$G$5:$G$200&lt;&gt;"acoes")))*INDEX(Inputs!$K$5:$AJ$200,0,MATCH(AF$2,Inputs!$K$4:$AJ$4,0)))+SUMPRODUCT((Inputs!$C$5:$C$200=$B21)*Inputs!$D$5:$D$200*(((Inputs!$G$5:$G$200="moeda")+(Inputs!$G$5:$G$200="acoes"))*Inputs!$B$1+((Inputs!$G$5:$G$200&lt;&gt;"moeda")*(Inputs!$G$5:$G$200&lt;&gt;"acoes")))*INDEX(Inputs!$K$5:$AJ$200,0,MATCH(AF$2,Inputs!$K$4:$AJ$4,0)))+SUMPRODUCT((Inputs!$E$5:$E$200=$B21)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1" s="3" t="e">
        <f>AF21</f>
        <v>#N/A</v>
      </c>
      <c r="AH21" s="6">
        <f>IF(ISNA(MATCH(AH$2,Inputs!$K$4:$AJ$4,0)),NA(),IF(SUMPRODUCT((Inputs!$A$5:$A$200=$B21)*ISNUMBER(INDEX(Inputs!$K$5:$AJ$200,0,MATCH(AH$2,Inputs!$K$4:$AJ$4,0))))+SUMPRODUCT((Inputs!$C$5:$C$200=$B21)*ISNUMBER(INDEX(Inputs!$K$5:$AJ$200,0,MATCH(AH$2,Inputs!$K$4:$AJ$4,0))))+SUMPRODUCT((Inputs!$E$5:$E$200=$B21)*ISNUMBER(INDEX(Inputs!$K$5:$AJ$200,0,MATCH(AH$2,Inputs!$K$4:$AJ$4,0))))=0,NA(),SUMPRODUCT((Inputs!$A$5:$A$200=$B21)*Inputs!$B$5:$B$200*(((Inputs!$G$5:$G$200="moeda")+(Inputs!$G$5:$G$200="acoes"))*Inputs!$B$1+((Inputs!$G$5:$G$200&lt;&gt;"moeda")*(Inputs!$G$5:$G$200&lt;&gt;"acoes")))*INDEX(Inputs!$K$5:$AJ$200,0,MATCH(AH$2,Inputs!$K$4:$AJ$4,0)))+SUMPRODUCT((Inputs!$C$5:$C$200=$B21)*Inputs!$D$5:$D$200*(((Inputs!$G$5:$G$200="moeda")+(Inputs!$G$5:$G$200="acoes"))*Inputs!$B$1+((Inputs!$G$5:$G$200&lt;&gt;"moeda")*(Inputs!$G$5:$G$200&lt;&gt;"acoes")))*INDEX(Inputs!$K$5:$AJ$200,0,MATCH(AH$2,Inputs!$K$4:$AJ$4,0)))+SUMPRODUCT((Inputs!$E$5:$E$200=$B21)*Inputs!$F$5:$F$200*(((Inputs!$G$5:$G$200="moeda")+(Inputs!$G$5:$G$200="acoes"))*Inputs!$B$1+((Inputs!$G$5:$G$200&lt;&gt;"moeda")*(Inputs!$G$5:$G$200&lt;&gt;"acoes")))*INDEX(Inputs!$K$5:$AJ$200,0,MATCH(AH$2,Inputs!$K$4:$AJ$4,0)))))</f>
        <v>0</v>
      </c>
      <c r="AI21" s="6">
        <f>IF(ISNA(MATCH(AI$2,Inputs!$K$4:$AJ$4,0)),NA(),IF(SUMPRODUCT((Inputs!$A$5:$A$200=$B21)*ISNUMBER(INDEX(Inputs!$K$5:$AJ$200,0,MATCH(AI$2,Inputs!$K$4:$AJ$4,0))))+SUMPRODUCT((Inputs!$C$5:$C$200=$B21)*ISNUMBER(INDEX(Inputs!$K$5:$AJ$200,0,MATCH(AI$2,Inputs!$K$4:$AJ$4,0))))+SUMPRODUCT((Inputs!$E$5:$E$200=$B21)*ISNUMBER(INDEX(Inputs!$K$5:$AJ$200,0,MATCH(AI$2,Inputs!$K$4:$AJ$4,0))))=0,NA(),SUMPRODUCT((Inputs!$A$5:$A$200=$B21)*Inputs!$B$5:$B$200*(((Inputs!$G$5:$G$200="moeda")+(Inputs!$G$5:$G$200="acoes"))*Inputs!$B$1+((Inputs!$G$5:$G$200&lt;&gt;"moeda")*(Inputs!$G$5:$G$200&lt;&gt;"acoes")))*INDEX(Inputs!$K$5:$AJ$200,0,MATCH(AI$2,Inputs!$K$4:$AJ$4,0)))+SUMPRODUCT((Inputs!$C$5:$C$200=$B21)*Inputs!$D$5:$D$200*(((Inputs!$G$5:$G$200="moeda")+(Inputs!$G$5:$G$200="acoes"))*Inputs!$B$1+((Inputs!$G$5:$G$200&lt;&gt;"moeda")*(Inputs!$G$5:$G$200&lt;&gt;"acoes")))*INDEX(Inputs!$K$5:$AJ$200,0,MATCH(AI$2,Inputs!$K$4:$AJ$4,0)))+SUMPRODUCT((Inputs!$E$5:$E$200=$B21)*Inputs!$F$5:$F$200*(((Inputs!$G$5:$G$200="moeda")+(Inputs!$G$5:$G$200="acoes"))*Inputs!$B$1+((Inputs!$G$5:$G$200&lt;&gt;"moeda")*(Inputs!$G$5:$G$200&lt;&gt;"acoes")))*INDEX(Inputs!$K$5:$AJ$200,0,MATCH(AI$2,Inputs!$K$4:$AJ$4,0)))))</f>
        <v>0</v>
      </c>
      <c r="AJ21" s="6">
        <f>IF(ISNA(MATCH(AJ$2,Inputs!$K$4:$AJ$4,0)),NA(),IF(SUMPRODUCT((Inputs!$A$5:$A$200=$B21)*ISNUMBER(INDEX(Inputs!$K$5:$AJ$200,0,MATCH(AJ$2,Inputs!$K$4:$AJ$4,0))))+SUMPRODUCT((Inputs!$C$5:$C$200=$B21)*ISNUMBER(INDEX(Inputs!$K$5:$AJ$200,0,MATCH(AJ$2,Inputs!$K$4:$AJ$4,0))))+SUMPRODUCT((Inputs!$E$5:$E$200=$B21)*ISNUMBER(INDEX(Inputs!$K$5:$AJ$200,0,MATCH(AJ$2,Inputs!$K$4:$AJ$4,0))))=0,NA(),SUMPRODUCT((Inputs!$A$5:$A$200=$B21)*Inputs!$B$5:$B$200*(((Inputs!$G$5:$G$200="moeda")+(Inputs!$G$5:$G$200="acoes"))*Inputs!$B$1+((Inputs!$G$5:$G$200&lt;&gt;"moeda")*(Inputs!$G$5:$G$200&lt;&gt;"acoes")))*INDEX(Inputs!$K$5:$AJ$200,0,MATCH(AJ$2,Inputs!$K$4:$AJ$4,0)))+SUMPRODUCT((Inputs!$C$5:$C$200=$B21)*Inputs!$D$5:$D$200*(((Inputs!$G$5:$G$200="moeda")+(Inputs!$G$5:$G$200="acoes"))*Inputs!$B$1+((Inputs!$G$5:$G$200&lt;&gt;"moeda")*(Inputs!$G$5:$G$200&lt;&gt;"acoes")))*INDEX(Inputs!$K$5:$AJ$200,0,MATCH(AJ$2,Inputs!$K$4:$AJ$4,0)))+SUMPRODUCT((Inputs!$E$5:$E$200=$B21)*Inputs!$F$5:$F$200*(((Inputs!$G$5:$G$200="moeda")+(Inputs!$G$5:$G$200="acoes"))*Inputs!$B$1+((Inputs!$G$5:$G$200&lt;&gt;"moeda")*(Inputs!$G$5:$G$200&lt;&gt;"acoes")))*INDEX(Inputs!$K$5:$AJ$200,0,MATCH(AJ$2,Inputs!$K$4:$AJ$4,0)))))</f>
        <v>0</v>
      </c>
      <c r="AK21" s="6">
        <f>IF(ISNA(MATCH(AK$2,Inputs!$K$4:$AJ$4,0)),NA(),IF(SUMPRODUCT((Inputs!$A$5:$A$200=$B21)*ISNUMBER(INDEX(Inputs!$K$5:$AJ$200,0,MATCH(AK$2,Inputs!$K$4:$AJ$4,0))))+SUMPRODUCT((Inputs!$C$5:$C$200=$B21)*ISNUMBER(INDEX(Inputs!$K$5:$AJ$200,0,MATCH(AK$2,Inputs!$K$4:$AJ$4,0))))+SUMPRODUCT((Inputs!$E$5:$E$200=$B21)*ISNUMBER(INDEX(Inputs!$K$5:$AJ$200,0,MATCH(AK$2,Inputs!$K$4:$AJ$4,0))))=0,NA(),SUMPRODUCT((Inputs!$A$5:$A$200=$B21)*Inputs!$B$5:$B$200*(((Inputs!$G$5:$G$200="moeda")+(Inputs!$G$5:$G$200="acoes"))*Inputs!$B$1+((Inputs!$G$5:$G$200&lt;&gt;"moeda")*(Inputs!$G$5:$G$200&lt;&gt;"acoes")))*INDEX(Inputs!$K$5:$AJ$200,0,MATCH(AK$2,Inputs!$K$4:$AJ$4,0)))+SUMPRODUCT((Inputs!$C$5:$C$200=$B21)*Inputs!$D$5:$D$200*(((Inputs!$G$5:$G$200="moeda")+(Inputs!$G$5:$G$200="acoes"))*Inputs!$B$1+((Inputs!$G$5:$G$200&lt;&gt;"moeda")*(Inputs!$G$5:$G$200&lt;&gt;"acoes")))*INDEX(Inputs!$K$5:$AJ$200,0,MATCH(AK$2,Inputs!$K$4:$AJ$4,0)))+SUMPRODUCT((Inputs!$E$5:$E$200=$B21)*Inputs!$F$5:$F$200*(((Inputs!$G$5:$G$200="moeda")+(Inputs!$G$5:$G$200="acoes"))*Inputs!$B$1+((Inputs!$G$5:$G$200&lt;&gt;"moeda")*(Inputs!$G$5:$G$200&lt;&gt;"acoes")))*INDEX(Inputs!$K$5:$AJ$200,0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$200=$B22)*ISNUMBER(INDEX(Inputs!$K$5:$AJ$200,0,MATCH(D$2,Inputs!$K$4:$AJ$4,0))))+SUMPRODUCT((Inputs!$C$5:$C$200=$B22)*ISNUMBER(INDEX(Inputs!$K$5:$AJ$200,0,MATCH(D$2,Inputs!$K$4:$AJ$4,0))))+SUMPRODUCT((Inputs!$E$5:$E$200=$B22)*ISNUMBER(INDEX(Inputs!$K$5:$AJ$200,0,MATCH(D$2,Inputs!$K$4:$AJ$4,0))))=0,NA(),SUMPRODUCT((Inputs!$A$5:$A$200=$B22)*Inputs!$B$5:$B$200*(((Inputs!$G$5:$G$200="moeda")+(Inputs!$G$5:$G$200="acoes"))*Inputs!$B$1+((Inputs!$G$5:$G$200&lt;&gt;"moeda")*(Inputs!$G$5:$G$200&lt;&gt;"acoes")))*INDEX(Inputs!$K$5:$AJ$200,0,MATCH(D$2,Inputs!$K$4:$AJ$4,0)))+SUMPRODUCT((Inputs!$C$5:$C$200=$B22)*Inputs!$D$5:$D$200*(((Inputs!$G$5:$G$200="moeda")+(Inputs!$G$5:$G$200="acoes"))*Inputs!$B$1+((Inputs!$G$5:$G$200&lt;&gt;"moeda")*(Inputs!$G$5:$G$200&lt;&gt;"acoes")))*INDEX(Inputs!$K$5:$AJ$200,0,MATCH(D$2,Inputs!$K$4:$AJ$4,0)))+SUMPRODUCT((Inputs!$E$5:$E$200=$B22)*Inputs!$F$5:$F$200*(((Inputs!$G$5:$G$200="moeda")+(Inputs!$G$5:$G$200="acoes"))*Inputs!$B$1+((Inputs!$G$5:$G$200&lt;&gt;"moeda")*(Inputs!$G$5:$G$200&lt;&gt;"acoes")))*INDEX(Inputs!$K$5:$AJ$200,0,MATCH(D$2,Inputs!$K$4:$AJ$4,0)))))</f>
        <v>284.571</v>
      </c>
      <c r="E22" s="6">
        <f>IF(ISNA(MATCH(E$2,Inputs!$K$4:$AJ$4,0)),NA(),IF(SUMPRODUCT((Inputs!$A$5:$A$200=$B22)*ISNUMBER(INDEX(Inputs!$K$5:$AJ$200,0,MATCH(E$2,Inputs!$K$4:$AJ$4,0))))+SUMPRODUCT((Inputs!$C$5:$C$200=$B22)*ISNUMBER(INDEX(Inputs!$K$5:$AJ$200,0,MATCH(E$2,Inputs!$K$4:$AJ$4,0))))+SUMPRODUCT((Inputs!$E$5:$E$200=$B22)*ISNUMBER(INDEX(Inputs!$K$5:$AJ$200,0,MATCH(E$2,Inputs!$K$4:$AJ$4,0))))=0,NA(),SUMPRODUCT((Inputs!$A$5:$A$200=$B22)*Inputs!$B$5:$B$200*(((Inputs!$G$5:$G$200="moeda")+(Inputs!$G$5:$G$200="acoes"))*Inputs!$B$1+((Inputs!$G$5:$G$200&lt;&gt;"moeda")*(Inputs!$G$5:$G$200&lt;&gt;"acoes")))*INDEX(Inputs!$K$5:$AJ$200,0,MATCH(E$2,Inputs!$K$4:$AJ$4,0)))+SUMPRODUCT((Inputs!$C$5:$C$200=$B22)*Inputs!$D$5:$D$200*(((Inputs!$G$5:$G$200="moeda")+(Inputs!$G$5:$G$200="acoes"))*Inputs!$B$1+((Inputs!$G$5:$G$200&lt;&gt;"moeda")*(Inputs!$G$5:$G$200&lt;&gt;"acoes")))*INDEX(Inputs!$K$5:$AJ$200,0,MATCH(E$2,Inputs!$K$4:$AJ$4,0)))+SUMPRODUCT((Inputs!$E$5:$E$200=$B22)*Inputs!$F$5:$F$200*(((Inputs!$G$5:$G$200="moeda")+(Inputs!$G$5:$G$200="acoes"))*Inputs!$B$1+((Inputs!$G$5:$G$200&lt;&gt;"moeda")*(Inputs!$G$5:$G$200&lt;&gt;"acoes")))*INDEX(Inputs!$K$5:$AJ$200,0,MATCH(E$2,Inputs!$K$4:$AJ$4,0)))))</f>
        <v>295.006</v>
      </c>
      <c r="F22" s="6">
        <f>IF(ISNA(MATCH(F$2,Inputs!$K$4:$AJ$4,0)),NA(),IF(SUMPRODUCT((Inputs!$A$5:$A$200=$B22)*ISNUMBER(INDEX(Inputs!$K$5:$AJ$200,0,MATCH(F$2,Inputs!$K$4:$AJ$4,0))))+SUMPRODUCT((Inputs!$C$5:$C$200=$B22)*ISNUMBER(INDEX(Inputs!$K$5:$AJ$200,0,MATCH(F$2,Inputs!$K$4:$AJ$4,0))))+SUMPRODUCT((Inputs!$E$5:$E$200=$B22)*ISNUMBER(INDEX(Inputs!$K$5:$AJ$200,0,MATCH(F$2,Inputs!$K$4:$AJ$4,0))))=0,NA(),SUMPRODUCT((Inputs!$A$5:$A$200=$B22)*Inputs!$B$5:$B$200*(((Inputs!$G$5:$G$200="moeda")+(Inputs!$G$5:$G$200="acoes"))*Inputs!$B$1+((Inputs!$G$5:$G$200&lt;&gt;"moeda")*(Inputs!$G$5:$G$200&lt;&gt;"acoes")))*INDEX(Inputs!$K$5:$AJ$200,0,MATCH(F$2,Inputs!$K$4:$AJ$4,0)))+SUMPRODUCT((Inputs!$C$5:$C$200=$B22)*Inputs!$D$5:$D$200*(((Inputs!$G$5:$G$200="moeda")+(Inputs!$G$5:$G$200="acoes"))*Inputs!$B$1+((Inputs!$G$5:$G$200&lt;&gt;"moeda")*(Inputs!$G$5:$G$200&lt;&gt;"acoes")))*INDEX(Inputs!$K$5:$AJ$200,0,MATCH(F$2,Inputs!$K$4:$AJ$4,0)))+SUMPRODUCT((Inputs!$E$5:$E$200=$B22)*Inputs!$F$5:$F$200*(((Inputs!$G$5:$G$200="moeda")+(Inputs!$G$5:$G$200="acoes"))*Inputs!$B$1+((Inputs!$G$5:$G$200&lt;&gt;"moeda")*(Inputs!$G$5:$G$200&lt;&gt;"acoes")))*INDEX(Inputs!$K$5:$AJ$200,0,MATCH(F$2,Inputs!$K$4:$AJ$4,0)))))</f>
        <v>310.592</v>
      </c>
      <c r="G22" s="6">
        <f>IF(ISNA(MATCH(G$2,Inputs!$K$4:$AJ$4,0)),NA(),IF(SUMPRODUCT((Inputs!$A$5:$A$200=$B22)*ISNUMBER(INDEX(Inputs!$K$5:$AJ$200,0,MATCH(G$2,Inputs!$K$4:$AJ$4,0))))+SUMPRODUCT((Inputs!$C$5:$C$200=$B22)*ISNUMBER(INDEX(Inputs!$K$5:$AJ$200,0,MATCH(G$2,Inputs!$K$4:$AJ$4,0))))+SUMPRODUCT((Inputs!$E$5:$E$200=$B22)*ISNUMBER(INDEX(Inputs!$K$5:$AJ$200,0,MATCH(G$2,Inputs!$K$4:$AJ$4,0))))=0,NA(),SUMPRODUCT((Inputs!$A$5:$A$200=$B22)*Inputs!$B$5:$B$200*(((Inputs!$G$5:$G$200="moeda")+(Inputs!$G$5:$G$200="acoes"))*Inputs!$B$1+((Inputs!$G$5:$G$200&lt;&gt;"moeda")*(Inputs!$G$5:$G$200&lt;&gt;"acoes")))*INDEX(Inputs!$K$5:$AJ$200,0,MATCH(G$2,Inputs!$K$4:$AJ$4,0)))+SUMPRODUCT((Inputs!$C$5:$C$200=$B22)*Inputs!$D$5:$D$200*(((Inputs!$G$5:$G$200="moeda")+(Inputs!$G$5:$G$200="acoes"))*Inputs!$B$1+((Inputs!$G$5:$G$200&lt;&gt;"moeda")*(Inputs!$G$5:$G$200&lt;&gt;"acoes")))*INDEX(Inputs!$K$5:$AJ$200,0,MATCH(G$2,Inputs!$K$4:$AJ$4,0)))+SUMPRODUCT((Inputs!$E$5:$E$200=$B22)*Inputs!$F$5:$F$200*(((Inputs!$G$5:$G$200="moeda")+(Inputs!$G$5:$G$200="acoes"))*Inputs!$B$1+((Inputs!$G$5:$G$200&lt;&gt;"moeda")*(Inputs!$G$5:$G$200&lt;&gt;"acoes")))*INDEX(Inputs!$K$5:$AJ$200,0,MATCH(G$2,Inputs!$K$4:$AJ$4,0)))))</f>
        <v>375.789</v>
      </c>
      <c r="H22" s="3">
        <f>G22</f>
        <v>375.789</v>
      </c>
      <c r="I22" s="6">
        <f>IF(ISNA(MATCH(I$2,Inputs!$K$4:$AJ$4,0)),NA(),IF(SUMPRODUCT((Inputs!$A$5:$A$200=$B22)*ISNUMBER(INDEX(Inputs!$K$5:$AJ$200,0,MATCH(I$2,Inputs!$K$4:$AJ$4,0))))+SUMPRODUCT((Inputs!$C$5:$C$200=$B22)*ISNUMBER(INDEX(Inputs!$K$5:$AJ$200,0,MATCH(I$2,Inputs!$K$4:$AJ$4,0))))+SUMPRODUCT((Inputs!$E$5:$E$200=$B22)*ISNUMBER(INDEX(Inputs!$K$5:$AJ$200,0,MATCH(I$2,Inputs!$K$4:$AJ$4,0))))=0,NA(),SUMPRODUCT((Inputs!$A$5:$A$200=$B22)*Inputs!$B$5:$B$200*(((Inputs!$G$5:$G$200="moeda")+(Inputs!$G$5:$G$200="acoes"))*Inputs!$B$1+((Inputs!$G$5:$G$200&lt;&gt;"moeda")*(Inputs!$G$5:$G$200&lt;&gt;"acoes")))*INDEX(Inputs!$K$5:$AJ$200,0,MATCH(I$2,Inputs!$K$4:$AJ$4,0)))+SUMPRODUCT((Inputs!$C$5:$C$200=$B22)*Inputs!$D$5:$D$200*(((Inputs!$G$5:$G$200="moeda")+(Inputs!$G$5:$G$200="acoes"))*Inputs!$B$1+((Inputs!$G$5:$G$200&lt;&gt;"moeda")*(Inputs!$G$5:$G$200&lt;&gt;"acoes")))*INDEX(Inputs!$K$5:$AJ$200,0,MATCH(I$2,Inputs!$K$4:$AJ$4,0)))+SUMPRODUCT((Inputs!$E$5:$E$200=$B22)*Inputs!$F$5:$F$200*(((Inputs!$G$5:$G$200="moeda")+(Inputs!$G$5:$G$200="acoes"))*Inputs!$B$1+((Inputs!$G$5:$G$200&lt;&gt;"moeda")*(Inputs!$G$5:$G$200&lt;&gt;"acoes")))*INDEX(Inputs!$K$5:$AJ$200,0,MATCH(I$2,Inputs!$K$4:$AJ$4,0)))))</f>
        <v>436.313</v>
      </c>
      <c r="J22" s="6">
        <f>IF(ISNA(MATCH(J$2,Inputs!$K$4:$AJ$4,0)),NA(),IF(SUMPRODUCT((Inputs!$A$5:$A$200=$B22)*ISNUMBER(INDEX(Inputs!$K$5:$AJ$200,0,MATCH(J$2,Inputs!$K$4:$AJ$4,0))))+SUMPRODUCT((Inputs!$C$5:$C$200=$B22)*ISNUMBER(INDEX(Inputs!$K$5:$AJ$200,0,MATCH(J$2,Inputs!$K$4:$AJ$4,0))))+SUMPRODUCT((Inputs!$E$5:$E$200=$B22)*ISNUMBER(INDEX(Inputs!$K$5:$AJ$200,0,MATCH(J$2,Inputs!$K$4:$AJ$4,0))))=0,NA(),SUMPRODUCT((Inputs!$A$5:$A$200=$B22)*Inputs!$B$5:$B$200*(((Inputs!$G$5:$G$200="moeda")+(Inputs!$G$5:$G$200="acoes"))*Inputs!$B$1+((Inputs!$G$5:$G$200&lt;&gt;"moeda")*(Inputs!$G$5:$G$200&lt;&gt;"acoes")))*INDEX(Inputs!$K$5:$AJ$200,0,MATCH(J$2,Inputs!$K$4:$AJ$4,0)))+SUMPRODUCT((Inputs!$C$5:$C$200=$B22)*Inputs!$D$5:$D$200*(((Inputs!$G$5:$G$200="moeda")+(Inputs!$G$5:$G$200="acoes"))*Inputs!$B$1+((Inputs!$G$5:$G$200&lt;&gt;"moeda")*(Inputs!$G$5:$G$200&lt;&gt;"acoes")))*INDEX(Inputs!$K$5:$AJ$200,0,MATCH(J$2,Inputs!$K$4:$AJ$4,0)))+SUMPRODUCT((Inputs!$E$5:$E$200=$B22)*Inputs!$F$5:$F$200*(((Inputs!$G$5:$G$200="moeda")+(Inputs!$G$5:$G$200="acoes"))*Inputs!$B$1+((Inputs!$G$5:$G$200&lt;&gt;"moeda")*(Inputs!$G$5:$G$200&lt;&gt;"acoes")))*INDEX(Inputs!$K$5:$AJ$200,0,MATCH(J$2,Inputs!$K$4:$AJ$4,0)))))</f>
        <v>743.024</v>
      </c>
      <c r="K22" s="6">
        <f>IF(ISNA(MATCH(K$2,Inputs!$K$4:$AJ$4,0)),NA(),IF(SUMPRODUCT((Inputs!$A$5:$A$200=$B22)*ISNUMBER(INDEX(Inputs!$K$5:$AJ$200,0,MATCH(K$2,Inputs!$K$4:$AJ$4,0))))+SUMPRODUCT((Inputs!$C$5:$C$200=$B22)*ISNUMBER(INDEX(Inputs!$K$5:$AJ$200,0,MATCH(K$2,Inputs!$K$4:$AJ$4,0))))+SUMPRODUCT((Inputs!$E$5:$E$200=$B22)*ISNUMBER(INDEX(Inputs!$K$5:$AJ$200,0,MATCH(K$2,Inputs!$K$4:$AJ$4,0))))=0,NA(),SUMPRODUCT((Inputs!$A$5:$A$200=$B22)*Inputs!$B$5:$B$200*(((Inputs!$G$5:$G$200="moeda")+(Inputs!$G$5:$G$200="acoes"))*Inputs!$B$1+((Inputs!$G$5:$G$200&lt;&gt;"moeda")*(Inputs!$G$5:$G$200&lt;&gt;"acoes")))*INDEX(Inputs!$K$5:$AJ$200,0,MATCH(K$2,Inputs!$K$4:$AJ$4,0)))+SUMPRODUCT((Inputs!$C$5:$C$200=$B22)*Inputs!$D$5:$D$200*(((Inputs!$G$5:$G$200="moeda")+(Inputs!$G$5:$G$200="acoes"))*Inputs!$B$1+((Inputs!$G$5:$G$200&lt;&gt;"moeda")*(Inputs!$G$5:$G$200&lt;&gt;"acoes")))*INDEX(Inputs!$K$5:$AJ$200,0,MATCH(K$2,Inputs!$K$4:$AJ$4,0)))+SUMPRODUCT((Inputs!$E$5:$E$200=$B22)*Inputs!$F$5:$F$200*(((Inputs!$G$5:$G$200="moeda")+(Inputs!$G$5:$G$200="acoes"))*Inputs!$B$1+((Inputs!$G$5:$G$200&lt;&gt;"moeda")*(Inputs!$G$5:$G$200&lt;&gt;"acoes")))*INDEX(Inputs!$K$5:$AJ$200,0,MATCH(K$2,Inputs!$K$4:$AJ$4,0)))))</f>
        <v>745.099</v>
      </c>
      <c r="L22" s="6">
        <f>IF(ISNA(MATCH(L$2,Inputs!$K$4:$AJ$4,0)),NA(),IF(SUMPRODUCT((Inputs!$A$5:$A$200=$B22)*ISNUMBER(INDEX(Inputs!$K$5:$AJ$200,0,MATCH(L$2,Inputs!$K$4:$AJ$4,0))))+SUMPRODUCT((Inputs!$C$5:$C$200=$B22)*ISNUMBER(INDEX(Inputs!$K$5:$AJ$200,0,MATCH(L$2,Inputs!$K$4:$AJ$4,0))))+SUMPRODUCT((Inputs!$E$5:$E$200=$B22)*ISNUMBER(INDEX(Inputs!$K$5:$AJ$200,0,MATCH(L$2,Inputs!$K$4:$AJ$4,0))))=0,NA(),SUMPRODUCT((Inputs!$A$5:$A$200=$B22)*Inputs!$B$5:$B$200*(((Inputs!$G$5:$G$200="moeda")+(Inputs!$G$5:$G$200="acoes"))*Inputs!$B$1+((Inputs!$G$5:$G$200&lt;&gt;"moeda")*(Inputs!$G$5:$G$200&lt;&gt;"acoes")))*INDEX(Inputs!$K$5:$AJ$200,0,MATCH(L$2,Inputs!$K$4:$AJ$4,0)))+SUMPRODUCT((Inputs!$C$5:$C$200=$B22)*Inputs!$D$5:$D$200*(((Inputs!$G$5:$G$200="moeda")+(Inputs!$G$5:$G$200="acoes"))*Inputs!$B$1+((Inputs!$G$5:$G$200&lt;&gt;"moeda")*(Inputs!$G$5:$G$200&lt;&gt;"acoes")))*INDEX(Inputs!$K$5:$AJ$200,0,MATCH(L$2,Inputs!$K$4:$AJ$4,0)))+SUMPRODUCT((Inputs!$E$5:$E$200=$B22)*Inputs!$F$5:$F$200*(((Inputs!$G$5:$G$200="moeda")+(Inputs!$G$5:$G$200="acoes"))*Inputs!$B$1+((Inputs!$G$5:$G$200&lt;&gt;"moeda")*(Inputs!$G$5:$G$200&lt;&gt;"acoes")))*INDEX(Inputs!$K$5:$AJ$200,0,MATCH(L$2,Inputs!$K$4:$AJ$4,0)))))</f>
        <v>785.079</v>
      </c>
      <c r="M22" s="3">
        <f>L22</f>
        <v>785.079</v>
      </c>
      <c r="N22" s="6">
        <f>IF(ISNA(MATCH(N$2,Inputs!$K$4:$AJ$4,0)),NA(),IF(SUMPRODUCT((Inputs!$A$5:$A$200=$B22)*ISNUMBER(INDEX(Inputs!$K$5:$AJ$200,0,MATCH(N$2,Inputs!$K$4:$AJ$4,0))))+SUMPRODUCT((Inputs!$C$5:$C$200=$B22)*ISNUMBER(INDEX(Inputs!$K$5:$AJ$200,0,MATCH(N$2,Inputs!$K$4:$AJ$4,0))))+SUMPRODUCT((Inputs!$E$5:$E$200=$B22)*ISNUMBER(INDEX(Inputs!$K$5:$AJ$200,0,MATCH(N$2,Inputs!$K$4:$AJ$4,0))))=0,NA(),SUMPRODUCT((Inputs!$A$5:$A$200=$B22)*Inputs!$B$5:$B$200*(((Inputs!$G$5:$G$200="moeda")+(Inputs!$G$5:$G$200="acoes"))*Inputs!$B$1+((Inputs!$G$5:$G$200&lt;&gt;"moeda")*(Inputs!$G$5:$G$200&lt;&gt;"acoes")))*INDEX(Inputs!$K$5:$AJ$200,0,MATCH(N$2,Inputs!$K$4:$AJ$4,0)))+SUMPRODUCT((Inputs!$C$5:$C$200=$B22)*Inputs!$D$5:$D$200*(((Inputs!$G$5:$G$200="moeda")+(Inputs!$G$5:$G$200="acoes"))*Inputs!$B$1+((Inputs!$G$5:$G$200&lt;&gt;"moeda")*(Inputs!$G$5:$G$200&lt;&gt;"acoes")))*INDEX(Inputs!$K$5:$AJ$200,0,MATCH(N$2,Inputs!$K$4:$AJ$4,0)))+SUMPRODUCT((Inputs!$E$5:$E$200=$B22)*Inputs!$F$5:$F$200*(((Inputs!$G$5:$G$200="moeda")+(Inputs!$G$5:$G$200="acoes"))*Inputs!$B$1+((Inputs!$G$5:$G$200&lt;&gt;"moeda")*(Inputs!$G$5:$G$200&lt;&gt;"acoes")))*INDEX(Inputs!$K$5:$AJ$200,0,MATCH(N$2,Inputs!$K$4:$AJ$4,0)))))</f>
        <v>815.367</v>
      </c>
      <c r="O22" s="6">
        <f>IF(ISNA(MATCH(O$2,Inputs!$K$4:$AJ$4,0)),NA(),IF(SUMPRODUCT((Inputs!$A$5:$A$200=$B22)*ISNUMBER(INDEX(Inputs!$K$5:$AJ$200,0,MATCH(O$2,Inputs!$K$4:$AJ$4,0))))+SUMPRODUCT((Inputs!$C$5:$C$200=$B22)*ISNUMBER(INDEX(Inputs!$K$5:$AJ$200,0,MATCH(O$2,Inputs!$K$4:$AJ$4,0))))+SUMPRODUCT((Inputs!$E$5:$E$200=$B22)*ISNUMBER(INDEX(Inputs!$K$5:$AJ$200,0,MATCH(O$2,Inputs!$K$4:$AJ$4,0))))=0,NA(),SUMPRODUCT((Inputs!$A$5:$A$200=$B22)*Inputs!$B$5:$B$200*(((Inputs!$G$5:$G$200="moeda")+(Inputs!$G$5:$G$200="acoes"))*Inputs!$B$1+((Inputs!$G$5:$G$200&lt;&gt;"moeda")*(Inputs!$G$5:$G$200&lt;&gt;"acoes")))*INDEX(Inputs!$K$5:$AJ$200,0,MATCH(O$2,Inputs!$K$4:$AJ$4,0)))+SUMPRODUCT((Inputs!$C$5:$C$200=$B22)*Inputs!$D$5:$D$200*(((Inputs!$G$5:$G$200="moeda")+(Inputs!$G$5:$G$200="acoes"))*Inputs!$B$1+((Inputs!$G$5:$G$200&lt;&gt;"moeda")*(Inputs!$G$5:$G$200&lt;&gt;"acoes")))*INDEX(Inputs!$K$5:$AJ$200,0,MATCH(O$2,Inputs!$K$4:$AJ$4,0)))+SUMPRODUCT((Inputs!$E$5:$E$200=$B22)*Inputs!$F$5:$F$200*(((Inputs!$G$5:$G$200="moeda")+(Inputs!$G$5:$G$200="acoes"))*Inputs!$B$1+((Inputs!$G$5:$G$200&lt;&gt;"moeda")*(Inputs!$G$5:$G$200&lt;&gt;"acoes")))*INDEX(Inputs!$K$5:$AJ$200,0,MATCH(O$2,Inputs!$K$4:$AJ$4,0)))))</f>
        <v>842.62</v>
      </c>
      <c r="P22" s="6">
        <f>IF(ISNA(MATCH(P$2,Inputs!$K$4:$AJ$4,0)),NA(),IF(SUMPRODUCT((Inputs!$A$5:$A$200=$B22)*ISNUMBER(INDEX(Inputs!$K$5:$AJ$200,0,MATCH(P$2,Inputs!$K$4:$AJ$4,0))))+SUMPRODUCT((Inputs!$C$5:$C$200=$B22)*ISNUMBER(INDEX(Inputs!$K$5:$AJ$200,0,MATCH(P$2,Inputs!$K$4:$AJ$4,0))))+SUMPRODUCT((Inputs!$E$5:$E$200=$B22)*ISNUMBER(INDEX(Inputs!$K$5:$AJ$200,0,MATCH(P$2,Inputs!$K$4:$AJ$4,0))))=0,NA(),SUMPRODUCT((Inputs!$A$5:$A$200=$B22)*Inputs!$B$5:$B$200*(((Inputs!$G$5:$G$200="moeda")+(Inputs!$G$5:$G$200="acoes"))*Inputs!$B$1+((Inputs!$G$5:$G$200&lt;&gt;"moeda")*(Inputs!$G$5:$G$200&lt;&gt;"acoes")))*INDEX(Inputs!$K$5:$AJ$200,0,MATCH(P$2,Inputs!$K$4:$AJ$4,0)))+SUMPRODUCT((Inputs!$C$5:$C$200=$B22)*Inputs!$D$5:$D$200*(((Inputs!$G$5:$G$200="moeda")+(Inputs!$G$5:$G$200="acoes"))*Inputs!$B$1+((Inputs!$G$5:$G$200&lt;&gt;"moeda")*(Inputs!$G$5:$G$200&lt;&gt;"acoes")))*INDEX(Inputs!$K$5:$AJ$200,0,MATCH(P$2,Inputs!$K$4:$AJ$4,0)))+SUMPRODUCT((Inputs!$E$5:$E$200=$B22)*Inputs!$F$5:$F$200*(((Inputs!$G$5:$G$200="moeda")+(Inputs!$G$5:$G$200="acoes"))*Inputs!$B$1+((Inputs!$G$5:$G$200&lt;&gt;"moeda")*(Inputs!$G$5:$G$200&lt;&gt;"acoes")))*INDEX(Inputs!$K$5:$AJ$200,0,MATCH(P$2,Inputs!$K$4:$AJ$4,0)))))</f>
        <v>904.989</v>
      </c>
      <c r="Q22" s="6">
        <f>IF(ISNA(MATCH(Q$2,Inputs!$K$4:$AJ$4,0)),NA(),IF(SUMPRODUCT((Inputs!$A$5:$A$200=$B22)*ISNUMBER(INDEX(Inputs!$K$5:$AJ$200,0,MATCH(Q$2,Inputs!$K$4:$AJ$4,0))))+SUMPRODUCT((Inputs!$C$5:$C$200=$B22)*ISNUMBER(INDEX(Inputs!$K$5:$AJ$200,0,MATCH(Q$2,Inputs!$K$4:$AJ$4,0))))+SUMPRODUCT((Inputs!$E$5:$E$200=$B22)*ISNUMBER(INDEX(Inputs!$K$5:$AJ$200,0,MATCH(Q$2,Inputs!$K$4:$AJ$4,0))))=0,NA(),SUMPRODUCT((Inputs!$A$5:$A$200=$B22)*Inputs!$B$5:$B$200*(((Inputs!$G$5:$G$200="moeda")+(Inputs!$G$5:$G$200="acoes"))*Inputs!$B$1+((Inputs!$G$5:$G$200&lt;&gt;"moeda")*(Inputs!$G$5:$G$200&lt;&gt;"acoes")))*INDEX(Inputs!$K$5:$AJ$200,0,MATCH(Q$2,Inputs!$K$4:$AJ$4,0)))+SUMPRODUCT((Inputs!$C$5:$C$200=$B22)*Inputs!$D$5:$D$200*(((Inputs!$G$5:$G$200="moeda")+(Inputs!$G$5:$G$200="acoes"))*Inputs!$B$1+((Inputs!$G$5:$G$200&lt;&gt;"moeda")*(Inputs!$G$5:$G$200&lt;&gt;"acoes")))*INDEX(Inputs!$K$5:$AJ$200,0,MATCH(Q$2,Inputs!$K$4:$AJ$4,0)))+SUMPRODUCT((Inputs!$E$5:$E$200=$B22)*Inputs!$F$5:$F$200*(((Inputs!$G$5:$G$200="moeda")+(Inputs!$G$5:$G$200="acoes"))*Inputs!$B$1+((Inputs!$G$5:$G$200&lt;&gt;"moeda")*(Inputs!$G$5:$G$200&lt;&gt;"acoes")))*INDEX(Inputs!$K$5:$AJ$200,0,MATCH(Q$2,Inputs!$K$4:$AJ$4,0)))))</f>
        <v>920.767</v>
      </c>
      <c r="R22" s="3">
        <f>Q22</f>
        <v>920.767</v>
      </c>
      <c r="S22" s="6">
        <f>IF(ISNA(MATCH(S$2,Inputs!$K$4:$AJ$4,0)),NA(),IF(SUMPRODUCT((Inputs!$A$5:$A$200=$B22)*ISNUMBER(INDEX(Inputs!$K$5:$AJ$200,0,MATCH(S$2,Inputs!$K$4:$AJ$4,0))))+SUMPRODUCT((Inputs!$C$5:$C$200=$B22)*ISNUMBER(INDEX(Inputs!$K$5:$AJ$200,0,MATCH(S$2,Inputs!$K$4:$AJ$4,0))))+SUMPRODUCT((Inputs!$E$5:$E$200=$B22)*ISNUMBER(INDEX(Inputs!$K$5:$AJ$200,0,MATCH(S$2,Inputs!$K$4:$AJ$4,0))))=0,NA(),SUMPRODUCT((Inputs!$A$5:$A$200=$B22)*Inputs!$B$5:$B$200*(((Inputs!$G$5:$G$200="moeda")+(Inputs!$G$5:$G$200="acoes"))*Inputs!$B$1+((Inputs!$G$5:$G$200&lt;&gt;"moeda")*(Inputs!$G$5:$G$200&lt;&gt;"acoes")))*INDEX(Inputs!$K$5:$AJ$200,0,MATCH(S$2,Inputs!$K$4:$AJ$4,0)))+SUMPRODUCT((Inputs!$C$5:$C$200=$B22)*Inputs!$D$5:$D$200*(((Inputs!$G$5:$G$200="moeda")+(Inputs!$G$5:$G$200="acoes"))*Inputs!$B$1+((Inputs!$G$5:$G$200&lt;&gt;"moeda")*(Inputs!$G$5:$G$200&lt;&gt;"acoes")))*INDEX(Inputs!$K$5:$AJ$200,0,MATCH(S$2,Inputs!$K$4:$AJ$4,0)))+SUMPRODUCT((Inputs!$E$5:$E$200=$B22)*Inputs!$F$5:$F$200*(((Inputs!$G$5:$G$200="moeda")+(Inputs!$G$5:$G$200="acoes"))*Inputs!$B$1+((Inputs!$G$5:$G$200&lt;&gt;"moeda")*(Inputs!$G$5:$G$200&lt;&gt;"acoes")))*INDEX(Inputs!$K$5:$AJ$200,0,MATCH(S$2,Inputs!$K$4:$AJ$4,0)))))</f>
        <v>963.174</v>
      </c>
      <c r="T22" s="6">
        <f>IF(ISNA(MATCH(T$2,Inputs!$K$4:$AJ$4,0)),NA(),IF(SUMPRODUCT((Inputs!$A$5:$A$200=$B22)*ISNUMBER(INDEX(Inputs!$K$5:$AJ$200,0,MATCH(T$2,Inputs!$K$4:$AJ$4,0))))+SUMPRODUCT((Inputs!$C$5:$C$200=$B22)*ISNUMBER(INDEX(Inputs!$K$5:$AJ$200,0,MATCH(T$2,Inputs!$K$4:$AJ$4,0))))+SUMPRODUCT((Inputs!$E$5:$E$200=$B22)*ISNUMBER(INDEX(Inputs!$K$5:$AJ$200,0,MATCH(T$2,Inputs!$K$4:$AJ$4,0))))=0,NA(),SUMPRODUCT((Inputs!$A$5:$A$200=$B22)*Inputs!$B$5:$B$200*(((Inputs!$G$5:$G$200="moeda")+(Inputs!$G$5:$G$200="acoes"))*Inputs!$B$1+((Inputs!$G$5:$G$200&lt;&gt;"moeda")*(Inputs!$G$5:$G$200&lt;&gt;"acoes")))*INDEX(Inputs!$K$5:$AJ$200,0,MATCH(T$2,Inputs!$K$4:$AJ$4,0)))+SUMPRODUCT((Inputs!$C$5:$C$200=$B22)*Inputs!$D$5:$D$200*(((Inputs!$G$5:$G$200="moeda")+(Inputs!$G$5:$G$200="acoes"))*Inputs!$B$1+((Inputs!$G$5:$G$200&lt;&gt;"moeda")*(Inputs!$G$5:$G$200&lt;&gt;"acoes")))*INDEX(Inputs!$K$5:$AJ$200,0,MATCH(T$2,Inputs!$K$4:$AJ$4,0)))+SUMPRODUCT((Inputs!$E$5:$E$200=$B22)*Inputs!$F$5:$F$200*(((Inputs!$G$5:$G$200="moeda")+(Inputs!$G$5:$G$200="acoes"))*Inputs!$B$1+((Inputs!$G$5:$G$200&lt;&gt;"moeda")*(Inputs!$G$5:$G$200&lt;&gt;"acoes")))*INDEX(Inputs!$K$5:$AJ$200,0,MATCH(T$2,Inputs!$K$4:$AJ$4,0)))))</f>
        <v>1080.851</v>
      </c>
      <c r="U22" s="6">
        <f>IF(ISNA(MATCH(U$2,Inputs!$K$4:$AJ$4,0)),NA(),IF(SUMPRODUCT((Inputs!$A$5:$A$200=$B22)*ISNUMBER(INDEX(Inputs!$K$5:$AJ$200,0,MATCH(U$2,Inputs!$K$4:$AJ$4,0))))+SUMPRODUCT((Inputs!$C$5:$C$200=$B22)*ISNUMBER(INDEX(Inputs!$K$5:$AJ$200,0,MATCH(U$2,Inputs!$K$4:$AJ$4,0))))+SUMPRODUCT((Inputs!$E$5:$E$200=$B22)*ISNUMBER(INDEX(Inputs!$K$5:$AJ$200,0,MATCH(U$2,Inputs!$K$4:$AJ$4,0))))=0,NA(),SUMPRODUCT((Inputs!$A$5:$A$200=$B22)*Inputs!$B$5:$B$200*(((Inputs!$G$5:$G$200="moeda")+(Inputs!$G$5:$G$200="acoes"))*Inputs!$B$1+((Inputs!$G$5:$G$200&lt;&gt;"moeda")*(Inputs!$G$5:$G$200&lt;&gt;"acoes")))*INDEX(Inputs!$K$5:$AJ$200,0,MATCH(U$2,Inputs!$K$4:$AJ$4,0)))+SUMPRODUCT((Inputs!$C$5:$C$200=$B22)*Inputs!$D$5:$D$200*(((Inputs!$G$5:$G$200="moeda")+(Inputs!$G$5:$G$200="acoes"))*Inputs!$B$1+((Inputs!$G$5:$G$200&lt;&gt;"moeda")*(Inputs!$G$5:$G$200&lt;&gt;"acoes")))*INDEX(Inputs!$K$5:$AJ$200,0,MATCH(U$2,Inputs!$K$4:$AJ$4,0)))+SUMPRODUCT((Inputs!$E$5:$E$200=$B22)*Inputs!$F$5:$F$200*(((Inputs!$G$5:$G$200="moeda")+(Inputs!$G$5:$G$200="acoes"))*Inputs!$B$1+((Inputs!$G$5:$G$200&lt;&gt;"moeda")*(Inputs!$G$5:$G$200&lt;&gt;"acoes")))*INDEX(Inputs!$K$5:$AJ$200,0,MATCH(U$2,Inputs!$K$4:$AJ$4,0)))))</f>
        <v>1363.573</v>
      </c>
      <c r="V22" s="6">
        <f>IF(ISNA(MATCH(V$2,Inputs!$K$4:$AJ$4,0)),NA(),IF(SUMPRODUCT((Inputs!$A$5:$A$200=$B22)*ISNUMBER(INDEX(Inputs!$K$5:$AJ$200,0,MATCH(V$2,Inputs!$K$4:$AJ$4,0))))+SUMPRODUCT((Inputs!$C$5:$C$200=$B22)*ISNUMBER(INDEX(Inputs!$K$5:$AJ$200,0,MATCH(V$2,Inputs!$K$4:$AJ$4,0))))+SUMPRODUCT((Inputs!$E$5:$E$200=$B22)*ISNUMBER(INDEX(Inputs!$K$5:$AJ$200,0,MATCH(V$2,Inputs!$K$4:$AJ$4,0))))=0,NA(),SUMPRODUCT((Inputs!$A$5:$A$200=$B22)*Inputs!$B$5:$B$200*(((Inputs!$G$5:$G$200="moeda")+(Inputs!$G$5:$G$200="acoes"))*Inputs!$B$1+((Inputs!$G$5:$G$200&lt;&gt;"moeda")*(Inputs!$G$5:$G$200&lt;&gt;"acoes")))*INDEX(Inputs!$K$5:$AJ$200,0,MATCH(V$2,Inputs!$K$4:$AJ$4,0)))+SUMPRODUCT((Inputs!$C$5:$C$200=$B22)*Inputs!$D$5:$D$200*(((Inputs!$G$5:$G$200="moeda")+(Inputs!$G$5:$G$200="acoes"))*Inputs!$B$1+((Inputs!$G$5:$G$200&lt;&gt;"moeda")*(Inputs!$G$5:$G$200&lt;&gt;"acoes")))*INDEX(Inputs!$K$5:$AJ$200,0,MATCH(V$2,Inputs!$K$4:$AJ$4,0)))+SUMPRODUCT((Inputs!$E$5:$E$200=$B22)*Inputs!$F$5:$F$200*(((Inputs!$G$5:$G$200="moeda")+(Inputs!$G$5:$G$200="acoes"))*Inputs!$B$1+((Inputs!$G$5:$G$200&lt;&gt;"moeda")*(Inputs!$G$5:$G$200&lt;&gt;"acoes")))*INDEX(Inputs!$K$5:$AJ$200,0,MATCH(V$2,Inputs!$K$4:$AJ$4,0)))))</f>
        <v>1556.269</v>
      </c>
      <c r="W22" s="3">
        <f>V22</f>
        <v>1556.269</v>
      </c>
      <c r="X22" s="6">
        <f>IF(ISNA(MATCH(X$2,Inputs!$K$4:$AJ$4,0)),NA(),IF(SUMPRODUCT((Inputs!$A$5:$A$200=$B22)*ISNUMBER(INDEX(Inputs!$K$5:$AJ$200,0,MATCH(X$2,Inputs!$K$4:$AJ$4,0))))+SUMPRODUCT((Inputs!$C$5:$C$200=$B22)*ISNUMBER(INDEX(Inputs!$K$5:$AJ$200,0,MATCH(X$2,Inputs!$K$4:$AJ$4,0))))+SUMPRODUCT((Inputs!$E$5:$E$200=$B22)*ISNUMBER(INDEX(Inputs!$K$5:$AJ$200,0,MATCH(X$2,Inputs!$K$4:$AJ$4,0))))=0,NA(),SUMPRODUCT((Inputs!$A$5:$A$200=$B22)*Inputs!$B$5:$B$200*(((Inputs!$G$5:$G$200="moeda")+(Inputs!$G$5:$G$200="acoes"))*Inputs!$B$1+((Inputs!$G$5:$G$200&lt;&gt;"moeda")*(Inputs!$G$5:$G$200&lt;&gt;"acoes")))*INDEX(Inputs!$K$5:$AJ$200,0,MATCH(X$2,Inputs!$K$4:$AJ$4,0)))+SUMPRODUCT((Inputs!$C$5:$C$200=$B22)*Inputs!$D$5:$D$200*(((Inputs!$G$5:$G$200="moeda")+(Inputs!$G$5:$G$200="acoes"))*Inputs!$B$1+((Inputs!$G$5:$G$200&lt;&gt;"moeda")*(Inputs!$G$5:$G$200&lt;&gt;"acoes")))*INDEX(Inputs!$K$5:$AJ$200,0,MATCH(X$2,Inputs!$K$4:$AJ$4,0)))+SUMPRODUCT((Inputs!$E$5:$E$200=$B22)*Inputs!$F$5:$F$200*(((Inputs!$G$5:$G$200="moeda")+(Inputs!$G$5:$G$200="acoes"))*Inputs!$B$1+((Inputs!$G$5:$G$200&lt;&gt;"moeda")*(Inputs!$G$5:$G$200&lt;&gt;"acoes")))*INDEX(Inputs!$K$5:$AJ$200,0,MATCH(X$2,Inputs!$K$4:$AJ$4,0)))))</f>
        <v>1642.208</v>
      </c>
      <c r="Y22" s="6">
        <f>IF(ISNA(MATCH(Y$2,Inputs!$K$4:$AJ$4,0)),NA(),IF(SUMPRODUCT((Inputs!$A$5:$A$200=$B22)*ISNUMBER(INDEX(Inputs!$K$5:$AJ$200,0,MATCH(Y$2,Inputs!$K$4:$AJ$4,0))))+SUMPRODUCT((Inputs!$C$5:$C$200=$B22)*ISNUMBER(INDEX(Inputs!$K$5:$AJ$200,0,MATCH(Y$2,Inputs!$K$4:$AJ$4,0))))+SUMPRODUCT((Inputs!$E$5:$E$200=$B22)*ISNUMBER(INDEX(Inputs!$K$5:$AJ$200,0,MATCH(Y$2,Inputs!$K$4:$AJ$4,0))))=0,NA(),SUMPRODUCT((Inputs!$A$5:$A$200=$B22)*Inputs!$B$5:$B$200*(((Inputs!$G$5:$G$200="moeda")+(Inputs!$G$5:$G$200="acoes"))*Inputs!$B$1+((Inputs!$G$5:$G$200&lt;&gt;"moeda")*(Inputs!$G$5:$G$200&lt;&gt;"acoes")))*INDEX(Inputs!$K$5:$AJ$200,0,MATCH(Y$2,Inputs!$K$4:$AJ$4,0)))+SUMPRODUCT((Inputs!$C$5:$C$200=$B22)*Inputs!$D$5:$D$200*(((Inputs!$G$5:$G$200="moeda")+(Inputs!$G$5:$G$200="acoes"))*Inputs!$B$1+((Inputs!$G$5:$G$200&lt;&gt;"moeda")*(Inputs!$G$5:$G$200&lt;&gt;"acoes")))*INDEX(Inputs!$K$5:$AJ$200,0,MATCH(Y$2,Inputs!$K$4:$AJ$4,0)))+SUMPRODUCT((Inputs!$E$5:$E$200=$B22)*Inputs!$F$5:$F$200*(((Inputs!$G$5:$G$200="moeda")+(Inputs!$G$5:$G$200="acoes"))*Inputs!$B$1+((Inputs!$G$5:$G$200&lt;&gt;"moeda")*(Inputs!$G$5:$G$200&lt;&gt;"acoes")))*INDEX(Inputs!$K$5:$AJ$200,0,MATCH(Y$2,Inputs!$K$4:$AJ$4,0)))))</f>
        <v>1828.49</v>
      </c>
      <c r="Z22" s="6">
        <f>IF(ISNA(MATCH(Z$2,Inputs!$K$4:$AJ$4,0)),NA(),IF(SUMPRODUCT((Inputs!$A$5:$A$200=$B22)*ISNUMBER(INDEX(Inputs!$K$5:$AJ$200,0,MATCH(Z$2,Inputs!$K$4:$AJ$4,0))))+SUMPRODUCT((Inputs!$C$5:$C$200=$B22)*ISNUMBER(INDEX(Inputs!$K$5:$AJ$200,0,MATCH(Z$2,Inputs!$K$4:$AJ$4,0))))+SUMPRODUCT((Inputs!$E$5:$E$200=$B22)*ISNUMBER(INDEX(Inputs!$K$5:$AJ$200,0,MATCH(Z$2,Inputs!$K$4:$AJ$4,0))))=0,NA(),SUMPRODUCT((Inputs!$A$5:$A$200=$B22)*Inputs!$B$5:$B$200*(((Inputs!$G$5:$G$200="moeda")+(Inputs!$G$5:$G$200="acoes"))*Inputs!$B$1+((Inputs!$G$5:$G$200&lt;&gt;"moeda")*(Inputs!$G$5:$G$200&lt;&gt;"acoes")))*INDEX(Inputs!$K$5:$AJ$200,0,MATCH(Z$2,Inputs!$K$4:$AJ$4,0)))+SUMPRODUCT((Inputs!$C$5:$C$200=$B22)*Inputs!$D$5:$D$200*(((Inputs!$G$5:$G$200="moeda")+(Inputs!$G$5:$G$200="acoes"))*Inputs!$B$1+((Inputs!$G$5:$G$200&lt;&gt;"moeda")*(Inputs!$G$5:$G$200&lt;&gt;"acoes")))*INDEX(Inputs!$K$5:$AJ$200,0,MATCH(Z$2,Inputs!$K$4:$AJ$4,0)))+SUMPRODUCT((Inputs!$E$5:$E$200=$B22)*Inputs!$F$5:$F$200*(((Inputs!$G$5:$G$200="moeda")+(Inputs!$G$5:$G$200="acoes"))*Inputs!$B$1+((Inputs!$G$5:$G$200&lt;&gt;"moeda")*(Inputs!$G$5:$G$200&lt;&gt;"acoes")))*INDEX(Inputs!$K$5:$AJ$200,0,MATCH(Z$2,Inputs!$K$4:$AJ$4,0)))))</f>
        <v>1937.105</v>
      </c>
      <c r="AA22" s="6">
        <f>IF(ISNA(MATCH(AA$2,Inputs!$K$4:$AJ$4,0)),NA(),IF(SUMPRODUCT((Inputs!$A$5:$A$200=$B22)*ISNUMBER(INDEX(Inputs!$K$5:$AJ$200,0,MATCH(AA$2,Inputs!$K$4:$AJ$4,0))))+SUMPRODUCT((Inputs!$C$5:$C$200=$B22)*ISNUMBER(INDEX(Inputs!$K$5:$AJ$200,0,MATCH(AA$2,Inputs!$K$4:$AJ$4,0))))+SUMPRODUCT((Inputs!$E$5:$E$200=$B22)*ISNUMBER(INDEX(Inputs!$K$5:$AJ$200,0,MATCH(AA$2,Inputs!$K$4:$AJ$4,0))))=0,NA(),SUMPRODUCT((Inputs!$A$5:$A$200=$B22)*Inputs!$B$5:$B$200*(((Inputs!$G$5:$G$200="moeda")+(Inputs!$G$5:$G$200="acoes"))*Inputs!$B$1+((Inputs!$G$5:$G$200&lt;&gt;"moeda")*(Inputs!$G$5:$G$200&lt;&gt;"acoes")))*INDEX(Inputs!$K$5:$AJ$200,0,MATCH(AA$2,Inputs!$K$4:$AJ$4,0)))+SUMPRODUCT((Inputs!$C$5:$C$200=$B22)*Inputs!$D$5:$D$200*(((Inputs!$G$5:$G$200="moeda")+(Inputs!$G$5:$G$200="acoes"))*Inputs!$B$1+((Inputs!$G$5:$G$200&lt;&gt;"moeda")*(Inputs!$G$5:$G$200&lt;&gt;"acoes")))*INDEX(Inputs!$K$5:$AJ$200,0,MATCH(AA$2,Inputs!$K$4:$AJ$4,0)))+SUMPRODUCT((Inputs!$E$5:$E$200=$B22)*Inputs!$F$5:$F$200*(((Inputs!$G$5:$G$200="moeda")+(Inputs!$G$5:$G$200="acoes"))*Inputs!$B$1+((Inputs!$G$5:$G$200&lt;&gt;"moeda")*(Inputs!$G$5:$G$200&lt;&gt;"acoes")))*INDEX(Inputs!$K$5:$AJ$200,0,MATCH(AA$2,Inputs!$K$4:$AJ$4,0)))))</f>
        <v>2070.525</v>
      </c>
      <c r="AB22" s="3">
        <f>AA22</f>
        <v>2070.525</v>
      </c>
      <c r="AC22" s="6">
        <f>IF(ISNA(MATCH(AC$2,Inputs!$K$4:$AJ$4,0)),NA(),IF(SUMPRODUCT((Inputs!$A$5:$A$200=$B22)*ISNUMBER(INDEX(Inputs!$K$5:$AJ$200,0,MATCH(AC$2,Inputs!$K$4:$AJ$4,0))))+SUMPRODUCT((Inputs!$C$5:$C$200=$B22)*ISNUMBER(INDEX(Inputs!$K$5:$AJ$200,0,MATCH(AC$2,Inputs!$K$4:$AJ$4,0))))+SUMPRODUCT((Inputs!$E$5:$E$200=$B22)*ISNUMBER(INDEX(Inputs!$K$5:$AJ$200,0,MATCH(AC$2,Inputs!$K$4:$AJ$4,0))))=0,NA(),SUMPRODUCT((Inputs!$A$5:$A$200=$B22)*Inputs!$B$5:$B$200*(((Inputs!$G$5:$G$200="moeda")+(Inputs!$G$5:$G$200="acoes"))*Inputs!$B$1+((Inputs!$G$5:$G$200&lt;&gt;"moeda")*(Inputs!$G$5:$G$200&lt;&gt;"acoes")))*INDEX(Inputs!$K$5:$AJ$200,0,MATCH(AC$2,Inputs!$K$4:$AJ$4,0)))+SUMPRODUCT((Inputs!$C$5:$C$200=$B22)*Inputs!$D$5:$D$200*(((Inputs!$G$5:$G$200="moeda")+(Inputs!$G$5:$G$200="acoes"))*Inputs!$B$1+((Inputs!$G$5:$G$200&lt;&gt;"moeda")*(Inputs!$G$5:$G$200&lt;&gt;"acoes")))*INDEX(Inputs!$K$5:$AJ$200,0,MATCH(AC$2,Inputs!$K$4:$AJ$4,0)))+SUMPRODUCT((Inputs!$E$5:$E$200=$B22)*Inputs!$F$5:$F$200*(((Inputs!$G$5:$G$200="moeda")+(Inputs!$G$5:$G$200="acoes"))*Inputs!$B$1+((Inputs!$G$5:$G$200&lt;&gt;"moeda")*(Inputs!$G$5:$G$200&lt;&gt;"acoes")))*INDEX(Inputs!$K$5:$AJ$200,0,MATCH(AC$2,Inputs!$K$4:$AJ$4,0)))))</f>
        <v>2218.63</v>
      </c>
      <c r="AD22" s="6">
        <f>IF(ISNA(MATCH(AD$2,Inputs!$K$4:$AJ$4,0)),NA(),IF(SUMPRODUCT((Inputs!$A$5:$A$200=$B22)*ISNUMBER(INDEX(Inputs!$K$5:$AJ$200,0,MATCH(AD$2,Inputs!$K$4:$AJ$4,0))))+SUMPRODUCT((Inputs!$C$5:$C$200=$B22)*ISNUMBER(INDEX(Inputs!$K$5:$AJ$200,0,MATCH(AD$2,Inputs!$K$4:$AJ$4,0))))+SUMPRODUCT((Inputs!$E$5:$E$200=$B22)*ISNUMBER(INDEX(Inputs!$K$5:$AJ$200,0,MATCH(AD$2,Inputs!$K$4:$AJ$4,0))))=0,NA(),SUMPRODUCT((Inputs!$A$5:$A$200=$B22)*Inputs!$B$5:$B$200*(((Inputs!$G$5:$G$200="moeda")+(Inputs!$G$5:$G$200="acoes"))*Inputs!$B$1+((Inputs!$G$5:$G$200&lt;&gt;"moeda")*(Inputs!$G$5:$G$200&lt;&gt;"acoes")))*INDEX(Inputs!$K$5:$AJ$200,0,MATCH(AD$2,Inputs!$K$4:$AJ$4,0)))+SUMPRODUCT((Inputs!$C$5:$C$200=$B22)*Inputs!$D$5:$D$200*(((Inputs!$G$5:$G$200="moeda")+(Inputs!$G$5:$G$200="acoes"))*Inputs!$B$1+((Inputs!$G$5:$G$200&lt;&gt;"moeda")*(Inputs!$G$5:$G$200&lt;&gt;"acoes")))*INDEX(Inputs!$K$5:$AJ$200,0,MATCH(AD$2,Inputs!$K$4:$AJ$4,0)))+SUMPRODUCT((Inputs!$E$5:$E$200=$B22)*Inputs!$F$5:$F$200*(((Inputs!$G$5:$G$200="moeda")+(Inputs!$G$5:$G$200="acoes"))*Inputs!$B$1+((Inputs!$G$5:$G$200&lt;&gt;"moeda")*(Inputs!$G$5:$G$200&lt;&gt;"acoes")))*INDEX(Inputs!$K$5:$AJ$200,0,MATCH(AD$2,Inputs!$K$4:$AJ$4,0)))))</f>
        <v>3306.709</v>
      </c>
      <c r="AE22" s="6" t="e">
        <f>IF(ISNA(MATCH(AE$2,Inputs!$K$4:$AJ$4,0)),NA(),IF(SUMPRODUCT((Inputs!$A$5:$A$200=$B22)*ISNUMBER(INDEX(Inputs!$K$5:$AJ$200,0,MATCH(AE$2,Inputs!$K$4:$AJ$4,0))))+SUMPRODUCT((Inputs!$C$5:$C$200=$B22)*ISNUMBER(INDEX(Inputs!$K$5:$AJ$200,0,MATCH(AE$2,Inputs!$K$4:$AJ$4,0))))+SUMPRODUCT((Inputs!$E$5:$E$200=$B22)*ISNUMBER(INDEX(Inputs!$K$5:$AJ$200,0,MATCH(AE$2,Inputs!$K$4:$AJ$4,0))))=0,NA(),SUMPRODUCT((Inputs!$A$5:$A$200=$B22)*Inputs!$B$5:$B$200*(((Inputs!$G$5:$G$200="moeda")+(Inputs!$G$5:$G$200="acoes"))*Inputs!$B$1+((Inputs!$G$5:$G$200&lt;&gt;"moeda")*(Inputs!$G$5:$G$200&lt;&gt;"acoes")))*INDEX(Inputs!$K$5:$AJ$200,0,MATCH(AE$2,Inputs!$K$4:$AJ$4,0)))+SUMPRODUCT((Inputs!$C$5:$C$200=$B22)*Inputs!$D$5:$D$200*(((Inputs!$G$5:$G$200="moeda")+(Inputs!$G$5:$G$200="acoes"))*Inputs!$B$1+((Inputs!$G$5:$G$200&lt;&gt;"moeda")*(Inputs!$G$5:$G$200&lt;&gt;"acoes")))*INDEX(Inputs!$K$5:$AJ$200,0,MATCH(AE$2,Inputs!$K$4:$AJ$4,0)))+SUMPRODUCT((Inputs!$E$5:$E$200=$B22)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2" s="6" t="e">
        <f>IF(ISNA(MATCH(AF$2,Inputs!$K$4:$AJ$4,0)),NA(),IF(SUMPRODUCT((Inputs!$A$5:$A$200=$B22)*ISNUMBER(INDEX(Inputs!$K$5:$AJ$200,0,MATCH(AF$2,Inputs!$K$4:$AJ$4,0))))+SUMPRODUCT((Inputs!$C$5:$C$200=$B22)*ISNUMBER(INDEX(Inputs!$K$5:$AJ$200,0,MATCH(AF$2,Inputs!$K$4:$AJ$4,0))))+SUMPRODUCT((Inputs!$E$5:$E$200=$B22)*ISNUMBER(INDEX(Inputs!$K$5:$AJ$200,0,MATCH(AF$2,Inputs!$K$4:$AJ$4,0))))=0,NA(),SUMPRODUCT((Inputs!$A$5:$A$200=$B22)*Inputs!$B$5:$B$200*(((Inputs!$G$5:$G$200="moeda")+(Inputs!$G$5:$G$200="acoes"))*Inputs!$B$1+((Inputs!$G$5:$G$200&lt;&gt;"moeda")*(Inputs!$G$5:$G$200&lt;&gt;"acoes")))*INDEX(Inputs!$K$5:$AJ$200,0,MATCH(AF$2,Inputs!$K$4:$AJ$4,0)))+SUMPRODUCT((Inputs!$C$5:$C$200=$B22)*Inputs!$D$5:$D$200*(((Inputs!$G$5:$G$200="moeda")+(Inputs!$G$5:$G$200="acoes"))*Inputs!$B$1+((Inputs!$G$5:$G$200&lt;&gt;"moeda")*(Inputs!$G$5:$G$200&lt;&gt;"acoes")))*INDEX(Inputs!$K$5:$AJ$200,0,MATCH(AF$2,Inputs!$K$4:$AJ$4,0)))+SUMPRODUCT((Inputs!$E$5:$E$200=$B22)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2" s="3" t="e">
        <f>AF22</f>
        <v>#N/A</v>
      </c>
      <c r="AH22" s="6">
        <f>IF(ISNA(MATCH(AH$2,Inputs!$K$4:$AJ$4,0)),NA(),IF(SUMPRODUCT((Inputs!$A$5:$A$200=$B22)*ISNUMBER(INDEX(Inputs!$K$5:$AJ$200,0,MATCH(AH$2,Inputs!$K$4:$AJ$4,0))))+SUMPRODUCT((Inputs!$C$5:$C$200=$B22)*ISNUMBER(INDEX(Inputs!$K$5:$AJ$200,0,MATCH(AH$2,Inputs!$K$4:$AJ$4,0))))+SUMPRODUCT((Inputs!$E$5:$E$200=$B22)*ISNUMBER(INDEX(Inputs!$K$5:$AJ$200,0,MATCH(AH$2,Inputs!$K$4:$AJ$4,0))))=0,NA(),SUMPRODUCT((Inputs!$A$5:$A$200=$B22)*Inputs!$B$5:$B$200*(((Inputs!$G$5:$G$200="moeda")+(Inputs!$G$5:$G$200="acoes"))*Inputs!$B$1+((Inputs!$G$5:$G$200&lt;&gt;"moeda")*(Inputs!$G$5:$G$200&lt;&gt;"acoes")))*INDEX(Inputs!$K$5:$AJ$200,0,MATCH(AH$2,Inputs!$K$4:$AJ$4,0)))+SUMPRODUCT((Inputs!$C$5:$C$200=$B22)*Inputs!$D$5:$D$200*(((Inputs!$G$5:$G$200="moeda")+(Inputs!$G$5:$G$200="acoes"))*Inputs!$B$1+((Inputs!$G$5:$G$200&lt;&gt;"moeda")*(Inputs!$G$5:$G$200&lt;&gt;"acoes")))*INDEX(Inputs!$K$5:$AJ$200,0,MATCH(AH$2,Inputs!$K$4:$AJ$4,0)))+SUMPRODUCT((Inputs!$E$5:$E$200=$B22)*Inputs!$F$5:$F$200*(((Inputs!$G$5:$G$200="moeda")+(Inputs!$G$5:$G$200="acoes"))*Inputs!$B$1+((Inputs!$G$5:$G$200&lt;&gt;"moeda")*(Inputs!$G$5:$G$200&lt;&gt;"acoes")))*INDEX(Inputs!$K$5:$AJ$200,0,MATCH(AH$2,Inputs!$K$4:$AJ$4,0)))))</f>
        <v>268.175</v>
      </c>
      <c r="AI22" s="6">
        <f>IF(ISNA(MATCH(AI$2,Inputs!$K$4:$AJ$4,0)),NA(),IF(SUMPRODUCT((Inputs!$A$5:$A$200=$B22)*ISNUMBER(INDEX(Inputs!$K$5:$AJ$200,0,MATCH(AI$2,Inputs!$K$4:$AJ$4,0))))+SUMPRODUCT((Inputs!$C$5:$C$200=$B22)*ISNUMBER(INDEX(Inputs!$K$5:$AJ$200,0,MATCH(AI$2,Inputs!$K$4:$AJ$4,0))))+SUMPRODUCT((Inputs!$E$5:$E$200=$B22)*ISNUMBER(INDEX(Inputs!$K$5:$AJ$200,0,MATCH(AI$2,Inputs!$K$4:$AJ$4,0))))=0,NA(),SUMPRODUCT((Inputs!$A$5:$A$200=$B22)*Inputs!$B$5:$B$200*(((Inputs!$G$5:$G$200="moeda")+(Inputs!$G$5:$G$200="acoes"))*Inputs!$B$1+((Inputs!$G$5:$G$200&lt;&gt;"moeda")*(Inputs!$G$5:$G$200&lt;&gt;"acoes")))*INDEX(Inputs!$K$5:$AJ$200,0,MATCH(AI$2,Inputs!$K$4:$AJ$4,0)))+SUMPRODUCT((Inputs!$C$5:$C$200=$B22)*Inputs!$D$5:$D$200*(((Inputs!$G$5:$G$200="moeda")+(Inputs!$G$5:$G$200="acoes"))*Inputs!$B$1+((Inputs!$G$5:$G$200&lt;&gt;"moeda")*(Inputs!$G$5:$G$200&lt;&gt;"acoes")))*INDEX(Inputs!$K$5:$AJ$200,0,MATCH(AI$2,Inputs!$K$4:$AJ$4,0)))+SUMPRODUCT((Inputs!$E$5:$E$200=$B22)*Inputs!$F$5:$F$200*(((Inputs!$G$5:$G$200="moeda")+(Inputs!$G$5:$G$200="acoes"))*Inputs!$B$1+((Inputs!$G$5:$G$200&lt;&gt;"moeda")*(Inputs!$G$5:$G$200&lt;&gt;"acoes")))*INDEX(Inputs!$K$5:$AJ$200,0,MATCH(AI$2,Inputs!$K$4:$AJ$4,0)))))</f>
        <v>277.176</v>
      </c>
      <c r="AJ22" s="6">
        <f>IF(ISNA(MATCH(AJ$2,Inputs!$K$4:$AJ$4,0)),NA(),IF(SUMPRODUCT((Inputs!$A$5:$A$200=$B22)*ISNUMBER(INDEX(Inputs!$K$5:$AJ$200,0,MATCH(AJ$2,Inputs!$K$4:$AJ$4,0))))+SUMPRODUCT((Inputs!$C$5:$C$200=$B22)*ISNUMBER(INDEX(Inputs!$K$5:$AJ$200,0,MATCH(AJ$2,Inputs!$K$4:$AJ$4,0))))+SUMPRODUCT((Inputs!$E$5:$E$200=$B22)*ISNUMBER(INDEX(Inputs!$K$5:$AJ$200,0,MATCH(AJ$2,Inputs!$K$4:$AJ$4,0))))=0,NA(),SUMPRODUCT((Inputs!$A$5:$A$200=$B22)*Inputs!$B$5:$B$200*(((Inputs!$G$5:$G$200="moeda")+(Inputs!$G$5:$G$200="acoes"))*Inputs!$B$1+((Inputs!$G$5:$G$200&lt;&gt;"moeda")*(Inputs!$G$5:$G$200&lt;&gt;"acoes")))*INDEX(Inputs!$K$5:$AJ$200,0,MATCH(AJ$2,Inputs!$K$4:$AJ$4,0)))+SUMPRODUCT((Inputs!$C$5:$C$200=$B22)*Inputs!$D$5:$D$200*(((Inputs!$G$5:$G$200="moeda")+(Inputs!$G$5:$G$200="acoes"))*Inputs!$B$1+((Inputs!$G$5:$G$200&lt;&gt;"moeda")*(Inputs!$G$5:$G$200&lt;&gt;"acoes")))*INDEX(Inputs!$K$5:$AJ$200,0,MATCH(AJ$2,Inputs!$K$4:$AJ$4,0)))+SUMPRODUCT((Inputs!$E$5:$E$200=$B22)*Inputs!$F$5:$F$200*(((Inputs!$G$5:$G$200="moeda")+(Inputs!$G$5:$G$200="acoes"))*Inputs!$B$1+((Inputs!$G$5:$G$200&lt;&gt;"moeda")*(Inputs!$G$5:$G$200&lt;&gt;"acoes")))*INDEX(Inputs!$K$5:$AJ$200,0,MATCH(AJ$2,Inputs!$K$4:$AJ$4,0)))))</f>
        <v>274.941</v>
      </c>
      <c r="AK22" s="6">
        <f>IF(ISNA(MATCH(AK$2,Inputs!$K$4:$AJ$4,0)),NA(),IF(SUMPRODUCT((Inputs!$A$5:$A$200=$B22)*ISNUMBER(INDEX(Inputs!$K$5:$AJ$200,0,MATCH(AK$2,Inputs!$K$4:$AJ$4,0))))+SUMPRODUCT((Inputs!$C$5:$C$200=$B22)*ISNUMBER(INDEX(Inputs!$K$5:$AJ$200,0,MATCH(AK$2,Inputs!$K$4:$AJ$4,0))))+SUMPRODUCT((Inputs!$E$5:$E$200=$B22)*ISNUMBER(INDEX(Inputs!$K$5:$AJ$200,0,MATCH(AK$2,Inputs!$K$4:$AJ$4,0))))=0,NA(),SUMPRODUCT((Inputs!$A$5:$A$200=$B22)*Inputs!$B$5:$B$200*(((Inputs!$G$5:$G$200="moeda")+(Inputs!$G$5:$G$200="acoes"))*Inputs!$B$1+((Inputs!$G$5:$G$200&lt;&gt;"moeda")*(Inputs!$G$5:$G$200&lt;&gt;"acoes")))*INDEX(Inputs!$K$5:$AJ$200,0,MATCH(AK$2,Inputs!$K$4:$AJ$4,0)))+SUMPRODUCT((Inputs!$C$5:$C$200=$B22)*Inputs!$D$5:$D$200*(((Inputs!$G$5:$G$200="moeda")+(Inputs!$G$5:$G$200="acoes"))*Inputs!$B$1+((Inputs!$G$5:$G$200&lt;&gt;"moeda")*(Inputs!$G$5:$G$200&lt;&gt;"acoes")))*INDEX(Inputs!$K$5:$AJ$200,0,MATCH(AK$2,Inputs!$K$4:$AJ$4,0)))+SUMPRODUCT((Inputs!$E$5:$E$200=$B22)*Inputs!$F$5:$F$200*(((Inputs!$G$5:$G$200="moeda")+(Inputs!$G$5:$G$200="acoes"))*Inputs!$B$1+((Inputs!$G$5:$G$200&lt;&gt;"moeda")*(Inputs!$G$5:$G$200&lt;&gt;"acoes")))*INDEX(Inputs!$K$5:$AJ$200,0,MATCH(AK$2,Inputs!$K$4:$AJ$4,0)))))</f>
        <v>284.195</v>
      </c>
      <c r="AL22" s="3">
        <f>AK22</f>
        <v>284.195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$200=$B23)*ISNUMBER(INDEX(Inputs!$K$5:$AJ$200,0,MATCH(D$2,Inputs!$K$4:$AJ$4,0))))+SUMPRODUCT((Inputs!$C$5:$C$200=$B23)*ISNUMBER(INDEX(Inputs!$K$5:$AJ$200,0,MATCH(D$2,Inputs!$K$4:$AJ$4,0))))+SUMPRODUCT((Inputs!$E$5:$E$200=$B23)*ISNUMBER(INDEX(Inputs!$K$5:$AJ$200,0,MATCH(D$2,Inputs!$K$4:$AJ$4,0))))=0,NA(),SUMPRODUCT((Inputs!$A$5:$A$200=$B23)*Inputs!$B$5:$B$200*(((Inputs!$G$5:$G$200="moeda")+(Inputs!$G$5:$G$200="acoes"))*Inputs!$B$1+((Inputs!$G$5:$G$200&lt;&gt;"moeda")*(Inputs!$G$5:$G$200&lt;&gt;"acoes")))*INDEX(Inputs!$K$5:$AJ$200,0,MATCH(D$2,Inputs!$K$4:$AJ$4,0)))+SUMPRODUCT((Inputs!$C$5:$C$200=$B23)*Inputs!$D$5:$D$200*(((Inputs!$G$5:$G$200="moeda")+(Inputs!$G$5:$G$200="acoes"))*Inputs!$B$1+((Inputs!$G$5:$G$200&lt;&gt;"moeda")*(Inputs!$G$5:$G$200&lt;&gt;"acoes")))*INDEX(Inputs!$K$5:$AJ$200,0,MATCH(D$2,Inputs!$K$4:$AJ$4,0)))+SUMPRODUCT((Inputs!$E$5:$E$200=$B23)*Inputs!$F$5:$F$200*(((Inputs!$G$5:$G$200="moeda")+(Inputs!$G$5:$G$200="acoes"))*Inputs!$B$1+((Inputs!$G$5:$G$200&lt;&gt;"moeda")*(Inputs!$G$5:$G$200&lt;&gt;"acoes")))*INDEX(Inputs!$K$5:$AJ$200,0,MATCH(D$2,Inputs!$K$4:$AJ$4,0)))))</f>
        <v>18.009</v>
      </c>
      <c r="E23" s="6">
        <f>IF(ISNA(MATCH(E$2,Inputs!$K$4:$AJ$4,0)),NA(),IF(SUMPRODUCT((Inputs!$A$5:$A$200=$B23)*ISNUMBER(INDEX(Inputs!$K$5:$AJ$200,0,MATCH(E$2,Inputs!$K$4:$AJ$4,0))))+SUMPRODUCT((Inputs!$C$5:$C$200=$B23)*ISNUMBER(INDEX(Inputs!$K$5:$AJ$200,0,MATCH(E$2,Inputs!$K$4:$AJ$4,0))))+SUMPRODUCT((Inputs!$E$5:$E$200=$B23)*ISNUMBER(INDEX(Inputs!$K$5:$AJ$200,0,MATCH(E$2,Inputs!$K$4:$AJ$4,0))))=0,NA(),SUMPRODUCT((Inputs!$A$5:$A$200=$B23)*Inputs!$B$5:$B$200*(((Inputs!$G$5:$G$200="moeda")+(Inputs!$G$5:$G$200="acoes"))*Inputs!$B$1+((Inputs!$G$5:$G$200&lt;&gt;"moeda")*(Inputs!$G$5:$G$200&lt;&gt;"acoes")))*INDEX(Inputs!$K$5:$AJ$200,0,MATCH(E$2,Inputs!$K$4:$AJ$4,0)))+SUMPRODUCT((Inputs!$C$5:$C$200=$B23)*Inputs!$D$5:$D$200*(((Inputs!$G$5:$G$200="moeda")+(Inputs!$G$5:$G$200="acoes"))*Inputs!$B$1+((Inputs!$G$5:$G$200&lt;&gt;"moeda")*(Inputs!$G$5:$G$200&lt;&gt;"acoes")))*INDEX(Inputs!$K$5:$AJ$200,0,MATCH(E$2,Inputs!$K$4:$AJ$4,0)))+SUMPRODUCT((Inputs!$E$5:$E$200=$B23)*Inputs!$F$5:$F$200*(((Inputs!$G$5:$G$200="moeda")+(Inputs!$G$5:$G$200="acoes"))*Inputs!$B$1+((Inputs!$G$5:$G$200&lt;&gt;"moeda")*(Inputs!$G$5:$G$200&lt;&gt;"acoes")))*INDEX(Inputs!$K$5:$AJ$200,0,MATCH(E$2,Inputs!$K$4:$AJ$4,0)))))</f>
        <v>17.861</v>
      </c>
      <c r="F23" s="6">
        <f>IF(ISNA(MATCH(F$2,Inputs!$K$4:$AJ$4,0)),NA(),IF(SUMPRODUCT((Inputs!$A$5:$A$200=$B23)*ISNUMBER(INDEX(Inputs!$K$5:$AJ$200,0,MATCH(F$2,Inputs!$K$4:$AJ$4,0))))+SUMPRODUCT((Inputs!$C$5:$C$200=$B23)*ISNUMBER(INDEX(Inputs!$K$5:$AJ$200,0,MATCH(F$2,Inputs!$K$4:$AJ$4,0))))+SUMPRODUCT((Inputs!$E$5:$E$200=$B23)*ISNUMBER(INDEX(Inputs!$K$5:$AJ$200,0,MATCH(F$2,Inputs!$K$4:$AJ$4,0))))=0,NA(),SUMPRODUCT((Inputs!$A$5:$A$200=$B23)*Inputs!$B$5:$B$200*(((Inputs!$G$5:$G$200="moeda")+(Inputs!$G$5:$G$200="acoes"))*Inputs!$B$1+((Inputs!$G$5:$G$200&lt;&gt;"moeda")*(Inputs!$G$5:$G$200&lt;&gt;"acoes")))*INDEX(Inputs!$K$5:$AJ$200,0,MATCH(F$2,Inputs!$K$4:$AJ$4,0)))+SUMPRODUCT((Inputs!$C$5:$C$200=$B23)*Inputs!$D$5:$D$200*(((Inputs!$G$5:$G$200="moeda")+(Inputs!$G$5:$G$200="acoes"))*Inputs!$B$1+((Inputs!$G$5:$G$200&lt;&gt;"moeda")*(Inputs!$G$5:$G$200&lt;&gt;"acoes")))*INDEX(Inputs!$K$5:$AJ$200,0,MATCH(F$2,Inputs!$K$4:$AJ$4,0)))+SUMPRODUCT((Inputs!$E$5:$E$200=$B23)*Inputs!$F$5:$F$200*(((Inputs!$G$5:$G$200="moeda")+(Inputs!$G$5:$G$200="acoes"))*Inputs!$B$1+((Inputs!$G$5:$G$200&lt;&gt;"moeda")*(Inputs!$G$5:$G$200&lt;&gt;"acoes")))*INDEX(Inputs!$K$5:$AJ$200,0,MATCH(F$2,Inputs!$K$4:$AJ$4,0)))))</f>
        <v>22.216</v>
      </c>
      <c r="G23" s="6">
        <f>IF(ISNA(MATCH(G$2,Inputs!$K$4:$AJ$4,0)),NA(),IF(SUMPRODUCT((Inputs!$A$5:$A$200=$B23)*ISNUMBER(INDEX(Inputs!$K$5:$AJ$200,0,MATCH(G$2,Inputs!$K$4:$AJ$4,0))))+SUMPRODUCT((Inputs!$C$5:$C$200=$B23)*ISNUMBER(INDEX(Inputs!$K$5:$AJ$200,0,MATCH(G$2,Inputs!$K$4:$AJ$4,0))))+SUMPRODUCT((Inputs!$E$5:$E$200=$B23)*ISNUMBER(INDEX(Inputs!$K$5:$AJ$200,0,MATCH(G$2,Inputs!$K$4:$AJ$4,0))))=0,NA(),SUMPRODUCT((Inputs!$A$5:$A$200=$B23)*Inputs!$B$5:$B$200*(((Inputs!$G$5:$G$200="moeda")+(Inputs!$G$5:$G$200="acoes"))*Inputs!$B$1+((Inputs!$G$5:$G$200&lt;&gt;"moeda")*(Inputs!$G$5:$G$200&lt;&gt;"acoes")))*INDEX(Inputs!$K$5:$AJ$200,0,MATCH(G$2,Inputs!$K$4:$AJ$4,0)))+SUMPRODUCT((Inputs!$C$5:$C$200=$B23)*Inputs!$D$5:$D$200*(((Inputs!$G$5:$G$200="moeda")+(Inputs!$G$5:$G$200="acoes"))*Inputs!$B$1+((Inputs!$G$5:$G$200&lt;&gt;"moeda")*(Inputs!$G$5:$G$200&lt;&gt;"acoes")))*INDEX(Inputs!$K$5:$AJ$200,0,MATCH(G$2,Inputs!$K$4:$AJ$4,0)))+SUMPRODUCT((Inputs!$E$5:$E$200=$B23)*Inputs!$F$5:$F$200*(((Inputs!$G$5:$G$200="moeda")+(Inputs!$G$5:$G$200="acoes"))*Inputs!$B$1+((Inputs!$G$5:$G$200&lt;&gt;"moeda")*(Inputs!$G$5:$G$200&lt;&gt;"acoes")))*INDEX(Inputs!$K$5:$AJ$200,0,MATCH(G$2,Inputs!$K$4:$AJ$4,0)))))</f>
        <v>18.81</v>
      </c>
      <c r="H23" s="3">
        <f>G23</f>
        <v>18.81</v>
      </c>
      <c r="I23" s="6">
        <f>IF(ISNA(MATCH(I$2,Inputs!$K$4:$AJ$4,0)),NA(),IF(SUMPRODUCT((Inputs!$A$5:$A$200=$B23)*ISNUMBER(INDEX(Inputs!$K$5:$AJ$200,0,MATCH(I$2,Inputs!$K$4:$AJ$4,0))))+SUMPRODUCT((Inputs!$C$5:$C$200=$B23)*ISNUMBER(INDEX(Inputs!$K$5:$AJ$200,0,MATCH(I$2,Inputs!$K$4:$AJ$4,0))))+SUMPRODUCT((Inputs!$E$5:$E$200=$B23)*ISNUMBER(INDEX(Inputs!$K$5:$AJ$200,0,MATCH(I$2,Inputs!$K$4:$AJ$4,0))))=0,NA(),SUMPRODUCT((Inputs!$A$5:$A$200=$B23)*Inputs!$B$5:$B$200*(((Inputs!$G$5:$G$200="moeda")+(Inputs!$G$5:$G$200="acoes"))*Inputs!$B$1+((Inputs!$G$5:$G$200&lt;&gt;"moeda")*(Inputs!$G$5:$G$200&lt;&gt;"acoes")))*INDEX(Inputs!$K$5:$AJ$200,0,MATCH(I$2,Inputs!$K$4:$AJ$4,0)))+SUMPRODUCT((Inputs!$C$5:$C$200=$B23)*Inputs!$D$5:$D$200*(((Inputs!$G$5:$G$200="moeda")+(Inputs!$G$5:$G$200="acoes"))*Inputs!$B$1+((Inputs!$G$5:$G$200&lt;&gt;"moeda")*(Inputs!$G$5:$G$200&lt;&gt;"acoes")))*INDEX(Inputs!$K$5:$AJ$200,0,MATCH(I$2,Inputs!$K$4:$AJ$4,0)))+SUMPRODUCT((Inputs!$E$5:$E$200=$B23)*Inputs!$F$5:$F$200*(((Inputs!$G$5:$G$200="moeda")+(Inputs!$G$5:$G$200="acoes"))*Inputs!$B$1+((Inputs!$G$5:$G$200&lt;&gt;"moeda")*(Inputs!$G$5:$G$200&lt;&gt;"acoes")))*INDEX(Inputs!$K$5:$AJ$200,0,MATCH(I$2,Inputs!$K$4:$AJ$4,0)))))</f>
        <v>20.349</v>
      </c>
      <c r="J23" s="6">
        <f>IF(ISNA(MATCH(J$2,Inputs!$K$4:$AJ$4,0)),NA(),IF(SUMPRODUCT((Inputs!$A$5:$A$200=$B23)*ISNUMBER(INDEX(Inputs!$K$5:$AJ$200,0,MATCH(J$2,Inputs!$K$4:$AJ$4,0))))+SUMPRODUCT((Inputs!$C$5:$C$200=$B23)*ISNUMBER(INDEX(Inputs!$K$5:$AJ$200,0,MATCH(J$2,Inputs!$K$4:$AJ$4,0))))+SUMPRODUCT((Inputs!$E$5:$E$200=$B23)*ISNUMBER(INDEX(Inputs!$K$5:$AJ$200,0,MATCH(J$2,Inputs!$K$4:$AJ$4,0))))=0,NA(),SUMPRODUCT((Inputs!$A$5:$A$200=$B23)*Inputs!$B$5:$B$200*(((Inputs!$G$5:$G$200="moeda")+(Inputs!$G$5:$G$200="acoes"))*Inputs!$B$1+((Inputs!$G$5:$G$200&lt;&gt;"moeda")*(Inputs!$G$5:$G$200&lt;&gt;"acoes")))*INDEX(Inputs!$K$5:$AJ$200,0,MATCH(J$2,Inputs!$K$4:$AJ$4,0)))+SUMPRODUCT((Inputs!$C$5:$C$200=$B23)*Inputs!$D$5:$D$200*(((Inputs!$G$5:$G$200="moeda")+(Inputs!$G$5:$G$200="acoes"))*Inputs!$B$1+((Inputs!$G$5:$G$200&lt;&gt;"moeda")*(Inputs!$G$5:$G$200&lt;&gt;"acoes")))*INDEX(Inputs!$K$5:$AJ$200,0,MATCH(J$2,Inputs!$K$4:$AJ$4,0)))+SUMPRODUCT((Inputs!$E$5:$E$200=$B23)*Inputs!$F$5:$F$200*(((Inputs!$G$5:$G$200="moeda")+(Inputs!$G$5:$G$200="acoes"))*Inputs!$B$1+((Inputs!$G$5:$G$200&lt;&gt;"moeda")*(Inputs!$G$5:$G$200&lt;&gt;"acoes")))*INDEX(Inputs!$K$5:$AJ$200,0,MATCH(J$2,Inputs!$K$4:$AJ$4,0)))))</f>
        <v>32.183</v>
      </c>
      <c r="K23" s="6">
        <f>IF(ISNA(MATCH(K$2,Inputs!$K$4:$AJ$4,0)),NA(),IF(SUMPRODUCT((Inputs!$A$5:$A$200=$B23)*ISNUMBER(INDEX(Inputs!$K$5:$AJ$200,0,MATCH(K$2,Inputs!$K$4:$AJ$4,0))))+SUMPRODUCT((Inputs!$C$5:$C$200=$B23)*ISNUMBER(INDEX(Inputs!$K$5:$AJ$200,0,MATCH(K$2,Inputs!$K$4:$AJ$4,0))))+SUMPRODUCT((Inputs!$E$5:$E$200=$B23)*ISNUMBER(INDEX(Inputs!$K$5:$AJ$200,0,MATCH(K$2,Inputs!$K$4:$AJ$4,0))))=0,NA(),SUMPRODUCT((Inputs!$A$5:$A$200=$B23)*Inputs!$B$5:$B$200*(((Inputs!$G$5:$G$200="moeda")+(Inputs!$G$5:$G$200="acoes"))*Inputs!$B$1+((Inputs!$G$5:$G$200&lt;&gt;"moeda")*(Inputs!$G$5:$G$200&lt;&gt;"acoes")))*INDEX(Inputs!$K$5:$AJ$200,0,MATCH(K$2,Inputs!$K$4:$AJ$4,0)))+SUMPRODUCT((Inputs!$C$5:$C$200=$B23)*Inputs!$D$5:$D$200*(((Inputs!$G$5:$G$200="moeda")+(Inputs!$G$5:$G$200="acoes"))*Inputs!$B$1+((Inputs!$G$5:$G$200&lt;&gt;"moeda")*(Inputs!$G$5:$G$200&lt;&gt;"acoes")))*INDEX(Inputs!$K$5:$AJ$200,0,MATCH(K$2,Inputs!$K$4:$AJ$4,0)))+SUMPRODUCT((Inputs!$E$5:$E$200=$B23)*Inputs!$F$5:$F$200*(((Inputs!$G$5:$G$200="moeda")+(Inputs!$G$5:$G$200="acoes"))*Inputs!$B$1+((Inputs!$G$5:$G$200&lt;&gt;"moeda")*(Inputs!$G$5:$G$200&lt;&gt;"acoes")))*INDEX(Inputs!$K$5:$AJ$200,0,MATCH(K$2,Inputs!$K$4:$AJ$4,0)))))</f>
        <v>44.721</v>
      </c>
      <c r="L23" s="6">
        <f>IF(ISNA(MATCH(L$2,Inputs!$K$4:$AJ$4,0)),NA(),IF(SUMPRODUCT((Inputs!$A$5:$A$200=$B23)*ISNUMBER(INDEX(Inputs!$K$5:$AJ$200,0,MATCH(L$2,Inputs!$K$4:$AJ$4,0))))+SUMPRODUCT((Inputs!$C$5:$C$200=$B23)*ISNUMBER(INDEX(Inputs!$K$5:$AJ$200,0,MATCH(L$2,Inputs!$K$4:$AJ$4,0))))+SUMPRODUCT((Inputs!$E$5:$E$200=$B23)*ISNUMBER(INDEX(Inputs!$K$5:$AJ$200,0,MATCH(L$2,Inputs!$K$4:$AJ$4,0))))=0,NA(),SUMPRODUCT((Inputs!$A$5:$A$200=$B23)*Inputs!$B$5:$B$200*(((Inputs!$G$5:$G$200="moeda")+(Inputs!$G$5:$G$200="acoes"))*Inputs!$B$1+((Inputs!$G$5:$G$200&lt;&gt;"moeda")*(Inputs!$G$5:$G$200&lt;&gt;"acoes")))*INDEX(Inputs!$K$5:$AJ$200,0,MATCH(L$2,Inputs!$K$4:$AJ$4,0)))+SUMPRODUCT((Inputs!$C$5:$C$200=$B23)*Inputs!$D$5:$D$200*(((Inputs!$G$5:$G$200="moeda")+(Inputs!$G$5:$G$200="acoes"))*Inputs!$B$1+((Inputs!$G$5:$G$200&lt;&gt;"moeda")*(Inputs!$G$5:$G$200&lt;&gt;"acoes")))*INDEX(Inputs!$K$5:$AJ$200,0,MATCH(L$2,Inputs!$K$4:$AJ$4,0)))+SUMPRODUCT((Inputs!$E$5:$E$200=$B23)*Inputs!$F$5:$F$200*(((Inputs!$G$5:$G$200="moeda")+(Inputs!$G$5:$G$200="acoes"))*Inputs!$B$1+((Inputs!$G$5:$G$200&lt;&gt;"moeda")*(Inputs!$G$5:$G$200&lt;&gt;"acoes")))*INDEX(Inputs!$K$5:$AJ$200,0,MATCH(L$2,Inputs!$K$4:$AJ$4,0)))))</f>
        <v>42.658</v>
      </c>
      <c r="M23" s="3">
        <f>L23</f>
        <v>42.658</v>
      </c>
      <c r="N23" s="6">
        <f>IF(ISNA(MATCH(N$2,Inputs!$K$4:$AJ$4,0)),NA(),IF(SUMPRODUCT((Inputs!$A$5:$A$200=$B23)*ISNUMBER(INDEX(Inputs!$K$5:$AJ$200,0,MATCH(N$2,Inputs!$K$4:$AJ$4,0))))+SUMPRODUCT((Inputs!$C$5:$C$200=$B23)*ISNUMBER(INDEX(Inputs!$K$5:$AJ$200,0,MATCH(N$2,Inputs!$K$4:$AJ$4,0))))+SUMPRODUCT((Inputs!$E$5:$E$200=$B23)*ISNUMBER(INDEX(Inputs!$K$5:$AJ$200,0,MATCH(N$2,Inputs!$K$4:$AJ$4,0))))=0,NA(),SUMPRODUCT((Inputs!$A$5:$A$200=$B23)*Inputs!$B$5:$B$200*(((Inputs!$G$5:$G$200="moeda")+(Inputs!$G$5:$G$200="acoes"))*Inputs!$B$1+((Inputs!$G$5:$G$200&lt;&gt;"moeda")*(Inputs!$G$5:$G$200&lt;&gt;"acoes")))*INDEX(Inputs!$K$5:$AJ$200,0,MATCH(N$2,Inputs!$K$4:$AJ$4,0)))+SUMPRODUCT((Inputs!$C$5:$C$200=$B23)*Inputs!$D$5:$D$200*(((Inputs!$G$5:$G$200="moeda")+(Inputs!$G$5:$G$200="acoes"))*Inputs!$B$1+((Inputs!$G$5:$G$200&lt;&gt;"moeda")*(Inputs!$G$5:$G$200&lt;&gt;"acoes")))*INDEX(Inputs!$K$5:$AJ$200,0,MATCH(N$2,Inputs!$K$4:$AJ$4,0)))+SUMPRODUCT((Inputs!$E$5:$E$200=$B23)*Inputs!$F$5:$F$200*(((Inputs!$G$5:$G$200="moeda")+(Inputs!$G$5:$G$200="acoes"))*Inputs!$B$1+((Inputs!$G$5:$G$200&lt;&gt;"moeda")*(Inputs!$G$5:$G$200&lt;&gt;"acoes")))*INDEX(Inputs!$K$5:$AJ$200,0,MATCH(N$2,Inputs!$K$4:$AJ$4,0)))))</f>
        <v>36.672</v>
      </c>
      <c r="O23" s="6">
        <f>IF(ISNA(MATCH(O$2,Inputs!$K$4:$AJ$4,0)),NA(),IF(SUMPRODUCT((Inputs!$A$5:$A$200=$B23)*ISNUMBER(INDEX(Inputs!$K$5:$AJ$200,0,MATCH(O$2,Inputs!$K$4:$AJ$4,0))))+SUMPRODUCT((Inputs!$C$5:$C$200=$B23)*ISNUMBER(INDEX(Inputs!$K$5:$AJ$200,0,MATCH(O$2,Inputs!$K$4:$AJ$4,0))))+SUMPRODUCT((Inputs!$E$5:$E$200=$B23)*ISNUMBER(INDEX(Inputs!$K$5:$AJ$200,0,MATCH(O$2,Inputs!$K$4:$AJ$4,0))))=0,NA(),SUMPRODUCT((Inputs!$A$5:$A$200=$B23)*Inputs!$B$5:$B$200*(((Inputs!$G$5:$G$200="moeda")+(Inputs!$G$5:$G$200="acoes"))*Inputs!$B$1+((Inputs!$G$5:$G$200&lt;&gt;"moeda")*(Inputs!$G$5:$G$200&lt;&gt;"acoes")))*INDEX(Inputs!$K$5:$AJ$200,0,MATCH(O$2,Inputs!$K$4:$AJ$4,0)))+SUMPRODUCT((Inputs!$C$5:$C$200=$B23)*Inputs!$D$5:$D$200*(((Inputs!$G$5:$G$200="moeda")+(Inputs!$G$5:$G$200="acoes"))*Inputs!$B$1+((Inputs!$G$5:$G$200&lt;&gt;"moeda")*(Inputs!$G$5:$G$200&lt;&gt;"acoes")))*INDEX(Inputs!$K$5:$AJ$200,0,MATCH(O$2,Inputs!$K$4:$AJ$4,0)))+SUMPRODUCT((Inputs!$E$5:$E$200=$B23)*Inputs!$F$5:$F$200*(((Inputs!$G$5:$G$200="moeda")+(Inputs!$G$5:$G$200="acoes"))*Inputs!$B$1+((Inputs!$G$5:$G$200&lt;&gt;"moeda")*(Inputs!$G$5:$G$200&lt;&gt;"acoes")))*INDEX(Inputs!$K$5:$AJ$200,0,MATCH(O$2,Inputs!$K$4:$AJ$4,0)))))</f>
        <v>46.848</v>
      </c>
      <c r="P23" s="6">
        <f>IF(ISNA(MATCH(P$2,Inputs!$K$4:$AJ$4,0)),NA(),IF(SUMPRODUCT((Inputs!$A$5:$A$200=$B23)*ISNUMBER(INDEX(Inputs!$K$5:$AJ$200,0,MATCH(P$2,Inputs!$K$4:$AJ$4,0))))+SUMPRODUCT((Inputs!$C$5:$C$200=$B23)*ISNUMBER(INDEX(Inputs!$K$5:$AJ$200,0,MATCH(P$2,Inputs!$K$4:$AJ$4,0))))+SUMPRODUCT((Inputs!$E$5:$E$200=$B23)*ISNUMBER(INDEX(Inputs!$K$5:$AJ$200,0,MATCH(P$2,Inputs!$K$4:$AJ$4,0))))=0,NA(),SUMPRODUCT((Inputs!$A$5:$A$200=$B23)*Inputs!$B$5:$B$200*(((Inputs!$G$5:$G$200="moeda")+(Inputs!$G$5:$G$200="acoes"))*Inputs!$B$1+((Inputs!$G$5:$G$200&lt;&gt;"moeda")*(Inputs!$G$5:$G$200&lt;&gt;"acoes")))*INDEX(Inputs!$K$5:$AJ$200,0,MATCH(P$2,Inputs!$K$4:$AJ$4,0)))+SUMPRODUCT((Inputs!$C$5:$C$200=$B23)*Inputs!$D$5:$D$200*(((Inputs!$G$5:$G$200="moeda")+(Inputs!$G$5:$G$200="acoes"))*Inputs!$B$1+((Inputs!$G$5:$G$200&lt;&gt;"moeda")*(Inputs!$G$5:$G$200&lt;&gt;"acoes")))*INDEX(Inputs!$K$5:$AJ$200,0,MATCH(P$2,Inputs!$K$4:$AJ$4,0)))+SUMPRODUCT((Inputs!$E$5:$E$200=$B23)*Inputs!$F$5:$F$200*(((Inputs!$G$5:$G$200="moeda")+(Inputs!$G$5:$G$200="acoes"))*Inputs!$B$1+((Inputs!$G$5:$G$200&lt;&gt;"moeda")*(Inputs!$G$5:$G$200&lt;&gt;"acoes")))*INDEX(Inputs!$K$5:$AJ$200,0,MATCH(P$2,Inputs!$K$4:$AJ$4,0)))))</f>
        <v>38.878</v>
      </c>
      <c r="Q23" s="6">
        <f>IF(ISNA(MATCH(Q$2,Inputs!$K$4:$AJ$4,0)),NA(),IF(SUMPRODUCT((Inputs!$A$5:$A$200=$B23)*ISNUMBER(INDEX(Inputs!$K$5:$AJ$200,0,MATCH(Q$2,Inputs!$K$4:$AJ$4,0))))+SUMPRODUCT((Inputs!$C$5:$C$200=$B23)*ISNUMBER(INDEX(Inputs!$K$5:$AJ$200,0,MATCH(Q$2,Inputs!$K$4:$AJ$4,0))))+SUMPRODUCT((Inputs!$E$5:$E$200=$B23)*ISNUMBER(INDEX(Inputs!$K$5:$AJ$200,0,MATCH(Q$2,Inputs!$K$4:$AJ$4,0))))=0,NA(),SUMPRODUCT((Inputs!$A$5:$A$200=$B23)*Inputs!$B$5:$B$200*(((Inputs!$G$5:$G$200="moeda")+(Inputs!$G$5:$G$200="acoes"))*Inputs!$B$1+((Inputs!$G$5:$G$200&lt;&gt;"moeda")*(Inputs!$G$5:$G$200&lt;&gt;"acoes")))*INDEX(Inputs!$K$5:$AJ$200,0,MATCH(Q$2,Inputs!$K$4:$AJ$4,0)))+SUMPRODUCT((Inputs!$C$5:$C$200=$B23)*Inputs!$D$5:$D$200*(((Inputs!$G$5:$G$200="moeda")+(Inputs!$G$5:$G$200="acoes"))*Inputs!$B$1+((Inputs!$G$5:$G$200&lt;&gt;"moeda")*(Inputs!$G$5:$G$200&lt;&gt;"acoes")))*INDEX(Inputs!$K$5:$AJ$200,0,MATCH(Q$2,Inputs!$K$4:$AJ$4,0)))+SUMPRODUCT((Inputs!$E$5:$E$200=$B23)*Inputs!$F$5:$F$200*(((Inputs!$G$5:$G$200="moeda")+(Inputs!$G$5:$G$200="acoes"))*Inputs!$B$1+((Inputs!$G$5:$G$200&lt;&gt;"moeda")*(Inputs!$G$5:$G$200&lt;&gt;"acoes")))*INDEX(Inputs!$K$5:$AJ$200,0,MATCH(Q$2,Inputs!$K$4:$AJ$4,0)))))</f>
        <v>40.67</v>
      </c>
      <c r="R23" s="3">
        <f>Q23</f>
        <v>40.67</v>
      </c>
      <c r="S23" s="6">
        <f>IF(ISNA(MATCH(S$2,Inputs!$K$4:$AJ$4,0)),NA(),IF(SUMPRODUCT((Inputs!$A$5:$A$200=$B23)*ISNUMBER(INDEX(Inputs!$K$5:$AJ$200,0,MATCH(S$2,Inputs!$K$4:$AJ$4,0))))+SUMPRODUCT((Inputs!$C$5:$C$200=$B23)*ISNUMBER(INDEX(Inputs!$K$5:$AJ$200,0,MATCH(S$2,Inputs!$K$4:$AJ$4,0))))+SUMPRODUCT((Inputs!$E$5:$E$200=$B23)*ISNUMBER(INDEX(Inputs!$K$5:$AJ$200,0,MATCH(S$2,Inputs!$K$4:$AJ$4,0))))=0,NA(),SUMPRODUCT((Inputs!$A$5:$A$200=$B23)*Inputs!$B$5:$B$200*(((Inputs!$G$5:$G$200="moeda")+(Inputs!$G$5:$G$200="acoes"))*Inputs!$B$1+((Inputs!$G$5:$G$200&lt;&gt;"moeda")*(Inputs!$G$5:$G$200&lt;&gt;"acoes")))*INDEX(Inputs!$K$5:$AJ$200,0,MATCH(S$2,Inputs!$K$4:$AJ$4,0)))+SUMPRODUCT((Inputs!$C$5:$C$200=$B23)*Inputs!$D$5:$D$200*(((Inputs!$G$5:$G$200="moeda")+(Inputs!$G$5:$G$200="acoes"))*Inputs!$B$1+((Inputs!$G$5:$G$200&lt;&gt;"moeda")*(Inputs!$G$5:$G$200&lt;&gt;"acoes")))*INDEX(Inputs!$K$5:$AJ$200,0,MATCH(S$2,Inputs!$K$4:$AJ$4,0)))+SUMPRODUCT((Inputs!$E$5:$E$200=$B23)*Inputs!$F$5:$F$200*(((Inputs!$G$5:$G$200="moeda")+(Inputs!$G$5:$G$200="acoes"))*Inputs!$B$1+((Inputs!$G$5:$G$200&lt;&gt;"moeda")*(Inputs!$G$5:$G$200&lt;&gt;"acoes")))*INDEX(Inputs!$K$5:$AJ$200,0,MATCH(S$2,Inputs!$K$4:$AJ$4,0)))))</f>
        <v>41.626</v>
      </c>
      <c r="T23" s="6">
        <f>IF(ISNA(MATCH(T$2,Inputs!$K$4:$AJ$4,0)),NA(),IF(SUMPRODUCT((Inputs!$A$5:$A$200=$B23)*ISNUMBER(INDEX(Inputs!$K$5:$AJ$200,0,MATCH(T$2,Inputs!$K$4:$AJ$4,0))))+SUMPRODUCT((Inputs!$C$5:$C$200=$B23)*ISNUMBER(INDEX(Inputs!$K$5:$AJ$200,0,MATCH(T$2,Inputs!$K$4:$AJ$4,0))))+SUMPRODUCT((Inputs!$E$5:$E$200=$B23)*ISNUMBER(INDEX(Inputs!$K$5:$AJ$200,0,MATCH(T$2,Inputs!$K$4:$AJ$4,0))))=0,NA(),SUMPRODUCT((Inputs!$A$5:$A$200=$B23)*Inputs!$B$5:$B$200*(((Inputs!$G$5:$G$200="moeda")+(Inputs!$G$5:$G$200="acoes"))*Inputs!$B$1+((Inputs!$G$5:$G$200&lt;&gt;"moeda")*(Inputs!$G$5:$G$200&lt;&gt;"acoes")))*INDEX(Inputs!$K$5:$AJ$200,0,MATCH(T$2,Inputs!$K$4:$AJ$4,0)))+SUMPRODUCT((Inputs!$C$5:$C$200=$B23)*Inputs!$D$5:$D$200*(((Inputs!$G$5:$G$200="moeda")+(Inputs!$G$5:$G$200="acoes"))*Inputs!$B$1+((Inputs!$G$5:$G$200&lt;&gt;"moeda")*(Inputs!$G$5:$G$200&lt;&gt;"acoes")))*INDEX(Inputs!$K$5:$AJ$200,0,MATCH(T$2,Inputs!$K$4:$AJ$4,0)))+SUMPRODUCT((Inputs!$E$5:$E$200=$B23)*Inputs!$F$5:$F$200*(((Inputs!$G$5:$G$200="moeda")+(Inputs!$G$5:$G$200="acoes"))*Inputs!$B$1+((Inputs!$G$5:$G$200&lt;&gt;"moeda")*(Inputs!$G$5:$G$200&lt;&gt;"acoes")))*INDEX(Inputs!$K$5:$AJ$200,0,MATCH(T$2,Inputs!$K$4:$AJ$4,0)))))</f>
        <v>45.004</v>
      </c>
      <c r="U23" s="6">
        <f>IF(ISNA(MATCH(U$2,Inputs!$K$4:$AJ$4,0)),NA(),IF(SUMPRODUCT((Inputs!$A$5:$A$200=$B23)*ISNUMBER(INDEX(Inputs!$K$5:$AJ$200,0,MATCH(U$2,Inputs!$K$4:$AJ$4,0))))+SUMPRODUCT((Inputs!$C$5:$C$200=$B23)*ISNUMBER(INDEX(Inputs!$K$5:$AJ$200,0,MATCH(U$2,Inputs!$K$4:$AJ$4,0))))+SUMPRODUCT((Inputs!$E$5:$E$200=$B23)*ISNUMBER(INDEX(Inputs!$K$5:$AJ$200,0,MATCH(U$2,Inputs!$K$4:$AJ$4,0))))=0,NA(),SUMPRODUCT((Inputs!$A$5:$A$200=$B23)*Inputs!$B$5:$B$200*(((Inputs!$G$5:$G$200="moeda")+(Inputs!$G$5:$G$200="acoes"))*Inputs!$B$1+((Inputs!$G$5:$G$200&lt;&gt;"moeda")*(Inputs!$G$5:$G$200&lt;&gt;"acoes")))*INDEX(Inputs!$K$5:$AJ$200,0,MATCH(U$2,Inputs!$K$4:$AJ$4,0)))+SUMPRODUCT((Inputs!$C$5:$C$200=$B23)*Inputs!$D$5:$D$200*(((Inputs!$G$5:$G$200="moeda")+(Inputs!$G$5:$G$200="acoes"))*Inputs!$B$1+((Inputs!$G$5:$G$200&lt;&gt;"moeda")*(Inputs!$G$5:$G$200&lt;&gt;"acoes")))*INDEX(Inputs!$K$5:$AJ$200,0,MATCH(U$2,Inputs!$K$4:$AJ$4,0)))+SUMPRODUCT((Inputs!$E$5:$E$200=$B23)*Inputs!$F$5:$F$200*(((Inputs!$G$5:$G$200="moeda")+(Inputs!$G$5:$G$200="acoes"))*Inputs!$B$1+((Inputs!$G$5:$G$200&lt;&gt;"moeda")*(Inputs!$G$5:$G$200&lt;&gt;"acoes")))*INDEX(Inputs!$K$5:$AJ$200,0,MATCH(U$2,Inputs!$K$4:$AJ$4,0)))))</f>
        <v>96.143</v>
      </c>
      <c r="V23" s="6">
        <f>IF(ISNA(MATCH(V$2,Inputs!$K$4:$AJ$4,0)),NA(),IF(SUMPRODUCT((Inputs!$A$5:$A$200=$B23)*ISNUMBER(INDEX(Inputs!$K$5:$AJ$200,0,MATCH(V$2,Inputs!$K$4:$AJ$4,0))))+SUMPRODUCT((Inputs!$C$5:$C$200=$B23)*ISNUMBER(INDEX(Inputs!$K$5:$AJ$200,0,MATCH(V$2,Inputs!$K$4:$AJ$4,0))))+SUMPRODUCT((Inputs!$E$5:$E$200=$B23)*ISNUMBER(INDEX(Inputs!$K$5:$AJ$200,0,MATCH(V$2,Inputs!$K$4:$AJ$4,0))))=0,NA(),SUMPRODUCT((Inputs!$A$5:$A$200=$B23)*Inputs!$B$5:$B$200*(((Inputs!$G$5:$G$200="moeda")+(Inputs!$G$5:$G$200="acoes"))*Inputs!$B$1+((Inputs!$G$5:$G$200&lt;&gt;"moeda")*(Inputs!$G$5:$G$200&lt;&gt;"acoes")))*INDEX(Inputs!$K$5:$AJ$200,0,MATCH(V$2,Inputs!$K$4:$AJ$4,0)))+SUMPRODUCT((Inputs!$C$5:$C$200=$B23)*Inputs!$D$5:$D$200*(((Inputs!$G$5:$G$200="moeda")+(Inputs!$G$5:$G$200="acoes"))*Inputs!$B$1+((Inputs!$G$5:$G$200&lt;&gt;"moeda")*(Inputs!$G$5:$G$200&lt;&gt;"acoes")))*INDEX(Inputs!$K$5:$AJ$200,0,MATCH(V$2,Inputs!$K$4:$AJ$4,0)))+SUMPRODUCT((Inputs!$E$5:$E$200=$B23)*Inputs!$F$5:$F$200*(((Inputs!$G$5:$G$200="moeda")+(Inputs!$G$5:$G$200="acoes"))*Inputs!$B$1+((Inputs!$G$5:$G$200&lt;&gt;"moeda")*(Inputs!$G$5:$G$200&lt;&gt;"acoes")))*INDEX(Inputs!$K$5:$AJ$200,0,MATCH(V$2,Inputs!$K$4:$AJ$4,0)))))</f>
        <v>98.549</v>
      </c>
      <c r="W23" s="3">
        <f>V23</f>
        <v>98.549</v>
      </c>
      <c r="X23" s="6">
        <f>IF(ISNA(MATCH(X$2,Inputs!$K$4:$AJ$4,0)),NA(),IF(SUMPRODUCT((Inputs!$A$5:$A$200=$B23)*ISNUMBER(INDEX(Inputs!$K$5:$AJ$200,0,MATCH(X$2,Inputs!$K$4:$AJ$4,0))))+SUMPRODUCT((Inputs!$C$5:$C$200=$B23)*ISNUMBER(INDEX(Inputs!$K$5:$AJ$200,0,MATCH(X$2,Inputs!$K$4:$AJ$4,0))))+SUMPRODUCT((Inputs!$E$5:$E$200=$B23)*ISNUMBER(INDEX(Inputs!$K$5:$AJ$200,0,MATCH(X$2,Inputs!$K$4:$AJ$4,0))))=0,NA(),SUMPRODUCT((Inputs!$A$5:$A$200=$B23)*Inputs!$B$5:$B$200*(((Inputs!$G$5:$G$200="moeda")+(Inputs!$G$5:$G$200="acoes"))*Inputs!$B$1+((Inputs!$G$5:$G$200&lt;&gt;"moeda")*(Inputs!$G$5:$G$200&lt;&gt;"acoes")))*INDEX(Inputs!$K$5:$AJ$200,0,MATCH(X$2,Inputs!$K$4:$AJ$4,0)))+SUMPRODUCT((Inputs!$C$5:$C$200=$B23)*Inputs!$D$5:$D$200*(((Inputs!$G$5:$G$200="moeda")+(Inputs!$G$5:$G$200="acoes"))*Inputs!$B$1+((Inputs!$G$5:$G$200&lt;&gt;"moeda")*(Inputs!$G$5:$G$200&lt;&gt;"acoes")))*INDEX(Inputs!$K$5:$AJ$200,0,MATCH(X$2,Inputs!$K$4:$AJ$4,0)))+SUMPRODUCT((Inputs!$E$5:$E$200=$B23)*Inputs!$F$5:$F$200*(((Inputs!$G$5:$G$200="moeda")+(Inputs!$G$5:$G$200="acoes"))*Inputs!$B$1+((Inputs!$G$5:$G$200&lt;&gt;"moeda")*(Inputs!$G$5:$G$200&lt;&gt;"acoes")))*INDEX(Inputs!$K$5:$AJ$200,0,MATCH(X$2,Inputs!$K$4:$AJ$4,0)))))</f>
        <v>100.278</v>
      </c>
      <c r="Y23" s="6">
        <f>IF(ISNA(MATCH(Y$2,Inputs!$K$4:$AJ$4,0)),NA(),IF(SUMPRODUCT((Inputs!$A$5:$A$200=$B23)*ISNUMBER(INDEX(Inputs!$K$5:$AJ$200,0,MATCH(Y$2,Inputs!$K$4:$AJ$4,0))))+SUMPRODUCT((Inputs!$C$5:$C$200=$B23)*ISNUMBER(INDEX(Inputs!$K$5:$AJ$200,0,MATCH(Y$2,Inputs!$K$4:$AJ$4,0))))+SUMPRODUCT((Inputs!$E$5:$E$200=$B23)*ISNUMBER(INDEX(Inputs!$K$5:$AJ$200,0,MATCH(Y$2,Inputs!$K$4:$AJ$4,0))))=0,NA(),SUMPRODUCT((Inputs!$A$5:$A$200=$B23)*Inputs!$B$5:$B$200*(((Inputs!$G$5:$G$200="moeda")+(Inputs!$G$5:$G$200="acoes"))*Inputs!$B$1+((Inputs!$G$5:$G$200&lt;&gt;"moeda")*(Inputs!$G$5:$G$200&lt;&gt;"acoes")))*INDEX(Inputs!$K$5:$AJ$200,0,MATCH(Y$2,Inputs!$K$4:$AJ$4,0)))+SUMPRODUCT((Inputs!$C$5:$C$200=$B23)*Inputs!$D$5:$D$200*(((Inputs!$G$5:$G$200="moeda")+(Inputs!$G$5:$G$200="acoes"))*Inputs!$B$1+((Inputs!$G$5:$G$200&lt;&gt;"moeda")*(Inputs!$G$5:$G$200&lt;&gt;"acoes")))*INDEX(Inputs!$K$5:$AJ$200,0,MATCH(Y$2,Inputs!$K$4:$AJ$4,0)))+SUMPRODUCT((Inputs!$E$5:$E$200=$B23)*Inputs!$F$5:$F$200*(((Inputs!$G$5:$G$200="moeda")+(Inputs!$G$5:$G$200="acoes"))*Inputs!$B$1+((Inputs!$G$5:$G$200&lt;&gt;"moeda")*(Inputs!$G$5:$G$200&lt;&gt;"acoes")))*INDEX(Inputs!$K$5:$AJ$200,0,MATCH(Y$2,Inputs!$K$4:$AJ$4,0)))))</f>
        <v>80.784</v>
      </c>
      <c r="Z23" s="6">
        <f>IF(ISNA(MATCH(Z$2,Inputs!$K$4:$AJ$4,0)),NA(),IF(SUMPRODUCT((Inputs!$A$5:$A$200=$B23)*ISNUMBER(INDEX(Inputs!$K$5:$AJ$200,0,MATCH(Z$2,Inputs!$K$4:$AJ$4,0))))+SUMPRODUCT((Inputs!$C$5:$C$200=$B23)*ISNUMBER(INDEX(Inputs!$K$5:$AJ$200,0,MATCH(Z$2,Inputs!$K$4:$AJ$4,0))))+SUMPRODUCT((Inputs!$E$5:$E$200=$B23)*ISNUMBER(INDEX(Inputs!$K$5:$AJ$200,0,MATCH(Z$2,Inputs!$K$4:$AJ$4,0))))=0,NA(),SUMPRODUCT((Inputs!$A$5:$A$200=$B23)*Inputs!$B$5:$B$200*(((Inputs!$G$5:$G$200="moeda")+(Inputs!$G$5:$G$200="acoes"))*Inputs!$B$1+((Inputs!$G$5:$G$200&lt;&gt;"moeda")*(Inputs!$G$5:$G$200&lt;&gt;"acoes")))*INDEX(Inputs!$K$5:$AJ$200,0,MATCH(Z$2,Inputs!$K$4:$AJ$4,0)))+SUMPRODUCT((Inputs!$C$5:$C$200=$B23)*Inputs!$D$5:$D$200*(((Inputs!$G$5:$G$200="moeda")+(Inputs!$G$5:$G$200="acoes"))*Inputs!$B$1+((Inputs!$G$5:$G$200&lt;&gt;"moeda")*(Inputs!$G$5:$G$200&lt;&gt;"acoes")))*INDEX(Inputs!$K$5:$AJ$200,0,MATCH(Z$2,Inputs!$K$4:$AJ$4,0)))+SUMPRODUCT((Inputs!$E$5:$E$200=$B23)*Inputs!$F$5:$F$200*(((Inputs!$G$5:$G$200="moeda")+(Inputs!$G$5:$G$200="acoes"))*Inputs!$B$1+((Inputs!$G$5:$G$200&lt;&gt;"moeda")*(Inputs!$G$5:$G$200&lt;&gt;"acoes")))*INDEX(Inputs!$K$5:$AJ$200,0,MATCH(Z$2,Inputs!$K$4:$AJ$4,0)))))</f>
        <v>73.022</v>
      </c>
      <c r="AA23" s="6">
        <f>IF(ISNA(MATCH(AA$2,Inputs!$K$4:$AJ$4,0)),NA(),IF(SUMPRODUCT((Inputs!$A$5:$A$200=$B23)*ISNUMBER(INDEX(Inputs!$K$5:$AJ$200,0,MATCH(AA$2,Inputs!$K$4:$AJ$4,0))))+SUMPRODUCT((Inputs!$C$5:$C$200=$B23)*ISNUMBER(INDEX(Inputs!$K$5:$AJ$200,0,MATCH(AA$2,Inputs!$K$4:$AJ$4,0))))+SUMPRODUCT((Inputs!$E$5:$E$200=$B23)*ISNUMBER(INDEX(Inputs!$K$5:$AJ$200,0,MATCH(AA$2,Inputs!$K$4:$AJ$4,0))))=0,NA(),SUMPRODUCT((Inputs!$A$5:$A$200=$B23)*Inputs!$B$5:$B$200*(((Inputs!$G$5:$G$200="moeda")+(Inputs!$G$5:$G$200="acoes"))*Inputs!$B$1+((Inputs!$G$5:$G$200&lt;&gt;"moeda")*(Inputs!$G$5:$G$200&lt;&gt;"acoes")))*INDEX(Inputs!$K$5:$AJ$200,0,MATCH(AA$2,Inputs!$K$4:$AJ$4,0)))+SUMPRODUCT((Inputs!$C$5:$C$200=$B23)*Inputs!$D$5:$D$200*(((Inputs!$G$5:$G$200="moeda")+(Inputs!$G$5:$G$200="acoes"))*Inputs!$B$1+((Inputs!$G$5:$G$200&lt;&gt;"moeda")*(Inputs!$G$5:$G$200&lt;&gt;"acoes")))*INDEX(Inputs!$K$5:$AJ$200,0,MATCH(AA$2,Inputs!$K$4:$AJ$4,0)))+SUMPRODUCT((Inputs!$E$5:$E$200=$B23)*Inputs!$F$5:$F$200*(((Inputs!$G$5:$G$200="moeda")+(Inputs!$G$5:$G$200="acoes"))*Inputs!$B$1+((Inputs!$G$5:$G$200&lt;&gt;"moeda")*(Inputs!$G$5:$G$200&lt;&gt;"acoes")))*INDEX(Inputs!$K$5:$AJ$200,0,MATCH(AA$2,Inputs!$K$4:$AJ$4,0)))))</f>
        <v>98.014</v>
      </c>
      <c r="AB23" s="3">
        <f>AA23</f>
        <v>98.014</v>
      </c>
      <c r="AC23" s="6">
        <f>IF(ISNA(MATCH(AC$2,Inputs!$K$4:$AJ$4,0)),NA(),IF(SUMPRODUCT((Inputs!$A$5:$A$200=$B23)*ISNUMBER(INDEX(Inputs!$K$5:$AJ$200,0,MATCH(AC$2,Inputs!$K$4:$AJ$4,0))))+SUMPRODUCT((Inputs!$C$5:$C$200=$B23)*ISNUMBER(INDEX(Inputs!$K$5:$AJ$200,0,MATCH(AC$2,Inputs!$K$4:$AJ$4,0))))+SUMPRODUCT((Inputs!$E$5:$E$200=$B23)*ISNUMBER(INDEX(Inputs!$K$5:$AJ$200,0,MATCH(AC$2,Inputs!$K$4:$AJ$4,0))))=0,NA(),SUMPRODUCT((Inputs!$A$5:$A$200=$B23)*Inputs!$B$5:$B$200*(((Inputs!$G$5:$G$200="moeda")+(Inputs!$G$5:$G$200="acoes"))*Inputs!$B$1+((Inputs!$G$5:$G$200&lt;&gt;"moeda")*(Inputs!$G$5:$G$200&lt;&gt;"acoes")))*INDEX(Inputs!$K$5:$AJ$200,0,MATCH(AC$2,Inputs!$K$4:$AJ$4,0)))+SUMPRODUCT((Inputs!$C$5:$C$200=$B23)*Inputs!$D$5:$D$200*(((Inputs!$G$5:$G$200="moeda")+(Inputs!$G$5:$G$200="acoes"))*Inputs!$B$1+((Inputs!$G$5:$G$200&lt;&gt;"moeda")*(Inputs!$G$5:$G$200&lt;&gt;"acoes")))*INDEX(Inputs!$K$5:$AJ$200,0,MATCH(AC$2,Inputs!$K$4:$AJ$4,0)))+SUMPRODUCT((Inputs!$E$5:$E$200=$B23)*Inputs!$F$5:$F$200*(((Inputs!$G$5:$G$200="moeda")+(Inputs!$G$5:$G$200="acoes"))*Inputs!$B$1+((Inputs!$G$5:$G$200&lt;&gt;"moeda")*(Inputs!$G$5:$G$200&lt;&gt;"acoes")))*INDEX(Inputs!$K$5:$AJ$200,0,MATCH(AC$2,Inputs!$K$4:$AJ$4,0)))))</f>
        <v>87.373</v>
      </c>
      <c r="AD23" s="6">
        <f>IF(ISNA(MATCH(AD$2,Inputs!$K$4:$AJ$4,0)),NA(),IF(SUMPRODUCT((Inputs!$A$5:$A$200=$B23)*ISNUMBER(INDEX(Inputs!$K$5:$AJ$200,0,MATCH(AD$2,Inputs!$K$4:$AJ$4,0))))+SUMPRODUCT((Inputs!$C$5:$C$200=$B23)*ISNUMBER(INDEX(Inputs!$K$5:$AJ$200,0,MATCH(AD$2,Inputs!$K$4:$AJ$4,0))))+SUMPRODUCT((Inputs!$E$5:$E$200=$B23)*ISNUMBER(INDEX(Inputs!$K$5:$AJ$200,0,MATCH(AD$2,Inputs!$K$4:$AJ$4,0))))=0,NA(),SUMPRODUCT((Inputs!$A$5:$A$200=$B23)*Inputs!$B$5:$B$200*(((Inputs!$G$5:$G$200="moeda")+(Inputs!$G$5:$G$200="acoes"))*Inputs!$B$1+((Inputs!$G$5:$G$200&lt;&gt;"moeda")*(Inputs!$G$5:$G$200&lt;&gt;"acoes")))*INDEX(Inputs!$K$5:$AJ$200,0,MATCH(AD$2,Inputs!$K$4:$AJ$4,0)))+SUMPRODUCT((Inputs!$C$5:$C$200=$B23)*Inputs!$D$5:$D$200*(((Inputs!$G$5:$G$200="moeda")+(Inputs!$G$5:$G$200="acoes"))*Inputs!$B$1+((Inputs!$G$5:$G$200&lt;&gt;"moeda")*(Inputs!$G$5:$G$200&lt;&gt;"acoes")))*INDEX(Inputs!$K$5:$AJ$200,0,MATCH(AD$2,Inputs!$K$4:$AJ$4,0)))+SUMPRODUCT((Inputs!$E$5:$E$200=$B23)*Inputs!$F$5:$F$200*(((Inputs!$G$5:$G$200="moeda")+(Inputs!$G$5:$G$200="acoes"))*Inputs!$B$1+((Inputs!$G$5:$G$200&lt;&gt;"moeda")*(Inputs!$G$5:$G$200&lt;&gt;"acoes")))*INDEX(Inputs!$K$5:$AJ$200,0,MATCH(AD$2,Inputs!$K$4:$AJ$4,0)))))</f>
        <v>92.908</v>
      </c>
      <c r="AE23" s="6" t="e">
        <f>IF(ISNA(MATCH(AE$2,Inputs!$K$4:$AJ$4,0)),NA(),IF(SUMPRODUCT((Inputs!$A$5:$A$200=$B23)*ISNUMBER(INDEX(Inputs!$K$5:$AJ$200,0,MATCH(AE$2,Inputs!$K$4:$AJ$4,0))))+SUMPRODUCT((Inputs!$C$5:$C$200=$B23)*ISNUMBER(INDEX(Inputs!$K$5:$AJ$200,0,MATCH(AE$2,Inputs!$K$4:$AJ$4,0))))+SUMPRODUCT((Inputs!$E$5:$E$200=$B23)*ISNUMBER(INDEX(Inputs!$K$5:$AJ$200,0,MATCH(AE$2,Inputs!$K$4:$AJ$4,0))))=0,NA(),SUMPRODUCT((Inputs!$A$5:$A$200=$B23)*Inputs!$B$5:$B$200*(((Inputs!$G$5:$G$200="moeda")+(Inputs!$G$5:$G$200="acoes"))*Inputs!$B$1+((Inputs!$G$5:$G$200&lt;&gt;"moeda")*(Inputs!$G$5:$G$200&lt;&gt;"acoes")))*INDEX(Inputs!$K$5:$AJ$200,0,MATCH(AE$2,Inputs!$K$4:$AJ$4,0)))+SUMPRODUCT((Inputs!$C$5:$C$200=$B23)*Inputs!$D$5:$D$200*(((Inputs!$G$5:$G$200="moeda")+(Inputs!$G$5:$G$200="acoes"))*Inputs!$B$1+((Inputs!$G$5:$G$200&lt;&gt;"moeda")*(Inputs!$G$5:$G$200&lt;&gt;"acoes")))*INDEX(Inputs!$K$5:$AJ$200,0,MATCH(AE$2,Inputs!$K$4:$AJ$4,0)))+SUMPRODUCT((Inputs!$E$5:$E$200=$B23)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3" s="6" t="e">
        <f>IF(ISNA(MATCH(AF$2,Inputs!$K$4:$AJ$4,0)),NA(),IF(SUMPRODUCT((Inputs!$A$5:$A$200=$B23)*ISNUMBER(INDEX(Inputs!$K$5:$AJ$200,0,MATCH(AF$2,Inputs!$K$4:$AJ$4,0))))+SUMPRODUCT((Inputs!$C$5:$C$200=$B23)*ISNUMBER(INDEX(Inputs!$K$5:$AJ$200,0,MATCH(AF$2,Inputs!$K$4:$AJ$4,0))))+SUMPRODUCT((Inputs!$E$5:$E$200=$B23)*ISNUMBER(INDEX(Inputs!$K$5:$AJ$200,0,MATCH(AF$2,Inputs!$K$4:$AJ$4,0))))=0,NA(),SUMPRODUCT((Inputs!$A$5:$A$200=$B23)*Inputs!$B$5:$B$200*(((Inputs!$G$5:$G$200="moeda")+(Inputs!$G$5:$G$200="acoes"))*Inputs!$B$1+((Inputs!$G$5:$G$200&lt;&gt;"moeda")*(Inputs!$G$5:$G$200&lt;&gt;"acoes")))*INDEX(Inputs!$K$5:$AJ$200,0,MATCH(AF$2,Inputs!$K$4:$AJ$4,0)))+SUMPRODUCT((Inputs!$C$5:$C$200=$B23)*Inputs!$D$5:$D$200*(((Inputs!$G$5:$G$200="moeda")+(Inputs!$G$5:$G$200="acoes"))*Inputs!$B$1+((Inputs!$G$5:$G$200&lt;&gt;"moeda")*(Inputs!$G$5:$G$200&lt;&gt;"acoes")))*INDEX(Inputs!$K$5:$AJ$200,0,MATCH(AF$2,Inputs!$K$4:$AJ$4,0)))+SUMPRODUCT((Inputs!$E$5:$E$200=$B23)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3" s="3" t="e">
        <f>AF23</f>
        <v>#N/A</v>
      </c>
      <c r="AH23" s="6">
        <f>IF(ISNA(MATCH(AH$2,Inputs!$K$4:$AJ$4,0)),NA(),IF(SUMPRODUCT((Inputs!$A$5:$A$200=$B23)*ISNUMBER(INDEX(Inputs!$K$5:$AJ$200,0,MATCH(AH$2,Inputs!$K$4:$AJ$4,0))))+SUMPRODUCT((Inputs!$C$5:$C$200=$B23)*ISNUMBER(INDEX(Inputs!$K$5:$AJ$200,0,MATCH(AH$2,Inputs!$K$4:$AJ$4,0))))+SUMPRODUCT((Inputs!$E$5:$E$200=$B23)*ISNUMBER(INDEX(Inputs!$K$5:$AJ$200,0,MATCH(AH$2,Inputs!$K$4:$AJ$4,0))))=0,NA(),SUMPRODUCT((Inputs!$A$5:$A$200=$B23)*Inputs!$B$5:$B$200*(((Inputs!$G$5:$G$200="moeda")+(Inputs!$G$5:$G$200="acoes"))*Inputs!$B$1+((Inputs!$G$5:$G$200&lt;&gt;"moeda")*(Inputs!$G$5:$G$200&lt;&gt;"acoes")))*INDEX(Inputs!$K$5:$AJ$200,0,MATCH(AH$2,Inputs!$K$4:$AJ$4,0)))+SUMPRODUCT((Inputs!$C$5:$C$200=$B23)*Inputs!$D$5:$D$200*(((Inputs!$G$5:$G$200="moeda")+(Inputs!$G$5:$G$200="acoes"))*Inputs!$B$1+((Inputs!$G$5:$G$200&lt;&gt;"moeda")*(Inputs!$G$5:$G$200&lt;&gt;"acoes")))*INDEX(Inputs!$K$5:$AJ$200,0,MATCH(AH$2,Inputs!$K$4:$AJ$4,0)))+SUMPRODUCT((Inputs!$E$5:$E$200=$B23)*Inputs!$F$5:$F$200*(((Inputs!$G$5:$G$200="moeda")+(Inputs!$G$5:$G$200="acoes"))*Inputs!$B$1+((Inputs!$G$5:$G$200&lt;&gt;"moeda")*(Inputs!$G$5:$G$200&lt;&gt;"acoes")))*INDEX(Inputs!$K$5:$AJ$200,0,MATCH(AH$2,Inputs!$K$4:$AJ$4,0)))))</f>
        <v>11.179</v>
      </c>
      <c r="AI23" s="6">
        <f>IF(ISNA(MATCH(AI$2,Inputs!$K$4:$AJ$4,0)),NA(),IF(SUMPRODUCT((Inputs!$A$5:$A$200=$B23)*ISNUMBER(INDEX(Inputs!$K$5:$AJ$200,0,MATCH(AI$2,Inputs!$K$4:$AJ$4,0))))+SUMPRODUCT((Inputs!$C$5:$C$200=$B23)*ISNUMBER(INDEX(Inputs!$K$5:$AJ$200,0,MATCH(AI$2,Inputs!$K$4:$AJ$4,0))))+SUMPRODUCT((Inputs!$E$5:$E$200=$B23)*ISNUMBER(INDEX(Inputs!$K$5:$AJ$200,0,MATCH(AI$2,Inputs!$K$4:$AJ$4,0))))=0,NA(),SUMPRODUCT((Inputs!$A$5:$A$200=$B23)*Inputs!$B$5:$B$200*(((Inputs!$G$5:$G$200="moeda")+(Inputs!$G$5:$G$200="acoes"))*Inputs!$B$1+((Inputs!$G$5:$G$200&lt;&gt;"moeda")*(Inputs!$G$5:$G$200&lt;&gt;"acoes")))*INDEX(Inputs!$K$5:$AJ$200,0,MATCH(AI$2,Inputs!$K$4:$AJ$4,0)))+SUMPRODUCT((Inputs!$C$5:$C$200=$B23)*Inputs!$D$5:$D$200*(((Inputs!$G$5:$G$200="moeda")+(Inputs!$G$5:$G$200="acoes"))*Inputs!$B$1+((Inputs!$G$5:$G$200&lt;&gt;"moeda")*(Inputs!$G$5:$G$200&lt;&gt;"acoes")))*INDEX(Inputs!$K$5:$AJ$200,0,MATCH(AI$2,Inputs!$K$4:$AJ$4,0)))+SUMPRODUCT((Inputs!$E$5:$E$200=$B23)*Inputs!$F$5:$F$200*(((Inputs!$G$5:$G$200="moeda")+(Inputs!$G$5:$G$200="acoes"))*Inputs!$B$1+((Inputs!$G$5:$G$200&lt;&gt;"moeda")*(Inputs!$G$5:$G$200&lt;&gt;"acoes")))*INDEX(Inputs!$K$5:$AJ$200,0,MATCH(AI$2,Inputs!$K$4:$AJ$4,0)))))</f>
        <v>9.711</v>
      </c>
      <c r="AJ23" s="6">
        <f>IF(ISNA(MATCH(AJ$2,Inputs!$K$4:$AJ$4,0)),NA(),IF(SUMPRODUCT((Inputs!$A$5:$A$200=$B23)*ISNUMBER(INDEX(Inputs!$K$5:$AJ$200,0,MATCH(AJ$2,Inputs!$K$4:$AJ$4,0))))+SUMPRODUCT((Inputs!$C$5:$C$200=$B23)*ISNUMBER(INDEX(Inputs!$K$5:$AJ$200,0,MATCH(AJ$2,Inputs!$K$4:$AJ$4,0))))+SUMPRODUCT((Inputs!$E$5:$E$200=$B23)*ISNUMBER(INDEX(Inputs!$K$5:$AJ$200,0,MATCH(AJ$2,Inputs!$K$4:$AJ$4,0))))=0,NA(),SUMPRODUCT((Inputs!$A$5:$A$200=$B23)*Inputs!$B$5:$B$200*(((Inputs!$G$5:$G$200="moeda")+(Inputs!$G$5:$G$200="acoes"))*Inputs!$B$1+((Inputs!$G$5:$G$200&lt;&gt;"moeda")*(Inputs!$G$5:$G$200&lt;&gt;"acoes")))*INDEX(Inputs!$K$5:$AJ$200,0,MATCH(AJ$2,Inputs!$K$4:$AJ$4,0)))+SUMPRODUCT((Inputs!$C$5:$C$200=$B23)*Inputs!$D$5:$D$200*(((Inputs!$G$5:$G$200="moeda")+(Inputs!$G$5:$G$200="acoes"))*Inputs!$B$1+((Inputs!$G$5:$G$200&lt;&gt;"moeda")*(Inputs!$G$5:$G$200&lt;&gt;"acoes")))*INDEX(Inputs!$K$5:$AJ$200,0,MATCH(AJ$2,Inputs!$K$4:$AJ$4,0)))+SUMPRODUCT((Inputs!$E$5:$E$200=$B23)*Inputs!$F$5:$F$200*(((Inputs!$G$5:$G$200="moeda")+(Inputs!$G$5:$G$200="acoes"))*Inputs!$B$1+((Inputs!$G$5:$G$200&lt;&gt;"moeda")*(Inputs!$G$5:$G$200&lt;&gt;"acoes")))*INDEX(Inputs!$K$5:$AJ$200,0,MATCH(AJ$2,Inputs!$K$4:$AJ$4,0)))))</f>
        <v>8.99</v>
      </c>
      <c r="AK23" s="6">
        <f>IF(ISNA(MATCH(AK$2,Inputs!$K$4:$AJ$4,0)),NA(),IF(SUMPRODUCT((Inputs!$A$5:$A$200=$B23)*ISNUMBER(INDEX(Inputs!$K$5:$AJ$200,0,MATCH(AK$2,Inputs!$K$4:$AJ$4,0))))+SUMPRODUCT((Inputs!$C$5:$C$200=$B23)*ISNUMBER(INDEX(Inputs!$K$5:$AJ$200,0,MATCH(AK$2,Inputs!$K$4:$AJ$4,0))))+SUMPRODUCT((Inputs!$E$5:$E$200=$B23)*ISNUMBER(INDEX(Inputs!$K$5:$AJ$200,0,MATCH(AK$2,Inputs!$K$4:$AJ$4,0))))=0,NA(),SUMPRODUCT((Inputs!$A$5:$A$200=$B23)*Inputs!$B$5:$B$200*(((Inputs!$G$5:$G$200="moeda")+(Inputs!$G$5:$G$200="acoes"))*Inputs!$B$1+((Inputs!$G$5:$G$200&lt;&gt;"moeda")*(Inputs!$G$5:$G$200&lt;&gt;"acoes")))*INDEX(Inputs!$K$5:$AJ$200,0,MATCH(AK$2,Inputs!$K$4:$AJ$4,0)))+SUMPRODUCT((Inputs!$C$5:$C$200=$B23)*Inputs!$D$5:$D$200*(((Inputs!$G$5:$G$200="moeda")+(Inputs!$G$5:$G$200="acoes"))*Inputs!$B$1+((Inputs!$G$5:$G$200&lt;&gt;"moeda")*(Inputs!$G$5:$G$200&lt;&gt;"acoes")))*INDEX(Inputs!$K$5:$AJ$200,0,MATCH(AK$2,Inputs!$K$4:$AJ$4,0)))+SUMPRODUCT((Inputs!$E$5:$E$200=$B23)*Inputs!$F$5:$F$200*(((Inputs!$G$5:$G$200="moeda")+(Inputs!$G$5:$G$200="acoes"))*Inputs!$B$1+((Inputs!$G$5:$G$200&lt;&gt;"moeda")*(Inputs!$G$5:$G$200&lt;&gt;"acoes")))*INDEX(Inputs!$K$5:$AJ$200,0,MATCH(AK$2,Inputs!$K$4:$AJ$4,0)))))</f>
        <v>11.201</v>
      </c>
      <c r="AL23" s="3">
        <f>AK23</f>
        <v>11.201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$200=$B24)*ISNUMBER(INDEX(Inputs!$K$5:$AJ$200,0,MATCH(D$2,Inputs!$K$4:$AJ$4,0))))+SUMPRODUCT((Inputs!$C$5:$C$200=$B24)*ISNUMBER(INDEX(Inputs!$K$5:$AJ$200,0,MATCH(D$2,Inputs!$K$4:$AJ$4,0))))+SUMPRODUCT((Inputs!$E$5:$E$200=$B24)*ISNUMBER(INDEX(Inputs!$K$5:$AJ$200,0,MATCH(D$2,Inputs!$K$4:$AJ$4,0))))=0,NA(),SUMPRODUCT((Inputs!$A$5:$A$200=$B24)*Inputs!$B$5:$B$200*(((Inputs!$G$5:$G$200="moeda")+(Inputs!$G$5:$G$200="acoes"))*Inputs!$B$1+((Inputs!$G$5:$G$200&lt;&gt;"moeda")*(Inputs!$G$5:$G$200&lt;&gt;"acoes")))*INDEX(Inputs!$K$5:$AJ$200,0,MATCH(D$2,Inputs!$K$4:$AJ$4,0)))+SUMPRODUCT((Inputs!$C$5:$C$200=$B24)*Inputs!$D$5:$D$200*(((Inputs!$G$5:$G$200="moeda")+(Inputs!$G$5:$G$200="acoes"))*Inputs!$B$1+((Inputs!$G$5:$G$200&lt;&gt;"moeda")*(Inputs!$G$5:$G$200&lt;&gt;"acoes")))*INDEX(Inputs!$K$5:$AJ$200,0,MATCH(D$2,Inputs!$K$4:$AJ$4,0)))+SUMPRODUCT((Inputs!$E$5:$E$200=$B24)*Inputs!$F$5:$F$200*(((Inputs!$G$5:$G$200="moeda")+(Inputs!$G$5:$G$200="acoes"))*Inputs!$B$1+((Inputs!$G$5:$G$200&lt;&gt;"moeda")*(Inputs!$G$5:$G$200&lt;&gt;"acoes")))*INDEX(Inputs!$K$5:$AJ$200,0,MATCH(D$2,Inputs!$K$4:$AJ$4,0)))))</f>
        <v>#N/A</v>
      </c>
      <c r="E24" s="6" t="e">
        <f>IF(ISNA(MATCH(E$2,Inputs!$K$4:$AJ$4,0)),NA(),IF(SUMPRODUCT((Inputs!$A$5:$A$200=$B24)*ISNUMBER(INDEX(Inputs!$K$5:$AJ$200,0,MATCH(E$2,Inputs!$K$4:$AJ$4,0))))+SUMPRODUCT((Inputs!$C$5:$C$200=$B24)*ISNUMBER(INDEX(Inputs!$K$5:$AJ$200,0,MATCH(E$2,Inputs!$K$4:$AJ$4,0))))+SUMPRODUCT((Inputs!$E$5:$E$200=$B24)*ISNUMBER(INDEX(Inputs!$K$5:$AJ$200,0,MATCH(E$2,Inputs!$K$4:$AJ$4,0))))=0,NA(),SUMPRODUCT((Inputs!$A$5:$A$200=$B24)*Inputs!$B$5:$B$200*(((Inputs!$G$5:$G$200="moeda")+(Inputs!$G$5:$G$200="acoes"))*Inputs!$B$1+((Inputs!$G$5:$G$200&lt;&gt;"moeda")*(Inputs!$G$5:$G$200&lt;&gt;"acoes")))*INDEX(Inputs!$K$5:$AJ$200,0,MATCH(E$2,Inputs!$K$4:$AJ$4,0)))+SUMPRODUCT((Inputs!$C$5:$C$200=$B24)*Inputs!$D$5:$D$200*(((Inputs!$G$5:$G$200="moeda")+(Inputs!$G$5:$G$200="acoes"))*Inputs!$B$1+((Inputs!$G$5:$G$200&lt;&gt;"moeda")*(Inputs!$G$5:$G$200&lt;&gt;"acoes")))*INDEX(Inputs!$K$5:$AJ$200,0,MATCH(E$2,Inputs!$K$4:$AJ$4,0)))+SUMPRODUCT((Inputs!$E$5:$E$200=$B24)*Inputs!$F$5:$F$200*(((Inputs!$G$5:$G$200="moeda")+(Inputs!$G$5:$G$200="acoes"))*Inputs!$B$1+((Inputs!$G$5:$G$200&lt;&gt;"moeda")*(Inputs!$G$5:$G$200&lt;&gt;"acoes")))*INDEX(Inputs!$K$5:$AJ$200,0,MATCH(E$2,Inputs!$K$4:$AJ$4,0)))))</f>
        <v>#N/A</v>
      </c>
      <c r="F24" s="6" t="e">
        <f>IF(ISNA(MATCH(F$2,Inputs!$K$4:$AJ$4,0)),NA(),IF(SUMPRODUCT((Inputs!$A$5:$A$200=$B24)*ISNUMBER(INDEX(Inputs!$K$5:$AJ$200,0,MATCH(F$2,Inputs!$K$4:$AJ$4,0))))+SUMPRODUCT((Inputs!$C$5:$C$200=$B24)*ISNUMBER(INDEX(Inputs!$K$5:$AJ$200,0,MATCH(F$2,Inputs!$K$4:$AJ$4,0))))+SUMPRODUCT((Inputs!$E$5:$E$200=$B24)*ISNUMBER(INDEX(Inputs!$K$5:$AJ$200,0,MATCH(F$2,Inputs!$K$4:$AJ$4,0))))=0,NA(),SUMPRODUCT((Inputs!$A$5:$A$200=$B24)*Inputs!$B$5:$B$200*(((Inputs!$G$5:$G$200="moeda")+(Inputs!$G$5:$G$200="acoes"))*Inputs!$B$1+((Inputs!$G$5:$G$200&lt;&gt;"moeda")*(Inputs!$G$5:$G$200&lt;&gt;"acoes")))*INDEX(Inputs!$K$5:$AJ$200,0,MATCH(F$2,Inputs!$K$4:$AJ$4,0)))+SUMPRODUCT((Inputs!$C$5:$C$200=$B24)*Inputs!$D$5:$D$200*(((Inputs!$G$5:$G$200="moeda")+(Inputs!$G$5:$G$200="acoes"))*Inputs!$B$1+((Inputs!$G$5:$G$200&lt;&gt;"moeda")*(Inputs!$G$5:$G$200&lt;&gt;"acoes")))*INDEX(Inputs!$K$5:$AJ$200,0,MATCH(F$2,Inputs!$K$4:$AJ$4,0)))+SUMPRODUCT((Inputs!$E$5:$E$200=$B24)*Inputs!$F$5:$F$200*(((Inputs!$G$5:$G$200="moeda")+(Inputs!$G$5:$G$200="acoes"))*Inputs!$B$1+((Inputs!$G$5:$G$200&lt;&gt;"moeda")*(Inputs!$G$5:$G$200&lt;&gt;"acoes")))*INDEX(Inputs!$K$5:$AJ$200,0,MATCH(F$2,Inputs!$K$4:$AJ$4,0)))))</f>
        <v>#N/A</v>
      </c>
      <c r="G24" s="6" t="e">
        <f>IF(ISNA(MATCH(G$2,Inputs!$K$4:$AJ$4,0)),NA(),IF(SUMPRODUCT((Inputs!$A$5:$A$200=$B24)*ISNUMBER(INDEX(Inputs!$K$5:$AJ$200,0,MATCH(G$2,Inputs!$K$4:$AJ$4,0))))+SUMPRODUCT((Inputs!$C$5:$C$200=$B24)*ISNUMBER(INDEX(Inputs!$K$5:$AJ$200,0,MATCH(G$2,Inputs!$K$4:$AJ$4,0))))+SUMPRODUCT((Inputs!$E$5:$E$200=$B24)*ISNUMBER(INDEX(Inputs!$K$5:$AJ$200,0,MATCH(G$2,Inputs!$K$4:$AJ$4,0))))=0,NA(),SUMPRODUCT((Inputs!$A$5:$A$200=$B24)*Inputs!$B$5:$B$200*(((Inputs!$G$5:$G$200="moeda")+(Inputs!$G$5:$G$200="acoes"))*Inputs!$B$1+((Inputs!$G$5:$G$200&lt;&gt;"moeda")*(Inputs!$G$5:$G$200&lt;&gt;"acoes")))*INDEX(Inputs!$K$5:$AJ$200,0,MATCH(G$2,Inputs!$K$4:$AJ$4,0)))+SUMPRODUCT((Inputs!$C$5:$C$200=$B24)*Inputs!$D$5:$D$200*(((Inputs!$G$5:$G$200="moeda")+(Inputs!$G$5:$G$200="acoes"))*Inputs!$B$1+((Inputs!$G$5:$G$200&lt;&gt;"moeda")*(Inputs!$G$5:$G$200&lt;&gt;"acoes")))*INDEX(Inputs!$K$5:$AJ$200,0,MATCH(G$2,Inputs!$K$4:$AJ$4,0)))+SUMPRODUCT((Inputs!$E$5:$E$200=$B24)*Inputs!$F$5:$F$200*(((Inputs!$G$5:$G$200="moeda")+(Inputs!$G$5:$G$200="acoes"))*Inputs!$B$1+((Inputs!$G$5:$G$200&lt;&gt;"moeda")*(Inputs!$G$5:$G$200&lt;&gt;"acoes")))*INDEX(Inputs!$K$5:$AJ$200,0,MATCH(G$2,Inputs!$K$4:$AJ$4,0)))))</f>
        <v>#N/A</v>
      </c>
      <c r="H24" s="3" t="e">
        <f>G24</f>
        <v>#N/A</v>
      </c>
      <c r="I24" s="6" t="e">
        <f>IF(ISNA(MATCH(I$2,Inputs!$K$4:$AJ$4,0)),NA(),IF(SUMPRODUCT((Inputs!$A$5:$A$200=$B24)*ISNUMBER(INDEX(Inputs!$K$5:$AJ$200,0,MATCH(I$2,Inputs!$K$4:$AJ$4,0))))+SUMPRODUCT((Inputs!$C$5:$C$200=$B24)*ISNUMBER(INDEX(Inputs!$K$5:$AJ$200,0,MATCH(I$2,Inputs!$K$4:$AJ$4,0))))+SUMPRODUCT((Inputs!$E$5:$E$200=$B24)*ISNUMBER(INDEX(Inputs!$K$5:$AJ$200,0,MATCH(I$2,Inputs!$K$4:$AJ$4,0))))=0,NA(),SUMPRODUCT((Inputs!$A$5:$A$200=$B24)*Inputs!$B$5:$B$200*(((Inputs!$G$5:$G$200="moeda")+(Inputs!$G$5:$G$200="acoes"))*Inputs!$B$1+((Inputs!$G$5:$G$200&lt;&gt;"moeda")*(Inputs!$G$5:$G$200&lt;&gt;"acoes")))*INDEX(Inputs!$K$5:$AJ$200,0,MATCH(I$2,Inputs!$K$4:$AJ$4,0)))+SUMPRODUCT((Inputs!$C$5:$C$200=$B24)*Inputs!$D$5:$D$200*(((Inputs!$G$5:$G$200="moeda")+(Inputs!$G$5:$G$200="acoes"))*Inputs!$B$1+((Inputs!$G$5:$G$200&lt;&gt;"moeda")*(Inputs!$G$5:$G$200&lt;&gt;"acoes")))*INDEX(Inputs!$K$5:$AJ$200,0,MATCH(I$2,Inputs!$K$4:$AJ$4,0)))+SUMPRODUCT((Inputs!$E$5:$E$200=$B24)*Inputs!$F$5:$F$200*(((Inputs!$G$5:$G$200="moeda")+(Inputs!$G$5:$G$200="acoes"))*Inputs!$B$1+((Inputs!$G$5:$G$200&lt;&gt;"moeda")*(Inputs!$G$5:$G$200&lt;&gt;"acoes")))*INDEX(Inputs!$K$5:$AJ$200,0,MATCH(I$2,Inputs!$K$4:$AJ$4,0)))))</f>
        <v>#N/A</v>
      </c>
      <c r="J24" s="6" t="e">
        <f>IF(ISNA(MATCH(J$2,Inputs!$K$4:$AJ$4,0)),NA(),IF(SUMPRODUCT((Inputs!$A$5:$A$200=$B24)*ISNUMBER(INDEX(Inputs!$K$5:$AJ$200,0,MATCH(J$2,Inputs!$K$4:$AJ$4,0))))+SUMPRODUCT((Inputs!$C$5:$C$200=$B24)*ISNUMBER(INDEX(Inputs!$K$5:$AJ$200,0,MATCH(J$2,Inputs!$K$4:$AJ$4,0))))+SUMPRODUCT((Inputs!$E$5:$E$200=$B24)*ISNUMBER(INDEX(Inputs!$K$5:$AJ$200,0,MATCH(J$2,Inputs!$K$4:$AJ$4,0))))=0,NA(),SUMPRODUCT((Inputs!$A$5:$A$200=$B24)*Inputs!$B$5:$B$200*(((Inputs!$G$5:$G$200="moeda")+(Inputs!$G$5:$G$200="acoes"))*Inputs!$B$1+((Inputs!$G$5:$G$200&lt;&gt;"moeda")*(Inputs!$G$5:$G$200&lt;&gt;"acoes")))*INDEX(Inputs!$K$5:$AJ$200,0,MATCH(J$2,Inputs!$K$4:$AJ$4,0)))+SUMPRODUCT((Inputs!$C$5:$C$200=$B24)*Inputs!$D$5:$D$200*(((Inputs!$G$5:$G$200="moeda")+(Inputs!$G$5:$G$200="acoes"))*Inputs!$B$1+((Inputs!$G$5:$G$200&lt;&gt;"moeda")*(Inputs!$G$5:$G$200&lt;&gt;"acoes")))*INDEX(Inputs!$K$5:$AJ$200,0,MATCH(J$2,Inputs!$K$4:$AJ$4,0)))+SUMPRODUCT((Inputs!$E$5:$E$200=$B24)*Inputs!$F$5:$F$200*(((Inputs!$G$5:$G$200="moeda")+(Inputs!$G$5:$G$200="acoes"))*Inputs!$B$1+((Inputs!$G$5:$G$200&lt;&gt;"moeda")*(Inputs!$G$5:$G$200&lt;&gt;"acoes")))*INDEX(Inputs!$K$5:$AJ$200,0,MATCH(J$2,Inputs!$K$4:$AJ$4,0)))))</f>
        <v>#N/A</v>
      </c>
      <c r="K24" s="6" t="e">
        <f>IF(ISNA(MATCH(K$2,Inputs!$K$4:$AJ$4,0)),NA(),IF(SUMPRODUCT((Inputs!$A$5:$A$200=$B24)*ISNUMBER(INDEX(Inputs!$K$5:$AJ$200,0,MATCH(K$2,Inputs!$K$4:$AJ$4,0))))+SUMPRODUCT((Inputs!$C$5:$C$200=$B24)*ISNUMBER(INDEX(Inputs!$K$5:$AJ$200,0,MATCH(K$2,Inputs!$K$4:$AJ$4,0))))+SUMPRODUCT((Inputs!$E$5:$E$200=$B24)*ISNUMBER(INDEX(Inputs!$K$5:$AJ$200,0,MATCH(K$2,Inputs!$K$4:$AJ$4,0))))=0,NA(),SUMPRODUCT((Inputs!$A$5:$A$200=$B24)*Inputs!$B$5:$B$200*(((Inputs!$G$5:$G$200="moeda")+(Inputs!$G$5:$G$200="acoes"))*Inputs!$B$1+((Inputs!$G$5:$G$200&lt;&gt;"moeda")*(Inputs!$G$5:$G$200&lt;&gt;"acoes")))*INDEX(Inputs!$K$5:$AJ$200,0,MATCH(K$2,Inputs!$K$4:$AJ$4,0)))+SUMPRODUCT((Inputs!$C$5:$C$200=$B24)*Inputs!$D$5:$D$200*(((Inputs!$G$5:$G$200="moeda")+(Inputs!$G$5:$G$200="acoes"))*Inputs!$B$1+((Inputs!$G$5:$G$200&lt;&gt;"moeda")*(Inputs!$G$5:$G$200&lt;&gt;"acoes")))*INDEX(Inputs!$K$5:$AJ$200,0,MATCH(K$2,Inputs!$K$4:$AJ$4,0)))+SUMPRODUCT((Inputs!$E$5:$E$200=$B24)*Inputs!$F$5:$F$200*(((Inputs!$G$5:$G$200="moeda")+(Inputs!$G$5:$G$200="acoes"))*Inputs!$B$1+((Inputs!$G$5:$G$200&lt;&gt;"moeda")*(Inputs!$G$5:$G$200&lt;&gt;"acoes")))*INDEX(Inputs!$K$5:$AJ$200,0,MATCH(K$2,Inputs!$K$4:$AJ$4,0)))))</f>
        <v>#N/A</v>
      </c>
      <c r="L24" s="6" t="e">
        <f>IF(ISNA(MATCH(L$2,Inputs!$K$4:$AJ$4,0)),NA(),IF(SUMPRODUCT((Inputs!$A$5:$A$200=$B24)*ISNUMBER(INDEX(Inputs!$K$5:$AJ$200,0,MATCH(L$2,Inputs!$K$4:$AJ$4,0))))+SUMPRODUCT((Inputs!$C$5:$C$200=$B24)*ISNUMBER(INDEX(Inputs!$K$5:$AJ$200,0,MATCH(L$2,Inputs!$K$4:$AJ$4,0))))+SUMPRODUCT((Inputs!$E$5:$E$200=$B24)*ISNUMBER(INDEX(Inputs!$K$5:$AJ$200,0,MATCH(L$2,Inputs!$K$4:$AJ$4,0))))=0,NA(),SUMPRODUCT((Inputs!$A$5:$A$200=$B24)*Inputs!$B$5:$B$200*(((Inputs!$G$5:$G$200="moeda")+(Inputs!$G$5:$G$200="acoes"))*Inputs!$B$1+((Inputs!$G$5:$G$200&lt;&gt;"moeda")*(Inputs!$G$5:$G$200&lt;&gt;"acoes")))*INDEX(Inputs!$K$5:$AJ$200,0,MATCH(L$2,Inputs!$K$4:$AJ$4,0)))+SUMPRODUCT((Inputs!$C$5:$C$200=$B24)*Inputs!$D$5:$D$200*(((Inputs!$G$5:$G$200="moeda")+(Inputs!$G$5:$G$200="acoes"))*Inputs!$B$1+((Inputs!$G$5:$G$200&lt;&gt;"moeda")*(Inputs!$G$5:$G$200&lt;&gt;"acoes")))*INDEX(Inputs!$K$5:$AJ$200,0,MATCH(L$2,Inputs!$K$4:$AJ$4,0)))+SUMPRODUCT((Inputs!$E$5:$E$200=$B24)*Inputs!$F$5:$F$200*(((Inputs!$G$5:$G$200="moeda")+(Inputs!$G$5:$G$200="acoes"))*Inputs!$B$1+((Inputs!$G$5:$G$200&lt;&gt;"moeda")*(Inputs!$G$5:$G$200&lt;&gt;"acoes")))*INDEX(Inputs!$K$5:$AJ$200,0,MATCH(L$2,Inputs!$K$4:$AJ$4,0)))))</f>
        <v>#N/A</v>
      </c>
      <c r="M24" s="3" t="e">
        <f>L24</f>
        <v>#N/A</v>
      </c>
      <c r="N24" s="6" t="e">
        <f>IF(ISNA(MATCH(N$2,Inputs!$K$4:$AJ$4,0)),NA(),IF(SUMPRODUCT((Inputs!$A$5:$A$200=$B24)*ISNUMBER(INDEX(Inputs!$K$5:$AJ$200,0,MATCH(N$2,Inputs!$K$4:$AJ$4,0))))+SUMPRODUCT((Inputs!$C$5:$C$200=$B24)*ISNUMBER(INDEX(Inputs!$K$5:$AJ$200,0,MATCH(N$2,Inputs!$K$4:$AJ$4,0))))+SUMPRODUCT((Inputs!$E$5:$E$200=$B24)*ISNUMBER(INDEX(Inputs!$K$5:$AJ$200,0,MATCH(N$2,Inputs!$K$4:$AJ$4,0))))=0,NA(),SUMPRODUCT((Inputs!$A$5:$A$200=$B24)*Inputs!$B$5:$B$200*(((Inputs!$G$5:$G$200="moeda")+(Inputs!$G$5:$G$200="acoes"))*Inputs!$B$1+((Inputs!$G$5:$G$200&lt;&gt;"moeda")*(Inputs!$G$5:$G$200&lt;&gt;"acoes")))*INDEX(Inputs!$K$5:$AJ$200,0,MATCH(N$2,Inputs!$K$4:$AJ$4,0)))+SUMPRODUCT((Inputs!$C$5:$C$200=$B24)*Inputs!$D$5:$D$200*(((Inputs!$G$5:$G$200="moeda")+(Inputs!$G$5:$G$200="acoes"))*Inputs!$B$1+((Inputs!$G$5:$G$200&lt;&gt;"moeda")*(Inputs!$G$5:$G$200&lt;&gt;"acoes")))*INDEX(Inputs!$K$5:$AJ$200,0,MATCH(N$2,Inputs!$K$4:$AJ$4,0)))+SUMPRODUCT((Inputs!$E$5:$E$200=$B24)*Inputs!$F$5:$F$200*(((Inputs!$G$5:$G$200="moeda")+(Inputs!$G$5:$G$200="acoes"))*Inputs!$B$1+((Inputs!$G$5:$G$200&lt;&gt;"moeda")*(Inputs!$G$5:$G$200&lt;&gt;"acoes")))*INDEX(Inputs!$K$5:$AJ$200,0,MATCH(N$2,Inputs!$K$4:$AJ$4,0)))))</f>
        <v>#N/A</v>
      </c>
      <c r="O24" s="6" t="e">
        <f>IF(ISNA(MATCH(O$2,Inputs!$K$4:$AJ$4,0)),NA(),IF(SUMPRODUCT((Inputs!$A$5:$A$200=$B24)*ISNUMBER(INDEX(Inputs!$K$5:$AJ$200,0,MATCH(O$2,Inputs!$K$4:$AJ$4,0))))+SUMPRODUCT((Inputs!$C$5:$C$200=$B24)*ISNUMBER(INDEX(Inputs!$K$5:$AJ$200,0,MATCH(O$2,Inputs!$K$4:$AJ$4,0))))+SUMPRODUCT((Inputs!$E$5:$E$200=$B24)*ISNUMBER(INDEX(Inputs!$K$5:$AJ$200,0,MATCH(O$2,Inputs!$K$4:$AJ$4,0))))=0,NA(),SUMPRODUCT((Inputs!$A$5:$A$200=$B24)*Inputs!$B$5:$B$200*(((Inputs!$G$5:$G$200="moeda")+(Inputs!$G$5:$G$200="acoes"))*Inputs!$B$1+((Inputs!$G$5:$G$200&lt;&gt;"moeda")*(Inputs!$G$5:$G$200&lt;&gt;"acoes")))*INDEX(Inputs!$K$5:$AJ$200,0,MATCH(O$2,Inputs!$K$4:$AJ$4,0)))+SUMPRODUCT((Inputs!$C$5:$C$200=$B24)*Inputs!$D$5:$D$200*(((Inputs!$G$5:$G$200="moeda")+(Inputs!$G$5:$G$200="acoes"))*Inputs!$B$1+((Inputs!$G$5:$G$200&lt;&gt;"moeda")*(Inputs!$G$5:$G$200&lt;&gt;"acoes")))*INDEX(Inputs!$K$5:$AJ$200,0,MATCH(O$2,Inputs!$K$4:$AJ$4,0)))+SUMPRODUCT((Inputs!$E$5:$E$200=$B24)*Inputs!$F$5:$F$200*(((Inputs!$G$5:$G$200="moeda")+(Inputs!$G$5:$G$200="acoes"))*Inputs!$B$1+((Inputs!$G$5:$G$200&lt;&gt;"moeda")*(Inputs!$G$5:$G$200&lt;&gt;"acoes")))*INDEX(Inputs!$K$5:$AJ$200,0,MATCH(O$2,Inputs!$K$4:$AJ$4,0)))))</f>
        <v>#N/A</v>
      </c>
      <c r="P24" s="6" t="e">
        <f>IF(ISNA(MATCH(P$2,Inputs!$K$4:$AJ$4,0)),NA(),IF(SUMPRODUCT((Inputs!$A$5:$A$200=$B24)*ISNUMBER(INDEX(Inputs!$K$5:$AJ$200,0,MATCH(P$2,Inputs!$K$4:$AJ$4,0))))+SUMPRODUCT((Inputs!$C$5:$C$200=$B24)*ISNUMBER(INDEX(Inputs!$K$5:$AJ$200,0,MATCH(P$2,Inputs!$K$4:$AJ$4,0))))+SUMPRODUCT((Inputs!$E$5:$E$200=$B24)*ISNUMBER(INDEX(Inputs!$K$5:$AJ$200,0,MATCH(P$2,Inputs!$K$4:$AJ$4,0))))=0,NA(),SUMPRODUCT((Inputs!$A$5:$A$200=$B24)*Inputs!$B$5:$B$200*(((Inputs!$G$5:$G$200="moeda")+(Inputs!$G$5:$G$200="acoes"))*Inputs!$B$1+((Inputs!$G$5:$G$200&lt;&gt;"moeda")*(Inputs!$G$5:$G$200&lt;&gt;"acoes")))*INDEX(Inputs!$K$5:$AJ$200,0,MATCH(P$2,Inputs!$K$4:$AJ$4,0)))+SUMPRODUCT((Inputs!$C$5:$C$200=$B24)*Inputs!$D$5:$D$200*(((Inputs!$G$5:$G$200="moeda")+(Inputs!$G$5:$G$200="acoes"))*Inputs!$B$1+((Inputs!$G$5:$G$200&lt;&gt;"moeda")*(Inputs!$G$5:$G$200&lt;&gt;"acoes")))*INDEX(Inputs!$K$5:$AJ$200,0,MATCH(P$2,Inputs!$K$4:$AJ$4,0)))+SUMPRODUCT((Inputs!$E$5:$E$200=$B24)*Inputs!$F$5:$F$200*(((Inputs!$G$5:$G$200="moeda")+(Inputs!$G$5:$G$200="acoes"))*Inputs!$B$1+((Inputs!$G$5:$G$200&lt;&gt;"moeda")*(Inputs!$G$5:$G$200&lt;&gt;"acoes")))*INDEX(Inputs!$K$5:$AJ$200,0,MATCH(P$2,Inputs!$K$4:$AJ$4,0)))))</f>
        <v>#N/A</v>
      </c>
      <c r="Q24" s="6" t="e">
        <f>IF(ISNA(MATCH(Q$2,Inputs!$K$4:$AJ$4,0)),NA(),IF(SUMPRODUCT((Inputs!$A$5:$A$200=$B24)*ISNUMBER(INDEX(Inputs!$K$5:$AJ$200,0,MATCH(Q$2,Inputs!$K$4:$AJ$4,0))))+SUMPRODUCT((Inputs!$C$5:$C$200=$B24)*ISNUMBER(INDEX(Inputs!$K$5:$AJ$200,0,MATCH(Q$2,Inputs!$K$4:$AJ$4,0))))+SUMPRODUCT((Inputs!$E$5:$E$200=$B24)*ISNUMBER(INDEX(Inputs!$K$5:$AJ$200,0,MATCH(Q$2,Inputs!$K$4:$AJ$4,0))))=0,NA(),SUMPRODUCT((Inputs!$A$5:$A$200=$B24)*Inputs!$B$5:$B$200*(((Inputs!$G$5:$G$200="moeda")+(Inputs!$G$5:$G$200="acoes"))*Inputs!$B$1+((Inputs!$G$5:$G$200&lt;&gt;"moeda")*(Inputs!$G$5:$G$200&lt;&gt;"acoes")))*INDEX(Inputs!$K$5:$AJ$200,0,MATCH(Q$2,Inputs!$K$4:$AJ$4,0)))+SUMPRODUCT((Inputs!$C$5:$C$200=$B24)*Inputs!$D$5:$D$200*(((Inputs!$G$5:$G$200="moeda")+(Inputs!$G$5:$G$200="acoes"))*Inputs!$B$1+((Inputs!$G$5:$G$200&lt;&gt;"moeda")*(Inputs!$G$5:$G$200&lt;&gt;"acoes")))*INDEX(Inputs!$K$5:$AJ$200,0,MATCH(Q$2,Inputs!$K$4:$AJ$4,0)))+SUMPRODUCT((Inputs!$E$5:$E$200=$B24)*Inputs!$F$5:$F$200*(((Inputs!$G$5:$G$200="moeda")+(Inputs!$G$5:$G$200="acoes"))*Inputs!$B$1+((Inputs!$G$5:$G$200&lt;&gt;"moeda")*(Inputs!$G$5:$G$200&lt;&gt;"acoes")))*INDEX(Inputs!$K$5:$AJ$200,0,MATCH(Q$2,Inputs!$K$4:$AJ$4,0)))))</f>
        <v>#N/A</v>
      </c>
      <c r="R24" s="3" t="e">
        <f>Q24</f>
        <v>#N/A</v>
      </c>
      <c r="S24" s="6" t="e">
        <f>IF(ISNA(MATCH(S$2,Inputs!$K$4:$AJ$4,0)),NA(),IF(SUMPRODUCT((Inputs!$A$5:$A$200=$B24)*ISNUMBER(INDEX(Inputs!$K$5:$AJ$200,0,MATCH(S$2,Inputs!$K$4:$AJ$4,0))))+SUMPRODUCT((Inputs!$C$5:$C$200=$B24)*ISNUMBER(INDEX(Inputs!$K$5:$AJ$200,0,MATCH(S$2,Inputs!$K$4:$AJ$4,0))))+SUMPRODUCT((Inputs!$E$5:$E$200=$B24)*ISNUMBER(INDEX(Inputs!$K$5:$AJ$200,0,MATCH(S$2,Inputs!$K$4:$AJ$4,0))))=0,NA(),SUMPRODUCT((Inputs!$A$5:$A$200=$B24)*Inputs!$B$5:$B$200*(((Inputs!$G$5:$G$200="moeda")+(Inputs!$G$5:$G$200="acoes"))*Inputs!$B$1+((Inputs!$G$5:$G$200&lt;&gt;"moeda")*(Inputs!$G$5:$G$200&lt;&gt;"acoes")))*INDEX(Inputs!$K$5:$AJ$200,0,MATCH(S$2,Inputs!$K$4:$AJ$4,0)))+SUMPRODUCT((Inputs!$C$5:$C$200=$B24)*Inputs!$D$5:$D$200*(((Inputs!$G$5:$G$200="moeda")+(Inputs!$G$5:$G$200="acoes"))*Inputs!$B$1+((Inputs!$G$5:$G$200&lt;&gt;"moeda")*(Inputs!$G$5:$G$200&lt;&gt;"acoes")))*INDEX(Inputs!$K$5:$AJ$200,0,MATCH(S$2,Inputs!$K$4:$AJ$4,0)))+SUMPRODUCT((Inputs!$E$5:$E$200=$B24)*Inputs!$F$5:$F$200*(((Inputs!$G$5:$G$200="moeda")+(Inputs!$G$5:$G$200="acoes"))*Inputs!$B$1+((Inputs!$G$5:$G$200&lt;&gt;"moeda")*(Inputs!$G$5:$G$200&lt;&gt;"acoes")))*INDEX(Inputs!$K$5:$AJ$200,0,MATCH(S$2,Inputs!$K$4:$AJ$4,0)))))</f>
        <v>#N/A</v>
      </c>
      <c r="T24" s="6" t="e">
        <f>IF(ISNA(MATCH(T$2,Inputs!$K$4:$AJ$4,0)),NA(),IF(SUMPRODUCT((Inputs!$A$5:$A$200=$B24)*ISNUMBER(INDEX(Inputs!$K$5:$AJ$200,0,MATCH(T$2,Inputs!$K$4:$AJ$4,0))))+SUMPRODUCT((Inputs!$C$5:$C$200=$B24)*ISNUMBER(INDEX(Inputs!$K$5:$AJ$200,0,MATCH(T$2,Inputs!$K$4:$AJ$4,0))))+SUMPRODUCT((Inputs!$E$5:$E$200=$B24)*ISNUMBER(INDEX(Inputs!$K$5:$AJ$200,0,MATCH(T$2,Inputs!$K$4:$AJ$4,0))))=0,NA(),SUMPRODUCT((Inputs!$A$5:$A$200=$B24)*Inputs!$B$5:$B$200*(((Inputs!$G$5:$G$200="moeda")+(Inputs!$G$5:$G$200="acoes"))*Inputs!$B$1+((Inputs!$G$5:$G$200&lt;&gt;"moeda")*(Inputs!$G$5:$G$200&lt;&gt;"acoes")))*INDEX(Inputs!$K$5:$AJ$200,0,MATCH(T$2,Inputs!$K$4:$AJ$4,0)))+SUMPRODUCT((Inputs!$C$5:$C$200=$B24)*Inputs!$D$5:$D$200*(((Inputs!$G$5:$G$200="moeda")+(Inputs!$G$5:$G$200="acoes"))*Inputs!$B$1+((Inputs!$G$5:$G$200&lt;&gt;"moeda")*(Inputs!$G$5:$G$200&lt;&gt;"acoes")))*INDEX(Inputs!$K$5:$AJ$200,0,MATCH(T$2,Inputs!$K$4:$AJ$4,0)))+SUMPRODUCT((Inputs!$E$5:$E$200=$B24)*Inputs!$F$5:$F$200*(((Inputs!$G$5:$G$200="moeda")+(Inputs!$G$5:$G$200="acoes"))*Inputs!$B$1+((Inputs!$G$5:$G$200&lt;&gt;"moeda")*(Inputs!$G$5:$G$200&lt;&gt;"acoes")))*INDEX(Inputs!$K$5:$AJ$200,0,MATCH(T$2,Inputs!$K$4:$AJ$4,0)))))</f>
        <v>#N/A</v>
      </c>
      <c r="U24" s="6" t="e">
        <f>IF(ISNA(MATCH(U$2,Inputs!$K$4:$AJ$4,0)),NA(),IF(SUMPRODUCT((Inputs!$A$5:$A$200=$B24)*ISNUMBER(INDEX(Inputs!$K$5:$AJ$200,0,MATCH(U$2,Inputs!$K$4:$AJ$4,0))))+SUMPRODUCT((Inputs!$C$5:$C$200=$B24)*ISNUMBER(INDEX(Inputs!$K$5:$AJ$200,0,MATCH(U$2,Inputs!$K$4:$AJ$4,0))))+SUMPRODUCT((Inputs!$E$5:$E$200=$B24)*ISNUMBER(INDEX(Inputs!$K$5:$AJ$200,0,MATCH(U$2,Inputs!$K$4:$AJ$4,0))))=0,NA(),SUMPRODUCT((Inputs!$A$5:$A$200=$B24)*Inputs!$B$5:$B$200*(((Inputs!$G$5:$G$200="moeda")+(Inputs!$G$5:$G$200="acoes"))*Inputs!$B$1+((Inputs!$G$5:$G$200&lt;&gt;"moeda")*(Inputs!$G$5:$G$200&lt;&gt;"acoes")))*INDEX(Inputs!$K$5:$AJ$200,0,MATCH(U$2,Inputs!$K$4:$AJ$4,0)))+SUMPRODUCT((Inputs!$C$5:$C$200=$B24)*Inputs!$D$5:$D$200*(((Inputs!$G$5:$G$200="moeda")+(Inputs!$G$5:$G$200="acoes"))*Inputs!$B$1+((Inputs!$G$5:$G$200&lt;&gt;"moeda")*(Inputs!$G$5:$G$200&lt;&gt;"acoes")))*INDEX(Inputs!$K$5:$AJ$200,0,MATCH(U$2,Inputs!$K$4:$AJ$4,0)))+SUMPRODUCT((Inputs!$E$5:$E$200=$B24)*Inputs!$F$5:$F$200*(((Inputs!$G$5:$G$200="moeda")+(Inputs!$G$5:$G$200="acoes"))*Inputs!$B$1+((Inputs!$G$5:$G$200&lt;&gt;"moeda")*(Inputs!$G$5:$G$200&lt;&gt;"acoes")))*INDEX(Inputs!$K$5:$AJ$200,0,MATCH(U$2,Inputs!$K$4:$AJ$4,0)))))</f>
        <v>#N/A</v>
      </c>
      <c r="V24" s="6" t="e">
        <f>IF(ISNA(MATCH(V$2,Inputs!$K$4:$AJ$4,0)),NA(),IF(SUMPRODUCT((Inputs!$A$5:$A$200=$B24)*ISNUMBER(INDEX(Inputs!$K$5:$AJ$200,0,MATCH(V$2,Inputs!$K$4:$AJ$4,0))))+SUMPRODUCT((Inputs!$C$5:$C$200=$B24)*ISNUMBER(INDEX(Inputs!$K$5:$AJ$200,0,MATCH(V$2,Inputs!$K$4:$AJ$4,0))))+SUMPRODUCT((Inputs!$E$5:$E$200=$B24)*ISNUMBER(INDEX(Inputs!$K$5:$AJ$200,0,MATCH(V$2,Inputs!$K$4:$AJ$4,0))))=0,NA(),SUMPRODUCT((Inputs!$A$5:$A$200=$B24)*Inputs!$B$5:$B$200*(((Inputs!$G$5:$G$200="moeda")+(Inputs!$G$5:$G$200="acoes"))*Inputs!$B$1+((Inputs!$G$5:$G$200&lt;&gt;"moeda")*(Inputs!$G$5:$G$200&lt;&gt;"acoes")))*INDEX(Inputs!$K$5:$AJ$200,0,MATCH(V$2,Inputs!$K$4:$AJ$4,0)))+SUMPRODUCT((Inputs!$C$5:$C$200=$B24)*Inputs!$D$5:$D$200*(((Inputs!$G$5:$G$200="moeda")+(Inputs!$G$5:$G$200="acoes"))*Inputs!$B$1+((Inputs!$G$5:$G$200&lt;&gt;"moeda")*(Inputs!$G$5:$G$200&lt;&gt;"acoes")))*INDEX(Inputs!$K$5:$AJ$200,0,MATCH(V$2,Inputs!$K$4:$AJ$4,0)))+SUMPRODUCT((Inputs!$E$5:$E$200=$B24)*Inputs!$F$5:$F$200*(((Inputs!$G$5:$G$200="moeda")+(Inputs!$G$5:$G$200="acoes"))*Inputs!$B$1+((Inputs!$G$5:$G$200&lt;&gt;"moeda")*(Inputs!$G$5:$G$200&lt;&gt;"acoes")))*INDEX(Inputs!$K$5:$AJ$200,0,MATCH(V$2,Inputs!$K$4:$AJ$4,0)))))</f>
        <v>#N/A</v>
      </c>
      <c r="W24" s="3" t="e">
        <f>V24</f>
        <v>#N/A</v>
      </c>
      <c r="X24" s="6" t="e">
        <f>IF(ISNA(MATCH(X$2,Inputs!$K$4:$AJ$4,0)),NA(),IF(SUMPRODUCT((Inputs!$A$5:$A$200=$B24)*ISNUMBER(INDEX(Inputs!$K$5:$AJ$200,0,MATCH(X$2,Inputs!$K$4:$AJ$4,0))))+SUMPRODUCT((Inputs!$C$5:$C$200=$B24)*ISNUMBER(INDEX(Inputs!$K$5:$AJ$200,0,MATCH(X$2,Inputs!$K$4:$AJ$4,0))))+SUMPRODUCT((Inputs!$E$5:$E$200=$B24)*ISNUMBER(INDEX(Inputs!$K$5:$AJ$200,0,MATCH(X$2,Inputs!$K$4:$AJ$4,0))))=0,NA(),SUMPRODUCT((Inputs!$A$5:$A$200=$B24)*Inputs!$B$5:$B$200*(((Inputs!$G$5:$G$200="moeda")+(Inputs!$G$5:$G$200="acoes"))*Inputs!$B$1+((Inputs!$G$5:$G$200&lt;&gt;"moeda")*(Inputs!$G$5:$G$200&lt;&gt;"acoes")))*INDEX(Inputs!$K$5:$AJ$200,0,MATCH(X$2,Inputs!$K$4:$AJ$4,0)))+SUMPRODUCT((Inputs!$C$5:$C$200=$B24)*Inputs!$D$5:$D$200*(((Inputs!$G$5:$G$200="moeda")+(Inputs!$G$5:$G$200="acoes"))*Inputs!$B$1+((Inputs!$G$5:$G$200&lt;&gt;"moeda")*(Inputs!$G$5:$G$200&lt;&gt;"acoes")))*INDEX(Inputs!$K$5:$AJ$200,0,MATCH(X$2,Inputs!$K$4:$AJ$4,0)))+SUMPRODUCT((Inputs!$E$5:$E$200=$B24)*Inputs!$F$5:$F$200*(((Inputs!$G$5:$G$200="moeda")+(Inputs!$G$5:$G$200="acoes"))*Inputs!$B$1+((Inputs!$G$5:$G$200&lt;&gt;"moeda")*(Inputs!$G$5:$G$200&lt;&gt;"acoes")))*INDEX(Inputs!$K$5:$AJ$200,0,MATCH(X$2,Inputs!$K$4:$AJ$4,0)))))</f>
        <v>#N/A</v>
      </c>
      <c r="Y24" s="6" t="e">
        <f>IF(ISNA(MATCH(Y$2,Inputs!$K$4:$AJ$4,0)),NA(),IF(SUMPRODUCT((Inputs!$A$5:$A$200=$B24)*ISNUMBER(INDEX(Inputs!$K$5:$AJ$200,0,MATCH(Y$2,Inputs!$K$4:$AJ$4,0))))+SUMPRODUCT((Inputs!$C$5:$C$200=$B24)*ISNUMBER(INDEX(Inputs!$K$5:$AJ$200,0,MATCH(Y$2,Inputs!$K$4:$AJ$4,0))))+SUMPRODUCT((Inputs!$E$5:$E$200=$B24)*ISNUMBER(INDEX(Inputs!$K$5:$AJ$200,0,MATCH(Y$2,Inputs!$K$4:$AJ$4,0))))=0,NA(),SUMPRODUCT((Inputs!$A$5:$A$200=$B24)*Inputs!$B$5:$B$200*(((Inputs!$G$5:$G$200="moeda")+(Inputs!$G$5:$G$200="acoes"))*Inputs!$B$1+((Inputs!$G$5:$G$200&lt;&gt;"moeda")*(Inputs!$G$5:$G$200&lt;&gt;"acoes")))*INDEX(Inputs!$K$5:$AJ$200,0,MATCH(Y$2,Inputs!$K$4:$AJ$4,0)))+SUMPRODUCT((Inputs!$C$5:$C$200=$B24)*Inputs!$D$5:$D$200*(((Inputs!$G$5:$G$200="moeda")+(Inputs!$G$5:$G$200="acoes"))*Inputs!$B$1+((Inputs!$G$5:$G$200&lt;&gt;"moeda")*(Inputs!$G$5:$G$200&lt;&gt;"acoes")))*INDEX(Inputs!$K$5:$AJ$200,0,MATCH(Y$2,Inputs!$K$4:$AJ$4,0)))+SUMPRODUCT((Inputs!$E$5:$E$200=$B24)*Inputs!$F$5:$F$200*(((Inputs!$G$5:$G$200="moeda")+(Inputs!$G$5:$G$200="acoes"))*Inputs!$B$1+((Inputs!$G$5:$G$200&lt;&gt;"moeda")*(Inputs!$G$5:$G$200&lt;&gt;"acoes")))*INDEX(Inputs!$K$5:$AJ$200,0,MATCH(Y$2,Inputs!$K$4:$AJ$4,0)))))</f>
        <v>#N/A</v>
      </c>
      <c r="Z24" s="6" t="e">
        <f>IF(ISNA(MATCH(Z$2,Inputs!$K$4:$AJ$4,0)),NA(),IF(SUMPRODUCT((Inputs!$A$5:$A$200=$B24)*ISNUMBER(INDEX(Inputs!$K$5:$AJ$200,0,MATCH(Z$2,Inputs!$K$4:$AJ$4,0))))+SUMPRODUCT((Inputs!$C$5:$C$200=$B24)*ISNUMBER(INDEX(Inputs!$K$5:$AJ$200,0,MATCH(Z$2,Inputs!$K$4:$AJ$4,0))))+SUMPRODUCT((Inputs!$E$5:$E$200=$B24)*ISNUMBER(INDEX(Inputs!$K$5:$AJ$200,0,MATCH(Z$2,Inputs!$K$4:$AJ$4,0))))=0,NA(),SUMPRODUCT((Inputs!$A$5:$A$200=$B24)*Inputs!$B$5:$B$200*(((Inputs!$G$5:$G$200="moeda")+(Inputs!$G$5:$G$200="acoes"))*Inputs!$B$1+((Inputs!$G$5:$G$200&lt;&gt;"moeda")*(Inputs!$G$5:$G$200&lt;&gt;"acoes")))*INDEX(Inputs!$K$5:$AJ$200,0,MATCH(Z$2,Inputs!$K$4:$AJ$4,0)))+SUMPRODUCT((Inputs!$C$5:$C$200=$B24)*Inputs!$D$5:$D$200*(((Inputs!$G$5:$G$200="moeda")+(Inputs!$G$5:$G$200="acoes"))*Inputs!$B$1+((Inputs!$G$5:$G$200&lt;&gt;"moeda")*(Inputs!$G$5:$G$200&lt;&gt;"acoes")))*INDEX(Inputs!$K$5:$AJ$200,0,MATCH(Z$2,Inputs!$K$4:$AJ$4,0)))+SUMPRODUCT((Inputs!$E$5:$E$200=$B24)*Inputs!$F$5:$F$200*(((Inputs!$G$5:$G$200="moeda")+(Inputs!$G$5:$G$200="acoes"))*Inputs!$B$1+((Inputs!$G$5:$G$200&lt;&gt;"moeda")*(Inputs!$G$5:$G$200&lt;&gt;"acoes")))*INDEX(Inputs!$K$5:$AJ$200,0,MATCH(Z$2,Inputs!$K$4:$AJ$4,0)))))</f>
        <v>#N/A</v>
      </c>
      <c r="AA24" s="6" t="e">
        <f>IF(ISNA(MATCH(AA$2,Inputs!$K$4:$AJ$4,0)),NA(),IF(SUMPRODUCT((Inputs!$A$5:$A$200=$B24)*ISNUMBER(INDEX(Inputs!$K$5:$AJ$200,0,MATCH(AA$2,Inputs!$K$4:$AJ$4,0))))+SUMPRODUCT((Inputs!$C$5:$C$200=$B24)*ISNUMBER(INDEX(Inputs!$K$5:$AJ$200,0,MATCH(AA$2,Inputs!$K$4:$AJ$4,0))))+SUMPRODUCT((Inputs!$E$5:$E$200=$B24)*ISNUMBER(INDEX(Inputs!$K$5:$AJ$200,0,MATCH(AA$2,Inputs!$K$4:$AJ$4,0))))=0,NA(),SUMPRODUCT((Inputs!$A$5:$A$200=$B24)*Inputs!$B$5:$B$200*(((Inputs!$G$5:$G$200="moeda")+(Inputs!$G$5:$G$200="acoes"))*Inputs!$B$1+((Inputs!$G$5:$G$200&lt;&gt;"moeda")*(Inputs!$G$5:$G$200&lt;&gt;"acoes")))*INDEX(Inputs!$K$5:$AJ$200,0,MATCH(AA$2,Inputs!$K$4:$AJ$4,0)))+SUMPRODUCT((Inputs!$C$5:$C$200=$B24)*Inputs!$D$5:$D$200*(((Inputs!$G$5:$G$200="moeda")+(Inputs!$G$5:$G$200="acoes"))*Inputs!$B$1+((Inputs!$G$5:$G$200&lt;&gt;"moeda")*(Inputs!$G$5:$G$200&lt;&gt;"acoes")))*INDEX(Inputs!$K$5:$AJ$200,0,MATCH(AA$2,Inputs!$K$4:$AJ$4,0)))+SUMPRODUCT((Inputs!$E$5:$E$200=$B24)*Inputs!$F$5:$F$200*(((Inputs!$G$5:$G$200="moeda")+(Inputs!$G$5:$G$200="acoes"))*Inputs!$B$1+((Inputs!$G$5:$G$200&lt;&gt;"moeda")*(Inputs!$G$5:$G$200&lt;&gt;"acoes")))*INDEX(Inputs!$K$5:$AJ$200,0,MATCH(AA$2,Inputs!$K$4:$AJ$4,0)))))</f>
        <v>#N/A</v>
      </c>
      <c r="AB24" s="3" t="e">
        <f>AA24</f>
        <v>#N/A</v>
      </c>
      <c r="AC24" s="6" t="e">
        <f>IF(ISNA(MATCH(AC$2,Inputs!$K$4:$AJ$4,0)),NA(),IF(SUMPRODUCT((Inputs!$A$5:$A$200=$B24)*ISNUMBER(INDEX(Inputs!$K$5:$AJ$200,0,MATCH(AC$2,Inputs!$K$4:$AJ$4,0))))+SUMPRODUCT((Inputs!$C$5:$C$200=$B24)*ISNUMBER(INDEX(Inputs!$K$5:$AJ$200,0,MATCH(AC$2,Inputs!$K$4:$AJ$4,0))))+SUMPRODUCT((Inputs!$E$5:$E$200=$B24)*ISNUMBER(INDEX(Inputs!$K$5:$AJ$200,0,MATCH(AC$2,Inputs!$K$4:$AJ$4,0))))=0,NA(),SUMPRODUCT((Inputs!$A$5:$A$200=$B24)*Inputs!$B$5:$B$200*(((Inputs!$G$5:$G$200="moeda")+(Inputs!$G$5:$G$200="acoes"))*Inputs!$B$1+((Inputs!$G$5:$G$200&lt;&gt;"moeda")*(Inputs!$G$5:$G$200&lt;&gt;"acoes")))*INDEX(Inputs!$K$5:$AJ$200,0,MATCH(AC$2,Inputs!$K$4:$AJ$4,0)))+SUMPRODUCT((Inputs!$C$5:$C$200=$B24)*Inputs!$D$5:$D$200*(((Inputs!$G$5:$G$200="moeda")+(Inputs!$G$5:$G$200="acoes"))*Inputs!$B$1+((Inputs!$G$5:$G$200&lt;&gt;"moeda")*(Inputs!$G$5:$G$200&lt;&gt;"acoes")))*INDEX(Inputs!$K$5:$AJ$200,0,MATCH(AC$2,Inputs!$K$4:$AJ$4,0)))+SUMPRODUCT((Inputs!$E$5:$E$200=$B24)*Inputs!$F$5:$F$200*(((Inputs!$G$5:$G$200="moeda")+(Inputs!$G$5:$G$200="acoes"))*Inputs!$B$1+((Inputs!$G$5:$G$200&lt;&gt;"moeda")*(Inputs!$G$5:$G$200&lt;&gt;"acoes")))*INDEX(Inputs!$K$5:$AJ$200,0,MATCH(AC$2,Inputs!$K$4:$AJ$4,0)))))</f>
        <v>#N/A</v>
      </c>
      <c r="AD24" s="6" t="e">
        <f>IF(ISNA(MATCH(AD$2,Inputs!$K$4:$AJ$4,0)),NA(),IF(SUMPRODUCT((Inputs!$A$5:$A$200=$B24)*ISNUMBER(INDEX(Inputs!$K$5:$AJ$200,0,MATCH(AD$2,Inputs!$K$4:$AJ$4,0))))+SUMPRODUCT((Inputs!$C$5:$C$200=$B24)*ISNUMBER(INDEX(Inputs!$K$5:$AJ$200,0,MATCH(AD$2,Inputs!$K$4:$AJ$4,0))))+SUMPRODUCT((Inputs!$E$5:$E$200=$B24)*ISNUMBER(INDEX(Inputs!$K$5:$AJ$200,0,MATCH(AD$2,Inputs!$K$4:$AJ$4,0))))=0,NA(),SUMPRODUCT((Inputs!$A$5:$A$200=$B24)*Inputs!$B$5:$B$200*(((Inputs!$G$5:$G$200="moeda")+(Inputs!$G$5:$G$200="acoes"))*Inputs!$B$1+((Inputs!$G$5:$G$200&lt;&gt;"moeda")*(Inputs!$G$5:$G$200&lt;&gt;"acoes")))*INDEX(Inputs!$K$5:$AJ$200,0,MATCH(AD$2,Inputs!$K$4:$AJ$4,0)))+SUMPRODUCT((Inputs!$C$5:$C$200=$B24)*Inputs!$D$5:$D$200*(((Inputs!$G$5:$G$200="moeda")+(Inputs!$G$5:$G$200="acoes"))*Inputs!$B$1+((Inputs!$G$5:$G$200&lt;&gt;"moeda")*(Inputs!$G$5:$G$200&lt;&gt;"acoes")))*INDEX(Inputs!$K$5:$AJ$200,0,MATCH(AD$2,Inputs!$K$4:$AJ$4,0)))+SUMPRODUCT((Inputs!$E$5:$E$200=$B24)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24" s="6" t="e">
        <f>IF(ISNA(MATCH(AE$2,Inputs!$K$4:$AJ$4,0)),NA(),IF(SUMPRODUCT((Inputs!$A$5:$A$200=$B24)*ISNUMBER(INDEX(Inputs!$K$5:$AJ$200,0,MATCH(AE$2,Inputs!$K$4:$AJ$4,0))))+SUMPRODUCT((Inputs!$C$5:$C$200=$B24)*ISNUMBER(INDEX(Inputs!$K$5:$AJ$200,0,MATCH(AE$2,Inputs!$K$4:$AJ$4,0))))+SUMPRODUCT((Inputs!$E$5:$E$200=$B24)*ISNUMBER(INDEX(Inputs!$K$5:$AJ$200,0,MATCH(AE$2,Inputs!$K$4:$AJ$4,0))))=0,NA(),SUMPRODUCT((Inputs!$A$5:$A$200=$B24)*Inputs!$B$5:$B$200*(((Inputs!$G$5:$G$200="moeda")+(Inputs!$G$5:$G$200="acoes"))*Inputs!$B$1+((Inputs!$G$5:$G$200&lt;&gt;"moeda")*(Inputs!$G$5:$G$200&lt;&gt;"acoes")))*INDEX(Inputs!$K$5:$AJ$200,0,MATCH(AE$2,Inputs!$K$4:$AJ$4,0)))+SUMPRODUCT((Inputs!$C$5:$C$200=$B24)*Inputs!$D$5:$D$200*(((Inputs!$G$5:$G$200="moeda")+(Inputs!$G$5:$G$200="acoes"))*Inputs!$B$1+((Inputs!$G$5:$G$200&lt;&gt;"moeda")*(Inputs!$G$5:$G$200&lt;&gt;"acoes")))*INDEX(Inputs!$K$5:$AJ$200,0,MATCH(AE$2,Inputs!$K$4:$AJ$4,0)))+SUMPRODUCT((Inputs!$E$5:$E$200=$B24)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4" s="6" t="e">
        <f>IF(ISNA(MATCH(AF$2,Inputs!$K$4:$AJ$4,0)),NA(),IF(SUMPRODUCT((Inputs!$A$5:$A$200=$B24)*ISNUMBER(INDEX(Inputs!$K$5:$AJ$200,0,MATCH(AF$2,Inputs!$K$4:$AJ$4,0))))+SUMPRODUCT((Inputs!$C$5:$C$200=$B24)*ISNUMBER(INDEX(Inputs!$K$5:$AJ$200,0,MATCH(AF$2,Inputs!$K$4:$AJ$4,0))))+SUMPRODUCT((Inputs!$E$5:$E$200=$B24)*ISNUMBER(INDEX(Inputs!$K$5:$AJ$200,0,MATCH(AF$2,Inputs!$K$4:$AJ$4,0))))=0,NA(),SUMPRODUCT((Inputs!$A$5:$A$200=$B24)*Inputs!$B$5:$B$200*(((Inputs!$G$5:$G$200="moeda")+(Inputs!$G$5:$G$200="acoes"))*Inputs!$B$1+((Inputs!$G$5:$G$200&lt;&gt;"moeda")*(Inputs!$G$5:$G$200&lt;&gt;"acoes")))*INDEX(Inputs!$K$5:$AJ$200,0,MATCH(AF$2,Inputs!$K$4:$AJ$4,0)))+SUMPRODUCT((Inputs!$C$5:$C$200=$B24)*Inputs!$D$5:$D$200*(((Inputs!$G$5:$G$200="moeda")+(Inputs!$G$5:$G$200="acoes"))*Inputs!$B$1+((Inputs!$G$5:$G$200&lt;&gt;"moeda")*(Inputs!$G$5:$G$200&lt;&gt;"acoes")))*INDEX(Inputs!$K$5:$AJ$200,0,MATCH(AF$2,Inputs!$K$4:$AJ$4,0)))+SUMPRODUCT((Inputs!$E$5:$E$200=$B24)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4" s="3" t="e">
        <f>AF24</f>
        <v>#N/A</v>
      </c>
      <c r="AH24" s="6" t="e">
        <f>IF(ISNA(MATCH(AH$2,Inputs!$K$4:$AJ$4,0)),NA(),IF(SUMPRODUCT((Inputs!$A$5:$A$200=$B24)*ISNUMBER(INDEX(Inputs!$K$5:$AJ$200,0,MATCH(AH$2,Inputs!$K$4:$AJ$4,0))))+SUMPRODUCT((Inputs!$C$5:$C$200=$B24)*ISNUMBER(INDEX(Inputs!$K$5:$AJ$200,0,MATCH(AH$2,Inputs!$K$4:$AJ$4,0))))+SUMPRODUCT((Inputs!$E$5:$E$200=$B24)*ISNUMBER(INDEX(Inputs!$K$5:$AJ$200,0,MATCH(AH$2,Inputs!$K$4:$AJ$4,0))))=0,NA(),SUMPRODUCT((Inputs!$A$5:$A$200=$B24)*Inputs!$B$5:$B$200*(((Inputs!$G$5:$G$200="moeda")+(Inputs!$G$5:$G$200="acoes"))*Inputs!$B$1+((Inputs!$G$5:$G$200&lt;&gt;"moeda")*(Inputs!$G$5:$G$200&lt;&gt;"acoes")))*INDEX(Inputs!$K$5:$AJ$200,0,MATCH(AH$2,Inputs!$K$4:$AJ$4,0)))+SUMPRODUCT((Inputs!$C$5:$C$200=$B24)*Inputs!$D$5:$D$200*(((Inputs!$G$5:$G$200="moeda")+(Inputs!$G$5:$G$200="acoes"))*Inputs!$B$1+((Inputs!$G$5:$G$200&lt;&gt;"moeda")*(Inputs!$G$5:$G$200&lt;&gt;"acoes")))*INDEX(Inputs!$K$5:$AJ$200,0,MATCH(AH$2,Inputs!$K$4:$AJ$4,0)))+SUMPRODUCT((Inputs!$E$5:$E$200=$B24)*Inputs!$F$5:$F$200*(((Inputs!$G$5:$G$200="moeda")+(Inputs!$G$5:$G$200="acoes"))*Inputs!$B$1+((Inputs!$G$5:$G$200&lt;&gt;"moeda")*(Inputs!$G$5:$G$200&lt;&gt;"acoes")))*INDEX(Inputs!$K$5:$AJ$200,0,MATCH(AH$2,Inputs!$K$4:$AJ$4,0)))))</f>
        <v>#N/A</v>
      </c>
      <c r="AI24" s="6" t="e">
        <f>IF(ISNA(MATCH(AI$2,Inputs!$K$4:$AJ$4,0)),NA(),IF(SUMPRODUCT((Inputs!$A$5:$A$200=$B24)*ISNUMBER(INDEX(Inputs!$K$5:$AJ$200,0,MATCH(AI$2,Inputs!$K$4:$AJ$4,0))))+SUMPRODUCT((Inputs!$C$5:$C$200=$B24)*ISNUMBER(INDEX(Inputs!$K$5:$AJ$200,0,MATCH(AI$2,Inputs!$K$4:$AJ$4,0))))+SUMPRODUCT((Inputs!$E$5:$E$200=$B24)*ISNUMBER(INDEX(Inputs!$K$5:$AJ$200,0,MATCH(AI$2,Inputs!$K$4:$AJ$4,0))))=0,NA(),SUMPRODUCT((Inputs!$A$5:$A$200=$B24)*Inputs!$B$5:$B$200*(((Inputs!$G$5:$G$200="moeda")+(Inputs!$G$5:$G$200="acoes"))*Inputs!$B$1+((Inputs!$G$5:$G$200&lt;&gt;"moeda")*(Inputs!$G$5:$G$200&lt;&gt;"acoes")))*INDEX(Inputs!$K$5:$AJ$200,0,MATCH(AI$2,Inputs!$K$4:$AJ$4,0)))+SUMPRODUCT((Inputs!$C$5:$C$200=$B24)*Inputs!$D$5:$D$200*(((Inputs!$G$5:$G$200="moeda")+(Inputs!$G$5:$G$200="acoes"))*Inputs!$B$1+((Inputs!$G$5:$G$200&lt;&gt;"moeda")*(Inputs!$G$5:$G$200&lt;&gt;"acoes")))*INDEX(Inputs!$K$5:$AJ$200,0,MATCH(AI$2,Inputs!$K$4:$AJ$4,0)))+SUMPRODUCT((Inputs!$E$5:$E$200=$B24)*Inputs!$F$5:$F$200*(((Inputs!$G$5:$G$200="moeda")+(Inputs!$G$5:$G$200="acoes"))*Inputs!$B$1+((Inputs!$G$5:$G$200&lt;&gt;"moeda")*(Inputs!$G$5:$G$200&lt;&gt;"acoes")))*INDEX(Inputs!$K$5:$AJ$200,0,MATCH(AI$2,Inputs!$K$4:$AJ$4,0)))))</f>
        <v>#N/A</v>
      </c>
      <c r="AJ24" s="6" t="e">
        <f>IF(ISNA(MATCH(AJ$2,Inputs!$K$4:$AJ$4,0)),NA(),IF(SUMPRODUCT((Inputs!$A$5:$A$200=$B24)*ISNUMBER(INDEX(Inputs!$K$5:$AJ$200,0,MATCH(AJ$2,Inputs!$K$4:$AJ$4,0))))+SUMPRODUCT((Inputs!$C$5:$C$200=$B24)*ISNUMBER(INDEX(Inputs!$K$5:$AJ$200,0,MATCH(AJ$2,Inputs!$K$4:$AJ$4,0))))+SUMPRODUCT((Inputs!$E$5:$E$200=$B24)*ISNUMBER(INDEX(Inputs!$K$5:$AJ$200,0,MATCH(AJ$2,Inputs!$K$4:$AJ$4,0))))=0,NA(),SUMPRODUCT((Inputs!$A$5:$A$200=$B24)*Inputs!$B$5:$B$200*(((Inputs!$G$5:$G$200="moeda")+(Inputs!$G$5:$G$200="acoes"))*Inputs!$B$1+((Inputs!$G$5:$G$200&lt;&gt;"moeda")*(Inputs!$G$5:$G$200&lt;&gt;"acoes")))*INDEX(Inputs!$K$5:$AJ$200,0,MATCH(AJ$2,Inputs!$K$4:$AJ$4,0)))+SUMPRODUCT((Inputs!$C$5:$C$200=$B24)*Inputs!$D$5:$D$200*(((Inputs!$G$5:$G$200="moeda")+(Inputs!$G$5:$G$200="acoes"))*Inputs!$B$1+((Inputs!$G$5:$G$200&lt;&gt;"moeda")*(Inputs!$G$5:$G$200&lt;&gt;"acoes")))*INDEX(Inputs!$K$5:$AJ$200,0,MATCH(AJ$2,Inputs!$K$4:$AJ$4,0)))+SUMPRODUCT((Inputs!$E$5:$E$200=$B24)*Inputs!$F$5:$F$200*(((Inputs!$G$5:$G$200="moeda")+(Inputs!$G$5:$G$200="acoes"))*Inputs!$B$1+((Inputs!$G$5:$G$200&lt;&gt;"moeda")*(Inputs!$G$5:$G$200&lt;&gt;"acoes")))*INDEX(Inputs!$K$5:$AJ$200,0,MATCH(AJ$2,Inputs!$K$4:$AJ$4,0)))))</f>
        <v>#N/A</v>
      </c>
      <c r="AK24" s="6" t="e">
        <f>IF(ISNA(MATCH(AK$2,Inputs!$K$4:$AJ$4,0)),NA(),IF(SUMPRODUCT((Inputs!$A$5:$A$200=$B24)*ISNUMBER(INDEX(Inputs!$K$5:$AJ$200,0,MATCH(AK$2,Inputs!$K$4:$AJ$4,0))))+SUMPRODUCT((Inputs!$C$5:$C$200=$B24)*ISNUMBER(INDEX(Inputs!$K$5:$AJ$200,0,MATCH(AK$2,Inputs!$K$4:$AJ$4,0))))+SUMPRODUCT((Inputs!$E$5:$E$200=$B24)*ISNUMBER(INDEX(Inputs!$K$5:$AJ$200,0,MATCH(AK$2,Inputs!$K$4:$AJ$4,0))))=0,NA(),SUMPRODUCT((Inputs!$A$5:$A$200=$B24)*Inputs!$B$5:$B$200*(((Inputs!$G$5:$G$200="moeda")+(Inputs!$G$5:$G$200="acoes"))*Inputs!$B$1+((Inputs!$G$5:$G$200&lt;&gt;"moeda")*(Inputs!$G$5:$G$200&lt;&gt;"acoes")))*INDEX(Inputs!$K$5:$AJ$200,0,MATCH(AK$2,Inputs!$K$4:$AJ$4,0)))+SUMPRODUCT((Inputs!$C$5:$C$200=$B24)*Inputs!$D$5:$D$200*(((Inputs!$G$5:$G$200="moeda")+(Inputs!$G$5:$G$200="acoes"))*Inputs!$B$1+((Inputs!$G$5:$G$200&lt;&gt;"moeda")*(Inputs!$G$5:$G$200&lt;&gt;"acoes")))*INDEX(Inputs!$K$5:$AJ$200,0,MATCH(AK$2,Inputs!$K$4:$AJ$4,0)))+SUMPRODUCT((Inputs!$E$5:$E$200=$B24)*Inputs!$F$5:$F$200*(((Inputs!$G$5:$G$200="moeda")+(Inputs!$G$5:$G$200="acoes"))*Inputs!$B$1+((Inputs!$G$5:$G$200&lt;&gt;"moeda")*(Inputs!$G$5:$G$200&lt;&gt;"acoes")))*INDEX(Inputs!$K$5:$AJ$200,0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$200=$B25)*ISNUMBER(INDEX(Inputs!$K$5:$AJ$200,0,MATCH(D$2,Inputs!$K$4:$AJ$4,0))))+SUMPRODUCT((Inputs!$C$5:$C$200=$B25)*ISNUMBER(INDEX(Inputs!$K$5:$AJ$200,0,MATCH(D$2,Inputs!$K$4:$AJ$4,0))))+SUMPRODUCT((Inputs!$E$5:$E$200=$B25)*ISNUMBER(INDEX(Inputs!$K$5:$AJ$200,0,MATCH(D$2,Inputs!$K$4:$AJ$4,0))))=0,NA(),SUMPRODUCT((Inputs!$A$5:$A$200=$B25)*Inputs!$B$5:$B$200*(((Inputs!$G$5:$G$200="moeda")+(Inputs!$G$5:$G$200="acoes"))*Inputs!$B$1+((Inputs!$G$5:$G$200&lt;&gt;"moeda")*(Inputs!$G$5:$G$200&lt;&gt;"acoes")))*INDEX(Inputs!$K$5:$AJ$200,0,MATCH(D$2,Inputs!$K$4:$AJ$4,0)))+SUMPRODUCT((Inputs!$C$5:$C$200=$B25)*Inputs!$D$5:$D$200*(((Inputs!$G$5:$G$200="moeda")+(Inputs!$G$5:$G$200="acoes"))*Inputs!$B$1+((Inputs!$G$5:$G$200&lt;&gt;"moeda")*(Inputs!$G$5:$G$200&lt;&gt;"acoes")))*INDEX(Inputs!$K$5:$AJ$200,0,MATCH(D$2,Inputs!$K$4:$AJ$4,0)))+SUMPRODUCT((Inputs!$E$5:$E$200=$B25)*Inputs!$F$5:$F$200*(((Inputs!$G$5:$G$200="moeda")+(Inputs!$G$5:$G$200="acoes"))*Inputs!$B$1+((Inputs!$G$5:$G$200&lt;&gt;"moeda")*(Inputs!$G$5:$G$200&lt;&gt;"acoes")))*INDEX(Inputs!$K$5:$AJ$200,0,MATCH(D$2,Inputs!$K$4:$AJ$4,0)))))</f>
        <v>95.247</v>
      </c>
      <c r="E25" s="6">
        <f>IF(ISNA(MATCH(E$2,Inputs!$K$4:$AJ$4,0)),NA(),IF(SUMPRODUCT((Inputs!$A$5:$A$200=$B25)*ISNUMBER(INDEX(Inputs!$K$5:$AJ$200,0,MATCH(E$2,Inputs!$K$4:$AJ$4,0))))+SUMPRODUCT((Inputs!$C$5:$C$200=$B25)*ISNUMBER(INDEX(Inputs!$K$5:$AJ$200,0,MATCH(E$2,Inputs!$K$4:$AJ$4,0))))+SUMPRODUCT((Inputs!$E$5:$E$200=$B25)*ISNUMBER(INDEX(Inputs!$K$5:$AJ$200,0,MATCH(E$2,Inputs!$K$4:$AJ$4,0))))=0,NA(),SUMPRODUCT((Inputs!$A$5:$A$200=$B25)*Inputs!$B$5:$B$200*(((Inputs!$G$5:$G$200="moeda")+(Inputs!$G$5:$G$200="acoes"))*Inputs!$B$1+((Inputs!$G$5:$G$200&lt;&gt;"moeda")*(Inputs!$G$5:$G$200&lt;&gt;"acoes")))*INDEX(Inputs!$K$5:$AJ$200,0,MATCH(E$2,Inputs!$K$4:$AJ$4,0)))+SUMPRODUCT((Inputs!$C$5:$C$200=$B25)*Inputs!$D$5:$D$200*(((Inputs!$G$5:$G$200="moeda")+(Inputs!$G$5:$G$200="acoes"))*Inputs!$B$1+((Inputs!$G$5:$G$200&lt;&gt;"moeda")*(Inputs!$G$5:$G$200&lt;&gt;"acoes")))*INDEX(Inputs!$K$5:$AJ$200,0,MATCH(E$2,Inputs!$K$4:$AJ$4,0)))+SUMPRODUCT((Inputs!$E$5:$E$200=$B25)*Inputs!$F$5:$F$200*(((Inputs!$G$5:$G$200="moeda")+(Inputs!$G$5:$G$200="acoes"))*Inputs!$B$1+((Inputs!$G$5:$G$200&lt;&gt;"moeda")*(Inputs!$G$5:$G$200&lt;&gt;"acoes")))*INDEX(Inputs!$K$5:$AJ$200,0,MATCH(E$2,Inputs!$K$4:$AJ$4,0)))))</f>
        <v>94.179</v>
      </c>
      <c r="F25" s="6">
        <f>IF(ISNA(MATCH(F$2,Inputs!$K$4:$AJ$4,0)),NA(),IF(SUMPRODUCT((Inputs!$A$5:$A$200=$B25)*ISNUMBER(INDEX(Inputs!$K$5:$AJ$200,0,MATCH(F$2,Inputs!$K$4:$AJ$4,0))))+SUMPRODUCT((Inputs!$C$5:$C$200=$B25)*ISNUMBER(INDEX(Inputs!$K$5:$AJ$200,0,MATCH(F$2,Inputs!$K$4:$AJ$4,0))))+SUMPRODUCT((Inputs!$E$5:$E$200=$B25)*ISNUMBER(INDEX(Inputs!$K$5:$AJ$200,0,MATCH(F$2,Inputs!$K$4:$AJ$4,0))))=0,NA(),SUMPRODUCT((Inputs!$A$5:$A$200=$B25)*Inputs!$B$5:$B$200*(((Inputs!$G$5:$G$200="moeda")+(Inputs!$G$5:$G$200="acoes"))*Inputs!$B$1+((Inputs!$G$5:$G$200&lt;&gt;"moeda")*(Inputs!$G$5:$G$200&lt;&gt;"acoes")))*INDEX(Inputs!$K$5:$AJ$200,0,MATCH(F$2,Inputs!$K$4:$AJ$4,0)))+SUMPRODUCT((Inputs!$C$5:$C$200=$B25)*Inputs!$D$5:$D$200*(((Inputs!$G$5:$G$200="moeda")+(Inputs!$G$5:$G$200="acoes"))*Inputs!$B$1+((Inputs!$G$5:$G$200&lt;&gt;"moeda")*(Inputs!$G$5:$G$200&lt;&gt;"acoes")))*INDEX(Inputs!$K$5:$AJ$200,0,MATCH(F$2,Inputs!$K$4:$AJ$4,0)))+SUMPRODUCT((Inputs!$E$5:$E$200=$B25)*Inputs!$F$5:$F$200*(((Inputs!$G$5:$G$200="moeda")+(Inputs!$G$5:$G$200="acoes"))*Inputs!$B$1+((Inputs!$G$5:$G$200&lt;&gt;"moeda")*(Inputs!$G$5:$G$200&lt;&gt;"acoes")))*INDEX(Inputs!$K$5:$AJ$200,0,MATCH(F$2,Inputs!$K$4:$AJ$4,0)))))</f>
        <v>93.08</v>
      </c>
      <c r="G25" s="6">
        <f>IF(ISNA(MATCH(G$2,Inputs!$K$4:$AJ$4,0)),NA(),IF(SUMPRODUCT((Inputs!$A$5:$A$200=$B25)*ISNUMBER(INDEX(Inputs!$K$5:$AJ$200,0,MATCH(G$2,Inputs!$K$4:$AJ$4,0))))+SUMPRODUCT((Inputs!$C$5:$C$200=$B25)*ISNUMBER(INDEX(Inputs!$K$5:$AJ$200,0,MATCH(G$2,Inputs!$K$4:$AJ$4,0))))+SUMPRODUCT((Inputs!$E$5:$E$200=$B25)*ISNUMBER(INDEX(Inputs!$K$5:$AJ$200,0,MATCH(G$2,Inputs!$K$4:$AJ$4,0))))=0,NA(),SUMPRODUCT((Inputs!$A$5:$A$200=$B25)*Inputs!$B$5:$B$200*(((Inputs!$G$5:$G$200="moeda")+(Inputs!$G$5:$G$200="acoes"))*Inputs!$B$1+((Inputs!$G$5:$G$200&lt;&gt;"moeda")*(Inputs!$G$5:$G$200&lt;&gt;"acoes")))*INDEX(Inputs!$K$5:$AJ$200,0,MATCH(G$2,Inputs!$K$4:$AJ$4,0)))+SUMPRODUCT((Inputs!$C$5:$C$200=$B25)*Inputs!$D$5:$D$200*(((Inputs!$G$5:$G$200="moeda")+(Inputs!$G$5:$G$200="acoes"))*Inputs!$B$1+((Inputs!$G$5:$G$200&lt;&gt;"moeda")*(Inputs!$G$5:$G$200&lt;&gt;"acoes")))*INDEX(Inputs!$K$5:$AJ$200,0,MATCH(G$2,Inputs!$K$4:$AJ$4,0)))+SUMPRODUCT((Inputs!$E$5:$E$200=$B25)*Inputs!$F$5:$F$200*(((Inputs!$G$5:$G$200="moeda")+(Inputs!$G$5:$G$200="acoes"))*Inputs!$B$1+((Inputs!$G$5:$G$200&lt;&gt;"moeda")*(Inputs!$G$5:$G$200&lt;&gt;"acoes")))*INDEX(Inputs!$K$5:$AJ$200,0,MATCH(G$2,Inputs!$K$4:$AJ$4,0)))))</f>
        <v>90.841</v>
      </c>
      <c r="H25" s="3">
        <f>G25</f>
        <v>90.841</v>
      </c>
      <c r="I25" s="6">
        <f>IF(ISNA(MATCH(I$2,Inputs!$K$4:$AJ$4,0)),NA(),IF(SUMPRODUCT((Inputs!$A$5:$A$200=$B25)*ISNUMBER(INDEX(Inputs!$K$5:$AJ$200,0,MATCH(I$2,Inputs!$K$4:$AJ$4,0))))+SUMPRODUCT((Inputs!$C$5:$C$200=$B25)*ISNUMBER(INDEX(Inputs!$K$5:$AJ$200,0,MATCH(I$2,Inputs!$K$4:$AJ$4,0))))+SUMPRODUCT((Inputs!$E$5:$E$200=$B25)*ISNUMBER(INDEX(Inputs!$K$5:$AJ$200,0,MATCH(I$2,Inputs!$K$4:$AJ$4,0))))=0,NA(),SUMPRODUCT((Inputs!$A$5:$A$200=$B25)*Inputs!$B$5:$B$200*(((Inputs!$G$5:$G$200="moeda")+(Inputs!$G$5:$G$200="acoes"))*Inputs!$B$1+((Inputs!$G$5:$G$200&lt;&gt;"moeda")*(Inputs!$G$5:$G$200&lt;&gt;"acoes")))*INDEX(Inputs!$K$5:$AJ$200,0,MATCH(I$2,Inputs!$K$4:$AJ$4,0)))+SUMPRODUCT((Inputs!$C$5:$C$200=$B25)*Inputs!$D$5:$D$200*(((Inputs!$G$5:$G$200="moeda")+(Inputs!$G$5:$G$200="acoes"))*Inputs!$B$1+((Inputs!$G$5:$G$200&lt;&gt;"moeda")*(Inputs!$G$5:$G$200&lt;&gt;"acoes")))*INDEX(Inputs!$K$5:$AJ$200,0,MATCH(I$2,Inputs!$K$4:$AJ$4,0)))+SUMPRODUCT((Inputs!$E$5:$E$200=$B25)*Inputs!$F$5:$F$200*(((Inputs!$G$5:$G$200="moeda")+(Inputs!$G$5:$G$200="acoes"))*Inputs!$B$1+((Inputs!$G$5:$G$200&lt;&gt;"moeda")*(Inputs!$G$5:$G$200&lt;&gt;"acoes")))*INDEX(Inputs!$K$5:$AJ$200,0,MATCH(I$2,Inputs!$K$4:$AJ$4,0)))))</f>
        <v>152.468</v>
      </c>
      <c r="J25" s="6">
        <f>IF(ISNA(MATCH(J$2,Inputs!$K$4:$AJ$4,0)),NA(),IF(SUMPRODUCT((Inputs!$A$5:$A$200=$B25)*ISNUMBER(INDEX(Inputs!$K$5:$AJ$200,0,MATCH(J$2,Inputs!$K$4:$AJ$4,0))))+SUMPRODUCT((Inputs!$C$5:$C$200=$B25)*ISNUMBER(INDEX(Inputs!$K$5:$AJ$200,0,MATCH(J$2,Inputs!$K$4:$AJ$4,0))))+SUMPRODUCT((Inputs!$E$5:$E$200=$B25)*ISNUMBER(INDEX(Inputs!$K$5:$AJ$200,0,MATCH(J$2,Inputs!$K$4:$AJ$4,0))))=0,NA(),SUMPRODUCT((Inputs!$A$5:$A$200=$B25)*Inputs!$B$5:$B$200*(((Inputs!$G$5:$G$200="moeda")+(Inputs!$G$5:$G$200="acoes"))*Inputs!$B$1+((Inputs!$G$5:$G$200&lt;&gt;"moeda")*(Inputs!$G$5:$G$200&lt;&gt;"acoes")))*INDEX(Inputs!$K$5:$AJ$200,0,MATCH(J$2,Inputs!$K$4:$AJ$4,0)))+SUMPRODUCT((Inputs!$C$5:$C$200=$B25)*Inputs!$D$5:$D$200*(((Inputs!$G$5:$G$200="moeda")+(Inputs!$G$5:$G$200="acoes"))*Inputs!$B$1+((Inputs!$G$5:$G$200&lt;&gt;"moeda")*(Inputs!$G$5:$G$200&lt;&gt;"acoes")))*INDEX(Inputs!$K$5:$AJ$200,0,MATCH(J$2,Inputs!$K$4:$AJ$4,0)))+SUMPRODUCT((Inputs!$E$5:$E$200=$B25)*Inputs!$F$5:$F$200*(((Inputs!$G$5:$G$200="moeda")+(Inputs!$G$5:$G$200="acoes"))*Inputs!$B$1+((Inputs!$G$5:$G$200&lt;&gt;"moeda")*(Inputs!$G$5:$G$200&lt;&gt;"acoes")))*INDEX(Inputs!$K$5:$AJ$200,0,MATCH(J$2,Inputs!$K$4:$AJ$4,0)))))</f>
        <v>388.625</v>
      </c>
      <c r="K25" s="6">
        <f>IF(ISNA(MATCH(K$2,Inputs!$K$4:$AJ$4,0)),NA(),IF(SUMPRODUCT((Inputs!$A$5:$A$200=$B25)*ISNUMBER(INDEX(Inputs!$K$5:$AJ$200,0,MATCH(K$2,Inputs!$K$4:$AJ$4,0))))+SUMPRODUCT((Inputs!$C$5:$C$200=$B25)*ISNUMBER(INDEX(Inputs!$K$5:$AJ$200,0,MATCH(K$2,Inputs!$K$4:$AJ$4,0))))+SUMPRODUCT((Inputs!$E$5:$E$200=$B25)*ISNUMBER(INDEX(Inputs!$K$5:$AJ$200,0,MATCH(K$2,Inputs!$K$4:$AJ$4,0))))=0,NA(),SUMPRODUCT((Inputs!$A$5:$A$200=$B25)*Inputs!$B$5:$B$200*(((Inputs!$G$5:$G$200="moeda")+(Inputs!$G$5:$G$200="acoes"))*Inputs!$B$1+((Inputs!$G$5:$G$200&lt;&gt;"moeda")*(Inputs!$G$5:$G$200&lt;&gt;"acoes")))*INDEX(Inputs!$K$5:$AJ$200,0,MATCH(K$2,Inputs!$K$4:$AJ$4,0)))+SUMPRODUCT((Inputs!$C$5:$C$200=$B25)*Inputs!$D$5:$D$200*(((Inputs!$G$5:$G$200="moeda")+(Inputs!$G$5:$G$200="acoes"))*Inputs!$B$1+((Inputs!$G$5:$G$200&lt;&gt;"moeda")*(Inputs!$G$5:$G$200&lt;&gt;"acoes")))*INDEX(Inputs!$K$5:$AJ$200,0,MATCH(K$2,Inputs!$K$4:$AJ$4,0)))+SUMPRODUCT((Inputs!$E$5:$E$200=$B25)*Inputs!$F$5:$F$200*(((Inputs!$G$5:$G$200="moeda")+(Inputs!$G$5:$G$200="acoes"))*Inputs!$B$1+((Inputs!$G$5:$G$200&lt;&gt;"moeda")*(Inputs!$G$5:$G$200&lt;&gt;"acoes")))*INDEX(Inputs!$K$5:$AJ$200,0,MATCH(K$2,Inputs!$K$4:$AJ$4,0)))))</f>
        <v>383.428</v>
      </c>
      <c r="L25" s="6">
        <f>IF(ISNA(MATCH(L$2,Inputs!$K$4:$AJ$4,0)),NA(),IF(SUMPRODUCT((Inputs!$A$5:$A$200=$B25)*ISNUMBER(INDEX(Inputs!$K$5:$AJ$200,0,MATCH(L$2,Inputs!$K$4:$AJ$4,0))))+SUMPRODUCT((Inputs!$C$5:$C$200=$B25)*ISNUMBER(INDEX(Inputs!$K$5:$AJ$200,0,MATCH(L$2,Inputs!$K$4:$AJ$4,0))))+SUMPRODUCT((Inputs!$E$5:$E$200=$B25)*ISNUMBER(INDEX(Inputs!$K$5:$AJ$200,0,MATCH(L$2,Inputs!$K$4:$AJ$4,0))))=0,NA(),SUMPRODUCT((Inputs!$A$5:$A$200=$B25)*Inputs!$B$5:$B$200*(((Inputs!$G$5:$G$200="moeda")+(Inputs!$G$5:$G$200="acoes"))*Inputs!$B$1+((Inputs!$G$5:$G$200&lt;&gt;"moeda")*(Inputs!$G$5:$G$200&lt;&gt;"acoes")))*INDEX(Inputs!$K$5:$AJ$200,0,MATCH(L$2,Inputs!$K$4:$AJ$4,0)))+SUMPRODUCT((Inputs!$C$5:$C$200=$B25)*Inputs!$D$5:$D$200*(((Inputs!$G$5:$G$200="moeda")+(Inputs!$G$5:$G$200="acoes"))*Inputs!$B$1+((Inputs!$G$5:$G$200&lt;&gt;"moeda")*(Inputs!$G$5:$G$200&lt;&gt;"acoes")))*INDEX(Inputs!$K$5:$AJ$200,0,MATCH(L$2,Inputs!$K$4:$AJ$4,0)))+SUMPRODUCT((Inputs!$E$5:$E$200=$B25)*Inputs!$F$5:$F$200*(((Inputs!$G$5:$G$200="moeda")+(Inputs!$G$5:$G$200="acoes"))*Inputs!$B$1+((Inputs!$G$5:$G$200&lt;&gt;"moeda")*(Inputs!$G$5:$G$200&lt;&gt;"acoes")))*INDEX(Inputs!$K$5:$AJ$200,0,MATCH(L$2,Inputs!$K$4:$AJ$4,0)))))</f>
        <v>525.522</v>
      </c>
      <c r="M25" s="3">
        <f>L25</f>
        <v>525.522</v>
      </c>
      <c r="N25" s="6">
        <f>IF(ISNA(MATCH(N$2,Inputs!$K$4:$AJ$4,0)),NA(),IF(SUMPRODUCT((Inputs!$A$5:$A$200=$B25)*ISNUMBER(INDEX(Inputs!$K$5:$AJ$200,0,MATCH(N$2,Inputs!$K$4:$AJ$4,0))))+SUMPRODUCT((Inputs!$C$5:$C$200=$B25)*ISNUMBER(INDEX(Inputs!$K$5:$AJ$200,0,MATCH(N$2,Inputs!$K$4:$AJ$4,0))))+SUMPRODUCT((Inputs!$E$5:$E$200=$B25)*ISNUMBER(INDEX(Inputs!$K$5:$AJ$200,0,MATCH(N$2,Inputs!$K$4:$AJ$4,0))))=0,NA(),SUMPRODUCT((Inputs!$A$5:$A$200=$B25)*Inputs!$B$5:$B$200*(((Inputs!$G$5:$G$200="moeda")+(Inputs!$G$5:$G$200="acoes"))*Inputs!$B$1+((Inputs!$G$5:$G$200&lt;&gt;"moeda")*(Inputs!$G$5:$G$200&lt;&gt;"acoes")))*INDEX(Inputs!$K$5:$AJ$200,0,MATCH(N$2,Inputs!$K$4:$AJ$4,0)))+SUMPRODUCT((Inputs!$C$5:$C$200=$B25)*Inputs!$D$5:$D$200*(((Inputs!$G$5:$G$200="moeda")+(Inputs!$G$5:$G$200="acoes"))*Inputs!$B$1+((Inputs!$G$5:$G$200&lt;&gt;"moeda")*(Inputs!$G$5:$G$200&lt;&gt;"acoes")))*INDEX(Inputs!$K$5:$AJ$200,0,MATCH(N$2,Inputs!$K$4:$AJ$4,0)))+SUMPRODUCT((Inputs!$E$5:$E$200=$B25)*Inputs!$F$5:$F$200*(((Inputs!$G$5:$G$200="moeda")+(Inputs!$G$5:$G$200="acoes"))*Inputs!$B$1+((Inputs!$G$5:$G$200&lt;&gt;"moeda")*(Inputs!$G$5:$G$200&lt;&gt;"acoes")))*INDEX(Inputs!$K$5:$AJ$200,0,MATCH(N$2,Inputs!$K$4:$AJ$4,0)))))</f>
        <v>512.881</v>
      </c>
      <c r="O25" s="6">
        <f>IF(ISNA(MATCH(O$2,Inputs!$K$4:$AJ$4,0)),NA(),IF(SUMPRODUCT((Inputs!$A$5:$A$200=$B25)*ISNUMBER(INDEX(Inputs!$K$5:$AJ$200,0,MATCH(O$2,Inputs!$K$4:$AJ$4,0))))+SUMPRODUCT((Inputs!$C$5:$C$200=$B25)*ISNUMBER(INDEX(Inputs!$K$5:$AJ$200,0,MATCH(O$2,Inputs!$K$4:$AJ$4,0))))+SUMPRODUCT((Inputs!$E$5:$E$200=$B25)*ISNUMBER(INDEX(Inputs!$K$5:$AJ$200,0,MATCH(O$2,Inputs!$K$4:$AJ$4,0))))=0,NA(),SUMPRODUCT((Inputs!$A$5:$A$200=$B25)*Inputs!$B$5:$B$200*(((Inputs!$G$5:$G$200="moeda")+(Inputs!$G$5:$G$200="acoes"))*Inputs!$B$1+((Inputs!$G$5:$G$200&lt;&gt;"moeda")*(Inputs!$G$5:$G$200&lt;&gt;"acoes")))*INDEX(Inputs!$K$5:$AJ$200,0,MATCH(O$2,Inputs!$K$4:$AJ$4,0)))+SUMPRODUCT((Inputs!$C$5:$C$200=$B25)*Inputs!$D$5:$D$200*(((Inputs!$G$5:$G$200="moeda")+(Inputs!$G$5:$G$200="acoes"))*Inputs!$B$1+((Inputs!$G$5:$G$200&lt;&gt;"moeda")*(Inputs!$G$5:$G$200&lt;&gt;"acoes")))*INDEX(Inputs!$K$5:$AJ$200,0,MATCH(O$2,Inputs!$K$4:$AJ$4,0)))+SUMPRODUCT((Inputs!$E$5:$E$200=$B25)*Inputs!$F$5:$F$200*(((Inputs!$G$5:$G$200="moeda")+(Inputs!$G$5:$G$200="acoes"))*Inputs!$B$1+((Inputs!$G$5:$G$200&lt;&gt;"moeda")*(Inputs!$G$5:$G$200&lt;&gt;"acoes")))*INDEX(Inputs!$K$5:$AJ$200,0,MATCH(O$2,Inputs!$K$4:$AJ$4,0)))))</f>
        <v>511.514</v>
      </c>
      <c r="P25" s="6">
        <f>IF(ISNA(MATCH(P$2,Inputs!$K$4:$AJ$4,0)),NA(),IF(SUMPRODUCT((Inputs!$A$5:$A$200=$B25)*ISNUMBER(INDEX(Inputs!$K$5:$AJ$200,0,MATCH(P$2,Inputs!$K$4:$AJ$4,0))))+SUMPRODUCT((Inputs!$C$5:$C$200=$B25)*ISNUMBER(INDEX(Inputs!$K$5:$AJ$200,0,MATCH(P$2,Inputs!$K$4:$AJ$4,0))))+SUMPRODUCT((Inputs!$E$5:$E$200=$B25)*ISNUMBER(INDEX(Inputs!$K$5:$AJ$200,0,MATCH(P$2,Inputs!$K$4:$AJ$4,0))))=0,NA(),SUMPRODUCT((Inputs!$A$5:$A$200=$B25)*Inputs!$B$5:$B$200*(((Inputs!$G$5:$G$200="moeda")+(Inputs!$G$5:$G$200="acoes"))*Inputs!$B$1+((Inputs!$G$5:$G$200&lt;&gt;"moeda")*(Inputs!$G$5:$G$200&lt;&gt;"acoes")))*INDEX(Inputs!$K$5:$AJ$200,0,MATCH(P$2,Inputs!$K$4:$AJ$4,0)))+SUMPRODUCT((Inputs!$C$5:$C$200=$B25)*Inputs!$D$5:$D$200*(((Inputs!$G$5:$G$200="moeda")+(Inputs!$G$5:$G$200="acoes"))*Inputs!$B$1+((Inputs!$G$5:$G$200&lt;&gt;"moeda")*(Inputs!$G$5:$G$200&lt;&gt;"acoes")))*INDEX(Inputs!$K$5:$AJ$200,0,MATCH(P$2,Inputs!$K$4:$AJ$4,0)))+SUMPRODUCT((Inputs!$E$5:$E$200=$B25)*Inputs!$F$5:$F$200*(((Inputs!$G$5:$G$200="moeda")+(Inputs!$G$5:$G$200="acoes"))*Inputs!$B$1+((Inputs!$G$5:$G$200&lt;&gt;"moeda")*(Inputs!$G$5:$G$200&lt;&gt;"acoes")))*INDEX(Inputs!$K$5:$AJ$200,0,MATCH(P$2,Inputs!$K$4:$AJ$4,0)))))</f>
        <v>505.445</v>
      </c>
      <c r="Q25" s="6">
        <f>IF(ISNA(MATCH(Q$2,Inputs!$K$4:$AJ$4,0)),NA(),IF(SUMPRODUCT((Inputs!$A$5:$A$200=$B25)*ISNUMBER(INDEX(Inputs!$K$5:$AJ$200,0,MATCH(Q$2,Inputs!$K$4:$AJ$4,0))))+SUMPRODUCT((Inputs!$C$5:$C$200=$B25)*ISNUMBER(INDEX(Inputs!$K$5:$AJ$200,0,MATCH(Q$2,Inputs!$K$4:$AJ$4,0))))+SUMPRODUCT((Inputs!$E$5:$E$200=$B25)*ISNUMBER(INDEX(Inputs!$K$5:$AJ$200,0,MATCH(Q$2,Inputs!$K$4:$AJ$4,0))))=0,NA(),SUMPRODUCT((Inputs!$A$5:$A$200=$B25)*Inputs!$B$5:$B$200*(((Inputs!$G$5:$G$200="moeda")+(Inputs!$G$5:$G$200="acoes"))*Inputs!$B$1+((Inputs!$G$5:$G$200&lt;&gt;"moeda")*(Inputs!$G$5:$G$200&lt;&gt;"acoes")))*INDEX(Inputs!$K$5:$AJ$200,0,MATCH(Q$2,Inputs!$K$4:$AJ$4,0)))+SUMPRODUCT((Inputs!$C$5:$C$200=$B25)*Inputs!$D$5:$D$200*(((Inputs!$G$5:$G$200="moeda")+(Inputs!$G$5:$G$200="acoes"))*Inputs!$B$1+((Inputs!$G$5:$G$200&lt;&gt;"moeda")*(Inputs!$G$5:$G$200&lt;&gt;"acoes")))*INDEX(Inputs!$K$5:$AJ$200,0,MATCH(Q$2,Inputs!$K$4:$AJ$4,0)))+SUMPRODUCT((Inputs!$E$5:$E$200=$B25)*Inputs!$F$5:$F$200*(((Inputs!$G$5:$G$200="moeda")+(Inputs!$G$5:$G$200="acoes"))*Inputs!$B$1+((Inputs!$G$5:$G$200&lt;&gt;"moeda")*(Inputs!$G$5:$G$200&lt;&gt;"acoes")))*INDEX(Inputs!$K$5:$AJ$200,0,MATCH(Q$2,Inputs!$K$4:$AJ$4,0)))))</f>
        <v>465.87</v>
      </c>
      <c r="R25" s="3">
        <f>Q25</f>
        <v>465.87</v>
      </c>
      <c r="S25" s="6">
        <f>IF(ISNA(MATCH(S$2,Inputs!$K$4:$AJ$4,0)),NA(),IF(SUMPRODUCT((Inputs!$A$5:$A$200=$B25)*ISNUMBER(INDEX(Inputs!$K$5:$AJ$200,0,MATCH(S$2,Inputs!$K$4:$AJ$4,0))))+SUMPRODUCT((Inputs!$C$5:$C$200=$B25)*ISNUMBER(INDEX(Inputs!$K$5:$AJ$200,0,MATCH(S$2,Inputs!$K$4:$AJ$4,0))))+SUMPRODUCT((Inputs!$E$5:$E$200=$B25)*ISNUMBER(INDEX(Inputs!$K$5:$AJ$200,0,MATCH(S$2,Inputs!$K$4:$AJ$4,0))))=0,NA(),SUMPRODUCT((Inputs!$A$5:$A$200=$B25)*Inputs!$B$5:$B$200*(((Inputs!$G$5:$G$200="moeda")+(Inputs!$G$5:$G$200="acoes"))*Inputs!$B$1+((Inputs!$G$5:$G$200&lt;&gt;"moeda")*(Inputs!$G$5:$G$200&lt;&gt;"acoes")))*INDEX(Inputs!$K$5:$AJ$200,0,MATCH(S$2,Inputs!$K$4:$AJ$4,0)))+SUMPRODUCT((Inputs!$C$5:$C$200=$B25)*Inputs!$D$5:$D$200*(((Inputs!$G$5:$G$200="moeda")+(Inputs!$G$5:$G$200="acoes"))*Inputs!$B$1+((Inputs!$G$5:$G$200&lt;&gt;"moeda")*(Inputs!$G$5:$G$200&lt;&gt;"acoes")))*INDEX(Inputs!$K$5:$AJ$200,0,MATCH(S$2,Inputs!$K$4:$AJ$4,0)))+SUMPRODUCT((Inputs!$E$5:$E$200=$B25)*Inputs!$F$5:$F$200*(((Inputs!$G$5:$G$200="moeda")+(Inputs!$G$5:$G$200="acoes"))*Inputs!$B$1+((Inputs!$G$5:$G$200&lt;&gt;"moeda")*(Inputs!$G$5:$G$200&lt;&gt;"acoes")))*INDEX(Inputs!$K$5:$AJ$200,0,MATCH(S$2,Inputs!$K$4:$AJ$4,0)))))</f>
        <v>459.368</v>
      </c>
      <c r="T25" s="6">
        <f>IF(ISNA(MATCH(T$2,Inputs!$K$4:$AJ$4,0)),NA(),IF(SUMPRODUCT((Inputs!$A$5:$A$200=$B25)*ISNUMBER(INDEX(Inputs!$K$5:$AJ$200,0,MATCH(T$2,Inputs!$K$4:$AJ$4,0))))+SUMPRODUCT((Inputs!$C$5:$C$200=$B25)*ISNUMBER(INDEX(Inputs!$K$5:$AJ$200,0,MATCH(T$2,Inputs!$K$4:$AJ$4,0))))+SUMPRODUCT((Inputs!$E$5:$E$200=$B25)*ISNUMBER(INDEX(Inputs!$K$5:$AJ$200,0,MATCH(T$2,Inputs!$K$4:$AJ$4,0))))=0,NA(),SUMPRODUCT((Inputs!$A$5:$A$200=$B25)*Inputs!$B$5:$B$200*(((Inputs!$G$5:$G$200="moeda")+(Inputs!$G$5:$G$200="acoes"))*Inputs!$B$1+((Inputs!$G$5:$G$200&lt;&gt;"moeda")*(Inputs!$G$5:$G$200&lt;&gt;"acoes")))*INDEX(Inputs!$K$5:$AJ$200,0,MATCH(T$2,Inputs!$K$4:$AJ$4,0)))+SUMPRODUCT((Inputs!$C$5:$C$200=$B25)*Inputs!$D$5:$D$200*(((Inputs!$G$5:$G$200="moeda")+(Inputs!$G$5:$G$200="acoes"))*Inputs!$B$1+((Inputs!$G$5:$G$200&lt;&gt;"moeda")*(Inputs!$G$5:$G$200&lt;&gt;"acoes")))*INDEX(Inputs!$K$5:$AJ$200,0,MATCH(T$2,Inputs!$K$4:$AJ$4,0)))+SUMPRODUCT((Inputs!$E$5:$E$200=$B25)*Inputs!$F$5:$F$200*(((Inputs!$G$5:$G$200="moeda")+(Inputs!$G$5:$G$200="acoes"))*Inputs!$B$1+((Inputs!$G$5:$G$200&lt;&gt;"moeda")*(Inputs!$G$5:$G$200&lt;&gt;"acoes")))*INDEX(Inputs!$K$5:$AJ$200,0,MATCH(T$2,Inputs!$K$4:$AJ$4,0)))))</f>
        <v>452.934</v>
      </c>
      <c r="U25" s="6">
        <f>IF(ISNA(MATCH(U$2,Inputs!$K$4:$AJ$4,0)),NA(),IF(SUMPRODUCT((Inputs!$A$5:$A$200=$B25)*ISNUMBER(INDEX(Inputs!$K$5:$AJ$200,0,MATCH(U$2,Inputs!$K$4:$AJ$4,0))))+SUMPRODUCT((Inputs!$C$5:$C$200=$B25)*ISNUMBER(INDEX(Inputs!$K$5:$AJ$200,0,MATCH(U$2,Inputs!$K$4:$AJ$4,0))))+SUMPRODUCT((Inputs!$E$5:$E$200=$B25)*ISNUMBER(INDEX(Inputs!$K$5:$AJ$200,0,MATCH(U$2,Inputs!$K$4:$AJ$4,0))))=0,NA(),SUMPRODUCT((Inputs!$A$5:$A$200=$B25)*Inputs!$B$5:$B$200*(((Inputs!$G$5:$G$200="moeda")+(Inputs!$G$5:$G$200="acoes"))*Inputs!$B$1+((Inputs!$G$5:$G$200&lt;&gt;"moeda")*(Inputs!$G$5:$G$200&lt;&gt;"acoes")))*INDEX(Inputs!$K$5:$AJ$200,0,MATCH(U$2,Inputs!$K$4:$AJ$4,0)))+SUMPRODUCT((Inputs!$C$5:$C$200=$B25)*Inputs!$D$5:$D$200*(((Inputs!$G$5:$G$200="moeda")+(Inputs!$G$5:$G$200="acoes"))*Inputs!$B$1+((Inputs!$G$5:$G$200&lt;&gt;"moeda")*(Inputs!$G$5:$G$200&lt;&gt;"acoes")))*INDEX(Inputs!$K$5:$AJ$200,0,MATCH(U$2,Inputs!$K$4:$AJ$4,0)))+SUMPRODUCT((Inputs!$E$5:$E$200=$B25)*Inputs!$F$5:$F$200*(((Inputs!$G$5:$G$200="moeda")+(Inputs!$G$5:$G$200="acoes"))*Inputs!$B$1+((Inputs!$G$5:$G$200&lt;&gt;"moeda")*(Inputs!$G$5:$G$200&lt;&gt;"acoes")))*INDEX(Inputs!$K$5:$AJ$200,0,MATCH(U$2,Inputs!$K$4:$AJ$4,0)))))</f>
        <v>481.238</v>
      </c>
      <c r="V25" s="6">
        <f>IF(ISNA(MATCH(V$2,Inputs!$K$4:$AJ$4,0)),NA(),IF(SUMPRODUCT((Inputs!$A$5:$A$200=$B25)*ISNUMBER(INDEX(Inputs!$K$5:$AJ$200,0,MATCH(V$2,Inputs!$K$4:$AJ$4,0))))+SUMPRODUCT((Inputs!$C$5:$C$200=$B25)*ISNUMBER(INDEX(Inputs!$K$5:$AJ$200,0,MATCH(V$2,Inputs!$K$4:$AJ$4,0))))+SUMPRODUCT((Inputs!$E$5:$E$200=$B25)*ISNUMBER(INDEX(Inputs!$K$5:$AJ$200,0,MATCH(V$2,Inputs!$K$4:$AJ$4,0))))=0,NA(),SUMPRODUCT((Inputs!$A$5:$A$200=$B25)*Inputs!$B$5:$B$200*(((Inputs!$G$5:$G$200="moeda")+(Inputs!$G$5:$G$200="acoes"))*Inputs!$B$1+((Inputs!$G$5:$G$200&lt;&gt;"moeda")*(Inputs!$G$5:$G$200&lt;&gt;"acoes")))*INDEX(Inputs!$K$5:$AJ$200,0,MATCH(V$2,Inputs!$K$4:$AJ$4,0)))+SUMPRODUCT((Inputs!$C$5:$C$200=$B25)*Inputs!$D$5:$D$200*(((Inputs!$G$5:$G$200="moeda")+(Inputs!$G$5:$G$200="acoes"))*Inputs!$B$1+((Inputs!$G$5:$G$200&lt;&gt;"moeda")*(Inputs!$G$5:$G$200&lt;&gt;"acoes")))*INDEX(Inputs!$K$5:$AJ$200,0,MATCH(V$2,Inputs!$K$4:$AJ$4,0)))+SUMPRODUCT((Inputs!$E$5:$E$200=$B25)*Inputs!$F$5:$F$200*(((Inputs!$G$5:$G$200="moeda")+(Inputs!$G$5:$G$200="acoes"))*Inputs!$B$1+((Inputs!$G$5:$G$200&lt;&gt;"moeda")*(Inputs!$G$5:$G$200&lt;&gt;"acoes")))*INDEX(Inputs!$K$5:$AJ$200,0,MATCH(V$2,Inputs!$K$4:$AJ$4,0)))))</f>
        <v>450.867</v>
      </c>
      <c r="W25" s="3">
        <f>V25</f>
        <v>450.867</v>
      </c>
      <c r="X25" s="6">
        <f>IF(ISNA(MATCH(X$2,Inputs!$K$4:$AJ$4,0)),NA(),IF(SUMPRODUCT((Inputs!$A$5:$A$200=$B25)*ISNUMBER(INDEX(Inputs!$K$5:$AJ$200,0,MATCH(X$2,Inputs!$K$4:$AJ$4,0))))+SUMPRODUCT((Inputs!$C$5:$C$200=$B25)*ISNUMBER(INDEX(Inputs!$K$5:$AJ$200,0,MATCH(X$2,Inputs!$K$4:$AJ$4,0))))+SUMPRODUCT((Inputs!$E$5:$E$200=$B25)*ISNUMBER(INDEX(Inputs!$K$5:$AJ$200,0,MATCH(X$2,Inputs!$K$4:$AJ$4,0))))=0,NA(),SUMPRODUCT((Inputs!$A$5:$A$200=$B25)*Inputs!$B$5:$B$200*(((Inputs!$G$5:$G$200="moeda")+(Inputs!$G$5:$G$200="acoes"))*Inputs!$B$1+((Inputs!$G$5:$G$200&lt;&gt;"moeda")*(Inputs!$G$5:$G$200&lt;&gt;"acoes")))*INDEX(Inputs!$K$5:$AJ$200,0,MATCH(X$2,Inputs!$K$4:$AJ$4,0)))+SUMPRODUCT((Inputs!$C$5:$C$200=$B25)*Inputs!$D$5:$D$200*(((Inputs!$G$5:$G$200="moeda")+(Inputs!$G$5:$G$200="acoes"))*Inputs!$B$1+((Inputs!$G$5:$G$200&lt;&gt;"moeda")*(Inputs!$G$5:$G$200&lt;&gt;"acoes")))*INDEX(Inputs!$K$5:$AJ$200,0,MATCH(X$2,Inputs!$K$4:$AJ$4,0)))+SUMPRODUCT((Inputs!$E$5:$E$200=$B25)*Inputs!$F$5:$F$200*(((Inputs!$G$5:$G$200="moeda")+(Inputs!$G$5:$G$200="acoes"))*Inputs!$B$1+((Inputs!$G$5:$G$200&lt;&gt;"moeda")*(Inputs!$G$5:$G$200&lt;&gt;"acoes")))*INDEX(Inputs!$K$5:$AJ$200,0,MATCH(X$2,Inputs!$K$4:$AJ$4,0)))))</f>
        <v>453.354</v>
      </c>
      <c r="Y25" s="6">
        <f>IF(ISNA(MATCH(Y$2,Inputs!$K$4:$AJ$4,0)),NA(),IF(SUMPRODUCT((Inputs!$A$5:$A$200=$B25)*ISNUMBER(INDEX(Inputs!$K$5:$AJ$200,0,MATCH(Y$2,Inputs!$K$4:$AJ$4,0))))+SUMPRODUCT((Inputs!$C$5:$C$200=$B25)*ISNUMBER(INDEX(Inputs!$K$5:$AJ$200,0,MATCH(Y$2,Inputs!$K$4:$AJ$4,0))))+SUMPRODUCT((Inputs!$E$5:$E$200=$B25)*ISNUMBER(INDEX(Inputs!$K$5:$AJ$200,0,MATCH(Y$2,Inputs!$K$4:$AJ$4,0))))=0,NA(),SUMPRODUCT((Inputs!$A$5:$A$200=$B25)*Inputs!$B$5:$B$200*(((Inputs!$G$5:$G$200="moeda")+(Inputs!$G$5:$G$200="acoes"))*Inputs!$B$1+((Inputs!$G$5:$G$200&lt;&gt;"moeda")*(Inputs!$G$5:$G$200&lt;&gt;"acoes")))*INDEX(Inputs!$K$5:$AJ$200,0,MATCH(Y$2,Inputs!$K$4:$AJ$4,0)))+SUMPRODUCT((Inputs!$C$5:$C$200=$B25)*Inputs!$D$5:$D$200*(((Inputs!$G$5:$G$200="moeda")+(Inputs!$G$5:$G$200="acoes"))*Inputs!$B$1+((Inputs!$G$5:$G$200&lt;&gt;"moeda")*(Inputs!$G$5:$G$200&lt;&gt;"acoes")))*INDEX(Inputs!$K$5:$AJ$200,0,MATCH(Y$2,Inputs!$K$4:$AJ$4,0)))+SUMPRODUCT((Inputs!$E$5:$E$200=$B25)*Inputs!$F$5:$F$200*(((Inputs!$G$5:$G$200="moeda")+(Inputs!$G$5:$G$200="acoes"))*Inputs!$B$1+((Inputs!$G$5:$G$200&lt;&gt;"moeda")*(Inputs!$G$5:$G$200&lt;&gt;"acoes")))*INDEX(Inputs!$K$5:$AJ$200,0,MATCH(Y$2,Inputs!$K$4:$AJ$4,0)))))</f>
        <v>448.098</v>
      </c>
      <c r="Z25" s="6">
        <f>IF(ISNA(MATCH(Z$2,Inputs!$K$4:$AJ$4,0)),NA(),IF(SUMPRODUCT((Inputs!$A$5:$A$200=$B25)*ISNUMBER(INDEX(Inputs!$K$5:$AJ$200,0,MATCH(Z$2,Inputs!$K$4:$AJ$4,0))))+SUMPRODUCT((Inputs!$C$5:$C$200=$B25)*ISNUMBER(INDEX(Inputs!$K$5:$AJ$200,0,MATCH(Z$2,Inputs!$K$4:$AJ$4,0))))+SUMPRODUCT((Inputs!$E$5:$E$200=$B25)*ISNUMBER(INDEX(Inputs!$K$5:$AJ$200,0,MATCH(Z$2,Inputs!$K$4:$AJ$4,0))))=0,NA(),SUMPRODUCT((Inputs!$A$5:$A$200=$B25)*Inputs!$B$5:$B$200*(((Inputs!$G$5:$G$200="moeda")+(Inputs!$G$5:$G$200="acoes"))*Inputs!$B$1+((Inputs!$G$5:$G$200&lt;&gt;"moeda")*(Inputs!$G$5:$G$200&lt;&gt;"acoes")))*INDEX(Inputs!$K$5:$AJ$200,0,MATCH(Z$2,Inputs!$K$4:$AJ$4,0)))+SUMPRODUCT((Inputs!$C$5:$C$200=$B25)*Inputs!$D$5:$D$200*(((Inputs!$G$5:$G$200="moeda")+(Inputs!$G$5:$G$200="acoes"))*Inputs!$B$1+((Inputs!$G$5:$G$200&lt;&gt;"moeda")*(Inputs!$G$5:$G$200&lt;&gt;"acoes")))*INDEX(Inputs!$K$5:$AJ$200,0,MATCH(Z$2,Inputs!$K$4:$AJ$4,0)))+SUMPRODUCT((Inputs!$E$5:$E$200=$B25)*Inputs!$F$5:$F$200*(((Inputs!$G$5:$G$200="moeda")+(Inputs!$G$5:$G$200="acoes"))*Inputs!$B$1+((Inputs!$G$5:$G$200&lt;&gt;"moeda")*(Inputs!$G$5:$G$200&lt;&gt;"acoes")))*INDEX(Inputs!$K$5:$AJ$200,0,MATCH(Z$2,Inputs!$K$4:$AJ$4,0)))))</f>
        <v>442.417</v>
      </c>
      <c r="AA25" s="6">
        <f>IF(ISNA(MATCH(AA$2,Inputs!$K$4:$AJ$4,0)),NA(),IF(SUMPRODUCT((Inputs!$A$5:$A$200=$B25)*ISNUMBER(INDEX(Inputs!$K$5:$AJ$200,0,MATCH(AA$2,Inputs!$K$4:$AJ$4,0))))+SUMPRODUCT((Inputs!$C$5:$C$200=$B25)*ISNUMBER(INDEX(Inputs!$K$5:$AJ$200,0,MATCH(AA$2,Inputs!$K$4:$AJ$4,0))))+SUMPRODUCT((Inputs!$E$5:$E$200=$B25)*ISNUMBER(INDEX(Inputs!$K$5:$AJ$200,0,MATCH(AA$2,Inputs!$K$4:$AJ$4,0))))=0,NA(),SUMPRODUCT((Inputs!$A$5:$A$200=$B25)*Inputs!$B$5:$B$200*(((Inputs!$G$5:$G$200="moeda")+(Inputs!$G$5:$G$200="acoes"))*Inputs!$B$1+((Inputs!$G$5:$G$200&lt;&gt;"moeda")*(Inputs!$G$5:$G$200&lt;&gt;"acoes")))*INDEX(Inputs!$K$5:$AJ$200,0,MATCH(AA$2,Inputs!$K$4:$AJ$4,0)))+SUMPRODUCT((Inputs!$C$5:$C$200=$B25)*Inputs!$D$5:$D$200*(((Inputs!$G$5:$G$200="moeda")+(Inputs!$G$5:$G$200="acoes"))*Inputs!$B$1+((Inputs!$G$5:$G$200&lt;&gt;"moeda")*(Inputs!$G$5:$G$200&lt;&gt;"acoes")))*INDEX(Inputs!$K$5:$AJ$200,0,MATCH(AA$2,Inputs!$K$4:$AJ$4,0)))+SUMPRODUCT((Inputs!$E$5:$E$200=$B25)*Inputs!$F$5:$F$200*(((Inputs!$G$5:$G$200="moeda")+(Inputs!$G$5:$G$200="acoes"))*Inputs!$B$1+((Inputs!$G$5:$G$200&lt;&gt;"moeda")*(Inputs!$G$5:$G$200&lt;&gt;"acoes")))*INDEX(Inputs!$K$5:$AJ$200,0,MATCH(AA$2,Inputs!$K$4:$AJ$4,0)))))</f>
        <v>490.998</v>
      </c>
      <c r="AB25" s="3">
        <f>AA25</f>
        <v>490.998</v>
      </c>
      <c r="AC25" s="6">
        <f>IF(ISNA(MATCH(AC$2,Inputs!$K$4:$AJ$4,0)),NA(),IF(SUMPRODUCT((Inputs!$A$5:$A$200=$B25)*ISNUMBER(INDEX(Inputs!$K$5:$AJ$200,0,MATCH(AC$2,Inputs!$K$4:$AJ$4,0))))+SUMPRODUCT((Inputs!$C$5:$C$200=$B25)*ISNUMBER(INDEX(Inputs!$K$5:$AJ$200,0,MATCH(AC$2,Inputs!$K$4:$AJ$4,0))))+SUMPRODUCT((Inputs!$E$5:$E$200=$B25)*ISNUMBER(INDEX(Inputs!$K$5:$AJ$200,0,MATCH(AC$2,Inputs!$K$4:$AJ$4,0))))=0,NA(),SUMPRODUCT((Inputs!$A$5:$A$200=$B25)*Inputs!$B$5:$B$200*(((Inputs!$G$5:$G$200="moeda")+(Inputs!$G$5:$G$200="acoes"))*Inputs!$B$1+((Inputs!$G$5:$G$200&lt;&gt;"moeda")*(Inputs!$G$5:$G$200&lt;&gt;"acoes")))*INDEX(Inputs!$K$5:$AJ$200,0,MATCH(AC$2,Inputs!$K$4:$AJ$4,0)))+SUMPRODUCT((Inputs!$C$5:$C$200=$B25)*Inputs!$D$5:$D$200*(((Inputs!$G$5:$G$200="moeda")+(Inputs!$G$5:$G$200="acoes"))*Inputs!$B$1+((Inputs!$G$5:$G$200&lt;&gt;"moeda")*(Inputs!$G$5:$G$200&lt;&gt;"acoes")))*INDEX(Inputs!$K$5:$AJ$200,0,MATCH(AC$2,Inputs!$K$4:$AJ$4,0)))+SUMPRODUCT((Inputs!$E$5:$E$200=$B25)*Inputs!$F$5:$F$200*(((Inputs!$G$5:$G$200="moeda")+(Inputs!$G$5:$G$200="acoes"))*Inputs!$B$1+((Inputs!$G$5:$G$200&lt;&gt;"moeda")*(Inputs!$G$5:$G$200&lt;&gt;"acoes")))*INDEX(Inputs!$K$5:$AJ$200,0,MATCH(AC$2,Inputs!$K$4:$AJ$4,0)))))</f>
        <v>485.782</v>
      </c>
      <c r="AD25" s="6">
        <f>IF(ISNA(MATCH(AD$2,Inputs!$K$4:$AJ$4,0)),NA(),IF(SUMPRODUCT((Inputs!$A$5:$A$200=$B25)*ISNUMBER(INDEX(Inputs!$K$5:$AJ$200,0,MATCH(AD$2,Inputs!$K$4:$AJ$4,0))))+SUMPRODUCT((Inputs!$C$5:$C$200=$B25)*ISNUMBER(INDEX(Inputs!$K$5:$AJ$200,0,MATCH(AD$2,Inputs!$K$4:$AJ$4,0))))+SUMPRODUCT((Inputs!$E$5:$E$200=$B25)*ISNUMBER(INDEX(Inputs!$K$5:$AJ$200,0,MATCH(AD$2,Inputs!$K$4:$AJ$4,0))))=0,NA(),SUMPRODUCT((Inputs!$A$5:$A$200=$B25)*Inputs!$B$5:$B$200*(((Inputs!$G$5:$G$200="moeda")+(Inputs!$G$5:$G$200="acoes"))*Inputs!$B$1+((Inputs!$G$5:$G$200&lt;&gt;"moeda")*(Inputs!$G$5:$G$200&lt;&gt;"acoes")))*INDEX(Inputs!$K$5:$AJ$200,0,MATCH(AD$2,Inputs!$K$4:$AJ$4,0)))+SUMPRODUCT((Inputs!$C$5:$C$200=$B25)*Inputs!$D$5:$D$200*(((Inputs!$G$5:$G$200="moeda")+(Inputs!$G$5:$G$200="acoes"))*Inputs!$B$1+((Inputs!$G$5:$G$200&lt;&gt;"moeda")*(Inputs!$G$5:$G$200&lt;&gt;"acoes")))*INDEX(Inputs!$K$5:$AJ$200,0,MATCH(AD$2,Inputs!$K$4:$AJ$4,0)))+SUMPRODUCT((Inputs!$E$5:$E$200=$B25)*Inputs!$F$5:$F$200*(((Inputs!$G$5:$G$200="moeda")+(Inputs!$G$5:$G$200="acoes"))*Inputs!$B$1+((Inputs!$G$5:$G$200&lt;&gt;"moeda")*(Inputs!$G$5:$G$200&lt;&gt;"acoes")))*INDEX(Inputs!$K$5:$AJ$200,0,MATCH(AD$2,Inputs!$K$4:$AJ$4,0)))))</f>
        <v>3830</v>
      </c>
      <c r="AE25" s="6" t="e">
        <f>IF(ISNA(MATCH(AE$2,Inputs!$K$4:$AJ$4,0)),NA(),IF(SUMPRODUCT((Inputs!$A$5:$A$200=$B25)*ISNUMBER(INDEX(Inputs!$K$5:$AJ$200,0,MATCH(AE$2,Inputs!$K$4:$AJ$4,0))))+SUMPRODUCT((Inputs!$C$5:$C$200=$B25)*ISNUMBER(INDEX(Inputs!$K$5:$AJ$200,0,MATCH(AE$2,Inputs!$K$4:$AJ$4,0))))+SUMPRODUCT((Inputs!$E$5:$E$200=$B25)*ISNUMBER(INDEX(Inputs!$K$5:$AJ$200,0,MATCH(AE$2,Inputs!$K$4:$AJ$4,0))))=0,NA(),SUMPRODUCT((Inputs!$A$5:$A$200=$B25)*Inputs!$B$5:$B$200*(((Inputs!$G$5:$G$200="moeda")+(Inputs!$G$5:$G$200="acoes"))*Inputs!$B$1+((Inputs!$G$5:$G$200&lt;&gt;"moeda")*(Inputs!$G$5:$G$200&lt;&gt;"acoes")))*INDEX(Inputs!$K$5:$AJ$200,0,MATCH(AE$2,Inputs!$K$4:$AJ$4,0)))+SUMPRODUCT((Inputs!$C$5:$C$200=$B25)*Inputs!$D$5:$D$200*(((Inputs!$G$5:$G$200="moeda")+(Inputs!$G$5:$G$200="acoes"))*Inputs!$B$1+((Inputs!$G$5:$G$200&lt;&gt;"moeda")*(Inputs!$G$5:$G$200&lt;&gt;"acoes")))*INDEX(Inputs!$K$5:$AJ$200,0,MATCH(AE$2,Inputs!$K$4:$AJ$4,0)))+SUMPRODUCT((Inputs!$E$5:$E$200=$B25)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5" s="6" t="e">
        <f>IF(ISNA(MATCH(AF$2,Inputs!$K$4:$AJ$4,0)),NA(),IF(SUMPRODUCT((Inputs!$A$5:$A$200=$B25)*ISNUMBER(INDEX(Inputs!$K$5:$AJ$200,0,MATCH(AF$2,Inputs!$K$4:$AJ$4,0))))+SUMPRODUCT((Inputs!$C$5:$C$200=$B25)*ISNUMBER(INDEX(Inputs!$K$5:$AJ$200,0,MATCH(AF$2,Inputs!$K$4:$AJ$4,0))))+SUMPRODUCT((Inputs!$E$5:$E$200=$B25)*ISNUMBER(INDEX(Inputs!$K$5:$AJ$200,0,MATCH(AF$2,Inputs!$K$4:$AJ$4,0))))=0,NA(),SUMPRODUCT((Inputs!$A$5:$A$200=$B25)*Inputs!$B$5:$B$200*(((Inputs!$G$5:$G$200="moeda")+(Inputs!$G$5:$G$200="acoes"))*Inputs!$B$1+((Inputs!$G$5:$G$200&lt;&gt;"moeda")*(Inputs!$G$5:$G$200&lt;&gt;"acoes")))*INDEX(Inputs!$K$5:$AJ$200,0,MATCH(AF$2,Inputs!$K$4:$AJ$4,0)))+SUMPRODUCT((Inputs!$C$5:$C$200=$B25)*Inputs!$D$5:$D$200*(((Inputs!$G$5:$G$200="moeda")+(Inputs!$G$5:$G$200="acoes"))*Inputs!$B$1+((Inputs!$G$5:$G$200&lt;&gt;"moeda")*(Inputs!$G$5:$G$200&lt;&gt;"acoes")))*INDEX(Inputs!$K$5:$AJ$200,0,MATCH(AF$2,Inputs!$K$4:$AJ$4,0)))+SUMPRODUCT((Inputs!$E$5:$E$200=$B25)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5" s="3" t="e">
        <f>AF25</f>
        <v>#N/A</v>
      </c>
      <c r="AH25" s="6">
        <f>IF(ISNA(MATCH(AH$2,Inputs!$K$4:$AJ$4,0)),NA(),IF(SUMPRODUCT((Inputs!$A$5:$A$200=$B25)*ISNUMBER(INDEX(Inputs!$K$5:$AJ$200,0,MATCH(AH$2,Inputs!$K$4:$AJ$4,0))))+SUMPRODUCT((Inputs!$C$5:$C$200=$B25)*ISNUMBER(INDEX(Inputs!$K$5:$AJ$200,0,MATCH(AH$2,Inputs!$K$4:$AJ$4,0))))+SUMPRODUCT((Inputs!$E$5:$E$200=$B25)*ISNUMBER(INDEX(Inputs!$K$5:$AJ$200,0,MATCH(AH$2,Inputs!$K$4:$AJ$4,0))))=0,NA(),SUMPRODUCT((Inputs!$A$5:$A$200=$B25)*Inputs!$B$5:$B$200*(((Inputs!$G$5:$G$200="moeda")+(Inputs!$G$5:$G$200="acoes"))*Inputs!$B$1+((Inputs!$G$5:$G$200&lt;&gt;"moeda")*(Inputs!$G$5:$G$200&lt;&gt;"acoes")))*INDEX(Inputs!$K$5:$AJ$200,0,MATCH(AH$2,Inputs!$K$4:$AJ$4,0)))+SUMPRODUCT((Inputs!$C$5:$C$200=$B25)*Inputs!$D$5:$D$200*(((Inputs!$G$5:$G$200="moeda")+(Inputs!$G$5:$G$200="acoes"))*Inputs!$B$1+((Inputs!$G$5:$G$200&lt;&gt;"moeda")*(Inputs!$G$5:$G$200&lt;&gt;"acoes")))*INDEX(Inputs!$K$5:$AJ$200,0,MATCH(AH$2,Inputs!$K$4:$AJ$4,0)))+SUMPRODUCT((Inputs!$E$5:$E$200=$B25)*Inputs!$F$5:$F$200*(((Inputs!$G$5:$G$200="moeda")+(Inputs!$G$5:$G$200="acoes"))*Inputs!$B$1+((Inputs!$G$5:$G$200&lt;&gt;"moeda")*(Inputs!$G$5:$G$200&lt;&gt;"acoes")))*INDEX(Inputs!$K$5:$AJ$200,0,MATCH(AH$2,Inputs!$K$4:$AJ$4,0)))))</f>
        <v>102.926</v>
      </c>
      <c r="AI25" s="6">
        <f>IF(ISNA(MATCH(AI$2,Inputs!$K$4:$AJ$4,0)),NA(),IF(SUMPRODUCT((Inputs!$A$5:$A$200=$B25)*ISNUMBER(INDEX(Inputs!$K$5:$AJ$200,0,MATCH(AI$2,Inputs!$K$4:$AJ$4,0))))+SUMPRODUCT((Inputs!$C$5:$C$200=$B25)*ISNUMBER(INDEX(Inputs!$K$5:$AJ$200,0,MATCH(AI$2,Inputs!$K$4:$AJ$4,0))))+SUMPRODUCT((Inputs!$E$5:$E$200=$B25)*ISNUMBER(INDEX(Inputs!$K$5:$AJ$200,0,MATCH(AI$2,Inputs!$K$4:$AJ$4,0))))=0,NA(),SUMPRODUCT((Inputs!$A$5:$A$200=$B25)*Inputs!$B$5:$B$200*(((Inputs!$G$5:$G$200="moeda")+(Inputs!$G$5:$G$200="acoes"))*Inputs!$B$1+((Inputs!$G$5:$G$200&lt;&gt;"moeda")*(Inputs!$G$5:$G$200&lt;&gt;"acoes")))*INDEX(Inputs!$K$5:$AJ$200,0,MATCH(AI$2,Inputs!$K$4:$AJ$4,0)))+SUMPRODUCT((Inputs!$C$5:$C$200=$B25)*Inputs!$D$5:$D$200*(((Inputs!$G$5:$G$200="moeda")+(Inputs!$G$5:$G$200="acoes"))*Inputs!$B$1+((Inputs!$G$5:$G$200&lt;&gt;"moeda")*(Inputs!$G$5:$G$200&lt;&gt;"acoes")))*INDEX(Inputs!$K$5:$AJ$200,0,MATCH(AI$2,Inputs!$K$4:$AJ$4,0)))+SUMPRODUCT((Inputs!$E$5:$E$200=$B25)*Inputs!$F$5:$F$200*(((Inputs!$G$5:$G$200="moeda")+(Inputs!$G$5:$G$200="acoes"))*Inputs!$B$1+((Inputs!$G$5:$G$200&lt;&gt;"moeda")*(Inputs!$G$5:$G$200&lt;&gt;"acoes")))*INDEX(Inputs!$K$5:$AJ$200,0,MATCH(AI$2,Inputs!$K$4:$AJ$4,0)))))</f>
        <v>99.183</v>
      </c>
      <c r="AJ25" s="6">
        <f>IF(ISNA(MATCH(AJ$2,Inputs!$K$4:$AJ$4,0)),NA(),IF(SUMPRODUCT((Inputs!$A$5:$A$200=$B25)*ISNUMBER(INDEX(Inputs!$K$5:$AJ$200,0,MATCH(AJ$2,Inputs!$K$4:$AJ$4,0))))+SUMPRODUCT((Inputs!$C$5:$C$200=$B25)*ISNUMBER(INDEX(Inputs!$K$5:$AJ$200,0,MATCH(AJ$2,Inputs!$K$4:$AJ$4,0))))+SUMPRODUCT((Inputs!$E$5:$E$200=$B25)*ISNUMBER(INDEX(Inputs!$K$5:$AJ$200,0,MATCH(AJ$2,Inputs!$K$4:$AJ$4,0))))=0,NA(),SUMPRODUCT((Inputs!$A$5:$A$200=$B25)*Inputs!$B$5:$B$200*(((Inputs!$G$5:$G$200="moeda")+(Inputs!$G$5:$G$200="acoes"))*Inputs!$B$1+((Inputs!$G$5:$G$200&lt;&gt;"moeda")*(Inputs!$G$5:$G$200&lt;&gt;"acoes")))*INDEX(Inputs!$K$5:$AJ$200,0,MATCH(AJ$2,Inputs!$K$4:$AJ$4,0)))+SUMPRODUCT((Inputs!$C$5:$C$200=$B25)*Inputs!$D$5:$D$200*(((Inputs!$G$5:$G$200="moeda")+(Inputs!$G$5:$G$200="acoes"))*Inputs!$B$1+((Inputs!$G$5:$G$200&lt;&gt;"moeda")*(Inputs!$G$5:$G$200&lt;&gt;"acoes")))*INDEX(Inputs!$K$5:$AJ$200,0,MATCH(AJ$2,Inputs!$K$4:$AJ$4,0)))+SUMPRODUCT((Inputs!$E$5:$E$200=$B25)*Inputs!$F$5:$F$200*(((Inputs!$G$5:$G$200="moeda")+(Inputs!$G$5:$G$200="acoes"))*Inputs!$B$1+((Inputs!$G$5:$G$200&lt;&gt;"moeda")*(Inputs!$G$5:$G$200&lt;&gt;"acoes")))*INDEX(Inputs!$K$5:$AJ$200,0,MATCH(AJ$2,Inputs!$K$4:$AJ$4,0)))))</f>
        <v>97.549</v>
      </c>
      <c r="AK25" s="6">
        <f>IF(ISNA(MATCH(AK$2,Inputs!$K$4:$AJ$4,0)),NA(),IF(SUMPRODUCT((Inputs!$A$5:$A$200=$B25)*ISNUMBER(INDEX(Inputs!$K$5:$AJ$200,0,MATCH(AK$2,Inputs!$K$4:$AJ$4,0))))+SUMPRODUCT((Inputs!$C$5:$C$200=$B25)*ISNUMBER(INDEX(Inputs!$K$5:$AJ$200,0,MATCH(AK$2,Inputs!$K$4:$AJ$4,0))))+SUMPRODUCT((Inputs!$E$5:$E$200=$B25)*ISNUMBER(INDEX(Inputs!$K$5:$AJ$200,0,MATCH(AK$2,Inputs!$K$4:$AJ$4,0))))=0,NA(),SUMPRODUCT((Inputs!$A$5:$A$200=$B25)*Inputs!$B$5:$B$200*(((Inputs!$G$5:$G$200="moeda")+(Inputs!$G$5:$G$200="acoes"))*Inputs!$B$1+((Inputs!$G$5:$G$200&lt;&gt;"moeda")*(Inputs!$G$5:$G$200&lt;&gt;"acoes")))*INDEX(Inputs!$K$5:$AJ$200,0,MATCH(AK$2,Inputs!$K$4:$AJ$4,0)))+SUMPRODUCT((Inputs!$C$5:$C$200=$B25)*Inputs!$D$5:$D$200*(((Inputs!$G$5:$G$200="moeda")+(Inputs!$G$5:$G$200="acoes"))*Inputs!$B$1+((Inputs!$G$5:$G$200&lt;&gt;"moeda")*(Inputs!$G$5:$G$200&lt;&gt;"acoes")))*INDEX(Inputs!$K$5:$AJ$200,0,MATCH(AK$2,Inputs!$K$4:$AJ$4,0)))+SUMPRODUCT((Inputs!$E$5:$E$200=$B25)*Inputs!$F$5:$F$200*(((Inputs!$G$5:$G$200="moeda")+(Inputs!$G$5:$G$200="acoes"))*Inputs!$B$1+((Inputs!$G$5:$G$200&lt;&gt;"moeda")*(Inputs!$G$5:$G$200&lt;&gt;"acoes")))*INDEX(Inputs!$K$5:$AJ$200,0,MATCH(AK$2,Inputs!$K$4:$AJ$4,0)))))</f>
        <v>96.374</v>
      </c>
      <c r="AL25" s="3">
        <f>AK25</f>
        <v>96.374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$200=$B26)*ISNUMBER(INDEX(Inputs!$K$5:$AJ$200,0,MATCH(D$2,Inputs!$K$4:$AJ$4,0))))+SUMPRODUCT((Inputs!$C$5:$C$200=$B26)*ISNUMBER(INDEX(Inputs!$K$5:$AJ$200,0,MATCH(D$2,Inputs!$K$4:$AJ$4,0))))+SUMPRODUCT((Inputs!$E$5:$E$200=$B26)*ISNUMBER(INDEX(Inputs!$K$5:$AJ$200,0,MATCH(D$2,Inputs!$K$4:$AJ$4,0))))=0,NA(),SUMPRODUCT((Inputs!$A$5:$A$200=$B26)*Inputs!$B$5:$B$200*(((Inputs!$G$5:$G$200="moeda")+(Inputs!$G$5:$G$200="acoes"))*Inputs!$B$1+((Inputs!$G$5:$G$200&lt;&gt;"moeda")*(Inputs!$G$5:$G$200&lt;&gt;"acoes")))*INDEX(Inputs!$K$5:$AJ$200,0,MATCH(D$2,Inputs!$K$4:$AJ$4,0)))+SUMPRODUCT((Inputs!$C$5:$C$200=$B26)*Inputs!$D$5:$D$200*(((Inputs!$G$5:$G$200="moeda")+(Inputs!$G$5:$G$200="acoes"))*Inputs!$B$1+((Inputs!$G$5:$G$200&lt;&gt;"moeda")*(Inputs!$G$5:$G$200&lt;&gt;"acoes")))*INDEX(Inputs!$K$5:$AJ$200,0,MATCH(D$2,Inputs!$K$4:$AJ$4,0)))+SUMPRODUCT((Inputs!$E$5:$E$200=$B26)*Inputs!$F$5:$F$200*(((Inputs!$G$5:$G$200="moeda")+(Inputs!$G$5:$G$200="acoes"))*Inputs!$B$1+((Inputs!$G$5:$G$200&lt;&gt;"moeda")*(Inputs!$G$5:$G$200&lt;&gt;"acoes")))*INDEX(Inputs!$K$5:$AJ$200,0,MATCH(D$2,Inputs!$K$4:$AJ$4,0)))))</f>
        <v>43.419</v>
      </c>
      <c r="E26" s="6">
        <f>IF(ISNA(MATCH(E$2,Inputs!$K$4:$AJ$4,0)),NA(),IF(SUMPRODUCT((Inputs!$A$5:$A$200=$B26)*ISNUMBER(INDEX(Inputs!$K$5:$AJ$200,0,MATCH(E$2,Inputs!$K$4:$AJ$4,0))))+SUMPRODUCT((Inputs!$C$5:$C$200=$B26)*ISNUMBER(INDEX(Inputs!$K$5:$AJ$200,0,MATCH(E$2,Inputs!$K$4:$AJ$4,0))))+SUMPRODUCT((Inputs!$E$5:$E$200=$B26)*ISNUMBER(INDEX(Inputs!$K$5:$AJ$200,0,MATCH(E$2,Inputs!$K$4:$AJ$4,0))))=0,NA(),SUMPRODUCT((Inputs!$A$5:$A$200=$B26)*Inputs!$B$5:$B$200*(((Inputs!$G$5:$G$200="moeda")+(Inputs!$G$5:$G$200="acoes"))*Inputs!$B$1+((Inputs!$G$5:$G$200&lt;&gt;"moeda")*(Inputs!$G$5:$G$200&lt;&gt;"acoes")))*INDEX(Inputs!$K$5:$AJ$200,0,MATCH(E$2,Inputs!$K$4:$AJ$4,0)))+SUMPRODUCT((Inputs!$C$5:$C$200=$B26)*Inputs!$D$5:$D$200*(((Inputs!$G$5:$G$200="moeda")+(Inputs!$G$5:$G$200="acoes"))*Inputs!$B$1+((Inputs!$G$5:$G$200&lt;&gt;"moeda")*(Inputs!$G$5:$G$200&lt;&gt;"acoes")))*INDEX(Inputs!$K$5:$AJ$200,0,MATCH(E$2,Inputs!$K$4:$AJ$4,0)))+SUMPRODUCT((Inputs!$E$5:$E$200=$B26)*Inputs!$F$5:$F$200*(((Inputs!$G$5:$G$200="moeda")+(Inputs!$G$5:$G$200="acoes"))*Inputs!$B$1+((Inputs!$G$5:$G$200&lt;&gt;"moeda")*(Inputs!$G$5:$G$200&lt;&gt;"acoes")))*INDEX(Inputs!$K$5:$AJ$200,0,MATCH(E$2,Inputs!$K$4:$AJ$4,0)))))</f>
        <v>40.718</v>
      </c>
      <c r="F26" s="6">
        <f>IF(ISNA(MATCH(F$2,Inputs!$K$4:$AJ$4,0)),NA(),IF(SUMPRODUCT((Inputs!$A$5:$A$200=$B26)*ISNUMBER(INDEX(Inputs!$K$5:$AJ$200,0,MATCH(F$2,Inputs!$K$4:$AJ$4,0))))+SUMPRODUCT((Inputs!$C$5:$C$200=$B26)*ISNUMBER(INDEX(Inputs!$K$5:$AJ$200,0,MATCH(F$2,Inputs!$K$4:$AJ$4,0))))+SUMPRODUCT((Inputs!$E$5:$E$200=$B26)*ISNUMBER(INDEX(Inputs!$K$5:$AJ$200,0,MATCH(F$2,Inputs!$K$4:$AJ$4,0))))=0,NA(),SUMPRODUCT((Inputs!$A$5:$A$200=$B26)*Inputs!$B$5:$B$200*(((Inputs!$G$5:$G$200="moeda")+(Inputs!$G$5:$G$200="acoes"))*Inputs!$B$1+((Inputs!$G$5:$G$200&lt;&gt;"moeda")*(Inputs!$G$5:$G$200&lt;&gt;"acoes")))*INDEX(Inputs!$K$5:$AJ$200,0,MATCH(F$2,Inputs!$K$4:$AJ$4,0)))+SUMPRODUCT((Inputs!$C$5:$C$200=$B26)*Inputs!$D$5:$D$200*(((Inputs!$G$5:$G$200="moeda")+(Inputs!$G$5:$G$200="acoes"))*Inputs!$B$1+((Inputs!$G$5:$G$200&lt;&gt;"moeda")*(Inputs!$G$5:$G$200&lt;&gt;"acoes")))*INDEX(Inputs!$K$5:$AJ$200,0,MATCH(F$2,Inputs!$K$4:$AJ$4,0)))+SUMPRODUCT((Inputs!$E$5:$E$200=$B26)*Inputs!$F$5:$F$200*(((Inputs!$G$5:$G$200="moeda")+(Inputs!$G$5:$G$200="acoes"))*Inputs!$B$1+((Inputs!$G$5:$G$200&lt;&gt;"moeda")*(Inputs!$G$5:$G$200&lt;&gt;"acoes")))*INDEX(Inputs!$K$5:$AJ$200,0,MATCH(F$2,Inputs!$K$4:$AJ$4,0)))))</f>
        <v>46.987</v>
      </c>
      <c r="G26" s="6">
        <f>IF(ISNA(MATCH(G$2,Inputs!$K$4:$AJ$4,0)),NA(),IF(SUMPRODUCT((Inputs!$A$5:$A$200=$B26)*ISNUMBER(INDEX(Inputs!$K$5:$AJ$200,0,MATCH(G$2,Inputs!$K$4:$AJ$4,0))))+SUMPRODUCT((Inputs!$C$5:$C$200=$B26)*ISNUMBER(INDEX(Inputs!$K$5:$AJ$200,0,MATCH(G$2,Inputs!$K$4:$AJ$4,0))))+SUMPRODUCT((Inputs!$E$5:$E$200=$B26)*ISNUMBER(INDEX(Inputs!$K$5:$AJ$200,0,MATCH(G$2,Inputs!$K$4:$AJ$4,0))))=0,NA(),SUMPRODUCT((Inputs!$A$5:$A$200=$B26)*Inputs!$B$5:$B$200*(((Inputs!$G$5:$G$200="moeda")+(Inputs!$G$5:$G$200="acoes"))*Inputs!$B$1+((Inputs!$G$5:$G$200&lt;&gt;"moeda")*(Inputs!$G$5:$G$200&lt;&gt;"acoes")))*INDEX(Inputs!$K$5:$AJ$200,0,MATCH(G$2,Inputs!$K$4:$AJ$4,0)))+SUMPRODUCT((Inputs!$C$5:$C$200=$B26)*Inputs!$D$5:$D$200*(((Inputs!$G$5:$G$200="moeda")+(Inputs!$G$5:$G$200="acoes"))*Inputs!$B$1+((Inputs!$G$5:$G$200&lt;&gt;"moeda")*(Inputs!$G$5:$G$200&lt;&gt;"acoes")))*INDEX(Inputs!$K$5:$AJ$200,0,MATCH(G$2,Inputs!$K$4:$AJ$4,0)))+SUMPRODUCT((Inputs!$E$5:$E$200=$B26)*Inputs!$F$5:$F$200*(((Inputs!$G$5:$G$200="moeda")+(Inputs!$G$5:$G$200="acoes"))*Inputs!$B$1+((Inputs!$G$5:$G$200&lt;&gt;"moeda")*(Inputs!$G$5:$G$200&lt;&gt;"acoes")))*INDEX(Inputs!$K$5:$AJ$200,0,MATCH(G$2,Inputs!$K$4:$AJ$4,0)))))</f>
        <v>43.489</v>
      </c>
      <c r="H26" s="3">
        <f>G26</f>
        <v>43.489</v>
      </c>
      <c r="I26" s="6">
        <f>IF(ISNA(MATCH(I$2,Inputs!$K$4:$AJ$4,0)),NA(),IF(SUMPRODUCT((Inputs!$A$5:$A$200=$B26)*ISNUMBER(INDEX(Inputs!$K$5:$AJ$200,0,MATCH(I$2,Inputs!$K$4:$AJ$4,0))))+SUMPRODUCT((Inputs!$C$5:$C$200=$B26)*ISNUMBER(INDEX(Inputs!$K$5:$AJ$200,0,MATCH(I$2,Inputs!$K$4:$AJ$4,0))))+SUMPRODUCT((Inputs!$E$5:$E$200=$B26)*ISNUMBER(INDEX(Inputs!$K$5:$AJ$200,0,MATCH(I$2,Inputs!$K$4:$AJ$4,0))))=0,NA(),SUMPRODUCT((Inputs!$A$5:$A$200=$B26)*Inputs!$B$5:$B$200*(((Inputs!$G$5:$G$200="moeda")+(Inputs!$G$5:$G$200="acoes"))*Inputs!$B$1+((Inputs!$G$5:$G$200&lt;&gt;"moeda")*(Inputs!$G$5:$G$200&lt;&gt;"acoes")))*INDEX(Inputs!$K$5:$AJ$200,0,MATCH(I$2,Inputs!$K$4:$AJ$4,0)))+SUMPRODUCT((Inputs!$C$5:$C$200=$B26)*Inputs!$D$5:$D$200*(((Inputs!$G$5:$G$200="moeda")+(Inputs!$G$5:$G$200="acoes"))*Inputs!$B$1+((Inputs!$G$5:$G$200&lt;&gt;"moeda")*(Inputs!$G$5:$G$200&lt;&gt;"acoes")))*INDEX(Inputs!$K$5:$AJ$200,0,MATCH(I$2,Inputs!$K$4:$AJ$4,0)))+SUMPRODUCT((Inputs!$E$5:$E$200=$B26)*Inputs!$F$5:$F$200*(((Inputs!$G$5:$G$200="moeda")+(Inputs!$G$5:$G$200="acoes"))*Inputs!$B$1+((Inputs!$G$5:$G$200&lt;&gt;"moeda")*(Inputs!$G$5:$G$200&lt;&gt;"acoes")))*INDEX(Inputs!$K$5:$AJ$200,0,MATCH(I$2,Inputs!$K$4:$AJ$4,0)))))</f>
        <v>42.267</v>
      </c>
      <c r="J26" s="6">
        <f>IF(ISNA(MATCH(J$2,Inputs!$K$4:$AJ$4,0)),NA(),IF(SUMPRODUCT((Inputs!$A$5:$A$200=$B26)*ISNUMBER(INDEX(Inputs!$K$5:$AJ$200,0,MATCH(J$2,Inputs!$K$4:$AJ$4,0))))+SUMPRODUCT((Inputs!$C$5:$C$200=$B26)*ISNUMBER(INDEX(Inputs!$K$5:$AJ$200,0,MATCH(J$2,Inputs!$K$4:$AJ$4,0))))+SUMPRODUCT((Inputs!$E$5:$E$200=$B26)*ISNUMBER(INDEX(Inputs!$K$5:$AJ$200,0,MATCH(J$2,Inputs!$K$4:$AJ$4,0))))=0,NA(),SUMPRODUCT((Inputs!$A$5:$A$200=$B26)*Inputs!$B$5:$B$200*(((Inputs!$G$5:$G$200="moeda")+(Inputs!$G$5:$G$200="acoes"))*Inputs!$B$1+((Inputs!$G$5:$G$200&lt;&gt;"moeda")*(Inputs!$G$5:$G$200&lt;&gt;"acoes")))*INDEX(Inputs!$K$5:$AJ$200,0,MATCH(J$2,Inputs!$K$4:$AJ$4,0)))+SUMPRODUCT((Inputs!$C$5:$C$200=$B26)*Inputs!$D$5:$D$200*(((Inputs!$G$5:$G$200="moeda")+(Inputs!$G$5:$G$200="acoes"))*Inputs!$B$1+((Inputs!$G$5:$G$200&lt;&gt;"moeda")*(Inputs!$G$5:$G$200&lt;&gt;"acoes")))*INDEX(Inputs!$K$5:$AJ$200,0,MATCH(J$2,Inputs!$K$4:$AJ$4,0)))+SUMPRODUCT((Inputs!$E$5:$E$200=$B26)*Inputs!$F$5:$F$200*(((Inputs!$G$5:$G$200="moeda")+(Inputs!$G$5:$G$200="acoes"))*Inputs!$B$1+((Inputs!$G$5:$G$200&lt;&gt;"moeda")*(Inputs!$G$5:$G$200&lt;&gt;"acoes")))*INDEX(Inputs!$K$5:$AJ$200,0,MATCH(J$2,Inputs!$K$4:$AJ$4,0)))))</f>
        <v>34.414</v>
      </c>
      <c r="K26" s="6">
        <f>IF(ISNA(MATCH(K$2,Inputs!$K$4:$AJ$4,0)),NA(),IF(SUMPRODUCT((Inputs!$A$5:$A$200=$B26)*ISNUMBER(INDEX(Inputs!$K$5:$AJ$200,0,MATCH(K$2,Inputs!$K$4:$AJ$4,0))))+SUMPRODUCT((Inputs!$C$5:$C$200=$B26)*ISNUMBER(INDEX(Inputs!$K$5:$AJ$200,0,MATCH(K$2,Inputs!$K$4:$AJ$4,0))))+SUMPRODUCT((Inputs!$E$5:$E$200=$B26)*ISNUMBER(INDEX(Inputs!$K$5:$AJ$200,0,MATCH(K$2,Inputs!$K$4:$AJ$4,0))))=0,NA(),SUMPRODUCT((Inputs!$A$5:$A$200=$B26)*Inputs!$B$5:$B$200*(((Inputs!$G$5:$G$200="moeda")+(Inputs!$G$5:$G$200="acoes"))*Inputs!$B$1+((Inputs!$G$5:$G$200&lt;&gt;"moeda")*(Inputs!$G$5:$G$200&lt;&gt;"acoes")))*INDEX(Inputs!$K$5:$AJ$200,0,MATCH(K$2,Inputs!$K$4:$AJ$4,0)))+SUMPRODUCT((Inputs!$C$5:$C$200=$B26)*Inputs!$D$5:$D$200*(((Inputs!$G$5:$G$200="moeda")+(Inputs!$G$5:$G$200="acoes"))*Inputs!$B$1+((Inputs!$G$5:$G$200&lt;&gt;"moeda")*(Inputs!$G$5:$G$200&lt;&gt;"acoes")))*INDEX(Inputs!$K$5:$AJ$200,0,MATCH(K$2,Inputs!$K$4:$AJ$4,0)))+SUMPRODUCT((Inputs!$E$5:$E$200=$B26)*Inputs!$F$5:$F$200*(((Inputs!$G$5:$G$200="moeda")+(Inputs!$G$5:$G$200="acoes"))*Inputs!$B$1+((Inputs!$G$5:$G$200&lt;&gt;"moeda")*(Inputs!$G$5:$G$200&lt;&gt;"acoes")))*INDEX(Inputs!$K$5:$AJ$200,0,MATCH(K$2,Inputs!$K$4:$AJ$4,0)))))</f>
        <v>41.127</v>
      </c>
      <c r="L26" s="6">
        <f>IF(ISNA(MATCH(L$2,Inputs!$K$4:$AJ$4,0)),NA(),IF(SUMPRODUCT((Inputs!$A$5:$A$200=$B26)*ISNUMBER(INDEX(Inputs!$K$5:$AJ$200,0,MATCH(L$2,Inputs!$K$4:$AJ$4,0))))+SUMPRODUCT((Inputs!$C$5:$C$200=$B26)*ISNUMBER(INDEX(Inputs!$K$5:$AJ$200,0,MATCH(L$2,Inputs!$K$4:$AJ$4,0))))+SUMPRODUCT((Inputs!$E$5:$E$200=$B26)*ISNUMBER(INDEX(Inputs!$K$5:$AJ$200,0,MATCH(L$2,Inputs!$K$4:$AJ$4,0))))=0,NA(),SUMPRODUCT((Inputs!$A$5:$A$200=$B26)*Inputs!$B$5:$B$200*(((Inputs!$G$5:$G$200="moeda")+(Inputs!$G$5:$G$200="acoes"))*Inputs!$B$1+((Inputs!$G$5:$G$200&lt;&gt;"moeda")*(Inputs!$G$5:$G$200&lt;&gt;"acoes")))*INDEX(Inputs!$K$5:$AJ$200,0,MATCH(L$2,Inputs!$K$4:$AJ$4,0)))+SUMPRODUCT((Inputs!$C$5:$C$200=$B26)*Inputs!$D$5:$D$200*(((Inputs!$G$5:$G$200="moeda")+(Inputs!$G$5:$G$200="acoes"))*Inputs!$B$1+((Inputs!$G$5:$G$200&lt;&gt;"moeda")*(Inputs!$G$5:$G$200&lt;&gt;"acoes")))*INDEX(Inputs!$K$5:$AJ$200,0,MATCH(L$2,Inputs!$K$4:$AJ$4,0)))+SUMPRODUCT((Inputs!$E$5:$E$200=$B26)*Inputs!$F$5:$F$200*(((Inputs!$G$5:$G$200="moeda")+(Inputs!$G$5:$G$200="acoes"))*Inputs!$B$1+((Inputs!$G$5:$G$200&lt;&gt;"moeda")*(Inputs!$G$5:$G$200&lt;&gt;"acoes")))*INDEX(Inputs!$K$5:$AJ$200,0,MATCH(L$2,Inputs!$K$4:$AJ$4,0)))))</f>
        <v>42.652</v>
      </c>
      <c r="M26" s="3">
        <f>L26</f>
        <v>42.652</v>
      </c>
      <c r="N26" s="6">
        <f>IF(ISNA(MATCH(N$2,Inputs!$K$4:$AJ$4,0)),NA(),IF(SUMPRODUCT((Inputs!$A$5:$A$200=$B26)*ISNUMBER(INDEX(Inputs!$K$5:$AJ$200,0,MATCH(N$2,Inputs!$K$4:$AJ$4,0))))+SUMPRODUCT((Inputs!$C$5:$C$200=$B26)*ISNUMBER(INDEX(Inputs!$K$5:$AJ$200,0,MATCH(N$2,Inputs!$K$4:$AJ$4,0))))+SUMPRODUCT((Inputs!$E$5:$E$200=$B26)*ISNUMBER(INDEX(Inputs!$K$5:$AJ$200,0,MATCH(N$2,Inputs!$K$4:$AJ$4,0))))=0,NA(),SUMPRODUCT((Inputs!$A$5:$A$200=$B26)*Inputs!$B$5:$B$200*(((Inputs!$G$5:$G$200="moeda")+(Inputs!$G$5:$G$200="acoes"))*Inputs!$B$1+((Inputs!$G$5:$G$200&lt;&gt;"moeda")*(Inputs!$G$5:$G$200&lt;&gt;"acoes")))*INDEX(Inputs!$K$5:$AJ$200,0,MATCH(N$2,Inputs!$K$4:$AJ$4,0)))+SUMPRODUCT((Inputs!$C$5:$C$200=$B26)*Inputs!$D$5:$D$200*(((Inputs!$G$5:$G$200="moeda")+(Inputs!$G$5:$G$200="acoes"))*Inputs!$B$1+((Inputs!$G$5:$G$200&lt;&gt;"moeda")*(Inputs!$G$5:$G$200&lt;&gt;"acoes")))*INDEX(Inputs!$K$5:$AJ$200,0,MATCH(N$2,Inputs!$K$4:$AJ$4,0)))+SUMPRODUCT((Inputs!$E$5:$E$200=$B26)*Inputs!$F$5:$F$200*(((Inputs!$G$5:$G$200="moeda")+(Inputs!$G$5:$G$200="acoes"))*Inputs!$B$1+((Inputs!$G$5:$G$200&lt;&gt;"moeda")*(Inputs!$G$5:$G$200&lt;&gt;"acoes")))*INDEX(Inputs!$K$5:$AJ$200,0,MATCH(N$2,Inputs!$K$4:$AJ$4,0)))))</f>
        <v>44.296</v>
      </c>
      <c r="O26" s="6">
        <f>IF(ISNA(MATCH(O$2,Inputs!$K$4:$AJ$4,0)),NA(),IF(SUMPRODUCT((Inputs!$A$5:$A$200=$B26)*ISNUMBER(INDEX(Inputs!$K$5:$AJ$200,0,MATCH(O$2,Inputs!$K$4:$AJ$4,0))))+SUMPRODUCT((Inputs!$C$5:$C$200=$B26)*ISNUMBER(INDEX(Inputs!$K$5:$AJ$200,0,MATCH(O$2,Inputs!$K$4:$AJ$4,0))))+SUMPRODUCT((Inputs!$E$5:$E$200=$B26)*ISNUMBER(INDEX(Inputs!$K$5:$AJ$200,0,MATCH(O$2,Inputs!$K$4:$AJ$4,0))))=0,NA(),SUMPRODUCT((Inputs!$A$5:$A$200=$B26)*Inputs!$B$5:$B$200*(((Inputs!$G$5:$G$200="moeda")+(Inputs!$G$5:$G$200="acoes"))*Inputs!$B$1+((Inputs!$G$5:$G$200&lt;&gt;"moeda")*(Inputs!$G$5:$G$200&lt;&gt;"acoes")))*INDEX(Inputs!$K$5:$AJ$200,0,MATCH(O$2,Inputs!$K$4:$AJ$4,0)))+SUMPRODUCT((Inputs!$C$5:$C$200=$B26)*Inputs!$D$5:$D$200*(((Inputs!$G$5:$G$200="moeda")+(Inputs!$G$5:$G$200="acoes"))*Inputs!$B$1+((Inputs!$G$5:$G$200&lt;&gt;"moeda")*(Inputs!$G$5:$G$200&lt;&gt;"acoes")))*INDEX(Inputs!$K$5:$AJ$200,0,MATCH(O$2,Inputs!$K$4:$AJ$4,0)))+SUMPRODUCT((Inputs!$E$5:$E$200=$B26)*Inputs!$F$5:$F$200*(((Inputs!$G$5:$G$200="moeda")+(Inputs!$G$5:$G$200="acoes"))*Inputs!$B$1+((Inputs!$G$5:$G$200&lt;&gt;"moeda")*(Inputs!$G$5:$G$200&lt;&gt;"acoes")))*INDEX(Inputs!$K$5:$AJ$200,0,MATCH(O$2,Inputs!$K$4:$AJ$4,0)))))</f>
        <v>35.607</v>
      </c>
      <c r="P26" s="6">
        <f>IF(ISNA(MATCH(P$2,Inputs!$K$4:$AJ$4,0)),NA(),IF(SUMPRODUCT((Inputs!$A$5:$A$200=$B26)*ISNUMBER(INDEX(Inputs!$K$5:$AJ$200,0,MATCH(P$2,Inputs!$K$4:$AJ$4,0))))+SUMPRODUCT((Inputs!$C$5:$C$200=$B26)*ISNUMBER(INDEX(Inputs!$K$5:$AJ$200,0,MATCH(P$2,Inputs!$K$4:$AJ$4,0))))+SUMPRODUCT((Inputs!$E$5:$E$200=$B26)*ISNUMBER(INDEX(Inputs!$K$5:$AJ$200,0,MATCH(P$2,Inputs!$K$4:$AJ$4,0))))=0,NA(),SUMPRODUCT((Inputs!$A$5:$A$200=$B26)*Inputs!$B$5:$B$200*(((Inputs!$G$5:$G$200="moeda")+(Inputs!$G$5:$G$200="acoes"))*Inputs!$B$1+((Inputs!$G$5:$G$200&lt;&gt;"moeda")*(Inputs!$G$5:$G$200&lt;&gt;"acoes")))*INDEX(Inputs!$K$5:$AJ$200,0,MATCH(P$2,Inputs!$K$4:$AJ$4,0)))+SUMPRODUCT((Inputs!$C$5:$C$200=$B26)*Inputs!$D$5:$D$200*(((Inputs!$G$5:$G$200="moeda")+(Inputs!$G$5:$G$200="acoes"))*Inputs!$B$1+((Inputs!$G$5:$G$200&lt;&gt;"moeda")*(Inputs!$G$5:$G$200&lt;&gt;"acoes")))*INDEX(Inputs!$K$5:$AJ$200,0,MATCH(P$2,Inputs!$K$4:$AJ$4,0)))+SUMPRODUCT((Inputs!$E$5:$E$200=$B26)*Inputs!$F$5:$F$200*(((Inputs!$G$5:$G$200="moeda")+(Inputs!$G$5:$G$200="acoes"))*Inputs!$B$1+((Inputs!$G$5:$G$200&lt;&gt;"moeda")*(Inputs!$G$5:$G$200&lt;&gt;"acoes")))*INDEX(Inputs!$K$5:$AJ$200,0,MATCH(P$2,Inputs!$K$4:$AJ$4,0)))))</f>
        <v>41.664</v>
      </c>
      <c r="Q26" s="6">
        <f>IF(ISNA(MATCH(Q$2,Inputs!$K$4:$AJ$4,0)),NA(),IF(SUMPRODUCT((Inputs!$A$5:$A$200=$B26)*ISNUMBER(INDEX(Inputs!$K$5:$AJ$200,0,MATCH(Q$2,Inputs!$K$4:$AJ$4,0))))+SUMPRODUCT((Inputs!$C$5:$C$200=$B26)*ISNUMBER(INDEX(Inputs!$K$5:$AJ$200,0,MATCH(Q$2,Inputs!$K$4:$AJ$4,0))))+SUMPRODUCT((Inputs!$E$5:$E$200=$B26)*ISNUMBER(INDEX(Inputs!$K$5:$AJ$200,0,MATCH(Q$2,Inputs!$K$4:$AJ$4,0))))=0,NA(),SUMPRODUCT((Inputs!$A$5:$A$200=$B26)*Inputs!$B$5:$B$200*(((Inputs!$G$5:$G$200="moeda")+(Inputs!$G$5:$G$200="acoes"))*Inputs!$B$1+((Inputs!$G$5:$G$200&lt;&gt;"moeda")*(Inputs!$G$5:$G$200&lt;&gt;"acoes")))*INDEX(Inputs!$K$5:$AJ$200,0,MATCH(Q$2,Inputs!$K$4:$AJ$4,0)))+SUMPRODUCT((Inputs!$C$5:$C$200=$B26)*Inputs!$D$5:$D$200*(((Inputs!$G$5:$G$200="moeda")+(Inputs!$G$5:$G$200="acoes"))*Inputs!$B$1+((Inputs!$G$5:$G$200&lt;&gt;"moeda")*(Inputs!$G$5:$G$200&lt;&gt;"acoes")))*INDEX(Inputs!$K$5:$AJ$200,0,MATCH(Q$2,Inputs!$K$4:$AJ$4,0)))+SUMPRODUCT((Inputs!$E$5:$E$200=$B26)*Inputs!$F$5:$F$200*(((Inputs!$G$5:$G$200="moeda")+(Inputs!$G$5:$G$200="acoes"))*Inputs!$B$1+((Inputs!$G$5:$G$200&lt;&gt;"moeda")*(Inputs!$G$5:$G$200&lt;&gt;"acoes")))*INDEX(Inputs!$K$5:$AJ$200,0,MATCH(Q$2,Inputs!$K$4:$AJ$4,0)))))</f>
        <v>67.157</v>
      </c>
      <c r="R26" s="3">
        <f>Q26</f>
        <v>67.157</v>
      </c>
      <c r="S26" s="6">
        <f>IF(ISNA(MATCH(S$2,Inputs!$K$4:$AJ$4,0)),NA(),IF(SUMPRODUCT((Inputs!$A$5:$A$200=$B26)*ISNUMBER(INDEX(Inputs!$K$5:$AJ$200,0,MATCH(S$2,Inputs!$K$4:$AJ$4,0))))+SUMPRODUCT((Inputs!$C$5:$C$200=$B26)*ISNUMBER(INDEX(Inputs!$K$5:$AJ$200,0,MATCH(S$2,Inputs!$K$4:$AJ$4,0))))+SUMPRODUCT((Inputs!$E$5:$E$200=$B26)*ISNUMBER(INDEX(Inputs!$K$5:$AJ$200,0,MATCH(S$2,Inputs!$K$4:$AJ$4,0))))=0,NA(),SUMPRODUCT((Inputs!$A$5:$A$200=$B26)*Inputs!$B$5:$B$200*(((Inputs!$G$5:$G$200="moeda")+(Inputs!$G$5:$G$200="acoes"))*Inputs!$B$1+((Inputs!$G$5:$G$200&lt;&gt;"moeda")*(Inputs!$G$5:$G$200&lt;&gt;"acoes")))*INDEX(Inputs!$K$5:$AJ$200,0,MATCH(S$2,Inputs!$K$4:$AJ$4,0)))+SUMPRODUCT((Inputs!$C$5:$C$200=$B26)*Inputs!$D$5:$D$200*(((Inputs!$G$5:$G$200="moeda")+(Inputs!$G$5:$G$200="acoes"))*Inputs!$B$1+((Inputs!$G$5:$G$200&lt;&gt;"moeda")*(Inputs!$G$5:$G$200&lt;&gt;"acoes")))*INDEX(Inputs!$K$5:$AJ$200,0,MATCH(S$2,Inputs!$K$4:$AJ$4,0)))+SUMPRODUCT((Inputs!$E$5:$E$200=$B26)*Inputs!$F$5:$F$200*(((Inputs!$G$5:$G$200="moeda")+(Inputs!$G$5:$G$200="acoes"))*Inputs!$B$1+((Inputs!$G$5:$G$200&lt;&gt;"moeda")*(Inputs!$G$5:$G$200&lt;&gt;"acoes")))*INDEX(Inputs!$K$5:$AJ$200,0,MATCH(S$2,Inputs!$K$4:$AJ$4,0)))))</f>
        <v>67.678</v>
      </c>
      <c r="T26" s="6">
        <f>IF(ISNA(MATCH(T$2,Inputs!$K$4:$AJ$4,0)),NA(),IF(SUMPRODUCT((Inputs!$A$5:$A$200=$B26)*ISNUMBER(INDEX(Inputs!$K$5:$AJ$200,0,MATCH(T$2,Inputs!$K$4:$AJ$4,0))))+SUMPRODUCT((Inputs!$C$5:$C$200=$B26)*ISNUMBER(INDEX(Inputs!$K$5:$AJ$200,0,MATCH(T$2,Inputs!$K$4:$AJ$4,0))))+SUMPRODUCT((Inputs!$E$5:$E$200=$B26)*ISNUMBER(INDEX(Inputs!$K$5:$AJ$200,0,MATCH(T$2,Inputs!$K$4:$AJ$4,0))))=0,NA(),SUMPRODUCT((Inputs!$A$5:$A$200=$B26)*Inputs!$B$5:$B$200*(((Inputs!$G$5:$G$200="moeda")+(Inputs!$G$5:$G$200="acoes"))*Inputs!$B$1+((Inputs!$G$5:$G$200&lt;&gt;"moeda")*(Inputs!$G$5:$G$200&lt;&gt;"acoes")))*INDEX(Inputs!$K$5:$AJ$200,0,MATCH(T$2,Inputs!$K$4:$AJ$4,0)))+SUMPRODUCT((Inputs!$C$5:$C$200=$B26)*Inputs!$D$5:$D$200*(((Inputs!$G$5:$G$200="moeda")+(Inputs!$G$5:$G$200="acoes"))*Inputs!$B$1+((Inputs!$G$5:$G$200&lt;&gt;"moeda")*(Inputs!$G$5:$G$200&lt;&gt;"acoes")))*INDEX(Inputs!$K$5:$AJ$200,0,MATCH(T$2,Inputs!$K$4:$AJ$4,0)))+SUMPRODUCT((Inputs!$E$5:$E$200=$B26)*Inputs!$F$5:$F$200*(((Inputs!$G$5:$G$200="moeda")+(Inputs!$G$5:$G$200="acoes"))*Inputs!$B$1+((Inputs!$G$5:$G$200&lt;&gt;"moeda")*(Inputs!$G$5:$G$200&lt;&gt;"acoes")))*INDEX(Inputs!$K$5:$AJ$200,0,MATCH(T$2,Inputs!$K$4:$AJ$4,0)))))</f>
        <v>73.183</v>
      </c>
      <c r="U26" s="6">
        <f>IF(ISNA(MATCH(U$2,Inputs!$K$4:$AJ$4,0)),NA(),IF(SUMPRODUCT((Inputs!$A$5:$A$200=$B26)*ISNUMBER(INDEX(Inputs!$K$5:$AJ$200,0,MATCH(U$2,Inputs!$K$4:$AJ$4,0))))+SUMPRODUCT((Inputs!$C$5:$C$200=$B26)*ISNUMBER(INDEX(Inputs!$K$5:$AJ$200,0,MATCH(U$2,Inputs!$K$4:$AJ$4,0))))+SUMPRODUCT((Inputs!$E$5:$E$200=$B26)*ISNUMBER(INDEX(Inputs!$K$5:$AJ$200,0,MATCH(U$2,Inputs!$K$4:$AJ$4,0))))=0,NA(),SUMPRODUCT((Inputs!$A$5:$A$200=$B26)*Inputs!$B$5:$B$200*(((Inputs!$G$5:$G$200="moeda")+(Inputs!$G$5:$G$200="acoes"))*Inputs!$B$1+((Inputs!$G$5:$G$200&lt;&gt;"moeda")*(Inputs!$G$5:$G$200&lt;&gt;"acoes")))*INDEX(Inputs!$K$5:$AJ$200,0,MATCH(U$2,Inputs!$K$4:$AJ$4,0)))+SUMPRODUCT((Inputs!$C$5:$C$200=$B26)*Inputs!$D$5:$D$200*(((Inputs!$G$5:$G$200="moeda")+(Inputs!$G$5:$G$200="acoes"))*Inputs!$B$1+((Inputs!$G$5:$G$200&lt;&gt;"moeda")*(Inputs!$G$5:$G$200&lt;&gt;"acoes")))*INDEX(Inputs!$K$5:$AJ$200,0,MATCH(U$2,Inputs!$K$4:$AJ$4,0)))+SUMPRODUCT((Inputs!$E$5:$E$200=$B26)*Inputs!$F$5:$F$200*(((Inputs!$G$5:$G$200="moeda")+(Inputs!$G$5:$G$200="acoes"))*Inputs!$B$1+((Inputs!$G$5:$G$200&lt;&gt;"moeda")*(Inputs!$G$5:$G$200&lt;&gt;"acoes")))*INDEX(Inputs!$K$5:$AJ$200,0,MATCH(U$2,Inputs!$K$4:$AJ$4,0)))))</f>
        <v>83.305</v>
      </c>
      <c r="V26" s="6">
        <f>IF(ISNA(MATCH(V$2,Inputs!$K$4:$AJ$4,0)),NA(),IF(SUMPRODUCT((Inputs!$A$5:$A$200=$B26)*ISNUMBER(INDEX(Inputs!$K$5:$AJ$200,0,MATCH(V$2,Inputs!$K$4:$AJ$4,0))))+SUMPRODUCT((Inputs!$C$5:$C$200=$B26)*ISNUMBER(INDEX(Inputs!$K$5:$AJ$200,0,MATCH(V$2,Inputs!$K$4:$AJ$4,0))))+SUMPRODUCT((Inputs!$E$5:$E$200=$B26)*ISNUMBER(INDEX(Inputs!$K$5:$AJ$200,0,MATCH(V$2,Inputs!$K$4:$AJ$4,0))))=0,NA(),SUMPRODUCT((Inputs!$A$5:$A$200=$B26)*Inputs!$B$5:$B$200*(((Inputs!$G$5:$G$200="moeda")+(Inputs!$G$5:$G$200="acoes"))*Inputs!$B$1+((Inputs!$G$5:$G$200&lt;&gt;"moeda")*(Inputs!$G$5:$G$200&lt;&gt;"acoes")))*INDEX(Inputs!$K$5:$AJ$200,0,MATCH(V$2,Inputs!$K$4:$AJ$4,0)))+SUMPRODUCT((Inputs!$C$5:$C$200=$B26)*Inputs!$D$5:$D$200*(((Inputs!$G$5:$G$200="moeda")+(Inputs!$G$5:$G$200="acoes"))*Inputs!$B$1+((Inputs!$G$5:$G$200&lt;&gt;"moeda")*(Inputs!$G$5:$G$200&lt;&gt;"acoes")))*INDEX(Inputs!$K$5:$AJ$200,0,MATCH(V$2,Inputs!$K$4:$AJ$4,0)))+SUMPRODUCT((Inputs!$E$5:$E$200=$B26)*Inputs!$F$5:$F$200*(((Inputs!$G$5:$G$200="moeda")+(Inputs!$G$5:$G$200="acoes"))*Inputs!$B$1+((Inputs!$G$5:$G$200&lt;&gt;"moeda")*(Inputs!$G$5:$G$200&lt;&gt;"acoes")))*INDEX(Inputs!$K$5:$AJ$200,0,MATCH(V$2,Inputs!$K$4:$AJ$4,0)))))</f>
        <v>123.991</v>
      </c>
      <c r="W26" s="3">
        <f>V26</f>
        <v>123.991</v>
      </c>
      <c r="X26" s="6">
        <f>IF(ISNA(MATCH(X$2,Inputs!$K$4:$AJ$4,0)),NA(),IF(SUMPRODUCT((Inputs!$A$5:$A$200=$B26)*ISNUMBER(INDEX(Inputs!$K$5:$AJ$200,0,MATCH(X$2,Inputs!$K$4:$AJ$4,0))))+SUMPRODUCT((Inputs!$C$5:$C$200=$B26)*ISNUMBER(INDEX(Inputs!$K$5:$AJ$200,0,MATCH(X$2,Inputs!$K$4:$AJ$4,0))))+SUMPRODUCT((Inputs!$E$5:$E$200=$B26)*ISNUMBER(INDEX(Inputs!$K$5:$AJ$200,0,MATCH(X$2,Inputs!$K$4:$AJ$4,0))))=0,NA(),SUMPRODUCT((Inputs!$A$5:$A$200=$B26)*Inputs!$B$5:$B$200*(((Inputs!$G$5:$G$200="moeda")+(Inputs!$G$5:$G$200="acoes"))*Inputs!$B$1+((Inputs!$G$5:$G$200&lt;&gt;"moeda")*(Inputs!$G$5:$G$200&lt;&gt;"acoes")))*INDEX(Inputs!$K$5:$AJ$200,0,MATCH(X$2,Inputs!$K$4:$AJ$4,0)))+SUMPRODUCT((Inputs!$C$5:$C$200=$B26)*Inputs!$D$5:$D$200*(((Inputs!$G$5:$G$200="moeda")+(Inputs!$G$5:$G$200="acoes"))*Inputs!$B$1+((Inputs!$G$5:$G$200&lt;&gt;"moeda")*(Inputs!$G$5:$G$200&lt;&gt;"acoes")))*INDEX(Inputs!$K$5:$AJ$200,0,MATCH(X$2,Inputs!$K$4:$AJ$4,0)))+SUMPRODUCT((Inputs!$E$5:$E$200=$B26)*Inputs!$F$5:$F$200*(((Inputs!$G$5:$G$200="moeda")+(Inputs!$G$5:$G$200="acoes"))*Inputs!$B$1+((Inputs!$G$5:$G$200&lt;&gt;"moeda")*(Inputs!$G$5:$G$200&lt;&gt;"acoes")))*INDEX(Inputs!$K$5:$AJ$200,0,MATCH(X$2,Inputs!$K$4:$AJ$4,0)))))</f>
        <v>110.673</v>
      </c>
      <c r="Y26" s="6">
        <f>IF(ISNA(MATCH(Y$2,Inputs!$K$4:$AJ$4,0)),NA(),IF(SUMPRODUCT((Inputs!$A$5:$A$200=$B26)*ISNUMBER(INDEX(Inputs!$K$5:$AJ$200,0,MATCH(Y$2,Inputs!$K$4:$AJ$4,0))))+SUMPRODUCT((Inputs!$C$5:$C$200=$B26)*ISNUMBER(INDEX(Inputs!$K$5:$AJ$200,0,MATCH(Y$2,Inputs!$K$4:$AJ$4,0))))+SUMPRODUCT((Inputs!$E$5:$E$200=$B26)*ISNUMBER(INDEX(Inputs!$K$5:$AJ$200,0,MATCH(Y$2,Inputs!$K$4:$AJ$4,0))))=0,NA(),SUMPRODUCT((Inputs!$A$5:$A$200=$B26)*Inputs!$B$5:$B$200*(((Inputs!$G$5:$G$200="moeda")+(Inputs!$G$5:$G$200="acoes"))*Inputs!$B$1+((Inputs!$G$5:$G$200&lt;&gt;"moeda")*(Inputs!$G$5:$G$200&lt;&gt;"acoes")))*INDEX(Inputs!$K$5:$AJ$200,0,MATCH(Y$2,Inputs!$K$4:$AJ$4,0)))+SUMPRODUCT((Inputs!$C$5:$C$200=$B26)*Inputs!$D$5:$D$200*(((Inputs!$G$5:$G$200="moeda")+(Inputs!$G$5:$G$200="acoes"))*Inputs!$B$1+((Inputs!$G$5:$G$200&lt;&gt;"moeda")*(Inputs!$G$5:$G$200&lt;&gt;"acoes")))*INDEX(Inputs!$K$5:$AJ$200,0,MATCH(Y$2,Inputs!$K$4:$AJ$4,0)))+SUMPRODUCT((Inputs!$E$5:$E$200=$B26)*Inputs!$F$5:$F$200*(((Inputs!$G$5:$G$200="moeda")+(Inputs!$G$5:$G$200="acoes"))*Inputs!$B$1+((Inputs!$G$5:$G$200&lt;&gt;"moeda")*(Inputs!$G$5:$G$200&lt;&gt;"acoes")))*INDEX(Inputs!$K$5:$AJ$200,0,MATCH(Y$2,Inputs!$K$4:$AJ$4,0)))))</f>
        <v>121.241</v>
      </c>
      <c r="Z26" s="6">
        <f>IF(ISNA(MATCH(Z$2,Inputs!$K$4:$AJ$4,0)),NA(),IF(SUMPRODUCT((Inputs!$A$5:$A$200=$B26)*ISNUMBER(INDEX(Inputs!$K$5:$AJ$200,0,MATCH(Z$2,Inputs!$K$4:$AJ$4,0))))+SUMPRODUCT((Inputs!$C$5:$C$200=$B26)*ISNUMBER(INDEX(Inputs!$K$5:$AJ$200,0,MATCH(Z$2,Inputs!$K$4:$AJ$4,0))))+SUMPRODUCT((Inputs!$E$5:$E$200=$B26)*ISNUMBER(INDEX(Inputs!$K$5:$AJ$200,0,MATCH(Z$2,Inputs!$K$4:$AJ$4,0))))=0,NA(),SUMPRODUCT((Inputs!$A$5:$A$200=$B26)*Inputs!$B$5:$B$200*(((Inputs!$G$5:$G$200="moeda")+(Inputs!$G$5:$G$200="acoes"))*Inputs!$B$1+((Inputs!$G$5:$G$200&lt;&gt;"moeda")*(Inputs!$G$5:$G$200&lt;&gt;"acoes")))*INDEX(Inputs!$K$5:$AJ$200,0,MATCH(Z$2,Inputs!$K$4:$AJ$4,0)))+SUMPRODUCT((Inputs!$C$5:$C$200=$B26)*Inputs!$D$5:$D$200*(((Inputs!$G$5:$G$200="moeda")+(Inputs!$G$5:$G$200="acoes"))*Inputs!$B$1+((Inputs!$G$5:$G$200&lt;&gt;"moeda")*(Inputs!$G$5:$G$200&lt;&gt;"acoes")))*INDEX(Inputs!$K$5:$AJ$200,0,MATCH(Z$2,Inputs!$K$4:$AJ$4,0)))+SUMPRODUCT((Inputs!$E$5:$E$200=$B26)*Inputs!$F$5:$F$200*(((Inputs!$G$5:$G$200="moeda")+(Inputs!$G$5:$G$200="acoes"))*Inputs!$B$1+((Inputs!$G$5:$G$200&lt;&gt;"moeda")*(Inputs!$G$5:$G$200&lt;&gt;"acoes")))*INDEX(Inputs!$K$5:$AJ$200,0,MATCH(Z$2,Inputs!$K$4:$AJ$4,0)))))</f>
        <v>116.744</v>
      </c>
      <c r="AA26" s="6">
        <f>IF(ISNA(MATCH(AA$2,Inputs!$K$4:$AJ$4,0)),NA(),IF(SUMPRODUCT((Inputs!$A$5:$A$200=$B26)*ISNUMBER(INDEX(Inputs!$K$5:$AJ$200,0,MATCH(AA$2,Inputs!$K$4:$AJ$4,0))))+SUMPRODUCT((Inputs!$C$5:$C$200=$B26)*ISNUMBER(INDEX(Inputs!$K$5:$AJ$200,0,MATCH(AA$2,Inputs!$K$4:$AJ$4,0))))+SUMPRODUCT((Inputs!$E$5:$E$200=$B26)*ISNUMBER(INDEX(Inputs!$K$5:$AJ$200,0,MATCH(AA$2,Inputs!$K$4:$AJ$4,0))))=0,NA(),SUMPRODUCT((Inputs!$A$5:$A$200=$B26)*Inputs!$B$5:$B$200*(((Inputs!$G$5:$G$200="moeda")+(Inputs!$G$5:$G$200="acoes"))*Inputs!$B$1+((Inputs!$G$5:$G$200&lt;&gt;"moeda")*(Inputs!$G$5:$G$200&lt;&gt;"acoes")))*INDEX(Inputs!$K$5:$AJ$200,0,MATCH(AA$2,Inputs!$K$4:$AJ$4,0)))+SUMPRODUCT((Inputs!$C$5:$C$200=$B26)*Inputs!$D$5:$D$200*(((Inputs!$G$5:$G$200="moeda")+(Inputs!$G$5:$G$200="acoes"))*Inputs!$B$1+((Inputs!$G$5:$G$200&lt;&gt;"moeda")*(Inputs!$G$5:$G$200&lt;&gt;"acoes")))*INDEX(Inputs!$K$5:$AJ$200,0,MATCH(AA$2,Inputs!$K$4:$AJ$4,0)))+SUMPRODUCT((Inputs!$E$5:$E$200=$B26)*Inputs!$F$5:$F$200*(((Inputs!$G$5:$G$200="moeda")+(Inputs!$G$5:$G$200="acoes"))*Inputs!$B$1+((Inputs!$G$5:$G$200&lt;&gt;"moeda")*(Inputs!$G$5:$G$200&lt;&gt;"acoes")))*INDEX(Inputs!$K$5:$AJ$200,0,MATCH(AA$2,Inputs!$K$4:$AJ$4,0)))))</f>
        <v>89.375</v>
      </c>
      <c r="AB26" s="3">
        <f>AA26</f>
        <v>89.375</v>
      </c>
      <c r="AC26" s="6">
        <f>IF(ISNA(MATCH(AC$2,Inputs!$K$4:$AJ$4,0)),NA(),IF(SUMPRODUCT((Inputs!$A$5:$A$200=$B26)*ISNUMBER(INDEX(Inputs!$K$5:$AJ$200,0,MATCH(AC$2,Inputs!$K$4:$AJ$4,0))))+SUMPRODUCT((Inputs!$C$5:$C$200=$B26)*ISNUMBER(INDEX(Inputs!$K$5:$AJ$200,0,MATCH(AC$2,Inputs!$K$4:$AJ$4,0))))+SUMPRODUCT((Inputs!$E$5:$E$200=$B26)*ISNUMBER(INDEX(Inputs!$K$5:$AJ$200,0,MATCH(AC$2,Inputs!$K$4:$AJ$4,0))))=0,NA(),SUMPRODUCT((Inputs!$A$5:$A$200=$B26)*Inputs!$B$5:$B$200*(((Inputs!$G$5:$G$200="moeda")+(Inputs!$G$5:$G$200="acoes"))*Inputs!$B$1+((Inputs!$G$5:$G$200&lt;&gt;"moeda")*(Inputs!$G$5:$G$200&lt;&gt;"acoes")))*INDEX(Inputs!$K$5:$AJ$200,0,MATCH(AC$2,Inputs!$K$4:$AJ$4,0)))+SUMPRODUCT((Inputs!$C$5:$C$200=$B26)*Inputs!$D$5:$D$200*(((Inputs!$G$5:$G$200="moeda")+(Inputs!$G$5:$G$200="acoes"))*Inputs!$B$1+((Inputs!$G$5:$G$200&lt;&gt;"moeda")*(Inputs!$G$5:$G$200&lt;&gt;"acoes")))*INDEX(Inputs!$K$5:$AJ$200,0,MATCH(AC$2,Inputs!$K$4:$AJ$4,0)))+SUMPRODUCT((Inputs!$E$5:$E$200=$B26)*Inputs!$F$5:$F$200*(((Inputs!$G$5:$G$200="moeda")+(Inputs!$G$5:$G$200="acoes"))*Inputs!$B$1+((Inputs!$G$5:$G$200&lt;&gt;"moeda")*(Inputs!$G$5:$G$200&lt;&gt;"acoes")))*INDEX(Inputs!$K$5:$AJ$200,0,MATCH(AC$2,Inputs!$K$4:$AJ$4,0)))))</f>
        <v>106.819</v>
      </c>
      <c r="AD26" s="6">
        <f>IF(ISNA(MATCH(AD$2,Inputs!$K$4:$AJ$4,0)),NA(),IF(SUMPRODUCT((Inputs!$A$5:$A$200=$B26)*ISNUMBER(INDEX(Inputs!$K$5:$AJ$200,0,MATCH(AD$2,Inputs!$K$4:$AJ$4,0))))+SUMPRODUCT((Inputs!$C$5:$C$200=$B26)*ISNUMBER(INDEX(Inputs!$K$5:$AJ$200,0,MATCH(AD$2,Inputs!$K$4:$AJ$4,0))))+SUMPRODUCT((Inputs!$E$5:$E$200=$B26)*ISNUMBER(INDEX(Inputs!$K$5:$AJ$200,0,MATCH(AD$2,Inputs!$K$4:$AJ$4,0))))=0,NA(),SUMPRODUCT((Inputs!$A$5:$A$200=$B26)*Inputs!$B$5:$B$200*(((Inputs!$G$5:$G$200="moeda")+(Inputs!$G$5:$G$200="acoes"))*Inputs!$B$1+((Inputs!$G$5:$G$200&lt;&gt;"moeda")*(Inputs!$G$5:$G$200&lt;&gt;"acoes")))*INDEX(Inputs!$K$5:$AJ$200,0,MATCH(AD$2,Inputs!$K$4:$AJ$4,0)))+SUMPRODUCT((Inputs!$C$5:$C$200=$B26)*Inputs!$D$5:$D$200*(((Inputs!$G$5:$G$200="moeda")+(Inputs!$G$5:$G$200="acoes"))*Inputs!$B$1+((Inputs!$G$5:$G$200&lt;&gt;"moeda")*(Inputs!$G$5:$G$200&lt;&gt;"acoes")))*INDEX(Inputs!$K$5:$AJ$200,0,MATCH(AD$2,Inputs!$K$4:$AJ$4,0)))+SUMPRODUCT((Inputs!$E$5:$E$200=$B26)*Inputs!$F$5:$F$200*(((Inputs!$G$5:$G$200="moeda")+(Inputs!$G$5:$G$200="acoes"))*Inputs!$B$1+((Inputs!$G$5:$G$200&lt;&gt;"moeda")*(Inputs!$G$5:$G$200&lt;&gt;"acoes")))*INDEX(Inputs!$K$5:$AJ$200,0,MATCH(AD$2,Inputs!$K$4:$AJ$4,0)))))</f>
        <v>1069.092</v>
      </c>
      <c r="AE26" s="6" t="e">
        <f>IF(ISNA(MATCH(AE$2,Inputs!$K$4:$AJ$4,0)),NA(),IF(SUMPRODUCT((Inputs!$A$5:$A$200=$B26)*ISNUMBER(INDEX(Inputs!$K$5:$AJ$200,0,MATCH(AE$2,Inputs!$K$4:$AJ$4,0))))+SUMPRODUCT((Inputs!$C$5:$C$200=$B26)*ISNUMBER(INDEX(Inputs!$K$5:$AJ$200,0,MATCH(AE$2,Inputs!$K$4:$AJ$4,0))))+SUMPRODUCT((Inputs!$E$5:$E$200=$B26)*ISNUMBER(INDEX(Inputs!$K$5:$AJ$200,0,MATCH(AE$2,Inputs!$K$4:$AJ$4,0))))=0,NA(),SUMPRODUCT((Inputs!$A$5:$A$200=$B26)*Inputs!$B$5:$B$200*(((Inputs!$G$5:$G$200="moeda")+(Inputs!$G$5:$G$200="acoes"))*Inputs!$B$1+((Inputs!$G$5:$G$200&lt;&gt;"moeda")*(Inputs!$G$5:$G$200&lt;&gt;"acoes")))*INDEX(Inputs!$K$5:$AJ$200,0,MATCH(AE$2,Inputs!$K$4:$AJ$4,0)))+SUMPRODUCT((Inputs!$C$5:$C$200=$B26)*Inputs!$D$5:$D$200*(((Inputs!$G$5:$G$200="moeda")+(Inputs!$G$5:$G$200="acoes"))*Inputs!$B$1+((Inputs!$G$5:$G$200&lt;&gt;"moeda")*(Inputs!$G$5:$G$200&lt;&gt;"acoes")))*INDEX(Inputs!$K$5:$AJ$200,0,MATCH(AE$2,Inputs!$K$4:$AJ$4,0)))+SUMPRODUCT((Inputs!$E$5:$E$200=$B26)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6" s="6" t="e">
        <f>IF(ISNA(MATCH(AF$2,Inputs!$K$4:$AJ$4,0)),NA(),IF(SUMPRODUCT((Inputs!$A$5:$A$200=$B26)*ISNUMBER(INDEX(Inputs!$K$5:$AJ$200,0,MATCH(AF$2,Inputs!$K$4:$AJ$4,0))))+SUMPRODUCT((Inputs!$C$5:$C$200=$B26)*ISNUMBER(INDEX(Inputs!$K$5:$AJ$200,0,MATCH(AF$2,Inputs!$K$4:$AJ$4,0))))+SUMPRODUCT((Inputs!$E$5:$E$200=$B26)*ISNUMBER(INDEX(Inputs!$K$5:$AJ$200,0,MATCH(AF$2,Inputs!$K$4:$AJ$4,0))))=0,NA(),SUMPRODUCT((Inputs!$A$5:$A$200=$B26)*Inputs!$B$5:$B$200*(((Inputs!$G$5:$G$200="moeda")+(Inputs!$G$5:$G$200="acoes"))*Inputs!$B$1+((Inputs!$G$5:$G$200&lt;&gt;"moeda")*(Inputs!$G$5:$G$200&lt;&gt;"acoes")))*INDEX(Inputs!$K$5:$AJ$200,0,MATCH(AF$2,Inputs!$K$4:$AJ$4,0)))+SUMPRODUCT((Inputs!$C$5:$C$200=$B26)*Inputs!$D$5:$D$200*(((Inputs!$G$5:$G$200="moeda")+(Inputs!$G$5:$G$200="acoes"))*Inputs!$B$1+((Inputs!$G$5:$G$200&lt;&gt;"moeda")*(Inputs!$G$5:$G$200&lt;&gt;"acoes")))*INDEX(Inputs!$K$5:$AJ$200,0,MATCH(AF$2,Inputs!$K$4:$AJ$4,0)))+SUMPRODUCT((Inputs!$E$5:$E$200=$B26)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6" s="3" t="e">
        <f>AF26</f>
        <v>#N/A</v>
      </c>
      <c r="AH26" s="6">
        <f>IF(ISNA(MATCH(AH$2,Inputs!$K$4:$AJ$4,0)),NA(),IF(SUMPRODUCT((Inputs!$A$5:$A$200=$B26)*ISNUMBER(INDEX(Inputs!$K$5:$AJ$200,0,MATCH(AH$2,Inputs!$K$4:$AJ$4,0))))+SUMPRODUCT((Inputs!$C$5:$C$200=$B26)*ISNUMBER(INDEX(Inputs!$K$5:$AJ$200,0,MATCH(AH$2,Inputs!$K$4:$AJ$4,0))))+SUMPRODUCT((Inputs!$E$5:$E$200=$B26)*ISNUMBER(INDEX(Inputs!$K$5:$AJ$200,0,MATCH(AH$2,Inputs!$K$4:$AJ$4,0))))=0,NA(),SUMPRODUCT((Inputs!$A$5:$A$200=$B26)*Inputs!$B$5:$B$200*(((Inputs!$G$5:$G$200="moeda")+(Inputs!$G$5:$G$200="acoes"))*Inputs!$B$1+((Inputs!$G$5:$G$200&lt;&gt;"moeda")*(Inputs!$G$5:$G$200&lt;&gt;"acoes")))*INDEX(Inputs!$K$5:$AJ$200,0,MATCH(AH$2,Inputs!$K$4:$AJ$4,0)))+SUMPRODUCT((Inputs!$C$5:$C$200=$B26)*Inputs!$D$5:$D$200*(((Inputs!$G$5:$G$200="moeda")+(Inputs!$G$5:$G$200="acoes"))*Inputs!$B$1+((Inputs!$G$5:$G$200&lt;&gt;"moeda")*(Inputs!$G$5:$G$200&lt;&gt;"acoes")))*INDEX(Inputs!$K$5:$AJ$200,0,MATCH(AH$2,Inputs!$K$4:$AJ$4,0)))+SUMPRODUCT((Inputs!$E$5:$E$200=$B26)*Inputs!$F$5:$F$200*(((Inputs!$G$5:$G$200="moeda")+(Inputs!$G$5:$G$200="acoes"))*Inputs!$B$1+((Inputs!$G$5:$G$200&lt;&gt;"moeda")*(Inputs!$G$5:$G$200&lt;&gt;"acoes")))*INDEX(Inputs!$K$5:$AJ$200,0,MATCH(AH$2,Inputs!$K$4:$AJ$4,0)))))</f>
        <v>30.036</v>
      </c>
      <c r="AI26" s="6">
        <f>IF(ISNA(MATCH(AI$2,Inputs!$K$4:$AJ$4,0)),NA(),IF(SUMPRODUCT((Inputs!$A$5:$A$200=$B26)*ISNUMBER(INDEX(Inputs!$K$5:$AJ$200,0,MATCH(AI$2,Inputs!$K$4:$AJ$4,0))))+SUMPRODUCT((Inputs!$C$5:$C$200=$B26)*ISNUMBER(INDEX(Inputs!$K$5:$AJ$200,0,MATCH(AI$2,Inputs!$K$4:$AJ$4,0))))+SUMPRODUCT((Inputs!$E$5:$E$200=$B26)*ISNUMBER(INDEX(Inputs!$K$5:$AJ$200,0,MATCH(AI$2,Inputs!$K$4:$AJ$4,0))))=0,NA(),SUMPRODUCT((Inputs!$A$5:$A$200=$B26)*Inputs!$B$5:$B$200*(((Inputs!$G$5:$G$200="moeda")+(Inputs!$G$5:$G$200="acoes"))*Inputs!$B$1+((Inputs!$G$5:$G$200&lt;&gt;"moeda")*(Inputs!$G$5:$G$200&lt;&gt;"acoes")))*INDEX(Inputs!$K$5:$AJ$200,0,MATCH(AI$2,Inputs!$K$4:$AJ$4,0)))+SUMPRODUCT((Inputs!$C$5:$C$200=$B26)*Inputs!$D$5:$D$200*(((Inputs!$G$5:$G$200="moeda")+(Inputs!$G$5:$G$200="acoes"))*Inputs!$B$1+((Inputs!$G$5:$G$200&lt;&gt;"moeda")*(Inputs!$G$5:$G$200&lt;&gt;"acoes")))*INDEX(Inputs!$K$5:$AJ$200,0,MATCH(AI$2,Inputs!$K$4:$AJ$4,0)))+SUMPRODUCT((Inputs!$E$5:$E$200=$B26)*Inputs!$F$5:$F$200*(((Inputs!$G$5:$G$200="moeda")+(Inputs!$G$5:$G$200="acoes"))*Inputs!$B$1+((Inputs!$G$5:$G$200&lt;&gt;"moeda")*(Inputs!$G$5:$G$200&lt;&gt;"acoes")))*INDEX(Inputs!$K$5:$AJ$200,0,MATCH(AI$2,Inputs!$K$4:$AJ$4,0)))))</f>
        <v>31.118</v>
      </c>
      <c r="AJ26" s="6">
        <f>IF(ISNA(MATCH(AJ$2,Inputs!$K$4:$AJ$4,0)),NA(),IF(SUMPRODUCT((Inputs!$A$5:$A$200=$B26)*ISNUMBER(INDEX(Inputs!$K$5:$AJ$200,0,MATCH(AJ$2,Inputs!$K$4:$AJ$4,0))))+SUMPRODUCT((Inputs!$C$5:$C$200=$B26)*ISNUMBER(INDEX(Inputs!$K$5:$AJ$200,0,MATCH(AJ$2,Inputs!$K$4:$AJ$4,0))))+SUMPRODUCT((Inputs!$E$5:$E$200=$B26)*ISNUMBER(INDEX(Inputs!$K$5:$AJ$200,0,MATCH(AJ$2,Inputs!$K$4:$AJ$4,0))))=0,NA(),SUMPRODUCT((Inputs!$A$5:$A$200=$B26)*Inputs!$B$5:$B$200*(((Inputs!$G$5:$G$200="moeda")+(Inputs!$G$5:$G$200="acoes"))*Inputs!$B$1+((Inputs!$G$5:$G$200&lt;&gt;"moeda")*(Inputs!$G$5:$G$200&lt;&gt;"acoes")))*INDEX(Inputs!$K$5:$AJ$200,0,MATCH(AJ$2,Inputs!$K$4:$AJ$4,0)))+SUMPRODUCT((Inputs!$C$5:$C$200=$B26)*Inputs!$D$5:$D$200*(((Inputs!$G$5:$G$200="moeda")+(Inputs!$G$5:$G$200="acoes"))*Inputs!$B$1+((Inputs!$G$5:$G$200&lt;&gt;"moeda")*(Inputs!$G$5:$G$200&lt;&gt;"acoes")))*INDEX(Inputs!$K$5:$AJ$200,0,MATCH(AJ$2,Inputs!$K$4:$AJ$4,0)))+SUMPRODUCT((Inputs!$E$5:$E$200=$B26)*Inputs!$F$5:$F$200*(((Inputs!$G$5:$G$200="moeda")+(Inputs!$G$5:$G$200="acoes"))*Inputs!$B$1+((Inputs!$G$5:$G$200&lt;&gt;"moeda")*(Inputs!$G$5:$G$200&lt;&gt;"acoes")))*INDEX(Inputs!$K$5:$AJ$200,0,MATCH(AJ$2,Inputs!$K$4:$AJ$4,0)))))</f>
        <v>27.162</v>
      </c>
      <c r="AK26" s="6">
        <f>IF(ISNA(MATCH(AK$2,Inputs!$K$4:$AJ$4,0)),NA(),IF(SUMPRODUCT((Inputs!$A$5:$A$200=$B26)*ISNUMBER(INDEX(Inputs!$K$5:$AJ$200,0,MATCH(AK$2,Inputs!$K$4:$AJ$4,0))))+SUMPRODUCT((Inputs!$C$5:$C$200=$B26)*ISNUMBER(INDEX(Inputs!$K$5:$AJ$200,0,MATCH(AK$2,Inputs!$K$4:$AJ$4,0))))+SUMPRODUCT((Inputs!$E$5:$E$200=$B26)*ISNUMBER(INDEX(Inputs!$K$5:$AJ$200,0,MATCH(AK$2,Inputs!$K$4:$AJ$4,0))))=0,NA(),SUMPRODUCT((Inputs!$A$5:$A$200=$B26)*Inputs!$B$5:$B$200*(((Inputs!$G$5:$G$200="moeda")+(Inputs!$G$5:$G$200="acoes"))*Inputs!$B$1+((Inputs!$G$5:$G$200&lt;&gt;"moeda")*(Inputs!$G$5:$G$200&lt;&gt;"acoes")))*INDEX(Inputs!$K$5:$AJ$200,0,MATCH(AK$2,Inputs!$K$4:$AJ$4,0)))+SUMPRODUCT((Inputs!$C$5:$C$200=$B26)*Inputs!$D$5:$D$200*(((Inputs!$G$5:$G$200="moeda")+(Inputs!$G$5:$G$200="acoes"))*Inputs!$B$1+((Inputs!$G$5:$G$200&lt;&gt;"moeda")*(Inputs!$G$5:$G$200&lt;&gt;"acoes")))*INDEX(Inputs!$K$5:$AJ$200,0,MATCH(AK$2,Inputs!$K$4:$AJ$4,0)))+SUMPRODUCT((Inputs!$E$5:$E$200=$B26)*Inputs!$F$5:$F$200*(((Inputs!$G$5:$G$200="moeda")+(Inputs!$G$5:$G$200="acoes"))*Inputs!$B$1+((Inputs!$G$5:$G$200&lt;&gt;"moeda")*(Inputs!$G$5:$G$200&lt;&gt;"acoes")))*INDEX(Inputs!$K$5:$AJ$200,0,MATCH(AK$2,Inputs!$K$4:$AJ$4,0)))))</f>
        <v>40.847</v>
      </c>
      <c r="AL26" s="3">
        <f>AK26</f>
        <v>40.847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$200=$B28)*ISNUMBER(INDEX(Inputs!$K$5:$AJ$200,0,MATCH(D$2,Inputs!$K$4:$AJ$4,0))))+SUMPRODUCT((Inputs!$C$5:$C$200=$B28)*ISNUMBER(INDEX(Inputs!$K$5:$AJ$200,0,MATCH(D$2,Inputs!$K$4:$AJ$4,0))))+SUMPRODUCT((Inputs!$E$5:$E$200=$B28)*ISNUMBER(INDEX(Inputs!$K$5:$AJ$200,0,MATCH(D$2,Inputs!$K$4:$AJ$4,0))))=0,NA(),SUMPRODUCT((Inputs!$A$5:$A$200=$B28)*Inputs!$B$5:$B$200*(((Inputs!$G$5:$G$200="moeda")+(Inputs!$G$5:$G$200="acoes"))*Inputs!$B$1+((Inputs!$G$5:$G$200&lt;&gt;"moeda")*(Inputs!$G$5:$G$200&lt;&gt;"acoes")))*INDEX(Inputs!$K$5:$AJ$200,0,MATCH(D$2,Inputs!$K$4:$AJ$4,0)))+SUMPRODUCT((Inputs!$C$5:$C$200=$B28)*Inputs!$D$5:$D$200*(((Inputs!$G$5:$G$200="moeda")+(Inputs!$G$5:$G$200="acoes"))*Inputs!$B$1+((Inputs!$G$5:$G$200&lt;&gt;"moeda")*(Inputs!$G$5:$G$200&lt;&gt;"acoes")))*INDEX(Inputs!$K$5:$AJ$200,0,MATCH(D$2,Inputs!$K$4:$AJ$4,0)))+SUMPRODUCT((Inputs!$E$5:$E$200=$B28)*Inputs!$F$5:$F$200*(((Inputs!$G$5:$G$200="moeda")+(Inputs!$G$5:$G$200="acoes"))*Inputs!$B$1+((Inputs!$G$5:$G$200&lt;&gt;"moeda")*(Inputs!$G$5:$G$200&lt;&gt;"acoes")))*INDEX(Inputs!$K$5:$AJ$200,0,MATCH(D$2,Inputs!$K$4:$AJ$4,0)))))</f>
        <v>42.128</v>
      </c>
      <c r="E28" s="6">
        <f>IF(ISNA(MATCH(E$2,Inputs!$K$4:$AJ$4,0)),NA(),IF(SUMPRODUCT((Inputs!$A$5:$A$200=$B28)*ISNUMBER(INDEX(Inputs!$K$5:$AJ$200,0,MATCH(E$2,Inputs!$K$4:$AJ$4,0))))+SUMPRODUCT((Inputs!$C$5:$C$200=$B28)*ISNUMBER(INDEX(Inputs!$K$5:$AJ$200,0,MATCH(E$2,Inputs!$K$4:$AJ$4,0))))+SUMPRODUCT((Inputs!$E$5:$E$200=$B28)*ISNUMBER(INDEX(Inputs!$K$5:$AJ$200,0,MATCH(E$2,Inputs!$K$4:$AJ$4,0))))=0,NA(),SUMPRODUCT((Inputs!$A$5:$A$200=$B28)*Inputs!$B$5:$B$200*(((Inputs!$G$5:$G$200="moeda")+(Inputs!$G$5:$G$200="acoes"))*Inputs!$B$1+((Inputs!$G$5:$G$200&lt;&gt;"moeda")*(Inputs!$G$5:$G$200&lt;&gt;"acoes")))*INDEX(Inputs!$K$5:$AJ$200,0,MATCH(E$2,Inputs!$K$4:$AJ$4,0)))+SUMPRODUCT((Inputs!$C$5:$C$200=$B28)*Inputs!$D$5:$D$200*(((Inputs!$G$5:$G$200="moeda")+(Inputs!$G$5:$G$200="acoes"))*Inputs!$B$1+((Inputs!$G$5:$G$200&lt;&gt;"moeda")*(Inputs!$G$5:$G$200&lt;&gt;"acoes")))*INDEX(Inputs!$K$5:$AJ$200,0,MATCH(E$2,Inputs!$K$4:$AJ$4,0)))+SUMPRODUCT((Inputs!$E$5:$E$200=$B28)*Inputs!$F$5:$F$200*(((Inputs!$G$5:$G$200="moeda")+(Inputs!$G$5:$G$200="acoes"))*Inputs!$B$1+((Inputs!$G$5:$G$200&lt;&gt;"moeda")*(Inputs!$G$5:$G$200&lt;&gt;"acoes")))*INDEX(Inputs!$K$5:$AJ$200,0,MATCH(E$2,Inputs!$K$4:$AJ$4,0)))))</f>
        <v>32.44</v>
      </c>
      <c r="F28" s="6">
        <f>IF(ISNA(MATCH(F$2,Inputs!$K$4:$AJ$4,0)),NA(),IF(SUMPRODUCT((Inputs!$A$5:$A$200=$B28)*ISNUMBER(INDEX(Inputs!$K$5:$AJ$200,0,MATCH(F$2,Inputs!$K$4:$AJ$4,0))))+SUMPRODUCT((Inputs!$C$5:$C$200=$B28)*ISNUMBER(INDEX(Inputs!$K$5:$AJ$200,0,MATCH(F$2,Inputs!$K$4:$AJ$4,0))))+SUMPRODUCT((Inputs!$E$5:$E$200=$B28)*ISNUMBER(INDEX(Inputs!$K$5:$AJ$200,0,MATCH(F$2,Inputs!$K$4:$AJ$4,0))))=0,NA(),SUMPRODUCT((Inputs!$A$5:$A$200=$B28)*Inputs!$B$5:$B$200*(((Inputs!$G$5:$G$200="moeda")+(Inputs!$G$5:$G$200="acoes"))*Inputs!$B$1+((Inputs!$G$5:$G$200&lt;&gt;"moeda")*(Inputs!$G$5:$G$200&lt;&gt;"acoes")))*INDEX(Inputs!$K$5:$AJ$200,0,MATCH(F$2,Inputs!$K$4:$AJ$4,0)))+SUMPRODUCT((Inputs!$C$5:$C$200=$B28)*Inputs!$D$5:$D$200*(((Inputs!$G$5:$G$200="moeda")+(Inputs!$G$5:$G$200="acoes"))*Inputs!$B$1+((Inputs!$G$5:$G$200&lt;&gt;"moeda")*(Inputs!$G$5:$G$200&lt;&gt;"acoes")))*INDEX(Inputs!$K$5:$AJ$200,0,MATCH(F$2,Inputs!$K$4:$AJ$4,0)))+SUMPRODUCT((Inputs!$E$5:$E$200=$B28)*Inputs!$F$5:$F$200*(((Inputs!$G$5:$G$200="moeda")+(Inputs!$G$5:$G$200="acoes"))*Inputs!$B$1+((Inputs!$G$5:$G$200&lt;&gt;"moeda")*(Inputs!$G$5:$G$200&lt;&gt;"acoes")))*INDEX(Inputs!$K$5:$AJ$200,0,MATCH(F$2,Inputs!$K$4:$AJ$4,0)))))</f>
        <v>25.454</v>
      </c>
      <c r="G28" s="6">
        <f>IF(ISNA(MATCH(G$2,Inputs!$K$4:$AJ$4,0)),NA(),IF(SUMPRODUCT((Inputs!$A$5:$A$200=$B28)*ISNUMBER(INDEX(Inputs!$K$5:$AJ$200,0,MATCH(G$2,Inputs!$K$4:$AJ$4,0))))+SUMPRODUCT((Inputs!$C$5:$C$200=$B28)*ISNUMBER(INDEX(Inputs!$K$5:$AJ$200,0,MATCH(G$2,Inputs!$K$4:$AJ$4,0))))+SUMPRODUCT((Inputs!$E$5:$E$200=$B28)*ISNUMBER(INDEX(Inputs!$K$5:$AJ$200,0,MATCH(G$2,Inputs!$K$4:$AJ$4,0))))=0,NA(),SUMPRODUCT((Inputs!$A$5:$A$200=$B28)*Inputs!$B$5:$B$200*(((Inputs!$G$5:$G$200="moeda")+(Inputs!$G$5:$G$200="acoes"))*Inputs!$B$1+((Inputs!$G$5:$G$200&lt;&gt;"moeda")*(Inputs!$G$5:$G$200&lt;&gt;"acoes")))*INDEX(Inputs!$K$5:$AJ$200,0,MATCH(G$2,Inputs!$K$4:$AJ$4,0)))+SUMPRODUCT((Inputs!$C$5:$C$200=$B28)*Inputs!$D$5:$D$200*(((Inputs!$G$5:$G$200="moeda")+(Inputs!$G$5:$G$200="acoes"))*Inputs!$B$1+((Inputs!$G$5:$G$200&lt;&gt;"moeda")*(Inputs!$G$5:$G$200&lt;&gt;"acoes")))*INDEX(Inputs!$K$5:$AJ$200,0,MATCH(G$2,Inputs!$K$4:$AJ$4,0)))+SUMPRODUCT((Inputs!$E$5:$E$200=$B28)*Inputs!$F$5:$F$200*(((Inputs!$G$5:$G$200="moeda")+(Inputs!$G$5:$G$200="acoes"))*Inputs!$B$1+((Inputs!$G$5:$G$200&lt;&gt;"moeda")*(Inputs!$G$5:$G$200&lt;&gt;"acoes")))*INDEX(Inputs!$K$5:$AJ$200,0,MATCH(G$2,Inputs!$K$4:$AJ$4,0)))))</f>
        <v>43.81</v>
      </c>
      <c r="H28" s="3">
        <f>G28</f>
        <v>43.81</v>
      </c>
      <c r="I28" s="6">
        <f>IF(ISNA(MATCH(I$2,Inputs!$K$4:$AJ$4,0)),NA(),IF(SUMPRODUCT((Inputs!$A$5:$A$200=$B28)*ISNUMBER(INDEX(Inputs!$K$5:$AJ$200,0,MATCH(I$2,Inputs!$K$4:$AJ$4,0))))+SUMPRODUCT((Inputs!$C$5:$C$200=$B28)*ISNUMBER(INDEX(Inputs!$K$5:$AJ$200,0,MATCH(I$2,Inputs!$K$4:$AJ$4,0))))+SUMPRODUCT((Inputs!$E$5:$E$200=$B28)*ISNUMBER(INDEX(Inputs!$K$5:$AJ$200,0,MATCH(I$2,Inputs!$K$4:$AJ$4,0))))=0,NA(),SUMPRODUCT((Inputs!$A$5:$A$200=$B28)*Inputs!$B$5:$B$200*(((Inputs!$G$5:$G$200="moeda")+(Inputs!$G$5:$G$200="acoes"))*Inputs!$B$1+((Inputs!$G$5:$G$200&lt;&gt;"moeda")*(Inputs!$G$5:$G$200&lt;&gt;"acoes")))*INDEX(Inputs!$K$5:$AJ$200,0,MATCH(I$2,Inputs!$K$4:$AJ$4,0)))+SUMPRODUCT((Inputs!$C$5:$C$200=$B28)*Inputs!$D$5:$D$200*(((Inputs!$G$5:$G$200="moeda")+(Inputs!$G$5:$G$200="acoes"))*Inputs!$B$1+((Inputs!$G$5:$G$200&lt;&gt;"moeda")*(Inputs!$G$5:$G$200&lt;&gt;"acoes")))*INDEX(Inputs!$K$5:$AJ$200,0,MATCH(I$2,Inputs!$K$4:$AJ$4,0)))+SUMPRODUCT((Inputs!$E$5:$E$200=$B28)*Inputs!$F$5:$F$200*(((Inputs!$G$5:$G$200="moeda")+(Inputs!$G$5:$G$200="acoes"))*Inputs!$B$1+((Inputs!$G$5:$G$200&lt;&gt;"moeda")*(Inputs!$G$5:$G$200&lt;&gt;"acoes")))*INDEX(Inputs!$K$5:$AJ$200,0,MATCH(I$2,Inputs!$K$4:$AJ$4,0)))))</f>
        <v>62.081</v>
      </c>
      <c r="J28" s="6">
        <f>IF(ISNA(MATCH(J$2,Inputs!$K$4:$AJ$4,0)),NA(),IF(SUMPRODUCT((Inputs!$A$5:$A$200=$B28)*ISNUMBER(INDEX(Inputs!$K$5:$AJ$200,0,MATCH(J$2,Inputs!$K$4:$AJ$4,0))))+SUMPRODUCT((Inputs!$C$5:$C$200=$B28)*ISNUMBER(INDEX(Inputs!$K$5:$AJ$200,0,MATCH(J$2,Inputs!$K$4:$AJ$4,0))))+SUMPRODUCT((Inputs!$E$5:$E$200=$B28)*ISNUMBER(INDEX(Inputs!$K$5:$AJ$200,0,MATCH(J$2,Inputs!$K$4:$AJ$4,0))))=0,NA(),SUMPRODUCT((Inputs!$A$5:$A$200=$B28)*Inputs!$B$5:$B$200*(((Inputs!$G$5:$G$200="moeda")+(Inputs!$G$5:$G$200="acoes"))*Inputs!$B$1+((Inputs!$G$5:$G$200&lt;&gt;"moeda")*(Inputs!$G$5:$G$200&lt;&gt;"acoes")))*INDEX(Inputs!$K$5:$AJ$200,0,MATCH(J$2,Inputs!$K$4:$AJ$4,0)))+SUMPRODUCT((Inputs!$C$5:$C$200=$B28)*Inputs!$D$5:$D$200*(((Inputs!$G$5:$G$200="moeda")+(Inputs!$G$5:$G$200="acoes"))*Inputs!$B$1+((Inputs!$G$5:$G$200&lt;&gt;"moeda")*(Inputs!$G$5:$G$200&lt;&gt;"acoes")))*INDEX(Inputs!$K$5:$AJ$200,0,MATCH(J$2,Inputs!$K$4:$AJ$4,0)))+SUMPRODUCT((Inputs!$E$5:$E$200=$B28)*Inputs!$F$5:$F$200*(((Inputs!$G$5:$G$200="moeda")+(Inputs!$G$5:$G$200="acoes"))*Inputs!$B$1+((Inputs!$G$5:$G$200&lt;&gt;"moeda")*(Inputs!$G$5:$G$200&lt;&gt;"acoes")))*INDEX(Inputs!$K$5:$AJ$200,0,MATCH(J$2,Inputs!$K$4:$AJ$4,0)))))</f>
        <v>72.522</v>
      </c>
      <c r="K28" s="6">
        <f>IF(ISNA(MATCH(K$2,Inputs!$K$4:$AJ$4,0)),NA(),IF(SUMPRODUCT((Inputs!$A$5:$A$200=$B28)*ISNUMBER(INDEX(Inputs!$K$5:$AJ$200,0,MATCH(K$2,Inputs!$K$4:$AJ$4,0))))+SUMPRODUCT((Inputs!$C$5:$C$200=$B28)*ISNUMBER(INDEX(Inputs!$K$5:$AJ$200,0,MATCH(K$2,Inputs!$K$4:$AJ$4,0))))+SUMPRODUCT((Inputs!$E$5:$E$200=$B28)*ISNUMBER(INDEX(Inputs!$K$5:$AJ$200,0,MATCH(K$2,Inputs!$K$4:$AJ$4,0))))=0,NA(),SUMPRODUCT((Inputs!$A$5:$A$200=$B28)*Inputs!$B$5:$B$200*(((Inputs!$G$5:$G$200="moeda")+(Inputs!$G$5:$G$200="acoes"))*Inputs!$B$1+((Inputs!$G$5:$G$200&lt;&gt;"moeda")*(Inputs!$G$5:$G$200&lt;&gt;"acoes")))*INDEX(Inputs!$K$5:$AJ$200,0,MATCH(K$2,Inputs!$K$4:$AJ$4,0)))+SUMPRODUCT((Inputs!$C$5:$C$200=$B28)*Inputs!$D$5:$D$200*(((Inputs!$G$5:$G$200="moeda")+(Inputs!$G$5:$G$200="acoes"))*Inputs!$B$1+((Inputs!$G$5:$G$200&lt;&gt;"moeda")*(Inputs!$G$5:$G$200&lt;&gt;"acoes")))*INDEX(Inputs!$K$5:$AJ$200,0,MATCH(K$2,Inputs!$K$4:$AJ$4,0)))+SUMPRODUCT((Inputs!$E$5:$E$200=$B28)*Inputs!$F$5:$F$200*(((Inputs!$G$5:$G$200="moeda")+(Inputs!$G$5:$G$200="acoes"))*Inputs!$B$1+((Inputs!$G$5:$G$200&lt;&gt;"moeda")*(Inputs!$G$5:$G$200&lt;&gt;"acoes")))*INDEX(Inputs!$K$5:$AJ$200,0,MATCH(K$2,Inputs!$K$4:$AJ$4,0)))))</f>
        <v>71.976</v>
      </c>
      <c r="L28" s="6">
        <f>IF(ISNA(MATCH(L$2,Inputs!$K$4:$AJ$4,0)),NA(),IF(SUMPRODUCT((Inputs!$A$5:$A$200=$B28)*ISNUMBER(INDEX(Inputs!$K$5:$AJ$200,0,MATCH(L$2,Inputs!$K$4:$AJ$4,0))))+SUMPRODUCT((Inputs!$C$5:$C$200=$B28)*ISNUMBER(INDEX(Inputs!$K$5:$AJ$200,0,MATCH(L$2,Inputs!$K$4:$AJ$4,0))))+SUMPRODUCT((Inputs!$E$5:$E$200=$B28)*ISNUMBER(INDEX(Inputs!$K$5:$AJ$200,0,MATCH(L$2,Inputs!$K$4:$AJ$4,0))))=0,NA(),SUMPRODUCT((Inputs!$A$5:$A$200=$B28)*Inputs!$B$5:$B$200*(((Inputs!$G$5:$G$200="moeda")+(Inputs!$G$5:$G$200="acoes"))*Inputs!$B$1+((Inputs!$G$5:$G$200&lt;&gt;"moeda")*(Inputs!$G$5:$G$200&lt;&gt;"acoes")))*INDEX(Inputs!$K$5:$AJ$200,0,MATCH(L$2,Inputs!$K$4:$AJ$4,0)))+SUMPRODUCT((Inputs!$C$5:$C$200=$B28)*Inputs!$D$5:$D$200*(((Inputs!$G$5:$G$200="moeda")+(Inputs!$G$5:$G$200="acoes"))*Inputs!$B$1+((Inputs!$G$5:$G$200&lt;&gt;"moeda")*(Inputs!$G$5:$G$200&lt;&gt;"acoes")))*INDEX(Inputs!$K$5:$AJ$200,0,MATCH(L$2,Inputs!$K$4:$AJ$4,0)))+SUMPRODUCT((Inputs!$E$5:$E$200=$B28)*Inputs!$F$5:$F$200*(((Inputs!$G$5:$G$200="moeda")+(Inputs!$G$5:$G$200="acoes"))*Inputs!$B$1+((Inputs!$G$5:$G$200&lt;&gt;"moeda")*(Inputs!$G$5:$G$200&lt;&gt;"acoes")))*INDEX(Inputs!$K$5:$AJ$200,0,MATCH(L$2,Inputs!$K$4:$AJ$4,0)))))</f>
        <v>65.821</v>
      </c>
      <c r="M28" s="3">
        <f>L28</f>
        <v>65.821</v>
      </c>
      <c r="N28" s="6">
        <f>IF(ISNA(MATCH(N$2,Inputs!$K$4:$AJ$4,0)),NA(),IF(SUMPRODUCT((Inputs!$A$5:$A$200=$B28)*ISNUMBER(INDEX(Inputs!$K$5:$AJ$200,0,MATCH(N$2,Inputs!$K$4:$AJ$4,0))))+SUMPRODUCT((Inputs!$C$5:$C$200=$B28)*ISNUMBER(INDEX(Inputs!$K$5:$AJ$200,0,MATCH(N$2,Inputs!$K$4:$AJ$4,0))))+SUMPRODUCT((Inputs!$E$5:$E$200=$B28)*ISNUMBER(INDEX(Inputs!$K$5:$AJ$200,0,MATCH(N$2,Inputs!$K$4:$AJ$4,0))))=0,NA(),SUMPRODUCT((Inputs!$A$5:$A$200=$B28)*Inputs!$B$5:$B$200*(((Inputs!$G$5:$G$200="moeda")+(Inputs!$G$5:$G$200="acoes"))*Inputs!$B$1+((Inputs!$G$5:$G$200&lt;&gt;"moeda")*(Inputs!$G$5:$G$200&lt;&gt;"acoes")))*INDEX(Inputs!$K$5:$AJ$200,0,MATCH(N$2,Inputs!$K$4:$AJ$4,0)))+SUMPRODUCT((Inputs!$C$5:$C$200=$B28)*Inputs!$D$5:$D$200*(((Inputs!$G$5:$G$200="moeda")+(Inputs!$G$5:$G$200="acoes"))*Inputs!$B$1+((Inputs!$G$5:$G$200&lt;&gt;"moeda")*(Inputs!$G$5:$G$200&lt;&gt;"acoes")))*INDEX(Inputs!$K$5:$AJ$200,0,MATCH(N$2,Inputs!$K$4:$AJ$4,0)))+SUMPRODUCT((Inputs!$E$5:$E$200=$B28)*Inputs!$F$5:$F$200*(((Inputs!$G$5:$G$200="moeda")+(Inputs!$G$5:$G$200="acoes"))*Inputs!$B$1+((Inputs!$G$5:$G$200&lt;&gt;"moeda")*(Inputs!$G$5:$G$200&lt;&gt;"acoes")))*INDEX(Inputs!$K$5:$AJ$200,0,MATCH(N$2,Inputs!$K$4:$AJ$4,0)))))</f>
        <v>64.489</v>
      </c>
      <c r="O28" s="6">
        <f>IF(ISNA(MATCH(O$2,Inputs!$K$4:$AJ$4,0)),NA(),IF(SUMPRODUCT((Inputs!$A$5:$A$200=$B28)*ISNUMBER(INDEX(Inputs!$K$5:$AJ$200,0,MATCH(O$2,Inputs!$K$4:$AJ$4,0))))+SUMPRODUCT((Inputs!$C$5:$C$200=$B28)*ISNUMBER(INDEX(Inputs!$K$5:$AJ$200,0,MATCH(O$2,Inputs!$K$4:$AJ$4,0))))+SUMPRODUCT((Inputs!$E$5:$E$200=$B28)*ISNUMBER(INDEX(Inputs!$K$5:$AJ$200,0,MATCH(O$2,Inputs!$K$4:$AJ$4,0))))=0,NA(),SUMPRODUCT((Inputs!$A$5:$A$200=$B28)*Inputs!$B$5:$B$200*(((Inputs!$G$5:$G$200="moeda")+(Inputs!$G$5:$G$200="acoes"))*Inputs!$B$1+((Inputs!$G$5:$G$200&lt;&gt;"moeda")*(Inputs!$G$5:$G$200&lt;&gt;"acoes")))*INDEX(Inputs!$K$5:$AJ$200,0,MATCH(O$2,Inputs!$K$4:$AJ$4,0)))+SUMPRODUCT((Inputs!$C$5:$C$200=$B28)*Inputs!$D$5:$D$200*(((Inputs!$G$5:$G$200="moeda")+(Inputs!$G$5:$G$200="acoes"))*Inputs!$B$1+((Inputs!$G$5:$G$200&lt;&gt;"moeda")*(Inputs!$G$5:$G$200&lt;&gt;"acoes")))*INDEX(Inputs!$K$5:$AJ$200,0,MATCH(O$2,Inputs!$K$4:$AJ$4,0)))+SUMPRODUCT((Inputs!$E$5:$E$200=$B28)*Inputs!$F$5:$F$200*(((Inputs!$G$5:$G$200="moeda")+(Inputs!$G$5:$G$200="acoes"))*Inputs!$B$1+((Inputs!$G$5:$G$200&lt;&gt;"moeda")*(Inputs!$G$5:$G$200&lt;&gt;"acoes")))*INDEX(Inputs!$K$5:$AJ$200,0,MATCH(O$2,Inputs!$K$4:$AJ$4,0)))))</f>
        <v>50.98</v>
      </c>
      <c r="P28" s="6">
        <f>IF(ISNA(MATCH(P$2,Inputs!$K$4:$AJ$4,0)),NA(),IF(SUMPRODUCT((Inputs!$A$5:$A$200=$B28)*ISNUMBER(INDEX(Inputs!$K$5:$AJ$200,0,MATCH(P$2,Inputs!$K$4:$AJ$4,0))))+SUMPRODUCT((Inputs!$C$5:$C$200=$B28)*ISNUMBER(INDEX(Inputs!$K$5:$AJ$200,0,MATCH(P$2,Inputs!$K$4:$AJ$4,0))))+SUMPRODUCT((Inputs!$E$5:$E$200=$B28)*ISNUMBER(INDEX(Inputs!$K$5:$AJ$200,0,MATCH(P$2,Inputs!$K$4:$AJ$4,0))))=0,NA(),SUMPRODUCT((Inputs!$A$5:$A$200=$B28)*Inputs!$B$5:$B$200*(((Inputs!$G$5:$G$200="moeda")+(Inputs!$G$5:$G$200="acoes"))*Inputs!$B$1+((Inputs!$G$5:$G$200&lt;&gt;"moeda")*(Inputs!$G$5:$G$200&lt;&gt;"acoes")))*INDEX(Inputs!$K$5:$AJ$200,0,MATCH(P$2,Inputs!$K$4:$AJ$4,0)))+SUMPRODUCT((Inputs!$C$5:$C$200=$B28)*Inputs!$D$5:$D$200*(((Inputs!$G$5:$G$200="moeda")+(Inputs!$G$5:$G$200="acoes"))*Inputs!$B$1+((Inputs!$G$5:$G$200&lt;&gt;"moeda")*(Inputs!$G$5:$G$200&lt;&gt;"acoes")))*INDEX(Inputs!$K$5:$AJ$200,0,MATCH(P$2,Inputs!$K$4:$AJ$4,0)))+SUMPRODUCT((Inputs!$E$5:$E$200=$B28)*Inputs!$F$5:$F$200*(((Inputs!$G$5:$G$200="moeda")+(Inputs!$G$5:$G$200="acoes"))*Inputs!$B$1+((Inputs!$G$5:$G$200&lt;&gt;"moeda")*(Inputs!$G$5:$G$200&lt;&gt;"acoes")))*INDEX(Inputs!$K$5:$AJ$200,0,MATCH(P$2,Inputs!$K$4:$AJ$4,0)))))</f>
        <v>51.059</v>
      </c>
      <c r="Q28" s="6">
        <f>IF(ISNA(MATCH(Q$2,Inputs!$K$4:$AJ$4,0)),NA(),IF(SUMPRODUCT((Inputs!$A$5:$A$200=$B28)*ISNUMBER(INDEX(Inputs!$K$5:$AJ$200,0,MATCH(Q$2,Inputs!$K$4:$AJ$4,0))))+SUMPRODUCT((Inputs!$C$5:$C$200=$B28)*ISNUMBER(INDEX(Inputs!$K$5:$AJ$200,0,MATCH(Q$2,Inputs!$K$4:$AJ$4,0))))+SUMPRODUCT((Inputs!$E$5:$E$200=$B28)*ISNUMBER(INDEX(Inputs!$K$5:$AJ$200,0,MATCH(Q$2,Inputs!$K$4:$AJ$4,0))))=0,NA(),SUMPRODUCT((Inputs!$A$5:$A$200=$B28)*Inputs!$B$5:$B$200*(((Inputs!$G$5:$G$200="moeda")+(Inputs!$G$5:$G$200="acoes"))*Inputs!$B$1+((Inputs!$G$5:$G$200&lt;&gt;"moeda")*(Inputs!$G$5:$G$200&lt;&gt;"acoes")))*INDEX(Inputs!$K$5:$AJ$200,0,MATCH(Q$2,Inputs!$K$4:$AJ$4,0)))+SUMPRODUCT((Inputs!$C$5:$C$200=$B28)*Inputs!$D$5:$D$200*(((Inputs!$G$5:$G$200="moeda")+(Inputs!$G$5:$G$200="acoes"))*Inputs!$B$1+((Inputs!$G$5:$G$200&lt;&gt;"moeda")*(Inputs!$G$5:$G$200&lt;&gt;"acoes")))*INDEX(Inputs!$K$5:$AJ$200,0,MATCH(Q$2,Inputs!$K$4:$AJ$4,0)))+SUMPRODUCT((Inputs!$E$5:$E$200=$B28)*Inputs!$F$5:$F$200*(((Inputs!$G$5:$G$200="moeda")+(Inputs!$G$5:$G$200="acoes"))*Inputs!$B$1+((Inputs!$G$5:$G$200&lt;&gt;"moeda")*(Inputs!$G$5:$G$200&lt;&gt;"acoes")))*INDEX(Inputs!$K$5:$AJ$200,0,MATCH(Q$2,Inputs!$K$4:$AJ$4,0)))))</f>
        <v>59.533</v>
      </c>
      <c r="R28" s="3">
        <f>Q28</f>
        <v>59.533</v>
      </c>
      <c r="S28" s="6">
        <f>IF(ISNA(MATCH(S$2,Inputs!$K$4:$AJ$4,0)),NA(),IF(SUMPRODUCT((Inputs!$A$5:$A$200=$B28)*ISNUMBER(INDEX(Inputs!$K$5:$AJ$200,0,MATCH(S$2,Inputs!$K$4:$AJ$4,0))))+SUMPRODUCT((Inputs!$C$5:$C$200=$B28)*ISNUMBER(INDEX(Inputs!$K$5:$AJ$200,0,MATCH(S$2,Inputs!$K$4:$AJ$4,0))))+SUMPRODUCT((Inputs!$E$5:$E$200=$B28)*ISNUMBER(INDEX(Inputs!$K$5:$AJ$200,0,MATCH(S$2,Inputs!$K$4:$AJ$4,0))))=0,NA(),SUMPRODUCT((Inputs!$A$5:$A$200=$B28)*Inputs!$B$5:$B$200*(((Inputs!$G$5:$G$200="moeda")+(Inputs!$G$5:$G$200="acoes"))*Inputs!$B$1+((Inputs!$G$5:$G$200&lt;&gt;"moeda")*(Inputs!$G$5:$G$200&lt;&gt;"acoes")))*INDEX(Inputs!$K$5:$AJ$200,0,MATCH(S$2,Inputs!$K$4:$AJ$4,0)))+SUMPRODUCT((Inputs!$C$5:$C$200=$B28)*Inputs!$D$5:$D$200*(((Inputs!$G$5:$G$200="moeda")+(Inputs!$G$5:$G$200="acoes"))*Inputs!$B$1+((Inputs!$G$5:$G$200&lt;&gt;"moeda")*(Inputs!$G$5:$G$200&lt;&gt;"acoes")))*INDEX(Inputs!$K$5:$AJ$200,0,MATCH(S$2,Inputs!$K$4:$AJ$4,0)))+SUMPRODUCT((Inputs!$E$5:$E$200=$B28)*Inputs!$F$5:$F$200*(((Inputs!$G$5:$G$200="moeda")+(Inputs!$G$5:$G$200="acoes"))*Inputs!$B$1+((Inputs!$G$5:$G$200&lt;&gt;"moeda")*(Inputs!$G$5:$G$200&lt;&gt;"acoes")))*INDEX(Inputs!$K$5:$AJ$200,0,MATCH(S$2,Inputs!$K$4:$AJ$4,0)))))</f>
        <v>52.949</v>
      </c>
      <c r="T28" s="6">
        <f>IF(ISNA(MATCH(T$2,Inputs!$K$4:$AJ$4,0)),NA(),IF(SUMPRODUCT((Inputs!$A$5:$A$200=$B28)*ISNUMBER(INDEX(Inputs!$K$5:$AJ$200,0,MATCH(T$2,Inputs!$K$4:$AJ$4,0))))+SUMPRODUCT((Inputs!$C$5:$C$200=$B28)*ISNUMBER(INDEX(Inputs!$K$5:$AJ$200,0,MATCH(T$2,Inputs!$K$4:$AJ$4,0))))+SUMPRODUCT((Inputs!$E$5:$E$200=$B28)*ISNUMBER(INDEX(Inputs!$K$5:$AJ$200,0,MATCH(T$2,Inputs!$K$4:$AJ$4,0))))=0,NA(),SUMPRODUCT((Inputs!$A$5:$A$200=$B28)*Inputs!$B$5:$B$200*(((Inputs!$G$5:$G$200="moeda")+(Inputs!$G$5:$G$200="acoes"))*Inputs!$B$1+((Inputs!$G$5:$G$200&lt;&gt;"moeda")*(Inputs!$G$5:$G$200&lt;&gt;"acoes")))*INDEX(Inputs!$K$5:$AJ$200,0,MATCH(T$2,Inputs!$K$4:$AJ$4,0)))+SUMPRODUCT((Inputs!$C$5:$C$200=$B28)*Inputs!$D$5:$D$200*(((Inputs!$G$5:$G$200="moeda")+(Inputs!$G$5:$G$200="acoes"))*Inputs!$B$1+((Inputs!$G$5:$G$200&lt;&gt;"moeda")*(Inputs!$G$5:$G$200&lt;&gt;"acoes")))*INDEX(Inputs!$K$5:$AJ$200,0,MATCH(T$2,Inputs!$K$4:$AJ$4,0)))+SUMPRODUCT((Inputs!$E$5:$E$200=$B28)*Inputs!$F$5:$F$200*(((Inputs!$G$5:$G$200="moeda")+(Inputs!$G$5:$G$200="acoes"))*Inputs!$B$1+((Inputs!$G$5:$G$200&lt;&gt;"moeda")*(Inputs!$G$5:$G$200&lt;&gt;"acoes")))*INDEX(Inputs!$K$5:$AJ$200,0,MATCH(T$2,Inputs!$K$4:$AJ$4,0)))))</f>
        <v>66.999</v>
      </c>
      <c r="U28" s="6">
        <f>IF(ISNA(MATCH(U$2,Inputs!$K$4:$AJ$4,0)),NA(),IF(SUMPRODUCT((Inputs!$A$5:$A$200=$B28)*ISNUMBER(INDEX(Inputs!$K$5:$AJ$200,0,MATCH(U$2,Inputs!$K$4:$AJ$4,0))))+SUMPRODUCT((Inputs!$C$5:$C$200=$B28)*ISNUMBER(INDEX(Inputs!$K$5:$AJ$200,0,MATCH(U$2,Inputs!$K$4:$AJ$4,0))))+SUMPRODUCT((Inputs!$E$5:$E$200=$B28)*ISNUMBER(INDEX(Inputs!$K$5:$AJ$200,0,MATCH(U$2,Inputs!$K$4:$AJ$4,0))))=0,NA(),SUMPRODUCT((Inputs!$A$5:$A$200=$B28)*Inputs!$B$5:$B$200*(((Inputs!$G$5:$G$200="moeda")+(Inputs!$G$5:$G$200="acoes"))*Inputs!$B$1+((Inputs!$G$5:$G$200&lt;&gt;"moeda")*(Inputs!$G$5:$G$200&lt;&gt;"acoes")))*INDEX(Inputs!$K$5:$AJ$200,0,MATCH(U$2,Inputs!$K$4:$AJ$4,0)))+SUMPRODUCT((Inputs!$C$5:$C$200=$B28)*Inputs!$D$5:$D$200*(((Inputs!$G$5:$G$200="moeda")+(Inputs!$G$5:$G$200="acoes"))*Inputs!$B$1+((Inputs!$G$5:$G$200&lt;&gt;"moeda")*(Inputs!$G$5:$G$200&lt;&gt;"acoes")))*INDEX(Inputs!$K$5:$AJ$200,0,MATCH(U$2,Inputs!$K$4:$AJ$4,0)))+SUMPRODUCT((Inputs!$E$5:$E$200=$B28)*Inputs!$F$5:$F$200*(((Inputs!$G$5:$G$200="moeda")+(Inputs!$G$5:$G$200="acoes"))*Inputs!$B$1+((Inputs!$G$5:$G$200&lt;&gt;"moeda")*(Inputs!$G$5:$G$200&lt;&gt;"acoes")))*INDEX(Inputs!$K$5:$AJ$200,0,MATCH(U$2,Inputs!$K$4:$AJ$4,0)))))</f>
        <v>68.396</v>
      </c>
      <c r="V28" s="6">
        <f>IF(ISNA(MATCH(V$2,Inputs!$K$4:$AJ$4,0)),NA(),IF(SUMPRODUCT((Inputs!$A$5:$A$200=$B28)*ISNUMBER(INDEX(Inputs!$K$5:$AJ$200,0,MATCH(V$2,Inputs!$K$4:$AJ$4,0))))+SUMPRODUCT((Inputs!$C$5:$C$200=$B28)*ISNUMBER(INDEX(Inputs!$K$5:$AJ$200,0,MATCH(V$2,Inputs!$K$4:$AJ$4,0))))+SUMPRODUCT((Inputs!$E$5:$E$200=$B28)*ISNUMBER(INDEX(Inputs!$K$5:$AJ$200,0,MATCH(V$2,Inputs!$K$4:$AJ$4,0))))=0,NA(),SUMPRODUCT((Inputs!$A$5:$A$200=$B28)*Inputs!$B$5:$B$200*(((Inputs!$G$5:$G$200="moeda")+(Inputs!$G$5:$G$200="acoes"))*Inputs!$B$1+((Inputs!$G$5:$G$200&lt;&gt;"moeda")*(Inputs!$G$5:$G$200&lt;&gt;"acoes")))*INDEX(Inputs!$K$5:$AJ$200,0,MATCH(V$2,Inputs!$K$4:$AJ$4,0)))+SUMPRODUCT((Inputs!$C$5:$C$200=$B28)*Inputs!$D$5:$D$200*(((Inputs!$G$5:$G$200="moeda")+(Inputs!$G$5:$G$200="acoes"))*Inputs!$B$1+((Inputs!$G$5:$G$200&lt;&gt;"moeda")*(Inputs!$G$5:$G$200&lt;&gt;"acoes")))*INDEX(Inputs!$K$5:$AJ$200,0,MATCH(V$2,Inputs!$K$4:$AJ$4,0)))+SUMPRODUCT((Inputs!$E$5:$E$200=$B28)*Inputs!$F$5:$F$200*(((Inputs!$G$5:$G$200="moeda")+(Inputs!$G$5:$G$200="acoes"))*Inputs!$B$1+((Inputs!$G$5:$G$200&lt;&gt;"moeda")*(Inputs!$G$5:$G$200&lt;&gt;"acoes")))*INDEX(Inputs!$K$5:$AJ$200,0,MATCH(V$2,Inputs!$K$4:$AJ$4,0)))))</f>
        <v>106.723</v>
      </c>
      <c r="W28" s="3">
        <f>V28</f>
        <v>106.723</v>
      </c>
      <c r="X28" s="6">
        <f>IF(ISNA(MATCH(X$2,Inputs!$K$4:$AJ$4,0)),NA(),IF(SUMPRODUCT((Inputs!$A$5:$A$200=$B28)*ISNUMBER(INDEX(Inputs!$K$5:$AJ$200,0,MATCH(X$2,Inputs!$K$4:$AJ$4,0))))+SUMPRODUCT((Inputs!$C$5:$C$200=$B28)*ISNUMBER(INDEX(Inputs!$K$5:$AJ$200,0,MATCH(X$2,Inputs!$K$4:$AJ$4,0))))+SUMPRODUCT((Inputs!$E$5:$E$200=$B28)*ISNUMBER(INDEX(Inputs!$K$5:$AJ$200,0,MATCH(X$2,Inputs!$K$4:$AJ$4,0))))=0,NA(),SUMPRODUCT((Inputs!$A$5:$A$200=$B28)*Inputs!$B$5:$B$200*(((Inputs!$G$5:$G$200="moeda")+(Inputs!$G$5:$G$200="acoes"))*Inputs!$B$1+((Inputs!$G$5:$G$200&lt;&gt;"moeda")*(Inputs!$G$5:$G$200&lt;&gt;"acoes")))*INDEX(Inputs!$K$5:$AJ$200,0,MATCH(X$2,Inputs!$K$4:$AJ$4,0)))+SUMPRODUCT((Inputs!$C$5:$C$200=$B28)*Inputs!$D$5:$D$200*(((Inputs!$G$5:$G$200="moeda")+(Inputs!$G$5:$G$200="acoes"))*Inputs!$B$1+((Inputs!$G$5:$G$200&lt;&gt;"moeda")*(Inputs!$G$5:$G$200&lt;&gt;"acoes")))*INDEX(Inputs!$K$5:$AJ$200,0,MATCH(X$2,Inputs!$K$4:$AJ$4,0)))+SUMPRODUCT((Inputs!$E$5:$E$200=$B28)*Inputs!$F$5:$F$200*(((Inputs!$G$5:$G$200="moeda")+(Inputs!$G$5:$G$200="acoes"))*Inputs!$B$1+((Inputs!$G$5:$G$200&lt;&gt;"moeda")*(Inputs!$G$5:$G$200&lt;&gt;"acoes")))*INDEX(Inputs!$K$5:$AJ$200,0,MATCH(X$2,Inputs!$K$4:$AJ$4,0)))))</f>
        <v>111.86</v>
      </c>
      <c r="Y28" s="6">
        <f>IF(ISNA(MATCH(Y$2,Inputs!$K$4:$AJ$4,0)),NA(),IF(SUMPRODUCT((Inputs!$A$5:$A$200=$B28)*ISNUMBER(INDEX(Inputs!$K$5:$AJ$200,0,MATCH(Y$2,Inputs!$K$4:$AJ$4,0))))+SUMPRODUCT((Inputs!$C$5:$C$200=$B28)*ISNUMBER(INDEX(Inputs!$K$5:$AJ$200,0,MATCH(Y$2,Inputs!$K$4:$AJ$4,0))))+SUMPRODUCT((Inputs!$E$5:$E$200=$B28)*ISNUMBER(INDEX(Inputs!$K$5:$AJ$200,0,MATCH(Y$2,Inputs!$K$4:$AJ$4,0))))=0,NA(),SUMPRODUCT((Inputs!$A$5:$A$200=$B28)*Inputs!$B$5:$B$200*(((Inputs!$G$5:$G$200="moeda")+(Inputs!$G$5:$G$200="acoes"))*Inputs!$B$1+((Inputs!$G$5:$G$200&lt;&gt;"moeda")*(Inputs!$G$5:$G$200&lt;&gt;"acoes")))*INDEX(Inputs!$K$5:$AJ$200,0,MATCH(Y$2,Inputs!$K$4:$AJ$4,0)))+SUMPRODUCT((Inputs!$C$5:$C$200=$B28)*Inputs!$D$5:$D$200*(((Inputs!$G$5:$G$200="moeda")+(Inputs!$G$5:$G$200="acoes"))*Inputs!$B$1+((Inputs!$G$5:$G$200&lt;&gt;"moeda")*(Inputs!$G$5:$G$200&lt;&gt;"acoes")))*INDEX(Inputs!$K$5:$AJ$200,0,MATCH(Y$2,Inputs!$K$4:$AJ$4,0)))+SUMPRODUCT((Inputs!$E$5:$E$200=$B28)*Inputs!$F$5:$F$200*(((Inputs!$G$5:$G$200="moeda")+(Inputs!$G$5:$G$200="acoes"))*Inputs!$B$1+((Inputs!$G$5:$G$200&lt;&gt;"moeda")*(Inputs!$G$5:$G$200&lt;&gt;"acoes")))*INDEX(Inputs!$K$5:$AJ$200,0,MATCH(Y$2,Inputs!$K$4:$AJ$4,0)))))</f>
        <v>178.175</v>
      </c>
      <c r="Z28" s="6">
        <f>IF(ISNA(MATCH(Z$2,Inputs!$K$4:$AJ$4,0)),NA(),IF(SUMPRODUCT((Inputs!$A$5:$A$200=$B28)*ISNUMBER(INDEX(Inputs!$K$5:$AJ$200,0,MATCH(Z$2,Inputs!$K$4:$AJ$4,0))))+SUMPRODUCT((Inputs!$C$5:$C$200=$B28)*ISNUMBER(INDEX(Inputs!$K$5:$AJ$200,0,MATCH(Z$2,Inputs!$K$4:$AJ$4,0))))+SUMPRODUCT((Inputs!$E$5:$E$200=$B28)*ISNUMBER(INDEX(Inputs!$K$5:$AJ$200,0,MATCH(Z$2,Inputs!$K$4:$AJ$4,0))))=0,NA(),SUMPRODUCT((Inputs!$A$5:$A$200=$B28)*Inputs!$B$5:$B$200*(((Inputs!$G$5:$G$200="moeda")+(Inputs!$G$5:$G$200="acoes"))*Inputs!$B$1+((Inputs!$G$5:$G$200&lt;&gt;"moeda")*(Inputs!$G$5:$G$200&lt;&gt;"acoes")))*INDEX(Inputs!$K$5:$AJ$200,0,MATCH(Z$2,Inputs!$K$4:$AJ$4,0)))+SUMPRODUCT((Inputs!$C$5:$C$200=$B28)*Inputs!$D$5:$D$200*(((Inputs!$G$5:$G$200="moeda")+(Inputs!$G$5:$G$200="acoes"))*Inputs!$B$1+((Inputs!$G$5:$G$200&lt;&gt;"moeda")*(Inputs!$G$5:$G$200&lt;&gt;"acoes")))*INDEX(Inputs!$K$5:$AJ$200,0,MATCH(Z$2,Inputs!$K$4:$AJ$4,0)))+SUMPRODUCT((Inputs!$E$5:$E$200=$B28)*Inputs!$F$5:$F$200*(((Inputs!$G$5:$G$200="moeda")+(Inputs!$G$5:$G$200="acoes"))*Inputs!$B$1+((Inputs!$G$5:$G$200&lt;&gt;"moeda")*(Inputs!$G$5:$G$200&lt;&gt;"acoes")))*INDEX(Inputs!$K$5:$AJ$200,0,MATCH(Z$2,Inputs!$K$4:$AJ$4,0)))))</f>
        <v>138.488</v>
      </c>
      <c r="AA28" s="6">
        <f>IF(ISNA(MATCH(AA$2,Inputs!$K$4:$AJ$4,0)),NA(),IF(SUMPRODUCT((Inputs!$A$5:$A$200=$B28)*ISNUMBER(INDEX(Inputs!$K$5:$AJ$200,0,MATCH(AA$2,Inputs!$K$4:$AJ$4,0))))+SUMPRODUCT((Inputs!$C$5:$C$200=$B28)*ISNUMBER(INDEX(Inputs!$K$5:$AJ$200,0,MATCH(AA$2,Inputs!$K$4:$AJ$4,0))))+SUMPRODUCT((Inputs!$E$5:$E$200=$B28)*ISNUMBER(INDEX(Inputs!$K$5:$AJ$200,0,MATCH(AA$2,Inputs!$K$4:$AJ$4,0))))=0,NA(),SUMPRODUCT((Inputs!$A$5:$A$200=$B28)*Inputs!$B$5:$B$200*(((Inputs!$G$5:$G$200="moeda")+(Inputs!$G$5:$G$200="acoes"))*Inputs!$B$1+((Inputs!$G$5:$G$200&lt;&gt;"moeda")*(Inputs!$G$5:$G$200&lt;&gt;"acoes")))*INDEX(Inputs!$K$5:$AJ$200,0,MATCH(AA$2,Inputs!$K$4:$AJ$4,0)))+SUMPRODUCT((Inputs!$C$5:$C$200=$B28)*Inputs!$D$5:$D$200*(((Inputs!$G$5:$G$200="moeda")+(Inputs!$G$5:$G$200="acoes"))*Inputs!$B$1+((Inputs!$G$5:$G$200&lt;&gt;"moeda")*(Inputs!$G$5:$G$200&lt;&gt;"acoes")))*INDEX(Inputs!$K$5:$AJ$200,0,MATCH(AA$2,Inputs!$K$4:$AJ$4,0)))+SUMPRODUCT((Inputs!$E$5:$E$200=$B28)*Inputs!$F$5:$F$200*(((Inputs!$G$5:$G$200="moeda")+(Inputs!$G$5:$G$200="acoes"))*Inputs!$B$1+((Inputs!$G$5:$G$200&lt;&gt;"moeda")*(Inputs!$G$5:$G$200&lt;&gt;"acoes")))*INDEX(Inputs!$K$5:$AJ$200,0,MATCH(AA$2,Inputs!$K$4:$AJ$4,0)))))</f>
        <v>145.788</v>
      </c>
      <c r="AB28" s="3">
        <f>AA28</f>
        <v>145.788</v>
      </c>
      <c r="AC28" s="6">
        <f>IF(ISNA(MATCH(AC$2,Inputs!$K$4:$AJ$4,0)),NA(),IF(SUMPRODUCT((Inputs!$A$5:$A$200=$B28)*ISNUMBER(INDEX(Inputs!$K$5:$AJ$200,0,MATCH(AC$2,Inputs!$K$4:$AJ$4,0))))+SUMPRODUCT((Inputs!$C$5:$C$200=$B28)*ISNUMBER(INDEX(Inputs!$K$5:$AJ$200,0,MATCH(AC$2,Inputs!$K$4:$AJ$4,0))))+SUMPRODUCT((Inputs!$E$5:$E$200=$B28)*ISNUMBER(INDEX(Inputs!$K$5:$AJ$200,0,MATCH(AC$2,Inputs!$K$4:$AJ$4,0))))=0,NA(),SUMPRODUCT((Inputs!$A$5:$A$200=$B28)*Inputs!$B$5:$B$200*(((Inputs!$G$5:$G$200="moeda")+(Inputs!$G$5:$G$200="acoes"))*Inputs!$B$1+((Inputs!$G$5:$G$200&lt;&gt;"moeda")*(Inputs!$G$5:$G$200&lt;&gt;"acoes")))*INDEX(Inputs!$K$5:$AJ$200,0,MATCH(AC$2,Inputs!$K$4:$AJ$4,0)))+SUMPRODUCT((Inputs!$C$5:$C$200=$B28)*Inputs!$D$5:$D$200*(((Inputs!$G$5:$G$200="moeda")+(Inputs!$G$5:$G$200="acoes"))*Inputs!$B$1+((Inputs!$G$5:$G$200&lt;&gt;"moeda")*(Inputs!$G$5:$G$200&lt;&gt;"acoes")))*INDEX(Inputs!$K$5:$AJ$200,0,MATCH(AC$2,Inputs!$K$4:$AJ$4,0)))+SUMPRODUCT((Inputs!$E$5:$E$200=$B28)*Inputs!$F$5:$F$200*(((Inputs!$G$5:$G$200="moeda")+(Inputs!$G$5:$G$200="acoes"))*Inputs!$B$1+((Inputs!$G$5:$G$200&lt;&gt;"moeda")*(Inputs!$G$5:$G$200&lt;&gt;"acoes")))*INDEX(Inputs!$K$5:$AJ$200,0,MATCH(AC$2,Inputs!$K$4:$AJ$4,0)))))</f>
        <v>167.965</v>
      </c>
      <c r="AD28" s="6">
        <f>IF(ISNA(MATCH(AD$2,Inputs!$K$4:$AJ$4,0)),NA(),IF(SUMPRODUCT((Inputs!$A$5:$A$200=$B28)*ISNUMBER(INDEX(Inputs!$K$5:$AJ$200,0,MATCH(AD$2,Inputs!$K$4:$AJ$4,0))))+SUMPRODUCT((Inputs!$C$5:$C$200=$B28)*ISNUMBER(INDEX(Inputs!$K$5:$AJ$200,0,MATCH(AD$2,Inputs!$K$4:$AJ$4,0))))+SUMPRODUCT((Inputs!$E$5:$E$200=$B28)*ISNUMBER(INDEX(Inputs!$K$5:$AJ$200,0,MATCH(AD$2,Inputs!$K$4:$AJ$4,0))))=0,NA(),SUMPRODUCT((Inputs!$A$5:$A$200=$B28)*Inputs!$B$5:$B$200*(((Inputs!$G$5:$G$200="moeda")+(Inputs!$G$5:$G$200="acoes"))*Inputs!$B$1+((Inputs!$G$5:$G$200&lt;&gt;"moeda")*(Inputs!$G$5:$G$200&lt;&gt;"acoes")))*INDEX(Inputs!$K$5:$AJ$200,0,MATCH(AD$2,Inputs!$K$4:$AJ$4,0)))+SUMPRODUCT((Inputs!$C$5:$C$200=$B28)*Inputs!$D$5:$D$200*(((Inputs!$G$5:$G$200="moeda")+(Inputs!$G$5:$G$200="acoes"))*Inputs!$B$1+((Inputs!$G$5:$G$200&lt;&gt;"moeda")*(Inputs!$G$5:$G$200&lt;&gt;"acoes")))*INDEX(Inputs!$K$5:$AJ$200,0,MATCH(AD$2,Inputs!$K$4:$AJ$4,0)))+SUMPRODUCT((Inputs!$E$5:$E$200=$B28)*Inputs!$F$5:$F$200*(((Inputs!$G$5:$G$200="moeda")+(Inputs!$G$5:$G$200="acoes"))*Inputs!$B$1+((Inputs!$G$5:$G$200&lt;&gt;"moeda")*(Inputs!$G$5:$G$200&lt;&gt;"acoes")))*INDEX(Inputs!$K$5:$AJ$200,0,MATCH(AD$2,Inputs!$K$4:$AJ$4,0)))))</f>
        <v>365.033</v>
      </c>
      <c r="AE28" s="6" t="e">
        <f>IF(ISNA(MATCH(AE$2,Inputs!$K$4:$AJ$4,0)),NA(),IF(SUMPRODUCT((Inputs!$A$5:$A$200=$B28)*ISNUMBER(INDEX(Inputs!$K$5:$AJ$200,0,MATCH(AE$2,Inputs!$K$4:$AJ$4,0))))+SUMPRODUCT((Inputs!$C$5:$C$200=$B28)*ISNUMBER(INDEX(Inputs!$K$5:$AJ$200,0,MATCH(AE$2,Inputs!$K$4:$AJ$4,0))))+SUMPRODUCT((Inputs!$E$5:$E$200=$B28)*ISNUMBER(INDEX(Inputs!$K$5:$AJ$200,0,MATCH(AE$2,Inputs!$K$4:$AJ$4,0))))=0,NA(),SUMPRODUCT((Inputs!$A$5:$A$200=$B28)*Inputs!$B$5:$B$200*(((Inputs!$G$5:$G$200="moeda")+(Inputs!$G$5:$G$200="acoes"))*Inputs!$B$1+((Inputs!$G$5:$G$200&lt;&gt;"moeda")*(Inputs!$G$5:$G$200&lt;&gt;"acoes")))*INDEX(Inputs!$K$5:$AJ$200,0,MATCH(AE$2,Inputs!$K$4:$AJ$4,0)))+SUMPRODUCT((Inputs!$C$5:$C$200=$B28)*Inputs!$D$5:$D$200*(((Inputs!$G$5:$G$200="moeda")+(Inputs!$G$5:$G$200="acoes"))*Inputs!$B$1+((Inputs!$G$5:$G$200&lt;&gt;"moeda")*(Inputs!$G$5:$G$200&lt;&gt;"acoes")))*INDEX(Inputs!$K$5:$AJ$200,0,MATCH(AE$2,Inputs!$K$4:$AJ$4,0)))+SUMPRODUCT((Inputs!$E$5:$E$200=$B28)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8" s="6" t="e">
        <f>IF(ISNA(MATCH(AF$2,Inputs!$K$4:$AJ$4,0)),NA(),IF(SUMPRODUCT((Inputs!$A$5:$A$200=$B28)*ISNUMBER(INDEX(Inputs!$K$5:$AJ$200,0,MATCH(AF$2,Inputs!$K$4:$AJ$4,0))))+SUMPRODUCT((Inputs!$C$5:$C$200=$B28)*ISNUMBER(INDEX(Inputs!$K$5:$AJ$200,0,MATCH(AF$2,Inputs!$K$4:$AJ$4,0))))+SUMPRODUCT((Inputs!$E$5:$E$200=$B28)*ISNUMBER(INDEX(Inputs!$K$5:$AJ$200,0,MATCH(AF$2,Inputs!$K$4:$AJ$4,0))))=0,NA(),SUMPRODUCT((Inputs!$A$5:$A$200=$B28)*Inputs!$B$5:$B$200*(((Inputs!$G$5:$G$200="moeda")+(Inputs!$G$5:$G$200="acoes"))*Inputs!$B$1+((Inputs!$G$5:$G$200&lt;&gt;"moeda")*(Inputs!$G$5:$G$200&lt;&gt;"acoes")))*INDEX(Inputs!$K$5:$AJ$200,0,MATCH(AF$2,Inputs!$K$4:$AJ$4,0)))+SUMPRODUCT((Inputs!$C$5:$C$200=$B28)*Inputs!$D$5:$D$200*(((Inputs!$G$5:$G$200="moeda")+(Inputs!$G$5:$G$200="acoes"))*Inputs!$B$1+((Inputs!$G$5:$G$200&lt;&gt;"moeda")*(Inputs!$G$5:$G$200&lt;&gt;"acoes")))*INDEX(Inputs!$K$5:$AJ$200,0,MATCH(AF$2,Inputs!$K$4:$AJ$4,0)))+SUMPRODUCT((Inputs!$E$5:$E$200=$B28)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8" s="3" t="e">
        <f>AF28</f>
        <v>#N/A</v>
      </c>
      <c r="AH28" s="6">
        <f>IF(ISNA(MATCH(AH$2,Inputs!$K$4:$AJ$4,0)),NA(),IF(SUMPRODUCT((Inputs!$A$5:$A$200=$B28)*ISNUMBER(INDEX(Inputs!$K$5:$AJ$200,0,MATCH(AH$2,Inputs!$K$4:$AJ$4,0))))+SUMPRODUCT((Inputs!$C$5:$C$200=$B28)*ISNUMBER(INDEX(Inputs!$K$5:$AJ$200,0,MATCH(AH$2,Inputs!$K$4:$AJ$4,0))))+SUMPRODUCT((Inputs!$E$5:$E$200=$B28)*ISNUMBER(INDEX(Inputs!$K$5:$AJ$200,0,MATCH(AH$2,Inputs!$K$4:$AJ$4,0))))=0,NA(),SUMPRODUCT((Inputs!$A$5:$A$200=$B28)*Inputs!$B$5:$B$200*(((Inputs!$G$5:$G$200="moeda")+(Inputs!$G$5:$G$200="acoes"))*Inputs!$B$1+((Inputs!$G$5:$G$200&lt;&gt;"moeda")*(Inputs!$G$5:$G$200&lt;&gt;"acoes")))*INDEX(Inputs!$K$5:$AJ$200,0,MATCH(AH$2,Inputs!$K$4:$AJ$4,0)))+SUMPRODUCT((Inputs!$C$5:$C$200=$B28)*Inputs!$D$5:$D$200*(((Inputs!$G$5:$G$200="moeda")+(Inputs!$G$5:$G$200="acoes"))*Inputs!$B$1+((Inputs!$G$5:$G$200&lt;&gt;"moeda")*(Inputs!$G$5:$G$200&lt;&gt;"acoes")))*INDEX(Inputs!$K$5:$AJ$200,0,MATCH(AH$2,Inputs!$K$4:$AJ$4,0)))+SUMPRODUCT((Inputs!$E$5:$E$200=$B28)*Inputs!$F$5:$F$200*(((Inputs!$G$5:$G$200="moeda")+(Inputs!$G$5:$G$200="acoes"))*Inputs!$B$1+((Inputs!$G$5:$G$200&lt;&gt;"moeda")*(Inputs!$G$5:$G$200&lt;&gt;"acoes")))*INDEX(Inputs!$K$5:$AJ$200,0,MATCH(AH$2,Inputs!$K$4:$AJ$4,0)))))</f>
        <v>50.307</v>
      </c>
      <c r="AI28" s="6">
        <f>IF(ISNA(MATCH(AI$2,Inputs!$K$4:$AJ$4,0)),NA(),IF(SUMPRODUCT((Inputs!$A$5:$A$200=$B28)*ISNUMBER(INDEX(Inputs!$K$5:$AJ$200,0,MATCH(AI$2,Inputs!$K$4:$AJ$4,0))))+SUMPRODUCT((Inputs!$C$5:$C$200=$B28)*ISNUMBER(INDEX(Inputs!$K$5:$AJ$200,0,MATCH(AI$2,Inputs!$K$4:$AJ$4,0))))+SUMPRODUCT((Inputs!$E$5:$E$200=$B28)*ISNUMBER(INDEX(Inputs!$K$5:$AJ$200,0,MATCH(AI$2,Inputs!$K$4:$AJ$4,0))))=0,NA(),SUMPRODUCT((Inputs!$A$5:$A$200=$B28)*Inputs!$B$5:$B$200*(((Inputs!$G$5:$G$200="moeda")+(Inputs!$G$5:$G$200="acoes"))*Inputs!$B$1+((Inputs!$G$5:$G$200&lt;&gt;"moeda")*(Inputs!$G$5:$G$200&lt;&gt;"acoes")))*INDEX(Inputs!$K$5:$AJ$200,0,MATCH(AI$2,Inputs!$K$4:$AJ$4,0)))+SUMPRODUCT((Inputs!$C$5:$C$200=$B28)*Inputs!$D$5:$D$200*(((Inputs!$G$5:$G$200="moeda")+(Inputs!$G$5:$G$200="acoes"))*Inputs!$B$1+((Inputs!$G$5:$G$200&lt;&gt;"moeda")*(Inputs!$G$5:$G$200&lt;&gt;"acoes")))*INDEX(Inputs!$K$5:$AJ$200,0,MATCH(AI$2,Inputs!$K$4:$AJ$4,0)))+SUMPRODUCT((Inputs!$E$5:$E$200=$B28)*Inputs!$F$5:$F$200*(((Inputs!$G$5:$G$200="moeda")+(Inputs!$G$5:$G$200="acoes"))*Inputs!$B$1+((Inputs!$G$5:$G$200&lt;&gt;"moeda")*(Inputs!$G$5:$G$200&lt;&gt;"acoes")))*INDEX(Inputs!$K$5:$AJ$200,0,MATCH(AI$2,Inputs!$K$4:$AJ$4,0)))))</f>
        <v>52.542</v>
      </c>
      <c r="AJ28" s="6">
        <f>IF(ISNA(MATCH(AJ$2,Inputs!$K$4:$AJ$4,0)),NA(),IF(SUMPRODUCT((Inputs!$A$5:$A$200=$B28)*ISNUMBER(INDEX(Inputs!$K$5:$AJ$200,0,MATCH(AJ$2,Inputs!$K$4:$AJ$4,0))))+SUMPRODUCT((Inputs!$C$5:$C$200=$B28)*ISNUMBER(INDEX(Inputs!$K$5:$AJ$200,0,MATCH(AJ$2,Inputs!$K$4:$AJ$4,0))))+SUMPRODUCT((Inputs!$E$5:$E$200=$B28)*ISNUMBER(INDEX(Inputs!$K$5:$AJ$200,0,MATCH(AJ$2,Inputs!$K$4:$AJ$4,0))))=0,NA(),SUMPRODUCT((Inputs!$A$5:$A$200=$B28)*Inputs!$B$5:$B$200*(((Inputs!$G$5:$G$200="moeda")+(Inputs!$G$5:$G$200="acoes"))*Inputs!$B$1+((Inputs!$G$5:$G$200&lt;&gt;"moeda")*(Inputs!$G$5:$G$200&lt;&gt;"acoes")))*INDEX(Inputs!$K$5:$AJ$200,0,MATCH(AJ$2,Inputs!$K$4:$AJ$4,0)))+SUMPRODUCT((Inputs!$C$5:$C$200=$B28)*Inputs!$D$5:$D$200*(((Inputs!$G$5:$G$200="moeda")+(Inputs!$G$5:$G$200="acoes"))*Inputs!$B$1+((Inputs!$G$5:$G$200&lt;&gt;"moeda")*(Inputs!$G$5:$G$200&lt;&gt;"acoes")))*INDEX(Inputs!$K$5:$AJ$200,0,MATCH(AJ$2,Inputs!$K$4:$AJ$4,0)))+SUMPRODUCT((Inputs!$E$5:$E$200=$B28)*Inputs!$F$5:$F$200*(((Inputs!$G$5:$G$200="moeda")+(Inputs!$G$5:$G$200="acoes"))*Inputs!$B$1+((Inputs!$G$5:$G$200&lt;&gt;"moeda")*(Inputs!$G$5:$G$200&lt;&gt;"acoes")))*INDEX(Inputs!$K$5:$AJ$200,0,MATCH(AJ$2,Inputs!$K$4:$AJ$4,0)))))</f>
        <v>48.461</v>
      </c>
      <c r="AK28" s="6">
        <f>IF(ISNA(MATCH(AK$2,Inputs!$K$4:$AJ$4,0)),NA(),IF(SUMPRODUCT((Inputs!$A$5:$A$200=$B28)*ISNUMBER(INDEX(Inputs!$K$5:$AJ$200,0,MATCH(AK$2,Inputs!$K$4:$AJ$4,0))))+SUMPRODUCT((Inputs!$C$5:$C$200=$B28)*ISNUMBER(INDEX(Inputs!$K$5:$AJ$200,0,MATCH(AK$2,Inputs!$K$4:$AJ$4,0))))+SUMPRODUCT((Inputs!$E$5:$E$200=$B28)*ISNUMBER(INDEX(Inputs!$K$5:$AJ$200,0,MATCH(AK$2,Inputs!$K$4:$AJ$4,0))))=0,NA(),SUMPRODUCT((Inputs!$A$5:$A$200=$B28)*Inputs!$B$5:$B$200*(((Inputs!$G$5:$G$200="moeda")+(Inputs!$G$5:$G$200="acoes"))*Inputs!$B$1+((Inputs!$G$5:$G$200&lt;&gt;"moeda")*(Inputs!$G$5:$G$200&lt;&gt;"acoes")))*INDEX(Inputs!$K$5:$AJ$200,0,MATCH(AK$2,Inputs!$K$4:$AJ$4,0)))+SUMPRODUCT((Inputs!$C$5:$C$200=$B28)*Inputs!$D$5:$D$200*(((Inputs!$G$5:$G$200="moeda")+(Inputs!$G$5:$G$200="acoes"))*Inputs!$B$1+((Inputs!$G$5:$G$200&lt;&gt;"moeda")*(Inputs!$G$5:$G$200&lt;&gt;"acoes")))*INDEX(Inputs!$K$5:$AJ$200,0,MATCH(AK$2,Inputs!$K$4:$AJ$4,0)))+SUMPRODUCT((Inputs!$E$5:$E$200=$B28)*Inputs!$F$5:$F$200*(((Inputs!$G$5:$G$200="moeda")+(Inputs!$G$5:$G$200="acoes"))*Inputs!$B$1+((Inputs!$G$5:$G$200&lt;&gt;"moeda")*(Inputs!$G$5:$G$200&lt;&gt;"acoes")))*INDEX(Inputs!$K$5:$AJ$200,0,MATCH(AK$2,Inputs!$K$4:$AJ$4,0)))))</f>
        <v>43.166</v>
      </c>
      <c r="AL28" s="3">
        <f>AK28</f>
        <v>43.166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$200=$B29)*ISNUMBER(INDEX(Inputs!$K$5:$AJ$200,0,MATCH(D$2,Inputs!$K$4:$AJ$4,0))))+SUMPRODUCT((Inputs!$C$5:$C$200=$B29)*ISNUMBER(INDEX(Inputs!$K$5:$AJ$200,0,MATCH(D$2,Inputs!$K$4:$AJ$4,0))))+SUMPRODUCT((Inputs!$E$5:$E$200=$B29)*ISNUMBER(INDEX(Inputs!$K$5:$AJ$200,0,MATCH(D$2,Inputs!$K$4:$AJ$4,0))))=0,NA(),SUMPRODUCT((Inputs!$A$5:$A$200=$B29)*Inputs!$B$5:$B$200*(((Inputs!$G$5:$G$200="moeda")+(Inputs!$G$5:$G$200="acoes"))*Inputs!$B$1+((Inputs!$G$5:$G$200&lt;&gt;"moeda")*(Inputs!$G$5:$G$200&lt;&gt;"acoes")))*INDEX(Inputs!$K$5:$AJ$200,0,MATCH(D$2,Inputs!$K$4:$AJ$4,0)))+SUMPRODUCT((Inputs!$C$5:$C$200=$B29)*Inputs!$D$5:$D$200*(((Inputs!$G$5:$G$200="moeda")+(Inputs!$G$5:$G$200="acoes"))*Inputs!$B$1+((Inputs!$G$5:$G$200&lt;&gt;"moeda")*(Inputs!$G$5:$G$200&lt;&gt;"acoes")))*INDEX(Inputs!$K$5:$AJ$200,0,MATCH(D$2,Inputs!$K$4:$AJ$4,0)))+SUMPRODUCT((Inputs!$E$5:$E$200=$B29)*Inputs!$F$5:$F$200*(((Inputs!$G$5:$G$200="moeda")+(Inputs!$G$5:$G$200="acoes"))*Inputs!$B$1+((Inputs!$G$5:$G$200&lt;&gt;"moeda")*(Inputs!$G$5:$G$200&lt;&gt;"acoes")))*INDEX(Inputs!$K$5:$AJ$200,0,MATCH(D$2,Inputs!$K$4:$AJ$4,0)))))</f>
        <v>35.839</v>
      </c>
      <c r="E29" s="6">
        <f>IF(ISNA(MATCH(E$2,Inputs!$K$4:$AJ$4,0)),NA(),IF(SUMPRODUCT((Inputs!$A$5:$A$200=$B29)*ISNUMBER(INDEX(Inputs!$K$5:$AJ$200,0,MATCH(E$2,Inputs!$K$4:$AJ$4,0))))+SUMPRODUCT((Inputs!$C$5:$C$200=$B29)*ISNUMBER(INDEX(Inputs!$K$5:$AJ$200,0,MATCH(E$2,Inputs!$K$4:$AJ$4,0))))+SUMPRODUCT((Inputs!$E$5:$E$200=$B29)*ISNUMBER(INDEX(Inputs!$K$5:$AJ$200,0,MATCH(E$2,Inputs!$K$4:$AJ$4,0))))=0,NA(),SUMPRODUCT((Inputs!$A$5:$A$200=$B29)*Inputs!$B$5:$B$200*(((Inputs!$G$5:$G$200="moeda")+(Inputs!$G$5:$G$200="acoes"))*Inputs!$B$1+((Inputs!$G$5:$G$200&lt;&gt;"moeda")*(Inputs!$G$5:$G$200&lt;&gt;"acoes")))*INDEX(Inputs!$K$5:$AJ$200,0,MATCH(E$2,Inputs!$K$4:$AJ$4,0)))+SUMPRODUCT((Inputs!$C$5:$C$200=$B29)*Inputs!$D$5:$D$200*(((Inputs!$G$5:$G$200="moeda")+(Inputs!$G$5:$G$200="acoes"))*Inputs!$B$1+((Inputs!$G$5:$G$200&lt;&gt;"moeda")*(Inputs!$G$5:$G$200&lt;&gt;"acoes")))*INDEX(Inputs!$K$5:$AJ$200,0,MATCH(E$2,Inputs!$K$4:$AJ$4,0)))+SUMPRODUCT((Inputs!$E$5:$E$200=$B29)*Inputs!$F$5:$F$200*(((Inputs!$G$5:$G$200="moeda")+(Inputs!$G$5:$G$200="acoes"))*Inputs!$B$1+((Inputs!$G$5:$G$200&lt;&gt;"moeda")*(Inputs!$G$5:$G$200&lt;&gt;"acoes")))*INDEX(Inputs!$K$5:$AJ$200,0,MATCH(E$2,Inputs!$K$4:$AJ$4,0)))))</f>
        <v>36.049</v>
      </c>
      <c r="F29" s="6">
        <f>IF(ISNA(MATCH(F$2,Inputs!$K$4:$AJ$4,0)),NA(),IF(SUMPRODUCT((Inputs!$A$5:$A$200=$B29)*ISNUMBER(INDEX(Inputs!$K$5:$AJ$200,0,MATCH(F$2,Inputs!$K$4:$AJ$4,0))))+SUMPRODUCT((Inputs!$C$5:$C$200=$B29)*ISNUMBER(INDEX(Inputs!$K$5:$AJ$200,0,MATCH(F$2,Inputs!$K$4:$AJ$4,0))))+SUMPRODUCT((Inputs!$E$5:$E$200=$B29)*ISNUMBER(INDEX(Inputs!$K$5:$AJ$200,0,MATCH(F$2,Inputs!$K$4:$AJ$4,0))))=0,NA(),SUMPRODUCT((Inputs!$A$5:$A$200=$B29)*Inputs!$B$5:$B$200*(((Inputs!$G$5:$G$200="moeda")+(Inputs!$G$5:$G$200="acoes"))*Inputs!$B$1+((Inputs!$G$5:$G$200&lt;&gt;"moeda")*(Inputs!$G$5:$G$200&lt;&gt;"acoes")))*INDEX(Inputs!$K$5:$AJ$200,0,MATCH(F$2,Inputs!$K$4:$AJ$4,0)))+SUMPRODUCT((Inputs!$C$5:$C$200=$B29)*Inputs!$D$5:$D$200*(((Inputs!$G$5:$G$200="moeda")+(Inputs!$G$5:$G$200="acoes"))*Inputs!$B$1+((Inputs!$G$5:$G$200&lt;&gt;"moeda")*(Inputs!$G$5:$G$200&lt;&gt;"acoes")))*INDEX(Inputs!$K$5:$AJ$200,0,MATCH(F$2,Inputs!$K$4:$AJ$4,0)))+SUMPRODUCT((Inputs!$E$5:$E$200=$B29)*Inputs!$F$5:$F$200*(((Inputs!$G$5:$G$200="moeda")+(Inputs!$G$5:$G$200="acoes"))*Inputs!$B$1+((Inputs!$G$5:$G$200&lt;&gt;"moeda")*(Inputs!$G$5:$G$200&lt;&gt;"acoes")))*INDEX(Inputs!$K$5:$AJ$200,0,MATCH(F$2,Inputs!$K$4:$AJ$4,0)))))</f>
        <v>16.333</v>
      </c>
      <c r="G29" s="6">
        <f>IF(ISNA(MATCH(G$2,Inputs!$K$4:$AJ$4,0)),NA(),IF(SUMPRODUCT((Inputs!$A$5:$A$200=$B29)*ISNUMBER(INDEX(Inputs!$K$5:$AJ$200,0,MATCH(G$2,Inputs!$K$4:$AJ$4,0))))+SUMPRODUCT((Inputs!$C$5:$C$200=$B29)*ISNUMBER(INDEX(Inputs!$K$5:$AJ$200,0,MATCH(G$2,Inputs!$K$4:$AJ$4,0))))+SUMPRODUCT((Inputs!$E$5:$E$200=$B29)*ISNUMBER(INDEX(Inputs!$K$5:$AJ$200,0,MATCH(G$2,Inputs!$K$4:$AJ$4,0))))=0,NA(),SUMPRODUCT((Inputs!$A$5:$A$200=$B29)*Inputs!$B$5:$B$200*(((Inputs!$G$5:$G$200="moeda")+(Inputs!$G$5:$G$200="acoes"))*Inputs!$B$1+((Inputs!$G$5:$G$200&lt;&gt;"moeda")*(Inputs!$G$5:$G$200&lt;&gt;"acoes")))*INDEX(Inputs!$K$5:$AJ$200,0,MATCH(G$2,Inputs!$K$4:$AJ$4,0)))+SUMPRODUCT((Inputs!$C$5:$C$200=$B29)*Inputs!$D$5:$D$200*(((Inputs!$G$5:$G$200="moeda")+(Inputs!$G$5:$G$200="acoes"))*Inputs!$B$1+((Inputs!$G$5:$G$200&lt;&gt;"moeda")*(Inputs!$G$5:$G$200&lt;&gt;"acoes")))*INDEX(Inputs!$K$5:$AJ$200,0,MATCH(G$2,Inputs!$K$4:$AJ$4,0)))+SUMPRODUCT((Inputs!$E$5:$E$200=$B29)*Inputs!$F$5:$F$200*(((Inputs!$G$5:$G$200="moeda")+(Inputs!$G$5:$G$200="acoes"))*Inputs!$B$1+((Inputs!$G$5:$G$200&lt;&gt;"moeda")*(Inputs!$G$5:$G$200&lt;&gt;"acoes")))*INDEX(Inputs!$K$5:$AJ$200,0,MATCH(G$2,Inputs!$K$4:$AJ$4,0)))))</f>
        <v>12.71</v>
      </c>
      <c r="H29" s="3">
        <f>G29</f>
        <v>12.71</v>
      </c>
      <c r="I29" s="6">
        <f>IF(ISNA(MATCH(I$2,Inputs!$K$4:$AJ$4,0)),NA(),IF(SUMPRODUCT((Inputs!$A$5:$A$200=$B29)*ISNUMBER(INDEX(Inputs!$K$5:$AJ$200,0,MATCH(I$2,Inputs!$K$4:$AJ$4,0))))+SUMPRODUCT((Inputs!$C$5:$C$200=$B29)*ISNUMBER(INDEX(Inputs!$K$5:$AJ$200,0,MATCH(I$2,Inputs!$K$4:$AJ$4,0))))+SUMPRODUCT((Inputs!$E$5:$E$200=$B29)*ISNUMBER(INDEX(Inputs!$K$5:$AJ$200,0,MATCH(I$2,Inputs!$K$4:$AJ$4,0))))=0,NA(),SUMPRODUCT((Inputs!$A$5:$A$200=$B29)*Inputs!$B$5:$B$200*(((Inputs!$G$5:$G$200="moeda")+(Inputs!$G$5:$G$200="acoes"))*Inputs!$B$1+((Inputs!$G$5:$G$200&lt;&gt;"moeda")*(Inputs!$G$5:$G$200&lt;&gt;"acoes")))*INDEX(Inputs!$K$5:$AJ$200,0,MATCH(I$2,Inputs!$K$4:$AJ$4,0)))+SUMPRODUCT((Inputs!$C$5:$C$200=$B29)*Inputs!$D$5:$D$200*(((Inputs!$G$5:$G$200="moeda")+(Inputs!$G$5:$G$200="acoes"))*Inputs!$B$1+((Inputs!$G$5:$G$200&lt;&gt;"moeda")*(Inputs!$G$5:$G$200&lt;&gt;"acoes")))*INDEX(Inputs!$K$5:$AJ$200,0,MATCH(I$2,Inputs!$K$4:$AJ$4,0)))+SUMPRODUCT((Inputs!$E$5:$E$200=$B29)*Inputs!$F$5:$F$200*(((Inputs!$G$5:$G$200="moeda")+(Inputs!$G$5:$G$200="acoes"))*Inputs!$B$1+((Inputs!$G$5:$G$200&lt;&gt;"moeda")*(Inputs!$G$5:$G$200&lt;&gt;"acoes")))*INDEX(Inputs!$K$5:$AJ$200,0,MATCH(I$2,Inputs!$K$4:$AJ$4,0)))))</f>
        <v>15.611</v>
      </c>
      <c r="J29" s="6">
        <f>IF(ISNA(MATCH(J$2,Inputs!$K$4:$AJ$4,0)),NA(),IF(SUMPRODUCT((Inputs!$A$5:$A$200=$B29)*ISNUMBER(INDEX(Inputs!$K$5:$AJ$200,0,MATCH(J$2,Inputs!$K$4:$AJ$4,0))))+SUMPRODUCT((Inputs!$C$5:$C$200=$B29)*ISNUMBER(INDEX(Inputs!$K$5:$AJ$200,0,MATCH(J$2,Inputs!$K$4:$AJ$4,0))))+SUMPRODUCT((Inputs!$E$5:$E$200=$B29)*ISNUMBER(INDEX(Inputs!$K$5:$AJ$200,0,MATCH(J$2,Inputs!$K$4:$AJ$4,0))))=0,NA(),SUMPRODUCT((Inputs!$A$5:$A$200=$B29)*Inputs!$B$5:$B$200*(((Inputs!$G$5:$G$200="moeda")+(Inputs!$G$5:$G$200="acoes"))*Inputs!$B$1+((Inputs!$G$5:$G$200&lt;&gt;"moeda")*(Inputs!$G$5:$G$200&lt;&gt;"acoes")))*INDEX(Inputs!$K$5:$AJ$200,0,MATCH(J$2,Inputs!$K$4:$AJ$4,0)))+SUMPRODUCT((Inputs!$C$5:$C$200=$B29)*Inputs!$D$5:$D$200*(((Inputs!$G$5:$G$200="moeda")+(Inputs!$G$5:$G$200="acoes"))*Inputs!$B$1+((Inputs!$G$5:$G$200&lt;&gt;"moeda")*(Inputs!$G$5:$G$200&lt;&gt;"acoes")))*INDEX(Inputs!$K$5:$AJ$200,0,MATCH(J$2,Inputs!$K$4:$AJ$4,0)))+SUMPRODUCT((Inputs!$E$5:$E$200=$B29)*Inputs!$F$5:$F$200*(((Inputs!$G$5:$G$200="moeda")+(Inputs!$G$5:$G$200="acoes"))*Inputs!$B$1+((Inputs!$G$5:$G$200&lt;&gt;"moeda")*(Inputs!$G$5:$G$200&lt;&gt;"acoes")))*INDEX(Inputs!$K$5:$AJ$200,0,MATCH(J$2,Inputs!$K$4:$AJ$4,0)))))</f>
        <v>27.959</v>
      </c>
      <c r="K29" s="6">
        <f>IF(ISNA(MATCH(K$2,Inputs!$K$4:$AJ$4,0)),NA(),IF(SUMPRODUCT((Inputs!$A$5:$A$200=$B29)*ISNUMBER(INDEX(Inputs!$K$5:$AJ$200,0,MATCH(K$2,Inputs!$K$4:$AJ$4,0))))+SUMPRODUCT((Inputs!$C$5:$C$200=$B29)*ISNUMBER(INDEX(Inputs!$K$5:$AJ$200,0,MATCH(K$2,Inputs!$K$4:$AJ$4,0))))+SUMPRODUCT((Inputs!$E$5:$E$200=$B29)*ISNUMBER(INDEX(Inputs!$K$5:$AJ$200,0,MATCH(K$2,Inputs!$K$4:$AJ$4,0))))=0,NA(),SUMPRODUCT((Inputs!$A$5:$A$200=$B29)*Inputs!$B$5:$B$200*(((Inputs!$G$5:$G$200="moeda")+(Inputs!$G$5:$G$200="acoes"))*Inputs!$B$1+((Inputs!$G$5:$G$200&lt;&gt;"moeda")*(Inputs!$G$5:$G$200&lt;&gt;"acoes")))*INDEX(Inputs!$K$5:$AJ$200,0,MATCH(K$2,Inputs!$K$4:$AJ$4,0)))+SUMPRODUCT((Inputs!$C$5:$C$200=$B29)*Inputs!$D$5:$D$200*(((Inputs!$G$5:$G$200="moeda")+(Inputs!$G$5:$G$200="acoes"))*Inputs!$B$1+((Inputs!$G$5:$G$200&lt;&gt;"moeda")*(Inputs!$G$5:$G$200&lt;&gt;"acoes")))*INDEX(Inputs!$K$5:$AJ$200,0,MATCH(K$2,Inputs!$K$4:$AJ$4,0)))+SUMPRODUCT((Inputs!$E$5:$E$200=$B29)*Inputs!$F$5:$F$200*(((Inputs!$G$5:$G$200="moeda")+(Inputs!$G$5:$G$200="acoes"))*Inputs!$B$1+((Inputs!$G$5:$G$200&lt;&gt;"moeda")*(Inputs!$G$5:$G$200&lt;&gt;"acoes")))*INDEX(Inputs!$K$5:$AJ$200,0,MATCH(K$2,Inputs!$K$4:$AJ$4,0)))))</f>
        <v>32.059</v>
      </c>
      <c r="L29" s="6">
        <f>IF(ISNA(MATCH(L$2,Inputs!$K$4:$AJ$4,0)),NA(),IF(SUMPRODUCT((Inputs!$A$5:$A$200=$B29)*ISNUMBER(INDEX(Inputs!$K$5:$AJ$200,0,MATCH(L$2,Inputs!$K$4:$AJ$4,0))))+SUMPRODUCT((Inputs!$C$5:$C$200=$B29)*ISNUMBER(INDEX(Inputs!$K$5:$AJ$200,0,MATCH(L$2,Inputs!$K$4:$AJ$4,0))))+SUMPRODUCT((Inputs!$E$5:$E$200=$B29)*ISNUMBER(INDEX(Inputs!$K$5:$AJ$200,0,MATCH(L$2,Inputs!$K$4:$AJ$4,0))))=0,NA(),SUMPRODUCT((Inputs!$A$5:$A$200=$B29)*Inputs!$B$5:$B$200*(((Inputs!$G$5:$G$200="moeda")+(Inputs!$G$5:$G$200="acoes"))*Inputs!$B$1+((Inputs!$G$5:$G$200&lt;&gt;"moeda")*(Inputs!$G$5:$G$200&lt;&gt;"acoes")))*INDEX(Inputs!$K$5:$AJ$200,0,MATCH(L$2,Inputs!$K$4:$AJ$4,0)))+SUMPRODUCT((Inputs!$C$5:$C$200=$B29)*Inputs!$D$5:$D$200*(((Inputs!$G$5:$G$200="moeda")+(Inputs!$G$5:$G$200="acoes"))*Inputs!$B$1+((Inputs!$G$5:$G$200&lt;&gt;"moeda")*(Inputs!$G$5:$G$200&lt;&gt;"acoes")))*INDEX(Inputs!$K$5:$AJ$200,0,MATCH(L$2,Inputs!$K$4:$AJ$4,0)))+SUMPRODUCT((Inputs!$E$5:$E$200=$B29)*Inputs!$F$5:$F$200*(((Inputs!$G$5:$G$200="moeda")+(Inputs!$G$5:$G$200="acoes"))*Inputs!$B$1+((Inputs!$G$5:$G$200&lt;&gt;"moeda")*(Inputs!$G$5:$G$200&lt;&gt;"acoes")))*INDEX(Inputs!$K$5:$AJ$200,0,MATCH(L$2,Inputs!$K$4:$AJ$4,0)))))</f>
        <v>24.849</v>
      </c>
      <c r="M29" s="3">
        <f>L29</f>
        <v>24.849</v>
      </c>
      <c r="N29" s="6">
        <f>IF(ISNA(MATCH(N$2,Inputs!$K$4:$AJ$4,0)),NA(),IF(SUMPRODUCT((Inputs!$A$5:$A$200=$B29)*ISNUMBER(INDEX(Inputs!$K$5:$AJ$200,0,MATCH(N$2,Inputs!$K$4:$AJ$4,0))))+SUMPRODUCT((Inputs!$C$5:$C$200=$B29)*ISNUMBER(INDEX(Inputs!$K$5:$AJ$200,0,MATCH(N$2,Inputs!$K$4:$AJ$4,0))))+SUMPRODUCT((Inputs!$E$5:$E$200=$B29)*ISNUMBER(INDEX(Inputs!$K$5:$AJ$200,0,MATCH(N$2,Inputs!$K$4:$AJ$4,0))))=0,NA(),SUMPRODUCT((Inputs!$A$5:$A$200=$B29)*Inputs!$B$5:$B$200*(((Inputs!$G$5:$G$200="moeda")+(Inputs!$G$5:$G$200="acoes"))*Inputs!$B$1+((Inputs!$G$5:$G$200&lt;&gt;"moeda")*(Inputs!$G$5:$G$200&lt;&gt;"acoes")))*INDEX(Inputs!$K$5:$AJ$200,0,MATCH(N$2,Inputs!$K$4:$AJ$4,0)))+SUMPRODUCT((Inputs!$C$5:$C$200=$B29)*Inputs!$D$5:$D$200*(((Inputs!$G$5:$G$200="moeda")+(Inputs!$G$5:$G$200="acoes"))*Inputs!$B$1+((Inputs!$G$5:$G$200&lt;&gt;"moeda")*(Inputs!$G$5:$G$200&lt;&gt;"acoes")))*INDEX(Inputs!$K$5:$AJ$200,0,MATCH(N$2,Inputs!$K$4:$AJ$4,0)))+SUMPRODUCT((Inputs!$E$5:$E$200=$B29)*Inputs!$F$5:$F$200*(((Inputs!$G$5:$G$200="moeda")+(Inputs!$G$5:$G$200="acoes"))*Inputs!$B$1+((Inputs!$G$5:$G$200&lt;&gt;"moeda")*(Inputs!$G$5:$G$200&lt;&gt;"acoes")))*INDEX(Inputs!$K$5:$AJ$200,0,MATCH(N$2,Inputs!$K$4:$AJ$4,0)))))</f>
        <v>28.625</v>
      </c>
      <c r="O29" s="6">
        <f>IF(ISNA(MATCH(O$2,Inputs!$K$4:$AJ$4,0)),NA(),IF(SUMPRODUCT((Inputs!$A$5:$A$200=$B29)*ISNUMBER(INDEX(Inputs!$K$5:$AJ$200,0,MATCH(O$2,Inputs!$K$4:$AJ$4,0))))+SUMPRODUCT((Inputs!$C$5:$C$200=$B29)*ISNUMBER(INDEX(Inputs!$K$5:$AJ$200,0,MATCH(O$2,Inputs!$K$4:$AJ$4,0))))+SUMPRODUCT((Inputs!$E$5:$E$200=$B29)*ISNUMBER(INDEX(Inputs!$K$5:$AJ$200,0,MATCH(O$2,Inputs!$K$4:$AJ$4,0))))=0,NA(),SUMPRODUCT((Inputs!$A$5:$A$200=$B29)*Inputs!$B$5:$B$200*(((Inputs!$G$5:$G$200="moeda")+(Inputs!$G$5:$G$200="acoes"))*Inputs!$B$1+((Inputs!$G$5:$G$200&lt;&gt;"moeda")*(Inputs!$G$5:$G$200&lt;&gt;"acoes")))*INDEX(Inputs!$K$5:$AJ$200,0,MATCH(O$2,Inputs!$K$4:$AJ$4,0)))+SUMPRODUCT((Inputs!$C$5:$C$200=$B29)*Inputs!$D$5:$D$200*(((Inputs!$G$5:$G$200="moeda")+(Inputs!$G$5:$G$200="acoes"))*Inputs!$B$1+((Inputs!$G$5:$G$200&lt;&gt;"moeda")*(Inputs!$G$5:$G$200&lt;&gt;"acoes")))*INDEX(Inputs!$K$5:$AJ$200,0,MATCH(O$2,Inputs!$K$4:$AJ$4,0)))+SUMPRODUCT((Inputs!$E$5:$E$200=$B29)*Inputs!$F$5:$F$200*(((Inputs!$G$5:$G$200="moeda")+(Inputs!$G$5:$G$200="acoes"))*Inputs!$B$1+((Inputs!$G$5:$G$200&lt;&gt;"moeda")*(Inputs!$G$5:$G$200&lt;&gt;"acoes")))*INDEX(Inputs!$K$5:$AJ$200,0,MATCH(O$2,Inputs!$K$4:$AJ$4,0)))))</f>
        <v>31.021</v>
      </c>
      <c r="P29" s="6">
        <f>IF(ISNA(MATCH(P$2,Inputs!$K$4:$AJ$4,0)),NA(),IF(SUMPRODUCT((Inputs!$A$5:$A$200=$B29)*ISNUMBER(INDEX(Inputs!$K$5:$AJ$200,0,MATCH(P$2,Inputs!$K$4:$AJ$4,0))))+SUMPRODUCT((Inputs!$C$5:$C$200=$B29)*ISNUMBER(INDEX(Inputs!$K$5:$AJ$200,0,MATCH(P$2,Inputs!$K$4:$AJ$4,0))))+SUMPRODUCT((Inputs!$E$5:$E$200=$B29)*ISNUMBER(INDEX(Inputs!$K$5:$AJ$200,0,MATCH(P$2,Inputs!$K$4:$AJ$4,0))))=0,NA(),SUMPRODUCT((Inputs!$A$5:$A$200=$B29)*Inputs!$B$5:$B$200*(((Inputs!$G$5:$G$200="moeda")+(Inputs!$G$5:$G$200="acoes"))*Inputs!$B$1+((Inputs!$G$5:$G$200&lt;&gt;"moeda")*(Inputs!$G$5:$G$200&lt;&gt;"acoes")))*INDEX(Inputs!$K$5:$AJ$200,0,MATCH(P$2,Inputs!$K$4:$AJ$4,0)))+SUMPRODUCT((Inputs!$C$5:$C$200=$B29)*Inputs!$D$5:$D$200*(((Inputs!$G$5:$G$200="moeda")+(Inputs!$G$5:$G$200="acoes"))*Inputs!$B$1+((Inputs!$G$5:$G$200&lt;&gt;"moeda")*(Inputs!$G$5:$G$200&lt;&gt;"acoes")))*INDEX(Inputs!$K$5:$AJ$200,0,MATCH(P$2,Inputs!$K$4:$AJ$4,0)))+SUMPRODUCT((Inputs!$E$5:$E$200=$B29)*Inputs!$F$5:$F$200*(((Inputs!$G$5:$G$200="moeda")+(Inputs!$G$5:$G$200="acoes"))*Inputs!$B$1+((Inputs!$G$5:$G$200&lt;&gt;"moeda")*(Inputs!$G$5:$G$200&lt;&gt;"acoes")))*INDEX(Inputs!$K$5:$AJ$200,0,MATCH(P$2,Inputs!$K$4:$AJ$4,0)))))</f>
        <v>34.131</v>
      </c>
      <c r="Q29" s="6">
        <f>IF(ISNA(MATCH(Q$2,Inputs!$K$4:$AJ$4,0)),NA(),IF(SUMPRODUCT((Inputs!$A$5:$A$200=$B29)*ISNUMBER(INDEX(Inputs!$K$5:$AJ$200,0,MATCH(Q$2,Inputs!$K$4:$AJ$4,0))))+SUMPRODUCT((Inputs!$C$5:$C$200=$B29)*ISNUMBER(INDEX(Inputs!$K$5:$AJ$200,0,MATCH(Q$2,Inputs!$K$4:$AJ$4,0))))+SUMPRODUCT((Inputs!$E$5:$E$200=$B29)*ISNUMBER(INDEX(Inputs!$K$5:$AJ$200,0,MATCH(Q$2,Inputs!$K$4:$AJ$4,0))))=0,NA(),SUMPRODUCT((Inputs!$A$5:$A$200=$B29)*Inputs!$B$5:$B$200*(((Inputs!$G$5:$G$200="moeda")+(Inputs!$G$5:$G$200="acoes"))*Inputs!$B$1+((Inputs!$G$5:$G$200&lt;&gt;"moeda")*(Inputs!$G$5:$G$200&lt;&gt;"acoes")))*INDEX(Inputs!$K$5:$AJ$200,0,MATCH(Q$2,Inputs!$K$4:$AJ$4,0)))+SUMPRODUCT((Inputs!$C$5:$C$200=$B29)*Inputs!$D$5:$D$200*(((Inputs!$G$5:$G$200="moeda")+(Inputs!$G$5:$G$200="acoes"))*Inputs!$B$1+((Inputs!$G$5:$G$200&lt;&gt;"moeda")*(Inputs!$G$5:$G$200&lt;&gt;"acoes")))*INDEX(Inputs!$K$5:$AJ$200,0,MATCH(Q$2,Inputs!$K$4:$AJ$4,0)))+SUMPRODUCT((Inputs!$E$5:$E$200=$B29)*Inputs!$F$5:$F$200*(((Inputs!$G$5:$G$200="moeda")+(Inputs!$G$5:$G$200="acoes"))*Inputs!$B$1+((Inputs!$G$5:$G$200&lt;&gt;"moeda")*(Inputs!$G$5:$G$200&lt;&gt;"acoes")))*INDEX(Inputs!$K$5:$AJ$200,0,MATCH(Q$2,Inputs!$K$4:$AJ$4,0)))))</f>
        <v>25.248</v>
      </c>
      <c r="R29" s="3">
        <f>Q29</f>
        <v>25.248</v>
      </c>
      <c r="S29" s="6">
        <f>IF(ISNA(MATCH(S$2,Inputs!$K$4:$AJ$4,0)),NA(),IF(SUMPRODUCT((Inputs!$A$5:$A$200=$B29)*ISNUMBER(INDEX(Inputs!$K$5:$AJ$200,0,MATCH(S$2,Inputs!$K$4:$AJ$4,0))))+SUMPRODUCT((Inputs!$C$5:$C$200=$B29)*ISNUMBER(INDEX(Inputs!$K$5:$AJ$200,0,MATCH(S$2,Inputs!$K$4:$AJ$4,0))))+SUMPRODUCT((Inputs!$E$5:$E$200=$B29)*ISNUMBER(INDEX(Inputs!$K$5:$AJ$200,0,MATCH(S$2,Inputs!$K$4:$AJ$4,0))))=0,NA(),SUMPRODUCT((Inputs!$A$5:$A$200=$B29)*Inputs!$B$5:$B$200*(((Inputs!$G$5:$G$200="moeda")+(Inputs!$G$5:$G$200="acoes"))*Inputs!$B$1+((Inputs!$G$5:$G$200&lt;&gt;"moeda")*(Inputs!$G$5:$G$200&lt;&gt;"acoes")))*INDEX(Inputs!$K$5:$AJ$200,0,MATCH(S$2,Inputs!$K$4:$AJ$4,0)))+SUMPRODUCT((Inputs!$C$5:$C$200=$B29)*Inputs!$D$5:$D$200*(((Inputs!$G$5:$G$200="moeda")+(Inputs!$G$5:$G$200="acoes"))*Inputs!$B$1+((Inputs!$G$5:$G$200&lt;&gt;"moeda")*(Inputs!$G$5:$G$200&lt;&gt;"acoes")))*INDEX(Inputs!$K$5:$AJ$200,0,MATCH(S$2,Inputs!$K$4:$AJ$4,0)))+SUMPRODUCT((Inputs!$E$5:$E$200=$B29)*Inputs!$F$5:$F$200*(((Inputs!$G$5:$G$200="moeda")+(Inputs!$G$5:$G$200="acoes"))*Inputs!$B$1+((Inputs!$G$5:$G$200&lt;&gt;"moeda")*(Inputs!$G$5:$G$200&lt;&gt;"acoes")))*INDEX(Inputs!$K$5:$AJ$200,0,MATCH(S$2,Inputs!$K$4:$AJ$4,0)))))</f>
        <v>28.991</v>
      </c>
      <c r="T29" s="6">
        <f>IF(ISNA(MATCH(T$2,Inputs!$K$4:$AJ$4,0)),NA(),IF(SUMPRODUCT((Inputs!$A$5:$A$200=$B29)*ISNUMBER(INDEX(Inputs!$K$5:$AJ$200,0,MATCH(T$2,Inputs!$K$4:$AJ$4,0))))+SUMPRODUCT((Inputs!$C$5:$C$200=$B29)*ISNUMBER(INDEX(Inputs!$K$5:$AJ$200,0,MATCH(T$2,Inputs!$K$4:$AJ$4,0))))+SUMPRODUCT((Inputs!$E$5:$E$200=$B29)*ISNUMBER(INDEX(Inputs!$K$5:$AJ$200,0,MATCH(T$2,Inputs!$K$4:$AJ$4,0))))=0,NA(),SUMPRODUCT((Inputs!$A$5:$A$200=$B29)*Inputs!$B$5:$B$200*(((Inputs!$G$5:$G$200="moeda")+(Inputs!$G$5:$G$200="acoes"))*Inputs!$B$1+((Inputs!$G$5:$G$200&lt;&gt;"moeda")*(Inputs!$G$5:$G$200&lt;&gt;"acoes")))*INDEX(Inputs!$K$5:$AJ$200,0,MATCH(T$2,Inputs!$K$4:$AJ$4,0)))+SUMPRODUCT((Inputs!$C$5:$C$200=$B29)*Inputs!$D$5:$D$200*(((Inputs!$G$5:$G$200="moeda")+(Inputs!$G$5:$G$200="acoes"))*Inputs!$B$1+((Inputs!$G$5:$G$200&lt;&gt;"moeda")*(Inputs!$G$5:$G$200&lt;&gt;"acoes")))*INDEX(Inputs!$K$5:$AJ$200,0,MATCH(T$2,Inputs!$K$4:$AJ$4,0)))+SUMPRODUCT((Inputs!$E$5:$E$200=$B29)*Inputs!$F$5:$F$200*(((Inputs!$G$5:$G$200="moeda")+(Inputs!$G$5:$G$200="acoes"))*Inputs!$B$1+((Inputs!$G$5:$G$200&lt;&gt;"moeda")*(Inputs!$G$5:$G$200&lt;&gt;"acoes")))*INDEX(Inputs!$K$5:$AJ$200,0,MATCH(T$2,Inputs!$K$4:$AJ$4,0)))))</f>
        <v>34.013</v>
      </c>
      <c r="U29" s="6">
        <f>IF(ISNA(MATCH(U$2,Inputs!$K$4:$AJ$4,0)),NA(),IF(SUMPRODUCT((Inputs!$A$5:$A$200=$B29)*ISNUMBER(INDEX(Inputs!$K$5:$AJ$200,0,MATCH(U$2,Inputs!$K$4:$AJ$4,0))))+SUMPRODUCT((Inputs!$C$5:$C$200=$B29)*ISNUMBER(INDEX(Inputs!$K$5:$AJ$200,0,MATCH(U$2,Inputs!$K$4:$AJ$4,0))))+SUMPRODUCT((Inputs!$E$5:$E$200=$B29)*ISNUMBER(INDEX(Inputs!$K$5:$AJ$200,0,MATCH(U$2,Inputs!$K$4:$AJ$4,0))))=0,NA(),SUMPRODUCT((Inputs!$A$5:$A$200=$B29)*Inputs!$B$5:$B$200*(((Inputs!$G$5:$G$200="moeda")+(Inputs!$G$5:$G$200="acoes"))*Inputs!$B$1+((Inputs!$G$5:$G$200&lt;&gt;"moeda")*(Inputs!$G$5:$G$200&lt;&gt;"acoes")))*INDEX(Inputs!$K$5:$AJ$200,0,MATCH(U$2,Inputs!$K$4:$AJ$4,0)))+SUMPRODUCT((Inputs!$C$5:$C$200=$B29)*Inputs!$D$5:$D$200*(((Inputs!$G$5:$G$200="moeda")+(Inputs!$G$5:$G$200="acoes"))*Inputs!$B$1+((Inputs!$G$5:$G$200&lt;&gt;"moeda")*(Inputs!$G$5:$G$200&lt;&gt;"acoes")))*INDEX(Inputs!$K$5:$AJ$200,0,MATCH(U$2,Inputs!$K$4:$AJ$4,0)))+SUMPRODUCT((Inputs!$E$5:$E$200=$B29)*Inputs!$F$5:$F$200*(((Inputs!$G$5:$G$200="moeda")+(Inputs!$G$5:$G$200="acoes"))*Inputs!$B$1+((Inputs!$G$5:$G$200&lt;&gt;"moeda")*(Inputs!$G$5:$G$200&lt;&gt;"acoes")))*INDEX(Inputs!$K$5:$AJ$200,0,MATCH(U$2,Inputs!$K$4:$AJ$4,0)))))</f>
        <v>36.196</v>
      </c>
      <c r="V29" s="6">
        <f>IF(ISNA(MATCH(V$2,Inputs!$K$4:$AJ$4,0)),NA(),IF(SUMPRODUCT((Inputs!$A$5:$A$200=$B29)*ISNUMBER(INDEX(Inputs!$K$5:$AJ$200,0,MATCH(V$2,Inputs!$K$4:$AJ$4,0))))+SUMPRODUCT((Inputs!$C$5:$C$200=$B29)*ISNUMBER(INDEX(Inputs!$K$5:$AJ$200,0,MATCH(V$2,Inputs!$K$4:$AJ$4,0))))+SUMPRODUCT((Inputs!$E$5:$E$200=$B29)*ISNUMBER(INDEX(Inputs!$K$5:$AJ$200,0,MATCH(V$2,Inputs!$K$4:$AJ$4,0))))=0,NA(),SUMPRODUCT((Inputs!$A$5:$A$200=$B29)*Inputs!$B$5:$B$200*(((Inputs!$G$5:$G$200="moeda")+(Inputs!$G$5:$G$200="acoes"))*Inputs!$B$1+((Inputs!$G$5:$G$200&lt;&gt;"moeda")*(Inputs!$G$5:$G$200&lt;&gt;"acoes")))*INDEX(Inputs!$K$5:$AJ$200,0,MATCH(V$2,Inputs!$K$4:$AJ$4,0)))+SUMPRODUCT((Inputs!$C$5:$C$200=$B29)*Inputs!$D$5:$D$200*(((Inputs!$G$5:$G$200="moeda")+(Inputs!$G$5:$G$200="acoes"))*Inputs!$B$1+((Inputs!$G$5:$G$200&lt;&gt;"moeda")*(Inputs!$G$5:$G$200&lt;&gt;"acoes")))*INDEX(Inputs!$K$5:$AJ$200,0,MATCH(V$2,Inputs!$K$4:$AJ$4,0)))+SUMPRODUCT((Inputs!$E$5:$E$200=$B29)*Inputs!$F$5:$F$200*(((Inputs!$G$5:$G$200="moeda")+(Inputs!$G$5:$G$200="acoes"))*Inputs!$B$1+((Inputs!$G$5:$G$200&lt;&gt;"moeda")*(Inputs!$G$5:$G$200&lt;&gt;"acoes")))*INDEX(Inputs!$K$5:$AJ$200,0,MATCH(V$2,Inputs!$K$4:$AJ$4,0)))))</f>
        <v>32.093</v>
      </c>
      <c r="W29" s="3">
        <f>V29</f>
        <v>32.093</v>
      </c>
      <c r="X29" s="6">
        <f>IF(ISNA(MATCH(X$2,Inputs!$K$4:$AJ$4,0)),NA(),IF(SUMPRODUCT((Inputs!$A$5:$A$200=$B29)*ISNUMBER(INDEX(Inputs!$K$5:$AJ$200,0,MATCH(X$2,Inputs!$K$4:$AJ$4,0))))+SUMPRODUCT((Inputs!$C$5:$C$200=$B29)*ISNUMBER(INDEX(Inputs!$K$5:$AJ$200,0,MATCH(X$2,Inputs!$K$4:$AJ$4,0))))+SUMPRODUCT((Inputs!$E$5:$E$200=$B29)*ISNUMBER(INDEX(Inputs!$K$5:$AJ$200,0,MATCH(X$2,Inputs!$K$4:$AJ$4,0))))=0,NA(),SUMPRODUCT((Inputs!$A$5:$A$200=$B29)*Inputs!$B$5:$B$200*(((Inputs!$G$5:$G$200="moeda")+(Inputs!$G$5:$G$200="acoes"))*Inputs!$B$1+((Inputs!$G$5:$G$200&lt;&gt;"moeda")*(Inputs!$G$5:$G$200&lt;&gt;"acoes")))*INDEX(Inputs!$K$5:$AJ$200,0,MATCH(X$2,Inputs!$K$4:$AJ$4,0)))+SUMPRODUCT((Inputs!$C$5:$C$200=$B29)*Inputs!$D$5:$D$200*(((Inputs!$G$5:$G$200="moeda")+(Inputs!$G$5:$G$200="acoes"))*Inputs!$B$1+((Inputs!$G$5:$G$200&lt;&gt;"moeda")*(Inputs!$G$5:$G$200&lt;&gt;"acoes")))*INDEX(Inputs!$K$5:$AJ$200,0,MATCH(X$2,Inputs!$K$4:$AJ$4,0)))+SUMPRODUCT((Inputs!$E$5:$E$200=$B29)*Inputs!$F$5:$F$200*(((Inputs!$G$5:$G$200="moeda")+(Inputs!$G$5:$G$200="acoes"))*Inputs!$B$1+((Inputs!$G$5:$G$200&lt;&gt;"moeda")*(Inputs!$G$5:$G$200&lt;&gt;"acoes")))*INDEX(Inputs!$K$5:$AJ$200,0,MATCH(X$2,Inputs!$K$4:$AJ$4,0)))))</f>
        <v>33.649</v>
      </c>
      <c r="Y29" s="6">
        <f>IF(ISNA(MATCH(Y$2,Inputs!$K$4:$AJ$4,0)),NA(),IF(SUMPRODUCT((Inputs!$A$5:$A$200=$B29)*ISNUMBER(INDEX(Inputs!$K$5:$AJ$200,0,MATCH(Y$2,Inputs!$K$4:$AJ$4,0))))+SUMPRODUCT((Inputs!$C$5:$C$200=$B29)*ISNUMBER(INDEX(Inputs!$K$5:$AJ$200,0,MATCH(Y$2,Inputs!$K$4:$AJ$4,0))))+SUMPRODUCT((Inputs!$E$5:$E$200=$B29)*ISNUMBER(INDEX(Inputs!$K$5:$AJ$200,0,MATCH(Y$2,Inputs!$K$4:$AJ$4,0))))=0,NA(),SUMPRODUCT((Inputs!$A$5:$A$200=$B29)*Inputs!$B$5:$B$200*(((Inputs!$G$5:$G$200="moeda")+(Inputs!$G$5:$G$200="acoes"))*Inputs!$B$1+((Inputs!$G$5:$G$200&lt;&gt;"moeda")*(Inputs!$G$5:$G$200&lt;&gt;"acoes")))*INDEX(Inputs!$K$5:$AJ$200,0,MATCH(Y$2,Inputs!$K$4:$AJ$4,0)))+SUMPRODUCT((Inputs!$C$5:$C$200=$B29)*Inputs!$D$5:$D$200*(((Inputs!$G$5:$G$200="moeda")+(Inputs!$G$5:$G$200="acoes"))*Inputs!$B$1+((Inputs!$G$5:$G$200&lt;&gt;"moeda")*(Inputs!$G$5:$G$200&lt;&gt;"acoes")))*INDEX(Inputs!$K$5:$AJ$200,0,MATCH(Y$2,Inputs!$K$4:$AJ$4,0)))+SUMPRODUCT((Inputs!$E$5:$E$200=$B29)*Inputs!$F$5:$F$200*(((Inputs!$G$5:$G$200="moeda")+(Inputs!$G$5:$G$200="acoes"))*Inputs!$B$1+((Inputs!$G$5:$G$200&lt;&gt;"moeda")*(Inputs!$G$5:$G$200&lt;&gt;"acoes")))*INDEX(Inputs!$K$5:$AJ$200,0,MATCH(Y$2,Inputs!$K$4:$AJ$4,0)))))</f>
        <v>38.644</v>
      </c>
      <c r="Z29" s="6">
        <f>IF(ISNA(MATCH(Z$2,Inputs!$K$4:$AJ$4,0)),NA(),IF(SUMPRODUCT((Inputs!$A$5:$A$200=$B29)*ISNUMBER(INDEX(Inputs!$K$5:$AJ$200,0,MATCH(Z$2,Inputs!$K$4:$AJ$4,0))))+SUMPRODUCT((Inputs!$C$5:$C$200=$B29)*ISNUMBER(INDEX(Inputs!$K$5:$AJ$200,0,MATCH(Z$2,Inputs!$K$4:$AJ$4,0))))+SUMPRODUCT((Inputs!$E$5:$E$200=$B29)*ISNUMBER(INDEX(Inputs!$K$5:$AJ$200,0,MATCH(Z$2,Inputs!$K$4:$AJ$4,0))))=0,NA(),SUMPRODUCT((Inputs!$A$5:$A$200=$B29)*Inputs!$B$5:$B$200*(((Inputs!$G$5:$G$200="moeda")+(Inputs!$G$5:$G$200="acoes"))*Inputs!$B$1+((Inputs!$G$5:$G$200&lt;&gt;"moeda")*(Inputs!$G$5:$G$200&lt;&gt;"acoes")))*INDEX(Inputs!$K$5:$AJ$200,0,MATCH(Z$2,Inputs!$K$4:$AJ$4,0)))+SUMPRODUCT((Inputs!$C$5:$C$200=$B29)*Inputs!$D$5:$D$200*(((Inputs!$G$5:$G$200="moeda")+(Inputs!$G$5:$G$200="acoes"))*Inputs!$B$1+((Inputs!$G$5:$G$200&lt;&gt;"moeda")*(Inputs!$G$5:$G$200&lt;&gt;"acoes")))*INDEX(Inputs!$K$5:$AJ$200,0,MATCH(Z$2,Inputs!$K$4:$AJ$4,0)))+SUMPRODUCT((Inputs!$E$5:$E$200=$B29)*Inputs!$F$5:$F$200*(((Inputs!$G$5:$G$200="moeda")+(Inputs!$G$5:$G$200="acoes"))*Inputs!$B$1+((Inputs!$G$5:$G$200&lt;&gt;"moeda")*(Inputs!$G$5:$G$200&lt;&gt;"acoes")))*INDEX(Inputs!$K$5:$AJ$200,0,MATCH(Z$2,Inputs!$K$4:$AJ$4,0)))))</f>
        <v>40.727</v>
      </c>
      <c r="AA29" s="6">
        <f>IF(ISNA(MATCH(AA$2,Inputs!$K$4:$AJ$4,0)),NA(),IF(SUMPRODUCT((Inputs!$A$5:$A$200=$B29)*ISNUMBER(INDEX(Inputs!$K$5:$AJ$200,0,MATCH(AA$2,Inputs!$K$4:$AJ$4,0))))+SUMPRODUCT((Inputs!$C$5:$C$200=$B29)*ISNUMBER(INDEX(Inputs!$K$5:$AJ$200,0,MATCH(AA$2,Inputs!$K$4:$AJ$4,0))))+SUMPRODUCT((Inputs!$E$5:$E$200=$B29)*ISNUMBER(INDEX(Inputs!$K$5:$AJ$200,0,MATCH(AA$2,Inputs!$K$4:$AJ$4,0))))=0,NA(),SUMPRODUCT((Inputs!$A$5:$A$200=$B29)*Inputs!$B$5:$B$200*(((Inputs!$G$5:$G$200="moeda")+(Inputs!$G$5:$G$200="acoes"))*Inputs!$B$1+((Inputs!$G$5:$G$200&lt;&gt;"moeda")*(Inputs!$G$5:$G$200&lt;&gt;"acoes")))*INDEX(Inputs!$K$5:$AJ$200,0,MATCH(AA$2,Inputs!$K$4:$AJ$4,0)))+SUMPRODUCT((Inputs!$C$5:$C$200=$B29)*Inputs!$D$5:$D$200*(((Inputs!$G$5:$G$200="moeda")+(Inputs!$G$5:$G$200="acoes"))*Inputs!$B$1+((Inputs!$G$5:$G$200&lt;&gt;"moeda")*(Inputs!$G$5:$G$200&lt;&gt;"acoes")))*INDEX(Inputs!$K$5:$AJ$200,0,MATCH(AA$2,Inputs!$K$4:$AJ$4,0)))+SUMPRODUCT((Inputs!$E$5:$E$200=$B29)*Inputs!$F$5:$F$200*(((Inputs!$G$5:$G$200="moeda")+(Inputs!$G$5:$G$200="acoes"))*Inputs!$B$1+((Inputs!$G$5:$G$200&lt;&gt;"moeda")*(Inputs!$G$5:$G$200&lt;&gt;"acoes")))*INDEX(Inputs!$K$5:$AJ$200,0,MATCH(AA$2,Inputs!$K$4:$AJ$4,0)))))</f>
        <v>31.894</v>
      </c>
      <c r="AB29" s="3">
        <f>AA29</f>
        <v>31.894</v>
      </c>
      <c r="AC29" s="6">
        <f>IF(ISNA(MATCH(AC$2,Inputs!$K$4:$AJ$4,0)),NA(),IF(SUMPRODUCT((Inputs!$A$5:$A$200=$B29)*ISNUMBER(INDEX(Inputs!$K$5:$AJ$200,0,MATCH(AC$2,Inputs!$K$4:$AJ$4,0))))+SUMPRODUCT((Inputs!$C$5:$C$200=$B29)*ISNUMBER(INDEX(Inputs!$K$5:$AJ$200,0,MATCH(AC$2,Inputs!$K$4:$AJ$4,0))))+SUMPRODUCT((Inputs!$E$5:$E$200=$B29)*ISNUMBER(INDEX(Inputs!$K$5:$AJ$200,0,MATCH(AC$2,Inputs!$K$4:$AJ$4,0))))=0,NA(),SUMPRODUCT((Inputs!$A$5:$A$200=$B29)*Inputs!$B$5:$B$200*(((Inputs!$G$5:$G$200="moeda")+(Inputs!$G$5:$G$200="acoes"))*Inputs!$B$1+((Inputs!$G$5:$G$200&lt;&gt;"moeda")*(Inputs!$G$5:$G$200&lt;&gt;"acoes")))*INDEX(Inputs!$K$5:$AJ$200,0,MATCH(AC$2,Inputs!$K$4:$AJ$4,0)))+SUMPRODUCT((Inputs!$C$5:$C$200=$B29)*Inputs!$D$5:$D$200*(((Inputs!$G$5:$G$200="moeda")+(Inputs!$G$5:$G$200="acoes"))*Inputs!$B$1+((Inputs!$G$5:$G$200&lt;&gt;"moeda")*(Inputs!$G$5:$G$200&lt;&gt;"acoes")))*INDEX(Inputs!$K$5:$AJ$200,0,MATCH(AC$2,Inputs!$K$4:$AJ$4,0)))+SUMPRODUCT((Inputs!$E$5:$E$200=$B29)*Inputs!$F$5:$F$200*(((Inputs!$G$5:$G$200="moeda")+(Inputs!$G$5:$G$200="acoes"))*Inputs!$B$1+((Inputs!$G$5:$G$200&lt;&gt;"moeda")*(Inputs!$G$5:$G$200&lt;&gt;"acoes")))*INDEX(Inputs!$K$5:$AJ$200,0,MATCH(AC$2,Inputs!$K$4:$AJ$4,0)))))</f>
        <v>35.72</v>
      </c>
      <c r="AD29" s="6">
        <f>IF(ISNA(MATCH(AD$2,Inputs!$K$4:$AJ$4,0)),NA(),IF(SUMPRODUCT((Inputs!$A$5:$A$200=$B29)*ISNUMBER(INDEX(Inputs!$K$5:$AJ$200,0,MATCH(AD$2,Inputs!$K$4:$AJ$4,0))))+SUMPRODUCT((Inputs!$C$5:$C$200=$B29)*ISNUMBER(INDEX(Inputs!$K$5:$AJ$200,0,MATCH(AD$2,Inputs!$K$4:$AJ$4,0))))+SUMPRODUCT((Inputs!$E$5:$E$200=$B29)*ISNUMBER(INDEX(Inputs!$K$5:$AJ$200,0,MATCH(AD$2,Inputs!$K$4:$AJ$4,0))))=0,NA(),SUMPRODUCT((Inputs!$A$5:$A$200=$B29)*Inputs!$B$5:$B$200*(((Inputs!$G$5:$G$200="moeda")+(Inputs!$G$5:$G$200="acoes"))*Inputs!$B$1+((Inputs!$G$5:$G$200&lt;&gt;"moeda")*(Inputs!$G$5:$G$200&lt;&gt;"acoes")))*INDEX(Inputs!$K$5:$AJ$200,0,MATCH(AD$2,Inputs!$K$4:$AJ$4,0)))+SUMPRODUCT((Inputs!$C$5:$C$200=$B29)*Inputs!$D$5:$D$200*(((Inputs!$G$5:$G$200="moeda")+(Inputs!$G$5:$G$200="acoes"))*Inputs!$B$1+((Inputs!$G$5:$G$200&lt;&gt;"moeda")*(Inputs!$G$5:$G$200&lt;&gt;"acoes")))*INDEX(Inputs!$K$5:$AJ$200,0,MATCH(AD$2,Inputs!$K$4:$AJ$4,0)))+SUMPRODUCT((Inputs!$E$5:$E$200=$B29)*Inputs!$F$5:$F$200*(((Inputs!$G$5:$G$200="moeda")+(Inputs!$G$5:$G$200="acoes"))*Inputs!$B$1+((Inputs!$G$5:$G$200&lt;&gt;"moeda")*(Inputs!$G$5:$G$200&lt;&gt;"acoes")))*INDEX(Inputs!$K$5:$AJ$200,0,MATCH(AD$2,Inputs!$K$4:$AJ$4,0)))))</f>
        <v>219.628</v>
      </c>
      <c r="AE29" s="6" t="e">
        <f>IF(ISNA(MATCH(AE$2,Inputs!$K$4:$AJ$4,0)),NA(),IF(SUMPRODUCT((Inputs!$A$5:$A$200=$B29)*ISNUMBER(INDEX(Inputs!$K$5:$AJ$200,0,MATCH(AE$2,Inputs!$K$4:$AJ$4,0))))+SUMPRODUCT((Inputs!$C$5:$C$200=$B29)*ISNUMBER(INDEX(Inputs!$K$5:$AJ$200,0,MATCH(AE$2,Inputs!$K$4:$AJ$4,0))))+SUMPRODUCT((Inputs!$E$5:$E$200=$B29)*ISNUMBER(INDEX(Inputs!$K$5:$AJ$200,0,MATCH(AE$2,Inputs!$K$4:$AJ$4,0))))=0,NA(),SUMPRODUCT((Inputs!$A$5:$A$200=$B29)*Inputs!$B$5:$B$200*(((Inputs!$G$5:$G$200="moeda")+(Inputs!$G$5:$G$200="acoes"))*Inputs!$B$1+((Inputs!$G$5:$G$200&lt;&gt;"moeda")*(Inputs!$G$5:$G$200&lt;&gt;"acoes")))*INDEX(Inputs!$K$5:$AJ$200,0,MATCH(AE$2,Inputs!$K$4:$AJ$4,0)))+SUMPRODUCT((Inputs!$C$5:$C$200=$B29)*Inputs!$D$5:$D$200*(((Inputs!$G$5:$G$200="moeda")+(Inputs!$G$5:$G$200="acoes"))*Inputs!$B$1+((Inputs!$G$5:$G$200&lt;&gt;"moeda")*(Inputs!$G$5:$G$200&lt;&gt;"acoes")))*INDEX(Inputs!$K$5:$AJ$200,0,MATCH(AE$2,Inputs!$K$4:$AJ$4,0)))+SUMPRODUCT((Inputs!$E$5:$E$200=$B29)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29" s="6" t="e">
        <f>IF(ISNA(MATCH(AF$2,Inputs!$K$4:$AJ$4,0)),NA(),IF(SUMPRODUCT((Inputs!$A$5:$A$200=$B29)*ISNUMBER(INDEX(Inputs!$K$5:$AJ$200,0,MATCH(AF$2,Inputs!$K$4:$AJ$4,0))))+SUMPRODUCT((Inputs!$C$5:$C$200=$B29)*ISNUMBER(INDEX(Inputs!$K$5:$AJ$200,0,MATCH(AF$2,Inputs!$K$4:$AJ$4,0))))+SUMPRODUCT((Inputs!$E$5:$E$200=$B29)*ISNUMBER(INDEX(Inputs!$K$5:$AJ$200,0,MATCH(AF$2,Inputs!$K$4:$AJ$4,0))))=0,NA(),SUMPRODUCT((Inputs!$A$5:$A$200=$B29)*Inputs!$B$5:$B$200*(((Inputs!$G$5:$G$200="moeda")+(Inputs!$G$5:$G$200="acoes"))*Inputs!$B$1+((Inputs!$G$5:$G$200&lt;&gt;"moeda")*(Inputs!$G$5:$G$200&lt;&gt;"acoes")))*INDEX(Inputs!$K$5:$AJ$200,0,MATCH(AF$2,Inputs!$K$4:$AJ$4,0)))+SUMPRODUCT((Inputs!$C$5:$C$200=$B29)*Inputs!$D$5:$D$200*(((Inputs!$G$5:$G$200="moeda")+(Inputs!$G$5:$G$200="acoes"))*Inputs!$B$1+((Inputs!$G$5:$G$200&lt;&gt;"moeda")*(Inputs!$G$5:$G$200&lt;&gt;"acoes")))*INDEX(Inputs!$K$5:$AJ$200,0,MATCH(AF$2,Inputs!$K$4:$AJ$4,0)))+SUMPRODUCT((Inputs!$E$5:$E$200=$B29)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29" s="3" t="e">
        <f>AF29</f>
        <v>#N/A</v>
      </c>
      <c r="AH29" s="6">
        <f>IF(ISNA(MATCH(AH$2,Inputs!$K$4:$AJ$4,0)),NA(),IF(SUMPRODUCT((Inputs!$A$5:$A$200=$B29)*ISNUMBER(INDEX(Inputs!$K$5:$AJ$200,0,MATCH(AH$2,Inputs!$K$4:$AJ$4,0))))+SUMPRODUCT((Inputs!$C$5:$C$200=$B29)*ISNUMBER(INDEX(Inputs!$K$5:$AJ$200,0,MATCH(AH$2,Inputs!$K$4:$AJ$4,0))))+SUMPRODUCT((Inputs!$E$5:$E$200=$B29)*ISNUMBER(INDEX(Inputs!$K$5:$AJ$200,0,MATCH(AH$2,Inputs!$K$4:$AJ$4,0))))=0,NA(),SUMPRODUCT((Inputs!$A$5:$A$200=$B29)*Inputs!$B$5:$B$200*(((Inputs!$G$5:$G$200="moeda")+(Inputs!$G$5:$G$200="acoes"))*Inputs!$B$1+((Inputs!$G$5:$G$200&lt;&gt;"moeda")*(Inputs!$G$5:$G$200&lt;&gt;"acoes")))*INDEX(Inputs!$K$5:$AJ$200,0,MATCH(AH$2,Inputs!$K$4:$AJ$4,0)))+SUMPRODUCT((Inputs!$C$5:$C$200=$B29)*Inputs!$D$5:$D$200*(((Inputs!$G$5:$G$200="moeda")+(Inputs!$G$5:$G$200="acoes"))*Inputs!$B$1+((Inputs!$G$5:$G$200&lt;&gt;"moeda")*(Inputs!$G$5:$G$200&lt;&gt;"acoes")))*INDEX(Inputs!$K$5:$AJ$200,0,MATCH(AH$2,Inputs!$K$4:$AJ$4,0)))+SUMPRODUCT((Inputs!$E$5:$E$200=$B29)*Inputs!$F$5:$F$200*(((Inputs!$G$5:$G$200="moeda")+(Inputs!$G$5:$G$200="acoes"))*Inputs!$B$1+((Inputs!$G$5:$G$200&lt;&gt;"moeda")*(Inputs!$G$5:$G$200&lt;&gt;"acoes")))*INDEX(Inputs!$K$5:$AJ$200,0,MATCH(AH$2,Inputs!$K$4:$AJ$4,0)))))</f>
        <v>10.583</v>
      </c>
      <c r="AI29" s="6">
        <f>IF(ISNA(MATCH(AI$2,Inputs!$K$4:$AJ$4,0)),NA(),IF(SUMPRODUCT((Inputs!$A$5:$A$200=$B29)*ISNUMBER(INDEX(Inputs!$K$5:$AJ$200,0,MATCH(AI$2,Inputs!$K$4:$AJ$4,0))))+SUMPRODUCT((Inputs!$C$5:$C$200=$B29)*ISNUMBER(INDEX(Inputs!$K$5:$AJ$200,0,MATCH(AI$2,Inputs!$K$4:$AJ$4,0))))+SUMPRODUCT((Inputs!$E$5:$E$200=$B29)*ISNUMBER(INDEX(Inputs!$K$5:$AJ$200,0,MATCH(AI$2,Inputs!$K$4:$AJ$4,0))))=0,NA(),SUMPRODUCT((Inputs!$A$5:$A$200=$B29)*Inputs!$B$5:$B$200*(((Inputs!$G$5:$G$200="moeda")+(Inputs!$G$5:$G$200="acoes"))*Inputs!$B$1+((Inputs!$G$5:$G$200&lt;&gt;"moeda")*(Inputs!$G$5:$G$200&lt;&gt;"acoes")))*INDEX(Inputs!$K$5:$AJ$200,0,MATCH(AI$2,Inputs!$K$4:$AJ$4,0)))+SUMPRODUCT((Inputs!$C$5:$C$200=$B29)*Inputs!$D$5:$D$200*(((Inputs!$G$5:$G$200="moeda")+(Inputs!$G$5:$G$200="acoes"))*Inputs!$B$1+((Inputs!$G$5:$G$200&lt;&gt;"moeda")*(Inputs!$G$5:$G$200&lt;&gt;"acoes")))*INDEX(Inputs!$K$5:$AJ$200,0,MATCH(AI$2,Inputs!$K$4:$AJ$4,0)))+SUMPRODUCT((Inputs!$E$5:$E$200=$B29)*Inputs!$F$5:$F$200*(((Inputs!$G$5:$G$200="moeda")+(Inputs!$G$5:$G$200="acoes"))*Inputs!$B$1+((Inputs!$G$5:$G$200&lt;&gt;"moeda")*(Inputs!$G$5:$G$200&lt;&gt;"acoes")))*INDEX(Inputs!$K$5:$AJ$200,0,MATCH(AI$2,Inputs!$K$4:$AJ$4,0)))))</f>
        <v>13.885</v>
      </c>
      <c r="AJ29" s="6">
        <f>IF(ISNA(MATCH(AJ$2,Inputs!$K$4:$AJ$4,0)),NA(),IF(SUMPRODUCT((Inputs!$A$5:$A$200=$B29)*ISNUMBER(INDEX(Inputs!$K$5:$AJ$200,0,MATCH(AJ$2,Inputs!$K$4:$AJ$4,0))))+SUMPRODUCT((Inputs!$C$5:$C$200=$B29)*ISNUMBER(INDEX(Inputs!$K$5:$AJ$200,0,MATCH(AJ$2,Inputs!$K$4:$AJ$4,0))))+SUMPRODUCT((Inputs!$E$5:$E$200=$B29)*ISNUMBER(INDEX(Inputs!$K$5:$AJ$200,0,MATCH(AJ$2,Inputs!$K$4:$AJ$4,0))))=0,NA(),SUMPRODUCT((Inputs!$A$5:$A$200=$B29)*Inputs!$B$5:$B$200*(((Inputs!$G$5:$G$200="moeda")+(Inputs!$G$5:$G$200="acoes"))*Inputs!$B$1+((Inputs!$G$5:$G$200&lt;&gt;"moeda")*(Inputs!$G$5:$G$200&lt;&gt;"acoes")))*INDEX(Inputs!$K$5:$AJ$200,0,MATCH(AJ$2,Inputs!$K$4:$AJ$4,0)))+SUMPRODUCT((Inputs!$C$5:$C$200=$B29)*Inputs!$D$5:$D$200*(((Inputs!$G$5:$G$200="moeda")+(Inputs!$G$5:$G$200="acoes"))*Inputs!$B$1+((Inputs!$G$5:$G$200&lt;&gt;"moeda")*(Inputs!$G$5:$G$200&lt;&gt;"acoes")))*INDEX(Inputs!$K$5:$AJ$200,0,MATCH(AJ$2,Inputs!$K$4:$AJ$4,0)))+SUMPRODUCT((Inputs!$E$5:$E$200=$B29)*Inputs!$F$5:$F$200*(((Inputs!$G$5:$G$200="moeda")+(Inputs!$G$5:$G$200="acoes"))*Inputs!$B$1+((Inputs!$G$5:$G$200&lt;&gt;"moeda")*(Inputs!$G$5:$G$200&lt;&gt;"acoes")))*INDEX(Inputs!$K$5:$AJ$200,0,MATCH(AJ$2,Inputs!$K$4:$AJ$4,0)))))</f>
        <v>14.112</v>
      </c>
      <c r="AK29" s="6">
        <f>IF(ISNA(MATCH(AK$2,Inputs!$K$4:$AJ$4,0)),NA(),IF(SUMPRODUCT((Inputs!$A$5:$A$200=$B29)*ISNUMBER(INDEX(Inputs!$K$5:$AJ$200,0,MATCH(AK$2,Inputs!$K$4:$AJ$4,0))))+SUMPRODUCT((Inputs!$C$5:$C$200=$B29)*ISNUMBER(INDEX(Inputs!$K$5:$AJ$200,0,MATCH(AK$2,Inputs!$K$4:$AJ$4,0))))+SUMPRODUCT((Inputs!$E$5:$E$200=$B29)*ISNUMBER(INDEX(Inputs!$K$5:$AJ$200,0,MATCH(AK$2,Inputs!$K$4:$AJ$4,0))))=0,NA(),SUMPRODUCT((Inputs!$A$5:$A$200=$B29)*Inputs!$B$5:$B$200*(((Inputs!$G$5:$G$200="moeda")+(Inputs!$G$5:$G$200="acoes"))*Inputs!$B$1+((Inputs!$G$5:$G$200&lt;&gt;"moeda")*(Inputs!$G$5:$G$200&lt;&gt;"acoes")))*INDEX(Inputs!$K$5:$AJ$200,0,MATCH(AK$2,Inputs!$K$4:$AJ$4,0)))+SUMPRODUCT((Inputs!$C$5:$C$200=$B29)*Inputs!$D$5:$D$200*(((Inputs!$G$5:$G$200="moeda")+(Inputs!$G$5:$G$200="acoes"))*Inputs!$B$1+((Inputs!$G$5:$G$200&lt;&gt;"moeda")*(Inputs!$G$5:$G$200&lt;&gt;"acoes")))*INDEX(Inputs!$K$5:$AJ$200,0,MATCH(AK$2,Inputs!$K$4:$AJ$4,0)))+SUMPRODUCT((Inputs!$E$5:$E$200=$B29)*Inputs!$F$5:$F$200*(((Inputs!$G$5:$G$200="moeda")+(Inputs!$G$5:$G$200="acoes"))*Inputs!$B$1+((Inputs!$G$5:$G$200&lt;&gt;"moeda")*(Inputs!$G$5:$G$200&lt;&gt;"acoes")))*INDEX(Inputs!$K$5:$AJ$200,0,MATCH(AK$2,Inputs!$K$4:$AJ$4,0)))))</f>
        <v>9.789</v>
      </c>
      <c r="AL29" s="3">
        <f>AK29</f>
        <v>9.789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$200=$B30)*ISNUMBER(INDEX(Inputs!$K$5:$AJ$200,0,MATCH(D$2,Inputs!$K$4:$AJ$4,0))))+SUMPRODUCT((Inputs!$C$5:$C$200=$B30)*ISNUMBER(INDEX(Inputs!$K$5:$AJ$200,0,MATCH(D$2,Inputs!$K$4:$AJ$4,0))))+SUMPRODUCT((Inputs!$E$5:$E$200=$B30)*ISNUMBER(INDEX(Inputs!$K$5:$AJ$200,0,MATCH(D$2,Inputs!$K$4:$AJ$4,0))))=0,NA(),SUMPRODUCT((Inputs!$A$5:$A$200=$B30)*Inputs!$B$5:$B$200*(((Inputs!$G$5:$G$200="moeda")+(Inputs!$G$5:$G$200="acoes"))*Inputs!$B$1+((Inputs!$G$5:$G$200&lt;&gt;"moeda")*(Inputs!$G$5:$G$200&lt;&gt;"acoes")))*INDEX(Inputs!$K$5:$AJ$200,0,MATCH(D$2,Inputs!$K$4:$AJ$4,0)))+SUMPRODUCT((Inputs!$C$5:$C$200=$B30)*Inputs!$D$5:$D$200*(((Inputs!$G$5:$G$200="moeda")+(Inputs!$G$5:$G$200="acoes"))*Inputs!$B$1+((Inputs!$G$5:$G$200&lt;&gt;"moeda")*(Inputs!$G$5:$G$200&lt;&gt;"acoes")))*INDEX(Inputs!$K$5:$AJ$200,0,MATCH(D$2,Inputs!$K$4:$AJ$4,0)))+SUMPRODUCT((Inputs!$E$5:$E$200=$B30)*Inputs!$F$5:$F$200*(((Inputs!$G$5:$G$200="moeda")+(Inputs!$G$5:$G$200="acoes"))*Inputs!$B$1+((Inputs!$G$5:$G$200&lt;&gt;"moeda")*(Inputs!$G$5:$G$200&lt;&gt;"acoes")))*INDEX(Inputs!$K$5:$AJ$200,0,MATCH(D$2,Inputs!$K$4:$AJ$4,0)))))</f>
        <v>42.497</v>
      </c>
      <c r="E30" s="6">
        <f>IF(ISNA(MATCH(E$2,Inputs!$K$4:$AJ$4,0)),NA(),IF(SUMPRODUCT((Inputs!$A$5:$A$200=$B30)*ISNUMBER(INDEX(Inputs!$K$5:$AJ$200,0,MATCH(E$2,Inputs!$K$4:$AJ$4,0))))+SUMPRODUCT((Inputs!$C$5:$C$200=$B30)*ISNUMBER(INDEX(Inputs!$K$5:$AJ$200,0,MATCH(E$2,Inputs!$K$4:$AJ$4,0))))+SUMPRODUCT((Inputs!$E$5:$E$200=$B30)*ISNUMBER(INDEX(Inputs!$K$5:$AJ$200,0,MATCH(E$2,Inputs!$K$4:$AJ$4,0))))=0,NA(),SUMPRODUCT((Inputs!$A$5:$A$200=$B30)*Inputs!$B$5:$B$200*(((Inputs!$G$5:$G$200="moeda")+(Inputs!$G$5:$G$200="acoes"))*Inputs!$B$1+((Inputs!$G$5:$G$200&lt;&gt;"moeda")*(Inputs!$G$5:$G$200&lt;&gt;"acoes")))*INDEX(Inputs!$K$5:$AJ$200,0,MATCH(E$2,Inputs!$K$4:$AJ$4,0)))+SUMPRODUCT((Inputs!$C$5:$C$200=$B30)*Inputs!$D$5:$D$200*(((Inputs!$G$5:$G$200="moeda")+(Inputs!$G$5:$G$200="acoes"))*Inputs!$B$1+((Inputs!$G$5:$G$200&lt;&gt;"moeda")*(Inputs!$G$5:$G$200&lt;&gt;"acoes")))*INDEX(Inputs!$K$5:$AJ$200,0,MATCH(E$2,Inputs!$K$4:$AJ$4,0)))+SUMPRODUCT((Inputs!$E$5:$E$200=$B30)*Inputs!$F$5:$F$200*(((Inputs!$G$5:$G$200="moeda")+(Inputs!$G$5:$G$200="acoes"))*Inputs!$B$1+((Inputs!$G$5:$G$200&lt;&gt;"moeda")*(Inputs!$G$5:$G$200&lt;&gt;"acoes")))*INDEX(Inputs!$K$5:$AJ$200,0,MATCH(E$2,Inputs!$K$4:$AJ$4,0)))))</f>
        <v>42.4</v>
      </c>
      <c r="F30" s="6">
        <f>IF(ISNA(MATCH(F$2,Inputs!$K$4:$AJ$4,0)),NA(),IF(SUMPRODUCT((Inputs!$A$5:$A$200=$B30)*ISNUMBER(INDEX(Inputs!$K$5:$AJ$200,0,MATCH(F$2,Inputs!$K$4:$AJ$4,0))))+SUMPRODUCT((Inputs!$C$5:$C$200=$B30)*ISNUMBER(INDEX(Inputs!$K$5:$AJ$200,0,MATCH(F$2,Inputs!$K$4:$AJ$4,0))))+SUMPRODUCT((Inputs!$E$5:$E$200=$B30)*ISNUMBER(INDEX(Inputs!$K$5:$AJ$200,0,MATCH(F$2,Inputs!$K$4:$AJ$4,0))))=0,NA(),SUMPRODUCT((Inputs!$A$5:$A$200=$B30)*Inputs!$B$5:$B$200*(((Inputs!$G$5:$G$200="moeda")+(Inputs!$G$5:$G$200="acoes"))*Inputs!$B$1+((Inputs!$G$5:$G$200&lt;&gt;"moeda")*(Inputs!$G$5:$G$200&lt;&gt;"acoes")))*INDEX(Inputs!$K$5:$AJ$200,0,MATCH(F$2,Inputs!$K$4:$AJ$4,0)))+SUMPRODUCT((Inputs!$C$5:$C$200=$B30)*Inputs!$D$5:$D$200*(((Inputs!$G$5:$G$200="moeda")+(Inputs!$G$5:$G$200="acoes"))*Inputs!$B$1+((Inputs!$G$5:$G$200&lt;&gt;"moeda")*(Inputs!$G$5:$G$200&lt;&gt;"acoes")))*INDEX(Inputs!$K$5:$AJ$200,0,MATCH(F$2,Inputs!$K$4:$AJ$4,0)))+SUMPRODUCT((Inputs!$E$5:$E$200=$B30)*Inputs!$F$5:$F$200*(((Inputs!$G$5:$G$200="moeda")+(Inputs!$G$5:$G$200="acoes"))*Inputs!$B$1+((Inputs!$G$5:$G$200&lt;&gt;"moeda")*(Inputs!$G$5:$G$200&lt;&gt;"acoes")))*INDEX(Inputs!$K$5:$AJ$200,0,MATCH(F$2,Inputs!$K$4:$AJ$4,0)))))</f>
        <v>41.358</v>
      </c>
      <c r="G30" s="6">
        <f>IF(ISNA(MATCH(G$2,Inputs!$K$4:$AJ$4,0)),NA(),IF(SUMPRODUCT((Inputs!$A$5:$A$200=$B30)*ISNUMBER(INDEX(Inputs!$K$5:$AJ$200,0,MATCH(G$2,Inputs!$K$4:$AJ$4,0))))+SUMPRODUCT((Inputs!$C$5:$C$200=$B30)*ISNUMBER(INDEX(Inputs!$K$5:$AJ$200,0,MATCH(G$2,Inputs!$K$4:$AJ$4,0))))+SUMPRODUCT((Inputs!$E$5:$E$200=$B30)*ISNUMBER(INDEX(Inputs!$K$5:$AJ$200,0,MATCH(G$2,Inputs!$K$4:$AJ$4,0))))=0,NA(),SUMPRODUCT((Inputs!$A$5:$A$200=$B30)*Inputs!$B$5:$B$200*(((Inputs!$G$5:$G$200="moeda")+(Inputs!$G$5:$G$200="acoes"))*Inputs!$B$1+((Inputs!$G$5:$G$200&lt;&gt;"moeda")*(Inputs!$G$5:$G$200&lt;&gt;"acoes")))*INDEX(Inputs!$K$5:$AJ$200,0,MATCH(G$2,Inputs!$K$4:$AJ$4,0)))+SUMPRODUCT((Inputs!$C$5:$C$200=$B30)*Inputs!$D$5:$D$200*(((Inputs!$G$5:$G$200="moeda")+(Inputs!$G$5:$G$200="acoes"))*Inputs!$B$1+((Inputs!$G$5:$G$200&lt;&gt;"moeda")*(Inputs!$G$5:$G$200&lt;&gt;"acoes")))*INDEX(Inputs!$K$5:$AJ$200,0,MATCH(G$2,Inputs!$K$4:$AJ$4,0)))+SUMPRODUCT((Inputs!$E$5:$E$200=$B30)*Inputs!$F$5:$F$200*(((Inputs!$G$5:$G$200="moeda")+(Inputs!$G$5:$G$200="acoes"))*Inputs!$B$1+((Inputs!$G$5:$G$200&lt;&gt;"moeda")*(Inputs!$G$5:$G$200&lt;&gt;"acoes")))*INDEX(Inputs!$K$5:$AJ$200,0,MATCH(G$2,Inputs!$K$4:$AJ$4,0)))))</f>
        <v>38.874</v>
      </c>
      <c r="H30" s="3">
        <f>G30</f>
        <v>38.874</v>
      </c>
      <c r="I30" s="6">
        <f>IF(ISNA(MATCH(I$2,Inputs!$K$4:$AJ$4,0)),NA(),IF(SUMPRODUCT((Inputs!$A$5:$A$200=$B30)*ISNUMBER(INDEX(Inputs!$K$5:$AJ$200,0,MATCH(I$2,Inputs!$K$4:$AJ$4,0))))+SUMPRODUCT((Inputs!$C$5:$C$200=$B30)*ISNUMBER(INDEX(Inputs!$K$5:$AJ$200,0,MATCH(I$2,Inputs!$K$4:$AJ$4,0))))+SUMPRODUCT((Inputs!$E$5:$E$200=$B30)*ISNUMBER(INDEX(Inputs!$K$5:$AJ$200,0,MATCH(I$2,Inputs!$K$4:$AJ$4,0))))=0,NA(),SUMPRODUCT((Inputs!$A$5:$A$200=$B30)*Inputs!$B$5:$B$200*(((Inputs!$G$5:$G$200="moeda")+(Inputs!$G$5:$G$200="acoes"))*Inputs!$B$1+((Inputs!$G$5:$G$200&lt;&gt;"moeda")*(Inputs!$G$5:$G$200&lt;&gt;"acoes")))*INDEX(Inputs!$K$5:$AJ$200,0,MATCH(I$2,Inputs!$K$4:$AJ$4,0)))+SUMPRODUCT((Inputs!$C$5:$C$200=$B30)*Inputs!$D$5:$D$200*(((Inputs!$G$5:$G$200="moeda")+(Inputs!$G$5:$G$200="acoes"))*Inputs!$B$1+((Inputs!$G$5:$G$200&lt;&gt;"moeda")*(Inputs!$G$5:$G$200&lt;&gt;"acoes")))*INDEX(Inputs!$K$5:$AJ$200,0,MATCH(I$2,Inputs!$K$4:$AJ$4,0)))+SUMPRODUCT((Inputs!$E$5:$E$200=$B30)*Inputs!$F$5:$F$200*(((Inputs!$G$5:$G$200="moeda")+(Inputs!$G$5:$G$200="acoes"))*Inputs!$B$1+((Inputs!$G$5:$G$200&lt;&gt;"moeda")*(Inputs!$G$5:$G$200&lt;&gt;"acoes")))*INDEX(Inputs!$K$5:$AJ$200,0,MATCH(I$2,Inputs!$K$4:$AJ$4,0)))))</f>
        <v>32.61</v>
      </c>
      <c r="J30" s="6">
        <f>IF(ISNA(MATCH(J$2,Inputs!$K$4:$AJ$4,0)),NA(),IF(SUMPRODUCT((Inputs!$A$5:$A$200=$B30)*ISNUMBER(INDEX(Inputs!$K$5:$AJ$200,0,MATCH(J$2,Inputs!$K$4:$AJ$4,0))))+SUMPRODUCT((Inputs!$C$5:$C$200=$B30)*ISNUMBER(INDEX(Inputs!$K$5:$AJ$200,0,MATCH(J$2,Inputs!$K$4:$AJ$4,0))))+SUMPRODUCT((Inputs!$E$5:$E$200=$B30)*ISNUMBER(INDEX(Inputs!$K$5:$AJ$200,0,MATCH(J$2,Inputs!$K$4:$AJ$4,0))))=0,NA(),SUMPRODUCT((Inputs!$A$5:$A$200=$B30)*Inputs!$B$5:$B$200*(((Inputs!$G$5:$G$200="moeda")+(Inputs!$G$5:$G$200="acoes"))*Inputs!$B$1+((Inputs!$G$5:$G$200&lt;&gt;"moeda")*(Inputs!$G$5:$G$200&lt;&gt;"acoes")))*INDEX(Inputs!$K$5:$AJ$200,0,MATCH(J$2,Inputs!$K$4:$AJ$4,0)))+SUMPRODUCT((Inputs!$C$5:$C$200=$B30)*Inputs!$D$5:$D$200*(((Inputs!$G$5:$G$200="moeda")+(Inputs!$G$5:$G$200="acoes"))*Inputs!$B$1+((Inputs!$G$5:$G$200&lt;&gt;"moeda")*(Inputs!$G$5:$G$200&lt;&gt;"acoes")))*INDEX(Inputs!$K$5:$AJ$200,0,MATCH(J$2,Inputs!$K$4:$AJ$4,0)))+SUMPRODUCT((Inputs!$E$5:$E$200=$B30)*Inputs!$F$5:$F$200*(((Inputs!$G$5:$G$200="moeda")+(Inputs!$G$5:$G$200="acoes"))*Inputs!$B$1+((Inputs!$G$5:$G$200&lt;&gt;"moeda")*(Inputs!$G$5:$G$200&lt;&gt;"acoes")))*INDEX(Inputs!$K$5:$AJ$200,0,MATCH(J$2,Inputs!$K$4:$AJ$4,0)))))</f>
        <v>46.395</v>
      </c>
      <c r="K30" s="6">
        <f>IF(ISNA(MATCH(K$2,Inputs!$K$4:$AJ$4,0)),NA(),IF(SUMPRODUCT((Inputs!$A$5:$A$200=$B30)*ISNUMBER(INDEX(Inputs!$K$5:$AJ$200,0,MATCH(K$2,Inputs!$K$4:$AJ$4,0))))+SUMPRODUCT((Inputs!$C$5:$C$200=$B30)*ISNUMBER(INDEX(Inputs!$K$5:$AJ$200,0,MATCH(K$2,Inputs!$K$4:$AJ$4,0))))+SUMPRODUCT((Inputs!$E$5:$E$200=$B30)*ISNUMBER(INDEX(Inputs!$K$5:$AJ$200,0,MATCH(K$2,Inputs!$K$4:$AJ$4,0))))=0,NA(),SUMPRODUCT((Inputs!$A$5:$A$200=$B30)*Inputs!$B$5:$B$200*(((Inputs!$G$5:$G$200="moeda")+(Inputs!$G$5:$G$200="acoes"))*Inputs!$B$1+((Inputs!$G$5:$G$200&lt;&gt;"moeda")*(Inputs!$G$5:$G$200&lt;&gt;"acoes")))*INDEX(Inputs!$K$5:$AJ$200,0,MATCH(K$2,Inputs!$K$4:$AJ$4,0)))+SUMPRODUCT((Inputs!$C$5:$C$200=$B30)*Inputs!$D$5:$D$200*(((Inputs!$G$5:$G$200="moeda")+(Inputs!$G$5:$G$200="acoes"))*Inputs!$B$1+((Inputs!$G$5:$G$200&lt;&gt;"moeda")*(Inputs!$G$5:$G$200&lt;&gt;"acoes")))*INDEX(Inputs!$K$5:$AJ$200,0,MATCH(K$2,Inputs!$K$4:$AJ$4,0)))+SUMPRODUCT((Inputs!$E$5:$E$200=$B30)*Inputs!$F$5:$F$200*(((Inputs!$G$5:$G$200="moeda")+(Inputs!$G$5:$G$200="acoes"))*Inputs!$B$1+((Inputs!$G$5:$G$200&lt;&gt;"moeda")*(Inputs!$G$5:$G$200&lt;&gt;"acoes")))*INDEX(Inputs!$K$5:$AJ$200,0,MATCH(K$2,Inputs!$K$4:$AJ$4,0)))))</f>
        <v>52.869</v>
      </c>
      <c r="L30" s="6">
        <f>IF(ISNA(MATCH(L$2,Inputs!$K$4:$AJ$4,0)),NA(),IF(SUMPRODUCT((Inputs!$A$5:$A$200=$B30)*ISNUMBER(INDEX(Inputs!$K$5:$AJ$200,0,MATCH(L$2,Inputs!$K$4:$AJ$4,0))))+SUMPRODUCT((Inputs!$C$5:$C$200=$B30)*ISNUMBER(INDEX(Inputs!$K$5:$AJ$200,0,MATCH(L$2,Inputs!$K$4:$AJ$4,0))))+SUMPRODUCT((Inputs!$E$5:$E$200=$B30)*ISNUMBER(INDEX(Inputs!$K$5:$AJ$200,0,MATCH(L$2,Inputs!$K$4:$AJ$4,0))))=0,NA(),SUMPRODUCT((Inputs!$A$5:$A$200=$B30)*Inputs!$B$5:$B$200*(((Inputs!$G$5:$G$200="moeda")+(Inputs!$G$5:$G$200="acoes"))*Inputs!$B$1+((Inputs!$G$5:$G$200&lt;&gt;"moeda")*(Inputs!$G$5:$G$200&lt;&gt;"acoes")))*INDEX(Inputs!$K$5:$AJ$200,0,MATCH(L$2,Inputs!$K$4:$AJ$4,0)))+SUMPRODUCT((Inputs!$C$5:$C$200=$B30)*Inputs!$D$5:$D$200*(((Inputs!$G$5:$G$200="moeda")+(Inputs!$G$5:$G$200="acoes"))*Inputs!$B$1+((Inputs!$G$5:$G$200&lt;&gt;"moeda")*(Inputs!$G$5:$G$200&lt;&gt;"acoes")))*INDEX(Inputs!$K$5:$AJ$200,0,MATCH(L$2,Inputs!$K$4:$AJ$4,0)))+SUMPRODUCT((Inputs!$E$5:$E$200=$B30)*Inputs!$F$5:$F$200*(((Inputs!$G$5:$G$200="moeda")+(Inputs!$G$5:$G$200="acoes"))*Inputs!$B$1+((Inputs!$G$5:$G$200&lt;&gt;"moeda")*(Inputs!$G$5:$G$200&lt;&gt;"acoes")))*INDEX(Inputs!$K$5:$AJ$200,0,MATCH(L$2,Inputs!$K$4:$AJ$4,0)))))</f>
        <v>66.577</v>
      </c>
      <c r="M30" s="3">
        <f>L30</f>
        <v>66.577</v>
      </c>
      <c r="N30" s="6">
        <f>IF(ISNA(MATCH(N$2,Inputs!$K$4:$AJ$4,0)),NA(),IF(SUMPRODUCT((Inputs!$A$5:$A$200=$B30)*ISNUMBER(INDEX(Inputs!$K$5:$AJ$200,0,MATCH(N$2,Inputs!$K$4:$AJ$4,0))))+SUMPRODUCT((Inputs!$C$5:$C$200=$B30)*ISNUMBER(INDEX(Inputs!$K$5:$AJ$200,0,MATCH(N$2,Inputs!$K$4:$AJ$4,0))))+SUMPRODUCT((Inputs!$E$5:$E$200=$B30)*ISNUMBER(INDEX(Inputs!$K$5:$AJ$200,0,MATCH(N$2,Inputs!$K$4:$AJ$4,0))))=0,NA(),SUMPRODUCT((Inputs!$A$5:$A$200=$B30)*Inputs!$B$5:$B$200*(((Inputs!$G$5:$G$200="moeda")+(Inputs!$G$5:$G$200="acoes"))*Inputs!$B$1+((Inputs!$G$5:$G$200&lt;&gt;"moeda")*(Inputs!$G$5:$G$200&lt;&gt;"acoes")))*INDEX(Inputs!$K$5:$AJ$200,0,MATCH(N$2,Inputs!$K$4:$AJ$4,0)))+SUMPRODUCT((Inputs!$C$5:$C$200=$B30)*Inputs!$D$5:$D$200*(((Inputs!$G$5:$G$200="moeda")+(Inputs!$G$5:$G$200="acoes"))*Inputs!$B$1+((Inputs!$G$5:$G$200&lt;&gt;"moeda")*(Inputs!$G$5:$G$200&lt;&gt;"acoes")))*INDEX(Inputs!$K$5:$AJ$200,0,MATCH(N$2,Inputs!$K$4:$AJ$4,0)))+SUMPRODUCT((Inputs!$E$5:$E$200=$B30)*Inputs!$F$5:$F$200*(((Inputs!$G$5:$G$200="moeda")+(Inputs!$G$5:$G$200="acoes"))*Inputs!$B$1+((Inputs!$G$5:$G$200&lt;&gt;"moeda")*(Inputs!$G$5:$G$200&lt;&gt;"acoes")))*INDEX(Inputs!$K$5:$AJ$200,0,MATCH(N$2,Inputs!$K$4:$AJ$4,0)))))</f>
        <v>63.616</v>
      </c>
      <c r="O30" s="6">
        <f>IF(ISNA(MATCH(O$2,Inputs!$K$4:$AJ$4,0)),NA(),IF(SUMPRODUCT((Inputs!$A$5:$A$200=$B30)*ISNUMBER(INDEX(Inputs!$K$5:$AJ$200,0,MATCH(O$2,Inputs!$K$4:$AJ$4,0))))+SUMPRODUCT((Inputs!$C$5:$C$200=$B30)*ISNUMBER(INDEX(Inputs!$K$5:$AJ$200,0,MATCH(O$2,Inputs!$K$4:$AJ$4,0))))+SUMPRODUCT((Inputs!$E$5:$E$200=$B30)*ISNUMBER(INDEX(Inputs!$K$5:$AJ$200,0,MATCH(O$2,Inputs!$K$4:$AJ$4,0))))=0,NA(),SUMPRODUCT((Inputs!$A$5:$A$200=$B30)*Inputs!$B$5:$B$200*(((Inputs!$G$5:$G$200="moeda")+(Inputs!$G$5:$G$200="acoes"))*Inputs!$B$1+((Inputs!$G$5:$G$200&lt;&gt;"moeda")*(Inputs!$G$5:$G$200&lt;&gt;"acoes")))*INDEX(Inputs!$K$5:$AJ$200,0,MATCH(O$2,Inputs!$K$4:$AJ$4,0)))+SUMPRODUCT((Inputs!$C$5:$C$200=$B30)*Inputs!$D$5:$D$200*(((Inputs!$G$5:$G$200="moeda")+(Inputs!$G$5:$G$200="acoes"))*Inputs!$B$1+((Inputs!$G$5:$G$200&lt;&gt;"moeda")*(Inputs!$G$5:$G$200&lt;&gt;"acoes")))*INDEX(Inputs!$K$5:$AJ$200,0,MATCH(O$2,Inputs!$K$4:$AJ$4,0)))+SUMPRODUCT((Inputs!$E$5:$E$200=$B30)*Inputs!$F$5:$F$200*(((Inputs!$G$5:$G$200="moeda")+(Inputs!$G$5:$G$200="acoes"))*Inputs!$B$1+((Inputs!$G$5:$G$200&lt;&gt;"moeda")*(Inputs!$G$5:$G$200&lt;&gt;"acoes")))*INDEX(Inputs!$K$5:$AJ$200,0,MATCH(O$2,Inputs!$K$4:$AJ$4,0)))))</f>
        <v>55.713</v>
      </c>
      <c r="P30" s="6">
        <f>IF(ISNA(MATCH(P$2,Inputs!$K$4:$AJ$4,0)),NA(),IF(SUMPRODUCT((Inputs!$A$5:$A$200=$B30)*ISNUMBER(INDEX(Inputs!$K$5:$AJ$200,0,MATCH(P$2,Inputs!$K$4:$AJ$4,0))))+SUMPRODUCT((Inputs!$C$5:$C$200=$B30)*ISNUMBER(INDEX(Inputs!$K$5:$AJ$200,0,MATCH(P$2,Inputs!$K$4:$AJ$4,0))))+SUMPRODUCT((Inputs!$E$5:$E$200=$B30)*ISNUMBER(INDEX(Inputs!$K$5:$AJ$200,0,MATCH(P$2,Inputs!$K$4:$AJ$4,0))))=0,NA(),SUMPRODUCT((Inputs!$A$5:$A$200=$B30)*Inputs!$B$5:$B$200*(((Inputs!$G$5:$G$200="moeda")+(Inputs!$G$5:$G$200="acoes"))*Inputs!$B$1+((Inputs!$G$5:$G$200&lt;&gt;"moeda")*(Inputs!$G$5:$G$200&lt;&gt;"acoes")))*INDEX(Inputs!$K$5:$AJ$200,0,MATCH(P$2,Inputs!$K$4:$AJ$4,0)))+SUMPRODUCT((Inputs!$C$5:$C$200=$B30)*Inputs!$D$5:$D$200*(((Inputs!$G$5:$G$200="moeda")+(Inputs!$G$5:$G$200="acoes"))*Inputs!$B$1+((Inputs!$G$5:$G$200&lt;&gt;"moeda")*(Inputs!$G$5:$G$200&lt;&gt;"acoes")))*INDEX(Inputs!$K$5:$AJ$200,0,MATCH(P$2,Inputs!$K$4:$AJ$4,0)))+SUMPRODUCT((Inputs!$E$5:$E$200=$B30)*Inputs!$F$5:$F$200*(((Inputs!$G$5:$G$200="moeda")+(Inputs!$G$5:$G$200="acoes"))*Inputs!$B$1+((Inputs!$G$5:$G$200&lt;&gt;"moeda")*(Inputs!$G$5:$G$200&lt;&gt;"acoes")))*INDEX(Inputs!$K$5:$AJ$200,0,MATCH(P$2,Inputs!$K$4:$AJ$4,0)))))</f>
        <v>55.957</v>
      </c>
      <c r="Q30" s="6">
        <f>IF(ISNA(MATCH(Q$2,Inputs!$K$4:$AJ$4,0)),NA(),IF(SUMPRODUCT((Inputs!$A$5:$A$200=$B30)*ISNUMBER(INDEX(Inputs!$K$5:$AJ$200,0,MATCH(Q$2,Inputs!$K$4:$AJ$4,0))))+SUMPRODUCT((Inputs!$C$5:$C$200=$B30)*ISNUMBER(INDEX(Inputs!$K$5:$AJ$200,0,MATCH(Q$2,Inputs!$K$4:$AJ$4,0))))+SUMPRODUCT((Inputs!$E$5:$E$200=$B30)*ISNUMBER(INDEX(Inputs!$K$5:$AJ$200,0,MATCH(Q$2,Inputs!$K$4:$AJ$4,0))))=0,NA(),SUMPRODUCT((Inputs!$A$5:$A$200=$B30)*Inputs!$B$5:$B$200*(((Inputs!$G$5:$G$200="moeda")+(Inputs!$G$5:$G$200="acoes"))*Inputs!$B$1+((Inputs!$G$5:$G$200&lt;&gt;"moeda")*(Inputs!$G$5:$G$200&lt;&gt;"acoes")))*INDEX(Inputs!$K$5:$AJ$200,0,MATCH(Q$2,Inputs!$K$4:$AJ$4,0)))+SUMPRODUCT((Inputs!$C$5:$C$200=$B30)*Inputs!$D$5:$D$200*(((Inputs!$G$5:$G$200="moeda")+(Inputs!$G$5:$G$200="acoes"))*Inputs!$B$1+((Inputs!$G$5:$G$200&lt;&gt;"moeda")*(Inputs!$G$5:$G$200&lt;&gt;"acoes")))*INDEX(Inputs!$K$5:$AJ$200,0,MATCH(Q$2,Inputs!$K$4:$AJ$4,0)))+SUMPRODUCT((Inputs!$E$5:$E$200=$B30)*Inputs!$F$5:$F$200*(((Inputs!$G$5:$G$200="moeda")+(Inputs!$G$5:$G$200="acoes"))*Inputs!$B$1+((Inputs!$G$5:$G$200&lt;&gt;"moeda")*(Inputs!$G$5:$G$200&lt;&gt;"acoes")))*INDEX(Inputs!$K$5:$AJ$200,0,MATCH(Q$2,Inputs!$K$4:$AJ$4,0)))))</f>
        <v>56.131</v>
      </c>
      <c r="R30" s="3">
        <f>Q30</f>
        <v>56.131</v>
      </c>
      <c r="S30" s="6">
        <f>IF(ISNA(MATCH(S$2,Inputs!$K$4:$AJ$4,0)),NA(),IF(SUMPRODUCT((Inputs!$A$5:$A$200=$B30)*ISNUMBER(INDEX(Inputs!$K$5:$AJ$200,0,MATCH(S$2,Inputs!$K$4:$AJ$4,0))))+SUMPRODUCT((Inputs!$C$5:$C$200=$B30)*ISNUMBER(INDEX(Inputs!$K$5:$AJ$200,0,MATCH(S$2,Inputs!$K$4:$AJ$4,0))))+SUMPRODUCT((Inputs!$E$5:$E$200=$B30)*ISNUMBER(INDEX(Inputs!$K$5:$AJ$200,0,MATCH(S$2,Inputs!$K$4:$AJ$4,0))))=0,NA(),SUMPRODUCT((Inputs!$A$5:$A$200=$B30)*Inputs!$B$5:$B$200*(((Inputs!$G$5:$G$200="moeda")+(Inputs!$G$5:$G$200="acoes"))*Inputs!$B$1+((Inputs!$G$5:$G$200&lt;&gt;"moeda")*(Inputs!$G$5:$G$200&lt;&gt;"acoes")))*INDEX(Inputs!$K$5:$AJ$200,0,MATCH(S$2,Inputs!$K$4:$AJ$4,0)))+SUMPRODUCT((Inputs!$C$5:$C$200=$B30)*Inputs!$D$5:$D$200*(((Inputs!$G$5:$G$200="moeda")+(Inputs!$G$5:$G$200="acoes"))*Inputs!$B$1+((Inputs!$G$5:$G$200&lt;&gt;"moeda")*(Inputs!$G$5:$G$200&lt;&gt;"acoes")))*INDEX(Inputs!$K$5:$AJ$200,0,MATCH(S$2,Inputs!$K$4:$AJ$4,0)))+SUMPRODUCT((Inputs!$E$5:$E$200=$B30)*Inputs!$F$5:$F$200*(((Inputs!$G$5:$G$200="moeda")+(Inputs!$G$5:$G$200="acoes"))*Inputs!$B$1+((Inputs!$G$5:$G$200&lt;&gt;"moeda")*(Inputs!$G$5:$G$200&lt;&gt;"acoes")))*INDEX(Inputs!$K$5:$AJ$200,0,MATCH(S$2,Inputs!$K$4:$AJ$4,0)))))</f>
        <v>64.613</v>
      </c>
      <c r="T30" s="6">
        <f>IF(ISNA(MATCH(T$2,Inputs!$K$4:$AJ$4,0)),NA(),IF(SUMPRODUCT((Inputs!$A$5:$A$200=$B30)*ISNUMBER(INDEX(Inputs!$K$5:$AJ$200,0,MATCH(T$2,Inputs!$K$4:$AJ$4,0))))+SUMPRODUCT((Inputs!$C$5:$C$200=$B30)*ISNUMBER(INDEX(Inputs!$K$5:$AJ$200,0,MATCH(T$2,Inputs!$K$4:$AJ$4,0))))+SUMPRODUCT((Inputs!$E$5:$E$200=$B30)*ISNUMBER(INDEX(Inputs!$K$5:$AJ$200,0,MATCH(T$2,Inputs!$K$4:$AJ$4,0))))=0,NA(),SUMPRODUCT((Inputs!$A$5:$A$200=$B30)*Inputs!$B$5:$B$200*(((Inputs!$G$5:$G$200="moeda")+(Inputs!$G$5:$G$200="acoes"))*Inputs!$B$1+((Inputs!$G$5:$G$200&lt;&gt;"moeda")*(Inputs!$G$5:$G$200&lt;&gt;"acoes")))*INDEX(Inputs!$K$5:$AJ$200,0,MATCH(T$2,Inputs!$K$4:$AJ$4,0)))+SUMPRODUCT((Inputs!$C$5:$C$200=$B30)*Inputs!$D$5:$D$200*(((Inputs!$G$5:$G$200="moeda")+(Inputs!$G$5:$G$200="acoes"))*Inputs!$B$1+((Inputs!$G$5:$G$200&lt;&gt;"moeda")*(Inputs!$G$5:$G$200&lt;&gt;"acoes")))*INDEX(Inputs!$K$5:$AJ$200,0,MATCH(T$2,Inputs!$K$4:$AJ$4,0)))+SUMPRODUCT((Inputs!$E$5:$E$200=$B30)*Inputs!$F$5:$F$200*(((Inputs!$G$5:$G$200="moeda")+(Inputs!$G$5:$G$200="acoes"))*Inputs!$B$1+((Inputs!$G$5:$G$200&lt;&gt;"moeda")*(Inputs!$G$5:$G$200&lt;&gt;"acoes")))*INDEX(Inputs!$K$5:$AJ$200,0,MATCH(T$2,Inputs!$K$4:$AJ$4,0)))))</f>
        <v>58.701</v>
      </c>
      <c r="U30" s="6">
        <f>IF(ISNA(MATCH(U$2,Inputs!$K$4:$AJ$4,0)),NA(),IF(SUMPRODUCT((Inputs!$A$5:$A$200=$B30)*ISNUMBER(INDEX(Inputs!$K$5:$AJ$200,0,MATCH(U$2,Inputs!$K$4:$AJ$4,0))))+SUMPRODUCT((Inputs!$C$5:$C$200=$B30)*ISNUMBER(INDEX(Inputs!$K$5:$AJ$200,0,MATCH(U$2,Inputs!$K$4:$AJ$4,0))))+SUMPRODUCT((Inputs!$E$5:$E$200=$B30)*ISNUMBER(INDEX(Inputs!$K$5:$AJ$200,0,MATCH(U$2,Inputs!$K$4:$AJ$4,0))))=0,NA(),SUMPRODUCT((Inputs!$A$5:$A$200=$B30)*Inputs!$B$5:$B$200*(((Inputs!$G$5:$G$200="moeda")+(Inputs!$G$5:$G$200="acoes"))*Inputs!$B$1+((Inputs!$G$5:$G$200&lt;&gt;"moeda")*(Inputs!$G$5:$G$200&lt;&gt;"acoes")))*INDEX(Inputs!$K$5:$AJ$200,0,MATCH(U$2,Inputs!$K$4:$AJ$4,0)))+SUMPRODUCT((Inputs!$C$5:$C$200=$B30)*Inputs!$D$5:$D$200*(((Inputs!$G$5:$G$200="moeda")+(Inputs!$G$5:$G$200="acoes"))*Inputs!$B$1+((Inputs!$G$5:$G$200&lt;&gt;"moeda")*(Inputs!$G$5:$G$200&lt;&gt;"acoes")))*INDEX(Inputs!$K$5:$AJ$200,0,MATCH(U$2,Inputs!$K$4:$AJ$4,0)))+SUMPRODUCT((Inputs!$E$5:$E$200=$B30)*Inputs!$F$5:$F$200*(((Inputs!$G$5:$G$200="moeda")+(Inputs!$G$5:$G$200="acoes"))*Inputs!$B$1+((Inputs!$G$5:$G$200&lt;&gt;"moeda")*(Inputs!$G$5:$G$200&lt;&gt;"acoes")))*INDEX(Inputs!$K$5:$AJ$200,0,MATCH(U$2,Inputs!$K$4:$AJ$4,0)))))</f>
        <v>55.928</v>
      </c>
      <c r="V30" s="6">
        <f>IF(ISNA(MATCH(V$2,Inputs!$K$4:$AJ$4,0)),NA(),IF(SUMPRODUCT((Inputs!$A$5:$A$200=$B30)*ISNUMBER(INDEX(Inputs!$K$5:$AJ$200,0,MATCH(V$2,Inputs!$K$4:$AJ$4,0))))+SUMPRODUCT((Inputs!$C$5:$C$200=$B30)*ISNUMBER(INDEX(Inputs!$K$5:$AJ$200,0,MATCH(V$2,Inputs!$K$4:$AJ$4,0))))+SUMPRODUCT((Inputs!$E$5:$E$200=$B30)*ISNUMBER(INDEX(Inputs!$K$5:$AJ$200,0,MATCH(V$2,Inputs!$K$4:$AJ$4,0))))=0,NA(),SUMPRODUCT((Inputs!$A$5:$A$200=$B30)*Inputs!$B$5:$B$200*(((Inputs!$G$5:$G$200="moeda")+(Inputs!$G$5:$G$200="acoes"))*Inputs!$B$1+((Inputs!$G$5:$G$200&lt;&gt;"moeda")*(Inputs!$G$5:$G$200&lt;&gt;"acoes")))*INDEX(Inputs!$K$5:$AJ$200,0,MATCH(V$2,Inputs!$K$4:$AJ$4,0)))+SUMPRODUCT((Inputs!$C$5:$C$200=$B30)*Inputs!$D$5:$D$200*(((Inputs!$G$5:$G$200="moeda")+(Inputs!$G$5:$G$200="acoes"))*Inputs!$B$1+((Inputs!$G$5:$G$200&lt;&gt;"moeda")*(Inputs!$G$5:$G$200&lt;&gt;"acoes")))*INDEX(Inputs!$K$5:$AJ$200,0,MATCH(V$2,Inputs!$K$4:$AJ$4,0)))+SUMPRODUCT((Inputs!$E$5:$E$200=$B30)*Inputs!$F$5:$F$200*(((Inputs!$G$5:$G$200="moeda")+(Inputs!$G$5:$G$200="acoes"))*Inputs!$B$1+((Inputs!$G$5:$G$200&lt;&gt;"moeda")*(Inputs!$G$5:$G$200&lt;&gt;"acoes")))*INDEX(Inputs!$K$5:$AJ$200,0,MATCH(V$2,Inputs!$K$4:$AJ$4,0)))))</f>
        <v>67.449</v>
      </c>
      <c r="W30" s="3">
        <f>V30</f>
        <v>67.449</v>
      </c>
      <c r="X30" s="6">
        <f>IF(ISNA(MATCH(X$2,Inputs!$K$4:$AJ$4,0)),NA(),IF(SUMPRODUCT((Inputs!$A$5:$A$200=$B30)*ISNUMBER(INDEX(Inputs!$K$5:$AJ$200,0,MATCH(X$2,Inputs!$K$4:$AJ$4,0))))+SUMPRODUCT((Inputs!$C$5:$C$200=$B30)*ISNUMBER(INDEX(Inputs!$K$5:$AJ$200,0,MATCH(X$2,Inputs!$K$4:$AJ$4,0))))+SUMPRODUCT((Inputs!$E$5:$E$200=$B30)*ISNUMBER(INDEX(Inputs!$K$5:$AJ$200,0,MATCH(X$2,Inputs!$K$4:$AJ$4,0))))=0,NA(),SUMPRODUCT((Inputs!$A$5:$A$200=$B30)*Inputs!$B$5:$B$200*(((Inputs!$G$5:$G$200="moeda")+(Inputs!$G$5:$G$200="acoes"))*Inputs!$B$1+((Inputs!$G$5:$G$200&lt;&gt;"moeda")*(Inputs!$G$5:$G$200&lt;&gt;"acoes")))*INDEX(Inputs!$K$5:$AJ$200,0,MATCH(X$2,Inputs!$K$4:$AJ$4,0)))+SUMPRODUCT((Inputs!$C$5:$C$200=$B30)*Inputs!$D$5:$D$200*(((Inputs!$G$5:$G$200="moeda")+(Inputs!$G$5:$G$200="acoes"))*Inputs!$B$1+((Inputs!$G$5:$G$200&lt;&gt;"moeda")*(Inputs!$G$5:$G$200&lt;&gt;"acoes")))*INDEX(Inputs!$K$5:$AJ$200,0,MATCH(X$2,Inputs!$K$4:$AJ$4,0)))+SUMPRODUCT((Inputs!$E$5:$E$200=$B30)*Inputs!$F$5:$F$200*(((Inputs!$G$5:$G$200="moeda")+(Inputs!$G$5:$G$200="acoes"))*Inputs!$B$1+((Inputs!$G$5:$G$200&lt;&gt;"moeda")*(Inputs!$G$5:$G$200&lt;&gt;"acoes")))*INDEX(Inputs!$K$5:$AJ$200,0,MATCH(X$2,Inputs!$K$4:$AJ$4,0)))))</f>
        <v>61.144</v>
      </c>
      <c r="Y30" s="6">
        <f>IF(ISNA(MATCH(Y$2,Inputs!$K$4:$AJ$4,0)),NA(),IF(SUMPRODUCT((Inputs!$A$5:$A$200=$B30)*ISNUMBER(INDEX(Inputs!$K$5:$AJ$200,0,MATCH(Y$2,Inputs!$K$4:$AJ$4,0))))+SUMPRODUCT((Inputs!$C$5:$C$200=$B30)*ISNUMBER(INDEX(Inputs!$K$5:$AJ$200,0,MATCH(Y$2,Inputs!$K$4:$AJ$4,0))))+SUMPRODUCT((Inputs!$E$5:$E$200=$B30)*ISNUMBER(INDEX(Inputs!$K$5:$AJ$200,0,MATCH(Y$2,Inputs!$K$4:$AJ$4,0))))=0,NA(),SUMPRODUCT((Inputs!$A$5:$A$200=$B30)*Inputs!$B$5:$B$200*(((Inputs!$G$5:$G$200="moeda")+(Inputs!$G$5:$G$200="acoes"))*Inputs!$B$1+((Inputs!$G$5:$G$200&lt;&gt;"moeda")*(Inputs!$G$5:$G$200&lt;&gt;"acoes")))*INDEX(Inputs!$K$5:$AJ$200,0,MATCH(Y$2,Inputs!$K$4:$AJ$4,0)))+SUMPRODUCT((Inputs!$C$5:$C$200=$B30)*Inputs!$D$5:$D$200*(((Inputs!$G$5:$G$200="moeda")+(Inputs!$G$5:$G$200="acoes"))*Inputs!$B$1+((Inputs!$G$5:$G$200&lt;&gt;"moeda")*(Inputs!$G$5:$G$200&lt;&gt;"acoes")))*INDEX(Inputs!$K$5:$AJ$200,0,MATCH(Y$2,Inputs!$K$4:$AJ$4,0)))+SUMPRODUCT((Inputs!$E$5:$E$200=$B30)*Inputs!$F$5:$F$200*(((Inputs!$G$5:$G$200="moeda")+(Inputs!$G$5:$G$200="acoes"))*Inputs!$B$1+((Inputs!$G$5:$G$200&lt;&gt;"moeda")*(Inputs!$G$5:$G$200&lt;&gt;"acoes")))*INDEX(Inputs!$K$5:$AJ$200,0,MATCH(Y$2,Inputs!$K$4:$AJ$4,0)))))</f>
        <v>59.377</v>
      </c>
      <c r="Z30" s="6">
        <f>IF(ISNA(MATCH(Z$2,Inputs!$K$4:$AJ$4,0)),NA(),IF(SUMPRODUCT((Inputs!$A$5:$A$200=$B30)*ISNUMBER(INDEX(Inputs!$K$5:$AJ$200,0,MATCH(Z$2,Inputs!$K$4:$AJ$4,0))))+SUMPRODUCT((Inputs!$C$5:$C$200=$B30)*ISNUMBER(INDEX(Inputs!$K$5:$AJ$200,0,MATCH(Z$2,Inputs!$K$4:$AJ$4,0))))+SUMPRODUCT((Inputs!$E$5:$E$200=$B30)*ISNUMBER(INDEX(Inputs!$K$5:$AJ$200,0,MATCH(Z$2,Inputs!$K$4:$AJ$4,0))))=0,NA(),SUMPRODUCT((Inputs!$A$5:$A$200=$B30)*Inputs!$B$5:$B$200*(((Inputs!$G$5:$G$200="moeda")+(Inputs!$G$5:$G$200="acoes"))*Inputs!$B$1+((Inputs!$G$5:$G$200&lt;&gt;"moeda")*(Inputs!$G$5:$G$200&lt;&gt;"acoes")))*INDEX(Inputs!$K$5:$AJ$200,0,MATCH(Z$2,Inputs!$K$4:$AJ$4,0)))+SUMPRODUCT((Inputs!$C$5:$C$200=$B30)*Inputs!$D$5:$D$200*(((Inputs!$G$5:$G$200="moeda")+(Inputs!$G$5:$G$200="acoes"))*Inputs!$B$1+((Inputs!$G$5:$G$200&lt;&gt;"moeda")*(Inputs!$G$5:$G$200&lt;&gt;"acoes")))*INDEX(Inputs!$K$5:$AJ$200,0,MATCH(Z$2,Inputs!$K$4:$AJ$4,0)))+SUMPRODUCT((Inputs!$E$5:$E$200=$B30)*Inputs!$F$5:$F$200*(((Inputs!$G$5:$G$200="moeda")+(Inputs!$G$5:$G$200="acoes"))*Inputs!$B$1+((Inputs!$G$5:$G$200&lt;&gt;"moeda")*(Inputs!$G$5:$G$200&lt;&gt;"acoes")))*INDEX(Inputs!$K$5:$AJ$200,0,MATCH(Z$2,Inputs!$K$4:$AJ$4,0)))))</f>
        <v>61.971</v>
      </c>
      <c r="AA30" s="6">
        <f>IF(ISNA(MATCH(AA$2,Inputs!$K$4:$AJ$4,0)),NA(),IF(SUMPRODUCT((Inputs!$A$5:$A$200=$B30)*ISNUMBER(INDEX(Inputs!$K$5:$AJ$200,0,MATCH(AA$2,Inputs!$K$4:$AJ$4,0))))+SUMPRODUCT((Inputs!$C$5:$C$200=$B30)*ISNUMBER(INDEX(Inputs!$K$5:$AJ$200,0,MATCH(AA$2,Inputs!$K$4:$AJ$4,0))))+SUMPRODUCT((Inputs!$E$5:$E$200=$B30)*ISNUMBER(INDEX(Inputs!$K$5:$AJ$200,0,MATCH(AA$2,Inputs!$K$4:$AJ$4,0))))=0,NA(),SUMPRODUCT((Inputs!$A$5:$A$200=$B30)*Inputs!$B$5:$B$200*(((Inputs!$G$5:$G$200="moeda")+(Inputs!$G$5:$G$200="acoes"))*Inputs!$B$1+((Inputs!$G$5:$G$200&lt;&gt;"moeda")*(Inputs!$G$5:$G$200&lt;&gt;"acoes")))*INDEX(Inputs!$K$5:$AJ$200,0,MATCH(AA$2,Inputs!$K$4:$AJ$4,0)))+SUMPRODUCT((Inputs!$C$5:$C$200=$B30)*Inputs!$D$5:$D$200*(((Inputs!$G$5:$G$200="moeda")+(Inputs!$G$5:$G$200="acoes"))*Inputs!$B$1+((Inputs!$G$5:$G$200&lt;&gt;"moeda")*(Inputs!$G$5:$G$200&lt;&gt;"acoes")))*INDEX(Inputs!$K$5:$AJ$200,0,MATCH(AA$2,Inputs!$K$4:$AJ$4,0)))+SUMPRODUCT((Inputs!$E$5:$E$200=$B30)*Inputs!$F$5:$F$200*(((Inputs!$G$5:$G$200="moeda")+(Inputs!$G$5:$G$200="acoes"))*Inputs!$B$1+((Inputs!$G$5:$G$200&lt;&gt;"moeda")*(Inputs!$G$5:$G$200&lt;&gt;"acoes")))*INDEX(Inputs!$K$5:$AJ$200,0,MATCH(AA$2,Inputs!$K$4:$AJ$4,0)))))</f>
        <v>57.697</v>
      </c>
      <c r="AB30" s="3">
        <f>AA30</f>
        <v>57.697</v>
      </c>
      <c r="AC30" s="6">
        <f>IF(ISNA(MATCH(AC$2,Inputs!$K$4:$AJ$4,0)),NA(),IF(SUMPRODUCT((Inputs!$A$5:$A$200=$B30)*ISNUMBER(INDEX(Inputs!$K$5:$AJ$200,0,MATCH(AC$2,Inputs!$K$4:$AJ$4,0))))+SUMPRODUCT((Inputs!$C$5:$C$200=$B30)*ISNUMBER(INDEX(Inputs!$K$5:$AJ$200,0,MATCH(AC$2,Inputs!$K$4:$AJ$4,0))))+SUMPRODUCT((Inputs!$E$5:$E$200=$B30)*ISNUMBER(INDEX(Inputs!$K$5:$AJ$200,0,MATCH(AC$2,Inputs!$K$4:$AJ$4,0))))=0,NA(),SUMPRODUCT((Inputs!$A$5:$A$200=$B30)*Inputs!$B$5:$B$200*(((Inputs!$G$5:$G$200="moeda")+(Inputs!$G$5:$G$200="acoes"))*Inputs!$B$1+((Inputs!$G$5:$G$200&lt;&gt;"moeda")*(Inputs!$G$5:$G$200&lt;&gt;"acoes")))*INDEX(Inputs!$K$5:$AJ$200,0,MATCH(AC$2,Inputs!$K$4:$AJ$4,0)))+SUMPRODUCT((Inputs!$C$5:$C$200=$B30)*Inputs!$D$5:$D$200*(((Inputs!$G$5:$G$200="moeda")+(Inputs!$G$5:$G$200="acoes"))*Inputs!$B$1+((Inputs!$G$5:$G$200&lt;&gt;"moeda")*(Inputs!$G$5:$G$200&lt;&gt;"acoes")))*INDEX(Inputs!$K$5:$AJ$200,0,MATCH(AC$2,Inputs!$K$4:$AJ$4,0)))+SUMPRODUCT((Inputs!$E$5:$E$200=$B30)*Inputs!$F$5:$F$200*(((Inputs!$G$5:$G$200="moeda")+(Inputs!$G$5:$G$200="acoes"))*Inputs!$B$1+((Inputs!$G$5:$G$200&lt;&gt;"moeda")*(Inputs!$G$5:$G$200&lt;&gt;"acoes")))*INDEX(Inputs!$K$5:$AJ$200,0,MATCH(AC$2,Inputs!$K$4:$AJ$4,0)))))</f>
        <v>69.464</v>
      </c>
      <c r="AD30" s="6">
        <f>IF(ISNA(MATCH(AD$2,Inputs!$K$4:$AJ$4,0)),NA(),IF(SUMPRODUCT((Inputs!$A$5:$A$200=$B30)*ISNUMBER(INDEX(Inputs!$K$5:$AJ$200,0,MATCH(AD$2,Inputs!$K$4:$AJ$4,0))))+SUMPRODUCT((Inputs!$C$5:$C$200=$B30)*ISNUMBER(INDEX(Inputs!$K$5:$AJ$200,0,MATCH(AD$2,Inputs!$K$4:$AJ$4,0))))+SUMPRODUCT((Inputs!$E$5:$E$200=$B30)*ISNUMBER(INDEX(Inputs!$K$5:$AJ$200,0,MATCH(AD$2,Inputs!$K$4:$AJ$4,0))))=0,NA(),SUMPRODUCT((Inputs!$A$5:$A$200=$B30)*Inputs!$B$5:$B$200*(((Inputs!$G$5:$G$200="moeda")+(Inputs!$G$5:$G$200="acoes"))*Inputs!$B$1+((Inputs!$G$5:$G$200&lt;&gt;"moeda")*(Inputs!$G$5:$G$200&lt;&gt;"acoes")))*INDEX(Inputs!$K$5:$AJ$200,0,MATCH(AD$2,Inputs!$K$4:$AJ$4,0)))+SUMPRODUCT((Inputs!$C$5:$C$200=$B30)*Inputs!$D$5:$D$200*(((Inputs!$G$5:$G$200="moeda")+(Inputs!$G$5:$G$200="acoes"))*Inputs!$B$1+((Inputs!$G$5:$G$200&lt;&gt;"moeda")*(Inputs!$G$5:$G$200&lt;&gt;"acoes")))*INDEX(Inputs!$K$5:$AJ$200,0,MATCH(AD$2,Inputs!$K$4:$AJ$4,0)))+SUMPRODUCT((Inputs!$E$5:$E$200=$B30)*Inputs!$F$5:$F$200*(((Inputs!$G$5:$G$200="moeda")+(Inputs!$G$5:$G$200="acoes"))*Inputs!$B$1+((Inputs!$G$5:$G$200&lt;&gt;"moeda")*(Inputs!$G$5:$G$200&lt;&gt;"acoes")))*INDEX(Inputs!$K$5:$AJ$200,0,MATCH(AD$2,Inputs!$K$4:$AJ$4,0)))))</f>
        <v>109.744</v>
      </c>
      <c r="AE30" s="6" t="e">
        <f>IF(ISNA(MATCH(AE$2,Inputs!$K$4:$AJ$4,0)),NA(),IF(SUMPRODUCT((Inputs!$A$5:$A$200=$B30)*ISNUMBER(INDEX(Inputs!$K$5:$AJ$200,0,MATCH(AE$2,Inputs!$K$4:$AJ$4,0))))+SUMPRODUCT((Inputs!$C$5:$C$200=$B30)*ISNUMBER(INDEX(Inputs!$K$5:$AJ$200,0,MATCH(AE$2,Inputs!$K$4:$AJ$4,0))))+SUMPRODUCT((Inputs!$E$5:$E$200=$B30)*ISNUMBER(INDEX(Inputs!$K$5:$AJ$200,0,MATCH(AE$2,Inputs!$K$4:$AJ$4,0))))=0,NA(),SUMPRODUCT((Inputs!$A$5:$A$200=$B30)*Inputs!$B$5:$B$200*(((Inputs!$G$5:$G$200="moeda")+(Inputs!$G$5:$G$200="acoes"))*Inputs!$B$1+((Inputs!$G$5:$G$200&lt;&gt;"moeda")*(Inputs!$G$5:$G$200&lt;&gt;"acoes")))*INDEX(Inputs!$K$5:$AJ$200,0,MATCH(AE$2,Inputs!$K$4:$AJ$4,0)))+SUMPRODUCT((Inputs!$C$5:$C$200=$B30)*Inputs!$D$5:$D$200*(((Inputs!$G$5:$G$200="moeda")+(Inputs!$G$5:$G$200="acoes"))*Inputs!$B$1+((Inputs!$G$5:$G$200&lt;&gt;"moeda")*(Inputs!$G$5:$G$200&lt;&gt;"acoes")))*INDEX(Inputs!$K$5:$AJ$200,0,MATCH(AE$2,Inputs!$K$4:$AJ$4,0)))+SUMPRODUCT((Inputs!$E$5:$E$200=$B30)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0" s="6" t="e">
        <f>IF(ISNA(MATCH(AF$2,Inputs!$K$4:$AJ$4,0)),NA(),IF(SUMPRODUCT((Inputs!$A$5:$A$200=$B30)*ISNUMBER(INDEX(Inputs!$K$5:$AJ$200,0,MATCH(AF$2,Inputs!$K$4:$AJ$4,0))))+SUMPRODUCT((Inputs!$C$5:$C$200=$B30)*ISNUMBER(INDEX(Inputs!$K$5:$AJ$200,0,MATCH(AF$2,Inputs!$K$4:$AJ$4,0))))+SUMPRODUCT((Inputs!$E$5:$E$200=$B30)*ISNUMBER(INDEX(Inputs!$K$5:$AJ$200,0,MATCH(AF$2,Inputs!$K$4:$AJ$4,0))))=0,NA(),SUMPRODUCT((Inputs!$A$5:$A$200=$B30)*Inputs!$B$5:$B$200*(((Inputs!$G$5:$G$200="moeda")+(Inputs!$G$5:$G$200="acoes"))*Inputs!$B$1+((Inputs!$G$5:$G$200&lt;&gt;"moeda")*(Inputs!$G$5:$G$200&lt;&gt;"acoes")))*INDEX(Inputs!$K$5:$AJ$200,0,MATCH(AF$2,Inputs!$K$4:$AJ$4,0)))+SUMPRODUCT((Inputs!$C$5:$C$200=$B30)*Inputs!$D$5:$D$200*(((Inputs!$G$5:$G$200="moeda")+(Inputs!$G$5:$G$200="acoes"))*Inputs!$B$1+((Inputs!$G$5:$G$200&lt;&gt;"moeda")*(Inputs!$G$5:$G$200&lt;&gt;"acoes")))*INDEX(Inputs!$K$5:$AJ$200,0,MATCH(AF$2,Inputs!$K$4:$AJ$4,0)))+SUMPRODUCT((Inputs!$E$5:$E$200=$B30)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0" s="3" t="e">
        <f>AF30</f>
        <v>#N/A</v>
      </c>
      <c r="AH30" s="6">
        <f>IF(ISNA(MATCH(AH$2,Inputs!$K$4:$AJ$4,0)),NA(),IF(SUMPRODUCT((Inputs!$A$5:$A$200=$B30)*ISNUMBER(INDEX(Inputs!$K$5:$AJ$200,0,MATCH(AH$2,Inputs!$K$4:$AJ$4,0))))+SUMPRODUCT((Inputs!$C$5:$C$200=$B30)*ISNUMBER(INDEX(Inputs!$K$5:$AJ$200,0,MATCH(AH$2,Inputs!$K$4:$AJ$4,0))))+SUMPRODUCT((Inputs!$E$5:$E$200=$B30)*ISNUMBER(INDEX(Inputs!$K$5:$AJ$200,0,MATCH(AH$2,Inputs!$K$4:$AJ$4,0))))=0,NA(),SUMPRODUCT((Inputs!$A$5:$A$200=$B30)*Inputs!$B$5:$B$200*(((Inputs!$G$5:$G$200="moeda")+(Inputs!$G$5:$G$200="acoes"))*Inputs!$B$1+((Inputs!$G$5:$G$200&lt;&gt;"moeda")*(Inputs!$G$5:$G$200&lt;&gt;"acoes")))*INDEX(Inputs!$K$5:$AJ$200,0,MATCH(AH$2,Inputs!$K$4:$AJ$4,0)))+SUMPRODUCT((Inputs!$C$5:$C$200=$B30)*Inputs!$D$5:$D$200*(((Inputs!$G$5:$G$200="moeda")+(Inputs!$G$5:$G$200="acoes"))*Inputs!$B$1+((Inputs!$G$5:$G$200&lt;&gt;"moeda")*(Inputs!$G$5:$G$200&lt;&gt;"acoes")))*INDEX(Inputs!$K$5:$AJ$200,0,MATCH(AH$2,Inputs!$K$4:$AJ$4,0)))+SUMPRODUCT((Inputs!$E$5:$E$200=$B30)*Inputs!$F$5:$F$200*(((Inputs!$G$5:$G$200="moeda")+(Inputs!$G$5:$G$200="acoes"))*Inputs!$B$1+((Inputs!$G$5:$G$200&lt;&gt;"moeda")*(Inputs!$G$5:$G$200&lt;&gt;"acoes")))*INDEX(Inputs!$K$5:$AJ$200,0,MATCH(AH$2,Inputs!$K$4:$AJ$4,0)))))</f>
        <v>29.627</v>
      </c>
      <c r="AI30" s="6">
        <f>IF(ISNA(MATCH(AI$2,Inputs!$K$4:$AJ$4,0)),NA(),IF(SUMPRODUCT((Inputs!$A$5:$A$200=$B30)*ISNUMBER(INDEX(Inputs!$K$5:$AJ$200,0,MATCH(AI$2,Inputs!$K$4:$AJ$4,0))))+SUMPRODUCT((Inputs!$C$5:$C$200=$B30)*ISNUMBER(INDEX(Inputs!$K$5:$AJ$200,0,MATCH(AI$2,Inputs!$K$4:$AJ$4,0))))+SUMPRODUCT((Inputs!$E$5:$E$200=$B30)*ISNUMBER(INDEX(Inputs!$K$5:$AJ$200,0,MATCH(AI$2,Inputs!$K$4:$AJ$4,0))))=0,NA(),SUMPRODUCT((Inputs!$A$5:$A$200=$B30)*Inputs!$B$5:$B$200*(((Inputs!$G$5:$G$200="moeda")+(Inputs!$G$5:$G$200="acoes"))*Inputs!$B$1+((Inputs!$G$5:$G$200&lt;&gt;"moeda")*(Inputs!$G$5:$G$200&lt;&gt;"acoes")))*INDEX(Inputs!$K$5:$AJ$200,0,MATCH(AI$2,Inputs!$K$4:$AJ$4,0)))+SUMPRODUCT((Inputs!$C$5:$C$200=$B30)*Inputs!$D$5:$D$200*(((Inputs!$G$5:$G$200="moeda")+(Inputs!$G$5:$G$200="acoes"))*Inputs!$B$1+((Inputs!$G$5:$G$200&lt;&gt;"moeda")*(Inputs!$G$5:$G$200&lt;&gt;"acoes")))*INDEX(Inputs!$K$5:$AJ$200,0,MATCH(AI$2,Inputs!$K$4:$AJ$4,0)))+SUMPRODUCT((Inputs!$E$5:$E$200=$B30)*Inputs!$F$5:$F$200*(((Inputs!$G$5:$G$200="moeda")+(Inputs!$G$5:$G$200="acoes"))*Inputs!$B$1+((Inputs!$G$5:$G$200&lt;&gt;"moeda")*(Inputs!$G$5:$G$200&lt;&gt;"acoes")))*INDEX(Inputs!$K$5:$AJ$200,0,MATCH(AI$2,Inputs!$K$4:$AJ$4,0)))))</f>
        <v>38.377</v>
      </c>
      <c r="AJ30" s="6">
        <f>IF(ISNA(MATCH(AJ$2,Inputs!$K$4:$AJ$4,0)),NA(),IF(SUMPRODUCT((Inputs!$A$5:$A$200=$B30)*ISNUMBER(INDEX(Inputs!$K$5:$AJ$200,0,MATCH(AJ$2,Inputs!$K$4:$AJ$4,0))))+SUMPRODUCT((Inputs!$C$5:$C$200=$B30)*ISNUMBER(INDEX(Inputs!$K$5:$AJ$200,0,MATCH(AJ$2,Inputs!$K$4:$AJ$4,0))))+SUMPRODUCT((Inputs!$E$5:$E$200=$B30)*ISNUMBER(INDEX(Inputs!$K$5:$AJ$200,0,MATCH(AJ$2,Inputs!$K$4:$AJ$4,0))))=0,NA(),SUMPRODUCT((Inputs!$A$5:$A$200=$B30)*Inputs!$B$5:$B$200*(((Inputs!$G$5:$G$200="moeda")+(Inputs!$G$5:$G$200="acoes"))*Inputs!$B$1+((Inputs!$G$5:$G$200&lt;&gt;"moeda")*(Inputs!$G$5:$G$200&lt;&gt;"acoes")))*INDEX(Inputs!$K$5:$AJ$200,0,MATCH(AJ$2,Inputs!$K$4:$AJ$4,0)))+SUMPRODUCT((Inputs!$C$5:$C$200=$B30)*Inputs!$D$5:$D$200*(((Inputs!$G$5:$G$200="moeda")+(Inputs!$G$5:$G$200="acoes"))*Inputs!$B$1+((Inputs!$G$5:$G$200&lt;&gt;"moeda")*(Inputs!$G$5:$G$200&lt;&gt;"acoes")))*INDEX(Inputs!$K$5:$AJ$200,0,MATCH(AJ$2,Inputs!$K$4:$AJ$4,0)))+SUMPRODUCT((Inputs!$E$5:$E$200=$B30)*Inputs!$F$5:$F$200*(((Inputs!$G$5:$G$200="moeda")+(Inputs!$G$5:$G$200="acoes"))*Inputs!$B$1+((Inputs!$G$5:$G$200&lt;&gt;"moeda")*(Inputs!$G$5:$G$200&lt;&gt;"acoes")))*INDEX(Inputs!$K$5:$AJ$200,0,MATCH(AJ$2,Inputs!$K$4:$AJ$4,0)))))</f>
        <v>45.356</v>
      </c>
      <c r="AK30" s="6">
        <f>IF(ISNA(MATCH(AK$2,Inputs!$K$4:$AJ$4,0)),NA(),IF(SUMPRODUCT((Inputs!$A$5:$A$200=$B30)*ISNUMBER(INDEX(Inputs!$K$5:$AJ$200,0,MATCH(AK$2,Inputs!$K$4:$AJ$4,0))))+SUMPRODUCT((Inputs!$C$5:$C$200=$B30)*ISNUMBER(INDEX(Inputs!$K$5:$AJ$200,0,MATCH(AK$2,Inputs!$K$4:$AJ$4,0))))+SUMPRODUCT((Inputs!$E$5:$E$200=$B30)*ISNUMBER(INDEX(Inputs!$K$5:$AJ$200,0,MATCH(AK$2,Inputs!$K$4:$AJ$4,0))))=0,NA(),SUMPRODUCT((Inputs!$A$5:$A$200=$B30)*Inputs!$B$5:$B$200*(((Inputs!$G$5:$G$200="moeda")+(Inputs!$G$5:$G$200="acoes"))*Inputs!$B$1+((Inputs!$G$5:$G$200&lt;&gt;"moeda")*(Inputs!$G$5:$G$200&lt;&gt;"acoes")))*INDEX(Inputs!$K$5:$AJ$200,0,MATCH(AK$2,Inputs!$K$4:$AJ$4,0)))+SUMPRODUCT((Inputs!$C$5:$C$200=$B30)*Inputs!$D$5:$D$200*(((Inputs!$G$5:$G$200="moeda")+(Inputs!$G$5:$G$200="acoes"))*Inputs!$B$1+((Inputs!$G$5:$G$200&lt;&gt;"moeda")*(Inputs!$G$5:$G$200&lt;&gt;"acoes")))*INDEX(Inputs!$K$5:$AJ$200,0,MATCH(AK$2,Inputs!$K$4:$AJ$4,0)))+SUMPRODUCT((Inputs!$E$5:$E$200=$B30)*Inputs!$F$5:$F$200*(((Inputs!$G$5:$G$200="moeda")+(Inputs!$G$5:$G$200="acoes"))*Inputs!$B$1+((Inputs!$G$5:$G$200&lt;&gt;"moeda")*(Inputs!$G$5:$G$200&lt;&gt;"acoes")))*INDEX(Inputs!$K$5:$AJ$200,0,MATCH(AK$2,Inputs!$K$4:$AJ$4,0)))))</f>
        <v>46.403</v>
      </c>
      <c r="AL30" s="3">
        <f>AK30</f>
        <v>46.403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$200=$B31)*ISNUMBER(INDEX(Inputs!$K$5:$AJ$200,0,MATCH(D$2,Inputs!$K$4:$AJ$4,0))))+SUMPRODUCT((Inputs!$C$5:$C$200=$B31)*ISNUMBER(INDEX(Inputs!$K$5:$AJ$200,0,MATCH(D$2,Inputs!$K$4:$AJ$4,0))))+SUMPRODUCT((Inputs!$E$5:$E$200=$B31)*ISNUMBER(INDEX(Inputs!$K$5:$AJ$200,0,MATCH(D$2,Inputs!$K$4:$AJ$4,0))))=0,NA(),SUMPRODUCT((Inputs!$A$5:$A$200=$B31)*Inputs!$B$5:$B$200*(((Inputs!$G$5:$G$200="moeda")+(Inputs!$G$5:$G$200="acoes"))*Inputs!$B$1+((Inputs!$G$5:$G$200&lt;&gt;"moeda")*(Inputs!$G$5:$G$200&lt;&gt;"acoes")))*INDEX(Inputs!$K$5:$AJ$200,0,MATCH(D$2,Inputs!$K$4:$AJ$4,0)))+SUMPRODUCT((Inputs!$C$5:$C$200=$B31)*Inputs!$D$5:$D$200*(((Inputs!$G$5:$G$200="moeda")+(Inputs!$G$5:$G$200="acoes"))*Inputs!$B$1+((Inputs!$G$5:$G$200&lt;&gt;"moeda")*(Inputs!$G$5:$G$200&lt;&gt;"acoes")))*INDEX(Inputs!$K$5:$AJ$200,0,MATCH(D$2,Inputs!$K$4:$AJ$4,0)))+SUMPRODUCT((Inputs!$E$5:$E$200=$B31)*Inputs!$F$5:$F$200*(((Inputs!$G$5:$G$200="moeda")+(Inputs!$G$5:$G$200="acoes"))*Inputs!$B$1+((Inputs!$G$5:$G$200&lt;&gt;"moeda")*(Inputs!$G$5:$G$200&lt;&gt;"acoes")))*INDEX(Inputs!$K$5:$AJ$200,0,MATCH(D$2,Inputs!$K$4:$AJ$4,0)))))</f>
        <v>63.641</v>
      </c>
      <c r="E31" s="6">
        <f>IF(ISNA(MATCH(E$2,Inputs!$K$4:$AJ$4,0)),NA(),IF(SUMPRODUCT((Inputs!$A$5:$A$200=$B31)*ISNUMBER(INDEX(Inputs!$K$5:$AJ$200,0,MATCH(E$2,Inputs!$K$4:$AJ$4,0))))+SUMPRODUCT((Inputs!$C$5:$C$200=$B31)*ISNUMBER(INDEX(Inputs!$K$5:$AJ$200,0,MATCH(E$2,Inputs!$K$4:$AJ$4,0))))+SUMPRODUCT((Inputs!$E$5:$E$200=$B31)*ISNUMBER(INDEX(Inputs!$K$5:$AJ$200,0,MATCH(E$2,Inputs!$K$4:$AJ$4,0))))=0,NA(),SUMPRODUCT((Inputs!$A$5:$A$200=$B31)*Inputs!$B$5:$B$200*(((Inputs!$G$5:$G$200="moeda")+(Inputs!$G$5:$G$200="acoes"))*Inputs!$B$1+((Inputs!$G$5:$G$200&lt;&gt;"moeda")*(Inputs!$G$5:$G$200&lt;&gt;"acoes")))*INDEX(Inputs!$K$5:$AJ$200,0,MATCH(E$2,Inputs!$K$4:$AJ$4,0)))+SUMPRODUCT((Inputs!$C$5:$C$200=$B31)*Inputs!$D$5:$D$200*(((Inputs!$G$5:$G$200="moeda")+(Inputs!$G$5:$G$200="acoes"))*Inputs!$B$1+((Inputs!$G$5:$G$200&lt;&gt;"moeda")*(Inputs!$G$5:$G$200&lt;&gt;"acoes")))*INDEX(Inputs!$K$5:$AJ$200,0,MATCH(E$2,Inputs!$K$4:$AJ$4,0)))+SUMPRODUCT((Inputs!$E$5:$E$200=$B31)*Inputs!$F$5:$F$200*(((Inputs!$G$5:$G$200="moeda")+(Inputs!$G$5:$G$200="acoes"))*Inputs!$B$1+((Inputs!$G$5:$G$200&lt;&gt;"moeda")*(Inputs!$G$5:$G$200&lt;&gt;"acoes")))*INDEX(Inputs!$K$5:$AJ$200,0,MATCH(E$2,Inputs!$K$4:$AJ$4,0)))))</f>
        <v>75.452</v>
      </c>
      <c r="F31" s="6">
        <f>IF(ISNA(MATCH(F$2,Inputs!$K$4:$AJ$4,0)),NA(),IF(SUMPRODUCT((Inputs!$A$5:$A$200=$B31)*ISNUMBER(INDEX(Inputs!$K$5:$AJ$200,0,MATCH(F$2,Inputs!$K$4:$AJ$4,0))))+SUMPRODUCT((Inputs!$C$5:$C$200=$B31)*ISNUMBER(INDEX(Inputs!$K$5:$AJ$200,0,MATCH(F$2,Inputs!$K$4:$AJ$4,0))))+SUMPRODUCT((Inputs!$E$5:$E$200=$B31)*ISNUMBER(INDEX(Inputs!$K$5:$AJ$200,0,MATCH(F$2,Inputs!$K$4:$AJ$4,0))))=0,NA(),SUMPRODUCT((Inputs!$A$5:$A$200=$B31)*Inputs!$B$5:$B$200*(((Inputs!$G$5:$G$200="moeda")+(Inputs!$G$5:$G$200="acoes"))*Inputs!$B$1+((Inputs!$G$5:$G$200&lt;&gt;"moeda")*(Inputs!$G$5:$G$200&lt;&gt;"acoes")))*INDEX(Inputs!$K$5:$AJ$200,0,MATCH(F$2,Inputs!$K$4:$AJ$4,0)))+SUMPRODUCT((Inputs!$C$5:$C$200=$B31)*Inputs!$D$5:$D$200*(((Inputs!$G$5:$G$200="moeda")+(Inputs!$G$5:$G$200="acoes"))*Inputs!$B$1+((Inputs!$G$5:$G$200&lt;&gt;"moeda")*(Inputs!$G$5:$G$200&lt;&gt;"acoes")))*INDEX(Inputs!$K$5:$AJ$200,0,MATCH(F$2,Inputs!$K$4:$AJ$4,0)))+SUMPRODUCT((Inputs!$E$5:$E$200=$B31)*Inputs!$F$5:$F$200*(((Inputs!$G$5:$G$200="moeda")+(Inputs!$G$5:$G$200="acoes"))*Inputs!$B$1+((Inputs!$G$5:$G$200&lt;&gt;"moeda")*(Inputs!$G$5:$G$200&lt;&gt;"acoes")))*INDEX(Inputs!$K$5:$AJ$200,0,MATCH(F$2,Inputs!$K$4:$AJ$4,0)))))</f>
        <v>59.132</v>
      </c>
      <c r="G31" s="6">
        <f>IF(ISNA(MATCH(G$2,Inputs!$K$4:$AJ$4,0)),NA(),IF(SUMPRODUCT((Inputs!$A$5:$A$200=$B31)*ISNUMBER(INDEX(Inputs!$K$5:$AJ$200,0,MATCH(G$2,Inputs!$K$4:$AJ$4,0))))+SUMPRODUCT((Inputs!$C$5:$C$200=$B31)*ISNUMBER(INDEX(Inputs!$K$5:$AJ$200,0,MATCH(G$2,Inputs!$K$4:$AJ$4,0))))+SUMPRODUCT((Inputs!$E$5:$E$200=$B31)*ISNUMBER(INDEX(Inputs!$K$5:$AJ$200,0,MATCH(G$2,Inputs!$K$4:$AJ$4,0))))=0,NA(),SUMPRODUCT((Inputs!$A$5:$A$200=$B31)*Inputs!$B$5:$B$200*(((Inputs!$G$5:$G$200="moeda")+(Inputs!$G$5:$G$200="acoes"))*Inputs!$B$1+((Inputs!$G$5:$G$200&lt;&gt;"moeda")*(Inputs!$G$5:$G$200&lt;&gt;"acoes")))*INDEX(Inputs!$K$5:$AJ$200,0,MATCH(G$2,Inputs!$K$4:$AJ$4,0)))+SUMPRODUCT((Inputs!$C$5:$C$200=$B31)*Inputs!$D$5:$D$200*(((Inputs!$G$5:$G$200="moeda")+(Inputs!$G$5:$G$200="acoes"))*Inputs!$B$1+((Inputs!$G$5:$G$200&lt;&gt;"moeda")*(Inputs!$G$5:$G$200&lt;&gt;"acoes")))*INDEX(Inputs!$K$5:$AJ$200,0,MATCH(G$2,Inputs!$K$4:$AJ$4,0)))+SUMPRODUCT((Inputs!$E$5:$E$200=$B31)*Inputs!$F$5:$F$200*(((Inputs!$G$5:$G$200="moeda")+(Inputs!$G$5:$G$200="acoes"))*Inputs!$B$1+((Inputs!$G$5:$G$200&lt;&gt;"moeda")*(Inputs!$G$5:$G$200&lt;&gt;"acoes")))*INDEX(Inputs!$K$5:$AJ$200,0,MATCH(G$2,Inputs!$K$4:$AJ$4,0)))))</f>
        <v>67.325</v>
      </c>
      <c r="H31" s="3">
        <f>G31</f>
        <v>67.325</v>
      </c>
      <c r="I31" s="6">
        <f>IF(ISNA(MATCH(I$2,Inputs!$K$4:$AJ$4,0)),NA(),IF(SUMPRODUCT((Inputs!$A$5:$A$200=$B31)*ISNUMBER(INDEX(Inputs!$K$5:$AJ$200,0,MATCH(I$2,Inputs!$K$4:$AJ$4,0))))+SUMPRODUCT((Inputs!$C$5:$C$200=$B31)*ISNUMBER(INDEX(Inputs!$K$5:$AJ$200,0,MATCH(I$2,Inputs!$K$4:$AJ$4,0))))+SUMPRODUCT((Inputs!$E$5:$E$200=$B31)*ISNUMBER(INDEX(Inputs!$K$5:$AJ$200,0,MATCH(I$2,Inputs!$K$4:$AJ$4,0))))=0,NA(),SUMPRODUCT((Inputs!$A$5:$A$200=$B31)*Inputs!$B$5:$B$200*(((Inputs!$G$5:$G$200="moeda")+(Inputs!$G$5:$G$200="acoes"))*Inputs!$B$1+((Inputs!$G$5:$G$200&lt;&gt;"moeda")*(Inputs!$G$5:$G$200&lt;&gt;"acoes")))*INDEX(Inputs!$K$5:$AJ$200,0,MATCH(I$2,Inputs!$K$4:$AJ$4,0)))+SUMPRODUCT((Inputs!$C$5:$C$200=$B31)*Inputs!$D$5:$D$200*(((Inputs!$G$5:$G$200="moeda")+(Inputs!$G$5:$G$200="acoes"))*Inputs!$B$1+((Inputs!$G$5:$G$200&lt;&gt;"moeda")*(Inputs!$G$5:$G$200&lt;&gt;"acoes")))*INDEX(Inputs!$K$5:$AJ$200,0,MATCH(I$2,Inputs!$K$4:$AJ$4,0)))+SUMPRODUCT((Inputs!$E$5:$E$200=$B31)*Inputs!$F$5:$F$200*(((Inputs!$G$5:$G$200="moeda")+(Inputs!$G$5:$G$200="acoes"))*Inputs!$B$1+((Inputs!$G$5:$G$200&lt;&gt;"moeda")*(Inputs!$G$5:$G$200&lt;&gt;"acoes")))*INDEX(Inputs!$K$5:$AJ$200,0,MATCH(I$2,Inputs!$K$4:$AJ$4,0)))))</f>
        <v>70.444</v>
      </c>
      <c r="J31" s="6">
        <f>IF(ISNA(MATCH(J$2,Inputs!$K$4:$AJ$4,0)),NA(),IF(SUMPRODUCT((Inputs!$A$5:$A$200=$B31)*ISNUMBER(INDEX(Inputs!$K$5:$AJ$200,0,MATCH(J$2,Inputs!$K$4:$AJ$4,0))))+SUMPRODUCT((Inputs!$C$5:$C$200=$B31)*ISNUMBER(INDEX(Inputs!$K$5:$AJ$200,0,MATCH(J$2,Inputs!$K$4:$AJ$4,0))))+SUMPRODUCT((Inputs!$E$5:$E$200=$B31)*ISNUMBER(INDEX(Inputs!$K$5:$AJ$200,0,MATCH(J$2,Inputs!$K$4:$AJ$4,0))))=0,NA(),SUMPRODUCT((Inputs!$A$5:$A$200=$B31)*Inputs!$B$5:$B$200*(((Inputs!$G$5:$G$200="moeda")+(Inputs!$G$5:$G$200="acoes"))*Inputs!$B$1+((Inputs!$G$5:$G$200&lt;&gt;"moeda")*(Inputs!$G$5:$G$200&lt;&gt;"acoes")))*INDEX(Inputs!$K$5:$AJ$200,0,MATCH(J$2,Inputs!$K$4:$AJ$4,0)))+SUMPRODUCT((Inputs!$C$5:$C$200=$B31)*Inputs!$D$5:$D$200*(((Inputs!$G$5:$G$200="moeda")+(Inputs!$G$5:$G$200="acoes"))*Inputs!$B$1+((Inputs!$G$5:$G$200&lt;&gt;"moeda")*(Inputs!$G$5:$G$200&lt;&gt;"acoes")))*INDEX(Inputs!$K$5:$AJ$200,0,MATCH(J$2,Inputs!$K$4:$AJ$4,0)))+SUMPRODUCT((Inputs!$E$5:$E$200=$B31)*Inputs!$F$5:$F$200*(((Inputs!$G$5:$G$200="moeda")+(Inputs!$G$5:$G$200="acoes"))*Inputs!$B$1+((Inputs!$G$5:$G$200&lt;&gt;"moeda")*(Inputs!$G$5:$G$200&lt;&gt;"acoes")))*INDEX(Inputs!$K$5:$AJ$200,0,MATCH(J$2,Inputs!$K$4:$AJ$4,0)))))</f>
        <v>69.793</v>
      </c>
      <c r="K31" s="6">
        <f>IF(ISNA(MATCH(K$2,Inputs!$K$4:$AJ$4,0)),NA(),IF(SUMPRODUCT((Inputs!$A$5:$A$200=$B31)*ISNUMBER(INDEX(Inputs!$K$5:$AJ$200,0,MATCH(K$2,Inputs!$K$4:$AJ$4,0))))+SUMPRODUCT((Inputs!$C$5:$C$200=$B31)*ISNUMBER(INDEX(Inputs!$K$5:$AJ$200,0,MATCH(K$2,Inputs!$K$4:$AJ$4,0))))+SUMPRODUCT((Inputs!$E$5:$E$200=$B31)*ISNUMBER(INDEX(Inputs!$K$5:$AJ$200,0,MATCH(K$2,Inputs!$K$4:$AJ$4,0))))=0,NA(),SUMPRODUCT((Inputs!$A$5:$A$200=$B31)*Inputs!$B$5:$B$200*(((Inputs!$G$5:$G$200="moeda")+(Inputs!$G$5:$G$200="acoes"))*Inputs!$B$1+((Inputs!$G$5:$G$200&lt;&gt;"moeda")*(Inputs!$G$5:$G$200&lt;&gt;"acoes")))*INDEX(Inputs!$K$5:$AJ$200,0,MATCH(K$2,Inputs!$K$4:$AJ$4,0)))+SUMPRODUCT((Inputs!$C$5:$C$200=$B31)*Inputs!$D$5:$D$200*(((Inputs!$G$5:$G$200="moeda")+(Inputs!$G$5:$G$200="acoes"))*Inputs!$B$1+((Inputs!$G$5:$G$200&lt;&gt;"moeda")*(Inputs!$G$5:$G$200&lt;&gt;"acoes")))*INDEX(Inputs!$K$5:$AJ$200,0,MATCH(K$2,Inputs!$K$4:$AJ$4,0)))+SUMPRODUCT((Inputs!$E$5:$E$200=$B31)*Inputs!$F$5:$F$200*(((Inputs!$G$5:$G$200="moeda")+(Inputs!$G$5:$G$200="acoes"))*Inputs!$B$1+((Inputs!$G$5:$G$200&lt;&gt;"moeda")*(Inputs!$G$5:$G$200&lt;&gt;"acoes")))*INDEX(Inputs!$K$5:$AJ$200,0,MATCH(K$2,Inputs!$K$4:$AJ$4,0)))))</f>
        <v>79.96</v>
      </c>
      <c r="L31" s="6">
        <f>IF(ISNA(MATCH(L$2,Inputs!$K$4:$AJ$4,0)),NA(),IF(SUMPRODUCT((Inputs!$A$5:$A$200=$B31)*ISNUMBER(INDEX(Inputs!$K$5:$AJ$200,0,MATCH(L$2,Inputs!$K$4:$AJ$4,0))))+SUMPRODUCT((Inputs!$C$5:$C$200=$B31)*ISNUMBER(INDEX(Inputs!$K$5:$AJ$200,0,MATCH(L$2,Inputs!$K$4:$AJ$4,0))))+SUMPRODUCT((Inputs!$E$5:$E$200=$B31)*ISNUMBER(INDEX(Inputs!$K$5:$AJ$200,0,MATCH(L$2,Inputs!$K$4:$AJ$4,0))))=0,NA(),SUMPRODUCT((Inputs!$A$5:$A$200=$B31)*Inputs!$B$5:$B$200*(((Inputs!$G$5:$G$200="moeda")+(Inputs!$G$5:$G$200="acoes"))*Inputs!$B$1+((Inputs!$G$5:$G$200&lt;&gt;"moeda")*(Inputs!$G$5:$G$200&lt;&gt;"acoes")))*INDEX(Inputs!$K$5:$AJ$200,0,MATCH(L$2,Inputs!$K$4:$AJ$4,0)))+SUMPRODUCT((Inputs!$C$5:$C$200=$B31)*Inputs!$D$5:$D$200*(((Inputs!$G$5:$G$200="moeda")+(Inputs!$G$5:$G$200="acoes"))*Inputs!$B$1+((Inputs!$G$5:$G$200&lt;&gt;"moeda")*(Inputs!$G$5:$G$200&lt;&gt;"acoes")))*INDEX(Inputs!$K$5:$AJ$200,0,MATCH(L$2,Inputs!$K$4:$AJ$4,0)))+SUMPRODUCT((Inputs!$E$5:$E$200=$B31)*Inputs!$F$5:$F$200*(((Inputs!$G$5:$G$200="moeda")+(Inputs!$G$5:$G$200="acoes"))*Inputs!$B$1+((Inputs!$G$5:$G$200&lt;&gt;"moeda")*(Inputs!$G$5:$G$200&lt;&gt;"acoes")))*INDEX(Inputs!$K$5:$AJ$200,0,MATCH(L$2,Inputs!$K$4:$AJ$4,0)))))</f>
        <v>112.808</v>
      </c>
      <c r="M31" s="3">
        <f>L31</f>
        <v>112.808</v>
      </c>
      <c r="N31" s="6">
        <f>IF(ISNA(MATCH(N$2,Inputs!$K$4:$AJ$4,0)),NA(),IF(SUMPRODUCT((Inputs!$A$5:$A$200=$B31)*ISNUMBER(INDEX(Inputs!$K$5:$AJ$200,0,MATCH(N$2,Inputs!$K$4:$AJ$4,0))))+SUMPRODUCT((Inputs!$C$5:$C$200=$B31)*ISNUMBER(INDEX(Inputs!$K$5:$AJ$200,0,MATCH(N$2,Inputs!$K$4:$AJ$4,0))))+SUMPRODUCT((Inputs!$E$5:$E$200=$B31)*ISNUMBER(INDEX(Inputs!$K$5:$AJ$200,0,MATCH(N$2,Inputs!$K$4:$AJ$4,0))))=0,NA(),SUMPRODUCT((Inputs!$A$5:$A$200=$B31)*Inputs!$B$5:$B$200*(((Inputs!$G$5:$G$200="moeda")+(Inputs!$G$5:$G$200="acoes"))*Inputs!$B$1+((Inputs!$G$5:$G$200&lt;&gt;"moeda")*(Inputs!$G$5:$G$200&lt;&gt;"acoes")))*INDEX(Inputs!$K$5:$AJ$200,0,MATCH(N$2,Inputs!$K$4:$AJ$4,0)))+SUMPRODUCT((Inputs!$C$5:$C$200=$B31)*Inputs!$D$5:$D$200*(((Inputs!$G$5:$G$200="moeda")+(Inputs!$G$5:$G$200="acoes"))*Inputs!$B$1+((Inputs!$G$5:$G$200&lt;&gt;"moeda")*(Inputs!$G$5:$G$200&lt;&gt;"acoes")))*INDEX(Inputs!$K$5:$AJ$200,0,MATCH(N$2,Inputs!$K$4:$AJ$4,0)))+SUMPRODUCT((Inputs!$E$5:$E$200=$B31)*Inputs!$F$5:$F$200*(((Inputs!$G$5:$G$200="moeda")+(Inputs!$G$5:$G$200="acoes"))*Inputs!$B$1+((Inputs!$G$5:$G$200&lt;&gt;"moeda")*(Inputs!$G$5:$G$200&lt;&gt;"acoes")))*INDEX(Inputs!$K$5:$AJ$200,0,MATCH(N$2,Inputs!$K$4:$AJ$4,0)))))</f>
        <v>86.146</v>
      </c>
      <c r="O31" s="6">
        <f>IF(ISNA(MATCH(O$2,Inputs!$K$4:$AJ$4,0)),NA(),IF(SUMPRODUCT((Inputs!$A$5:$A$200=$B31)*ISNUMBER(INDEX(Inputs!$K$5:$AJ$200,0,MATCH(O$2,Inputs!$K$4:$AJ$4,0))))+SUMPRODUCT((Inputs!$C$5:$C$200=$B31)*ISNUMBER(INDEX(Inputs!$K$5:$AJ$200,0,MATCH(O$2,Inputs!$K$4:$AJ$4,0))))+SUMPRODUCT((Inputs!$E$5:$E$200=$B31)*ISNUMBER(INDEX(Inputs!$K$5:$AJ$200,0,MATCH(O$2,Inputs!$K$4:$AJ$4,0))))=0,NA(),SUMPRODUCT((Inputs!$A$5:$A$200=$B31)*Inputs!$B$5:$B$200*(((Inputs!$G$5:$G$200="moeda")+(Inputs!$G$5:$G$200="acoes"))*Inputs!$B$1+((Inputs!$G$5:$G$200&lt;&gt;"moeda")*(Inputs!$G$5:$G$200&lt;&gt;"acoes")))*INDEX(Inputs!$K$5:$AJ$200,0,MATCH(O$2,Inputs!$K$4:$AJ$4,0)))+SUMPRODUCT((Inputs!$C$5:$C$200=$B31)*Inputs!$D$5:$D$200*(((Inputs!$G$5:$G$200="moeda")+(Inputs!$G$5:$G$200="acoes"))*Inputs!$B$1+((Inputs!$G$5:$G$200&lt;&gt;"moeda")*(Inputs!$G$5:$G$200&lt;&gt;"acoes")))*INDEX(Inputs!$K$5:$AJ$200,0,MATCH(O$2,Inputs!$K$4:$AJ$4,0)))+SUMPRODUCT((Inputs!$E$5:$E$200=$B31)*Inputs!$F$5:$F$200*(((Inputs!$G$5:$G$200="moeda")+(Inputs!$G$5:$G$200="acoes"))*Inputs!$B$1+((Inputs!$G$5:$G$200&lt;&gt;"moeda")*(Inputs!$G$5:$G$200&lt;&gt;"acoes")))*INDEX(Inputs!$K$5:$AJ$200,0,MATCH(O$2,Inputs!$K$4:$AJ$4,0)))))</f>
        <v>70.791</v>
      </c>
      <c r="P31" s="6">
        <f>IF(ISNA(MATCH(P$2,Inputs!$K$4:$AJ$4,0)),NA(),IF(SUMPRODUCT((Inputs!$A$5:$A$200=$B31)*ISNUMBER(INDEX(Inputs!$K$5:$AJ$200,0,MATCH(P$2,Inputs!$K$4:$AJ$4,0))))+SUMPRODUCT((Inputs!$C$5:$C$200=$B31)*ISNUMBER(INDEX(Inputs!$K$5:$AJ$200,0,MATCH(P$2,Inputs!$K$4:$AJ$4,0))))+SUMPRODUCT((Inputs!$E$5:$E$200=$B31)*ISNUMBER(INDEX(Inputs!$K$5:$AJ$200,0,MATCH(P$2,Inputs!$K$4:$AJ$4,0))))=0,NA(),SUMPRODUCT((Inputs!$A$5:$A$200=$B31)*Inputs!$B$5:$B$200*(((Inputs!$G$5:$G$200="moeda")+(Inputs!$G$5:$G$200="acoes"))*Inputs!$B$1+((Inputs!$G$5:$G$200&lt;&gt;"moeda")*(Inputs!$G$5:$G$200&lt;&gt;"acoes")))*INDEX(Inputs!$K$5:$AJ$200,0,MATCH(P$2,Inputs!$K$4:$AJ$4,0)))+SUMPRODUCT((Inputs!$C$5:$C$200=$B31)*Inputs!$D$5:$D$200*(((Inputs!$G$5:$G$200="moeda")+(Inputs!$G$5:$G$200="acoes"))*Inputs!$B$1+((Inputs!$G$5:$G$200&lt;&gt;"moeda")*(Inputs!$G$5:$G$200&lt;&gt;"acoes")))*INDEX(Inputs!$K$5:$AJ$200,0,MATCH(P$2,Inputs!$K$4:$AJ$4,0)))+SUMPRODUCT((Inputs!$E$5:$E$200=$B31)*Inputs!$F$5:$F$200*(((Inputs!$G$5:$G$200="moeda")+(Inputs!$G$5:$G$200="acoes"))*Inputs!$B$1+((Inputs!$G$5:$G$200&lt;&gt;"moeda")*(Inputs!$G$5:$G$200&lt;&gt;"acoes")))*INDEX(Inputs!$K$5:$AJ$200,0,MATCH(P$2,Inputs!$K$4:$AJ$4,0)))))</f>
        <v>61.56</v>
      </c>
      <c r="Q31" s="6">
        <f>IF(ISNA(MATCH(Q$2,Inputs!$K$4:$AJ$4,0)),NA(),IF(SUMPRODUCT((Inputs!$A$5:$A$200=$B31)*ISNUMBER(INDEX(Inputs!$K$5:$AJ$200,0,MATCH(Q$2,Inputs!$K$4:$AJ$4,0))))+SUMPRODUCT((Inputs!$C$5:$C$200=$B31)*ISNUMBER(INDEX(Inputs!$K$5:$AJ$200,0,MATCH(Q$2,Inputs!$K$4:$AJ$4,0))))+SUMPRODUCT((Inputs!$E$5:$E$200=$B31)*ISNUMBER(INDEX(Inputs!$K$5:$AJ$200,0,MATCH(Q$2,Inputs!$K$4:$AJ$4,0))))=0,NA(),SUMPRODUCT((Inputs!$A$5:$A$200=$B31)*Inputs!$B$5:$B$200*(((Inputs!$G$5:$G$200="moeda")+(Inputs!$G$5:$G$200="acoes"))*Inputs!$B$1+((Inputs!$G$5:$G$200&lt;&gt;"moeda")*(Inputs!$G$5:$G$200&lt;&gt;"acoes")))*INDEX(Inputs!$K$5:$AJ$200,0,MATCH(Q$2,Inputs!$K$4:$AJ$4,0)))+SUMPRODUCT((Inputs!$C$5:$C$200=$B31)*Inputs!$D$5:$D$200*(((Inputs!$G$5:$G$200="moeda")+(Inputs!$G$5:$G$200="acoes"))*Inputs!$B$1+((Inputs!$G$5:$G$200&lt;&gt;"moeda")*(Inputs!$G$5:$G$200&lt;&gt;"acoes")))*INDEX(Inputs!$K$5:$AJ$200,0,MATCH(Q$2,Inputs!$K$4:$AJ$4,0)))+SUMPRODUCT((Inputs!$E$5:$E$200=$B31)*Inputs!$F$5:$F$200*(((Inputs!$G$5:$G$200="moeda")+(Inputs!$G$5:$G$200="acoes"))*Inputs!$B$1+((Inputs!$G$5:$G$200&lt;&gt;"moeda")*(Inputs!$G$5:$G$200&lt;&gt;"acoes")))*INDEX(Inputs!$K$5:$AJ$200,0,MATCH(Q$2,Inputs!$K$4:$AJ$4,0)))))</f>
        <v>42.879</v>
      </c>
      <c r="R31" s="3">
        <f>Q31</f>
        <v>42.879</v>
      </c>
      <c r="S31" s="6">
        <f>IF(ISNA(MATCH(S$2,Inputs!$K$4:$AJ$4,0)),NA(),IF(SUMPRODUCT((Inputs!$A$5:$A$200=$B31)*ISNUMBER(INDEX(Inputs!$K$5:$AJ$200,0,MATCH(S$2,Inputs!$K$4:$AJ$4,0))))+SUMPRODUCT((Inputs!$C$5:$C$200=$B31)*ISNUMBER(INDEX(Inputs!$K$5:$AJ$200,0,MATCH(S$2,Inputs!$K$4:$AJ$4,0))))+SUMPRODUCT((Inputs!$E$5:$E$200=$B31)*ISNUMBER(INDEX(Inputs!$K$5:$AJ$200,0,MATCH(S$2,Inputs!$K$4:$AJ$4,0))))=0,NA(),SUMPRODUCT((Inputs!$A$5:$A$200=$B31)*Inputs!$B$5:$B$200*(((Inputs!$G$5:$G$200="moeda")+(Inputs!$G$5:$G$200="acoes"))*Inputs!$B$1+((Inputs!$G$5:$G$200&lt;&gt;"moeda")*(Inputs!$G$5:$G$200&lt;&gt;"acoes")))*INDEX(Inputs!$K$5:$AJ$200,0,MATCH(S$2,Inputs!$K$4:$AJ$4,0)))+SUMPRODUCT((Inputs!$C$5:$C$200=$B31)*Inputs!$D$5:$D$200*(((Inputs!$G$5:$G$200="moeda")+(Inputs!$G$5:$G$200="acoes"))*Inputs!$B$1+((Inputs!$G$5:$G$200&lt;&gt;"moeda")*(Inputs!$G$5:$G$200&lt;&gt;"acoes")))*INDEX(Inputs!$K$5:$AJ$200,0,MATCH(S$2,Inputs!$K$4:$AJ$4,0)))+SUMPRODUCT((Inputs!$E$5:$E$200=$B31)*Inputs!$F$5:$F$200*(((Inputs!$G$5:$G$200="moeda")+(Inputs!$G$5:$G$200="acoes"))*Inputs!$B$1+((Inputs!$G$5:$G$200&lt;&gt;"moeda")*(Inputs!$G$5:$G$200&lt;&gt;"acoes")))*INDEX(Inputs!$K$5:$AJ$200,0,MATCH(S$2,Inputs!$K$4:$AJ$4,0)))))</f>
        <v>41.462</v>
      </c>
      <c r="T31" s="6">
        <f>IF(ISNA(MATCH(T$2,Inputs!$K$4:$AJ$4,0)),NA(),IF(SUMPRODUCT((Inputs!$A$5:$A$200=$B31)*ISNUMBER(INDEX(Inputs!$K$5:$AJ$200,0,MATCH(T$2,Inputs!$K$4:$AJ$4,0))))+SUMPRODUCT((Inputs!$C$5:$C$200=$B31)*ISNUMBER(INDEX(Inputs!$K$5:$AJ$200,0,MATCH(T$2,Inputs!$K$4:$AJ$4,0))))+SUMPRODUCT((Inputs!$E$5:$E$200=$B31)*ISNUMBER(INDEX(Inputs!$K$5:$AJ$200,0,MATCH(T$2,Inputs!$K$4:$AJ$4,0))))=0,NA(),SUMPRODUCT((Inputs!$A$5:$A$200=$B31)*Inputs!$B$5:$B$200*(((Inputs!$G$5:$G$200="moeda")+(Inputs!$G$5:$G$200="acoes"))*Inputs!$B$1+((Inputs!$G$5:$G$200&lt;&gt;"moeda")*(Inputs!$G$5:$G$200&lt;&gt;"acoes")))*INDEX(Inputs!$K$5:$AJ$200,0,MATCH(T$2,Inputs!$K$4:$AJ$4,0)))+SUMPRODUCT((Inputs!$C$5:$C$200=$B31)*Inputs!$D$5:$D$200*(((Inputs!$G$5:$G$200="moeda")+(Inputs!$G$5:$G$200="acoes"))*Inputs!$B$1+((Inputs!$G$5:$G$200&lt;&gt;"moeda")*(Inputs!$G$5:$G$200&lt;&gt;"acoes")))*INDEX(Inputs!$K$5:$AJ$200,0,MATCH(T$2,Inputs!$K$4:$AJ$4,0)))+SUMPRODUCT((Inputs!$E$5:$E$200=$B31)*Inputs!$F$5:$F$200*(((Inputs!$G$5:$G$200="moeda")+(Inputs!$G$5:$G$200="acoes"))*Inputs!$B$1+((Inputs!$G$5:$G$200&lt;&gt;"moeda")*(Inputs!$G$5:$G$200&lt;&gt;"acoes")))*INDEX(Inputs!$K$5:$AJ$200,0,MATCH(T$2,Inputs!$K$4:$AJ$4,0)))))</f>
        <v>38.597</v>
      </c>
      <c r="U31" s="6">
        <f>IF(ISNA(MATCH(U$2,Inputs!$K$4:$AJ$4,0)),NA(),IF(SUMPRODUCT((Inputs!$A$5:$A$200=$B31)*ISNUMBER(INDEX(Inputs!$K$5:$AJ$200,0,MATCH(U$2,Inputs!$K$4:$AJ$4,0))))+SUMPRODUCT((Inputs!$C$5:$C$200=$B31)*ISNUMBER(INDEX(Inputs!$K$5:$AJ$200,0,MATCH(U$2,Inputs!$K$4:$AJ$4,0))))+SUMPRODUCT((Inputs!$E$5:$E$200=$B31)*ISNUMBER(INDEX(Inputs!$K$5:$AJ$200,0,MATCH(U$2,Inputs!$K$4:$AJ$4,0))))=0,NA(),SUMPRODUCT((Inputs!$A$5:$A$200=$B31)*Inputs!$B$5:$B$200*(((Inputs!$G$5:$G$200="moeda")+(Inputs!$G$5:$G$200="acoes"))*Inputs!$B$1+((Inputs!$G$5:$G$200&lt;&gt;"moeda")*(Inputs!$G$5:$G$200&lt;&gt;"acoes")))*INDEX(Inputs!$K$5:$AJ$200,0,MATCH(U$2,Inputs!$K$4:$AJ$4,0)))+SUMPRODUCT((Inputs!$C$5:$C$200=$B31)*Inputs!$D$5:$D$200*(((Inputs!$G$5:$G$200="moeda")+(Inputs!$G$5:$G$200="acoes"))*Inputs!$B$1+((Inputs!$G$5:$G$200&lt;&gt;"moeda")*(Inputs!$G$5:$G$200&lt;&gt;"acoes")))*INDEX(Inputs!$K$5:$AJ$200,0,MATCH(U$2,Inputs!$K$4:$AJ$4,0)))+SUMPRODUCT((Inputs!$E$5:$E$200=$B31)*Inputs!$F$5:$F$200*(((Inputs!$G$5:$G$200="moeda")+(Inputs!$G$5:$G$200="acoes"))*Inputs!$B$1+((Inputs!$G$5:$G$200&lt;&gt;"moeda")*(Inputs!$G$5:$G$200&lt;&gt;"acoes")))*INDEX(Inputs!$K$5:$AJ$200,0,MATCH(U$2,Inputs!$K$4:$AJ$4,0)))))</f>
        <v>38.621</v>
      </c>
      <c r="V31" s="6">
        <f>IF(ISNA(MATCH(V$2,Inputs!$K$4:$AJ$4,0)),NA(),IF(SUMPRODUCT((Inputs!$A$5:$A$200=$B31)*ISNUMBER(INDEX(Inputs!$K$5:$AJ$200,0,MATCH(V$2,Inputs!$K$4:$AJ$4,0))))+SUMPRODUCT((Inputs!$C$5:$C$200=$B31)*ISNUMBER(INDEX(Inputs!$K$5:$AJ$200,0,MATCH(V$2,Inputs!$K$4:$AJ$4,0))))+SUMPRODUCT((Inputs!$E$5:$E$200=$B31)*ISNUMBER(INDEX(Inputs!$K$5:$AJ$200,0,MATCH(V$2,Inputs!$K$4:$AJ$4,0))))=0,NA(),SUMPRODUCT((Inputs!$A$5:$A$200=$B31)*Inputs!$B$5:$B$200*(((Inputs!$G$5:$G$200="moeda")+(Inputs!$G$5:$G$200="acoes"))*Inputs!$B$1+((Inputs!$G$5:$G$200&lt;&gt;"moeda")*(Inputs!$G$5:$G$200&lt;&gt;"acoes")))*INDEX(Inputs!$K$5:$AJ$200,0,MATCH(V$2,Inputs!$K$4:$AJ$4,0)))+SUMPRODUCT((Inputs!$C$5:$C$200=$B31)*Inputs!$D$5:$D$200*(((Inputs!$G$5:$G$200="moeda")+(Inputs!$G$5:$G$200="acoes"))*Inputs!$B$1+((Inputs!$G$5:$G$200&lt;&gt;"moeda")*(Inputs!$G$5:$G$200&lt;&gt;"acoes")))*INDEX(Inputs!$K$5:$AJ$200,0,MATCH(V$2,Inputs!$K$4:$AJ$4,0)))+SUMPRODUCT((Inputs!$E$5:$E$200=$B31)*Inputs!$F$5:$F$200*(((Inputs!$G$5:$G$200="moeda")+(Inputs!$G$5:$G$200="acoes"))*Inputs!$B$1+((Inputs!$G$5:$G$200&lt;&gt;"moeda")*(Inputs!$G$5:$G$200&lt;&gt;"acoes")))*INDEX(Inputs!$K$5:$AJ$200,0,MATCH(V$2,Inputs!$K$4:$AJ$4,0)))))</f>
        <v>30.552</v>
      </c>
      <c r="W31" s="3">
        <f>V31</f>
        <v>30.552</v>
      </c>
      <c r="X31" s="6">
        <f>IF(ISNA(MATCH(X$2,Inputs!$K$4:$AJ$4,0)),NA(),IF(SUMPRODUCT((Inputs!$A$5:$A$200=$B31)*ISNUMBER(INDEX(Inputs!$K$5:$AJ$200,0,MATCH(X$2,Inputs!$K$4:$AJ$4,0))))+SUMPRODUCT((Inputs!$C$5:$C$200=$B31)*ISNUMBER(INDEX(Inputs!$K$5:$AJ$200,0,MATCH(X$2,Inputs!$K$4:$AJ$4,0))))+SUMPRODUCT((Inputs!$E$5:$E$200=$B31)*ISNUMBER(INDEX(Inputs!$K$5:$AJ$200,0,MATCH(X$2,Inputs!$K$4:$AJ$4,0))))=0,NA(),SUMPRODUCT((Inputs!$A$5:$A$200=$B31)*Inputs!$B$5:$B$200*(((Inputs!$G$5:$G$200="moeda")+(Inputs!$G$5:$G$200="acoes"))*Inputs!$B$1+((Inputs!$G$5:$G$200&lt;&gt;"moeda")*(Inputs!$G$5:$G$200&lt;&gt;"acoes")))*INDEX(Inputs!$K$5:$AJ$200,0,MATCH(X$2,Inputs!$K$4:$AJ$4,0)))+SUMPRODUCT((Inputs!$C$5:$C$200=$B31)*Inputs!$D$5:$D$200*(((Inputs!$G$5:$G$200="moeda")+(Inputs!$G$5:$G$200="acoes"))*Inputs!$B$1+((Inputs!$G$5:$G$200&lt;&gt;"moeda")*(Inputs!$G$5:$G$200&lt;&gt;"acoes")))*INDEX(Inputs!$K$5:$AJ$200,0,MATCH(X$2,Inputs!$K$4:$AJ$4,0)))+SUMPRODUCT((Inputs!$E$5:$E$200=$B31)*Inputs!$F$5:$F$200*(((Inputs!$G$5:$G$200="moeda")+(Inputs!$G$5:$G$200="acoes"))*Inputs!$B$1+((Inputs!$G$5:$G$200&lt;&gt;"moeda")*(Inputs!$G$5:$G$200&lt;&gt;"acoes")))*INDEX(Inputs!$K$5:$AJ$200,0,MATCH(X$2,Inputs!$K$4:$AJ$4,0)))))</f>
        <v>24.081</v>
      </c>
      <c r="Y31" s="6">
        <f>IF(ISNA(MATCH(Y$2,Inputs!$K$4:$AJ$4,0)),NA(),IF(SUMPRODUCT((Inputs!$A$5:$A$200=$B31)*ISNUMBER(INDEX(Inputs!$K$5:$AJ$200,0,MATCH(Y$2,Inputs!$K$4:$AJ$4,0))))+SUMPRODUCT((Inputs!$C$5:$C$200=$B31)*ISNUMBER(INDEX(Inputs!$K$5:$AJ$200,0,MATCH(Y$2,Inputs!$K$4:$AJ$4,0))))+SUMPRODUCT((Inputs!$E$5:$E$200=$B31)*ISNUMBER(INDEX(Inputs!$K$5:$AJ$200,0,MATCH(Y$2,Inputs!$K$4:$AJ$4,0))))=0,NA(),SUMPRODUCT((Inputs!$A$5:$A$200=$B31)*Inputs!$B$5:$B$200*(((Inputs!$G$5:$G$200="moeda")+(Inputs!$G$5:$G$200="acoes"))*Inputs!$B$1+((Inputs!$G$5:$G$200&lt;&gt;"moeda")*(Inputs!$G$5:$G$200&lt;&gt;"acoes")))*INDEX(Inputs!$K$5:$AJ$200,0,MATCH(Y$2,Inputs!$K$4:$AJ$4,0)))+SUMPRODUCT((Inputs!$C$5:$C$200=$B31)*Inputs!$D$5:$D$200*(((Inputs!$G$5:$G$200="moeda")+(Inputs!$G$5:$G$200="acoes"))*Inputs!$B$1+((Inputs!$G$5:$G$200&lt;&gt;"moeda")*(Inputs!$G$5:$G$200&lt;&gt;"acoes")))*INDEX(Inputs!$K$5:$AJ$200,0,MATCH(Y$2,Inputs!$K$4:$AJ$4,0)))+SUMPRODUCT((Inputs!$E$5:$E$200=$B31)*Inputs!$F$5:$F$200*(((Inputs!$G$5:$G$200="moeda")+(Inputs!$G$5:$G$200="acoes"))*Inputs!$B$1+((Inputs!$G$5:$G$200&lt;&gt;"moeda")*(Inputs!$G$5:$G$200&lt;&gt;"acoes")))*INDEX(Inputs!$K$5:$AJ$200,0,MATCH(Y$2,Inputs!$K$4:$AJ$4,0)))))</f>
        <v>26.99</v>
      </c>
      <c r="Z31" s="6">
        <f>IF(ISNA(MATCH(Z$2,Inputs!$K$4:$AJ$4,0)),NA(),IF(SUMPRODUCT((Inputs!$A$5:$A$200=$B31)*ISNUMBER(INDEX(Inputs!$K$5:$AJ$200,0,MATCH(Z$2,Inputs!$K$4:$AJ$4,0))))+SUMPRODUCT((Inputs!$C$5:$C$200=$B31)*ISNUMBER(INDEX(Inputs!$K$5:$AJ$200,0,MATCH(Z$2,Inputs!$K$4:$AJ$4,0))))+SUMPRODUCT((Inputs!$E$5:$E$200=$B31)*ISNUMBER(INDEX(Inputs!$K$5:$AJ$200,0,MATCH(Z$2,Inputs!$K$4:$AJ$4,0))))=0,NA(),SUMPRODUCT((Inputs!$A$5:$A$200=$B31)*Inputs!$B$5:$B$200*(((Inputs!$G$5:$G$200="moeda")+(Inputs!$G$5:$G$200="acoes"))*Inputs!$B$1+((Inputs!$G$5:$G$200&lt;&gt;"moeda")*(Inputs!$G$5:$G$200&lt;&gt;"acoes")))*INDEX(Inputs!$K$5:$AJ$200,0,MATCH(Z$2,Inputs!$K$4:$AJ$4,0)))+SUMPRODUCT((Inputs!$C$5:$C$200=$B31)*Inputs!$D$5:$D$200*(((Inputs!$G$5:$G$200="moeda")+(Inputs!$G$5:$G$200="acoes"))*Inputs!$B$1+((Inputs!$G$5:$G$200&lt;&gt;"moeda")*(Inputs!$G$5:$G$200&lt;&gt;"acoes")))*INDEX(Inputs!$K$5:$AJ$200,0,MATCH(Z$2,Inputs!$K$4:$AJ$4,0)))+SUMPRODUCT((Inputs!$E$5:$E$200=$B31)*Inputs!$F$5:$F$200*(((Inputs!$G$5:$G$200="moeda")+(Inputs!$G$5:$G$200="acoes"))*Inputs!$B$1+((Inputs!$G$5:$G$200&lt;&gt;"moeda")*(Inputs!$G$5:$G$200&lt;&gt;"acoes")))*INDEX(Inputs!$K$5:$AJ$200,0,MATCH(Z$2,Inputs!$K$4:$AJ$4,0)))))</f>
        <v>25.007</v>
      </c>
      <c r="AA31" s="6">
        <f>IF(ISNA(MATCH(AA$2,Inputs!$K$4:$AJ$4,0)),NA(),IF(SUMPRODUCT((Inputs!$A$5:$A$200=$B31)*ISNUMBER(INDEX(Inputs!$K$5:$AJ$200,0,MATCH(AA$2,Inputs!$K$4:$AJ$4,0))))+SUMPRODUCT((Inputs!$C$5:$C$200=$B31)*ISNUMBER(INDEX(Inputs!$K$5:$AJ$200,0,MATCH(AA$2,Inputs!$K$4:$AJ$4,0))))+SUMPRODUCT((Inputs!$E$5:$E$200=$B31)*ISNUMBER(INDEX(Inputs!$K$5:$AJ$200,0,MATCH(AA$2,Inputs!$K$4:$AJ$4,0))))=0,NA(),SUMPRODUCT((Inputs!$A$5:$A$200=$B31)*Inputs!$B$5:$B$200*(((Inputs!$G$5:$G$200="moeda")+(Inputs!$G$5:$G$200="acoes"))*Inputs!$B$1+((Inputs!$G$5:$G$200&lt;&gt;"moeda")*(Inputs!$G$5:$G$200&lt;&gt;"acoes")))*INDEX(Inputs!$K$5:$AJ$200,0,MATCH(AA$2,Inputs!$K$4:$AJ$4,0)))+SUMPRODUCT((Inputs!$C$5:$C$200=$B31)*Inputs!$D$5:$D$200*(((Inputs!$G$5:$G$200="moeda")+(Inputs!$G$5:$G$200="acoes"))*Inputs!$B$1+((Inputs!$G$5:$G$200&lt;&gt;"moeda")*(Inputs!$G$5:$G$200&lt;&gt;"acoes")))*INDEX(Inputs!$K$5:$AJ$200,0,MATCH(AA$2,Inputs!$K$4:$AJ$4,0)))+SUMPRODUCT((Inputs!$E$5:$E$200=$B31)*Inputs!$F$5:$F$200*(((Inputs!$G$5:$G$200="moeda")+(Inputs!$G$5:$G$200="acoes"))*Inputs!$B$1+((Inputs!$G$5:$G$200&lt;&gt;"moeda")*(Inputs!$G$5:$G$200&lt;&gt;"acoes")))*INDEX(Inputs!$K$5:$AJ$200,0,MATCH(AA$2,Inputs!$K$4:$AJ$4,0)))))</f>
        <v>106.368</v>
      </c>
      <c r="AB31" s="3">
        <f>AA31</f>
        <v>106.368</v>
      </c>
      <c r="AC31" s="6">
        <f>IF(ISNA(MATCH(AC$2,Inputs!$K$4:$AJ$4,0)),NA(),IF(SUMPRODUCT((Inputs!$A$5:$A$200=$B31)*ISNUMBER(INDEX(Inputs!$K$5:$AJ$200,0,MATCH(AC$2,Inputs!$K$4:$AJ$4,0))))+SUMPRODUCT((Inputs!$C$5:$C$200=$B31)*ISNUMBER(INDEX(Inputs!$K$5:$AJ$200,0,MATCH(AC$2,Inputs!$K$4:$AJ$4,0))))+SUMPRODUCT((Inputs!$E$5:$E$200=$B31)*ISNUMBER(INDEX(Inputs!$K$5:$AJ$200,0,MATCH(AC$2,Inputs!$K$4:$AJ$4,0))))=0,NA(),SUMPRODUCT((Inputs!$A$5:$A$200=$B31)*Inputs!$B$5:$B$200*(((Inputs!$G$5:$G$200="moeda")+(Inputs!$G$5:$G$200="acoes"))*Inputs!$B$1+((Inputs!$G$5:$G$200&lt;&gt;"moeda")*(Inputs!$G$5:$G$200&lt;&gt;"acoes")))*INDEX(Inputs!$K$5:$AJ$200,0,MATCH(AC$2,Inputs!$K$4:$AJ$4,0)))+SUMPRODUCT((Inputs!$C$5:$C$200=$B31)*Inputs!$D$5:$D$200*(((Inputs!$G$5:$G$200="moeda")+(Inputs!$G$5:$G$200="acoes"))*Inputs!$B$1+((Inputs!$G$5:$G$200&lt;&gt;"moeda")*(Inputs!$G$5:$G$200&lt;&gt;"acoes")))*INDEX(Inputs!$K$5:$AJ$200,0,MATCH(AC$2,Inputs!$K$4:$AJ$4,0)))+SUMPRODUCT((Inputs!$E$5:$E$200=$B31)*Inputs!$F$5:$F$200*(((Inputs!$G$5:$G$200="moeda")+(Inputs!$G$5:$G$200="acoes"))*Inputs!$B$1+((Inputs!$G$5:$G$200&lt;&gt;"moeda")*(Inputs!$G$5:$G$200&lt;&gt;"acoes")))*INDEX(Inputs!$K$5:$AJ$200,0,MATCH(AC$2,Inputs!$K$4:$AJ$4,0)))))</f>
        <v>89.427</v>
      </c>
      <c r="AD31" s="6">
        <f>IF(ISNA(MATCH(AD$2,Inputs!$K$4:$AJ$4,0)),NA(),IF(SUMPRODUCT((Inputs!$A$5:$A$200=$B31)*ISNUMBER(INDEX(Inputs!$K$5:$AJ$200,0,MATCH(AD$2,Inputs!$K$4:$AJ$4,0))))+SUMPRODUCT((Inputs!$C$5:$C$200=$B31)*ISNUMBER(INDEX(Inputs!$K$5:$AJ$200,0,MATCH(AD$2,Inputs!$K$4:$AJ$4,0))))+SUMPRODUCT((Inputs!$E$5:$E$200=$B31)*ISNUMBER(INDEX(Inputs!$K$5:$AJ$200,0,MATCH(AD$2,Inputs!$K$4:$AJ$4,0))))=0,NA(),SUMPRODUCT((Inputs!$A$5:$A$200=$B31)*Inputs!$B$5:$B$200*(((Inputs!$G$5:$G$200="moeda")+(Inputs!$G$5:$G$200="acoes"))*Inputs!$B$1+((Inputs!$G$5:$G$200&lt;&gt;"moeda")*(Inputs!$G$5:$G$200&lt;&gt;"acoes")))*INDEX(Inputs!$K$5:$AJ$200,0,MATCH(AD$2,Inputs!$K$4:$AJ$4,0)))+SUMPRODUCT((Inputs!$C$5:$C$200=$B31)*Inputs!$D$5:$D$200*(((Inputs!$G$5:$G$200="moeda")+(Inputs!$G$5:$G$200="acoes"))*Inputs!$B$1+((Inputs!$G$5:$G$200&lt;&gt;"moeda")*(Inputs!$G$5:$G$200&lt;&gt;"acoes")))*INDEX(Inputs!$K$5:$AJ$200,0,MATCH(AD$2,Inputs!$K$4:$AJ$4,0)))+SUMPRODUCT((Inputs!$E$5:$E$200=$B31)*Inputs!$F$5:$F$200*(((Inputs!$G$5:$G$200="moeda")+(Inputs!$G$5:$G$200="acoes"))*Inputs!$B$1+((Inputs!$G$5:$G$200&lt;&gt;"moeda")*(Inputs!$G$5:$G$200&lt;&gt;"acoes")))*INDEX(Inputs!$K$5:$AJ$200,0,MATCH(AD$2,Inputs!$K$4:$AJ$4,0)))))</f>
        <v>132.638</v>
      </c>
      <c r="AE31" s="6" t="e">
        <f>IF(ISNA(MATCH(AE$2,Inputs!$K$4:$AJ$4,0)),NA(),IF(SUMPRODUCT((Inputs!$A$5:$A$200=$B31)*ISNUMBER(INDEX(Inputs!$K$5:$AJ$200,0,MATCH(AE$2,Inputs!$K$4:$AJ$4,0))))+SUMPRODUCT((Inputs!$C$5:$C$200=$B31)*ISNUMBER(INDEX(Inputs!$K$5:$AJ$200,0,MATCH(AE$2,Inputs!$K$4:$AJ$4,0))))+SUMPRODUCT((Inputs!$E$5:$E$200=$B31)*ISNUMBER(INDEX(Inputs!$K$5:$AJ$200,0,MATCH(AE$2,Inputs!$K$4:$AJ$4,0))))=0,NA(),SUMPRODUCT((Inputs!$A$5:$A$200=$B31)*Inputs!$B$5:$B$200*(((Inputs!$G$5:$G$200="moeda")+(Inputs!$G$5:$G$200="acoes"))*Inputs!$B$1+((Inputs!$G$5:$G$200&lt;&gt;"moeda")*(Inputs!$G$5:$G$200&lt;&gt;"acoes")))*INDEX(Inputs!$K$5:$AJ$200,0,MATCH(AE$2,Inputs!$K$4:$AJ$4,0)))+SUMPRODUCT((Inputs!$C$5:$C$200=$B31)*Inputs!$D$5:$D$200*(((Inputs!$G$5:$G$200="moeda")+(Inputs!$G$5:$G$200="acoes"))*Inputs!$B$1+((Inputs!$G$5:$G$200&lt;&gt;"moeda")*(Inputs!$G$5:$G$200&lt;&gt;"acoes")))*INDEX(Inputs!$K$5:$AJ$200,0,MATCH(AE$2,Inputs!$K$4:$AJ$4,0)))+SUMPRODUCT((Inputs!$E$5:$E$200=$B31)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1" s="6" t="e">
        <f>IF(ISNA(MATCH(AF$2,Inputs!$K$4:$AJ$4,0)),NA(),IF(SUMPRODUCT((Inputs!$A$5:$A$200=$B31)*ISNUMBER(INDEX(Inputs!$K$5:$AJ$200,0,MATCH(AF$2,Inputs!$K$4:$AJ$4,0))))+SUMPRODUCT((Inputs!$C$5:$C$200=$B31)*ISNUMBER(INDEX(Inputs!$K$5:$AJ$200,0,MATCH(AF$2,Inputs!$K$4:$AJ$4,0))))+SUMPRODUCT((Inputs!$E$5:$E$200=$B31)*ISNUMBER(INDEX(Inputs!$K$5:$AJ$200,0,MATCH(AF$2,Inputs!$K$4:$AJ$4,0))))=0,NA(),SUMPRODUCT((Inputs!$A$5:$A$200=$B31)*Inputs!$B$5:$B$200*(((Inputs!$G$5:$G$200="moeda")+(Inputs!$G$5:$G$200="acoes"))*Inputs!$B$1+((Inputs!$G$5:$G$200&lt;&gt;"moeda")*(Inputs!$G$5:$G$200&lt;&gt;"acoes")))*INDEX(Inputs!$K$5:$AJ$200,0,MATCH(AF$2,Inputs!$K$4:$AJ$4,0)))+SUMPRODUCT((Inputs!$C$5:$C$200=$B31)*Inputs!$D$5:$D$200*(((Inputs!$G$5:$G$200="moeda")+(Inputs!$G$5:$G$200="acoes"))*Inputs!$B$1+((Inputs!$G$5:$G$200&lt;&gt;"moeda")*(Inputs!$G$5:$G$200&lt;&gt;"acoes")))*INDEX(Inputs!$K$5:$AJ$200,0,MATCH(AF$2,Inputs!$K$4:$AJ$4,0)))+SUMPRODUCT((Inputs!$E$5:$E$200=$B31)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1" s="3" t="e">
        <f>AF31</f>
        <v>#N/A</v>
      </c>
      <c r="AH31" s="6">
        <f>IF(ISNA(MATCH(AH$2,Inputs!$K$4:$AJ$4,0)),NA(),IF(SUMPRODUCT((Inputs!$A$5:$A$200=$B31)*ISNUMBER(INDEX(Inputs!$K$5:$AJ$200,0,MATCH(AH$2,Inputs!$K$4:$AJ$4,0))))+SUMPRODUCT((Inputs!$C$5:$C$200=$B31)*ISNUMBER(INDEX(Inputs!$K$5:$AJ$200,0,MATCH(AH$2,Inputs!$K$4:$AJ$4,0))))+SUMPRODUCT((Inputs!$E$5:$E$200=$B31)*ISNUMBER(INDEX(Inputs!$K$5:$AJ$200,0,MATCH(AH$2,Inputs!$K$4:$AJ$4,0))))=0,NA(),SUMPRODUCT((Inputs!$A$5:$A$200=$B31)*Inputs!$B$5:$B$200*(((Inputs!$G$5:$G$200="moeda")+(Inputs!$G$5:$G$200="acoes"))*Inputs!$B$1+((Inputs!$G$5:$G$200&lt;&gt;"moeda")*(Inputs!$G$5:$G$200&lt;&gt;"acoes")))*INDEX(Inputs!$K$5:$AJ$200,0,MATCH(AH$2,Inputs!$K$4:$AJ$4,0)))+SUMPRODUCT((Inputs!$C$5:$C$200=$B31)*Inputs!$D$5:$D$200*(((Inputs!$G$5:$G$200="moeda")+(Inputs!$G$5:$G$200="acoes"))*Inputs!$B$1+((Inputs!$G$5:$G$200&lt;&gt;"moeda")*(Inputs!$G$5:$G$200&lt;&gt;"acoes")))*INDEX(Inputs!$K$5:$AJ$200,0,MATCH(AH$2,Inputs!$K$4:$AJ$4,0)))+SUMPRODUCT((Inputs!$E$5:$E$200=$B31)*Inputs!$F$5:$F$200*(((Inputs!$G$5:$G$200="moeda")+(Inputs!$G$5:$G$200="acoes"))*Inputs!$B$1+((Inputs!$G$5:$G$200&lt;&gt;"moeda")*(Inputs!$G$5:$G$200&lt;&gt;"acoes")))*INDEX(Inputs!$K$5:$AJ$200,0,MATCH(AH$2,Inputs!$K$4:$AJ$4,0)))))</f>
        <v>48.718</v>
      </c>
      <c r="AI31" s="6">
        <f>IF(ISNA(MATCH(AI$2,Inputs!$K$4:$AJ$4,0)),NA(),IF(SUMPRODUCT((Inputs!$A$5:$A$200=$B31)*ISNUMBER(INDEX(Inputs!$K$5:$AJ$200,0,MATCH(AI$2,Inputs!$K$4:$AJ$4,0))))+SUMPRODUCT((Inputs!$C$5:$C$200=$B31)*ISNUMBER(INDEX(Inputs!$K$5:$AJ$200,0,MATCH(AI$2,Inputs!$K$4:$AJ$4,0))))+SUMPRODUCT((Inputs!$E$5:$E$200=$B31)*ISNUMBER(INDEX(Inputs!$K$5:$AJ$200,0,MATCH(AI$2,Inputs!$K$4:$AJ$4,0))))=0,NA(),SUMPRODUCT((Inputs!$A$5:$A$200=$B31)*Inputs!$B$5:$B$200*(((Inputs!$G$5:$G$200="moeda")+(Inputs!$G$5:$G$200="acoes"))*Inputs!$B$1+((Inputs!$G$5:$G$200&lt;&gt;"moeda")*(Inputs!$G$5:$G$200&lt;&gt;"acoes")))*INDEX(Inputs!$K$5:$AJ$200,0,MATCH(AI$2,Inputs!$K$4:$AJ$4,0)))+SUMPRODUCT((Inputs!$C$5:$C$200=$B31)*Inputs!$D$5:$D$200*(((Inputs!$G$5:$G$200="moeda")+(Inputs!$G$5:$G$200="acoes"))*Inputs!$B$1+((Inputs!$G$5:$G$200&lt;&gt;"moeda")*(Inputs!$G$5:$G$200&lt;&gt;"acoes")))*INDEX(Inputs!$K$5:$AJ$200,0,MATCH(AI$2,Inputs!$K$4:$AJ$4,0)))+SUMPRODUCT((Inputs!$E$5:$E$200=$B31)*Inputs!$F$5:$F$200*(((Inputs!$G$5:$G$200="moeda")+(Inputs!$G$5:$G$200="acoes"))*Inputs!$B$1+((Inputs!$G$5:$G$200&lt;&gt;"moeda")*(Inputs!$G$5:$G$200&lt;&gt;"acoes")))*INDEX(Inputs!$K$5:$AJ$200,0,MATCH(AI$2,Inputs!$K$4:$AJ$4,0)))))</f>
        <v>49.147</v>
      </c>
      <c r="AJ31" s="6">
        <f>IF(ISNA(MATCH(AJ$2,Inputs!$K$4:$AJ$4,0)),NA(),IF(SUMPRODUCT((Inputs!$A$5:$A$200=$B31)*ISNUMBER(INDEX(Inputs!$K$5:$AJ$200,0,MATCH(AJ$2,Inputs!$K$4:$AJ$4,0))))+SUMPRODUCT((Inputs!$C$5:$C$200=$B31)*ISNUMBER(INDEX(Inputs!$K$5:$AJ$200,0,MATCH(AJ$2,Inputs!$K$4:$AJ$4,0))))+SUMPRODUCT((Inputs!$E$5:$E$200=$B31)*ISNUMBER(INDEX(Inputs!$K$5:$AJ$200,0,MATCH(AJ$2,Inputs!$K$4:$AJ$4,0))))=0,NA(),SUMPRODUCT((Inputs!$A$5:$A$200=$B31)*Inputs!$B$5:$B$200*(((Inputs!$G$5:$G$200="moeda")+(Inputs!$G$5:$G$200="acoes"))*Inputs!$B$1+((Inputs!$G$5:$G$200&lt;&gt;"moeda")*(Inputs!$G$5:$G$200&lt;&gt;"acoes")))*INDEX(Inputs!$K$5:$AJ$200,0,MATCH(AJ$2,Inputs!$K$4:$AJ$4,0)))+SUMPRODUCT((Inputs!$C$5:$C$200=$B31)*Inputs!$D$5:$D$200*(((Inputs!$G$5:$G$200="moeda")+(Inputs!$G$5:$G$200="acoes"))*Inputs!$B$1+((Inputs!$G$5:$G$200&lt;&gt;"moeda")*(Inputs!$G$5:$G$200&lt;&gt;"acoes")))*INDEX(Inputs!$K$5:$AJ$200,0,MATCH(AJ$2,Inputs!$K$4:$AJ$4,0)))+SUMPRODUCT((Inputs!$E$5:$E$200=$B31)*Inputs!$F$5:$F$200*(((Inputs!$G$5:$G$200="moeda")+(Inputs!$G$5:$G$200="acoes"))*Inputs!$B$1+((Inputs!$G$5:$G$200&lt;&gt;"moeda")*(Inputs!$G$5:$G$200&lt;&gt;"acoes")))*INDEX(Inputs!$K$5:$AJ$200,0,MATCH(AJ$2,Inputs!$K$4:$AJ$4,0)))))</f>
        <v>64.518</v>
      </c>
      <c r="AK31" s="6">
        <f>IF(ISNA(MATCH(AK$2,Inputs!$K$4:$AJ$4,0)),NA(),IF(SUMPRODUCT((Inputs!$A$5:$A$200=$B31)*ISNUMBER(INDEX(Inputs!$K$5:$AJ$200,0,MATCH(AK$2,Inputs!$K$4:$AJ$4,0))))+SUMPRODUCT((Inputs!$C$5:$C$200=$B31)*ISNUMBER(INDEX(Inputs!$K$5:$AJ$200,0,MATCH(AK$2,Inputs!$K$4:$AJ$4,0))))+SUMPRODUCT((Inputs!$E$5:$E$200=$B31)*ISNUMBER(INDEX(Inputs!$K$5:$AJ$200,0,MATCH(AK$2,Inputs!$K$4:$AJ$4,0))))=0,NA(),SUMPRODUCT((Inputs!$A$5:$A$200=$B31)*Inputs!$B$5:$B$200*(((Inputs!$G$5:$G$200="moeda")+(Inputs!$G$5:$G$200="acoes"))*Inputs!$B$1+((Inputs!$G$5:$G$200&lt;&gt;"moeda")*(Inputs!$G$5:$G$200&lt;&gt;"acoes")))*INDEX(Inputs!$K$5:$AJ$200,0,MATCH(AK$2,Inputs!$K$4:$AJ$4,0)))+SUMPRODUCT((Inputs!$C$5:$C$200=$B31)*Inputs!$D$5:$D$200*(((Inputs!$G$5:$G$200="moeda")+(Inputs!$G$5:$G$200="acoes"))*Inputs!$B$1+((Inputs!$G$5:$G$200&lt;&gt;"moeda")*(Inputs!$G$5:$G$200&lt;&gt;"acoes")))*INDEX(Inputs!$K$5:$AJ$200,0,MATCH(AK$2,Inputs!$K$4:$AJ$4,0)))+SUMPRODUCT((Inputs!$E$5:$E$200=$B31)*Inputs!$F$5:$F$200*(((Inputs!$G$5:$G$200="moeda")+(Inputs!$G$5:$G$200="acoes"))*Inputs!$B$1+((Inputs!$G$5:$G$200&lt;&gt;"moeda")*(Inputs!$G$5:$G$200&lt;&gt;"acoes")))*INDEX(Inputs!$K$5:$AJ$200,0,MATCH(AK$2,Inputs!$K$4:$AJ$4,0)))))</f>
        <v>50.366</v>
      </c>
      <c r="AL31" s="3">
        <f>AK31</f>
        <v>50.366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$200=$B32)*ISNUMBER(INDEX(Inputs!$K$5:$AJ$200,0,MATCH(D$2,Inputs!$K$4:$AJ$4,0))))+SUMPRODUCT((Inputs!$C$5:$C$200=$B32)*ISNUMBER(INDEX(Inputs!$K$5:$AJ$200,0,MATCH(D$2,Inputs!$K$4:$AJ$4,0))))+SUMPRODUCT((Inputs!$E$5:$E$200=$B32)*ISNUMBER(INDEX(Inputs!$K$5:$AJ$200,0,MATCH(D$2,Inputs!$K$4:$AJ$4,0))))=0,NA(),SUMPRODUCT((Inputs!$A$5:$A$200=$B32)*Inputs!$B$5:$B$200*(((Inputs!$G$5:$G$200="moeda")+(Inputs!$G$5:$G$200="acoes"))*Inputs!$B$1+((Inputs!$G$5:$G$200&lt;&gt;"moeda")*(Inputs!$G$5:$G$200&lt;&gt;"acoes")))*INDEX(Inputs!$K$5:$AJ$200,0,MATCH(D$2,Inputs!$K$4:$AJ$4,0)))+SUMPRODUCT((Inputs!$C$5:$C$200=$B32)*Inputs!$D$5:$D$200*(((Inputs!$G$5:$G$200="moeda")+(Inputs!$G$5:$G$200="acoes"))*Inputs!$B$1+((Inputs!$G$5:$G$200&lt;&gt;"moeda")*(Inputs!$G$5:$G$200&lt;&gt;"acoes")))*INDEX(Inputs!$K$5:$AJ$200,0,MATCH(D$2,Inputs!$K$4:$AJ$4,0)))+SUMPRODUCT((Inputs!$E$5:$E$200=$B32)*Inputs!$F$5:$F$200*(((Inputs!$G$5:$G$200="moeda")+(Inputs!$G$5:$G$200="acoes"))*Inputs!$B$1+((Inputs!$G$5:$G$200&lt;&gt;"moeda")*(Inputs!$G$5:$G$200&lt;&gt;"acoes")))*INDEX(Inputs!$K$5:$AJ$200,0,MATCH(D$2,Inputs!$K$4:$AJ$4,0)))))</f>
        <v>57.038</v>
      </c>
      <c r="E32" s="6">
        <f>IF(ISNA(MATCH(E$2,Inputs!$K$4:$AJ$4,0)),NA(),IF(SUMPRODUCT((Inputs!$A$5:$A$200=$B32)*ISNUMBER(INDEX(Inputs!$K$5:$AJ$200,0,MATCH(E$2,Inputs!$K$4:$AJ$4,0))))+SUMPRODUCT((Inputs!$C$5:$C$200=$B32)*ISNUMBER(INDEX(Inputs!$K$5:$AJ$200,0,MATCH(E$2,Inputs!$K$4:$AJ$4,0))))+SUMPRODUCT((Inputs!$E$5:$E$200=$B32)*ISNUMBER(INDEX(Inputs!$K$5:$AJ$200,0,MATCH(E$2,Inputs!$K$4:$AJ$4,0))))=0,NA(),SUMPRODUCT((Inputs!$A$5:$A$200=$B32)*Inputs!$B$5:$B$200*(((Inputs!$G$5:$G$200="moeda")+(Inputs!$G$5:$G$200="acoes"))*Inputs!$B$1+((Inputs!$G$5:$G$200&lt;&gt;"moeda")*(Inputs!$G$5:$G$200&lt;&gt;"acoes")))*INDEX(Inputs!$K$5:$AJ$200,0,MATCH(E$2,Inputs!$K$4:$AJ$4,0)))+SUMPRODUCT((Inputs!$C$5:$C$200=$B32)*Inputs!$D$5:$D$200*(((Inputs!$G$5:$G$200="moeda")+(Inputs!$G$5:$G$200="acoes"))*Inputs!$B$1+((Inputs!$G$5:$G$200&lt;&gt;"moeda")*(Inputs!$G$5:$G$200&lt;&gt;"acoes")))*INDEX(Inputs!$K$5:$AJ$200,0,MATCH(E$2,Inputs!$K$4:$AJ$4,0)))+SUMPRODUCT((Inputs!$E$5:$E$200=$B32)*Inputs!$F$5:$F$200*(((Inputs!$G$5:$G$200="moeda")+(Inputs!$G$5:$G$200="acoes"))*Inputs!$B$1+((Inputs!$G$5:$G$200&lt;&gt;"moeda")*(Inputs!$G$5:$G$200&lt;&gt;"acoes")))*INDEX(Inputs!$K$5:$AJ$200,0,MATCH(E$2,Inputs!$K$4:$AJ$4,0)))))</f>
        <v>69.002</v>
      </c>
      <c r="F32" s="6">
        <f>IF(ISNA(MATCH(F$2,Inputs!$K$4:$AJ$4,0)),NA(),IF(SUMPRODUCT((Inputs!$A$5:$A$200=$B32)*ISNUMBER(INDEX(Inputs!$K$5:$AJ$200,0,MATCH(F$2,Inputs!$K$4:$AJ$4,0))))+SUMPRODUCT((Inputs!$C$5:$C$200=$B32)*ISNUMBER(INDEX(Inputs!$K$5:$AJ$200,0,MATCH(F$2,Inputs!$K$4:$AJ$4,0))))+SUMPRODUCT((Inputs!$E$5:$E$200=$B32)*ISNUMBER(INDEX(Inputs!$K$5:$AJ$200,0,MATCH(F$2,Inputs!$K$4:$AJ$4,0))))=0,NA(),SUMPRODUCT((Inputs!$A$5:$A$200=$B32)*Inputs!$B$5:$B$200*(((Inputs!$G$5:$G$200="moeda")+(Inputs!$G$5:$G$200="acoes"))*Inputs!$B$1+((Inputs!$G$5:$G$200&lt;&gt;"moeda")*(Inputs!$G$5:$G$200&lt;&gt;"acoes")))*INDEX(Inputs!$K$5:$AJ$200,0,MATCH(F$2,Inputs!$K$4:$AJ$4,0)))+SUMPRODUCT((Inputs!$C$5:$C$200=$B32)*Inputs!$D$5:$D$200*(((Inputs!$G$5:$G$200="moeda")+(Inputs!$G$5:$G$200="acoes"))*Inputs!$B$1+((Inputs!$G$5:$G$200&lt;&gt;"moeda")*(Inputs!$G$5:$G$200&lt;&gt;"acoes")))*INDEX(Inputs!$K$5:$AJ$200,0,MATCH(F$2,Inputs!$K$4:$AJ$4,0)))+SUMPRODUCT((Inputs!$E$5:$E$200=$B32)*Inputs!$F$5:$F$200*(((Inputs!$G$5:$G$200="moeda")+(Inputs!$G$5:$G$200="acoes"))*Inputs!$B$1+((Inputs!$G$5:$G$200&lt;&gt;"moeda")*(Inputs!$G$5:$G$200&lt;&gt;"acoes")))*INDEX(Inputs!$K$5:$AJ$200,0,MATCH(F$2,Inputs!$K$4:$AJ$4,0)))))</f>
        <v>69.326</v>
      </c>
      <c r="G32" s="6">
        <f>IF(ISNA(MATCH(G$2,Inputs!$K$4:$AJ$4,0)),NA(),IF(SUMPRODUCT((Inputs!$A$5:$A$200=$B32)*ISNUMBER(INDEX(Inputs!$K$5:$AJ$200,0,MATCH(G$2,Inputs!$K$4:$AJ$4,0))))+SUMPRODUCT((Inputs!$C$5:$C$200=$B32)*ISNUMBER(INDEX(Inputs!$K$5:$AJ$200,0,MATCH(G$2,Inputs!$K$4:$AJ$4,0))))+SUMPRODUCT((Inputs!$E$5:$E$200=$B32)*ISNUMBER(INDEX(Inputs!$K$5:$AJ$200,0,MATCH(G$2,Inputs!$K$4:$AJ$4,0))))=0,NA(),SUMPRODUCT((Inputs!$A$5:$A$200=$B32)*Inputs!$B$5:$B$200*(((Inputs!$G$5:$G$200="moeda")+(Inputs!$G$5:$G$200="acoes"))*Inputs!$B$1+((Inputs!$G$5:$G$200&lt;&gt;"moeda")*(Inputs!$G$5:$G$200&lt;&gt;"acoes")))*INDEX(Inputs!$K$5:$AJ$200,0,MATCH(G$2,Inputs!$K$4:$AJ$4,0)))+SUMPRODUCT((Inputs!$C$5:$C$200=$B32)*Inputs!$D$5:$D$200*(((Inputs!$G$5:$G$200="moeda")+(Inputs!$G$5:$G$200="acoes"))*Inputs!$B$1+((Inputs!$G$5:$G$200&lt;&gt;"moeda")*(Inputs!$G$5:$G$200&lt;&gt;"acoes")))*INDEX(Inputs!$K$5:$AJ$200,0,MATCH(G$2,Inputs!$K$4:$AJ$4,0)))+SUMPRODUCT((Inputs!$E$5:$E$200=$B32)*Inputs!$F$5:$F$200*(((Inputs!$G$5:$G$200="moeda")+(Inputs!$G$5:$G$200="acoes"))*Inputs!$B$1+((Inputs!$G$5:$G$200&lt;&gt;"moeda")*(Inputs!$G$5:$G$200&lt;&gt;"acoes")))*INDEX(Inputs!$K$5:$AJ$200,0,MATCH(G$2,Inputs!$K$4:$AJ$4,0)))))</f>
        <v>16.844</v>
      </c>
      <c r="H32" s="3">
        <f>G32</f>
        <v>16.844</v>
      </c>
      <c r="I32" s="6">
        <f>IF(ISNA(MATCH(I$2,Inputs!$K$4:$AJ$4,0)),NA(),IF(SUMPRODUCT((Inputs!$A$5:$A$200=$B32)*ISNUMBER(INDEX(Inputs!$K$5:$AJ$200,0,MATCH(I$2,Inputs!$K$4:$AJ$4,0))))+SUMPRODUCT((Inputs!$C$5:$C$200=$B32)*ISNUMBER(INDEX(Inputs!$K$5:$AJ$200,0,MATCH(I$2,Inputs!$K$4:$AJ$4,0))))+SUMPRODUCT((Inputs!$E$5:$E$200=$B32)*ISNUMBER(INDEX(Inputs!$K$5:$AJ$200,0,MATCH(I$2,Inputs!$K$4:$AJ$4,0))))=0,NA(),SUMPRODUCT((Inputs!$A$5:$A$200=$B32)*Inputs!$B$5:$B$200*(((Inputs!$G$5:$G$200="moeda")+(Inputs!$G$5:$G$200="acoes"))*Inputs!$B$1+((Inputs!$G$5:$G$200&lt;&gt;"moeda")*(Inputs!$G$5:$G$200&lt;&gt;"acoes")))*INDEX(Inputs!$K$5:$AJ$200,0,MATCH(I$2,Inputs!$K$4:$AJ$4,0)))+SUMPRODUCT((Inputs!$C$5:$C$200=$B32)*Inputs!$D$5:$D$200*(((Inputs!$G$5:$G$200="moeda")+(Inputs!$G$5:$G$200="acoes"))*Inputs!$B$1+((Inputs!$G$5:$G$200&lt;&gt;"moeda")*(Inputs!$G$5:$G$200&lt;&gt;"acoes")))*INDEX(Inputs!$K$5:$AJ$200,0,MATCH(I$2,Inputs!$K$4:$AJ$4,0)))+SUMPRODUCT((Inputs!$E$5:$E$200=$B32)*Inputs!$F$5:$F$200*(((Inputs!$G$5:$G$200="moeda")+(Inputs!$G$5:$G$200="acoes"))*Inputs!$B$1+((Inputs!$G$5:$G$200&lt;&gt;"moeda")*(Inputs!$G$5:$G$200&lt;&gt;"acoes")))*INDEX(Inputs!$K$5:$AJ$200,0,MATCH(I$2,Inputs!$K$4:$AJ$4,0)))))</f>
        <v>12.728</v>
      </c>
      <c r="J32" s="6">
        <f>IF(ISNA(MATCH(J$2,Inputs!$K$4:$AJ$4,0)),NA(),IF(SUMPRODUCT((Inputs!$A$5:$A$200=$B32)*ISNUMBER(INDEX(Inputs!$K$5:$AJ$200,0,MATCH(J$2,Inputs!$K$4:$AJ$4,0))))+SUMPRODUCT((Inputs!$C$5:$C$200=$B32)*ISNUMBER(INDEX(Inputs!$K$5:$AJ$200,0,MATCH(J$2,Inputs!$K$4:$AJ$4,0))))+SUMPRODUCT((Inputs!$E$5:$E$200=$B32)*ISNUMBER(INDEX(Inputs!$K$5:$AJ$200,0,MATCH(J$2,Inputs!$K$4:$AJ$4,0))))=0,NA(),SUMPRODUCT((Inputs!$A$5:$A$200=$B32)*Inputs!$B$5:$B$200*(((Inputs!$G$5:$G$200="moeda")+(Inputs!$G$5:$G$200="acoes"))*Inputs!$B$1+((Inputs!$G$5:$G$200&lt;&gt;"moeda")*(Inputs!$G$5:$G$200&lt;&gt;"acoes")))*INDEX(Inputs!$K$5:$AJ$200,0,MATCH(J$2,Inputs!$K$4:$AJ$4,0)))+SUMPRODUCT((Inputs!$C$5:$C$200=$B32)*Inputs!$D$5:$D$200*(((Inputs!$G$5:$G$200="moeda")+(Inputs!$G$5:$G$200="acoes"))*Inputs!$B$1+((Inputs!$G$5:$G$200&lt;&gt;"moeda")*(Inputs!$G$5:$G$200&lt;&gt;"acoes")))*INDEX(Inputs!$K$5:$AJ$200,0,MATCH(J$2,Inputs!$K$4:$AJ$4,0)))+SUMPRODUCT((Inputs!$E$5:$E$200=$B32)*Inputs!$F$5:$F$200*(((Inputs!$G$5:$G$200="moeda")+(Inputs!$G$5:$G$200="acoes"))*Inputs!$B$1+((Inputs!$G$5:$G$200&lt;&gt;"moeda")*(Inputs!$G$5:$G$200&lt;&gt;"acoes")))*INDEX(Inputs!$K$5:$AJ$200,0,MATCH(J$2,Inputs!$K$4:$AJ$4,0)))))</f>
        <v>28.581</v>
      </c>
      <c r="K32" s="6">
        <f>IF(ISNA(MATCH(K$2,Inputs!$K$4:$AJ$4,0)),NA(),IF(SUMPRODUCT((Inputs!$A$5:$A$200=$B32)*ISNUMBER(INDEX(Inputs!$K$5:$AJ$200,0,MATCH(K$2,Inputs!$K$4:$AJ$4,0))))+SUMPRODUCT((Inputs!$C$5:$C$200=$B32)*ISNUMBER(INDEX(Inputs!$K$5:$AJ$200,0,MATCH(K$2,Inputs!$K$4:$AJ$4,0))))+SUMPRODUCT((Inputs!$E$5:$E$200=$B32)*ISNUMBER(INDEX(Inputs!$K$5:$AJ$200,0,MATCH(K$2,Inputs!$K$4:$AJ$4,0))))=0,NA(),SUMPRODUCT((Inputs!$A$5:$A$200=$B32)*Inputs!$B$5:$B$200*(((Inputs!$G$5:$G$200="moeda")+(Inputs!$G$5:$G$200="acoes"))*Inputs!$B$1+((Inputs!$G$5:$G$200&lt;&gt;"moeda")*(Inputs!$G$5:$G$200&lt;&gt;"acoes")))*INDEX(Inputs!$K$5:$AJ$200,0,MATCH(K$2,Inputs!$K$4:$AJ$4,0)))+SUMPRODUCT((Inputs!$C$5:$C$200=$B32)*Inputs!$D$5:$D$200*(((Inputs!$G$5:$G$200="moeda")+(Inputs!$G$5:$G$200="acoes"))*Inputs!$B$1+((Inputs!$G$5:$G$200&lt;&gt;"moeda")*(Inputs!$G$5:$G$200&lt;&gt;"acoes")))*INDEX(Inputs!$K$5:$AJ$200,0,MATCH(K$2,Inputs!$K$4:$AJ$4,0)))+SUMPRODUCT((Inputs!$E$5:$E$200=$B32)*Inputs!$F$5:$F$200*(((Inputs!$G$5:$G$200="moeda")+(Inputs!$G$5:$G$200="acoes"))*Inputs!$B$1+((Inputs!$G$5:$G$200&lt;&gt;"moeda")*(Inputs!$G$5:$G$200&lt;&gt;"acoes")))*INDEX(Inputs!$K$5:$AJ$200,0,MATCH(K$2,Inputs!$K$4:$AJ$4,0)))))</f>
        <v>34.899</v>
      </c>
      <c r="L32" s="6">
        <f>IF(ISNA(MATCH(L$2,Inputs!$K$4:$AJ$4,0)),NA(),IF(SUMPRODUCT((Inputs!$A$5:$A$200=$B32)*ISNUMBER(INDEX(Inputs!$K$5:$AJ$200,0,MATCH(L$2,Inputs!$K$4:$AJ$4,0))))+SUMPRODUCT((Inputs!$C$5:$C$200=$B32)*ISNUMBER(INDEX(Inputs!$K$5:$AJ$200,0,MATCH(L$2,Inputs!$K$4:$AJ$4,0))))+SUMPRODUCT((Inputs!$E$5:$E$200=$B32)*ISNUMBER(INDEX(Inputs!$K$5:$AJ$200,0,MATCH(L$2,Inputs!$K$4:$AJ$4,0))))=0,NA(),SUMPRODUCT((Inputs!$A$5:$A$200=$B32)*Inputs!$B$5:$B$200*(((Inputs!$G$5:$G$200="moeda")+(Inputs!$G$5:$G$200="acoes"))*Inputs!$B$1+((Inputs!$G$5:$G$200&lt;&gt;"moeda")*(Inputs!$G$5:$G$200&lt;&gt;"acoes")))*INDEX(Inputs!$K$5:$AJ$200,0,MATCH(L$2,Inputs!$K$4:$AJ$4,0)))+SUMPRODUCT((Inputs!$C$5:$C$200=$B32)*Inputs!$D$5:$D$200*(((Inputs!$G$5:$G$200="moeda")+(Inputs!$G$5:$G$200="acoes"))*Inputs!$B$1+((Inputs!$G$5:$G$200&lt;&gt;"moeda")*(Inputs!$G$5:$G$200&lt;&gt;"acoes")))*INDEX(Inputs!$K$5:$AJ$200,0,MATCH(L$2,Inputs!$K$4:$AJ$4,0)))+SUMPRODUCT((Inputs!$E$5:$E$200=$B32)*Inputs!$F$5:$F$200*(((Inputs!$G$5:$G$200="moeda")+(Inputs!$G$5:$G$200="acoes"))*Inputs!$B$1+((Inputs!$G$5:$G$200&lt;&gt;"moeda")*(Inputs!$G$5:$G$200&lt;&gt;"acoes")))*INDEX(Inputs!$K$5:$AJ$200,0,MATCH(L$2,Inputs!$K$4:$AJ$4,0)))))</f>
        <v>37.616</v>
      </c>
      <c r="M32" s="3">
        <f>L32</f>
        <v>37.616</v>
      </c>
      <c r="N32" s="6">
        <f>IF(ISNA(MATCH(N$2,Inputs!$K$4:$AJ$4,0)),NA(),IF(SUMPRODUCT((Inputs!$A$5:$A$200=$B32)*ISNUMBER(INDEX(Inputs!$K$5:$AJ$200,0,MATCH(N$2,Inputs!$K$4:$AJ$4,0))))+SUMPRODUCT((Inputs!$C$5:$C$200=$B32)*ISNUMBER(INDEX(Inputs!$K$5:$AJ$200,0,MATCH(N$2,Inputs!$K$4:$AJ$4,0))))+SUMPRODUCT((Inputs!$E$5:$E$200=$B32)*ISNUMBER(INDEX(Inputs!$K$5:$AJ$200,0,MATCH(N$2,Inputs!$K$4:$AJ$4,0))))=0,NA(),SUMPRODUCT((Inputs!$A$5:$A$200=$B32)*Inputs!$B$5:$B$200*(((Inputs!$G$5:$G$200="moeda")+(Inputs!$G$5:$G$200="acoes"))*Inputs!$B$1+((Inputs!$G$5:$G$200&lt;&gt;"moeda")*(Inputs!$G$5:$G$200&lt;&gt;"acoes")))*INDEX(Inputs!$K$5:$AJ$200,0,MATCH(N$2,Inputs!$K$4:$AJ$4,0)))+SUMPRODUCT((Inputs!$C$5:$C$200=$B32)*Inputs!$D$5:$D$200*(((Inputs!$G$5:$G$200="moeda")+(Inputs!$G$5:$G$200="acoes"))*Inputs!$B$1+((Inputs!$G$5:$G$200&lt;&gt;"moeda")*(Inputs!$G$5:$G$200&lt;&gt;"acoes")))*INDEX(Inputs!$K$5:$AJ$200,0,MATCH(N$2,Inputs!$K$4:$AJ$4,0)))+SUMPRODUCT((Inputs!$E$5:$E$200=$B32)*Inputs!$F$5:$F$200*(((Inputs!$G$5:$G$200="moeda")+(Inputs!$G$5:$G$200="acoes"))*Inputs!$B$1+((Inputs!$G$5:$G$200&lt;&gt;"moeda")*(Inputs!$G$5:$G$200&lt;&gt;"acoes")))*INDEX(Inputs!$K$5:$AJ$200,0,MATCH(N$2,Inputs!$K$4:$AJ$4,0)))))</f>
        <v>27.958</v>
      </c>
      <c r="O32" s="6">
        <f>IF(ISNA(MATCH(O$2,Inputs!$K$4:$AJ$4,0)),NA(),IF(SUMPRODUCT((Inputs!$A$5:$A$200=$B32)*ISNUMBER(INDEX(Inputs!$K$5:$AJ$200,0,MATCH(O$2,Inputs!$K$4:$AJ$4,0))))+SUMPRODUCT((Inputs!$C$5:$C$200=$B32)*ISNUMBER(INDEX(Inputs!$K$5:$AJ$200,0,MATCH(O$2,Inputs!$K$4:$AJ$4,0))))+SUMPRODUCT((Inputs!$E$5:$E$200=$B32)*ISNUMBER(INDEX(Inputs!$K$5:$AJ$200,0,MATCH(O$2,Inputs!$K$4:$AJ$4,0))))=0,NA(),SUMPRODUCT((Inputs!$A$5:$A$200=$B32)*Inputs!$B$5:$B$200*(((Inputs!$G$5:$G$200="moeda")+(Inputs!$G$5:$G$200="acoes"))*Inputs!$B$1+((Inputs!$G$5:$G$200&lt;&gt;"moeda")*(Inputs!$G$5:$G$200&lt;&gt;"acoes")))*INDEX(Inputs!$K$5:$AJ$200,0,MATCH(O$2,Inputs!$K$4:$AJ$4,0)))+SUMPRODUCT((Inputs!$C$5:$C$200=$B32)*Inputs!$D$5:$D$200*(((Inputs!$G$5:$G$200="moeda")+(Inputs!$G$5:$G$200="acoes"))*Inputs!$B$1+((Inputs!$G$5:$G$200&lt;&gt;"moeda")*(Inputs!$G$5:$G$200&lt;&gt;"acoes")))*INDEX(Inputs!$K$5:$AJ$200,0,MATCH(O$2,Inputs!$K$4:$AJ$4,0)))+SUMPRODUCT((Inputs!$E$5:$E$200=$B32)*Inputs!$F$5:$F$200*(((Inputs!$G$5:$G$200="moeda")+(Inputs!$G$5:$G$200="acoes"))*Inputs!$B$1+((Inputs!$G$5:$G$200&lt;&gt;"moeda")*(Inputs!$G$5:$G$200&lt;&gt;"acoes")))*INDEX(Inputs!$K$5:$AJ$200,0,MATCH(O$2,Inputs!$K$4:$AJ$4,0)))))</f>
        <v>52.088</v>
      </c>
      <c r="P32" s="6">
        <f>IF(ISNA(MATCH(P$2,Inputs!$K$4:$AJ$4,0)),NA(),IF(SUMPRODUCT((Inputs!$A$5:$A$200=$B32)*ISNUMBER(INDEX(Inputs!$K$5:$AJ$200,0,MATCH(P$2,Inputs!$K$4:$AJ$4,0))))+SUMPRODUCT((Inputs!$C$5:$C$200=$B32)*ISNUMBER(INDEX(Inputs!$K$5:$AJ$200,0,MATCH(P$2,Inputs!$K$4:$AJ$4,0))))+SUMPRODUCT((Inputs!$E$5:$E$200=$B32)*ISNUMBER(INDEX(Inputs!$K$5:$AJ$200,0,MATCH(P$2,Inputs!$K$4:$AJ$4,0))))=0,NA(),SUMPRODUCT((Inputs!$A$5:$A$200=$B32)*Inputs!$B$5:$B$200*(((Inputs!$G$5:$G$200="moeda")+(Inputs!$G$5:$G$200="acoes"))*Inputs!$B$1+((Inputs!$G$5:$G$200&lt;&gt;"moeda")*(Inputs!$G$5:$G$200&lt;&gt;"acoes")))*INDEX(Inputs!$K$5:$AJ$200,0,MATCH(P$2,Inputs!$K$4:$AJ$4,0)))+SUMPRODUCT((Inputs!$C$5:$C$200=$B32)*Inputs!$D$5:$D$200*(((Inputs!$G$5:$G$200="moeda")+(Inputs!$G$5:$G$200="acoes"))*Inputs!$B$1+((Inputs!$G$5:$G$200&lt;&gt;"moeda")*(Inputs!$G$5:$G$200&lt;&gt;"acoes")))*INDEX(Inputs!$K$5:$AJ$200,0,MATCH(P$2,Inputs!$K$4:$AJ$4,0)))+SUMPRODUCT((Inputs!$E$5:$E$200=$B32)*Inputs!$F$5:$F$200*(((Inputs!$G$5:$G$200="moeda")+(Inputs!$G$5:$G$200="acoes"))*Inputs!$B$1+((Inputs!$G$5:$G$200&lt;&gt;"moeda")*(Inputs!$G$5:$G$200&lt;&gt;"acoes")))*INDEX(Inputs!$K$5:$AJ$200,0,MATCH(P$2,Inputs!$K$4:$AJ$4,0)))))</f>
        <v>46.457</v>
      </c>
      <c r="Q32" s="6">
        <f>IF(ISNA(MATCH(Q$2,Inputs!$K$4:$AJ$4,0)),NA(),IF(SUMPRODUCT((Inputs!$A$5:$A$200=$B32)*ISNUMBER(INDEX(Inputs!$K$5:$AJ$200,0,MATCH(Q$2,Inputs!$K$4:$AJ$4,0))))+SUMPRODUCT((Inputs!$C$5:$C$200=$B32)*ISNUMBER(INDEX(Inputs!$K$5:$AJ$200,0,MATCH(Q$2,Inputs!$K$4:$AJ$4,0))))+SUMPRODUCT((Inputs!$E$5:$E$200=$B32)*ISNUMBER(INDEX(Inputs!$K$5:$AJ$200,0,MATCH(Q$2,Inputs!$K$4:$AJ$4,0))))=0,NA(),SUMPRODUCT((Inputs!$A$5:$A$200=$B32)*Inputs!$B$5:$B$200*(((Inputs!$G$5:$G$200="moeda")+(Inputs!$G$5:$G$200="acoes"))*Inputs!$B$1+((Inputs!$G$5:$G$200&lt;&gt;"moeda")*(Inputs!$G$5:$G$200&lt;&gt;"acoes")))*INDEX(Inputs!$K$5:$AJ$200,0,MATCH(Q$2,Inputs!$K$4:$AJ$4,0)))+SUMPRODUCT((Inputs!$C$5:$C$200=$B32)*Inputs!$D$5:$D$200*(((Inputs!$G$5:$G$200="moeda")+(Inputs!$G$5:$G$200="acoes"))*Inputs!$B$1+((Inputs!$G$5:$G$200&lt;&gt;"moeda")*(Inputs!$G$5:$G$200&lt;&gt;"acoes")))*INDEX(Inputs!$K$5:$AJ$200,0,MATCH(Q$2,Inputs!$K$4:$AJ$4,0)))+SUMPRODUCT((Inputs!$E$5:$E$200=$B32)*Inputs!$F$5:$F$200*(((Inputs!$G$5:$G$200="moeda")+(Inputs!$G$5:$G$200="acoes"))*Inputs!$B$1+((Inputs!$G$5:$G$200&lt;&gt;"moeda")*(Inputs!$G$5:$G$200&lt;&gt;"acoes")))*INDEX(Inputs!$K$5:$AJ$200,0,MATCH(Q$2,Inputs!$K$4:$AJ$4,0)))))</f>
        <v>45.583</v>
      </c>
      <c r="R32" s="3">
        <f>Q32</f>
        <v>45.583</v>
      </c>
      <c r="S32" s="6">
        <f>IF(ISNA(MATCH(S$2,Inputs!$K$4:$AJ$4,0)),NA(),IF(SUMPRODUCT((Inputs!$A$5:$A$200=$B32)*ISNUMBER(INDEX(Inputs!$K$5:$AJ$200,0,MATCH(S$2,Inputs!$K$4:$AJ$4,0))))+SUMPRODUCT((Inputs!$C$5:$C$200=$B32)*ISNUMBER(INDEX(Inputs!$K$5:$AJ$200,0,MATCH(S$2,Inputs!$K$4:$AJ$4,0))))+SUMPRODUCT((Inputs!$E$5:$E$200=$B32)*ISNUMBER(INDEX(Inputs!$K$5:$AJ$200,0,MATCH(S$2,Inputs!$K$4:$AJ$4,0))))=0,NA(),SUMPRODUCT((Inputs!$A$5:$A$200=$B32)*Inputs!$B$5:$B$200*(((Inputs!$G$5:$G$200="moeda")+(Inputs!$G$5:$G$200="acoes"))*Inputs!$B$1+((Inputs!$G$5:$G$200&lt;&gt;"moeda")*(Inputs!$G$5:$G$200&lt;&gt;"acoes")))*INDEX(Inputs!$K$5:$AJ$200,0,MATCH(S$2,Inputs!$K$4:$AJ$4,0)))+SUMPRODUCT((Inputs!$C$5:$C$200=$B32)*Inputs!$D$5:$D$200*(((Inputs!$G$5:$G$200="moeda")+(Inputs!$G$5:$G$200="acoes"))*Inputs!$B$1+((Inputs!$G$5:$G$200&lt;&gt;"moeda")*(Inputs!$G$5:$G$200&lt;&gt;"acoes")))*INDEX(Inputs!$K$5:$AJ$200,0,MATCH(S$2,Inputs!$K$4:$AJ$4,0)))+SUMPRODUCT((Inputs!$E$5:$E$200=$B32)*Inputs!$F$5:$F$200*(((Inputs!$G$5:$G$200="moeda")+(Inputs!$G$5:$G$200="acoes"))*Inputs!$B$1+((Inputs!$G$5:$G$200&lt;&gt;"moeda")*(Inputs!$G$5:$G$200&lt;&gt;"acoes")))*INDEX(Inputs!$K$5:$AJ$200,0,MATCH(S$2,Inputs!$K$4:$AJ$4,0)))))</f>
        <v>46.797</v>
      </c>
      <c r="T32" s="6">
        <f>IF(ISNA(MATCH(T$2,Inputs!$K$4:$AJ$4,0)),NA(),IF(SUMPRODUCT((Inputs!$A$5:$A$200=$B32)*ISNUMBER(INDEX(Inputs!$K$5:$AJ$200,0,MATCH(T$2,Inputs!$K$4:$AJ$4,0))))+SUMPRODUCT((Inputs!$C$5:$C$200=$B32)*ISNUMBER(INDEX(Inputs!$K$5:$AJ$200,0,MATCH(T$2,Inputs!$K$4:$AJ$4,0))))+SUMPRODUCT((Inputs!$E$5:$E$200=$B32)*ISNUMBER(INDEX(Inputs!$K$5:$AJ$200,0,MATCH(T$2,Inputs!$K$4:$AJ$4,0))))=0,NA(),SUMPRODUCT((Inputs!$A$5:$A$200=$B32)*Inputs!$B$5:$B$200*(((Inputs!$G$5:$G$200="moeda")+(Inputs!$G$5:$G$200="acoes"))*Inputs!$B$1+((Inputs!$G$5:$G$200&lt;&gt;"moeda")*(Inputs!$G$5:$G$200&lt;&gt;"acoes")))*INDEX(Inputs!$K$5:$AJ$200,0,MATCH(T$2,Inputs!$K$4:$AJ$4,0)))+SUMPRODUCT((Inputs!$C$5:$C$200=$B32)*Inputs!$D$5:$D$200*(((Inputs!$G$5:$G$200="moeda")+(Inputs!$G$5:$G$200="acoes"))*Inputs!$B$1+((Inputs!$G$5:$G$200&lt;&gt;"moeda")*(Inputs!$G$5:$G$200&lt;&gt;"acoes")))*INDEX(Inputs!$K$5:$AJ$200,0,MATCH(T$2,Inputs!$K$4:$AJ$4,0)))+SUMPRODUCT((Inputs!$E$5:$E$200=$B32)*Inputs!$F$5:$F$200*(((Inputs!$G$5:$G$200="moeda")+(Inputs!$G$5:$G$200="acoes"))*Inputs!$B$1+((Inputs!$G$5:$G$200&lt;&gt;"moeda")*(Inputs!$G$5:$G$200&lt;&gt;"acoes")))*INDEX(Inputs!$K$5:$AJ$200,0,MATCH(T$2,Inputs!$K$4:$AJ$4,0)))))</f>
        <v>139.5</v>
      </c>
      <c r="U32" s="6">
        <f>IF(ISNA(MATCH(U$2,Inputs!$K$4:$AJ$4,0)),NA(),IF(SUMPRODUCT((Inputs!$A$5:$A$200=$B32)*ISNUMBER(INDEX(Inputs!$K$5:$AJ$200,0,MATCH(U$2,Inputs!$K$4:$AJ$4,0))))+SUMPRODUCT((Inputs!$C$5:$C$200=$B32)*ISNUMBER(INDEX(Inputs!$K$5:$AJ$200,0,MATCH(U$2,Inputs!$K$4:$AJ$4,0))))+SUMPRODUCT((Inputs!$E$5:$E$200=$B32)*ISNUMBER(INDEX(Inputs!$K$5:$AJ$200,0,MATCH(U$2,Inputs!$K$4:$AJ$4,0))))=0,NA(),SUMPRODUCT((Inputs!$A$5:$A$200=$B32)*Inputs!$B$5:$B$200*(((Inputs!$G$5:$G$200="moeda")+(Inputs!$G$5:$G$200="acoes"))*Inputs!$B$1+((Inputs!$G$5:$G$200&lt;&gt;"moeda")*(Inputs!$G$5:$G$200&lt;&gt;"acoes")))*INDEX(Inputs!$K$5:$AJ$200,0,MATCH(U$2,Inputs!$K$4:$AJ$4,0)))+SUMPRODUCT((Inputs!$C$5:$C$200=$B32)*Inputs!$D$5:$D$200*(((Inputs!$G$5:$G$200="moeda")+(Inputs!$G$5:$G$200="acoes"))*Inputs!$B$1+((Inputs!$G$5:$G$200&lt;&gt;"moeda")*(Inputs!$G$5:$G$200&lt;&gt;"acoes")))*INDEX(Inputs!$K$5:$AJ$200,0,MATCH(U$2,Inputs!$K$4:$AJ$4,0)))+SUMPRODUCT((Inputs!$E$5:$E$200=$B32)*Inputs!$F$5:$F$200*(((Inputs!$G$5:$G$200="moeda")+(Inputs!$G$5:$G$200="acoes"))*Inputs!$B$1+((Inputs!$G$5:$G$200&lt;&gt;"moeda")*(Inputs!$G$5:$G$200&lt;&gt;"acoes")))*INDEX(Inputs!$K$5:$AJ$200,0,MATCH(U$2,Inputs!$K$4:$AJ$4,0)))))</f>
        <v>308.682</v>
      </c>
      <c r="V32" s="6">
        <f>IF(ISNA(MATCH(V$2,Inputs!$K$4:$AJ$4,0)),NA(),IF(SUMPRODUCT((Inputs!$A$5:$A$200=$B32)*ISNUMBER(INDEX(Inputs!$K$5:$AJ$200,0,MATCH(V$2,Inputs!$K$4:$AJ$4,0))))+SUMPRODUCT((Inputs!$C$5:$C$200=$B32)*ISNUMBER(INDEX(Inputs!$K$5:$AJ$200,0,MATCH(V$2,Inputs!$K$4:$AJ$4,0))))+SUMPRODUCT((Inputs!$E$5:$E$200=$B32)*ISNUMBER(INDEX(Inputs!$K$5:$AJ$200,0,MATCH(V$2,Inputs!$K$4:$AJ$4,0))))=0,NA(),SUMPRODUCT((Inputs!$A$5:$A$200=$B32)*Inputs!$B$5:$B$200*(((Inputs!$G$5:$G$200="moeda")+(Inputs!$G$5:$G$200="acoes"))*Inputs!$B$1+((Inputs!$G$5:$G$200&lt;&gt;"moeda")*(Inputs!$G$5:$G$200&lt;&gt;"acoes")))*INDEX(Inputs!$K$5:$AJ$200,0,MATCH(V$2,Inputs!$K$4:$AJ$4,0)))+SUMPRODUCT((Inputs!$C$5:$C$200=$B32)*Inputs!$D$5:$D$200*(((Inputs!$G$5:$G$200="moeda")+(Inputs!$G$5:$G$200="acoes"))*Inputs!$B$1+((Inputs!$G$5:$G$200&lt;&gt;"moeda")*(Inputs!$G$5:$G$200&lt;&gt;"acoes")))*INDEX(Inputs!$K$5:$AJ$200,0,MATCH(V$2,Inputs!$K$4:$AJ$4,0)))+SUMPRODUCT((Inputs!$E$5:$E$200=$B32)*Inputs!$F$5:$F$200*(((Inputs!$G$5:$G$200="moeda")+(Inputs!$G$5:$G$200="acoes"))*Inputs!$B$1+((Inputs!$G$5:$G$200&lt;&gt;"moeda")*(Inputs!$G$5:$G$200&lt;&gt;"acoes")))*INDEX(Inputs!$K$5:$AJ$200,0,MATCH(V$2,Inputs!$K$4:$AJ$4,0)))))</f>
        <v>140.957</v>
      </c>
      <c r="W32" s="3">
        <f>V32</f>
        <v>140.957</v>
      </c>
      <c r="X32" s="6">
        <f>IF(ISNA(MATCH(X$2,Inputs!$K$4:$AJ$4,0)),NA(),IF(SUMPRODUCT((Inputs!$A$5:$A$200=$B32)*ISNUMBER(INDEX(Inputs!$K$5:$AJ$200,0,MATCH(X$2,Inputs!$K$4:$AJ$4,0))))+SUMPRODUCT((Inputs!$C$5:$C$200=$B32)*ISNUMBER(INDEX(Inputs!$K$5:$AJ$200,0,MATCH(X$2,Inputs!$K$4:$AJ$4,0))))+SUMPRODUCT((Inputs!$E$5:$E$200=$B32)*ISNUMBER(INDEX(Inputs!$K$5:$AJ$200,0,MATCH(X$2,Inputs!$K$4:$AJ$4,0))))=0,NA(),SUMPRODUCT((Inputs!$A$5:$A$200=$B32)*Inputs!$B$5:$B$200*(((Inputs!$G$5:$G$200="moeda")+(Inputs!$G$5:$G$200="acoes"))*Inputs!$B$1+((Inputs!$G$5:$G$200&lt;&gt;"moeda")*(Inputs!$G$5:$G$200&lt;&gt;"acoes")))*INDEX(Inputs!$K$5:$AJ$200,0,MATCH(X$2,Inputs!$K$4:$AJ$4,0)))+SUMPRODUCT((Inputs!$C$5:$C$200=$B32)*Inputs!$D$5:$D$200*(((Inputs!$G$5:$G$200="moeda")+(Inputs!$G$5:$G$200="acoes"))*Inputs!$B$1+((Inputs!$G$5:$G$200&lt;&gt;"moeda")*(Inputs!$G$5:$G$200&lt;&gt;"acoes")))*INDEX(Inputs!$K$5:$AJ$200,0,MATCH(X$2,Inputs!$K$4:$AJ$4,0)))+SUMPRODUCT((Inputs!$E$5:$E$200=$B32)*Inputs!$F$5:$F$200*(((Inputs!$G$5:$G$200="moeda")+(Inputs!$G$5:$G$200="acoes"))*Inputs!$B$1+((Inputs!$G$5:$G$200&lt;&gt;"moeda")*(Inputs!$G$5:$G$200&lt;&gt;"acoes")))*INDEX(Inputs!$K$5:$AJ$200,0,MATCH(X$2,Inputs!$K$4:$AJ$4,0)))))</f>
        <v>182.561</v>
      </c>
      <c r="Y32" s="6">
        <f>IF(ISNA(MATCH(Y$2,Inputs!$K$4:$AJ$4,0)),NA(),IF(SUMPRODUCT((Inputs!$A$5:$A$200=$B32)*ISNUMBER(INDEX(Inputs!$K$5:$AJ$200,0,MATCH(Y$2,Inputs!$K$4:$AJ$4,0))))+SUMPRODUCT((Inputs!$C$5:$C$200=$B32)*ISNUMBER(INDEX(Inputs!$K$5:$AJ$200,0,MATCH(Y$2,Inputs!$K$4:$AJ$4,0))))+SUMPRODUCT((Inputs!$E$5:$E$200=$B32)*ISNUMBER(INDEX(Inputs!$K$5:$AJ$200,0,MATCH(Y$2,Inputs!$K$4:$AJ$4,0))))=0,NA(),SUMPRODUCT((Inputs!$A$5:$A$200=$B32)*Inputs!$B$5:$B$200*(((Inputs!$G$5:$G$200="moeda")+(Inputs!$G$5:$G$200="acoes"))*Inputs!$B$1+((Inputs!$G$5:$G$200&lt;&gt;"moeda")*(Inputs!$G$5:$G$200&lt;&gt;"acoes")))*INDEX(Inputs!$K$5:$AJ$200,0,MATCH(Y$2,Inputs!$K$4:$AJ$4,0)))+SUMPRODUCT((Inputs!$C$5:$C$200=$B32)*Inputs!$D$5:$D$200*(((Inputs!$G$5:$G$200="moeda")+(Inputs!$G$5:$G$200="acoes"))*Inputs!$B$1+((Inputs!$G$5:$G$200&lt;&gt;"moeda")*(Inputs!$G$5:$G$200&lt;&gt;"acoes")))*INDEX(Inputs!$K$5:$AJ$200,0,MATCH(Y$2,Inputs!$K$4:$AJ$4,0)))+SUMPRODUCT((Inputs!$E$5:$E$200=$B32)*Inputs!$F$5:$F$200*(((Inputs!$G$5:$G$200="moeda")+(Inputs!$G$5:$G$200="acoes"))*Inputs!$B$1+((Inputs!$G$5:$G$200&lt;&gt;"moeda")*(Inputs!$G$5:$G$200&lt;&gt;"acoes")))*INDEX(Inputs!$K$5:$AJ$200,0,MATCH(Y$2,Inputs!$K$4:$AJ$4,0)))))</f>
        <v>235.849</v>
      </c>
      <c r="Z32" s="6">
        <f>IF(ISNA(MATCH(Z$2,Inputs!$K$4:$AJ$4,0)),NA(),IF(SUMPRODUCT((Inputs!$A$5:$A$200=$B32)*ISNUMBER(INDEX(Inputs!$K$5:$AJ$200,0,MATCH(Z$2,Inputs!$K$4:$AJ$4,0))))+SUMPRODUCT((Inputs!$C$5:$C$200=$B32)*ISNUMBER(INDEX(Inputs!$K$5:$AJ$200,0,MATCH(Z$2,Inputs!$K$4:$AJ$4,0))))+SUMPRODUCT((Inputs!$E$5:$E$200=$B32)*ISNUMBER(INDEX(Inputs!$K$5:$AJ$200,0,MATCH(Z$2,Inputs!$K$4:$AJ$4,0))))=0,NA(),SUMPRODUCT((Inputs!$A$5:$A$200=$B32)*Inputs!$B$5:$B$200*(((Inputs!$G$5:$G$200="moeda")+(Inputs!$G$5:$G$200="acoes"))*Inputs!$B$1+((Inputs!$G$5:$G$200&lt;&gt;"moeda")*(Inputs!$G$5:$G$200&lt;&gt;"acoes")))*INDEX(Inputs!$K$5:$AJ$200,0,MATCH(Z$2,Inputs!$K$4:$AJ$4,0)))+SUMPRODUCT((Inputs!$C$5:$C$200=$B32)*Inputs!$D$5:$D$200*(((Inputs!$G$5:$G$200="moeda")+(Inputs!$G$5:$G$200="acoes"))*Inputs!$B$1+((Inputs!$G$5:$G$200&lt;&gt;"moeda")*(Inputs!$G$5:$G$200&lt;&gt;"acoes")))*INDEX(Inputs!$K$5:$AJ$200,0,MATCH(Z$2,Inputs!$K$4:$AJ$4,0)))+SUMPRODUCT((Inputs!$E$5:$E$200=$B32)*Inputs!$F$5:$F$200*(((Inputs!$G$5:$G$200="moeda")+(Inputs!$G$5:$G$200="acoes"))*Inputs!$B$1+((Inputs!$G$5:$G$200&lt;&gt;"moeda")*(Inputs!$G$5:$G$200&lt;&gt;"acoes")))*INDEX(Inputs!$K$5:$AJ$200,0,MATCH(Z$2,Inputs!$K$4:$AJ$4,0)))))</f>
        <v>191.487</v>
      </c>
      <c r="AA32" s="6">
        <f>IF(ISNA(MATCH(AA$2,Inputs!$K$4:$AJ$4,0)),NA(),IF(SUMPRODUCT((Inputs!$A$5:$A$200=$B32)*ISNUMBER(INDEX(Inputs!$K$5:$AJ$200,0,MATCH(AA$2,Inputs!$K$4:$AJ$4,0))))+SUMPRODUCT((Inputs!$C$5:$C$200=$B32)*ISNUMBER(INDEX(Inputs!$K$5:$AJ$200,0,MATCH(AA$2,Inputs!$K$4:$AJ$4,0))))+SUMPRODUCT((Inputs!$E$5:$E$200=$B32)*ISNUMBER(INDEX(Inputs!$K$5:$AJ$200,0,MATCH(AA$2,Inputs!$K$4:$AJ$4,0))))=0,NA(),SUMPRODUCT((Inputs!$A$5:$A$200=$B32)*Inputs!$B$5:$B$200*(((Inputs!$G$5:$G$200="moeda")+(Inputs!$G$5:$G$200="acoes"))*Inputs!$B$1+((Inputs!$G$5:$G$200&lt;&gt;"moeda")*(Inputs!$G$5:$G$200&lt;&gt;"acoes")))*INDEX(Inputs!$K$5:$AJ$200,0,MATCH(AA$2,Inputs!$K$4:$AJ$4,0)))+SUMPRODUCT((Inputs!$C$5:$C$200=$B32)*Inputs!$D$5:$D$200*(((Inputs!$G$5:$G$200="moeda")+(Inputs!$G$5:$G$200="acoes"))*Inputs!$B$1+((Inputs!$G$5:$G$200&lt;&gt;"moeda")*(Inputs!$G$5:$G$200&lt;&gt;"acoes")))*INDEX(Inputs!$K$5:$AJ$200,0,MATCH(AA$2,Inputs!$K$4:$AJ$4,0)))+SUMPRODUCT((Inputs!$E$5:$E$200=$B32)*Inputs!$F$5:$F$200*(((Inputs!$G$5:$G$200="moeda")+(Inputs!$G$5:$G$200="acoes"))*Inputs!$B$1+((Inputs!$G$5:$G$200&lt;&gt;"moeda")*(Inputs!$G$5:$G$200&lt;&gt;"acoes")))*INDEX(Inputs!$K$5:$AJ$200,0,MATCH(AA$2,Inputs!$K$4:$AJ$4,0)))))</f>
        <v>178.483</v>
      </c>
      <c r="AB32" s="3">
        <f>AA32</f>
        <v>178.483</v>
      </c>
      <c r="AC32" s="6">
        <f>IF(ISNA(MATCH(AC$2,Inputs!$K$4:$AJ$4,0)),NA(),IF(SUMPRODUCT((Inputs!$A$5:$A$200=$B32)*ISNUMBER(INDEX(Inputs!$K$5:$AJ$200,0,MATCH(AC$2,Inputs!$K$4:$AJ$4,0))))+SUMPRODUCT((Inputs!$C$5:$C$200=$B32)*ISNUMBER(INDEX(Inputs!$K$5:$AJ$200,0,MATCH(AC$2,Inputs!$K$4:$AJ$4,0))))+SUMPRODUCT((Inputs!$E$5:$E$200=$B32)*ISNUMBER(INDEX(Inputs!$K$5:$AJ$200,0,MATCH(AC$2,Inputs!$K$4:$AJ$4,0))))=0,NA(),SUMPRODUCT((Inputs!$A$5:$A$200=$B32)*Inputs!$B$5:$B$200*(((Inputs!$G$5:$G$200="moeda")+(Inputs!$G$5:$G$200="acoes"))*Inputs!$B$1+((Inputs!$G$5:$G$200&lt;&gt;"moeda")*(Inputs!$G$5:$G$200&lt;&gt;"acoes")))*INDEX(Inputs!$K$5:$AJ$200,0,MATCH(AC$2,Inputs!$K$4:$AJ$4,0)))+SUMPRODUCT((Inputs!$C$5:$C$200=$B32)*Inputs!$D$5:$D$200*(((Inputs!$G$5:$G$200="moeda")+(Inputs!$G$5:$G$200="acoes"))*Inputs!$B$1+((Inputs!$G$5:$G$200&lt;&gt;"moeda")*(Inputs!$G$5:$G$200&lt;&gt;"acoes")))*INDEX(Inputs!$K$5:$AJ$200,0,MATCH(AC$2,Inputs!$K$4:$AJ$4,0)))+SUMPRODUCT((Inputs!$E$5:$E$200=$B32)*Inputs!$F$5:$F$200*(((Inputs!$G$5:$G$200="moeda")+(Inputs!$G$5:$G$200="acoes"))*Inputs!$B$1+((Inputs!$G$5:$G$200&lt;&gt;"moeda")*(Inputs!$G$5:$G$200&lt;&gt;"acoes")))*INDEX(Inputs!$K$5:$AJ$200,0,MATCH(AC$2,Inputs!$K$4:$AJ$4,0)))))</f>
        <v>185.886</v>
      </c>
      <c r="AD32" s="6">
        <f>IF(ISNA(MATCH(AD$2,Inputs!$K$4:$AJ$4,0)),NA(),IF(SUMPRODUCT((Inputs!$A$5:$A$200=$B32)*ISNUMBER(INDEX(Inputs!$K$5:$AJ$200,0,MATCH(AD$2,Inputs!$K$4:$AJ$4,0))))+SUMPRODUCT((Inputs!$C$5:$C$200=$B32)*ISNUMBER(INDEX(Inputs!$K$5:$AJ$200,0,MATCH(AD$2,Inputs!$K$4:$AJ$4,0))))+SUMPRODUCT((Inputs!$E$5:$E$200=$B32)*ISNUMBER(INDEX(Inputs!$K$5:$AJ$200,0,MATCH(AD$2,Inputs!$K$4:$AJ$4,0))))=0,NA(),SUMPRODUCT((Inputs!$A$5:$A$200=$B32)*Inputs!$B$5:$B$200*(((Inputs!$G$5:$G$200="moeda")+(Inputs!$G$5:$G$200="acoes"))*Inputs!$B$1+((Inputs!$G$5:$G$200&lt;&gt;"moeda")*(Inputs!$G$5:$G$200&lt;&gt;"acoes")))*INDEX(Inputs!$K$5:$AJ$200,0,MATCH(AD$2,Inputs!$K$4:$AJ$4,0)))+SUMPRODUCT((Inputs!$C$5:$C$200=$B32)*Inputs!$D$5:$D$200*(((Inputs!$G$5:$G$200="moeda")+(Inputs!$G$5:$G$200="acoes"))*Inputs!$B$1+((Inputs!$G$5:$G$200&lt;&gt;"moeda")*(Inputs!$G$5:$G$200&lt;&gt;"acoes")))*INDEX(Inputs!$K$5:$AJ$200,0,MATCH(AD$2,Inputs!$K$4:$AJ$4,0)))+SUMPRODUCT((Inputs!$E$5:$E$200=$B32)*Inputs!$F$5:$F$200*(((Inputs!$G$5:$G$200="moeda")+(Inputs!$G$5:$G$200="acoes"))*Inputs!$B$1+((Inputs!$G$5:$G$200&lt;&gt;"moeda")*(Inputs!$G$5:$G$200&lt;&gt;"acoes")))*INDEX(Inputs!$K$5:$AJ$200,0,MATCH(AD$2,Inputs!$K$4:$AJ$4,0)))))</f>
        <v>299.576</v>
      </c>
      <c r="AE32" s="6" t="e">
        <f>IF(ISNA(MATCH(AE$2,Inputs!$K$4:$AJ$4,0)),NA(),IF(SUMPRODUCT((Inputs!$A$5:$A$200=$B32)*ISNUMBER(INDEX(Inputs!$K$5:$AJ$200,0,MATCH(AE$2,Inputs!$K$4:$AJ$4,0))))+SUMPRODUCT((Inputs!$C$5:$C$200=$B32)*ISNUMBER(INDEX(Inputs!$K$5:$AJ$200,0,MATCH(AE$2,Inputs!$K$4:$AJ$4,0))))+SUMPRODUCT((Inputs!$E$5:$E$200=$B32)*ISNUMBER(INDEX(Inputs!$K$5:$AJ$200,0,MATCH(AE$2,Inputs!$K$4:$AJ$4,0))))=0,NA(),SUMPRODUCT((Inputs!$A$5:$A$200=$B32)*Inputs!$B$5:$B$200*(((Inputs!$G$5:$G$200="moeda")+(Inputs!$G$5:$G$200="acoes"))*Inputs!$B$1+((Inputs!$G$5:$G$200&lt;&gt;"moeda")*(Inputs!$G$5:$G$200&lt;&gt;"acoes")))*INDEX(Inputs!$K$5:$AJ$200,0,MATCH(AE$2,Inputs!$K$4:$AJ$4,0)))+SUMPRODUCT((Inputs!$C$5:$C$200=$B32)*Inputs!$D$5:$D$200*(((Inputs!$G$5:$G$200="moeda")+(Inputs!$G$5:$G$200="acoes"))*Inputs!$B$1+((Inputs!$G$5:$G$200&lt;&gt;"moeda")*(Inputs!$G$5:$G$200&lt;&gt;"acoes")))*INDEX(Inputs!$K$5:$AJ$200,0,MATCH(AE$2,Inputs!$K$4:$AJ$4,0)))+SUMPRODUCT((Inputs!$E$5:$E$200=$B32)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2" s="6" t="e">
        <f>IF(ISNA(MATCH(AF$2,Inputs!$K$4:$AJ$4,0)),NA(),IF(SUMPRODUCT((Inputs!$A$5:$A$200=$B32)*ISNUMBER(INDEX(Inputs!$K$5:$AJ$200,0,MATCH(AF$2,Inputs!$K$4:$AJ$4,0))))+SUMPRODUCT((Inputs!$C$5:$C$200=$B32)*ISNUMBER(INDEX(Inputs!$K$5:$AJ$200,0,MATCH(AF$2,Inputs!$K$4:$AJ$4,0))))+SUMPRODUCT((Inputs!$E$5:$E$200=$B32)*ISNUMBER(INDEX(Inputs!$K$5:$AJ$200,0,MATCH(AF$2,Inputs!$K$4:$AJ$4,0))))=0,NA(),SUMPRODUCT((Inputs!$A$5:$A$200=$B32)*Inputs!$B$5:$B$200*(((Inputs!$G$5:$G$200="moeda")+(Inputs!$G$5:$G$200="acoes"))*Inputs!$B$1+((Inputs!$G$5:$G$200&lt;&gt;"moeda")*(Inputs!$G$5:$G$200&lt;&gt;"acoes")))*INDEX(Inputs!$K$5:$AJ$200,0,MATCH(AF$2,Inputs!$K$4:$AJ$4,0)))+SUMPRODUCT((Inputs!$C$5:$C$200=$B32)*Inputs!$D$5:$D$200*(((Inputs!$G$5:$G$200="moeda")+(Inputs!$G$5:$G$200="acoes"))*Inputs!$B$1+((Inputs!$G$5:$G$200&lt;&gt;"moeda")*(Inputs!$G$5:$G$200&lt;&gt;"acoes")))*INDEX(Inputs!$K$5:$AJ$200,0,MATCH(AF$2,Inputs!$K$4:$AJ$4,0)))+SUMPRODUCT((Inputs!$E$5:$E$200=$B32)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2" s="3" t="e">
        <f>AF32</f>
        <v>#N/A</v>
      </c>
      <c r="AH32" s="6">
        <f>IF(ISNA(MATCH(AH$2,Inputs!$K$4:$AJ$4,0)),NA(),IF(SUMPRODUCT((Inputs!$A$5:$A$200=$B32)*ISNUMBER(INDEX(Inputs!$K$5:$AJ$200,0,MATCH(AH$2,Inputs!$K$4:$AJ$4,0))))+SUMPRODUCT((Inputs!$C$5:$C$200=$B32)*ISNUMBER(INDEX(Inputs!$K$5:$AJ$200,0,MATCH(AH$2,Inputs!$K$4:$AJ$4,0))))+SUMPRODUCT((Inputs!$E$5:$E$200=$B32)*ISNUMBER(INDEX(Inputs!$K$5:$AJ$200,0,MATCH(AH$2,Inputs!$K$4:$AJ$4,0))))=0,NA(),SUMPRODUCT((Inputs!$A$5:$A$200=$B32)*Inputs!$B$5:$B$200*(((Inputs!$G$5:$G$200="moeda")+(Inputs!$G$5:$G$200="acoes"))*Inputs!$B$1+((Inputs!$G$5:$G$200&lt;&gt;"moeda")*(Inputs!$G$5:$G$200&lt;&gt;"acoes")))*INDEX(Inputs!$K$5:$AJ$200,0,MATCH(AH$2,Inputs!$K$4:$AJ$4,0)))+SUMPRODUCT((Inputs!$C$5:$C$200=$B32)*Inputs!$D$5:$D$200*(((Inputs!$G$5:$G$200="moeda")+(Inputs!$G$5:$G$200="acoes"))*Inputs!$B$1+((Inputs!$G$5:$G$200&lt;&gt;"moeda")*(Inputs!$G$5:$G$200&lt;&gt;"acoes")))*INDEX(Inputs!$K$5:$AJ$200,0,MATCH(AH$2,Inputs!$K$4:$AJ$4,0)))+SUMPRODUCT((Inputs!$E$5:$E$200=$B32)*Inputs!$F$5:$F$200*(((Inputs!$G$5:$G$200="moeda")+(Inputs!$G$5:$G$200="acoes"))*Inputs!$B$1+((Inputs!$G$5:$G$200&lt;&gt;"moeda")*(Inputs!$G$5:$G$200&lt;&gt;"acoes")))*INDEX(Inputs!$K$5:$AJ$200,0,MATCH(AH$2,Inputs!$K$4:$AJ$4,0)))))</f>
        <v>32.808</v>
      </c>
      <c r="AI32" s="6">
        <f>IF(ISNA(MATCH(AI$2,Inputs!$K$4:$AJ$4,0)),NA(),IF(SUMPRODUCT((Inputs!$A$5:$A$200=$B32)*ISNUMBER(INDEX(Inputs!$K$5:$AJ$200,0,MATCH(AI$2,Inputs!$K$4:$AJ$4,0))))+SUMPRODUCT((Inputs!$C$5:$C$200=$B32)*ISNUMBER(INDEX(Inputs!$K$5:$AJ$200,0,MATCH(AI$2,Inputs!$K$4:$AJ$4,0))))+SUMPRODUCT((Inputs!$E$5:$E$200=$B32)*ISNUMBER(INDEX(Inputs!$K$5:$AJ$200,0,MATCH(AI$2,Inputs!$K$4:$AJ$4,0))))=0,NA(),SUMPRODUCT((Inputs!$A$5:$A$200=$B32)*Inputs!$B$5:$B$200*(((Inputs!$G$5:$G$200="moeda")+(Inputs!$G$5:$G$200="acoes"))*Inputs!$B$1+((Inputs!$G$5:$G$200&lt;&gt;"moeda")*(Inputs!$G$5:$G$200&lt;&gt;"acoes")))*INDEX(Inputs!$K$5:$AJ$200,0,MATCH(AI$2,Inputs!$K$4:$AJ$4,0)))+SUMPRODUCT((Inputs!$C$5:$C$200=$B32)*Inputs!$D$5:$D$200*(((Inputs!$G$5:$G$200="moeda")+(Inputs!$G$5:$G$200="acoes"))*Inputs!$B$1+((Inputs!$G$5:$G$200&lt;&gt;"moeda")*(Inputs!$G$5:$G$200&lt;&gt;"acoes")))*INDEX(Inputs!$K$5:$AJ$200,0,MATCH(AI$2,Inputs!$K$4:$AJ$4,0)))+SUMPRODUCT((Inputs!$E$5:$E$200=$B32)*Inputs!$F$5:$F$200*(((Inputs!$G$5:$G$200="moeda")+(Inputs!$G$5:$G$200="acoes"))*Inputs!$B$1+((Inputs!$G$5:$G$200&lt;&gt;"moeda")*(Inputs!$G$5:$G$200&lt;&gt;"acoes")))*INDEX(Inputs!$K$5:$AJ$200,0,MATCH(AI$2,Inputs!$K$4:$AJ$4,0)))))</f>
        <v>270.539</v>
      </c>
      <c r="AJ32" s="6">
        <f>IF(ISNA(MATCH(AJ$2,Inputs!$K$4:$AJ$4,0)),NA(),IF(SUMPRODUCT((Inputs!$A$5:$A$200=$B32)*ISNUMBER(INDEX(Inputs!$K$5:$AJ$200,0,MATCH(AJ$2,Inputs!$K$4:$AJ$4,0))))+SUMPRODUCT((Inputs!$C$5:$C$200=$B32)*ISNUMBER(INDEX(Inputs!$K$5:$AJ$200,0,MATCH(AJ$2,Inputs!$K$4:$AJ$4,0))))+SUMPRODUCT((Inputs!$E$5:$E$200=$B32)*ISNUMBER(INDEX(Inputs!$K$5:$AJ$200,0,MATCH(AJ$2,Inputs!$K$4:$AJ$4,0))))=0,NA(),SUMPRODUCT((Inputs!$A$5:$A$200=$B32)*Inputs!$B$5:$B$200*(((Inputs!$G$5:$G$200="moeda")+(Inputs!$G$5:$G$200="acoes"))*Inputs!$B$1+((Inputs!$G$5:$G$200&lt;&gt;"moeda")*(Inputs!$G$5:$G$200&lt;&gt;"acoes")))*INDEX(Inputs!$K$5:$AJ$200,0,MATCH(AJ$2,Inputs!$K$4:$AJ$4,0)))+SUMPRODUCT((Inputs!$C$5:$C$200=$B32)*Inputs!$D$5:$D$200*(((Inputs!$G$5:$G$200="moeda")+(Inputs!$G$5:$G$200="acoes"))*Inputs!$B$1+((Inputs!$G$5:$G$200&lt;&gt;"moeda")*(Inputs!$G$5:$G$200&lt;&gt;"acoes")))*INDEX(Inputs!$K$5:$AJ$200,0,MATCH(AJ$2,Inputs!$K$4:$AJ$4,0)))+SUMPRODUCT((Inputs!$E$5:$E$200=$B32)*Inputs!$F$5:$F$200*(((Inputs!$G$5:$G$200="moeda")+(Inputs!$G$5:$G$200="acoes"))*Inputs!$B$1+((Inputs!$G$5:$G$200&lt;&gt;"moeda")*(Inputs!$G$5:$G$200&lt;&gt;"acoes")))*INDEX(Inputs!$K$5:$AJ$200,0,MATCH(AJ$2,Inputs!$K$4:$AJ$4,0)))))</f>
        <v>31.71</v>
      </c>
      <c r="AK32" s="6">
        <f>IF(ISNA(MATCH(AK$2,Inputs!$K$4:$AJ$4,0)),NA(),IF(SUMPRODUCT((Inputs!$A$5:$A$200=$B32)*ISNUMBER(INDEX(Inputs!$K$5:$AJ$200,0,MATCH(AK$2,Inputs!$K$4:$AJ$4,0))))+SUMPRODUCT((Inputs!$C$5:$C$200=$B32)*ISNUMBER(INDEX(Inputs!$K$5:$AJ$200,0,MATCH(AK$2,Inputs!$K$4:$AJ$4,0))))+SUMPRODUCT((Inputs!$E$5:$E$200=$B32)*ISNUMBER(INDEX(Inputs!$K$5:$AJ$200,0,MATCH(AK$2,Inputs!$K$4:$AJ$4,0))))=0,NA(),SUMPRODUCT((Inputs!$A$5:$A$200=$B32)*Inputs!$B$5:$B$200*(((Inputs!$G$5:$G$200="moeda")+(Inputs!$G$5:$G$200="acoes"))*Inputs!$B$1+((Inputs!$G$5:$G$200&lt;&gt;"moeda")*(Inputs!$G$5:$G$200&lt;&gt;"acoes")))*INDEX(Inputs!$K$5:$AJ$200,0,MATCH(AK$2,Inputs!$K$4:$AJ$4,0)))+SUMPRODUCT((Inputs!$C$5:$C$200=$B32)*Inputs!$D$5:$D$200*(((Inputs!$G$5:$G$200="moeda")+(Inputs!$G$5:$G$200="acoes"))*Inputs!$B$1+((Inputs!$G$5:$G$200&lt;&gt;"moeda")*(Inputs!$G$5:$G$200&lt;&gt;"acoes")))*INDEX(Inputs!$K$5:$AJ$200,0,MATCH(AK$2,Inputs!$K$4:$AJ$4,0)))+SUMPRODUCT((Inputs!$E$5:$E$200=$B32)*Inputs!$F$5:$F$200*(((Inputs!$G$5:$G$200="moeda")+(Inputs!$G$5:$G$200="acoes"))*Inputs!$B$1+((Inputs!$G$5:$G$200&lt;&gt;"moeda")*(Inputs!$G$5:$G$200&lt;&gt;"acoes")))*INDEX(Inputs!$K$5:$AJ$200,0,MATCH(AK$2,Inputs!$K$4:$AJ$4,0)))))</f>
        <v>43.921</v>
      </c>
      <c r="AL32" s="3">
        <f>AK32</f>
        <v>43.921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$200=$B33)*ISNUMBER(INDEX(Inputs!$K$5:$AJ$200,0,MATCH(D$2,Inputs!$K$4:$AJ$4,0))))+SUMPRODUCT((Inputs!$C$5:$C$200=$B33)*ISNUMBER(INDEX(Inputs!$K$5:$AJ$200,0,MATCH(D$2,Inputs!$K$4:$AJ$4,0))))+SUMPRODUCT((Inputs!$E$5:$E$200=$B33)*ISNUMBER(INDEX(Inputs!$K$5:$AJ$200,0,MATCH(D$2,Inputs!$K$4:$AJ$4,0))))=0,NA(),SUMPRODUCT((Inputs!$A$5:$A$200=$B33)*Inputs!$B$5:$B$200*(((Inputs!$G$5:$G$200="moeda")+(Inputs!$G$5:$G$200="acoes"))*Inputs!$B$1+((Inputs!$G$5:$G$200&lt;&gt;"moeda")*(Inputs!$G$5:$G$200&lt;&gt;"acoes")))*INDEX(Inputs!$K$5:$AJ$200,0,MATCH(D$2,Inputs!$K$4:$AJ$4,0)))+SUMPRODUCT((Inputs!$C$5:$C$200=$B33)*Inputs!$D$5:$D$200*(((Inputs!$G$5:$G$200="moeda")+(Inputs!$G$5:$G$200="acoes"))*Inputs!$B$1+((Inputs!$G$5:$G$200&lt;&gt;"moeda")*(Inputs!$G$5:$G$200&lt;&gt;"acoes")))*INDEX(Inputs!$K$5:$AJ$200,0,MATCH(D$2,Inputs!$K$4:$AJ$4,0)))+SUMPRODUCT((Inputs!$E$5:$E$200=$B33)*Inputs!$F$5:$F$200*(((Inputs!$G$5:$G$200="moeda")+(Inputs!$G$5:$G$200="acoes"))*Inputs!$B$1+((Inputs!$G$5:$G$200&lt;&gt;"moeda")*(Inputs!$G$5:$G$200&lt;&gt;"acoes")))*INDEX(Inputs!$K$5:$AJ$200,0,MATCH(D$2,Inputs!$K$4:$AJ$4,0)))))</f>
        <v>#N/A</v>
      </c>
      <c r="E33" s="6" t="e">
        <f>IF(ISNA(MATCH(E$2,Inputs!$K$4:$AJ$4,0)),NA(),IF(SUMPRODUCT((Inputs!$A$5:$A$200=$B33)*ISNUMBER(INDEX(Inputs!$K$5:$AJ$200,0,MATCH(E$2,Inputs!$K$4:$AJ$4,0))))+SUMPRODUCT((Inputs!$C$5:$C$200=$B33)*ISNUMBER(INDEX(Inputs!$K$5:$AJ$200,0,MATCH(E$2,Inputs!$K$4:$AJ$4,0))))+SUMPRODUCT((Inputs!$E$5:$E$200=$B33)*ISNUMBER(INDEX(Inputs!$K$5:$AJ$200,0,MATCH(E$2,Inputs!$K$4:$AJ$4,0))))=0,NA(),SUMPRODUCT((Inputs!$A$5:$A$200=$B33)*Inputs!$B$5:$B$200*(((Inputs!$G$5:$G$200="moeda")+(Inputs!$G$5:$G$200="acoes"))*Inputs!$B$1+((Inputs!$G$5:$G$200&lt;&gt;"moeda")*(Inputs!$G$5:$G$200&lt;&gt;"acoes")))*INDEX(Inputs!$K$5:$AJ$200,0,MATCH(E$2,Inputs!$K$4:$AJ$4,0)))+SUMPRODUCT((Inputs!$C$5:$C$200=$B33)*Inputs!$D$5:$D$200*(((Inputs!$G$5:$G$200="moeda")+(Inputs!$G$5:$G$200="acoes"))*Inputs!$B$1+((Inputs!$G$5:$G$200&lt;&gt;"moeda")*(Inputs!$G$5:$G$200&lt;&gt;"acoes")))*INDEX(Inputs!$K$5:$AJ$200,0,MATCH(E$2,Inputs!$K$4:$AJ$4,0)))+SUMPRODUCT((Inputs!$E$5:$E$200=$B33)*Inputs!$F$5:$F$200*(((Inputs!$G$5:$G$200="moeda")+(Inputs!$G$5:$G$200="acoes"))*Inputs!$B$1+((Inputs!$G$5:$G$200&lt;&gt;"moeda")*(Inputs!$G$5:$G$200&lt;&gt;"acoes")))*INDEX(Inputs!$K$5:$AJ$200,0,MATCH(E$2,Inputs!$K$4:$AJ$4,0)))))</f>
        <v>#N/A</v>
      </c>
      <c r="F33" s="6" t="e">
        <f>IF(ISNA(MATCH(F$2,Inputs!$K$4:$AJ$4,0)),NA(),IF(SUMPRODUCT((Inputs!$A$5:$A$200=$B33)*ISNUMBER(INDEX(Inputs!$K$5:$AJ$200,0,MATCH(F$2,Inputs!$K$4:$AJ$4,0))))+SUMPRODUCT((Inputs!$C$5:$C$200=$B33)*ISNUMBER(INDEX(Inputs!$K$5:$AJ$200,0,MATCH(F$2,Inputs!$K$4:$AJ$4,0))))+SUMPRODUCT((Inputs!$E$5:$E$200=$B33)*ISNUMBER(INDEX(Inputs!$K$5:$AJ$200,0,MATCH(F$2,Inputs!$K$4:$AJ$4,0))))=0,NA(),SUMPRODUCT((Inputs!$A$5:$A$200=$B33)*Inputs!$B$5:$B$200*(((Inputs!$G$5:$G$200="moeda")+(Inputs!$G$5:$G$200="acoes"))*Inputs!$B$1+((Inputs!$G$5:$G$200&lt;&gt;"moeda")*(Inputs!$G$5:$G$200&lt;&gt;"acoes")))*INDEX(Inputs!$K$5:$AJ$200,0,MATCH(F$2,Inputs!$K$4:$AJ$4,0)))+SUMPRODUCT((Inputs!$C$5:$C$200=$B33)*Inputs!$D$5:$D$200*(((Inputs!$G$5:$G$200="moeda")+(Inputs!$G$5:$G$200="acoes"))*Inputs!$B$1+((Inputs!$G$5:$G$200&lt;&gt;"moeda")*(Inputs!$G$5:$G$200&lt;&gt;"acoes")))*INDEX(Inputs!$K$5:$AJ$200,0,MATCH(F$2,Inputs!$K$4:$AJ$4,0)))+SUMPRODUCT((Inputs!$E$5:$E$200=$B33)*Inputs!$F$5:$F$200*(((Inputs!$G$5:$G$200="moeda")+(Inputs!$G$5:$G$200="acoes"))*Inputs!$B$1+((Inputs!$G$5:$G$200&lt;&gt;"moeda")*(Inputs!$G$5:$G$200&lt;&gt;"acoes")))*INDEX(Inputs!$K$5:$AJ$200,0,MATCH(F$2,Inputs!$K$4:$AJ$4,0)))))</f>
        <v>#N/A</v>
      </c>
      <c r="G33" s="6" t="e">
        <f>IF(ISNA(MATCH(G$2,Inputs!$K$4:$AJ$4,0)),NA(),IF(SUMPRODUCT((Inputs!$A$5:$A$200=$B33)*ISNUMBER(INDEX(Inputs!$K$5:$AJ$200,0,MATCH(G$2,Inputs!$K$4:$AJ$4,0))))+SUMPRODUCT((Inputs!$C$5:$C$200=$B33)*ISNUMBER(INDEX(Inputs!$K$5:$AJ$200,0,MATCH(G$2,Inputs!$K$4:$AJ$4,0))))+SUMPRODUCT((Inputs!$E$5:$E$200=$B33)*ISNUMBER(INDEX(Inputs!$K$5:$AJ$200,0,MATCH(G$2,Inputs!$K$4:$AJ$4,0))))=0,NA(),SUMPRODUCT((Inputs!$A$5:$A$200=$B33)*Inputs!$B$5:$B$200*(((Inputs!$G$5:$G$200="moeda")+(Inputs!$G$5:$G$200="acoes"))*Inputs!$B$1+((Inputs!$G$5:$G$200&lt;&gt;"moeda")*(Inputs!$G$5:$G$200&lt;&gt;"acoes")))*INDEX(Inputs!$K$5:$AJ$200,0,MATCH(G$2,Inputs!$K$4:$AJ$4,0)))+SUMPRODUCT((Inputs!$C$5:$C$200=$B33)*Inputs!$D$5:$D$200*(((Inputs!$G$5:$G$200="moeda")+(Inputs!$G$5:$G$200="acoes"))*Inputs!$B$1+((Inputs!$G$5:$G$200&lt;&gt;"moeda")*(Inputs!$G$5:$G$200&lt;&gt;"acoes")))*INDEX(Inputs!$K$5:$AJ$200,0,MATCH(G$2,Inputs!$K$4:$AJ$4,0)))+SUMPRODUCT((Inputs!$E$5:$E$200=$B33)*Inputs!$F$5:$F$200*(((Inputs!$G$5:$G$200="moeda")+(Inputs!$G$5:$G$200="acoes"))*Inputs!$B$1+((Inputs!$G$5:$G$200&lt;&gt;"moeda")*(Inputs!$G$5:$G$200&lt;&gt;"acoes")))*INDEX(Inputs!$K$5:$AJ$200,0,MATCH(G$2,Inputs!$K$4:$AJ$4,0)))))</f>
        <v>#N/A</v>
      </c>
      <c r="H33" s="3" t="e">
        <f>G33</f>
        <v>#N/A</v>
      </c>
      <c r="I33" s="6" t="e">
        <f>IF(ISNA(MATCH(I$2,Inputs!$K$4:$AJ$4,0)),NA(),IF(SUMPRODUCT((Inputs!$A$5:$A$200=$B33)*ISNUMBER(INDEX(Inputs!$K$5:$AJ$200,0,MATCH(I$2,Inputs!$K$4:$AJ$4,0))))+SUMPRODUCT((Inputs!$C$5:$C$200=$B33)*ISNUMBER(INDEX(Inputs!$K$5:$AJ$200,0,MATCH(I$2,Inputs!$K$4:$AJ$4,0))))+SUMPRODUCT((Inputs!$E$5:$E$200=$B33)*ISNUMBER(INDEX(Inputs!$K$5:$AJ$200,0,MATCH(I$2,Inputs!$K$4:$AJ$4,0))))=0,NA(),SUMPRODUCT((Inputs!$A$5:$A$200=$B33)*Inputs!$B$5:$B$200*(((Inputs!$G$5:$G$200="moeda")+(Inputs!$G$5:$G$200="acoes"))*Inputs!$B$1+((Inputs!$G$5:$G$200&lt;&gt;"moeda")*(Inputs!$G$5:$G$200&lt;&gt;"acoes")))*INDEX(Inputs!$K$5:$AJ$200,0,MATCH(I$2,Inputs!$K$4:$AJ$4,0)))+SUMPRODUCT((Inputs!$C$5:$C$200=$B33)*Inputs!$D$5:$D$200*(((Inputs!$G$5:$G$200="moeda")+(Inputs!$G$5:$G$200="acoes"))*Inputs!$B$1+((Inputs!$G$5:$G$200&lt;&gt;"moeda")*(Inputs!$G$5:$G$200&lt;&gt;"acoes")))*INDEX(Inputs!$K$5:$AJ$200,0,MATCH(I$2,Inputs!$K$4:$AJ$4,0)))+SUMPRODUCT((Inputs!$E$5:$E$200=$B33)*Inputs!$F$5:$F$200*(((Inputs!$G$5:$G$200="moeda")+(Inputs!$G$5:$G$200="acoes"))*Inputs!$B$1+((Inputs!$G$5:$G$200&lt;&gt;"moeda")*(Inputs!$G$5:$G$200&lt;&gt;"acoes")))*INDEX(Inputs!$K$5:$AJ$200,0,MATCH(I$2,Inputs!$K$4:$AJ$4,0)))))</f>
        <v>#N/A</v>
      </c>
      <c r="J33" s="6" t="e">
        <f>IF(ISNA(MATCH(J$2,Inputs!$K$4:$AJ$4,0)),NA(),IF(SUMPRODUCT((Inputs!$A$5:$A$200=$B33)*ISNUMBER(INDEX(Inputs!$K$5:$AJ$200,0,MATCH(J$2,Inputs!$K$4:$AJ$4,0))))+SUMPRODUCT((Inputs!$C$5:$C$200=$B33)*ISNUMBER(INDEX(Inputs!$K$5:$AJ$200,0,MATCH(J$2,Inputs!$K$4:$AJ$4,0))))+SUMPRODUCT((Inputs!$E$5:$E$200=$B33)*ISNUMBER(INDEX(Inputs!$K$5:$AJ$200,0,MATCH(J$2,Inputs!$K$4:$AJ$4,0))))=0,NA(),SUMPRODUCT((Inputs!$A$5:$A$200=$B33)*Inputs!$B$5:$B$200*(((Inputs!$G$5:$G$200="moeda")+(Inputs!$G$5:$G$200="acoes"))*Inputs!$B$1+((Inputs!$G$5:$G$200&lt;&gt;"moeda")*(Inputs!$G$5:$G$200&lt;&gt;"acoes")))*INDEX(Inputs!$K$5:$AJ$200,0,MATCH(J$2,Inputs!$K$4:$AJ$4,0)))+SUMPRODUCT((Inputs!$C$5:$C$200=$B33)*Inputs!$D$5:$D$200*(((Inputs!$G$5:$G$200="moeda")+(Inputs!$G$5:$G$200="acoes"))*Inputs!$B$1+((Inputs!$G$5:$G$200&lt;&gt;"moeda")*(Inputs!$G$5:$G$200&lt;&gt;"acoes")))*INDEX(Inputs!$K$5:$AJ$200,0,MATCH(J$2,Inputs!$K$4:$AJ$4,0)))+SUMPRODUCT((Inputs!$E$5:$E$200=$B33)*Inputs!$F$5:$F$200*(((Inputs!$G$5:$G$200="moeda")+(Inputs!$G$5:$G$200="acoes"))*Inputs!$B$1+((Inputs!$G$5:$G$200&lt;&gt;"moeda")*(Inputs!$G$5:$G$200&lt;&gt;"acoes")))*INDEX(Inputs!$K$5:$AJ$200,0,MATCH(J$2,Inputs!$K$4:$AJ$4,0)))))</f>
        <v>#N/A</v>
      </c>
      <c r="K33" s="6" t="e">
        <f>IF(ISNA(MATCH(K$2,Inputs!$K$4:$AJ$4,0)),NA(),IF(SUMPRODUCT((Inputs!$A$5:$A$200=$B33)*ISNUMBER(INDEX(Inputs!$K$5:$AJ$200,0,MATCH(K$2,Inputs!$K$4:$AJ$4,0))))+SUMPRODUCT((Inputs!$C$5:$C$200=$B33)*ISNUMBER(INDEX(Inputs!$K$5:$AJ$200,0,MATCH(K$2,Inputs!$K$4:$AJ$4,0))))+SUMPRODUCT((Inputs!$E$5:$E$200=$B33)*ISNUMBER(INDEX(Inputs!$K$5:$AJ$200,0,MATCH(K$2,Inputs!$K$4:$AJ$4,0))))=0,NA(),SUMPRODUCT((Inputs!$A$5:$A$200=$B33)*Inputs!$B$5:$B$200*(((Inputs!$G$5:$G$200="moeda")+(Inputs!$G$5:$G$200="acoes"))*Inputs!$B$1+((Inputs!$G$5:$G$200&lt;&gt;"moeda")*(Inputs!$G$5:$G$200&lt;&gt;"acoes")))*INDEX(Inputs!$K$5:$AJ$200,0,MATCH(K$2,Inputs!$K$4:$AJ$4,0)))+SUMPRODUCT((Inputs!$C$5:$C$200=$B33)*Inputs!$D$5:$D$200*(((Inputs!$G$5:$G$200="moeda")+(Inputs!$G$5:$G$200="acoes"))*Inputs!$B$1+((Inputs!$G$5:$G$200&lt;&gt;"moeda")*(Inputs!$G$5:$G$200&lt;&gt;"acoes")))*INDEX(Inputs!$K$5:$AJ$200,0,MATCH(K$2,Inputs!$K$4:$AJ$4,0)))+SUMPRODUCT((Inputs!$E$5:$E$200=$B33)*Inputs!$F$5:$F$200*(((Inputs!$G$5:$G$200="moeda")+(Inputs!$G$5:$G$200="acoes"))*Inputs!$B$1+((Inputs!$G$5:$G$200&lt;&gt;"moeda")*(Inputs!$G$5:$G$200&lt;&gt;"acoes")))*INDEX(Inputs!$K$5:$AJ$200,0,MATCH(K$2,Inputs!$K$4:$AJ$4,0)))))</f>
        <v>#N/A</v>
      </c>
      <c r="L33" s="6" t="e">
        <f>IF(ISNA(MATCH(L$2,Inputs!$K$4:$AJ$4,0)),NA(),IF(SUMPRODUCT((Inputs!$A$5:$A$200=$B33)*ISNUMBER(INDEX(Inputs!$K$5:$AJ$200,0,MATCH(L$2,Inputs!$K$4:$AJ$4,0))))+SUMPRODUCT((Inputs!$C$5:$C$200=$B33)*ISNUMBER(INDEX(Inputs!$K$5:$AJ$200,0,MATCH(L$2,Inputs!$K$4:$AJ$4,0))))+SUMPRODUCT((Inputs!$E$5:$E$200=$B33)*ISNUMBER(INDEX(Inputs!$K$5:$AJ$200,0,MATCH(L$2,Inputs!$K$4:$AJ$4,0))))=0,NA(),SUMPRODUCT((Inputs!$A$5:$A$200=$B33)*Inputs!$B$5:$B$200*(((Inputs!$G$5:$G$200="moeda")+(Inputs!$G$5:$G$200="acoes"))*Inputs!$B$1+((Inputs!$G$5:$G$200&lt;&gt;"moeda")*(Inputs!$G$5:$G$200&lt;&gt;"acoes")))*INDEX(Inputs!$K$5:$AJ$200,0,MATCH(L$2,Inputs!$K$4:$AJ$4,0)))+SUMPRODUCT((Inputs!$C$5:$C$200=$B33)*Inputs!$D$5:$D$200*(((Inputs!$G$5:$G$200="moeda")+(Inputs!$G$5:$G$200="acoes"))*Inputs!$B$1+((Inputs!$G$5:$G$200&lt;&gt;"moeda")*(Inputs!$G$5:$G$200&lt;&gt;"acoes")))*INDEX(Inputs!$K$5:$AJ$200,0,MATCH(L$2,Inputs!$K$4:$AJ$4,0)))+SUMPRODUCT((Inputs!$E$5:$E$200=$B33)*Inputs!$F$5:$F$200*(((Inputs!$G$5:$G$200="moeda")+(Inputs!$G$5:$G$200="acoes"))*Inputs!$B$1+((Inputs!$G$5:$G$200&lt;&gt;"moeda")*(Inputs!$G$5:$G$200&lt;&gt;"acoes")))*INDEX(Inputs!$K$5:$AJ$200,0,MATCH(L$2,Inputs!$K$4:$AJ$4,0)))))</f>
        <v>#N/A</v>
      </c>
      <c r="M33" s="3" t="e">
        <f>L33</f>
        <v>#N/A</v>
      </c>
      <c r="N33" s="6" t="e">
        <f>IF(ISNA(MATCH(N$2,Inputs!$K$4:$AJ$4,0)),NA(),IF(SUMPRODUCT((Inputs!$A$5:$A$200=$B33)*ISNUMBER(INDEX(Inputs!$K$5:$AJ$200,0,MATCH(N$2,Inputs!$K$4:$AJ$4,0))))+SUMPRODUCT((Inputs!$C$5:$C$200=$B33)*ISNUMBER(INDEX(Inputs!$K$5:$AJ$200,0,MATCH(N$2,Inputs!$K$4:$AJ$4,0))))+SUMPRODUCT((Inputs!$E$5:$E$200=$B33)*ISNUMBER(INDEX(Inputs!$K$5:$AJ$200,0,MATCH(N$2,Inputs!$K$4:$AJ$4,0))))=0,NA(),SUMPRODUCT((Inputs!$A$5:$A$200=$B33)*Inputs!$B$5:$B$200*(((Inputs!$G$5:$G$200="moeda")+(Inputs!$G$5:$G$200="acoes"))*Inputs!$B$1+((Inputs!$G$5:$G$200&lt;&gt;"moeda")*(Inputs!$G$5:$G$200&lt;&gt;"acoes")))*INDEX(Inputs!$K$5:$AJ$200,0,MATCH(N$2,Inputs!$K$4:$AJ$4,0)))+SUMPRODUCT((Inputs!$C$5:$C$200=$B33)*Inputs!$D$5:$D$200*(((Inputs!$G$5:$G$200="moeda")+(Inputs!$G$5:$G$200="acoes"))*Inputs!$B$1+((Inputs!$G$5:$G$200&lt;&gt;"moeda")*(Inputs!$G$5:$G$200&lt;&gt;"acoes")))*INDEX(Inputs!$K$5:$AJ$200,0,MATCH(N$2,Inputs!$K$4:$AJ$4,0)))+SUMPRODUCT((Inputs!$E$5:$E$200=$B33)*Inputs!$F$5:$F$200*(((Inputs!$G$5:$G$200="moeda")+(Inputs!$G$5:$G$200="acoes"))*Inputs!$B$1+((Inputs!$G$5:$G$200&lt;&gt;"moeda")*(Inputs!$G$5:$G$200&lt;&gt;"acoes")))*INDEX(Inputs!$K$5:$AJ$200,0,MATCH(N$2,Inputs!$K$4:$AJ$4,0)))))</f>
        <v>#N/A</v>
      </c>
      <c r="O33" s="6" t="e">
        <f>IF(ISNA(MATCH(O$2,Inputs!$K$4:$AJ$4,0)),NA(),IF(SUMPRODUCT((Inputs!$A$5:$A$200=$B33)*ISNUMBER(INDEX(Inputs!$K$5:$AJ$200,0,MATCH(O$2,Inputs!$K$4:$AJ$4,0))))+SUMPRODUCT((Inputs!$C$5:$C$200=$B33)*ISNUMBER(INDEX(Inputs!$K$5:$AJ$200,0,MATCH(O$2,Inputs!$K$4:$AJ$4,0))))+SUMPRODUCT((Inputs!$E$5:$E$200=$B33)*ISNUMBER(INDEX(Inputs!$K$5:$AJ$200,0,MATCH(O$2,Inputs!$K$4:$AJ$4,0))))=0,NA(),SUMPRODUCT((Inputs!$A$5:$A$200=$B33)*Inputs!$B$5:$B$200*(((Inputs!$G$5:$G$200="moeda")+(Inputs!$G$5:$G$200="acoes"))*Inputs!$B$1+((Inputs!$G$5:$G$200&lt;&gt;"moeda")*(Inputs!$G$5:$G$200&lt;&gt;"acoes")))*INDEX(Inputs!$K$5:$AJ$200,0,MATCH(O$2,Inputs!$K$4:$AJ$4,0)))+SUMPRODUCT((Inputs!$C$5:$C$200=$B33)*Inputs!$D$5:$D$200*(((Inputs!$G$5:$G$200="moeda")+(Inputs!$G$5:$G$200="acoes"))*Inputs!$B$1+((Inputs!$G$5:$G$200&lt;&gt;"moeda")*(Inputs!$G$5:$G$200&lt;&gt;"acoes")))*INDEX(Inputs!$K$5:$AJ$200,0,MATCH(O$2,Inputs!$K$4:$AJ$4,0)))+SUMPRODUCT((Inputs!$E$5:$E$200=$B33)*Inputs!$F$5:$F$200*(((Inputs!$G$5:$G$200="moeda")+(Inputs!$G$5:$G$200="acoes"))*Inputs!$B$1+((Inputs!$G$5:$G$200&lt;&gt;"moeda")*(Inputs!$G$5:$G$200&lt;&gt;"acoes")))*INDEX(Inputs!$K$5:$AJ$200,0,MATCH(O$2,Inputs!$K$4:$AJ$4,0)))))</f>
        <v>#N/A</v>
      </c>
      <c r="P33" s="6" t="e">
        <f>IF(ISNA(MATCH(P$2,Inputs!$K$4:$AJ$4,0)),NA(),IF(SUMPRODUCT((Inputs!$A$5:$A$200=$B33)*ISNUMBER(INDEX(Inputs!$K$5:$AJ$200,0,MATCH(P$2,Inputs!$K$4:$AJ$4,0))))+SUMPRODUCT((Inputs!$C$5:$C$200=$B33)*ISNUMBER(INDEX(Inputs!$K$5:$AJ$200,0,MATCH(P$2,Inputs!$K$4:$AJ$4,0))))+SUMPRODUCT((Inputs!$E$5:$E$200=$B33)*ISNUMBER(INDEX(Inputs!$K$5:$AJ$200,0,MATCH(P$2,Inputs!$K$4:$AJ$4,0))))=0,NA(),SUMPRODUCT((Inputs!$A$5:$A$200=$B33)*Inputs!$B$5:$B$200*(((Inputs!$G$5:$G$200="moeda")+(Inputs!$G$5:$G$200="acoes"))*Inputs!$B$1+((Inputs!$G$5:$G$200&lt;&gt;"moeda")*(Inputs!$G$5:$G$200&lt;&gt;"acoes")))*INDEX(Inputs!$K$5:$AJ$200,0,MATCH(P$2,Inputs!$K$4:$AJ$4,0)))+SUMPRODUCT((Inputs!$C$5:$C$200=$B33)*Inputs!$D$5:$D$200*(((Inputs!$G$5:$G$200="moeda")+(Inputs!$G$5:$G$200="acoes"))*Inputs!$B$1+((Inputs!$G$5:$G$200&lt;&gt;"moeda")*(Inputs!$G$5:$G$200&lt;&gt;"acoes")))*INDEX(Inputs!$K$5:$AJ$200,0,MATCH(P$2,Inputs!$K$4:$AJ$4,0)))+SUMPRODUCT((Inputs!$E$5:$E$200=$B33)*Inputs!$F$5:$F$200*(((Inputs!$G$5:$G$200="moeda")+(Inputs!$G$5:$G$200="acoes"))*Inputs!$B$1+((Inputs!$G$5:$G$200&lt;&gt;"moeda")*(Inputs!$G$5:$G$200&lt;&gt;"acoes")))*INDEX(Inputs!$K$5:$AJ$200,0,MATCH(P$2,Inputs!$K$4:$AJ$4,0)))))</f>
        <v>#N/A</v>
      </c>
      <c r="Q33" s="6" t="e">
        <f>IF(ISNA(MATCH(Q$2,Inputs!$K$4:$AJ$4,0)),NA(),IF(SUMPRODUCT((Inputs!$A$5:$A$200=$B33)*ISNUMBER(INDEX(Inputs!$K$5:$AJ$200,0,MATCH(Q$2,Inputs!$K$4:$AJ$4,0))))+SUMPRODUCT((Inputs!$C$5:$C$200=$B33)*ISNUMBER(INDEX(Inputs!$K$5:$AJ$200,0,MATCH(Q$2,Inputs!$K$4:$AJ$4,0))))+SUMPRODUCT((Inputs!$E$5:$E$200=$B33)*ISNUMBER(INDEX(Inputs!$K$5:$AJ$200,0,MATCH(Q$2,Inputs!$K$4:$AJ$4,0))))=0,NA(),SUMPRODUCT((Inputs!$A$5:$A$200=$B33)*Inputs!$B$5:$B$200*(((Inputs!$G$5:$G$200="moeda")+(Inputs!$G$5:$G$200="acoes"))*Inputs!$B$1+((Inputs!$G$5:$G$200&lt;&gt;"moeda")*(Inputs!$G$5:$G$200&lt;&gt;"acoes")))*INDEX(Inputs!$K$5:$AJ$200,0,MATCH(Q$2,Inputs!$K$4:$AJ$4,0)))+SUMPRODUCT((Inputs!$C$5:$C$200=$B33)*Inputs!$D$5:$D$200*(((Inputs!$G$5:$G$200="moeda")+(Inputs!$G$5:$G$200="acoes"))*Inputs!$B$1+((Inputs!$G$5:$G$200&lt;&gt;"moeda")*(Inputs!$G$5:$G$200&lt;&gt;"acoes")))*INDEX(Inputs!$K$5:$AJ$200,0,MATCH(Q$2,Inputs!$K$4:$AJ$4,0)))+SUMPRODUCT((Inputs!$E$5:$E$200=$B33)*Inputs!$F$5:$F$200*(((Inputs!$G$5:$G$200="moeda")+(Inputs!$G$5:$G$200="acoes"))*Inputs!$B$1+((Inputs!$G$5:$G$200&lt;&gt;"moeda")*(Inputs!$G$5:$G$200&lt;&gt;"acoes")))*INDEX(Inputs!$K$5:$AJ$200,0,MATCH(Q$2,Inputs!$K$4:$AJ$4,0)))))</f>
        <v>#N/A</v>
      </c>
      <c r="R33" s="3" t="e">
        <f>Q33</f>
        <v>#N/A</v>
      </c>
      <c r="S33" s="6" t="e">
        <f>IF(ISNA(MATCH(S$2,Inputs!$K$4:$AJ$4,0)),NA(),IF(SUMPRODUCT((Inputs!$A$5:$A$200=$B33)*ISNUMBER(INDEX(Inputs!$K$5:$AJ$200,0,MATCH(S$2,Inputs!$K$4:$AJ$4,0))))+SUMPRODUCT((Inputs!$C$5:$C$200=$B33)*ISNUMBER(INDEX(Inputs!$K$5:$AJ$200,0,MATCH(S$2,Inputs!$K$4:$AJ$4,0))))+SUMPRODUCT((Inputs!$E$5:$E$200=$B33)*ISNUMBER(INDEX(Inputs!$K$5:$AJ$200,0,MATCH(S$2,Inputs!$K$4:$AJ$4,0))))=0,NA(),SUMPRODUCT((Inputs!$A$5:$A$200=$B33)*Inputs!$B$5:$B$200*(((Inputs!$G$5:$G$200="moeda")+(Inputs!$G$5:$G$200="acoes"))*Inputs!$B$1+((Inputs!$G$5:$G$200&lt;&gt;"moeda")*(Inputs!$G$5:$G$200&lt;&gt;"acoes")))*INDEX(Inputs!$K$5:$AJ$200,0,MATCH(S$2,Inputs!$K$4:$AJ$4,0)))+SUMPRODUCT((Inputs!$C$5:$C$200=$B33)*Inputs!$D$5:$D$200*(((Inputs!$G$5:$G$200="moeda")+(Inputs!$G$5:$G$200="acoes"))*Inputs!$B$1+((Inputs!$G$5:$G$200&lt;&gt;"moeda")*(Inputs!$G$5:$G$200&lt;&gt;"acoes")))*INDEX(Inputs!$K$5:$AJ$200,0,MATCH(S$2,Inputs!$K$4:$AJ$4,0)))+SUMPRODUCT((Inputs!$E$5:$E$200=$B33)*Inputs!$F$5:$F$200*(((Inputs!$G$5:$G$200="moeda")+(Inputs!$G$5:$G$200="acoes"))*Inputs!$B$1+((Inputs!$G$5:$G$200&lt;&gt;"moeda")*(Inputs!$G$5:$G$200&lt;&gt;"acoes")))*INDEX(Inputs!$K$5:$AJ$200,0,MATCH(S$2,Inputs!$K$4:$AJ$4,0)))))</f>
        <v>#N/A</v>
      </c>
      <c r="T33" s="6" t="e">
        <f>IF(ISNA(MATCH(T$2,Inputs!$K$4:$AJ$4,0)),NA(),IF(SUMPRODUCT((Inputs!$A$5:$A$200=$B33)*ISNUMBER(INDEX(Inputs!$K$5:$AJ$200,0,MATCH(T$2,Inputs!$K$4:$AJ$4,0))))+SUMPRODUCT((Inputs!$C$5:$C$200=$B33)*ISNUMBER(INDEX(Inputs!$K$5:$AJ$200,0,MATCH(T$2,Inputs!$K$4:$AJ$4,0))))+SUMPRODUCT((Inputs!$E$5:$E$200=$B33)*ISNUMBER(INDEX(Inputs!$K$5:$AJ$200,0,MATCH(T$2,Inputs!$K$4:$AJ$4,0))))=0,NA(),SUMPRODUCT((Inputs!$A$5:$A$200=$B33)*Inputs!$B$5:$B$200*(((Inputs!$G$5:$G$200="moeda")+(Inputs!$G$5:$G$200="acoes"))*Inputs!$B$1+((Inputs!$G$5:$G$200&lt;&gt;"moeda")*(Inputs!$G$5:$G$200&lt;&gt;"acoes")))*INDEX(Inputs!$K$5:$AJ$200,0,MATCH(T$2,Inputs!$K$4:$AJ$4,0)))+SUMPRODUCT((Inputs!$C$5:$C$200=$B33)*Inputs!$D$5:$D$200*(((Inputs!$G$5:$G$200="moeda")+(Inputs!$G$5:$G$200="acoes"))*Inputs!$B$1+((Inputs!$G$5:$G$200&lt;&gt;"moeda")*(Inputs!$G$5:$G$200&lt;&gt;"acoes")))*INDEX(Inputs!$K$5:$AJ$200,0,MATCH(T$2,Inputs!$K$4:$AJ$4,0)))+SUMPRODUCT((Inputs!$E$5:$E$200=$B33)*Inputs!$F$5:$F$200*(((Inputs!$G$5:$G$200="moeda")+(Inputs!$G$5:$G$200="acoes"))*Inputs!$B$1+((Inputs!$G$5:$G$200&lt;&gt;"moeda")*(Inputs!$G$5:$G$200&lt;&gt;"acoes")))*INDEX(Inputs!$K$5:$AJ$200,0,MATCH(T$2,Inputs!$K$4:$AJ$4,0)))))</f>
        <v>#N/A</v>
      </c>
      <c r="U33" s="6" t="e">
        <f>IF(ISNA(MATCH(U$2,Inputs!$K$4:$AJ$4,0)),NA(),IF(SUMPRODUCT((Inputs!$A$5:$A$200=$B33)*ISNUMBER(INDEX(Inputs!$K$5:$AJ$200,0,MATCH(U$2,Inputs!$K$4:$AJ$4,0))))+SUMPRODUCT((Inputs!$C$5:$C$200=$B33)*ISNUMBER(INDEX(Inputs!$K$5:$AJ$200,0,MATCH(U$2,Inputs!$K$4:$AJ$4,0))))+SUMPRODUCT((Inputs!$E$5:$E$200=$B33)*ISNUMBER(INDEX(Inputs!$K$5:$AJ$200,0,MATCH(U$2,Inputs!$K$4:$AJ$4,0))))=0,NA(),SUMPRODUCT((Inputs!$A$5:$A$200=$B33)*Inputs!$B$5:$B$200*(((Inputs!$G$5:$G$200="moeda")+(Inputs!$G$5:$G$200="acoes"))*Inputs!$B$1+((Inputs!$G$5:$G$200&lt;&gt;"moeda")*(Inputs!$G$5:$G$200&lt;&gt;"acoes")))*INDEX(Inputs!$K$5:$AJ$200,0,MATCH(U$2,Inputs!$K$4:$AJ$4,0)))+SUMPRODUCT((Inputs!$C$5:$C$200=$B33)*Inputs!$D$5:$D$200*(((Inputs!$G$5:$G$200="moeda")+(Inputs!$G$5:$G$200="acoes"))*Inputs!$B$1+((Inputs!$G$5:$G$200&lt;&gt;"moeda")*(Inputs!$G$5:$G$200&lt;&gt;"acoes")))*INDEX(Inputs!$K$5:$AJ$200,0,MATCH(U$2,Inputs!$K$4:$AJ$4,0)))+SUMPRODUCT((Inputs!$E$5:$E$200=$B33)*Inputs!$F$5:$F$200*(((Inputs!$G$5:$G$200="moeda")+(Inputs!$G$5:$G$200="acoes"))*Inputs!$B$1+((Inputs!$G$5:$G$200&lt;&gt;"moeda")*(Inputs!$G$5:$G$200&lt;&gt;"acoes")))*INDEX(Inputs!$K$5:$AJ$200,0,MATCH(U$2,Inputs!$K$4:$AJ$4,0)))))</f>
        <v>#N/A</v>
      </c>
      <c r="V33" s="6" t="e">
        <f>IF(ISNA(MATCH(V$2,Inputs!$K$4:$AJ$4,0)),NA(),IF(SUMPRODUCT((Inputs!$A$5:$A$200=$B33)*ISNUMBER(INDEX(Inputs!$K$5:$AJ$200,0,MATCH(V$2,Inputs!$K$4:$AJ$4,0))))+SUMPRODUCT((Inputs!$C$5:$C$200=$B33)*ISNUMBER(INDEX(Inputs!$K$5:$AJ$200,0,MATCH(V$2,Inputs!$K$4:$AJ$4,0))))+SUMPRODUCT((Inputs!$E$5:$E$200=$B33)*ISNUMBER(INDEX(Inputs!$K$5:$AJ$200,0,MATCH(V$2,Inputs!$K$4:$AJ$4,0))))=0,NA(),SUMPRODUCT((Inputs!$A$5:$A$200=$B33)*Inputs!$B$5:$B$200*(((Inputs!$G$5:$G$200="moeda")+(Inputs!$G$5:$G$200="acoes"))*Inputs!$B$1+((Inputs!$G$5:$G$200&lt;&gt;"moeda")*(Inputs!$G$5:$G$200&lt;&gt;"acoes")))*INDEX(Inputs!$K$5:$AJ$200,0,MATCH(V$2,Inputs!$K$4:$AJ$4,0)))+SUMPRODUCT((Inputs!$C$5:$C$200=$B33)*Inputs!$D$5:$D$200*(((Inputs!$G$5:$G$200="moeda")+(Inputs!$G$5:$G$200="acoes"))*Inputs!$B$1+((Inputs!$G$5:$G$200&lt;&gt;"moeda")*(Inputs!$G$5:$G$200&lt;&gt;"acoes")))*INDEX(Inputs!$K$5:$AJ$200,0,MATCH(V$2,Inputs!$K$4:$AJ$4,0)))+SUMPRODUCT((Inputs!$E$5:$E$200=$B33)*Inputs!$F$5:$F$200*(((Inputs!$G$5:$G$200="moeda")+(Inputs!$G$5:$G$200="acoes"))*Inputs!$B$1+((Inputs!$G$5:$G$200&lt;&gt;"moeda")*(Inputs!$G$5:$G$200&lt;&gt;"acoes")))*INDEX(Inputs!$K$5:$AJ$200,0,MATCH(V$2,Inputs!$K$4:$AJ$4,0)))))</f>
        <v>#N/A</v>
      </c>
      <c r="W33" s="3" t="e">
        <f>V33</f>
        <v>#N/A</v>
      </c>
      <c r="X33" s="6" t="e">
        <f>IF(ISNA(MATCH(X$2,Inputs!$K$4:$AJ$4,0)),NA(),IF(SUMPRODUCT((Inputs!$A$5:$A$200=$B33)*ISNUMBER(INDEX(Inputs!$K$5:$AJ$200,0,MATCH(X$2,Inputs!$K$4:$AJ$4,0))))+SUMPRODUCT((Inputs!$C$5:$C$200=$B33)*ISNUMBER(INDEX(Inputs!$K$5:$AJ$200,0,MATCH(X$2,Inputs!$K$4:$AJ$4,0))))+SUMPRODUCT((Inputs!$E$5:$E$200=$B33)*ISNUMBER(INDEX(Inputs!$K$5:$AJ$200,0,MATCH(X$2,Inputs!$K$4:$AJ$4,0))))=0,NA(),SUMPRODUCT((Inputs!$A$5:$A$200=$B33)*Inputs!$B$5:$B$200*(((Inputs!$G$5:$G$200="moeda")+(Inputs!$G$5:$G$200="acoes"))*Inputs!$B$1+((Inputs!$G$5:$G$200&lt;&gt;"moeda")*(Inputs!$G$5:$G$200&lt;&gt;"acoes")))*INDEX(Inputs!$K$5:$AJ$200,0,MATCH(X$2,Inputs!$K$4:$AJ$4,0)))+SUMPRODUCT((Inputs!$C$5:$C$200=$B33)*Inputs!$D$5:$D$200*(((Inputs!$G$5:$G$200="moeda")+(Inputs!$G$5:$G$200="acoes"))*Inputs!$B$1+((Inputs!$G$5:$G$200&lt;&gt;"moeda")*(Inputs!$G$5:$G$200&lt;&gt;"acoes")))*INDEX(Inputs!$K$5:$AJ$200,0,MATCH(X$2,Inputs!$K$4:$AJ$4,0)))+SUMPRODUCT((Inputs!$E$5:$E$200=$B33)*Inputs!$F$5:$F$200*(((Inputs!$G$5:$G$200="moeda")+(Inputs!$G$5:$G$200="acoes"))*Inputs!$B$1+((Inputs!$G$5:$G$200&lt;&gt;"moeda")*(Inputs!$G$5:$G$200&lt;&gt;"acoes")))*INDEX(Inputs!$K$5:$AJ$200,0,MATCH(X$2,Inputs!$K$4:$AJ$4,0)))))</f>
        <v>#N/A</v>
      </c>
      <c r="Y33" s="6" t="e">
        <f>IF(ISNA(MATCH(Y$2,Inputs!$K$4:$AJ$4,0)),NA(),IF(SUMPRODUCT((Inputs!$A$5:$A$200=$B33)*ISNUMBER(INDEX(Inputs!$K$5:$AJ$200,0,MATCH(Y$2,Inputs!$K$4:$AJ$4,0))))+SUMPRODUCT((Inputs!$C$5:$C$200=$B33)*ISNUMBER(INDEX(Inputs!$K$5:$AJ$200,0,MATCH(Y$2,Inputs!$K$4:$AJ$4,0))))+SUMPRODUCT((Inputs!$E$5:$E$200=$B33)*ISNUMBER(INDEX(Inputs!$K$5:$AJ$200,0,MATCH(Y$2,Inputs!$K$4:$AJ$4,0))))=0,NA(),SUMPRODUCT((Inputs!$A$5:$A$200=$B33)*Inputs!$B$5:$B$200*(((Inputs!$G$5:$G$200="moeda")+(Inputs!$G$5:$G$200="acoes"))*Inputs!$B$1+((Inputs!$G$5:$G$200&lt;&gt;"moeda")*(Inputs!$G$5:$G$200&lt;&gt;"acoes")))*INDEX(Inputs!$K$5:$AJ$200,0,MATCH(Y$2,Inputs!$K$4:$AJ$4,0)))+SUMPRODUCT((Inputs!$C$5:$C$200=$B33)*Inputs!$D$5:$D$200*(((Inputs!$G$5:$G$200="moeda")+(Inputs!$G$5:$G$200="acoes"))*Inputs!$B$1+((Inputs!$G$5:$G$200&lt;&gt;"moeda")*(Inputs!$G$5:$G$200&lt;&gt;"acoes")))*INDEX(Inputs!$K$5:$AJ$200,0,MATCH(Y$2,Inputs!$K$4:$AJ$4,0)))+SUMPRODUCT((Inputs!$E$5:$E$200=$B33)*Inputs!$F$5:$F$200*(((Inputs!$G$5:$G$200="moeda")+(Inputs!$G$5:$G$200="acoes"))*Inputs!$B$1+((Inputs!$G$5:$G$200&lt;&gt;"moeda")*(Inputs!$G$5:$G$200&lt;&gt;"acoes")))*INDEX(Inputs!$K$5:$AJ$200,0,MATCH(Y$2,Inputs!$K$4:$AJ$4,0)))))</f>
        <v>#N/A</v>
      </c>
      <c r="Z33" s="6" t="e">
        <f>IF(ISNA(MATCH(Z$2,Inputs!$K$4:$AJ$4,0)),NA(),IF(SUMPRODUCT((Inputs!$A$5:$A$200=$B33)*ISNUMBER(INDEX(Inputs!$K$5:$AJ$200,0,MATCH(Z$2,Inputs!$K$4:$AJ$4,0))))+SUMPRODUCT((Inputs!$C$5:$C$200=$B33)*ISNUMBER(INDEX(Inputs!$K$5:$AJ$200,0,MATCH(Z$2,Inputs!$K$4:$AJ$4,0))))+SUMPRODUCT((Inputs!$E$5:$E$200=$B33)*ISNUMBER(INDEX(Inputs!$K$5:$AJ$200,0,MATCH(Z$2,Inputs!$K$4:$AJ$4,0))))=0,NA(),SUMPRODUCT((Inputs!$A$5:$A$200=$B33)*Inputs!$B$5:$B$200*(((Inputs!$G$5:$G$200="moeda")+(Inputs!$G$5:$G$200="acoes"))*Inputs!$B$1+((Inputs!$G$5:$G$200&lt;&gt;"moeda")*(Inputs!$G$5:$G$200&lt;&gt;"acoes")))*INDEX(Inputs!$K$5:$AJ$200,0,MATCH(Z$2,Inputs!$K$4:$AJ$4,0)))+SUMPRODUCT((Inputs!$C$5:$C$200=$B33)*Inputs!$D$5:$D$200*(((Inputs!$G$5:$G$200="moeda")+(Inputs!$G$5:$G$200="acoes"))*Inputs!$B$1+((Inputs!$G$5:$G$200&lt;&gt;"moeda")*(Inputs!$G$5:$G$200&lt;&gt;"acoes")))*INDEX(Inputs!$K$5:$AJ$200,0,MATCH(Z$2,Inputs!$K$4:$AJ$4,0)))+SUMPRODUCT((Inputs!$E$5:$E$200=$B33)*Inputs!$F$5:$F$200*(((Inputs!$G$5:$G$200="moeda")+(Inputs!$G$5:$G$200="acoes"))*Inputs!$B$1+((Inputs!$G$5:$G$200&lt;&gt;"moeda")*(Inputs!$G$5:$G$200&lt;&gt;"acoes")))*INDEX(Inputs!$K$5:$AJ$200,0,MATCH(Z$2,Inputs!$K$4:$AJ$4,0)))))</f>
        <v>#N/A</v>
      </c>
      <c r="AA33" s="6" t="e">
        <f>IF(ISNA(MATCH(AA$2,Inputs!$K$4:$AJ$4,0)),NA(),IF(SUMPRODUCT((Inputs!$A$5:$A$200=$B33)*ISNUMBER(INDEX(Inputs!$K$5:$AJ$200,0,MATCH(AA$2,Inputs!$K$4:$AJ$4,0))))+SUMPRODUCT((Inputs!$C$5:$C$200=$B33)*ISNUMBER(INDEX(Inputs!$K$5:$AJ$200,0,MATCH(AA$2,Inputs!$K$4:$AJ$4,0))))+SUMPRODUCT((Inputs!$E$5:$E$200=$B33)*ISNUMBER(INDEX(Inputs!$K$5:$AJ$200,0,MATCH(AA$2,Inputs!$K$4:$AJ$4,0))))=0,NA(),SUMPRODUCT((Inputs!$A$5:$A$200=$B33)*Inputs!$B$5:$B$200*(((Inputs!$G$5:$G$200="moeda")+(Inputs!$G$5:$G$200="acoes"))*Inputs!$B$1+((Inputs!$G$5:$G$200&lt;&gt;"moeda")*(Inputs!$G$5:$G$200&lt;&gt;"acoes")))*INDEX(Inputs!$K$5:$AJ$200,0,MATCH(AA$2,Inputs!$K$4:$AJ$4,0)))+SUMPRODUCT((Inputs!$C$5:$C$200=$B33)*Inputs!$D$5:$D$200*(((Inputs!$G$5:$G$200="moeda")+(Inputs!$G$5:$G$200="acoes"))*Inputs!$B$1+((Inputs!$G$5:$G$200&lt;&gt;"moeda")*(Inputs!$G$5:$G$200&lt;&gt;"acoes")))*INDEX(Inputs!$K$5:$AJ$200,0,MATCH(AA$2,Inputs!$K$4:$AJ$4,0)))+SUMPRODUCT((Inputs!$E$5:$E$200=$B33)*Inputs!$F$5:$F$200*(((Inputs!$G$5:$G$200="moeda")+(Inputs!$G$5:$G$200="acoes"))*Inputs!$B$1+((Inputs!$G$5:$G$200&lt;&gt;"moeda")*(Inputs!$G$5:$G$200&lt;&gt;"acoes")))*INDEX(Inputs!$K$5:$AJ$200,0,MATCH(AA$2,Inputs!$K$4:$AJ$4,0)))))</f>
        <v>#N/A</v>
      </c>
      <c r="AB33" s="3" t="e">
        <f>AA33</f>
        <v>#N/A</v>
      </c>
      <c r="AC33" s="6" t="e">
        <f>IF(ISNA(MATCH(AC$2,Inputs!$K$4:$AJ$4,0)),NA(),IF(SUMPRODUCT((Inputs!$A$5:$A$200=$B33)*ISNUMBER(INDEX(Inputs!$K$5:$AJ$200,0,MATCH(AC$2,Inputs!$K$4:$AJ$4,0))))+SUMPRODUCT((Inputs!$C$5:$C$200=$B33)*ISNUMBER(INDEX(Inputs!$K$5:$AJ$200,0,MATCH(AC$2,Inputs!$K$4:$AJ$4,0))))+SUMPRODUCT((Inputs!$E$5:$E$200=$B33)*ISNUMBER(INDEX(Inputs!$K$5:$AJ$200,0,MATCH(AC$2,Inputs!$K$4:$AJ$4,0))))=0,NA(),SUMPRODUCT((Inputs!$A$5:$A$200=$B33)*Inputs!$B$5:$B$200*(((Inputs!$G$5:$G$200="moeda")+(Inputs!$G$5:$G$200="acoes"))*Inputs!$B$1+((Inputs!$G$5:$G$200&lt;&gt;"moeda")*(Inputs!$G$5:$G$200&lt;&gt;"acoes")))*INDEX(Inputs!$K$5:$AJ$200,0,MATCH(AC$2,Inputs!$K$4:$AJ$4,0)))+SUMPRODUCT((Inputs!$C$5:$C$200=$B33)*Inputs!$D$5:$D$200*(((Inputs!$G$5:$G$200="moeda")+(Inputs!$G$5:$G$200="acoes"))*Inputs!$B$1+((Inputs!$G$5:$G$200&lt;&gt;"moeda")*(Inputs!$G$5:$G$200&lt;&gt;"acoes")))*INDEX(Inputs!$K$5:$AJ$200,0,MATCH(AC$2,Inputs!$K$4:$AJ$4,0)))+SUMPRODUCT((Inputs!$E$5:$E$200=$B33)*Inputs!$F$5:$F$200*(((Inputs!$G$5:$G$200="moeda")+(Inputs!$G$5:$G$200="acoes"))*Inputs!$B$1+((Inputs!$G$5:$G$200&lt;&gt;"moeda")*(Inputs!$G$5:$G$200&lt;&gt;"acoes")))*INDEX(Inputs!$K$5:$AJ$200,0,MATCH(AC$2,Inputs!$K$4:$AJ$4,0)))))</f>
        <v>#N/A</v>
      </c>
      <c r="AD33" s="6" t="e">
        <f>IF(ISNA(MATCH(AD$2,Inputs!$K$4:$AJ$4,0)),NA(),IF(SUMPRODUCT((Inputs!$A$5:$A$200=$B33)*ISNUMBER(INDEX(Inputs!$K$5:$AJ$200,0,MATCH(AD$2,Inputs!$K$4:$AJ$4,0))))+SUMPRODUCT((Inputs!$C$5:$C$200=$B33)*ISNUMBER(INDEX(Inputs!$K$5:$AJ$200,0,MATCH(AD$2,Inputs!$K$4:$AJ$4,0))))+SUMPRODUCT((Inputs!$E$5:$E$200=$B33)*ISNUMBER(INDEX(Inputs!$K$5:$AJ$200,0,MATCH(AD$2,Inputs!$K$4:$AJ$4,0))))=0,NA(),SUMPRODUCT((Inputs!$A$5:$A$200=$B33)*Inputs!$B$5:$B$200*(((Inputs!$G$5:$G$200="moeda")+(Inputs!$G$5:$G$200="acoes"))*Inputs!$B$1+((Inputs!$G$5:$G$200&lt;&gt;"moeda")*(Inputs!$G$5:$G$200&lt;&gt;"acoes")))*INDEX(Inputs!$K$5:$AJ$200,0,MATCH(AD$2,Inputs!$K$4:$AJ$4,0)))+SUMPRODUCT((Inputs!$C$5:$C$200=$B33)*Inputs!$D$5:$D$200*(((Inputs!$G$5:$G$200="moeda")+(Inputs!$G$5:$G$200="acoes"))*Inputs!$B$1+((Inputs!$G$5:$G$200&lt;&gt;"moeda")*(Inputs!$G$5:$G$200&lt;&gt;"acoes")))*INDEX(Inputs!$K$5:$AJ$200,0,MATCH(AD$2,Inputs!$K$4:$AJ$4,0)))+SUMPRODUCT((Inputs!$E$5:$E$200=$B33)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33" s="6" t="e">
        <f>IF(ISNA(MATCH(AE$2,Inputs!$K$4:$AJ$4,0)),NA(),IF(SUMPRODUCT((Inputs!$A$5:$A$200=$B33)*ISNUMBER(INDEX(Inputs!$K$5:$AJ$200,0,MATCH(AE$2,Inputs!$K$4:$AJ$4,0))))+SUMPRODUCT((Inputs!$C$5:$C$200=$B33)*ISNUMBER(INDEX(Inputs!$K$5:$AJ$200,0,MATCH(AE$2,Inputs!$K$4:$AJ$4,0))))+SUMPRODUCT((Inputs!$E$5:$E$200=$B33)*ISNUMBER(INDEX(Inputs!$K$5:$AJ$200,0,MATCH(AE$2,Inputs!$K$4:$AJ$4,0))))=0,NA(),SUMPRODUCT((Inputs!$A$5:$A$200=$B33)*Inputs!$B$5:$B$200*(((Inputs!$G$5:$G$200="moeda")+(Inputs!$G$5:$G$200="acoes"))*Inputs!$B$1+((Inputs!$G$5:$G$200&lt;&gt;"moeda")*(Inputs!$G$5:$G$200&lt;&gt;"acoes")))*INDEX(Inputs!$K$5:$AJ$200,0,MATCH(AE$2,Inputs!$K$4:$AJ$4,0)))+SUMPRODUCT((Inputs!$C$5:$C$200=$B33)*Inputs!$D$5:$D$200*(((Inputs!$G$5:$G$200="moeda")+(Inputs!$G$5:$G$200="acoes"))*Inputs!$B$1+((Inputs!$G$5:$G$200&lt;&gt;"moeda")*(Inputs!$G$5:$G$200&lt;&gt;"acoes")))*INDEX(Inputs!$K$5:$AJ$200,0,MATCH(AE$2,Inputs!$K$4:$AJ$4,0)))+SUMPRODUCT((Inputs!$E$5:$E$200=$B33)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3" s="6" t="e">
        <f>IF(ISNA(MATCH(AF$2,Inputs!$K$4:$AJ$4,0)),NA(),IF(SUMPRODUCT((Inputs!$A$5:$A$200=$B33)*ISNUMBER(INDEX(Inputs!$K$5:$AJ$200,0,MATCH(AF$2,Inputs!$K$4:$AJ$4,0))))+SUMPRODUCT((Inputs!$C$5:$C$200=$B33)*ISNUMBER(INDEX(Inputs!$K$5:$AJ$200,0,MATCH(AF$2,Inputs!$K$4:$AJ$4,0))))+SUMPRODUCT((Inputs!$E$5:$E$200=$B33)*ISNUMBER(INDEX(Inputs!$K$5:$AJ$200,0,MATCH(AF$2,Inputs!$K$4:$AJ$4,0))))=0,NA(),SUMPRODUCT((Inputs!$A$5:$A$200=$B33)*Inputs!$B$5:$B$200*(((Inputs!$G$5:$G$200="moeda")+(Inputs!$G$5:$G$200="acoes"))*Inputs!$B$1+((Inputs!$G$5:$G$200&lt;&gt;"moeda")*(Inputs!$G$5:$G$200&lt;&gt;"acoes")))*INDEX(Inputs!$K$5:$AJ$200,0,MATCH(AF$2,Inputs!$K$4:$AJ$4,0)))+SUMPRODUCT((Inputs!$C$5:$C$200=$B33)*Inputs!$D$5:$D$200*(((Inputs!$G$5:$G$200="moeda")+(Inputs!$G$5:$G$200="acoes"))*Inputs!$B$1+((Inputs!$G$5:$G$200&lt;&gt;"moeda")*(Inputs!$G$5:$G$200&lt;&gt;"acoes")))*INDEX(Inputs!$K$5:$AJ$200,0,MATCH(AF$2,Inputs!$K$4:$AJ$4,0)))+SUMPRODUCT((Inputs!$E$5:$E$200=$B33)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3" s="3" t="e">
        <f>AF33</f>
        <v>#N/A</v>
      </c>
      <c r="AH33" s="6" t="e">
        <f>IF(ISNA(MATCH(AH$2,Inputs!$K$4:$AJ$4,0)),NA(),IF(SUMPRODUCT((Inputs!$A$5:$A$200=$B33)*ISNUMBER(INDEX(Inputs!$K$5:$AJ$200,0,MATCH(AH$2,Inputs!$K$4:$AJ$4,0))))+SUMPRODUCT((Inputs!$C$5:$C$200=$B33)*ISNUMBER(INDEX(Inputs!$K$5:$AJ$200,0,MATCH(AH$2,Inputs!$K$4:$AJ$4,0))))+SUMPRODUCT((Inputs!$E$5:$E$200=$B33)*ISNUMBER(INDEX(Inputs!$K$5:$AJ$200,0,MATCH(AH$2,Inputs!$K$4:$AJ$4,0))))=0,NA(),SUMPRODUCT((Inputs!$A$5:$A$200=$B33)*Inputs!$B$5:$B$200*(((Inputs!$G$5:$G$200="moeda")+(Inputs!$G$5:$G$200="acoes"))*Inputs!$B$1+((Inputs!$G$5:$G$200&lt;&gt;"moeda")*(Inputs!$G$5:$G$200&lt;&gt;"acoes")))*INDEX(Inputs!$K$5:$AJ$200,0,MATCH(AH$2,Inputs!$K$4:$AJ$4,0)))+SUMPRODUCT((Inputs!$C$5:$C$200=$B33)*Inputs!$D$5:$D$200*(((Inputs!$G$5:$G$200="moeda")+(Inputs!$G$5:$G$200="acoes"))*Inputs!$B$1+((Inputs!$G$5:$G$200&lt;&gt;"moeda")*(Inputs!$G$5:$G$200&lt;&gt;"acoes")))*INDEX(Inputs!$K$5:$AJ$200,0,MATCH(AH$2,Inputs!$K$4:$AJ$4,0)))+SUMPRODUCT((Inputs!$E$5:$E$200=$B33)*Inputs!$F$5:$F$200*(((Inputs!$G$5:$G$200="moeda")+(Inputs!$G$5:$G$200="acoes"))*Inputs!$B$1+((Inputs!$G$5:$G$200&lt;&gt;"moeda")*(Inputs!$G$5:$G$200&lt;&gt;"acoes")))*INDEX(Inputs!$K$5:$AJ$200,0,MATCH(AH$2,Inputs!$K$4:$AJ$4,0)))))</f>
        <v>#N/A</v>
      </c>
      <c r="AI33" s="6" t="e">
        <f>IF(ISNA(MATCH(AI$2,Inputs!$K$4:$AJ$4,0)),NA(),IF(SUMPRODUCT((Inputs!$A$5:$A$200=$B33)*ISNUMBER(INDEX(Inputs!$K$5:$AJ$200,0,MATCH(AI$2,Inputs!$K$4:$AJ$4,0))))+SUMPRODUCT((Inputs!$C$5:$C$200=$B33)*ISNUMBER(INDEX(Inputs!$K$5:$AJ$200,0,MATCH(AI$2,Inputs!$K$4:$AJ$4,0))))+SUMPRODUCT((Inputs!$E$5:$E$200=$B33)*ISNUMBER(INDEX(Inputs!$K$5:$AJ$200,0,MATCH(AI$2,Inputs!$K$4:$AJ$4,0))))=0,NA(),SUMPRODUCT((Inputs!$A$5:$A$200=$B33)*Inputs!$B$5:$B$200*(((Inputs!$G$5:$G$200="moeda")+(Inputs!$G$5:$G$200="acoes"))*Inputs!$B$1+((Inputs!$G$5:$G$200&lt;&gt;"moeda")*(Inputs!$G$5:$G$200&lt;&gt;"acoes")))*INDEX(Inputs!$K$5:$AJ$200,0,MATCH(AI$2,Inputs!$K$4:$AJ$4,0)))+SUMPRODUCT((Inputs!$C$5:$C$200=$B33)*Inputs!$D$5:$D$200*(((Inputs!$G$5:$G$200="moeda")+(Inputs!$G$5:$G$200="acoes"))*Inputs!$B$1+((Inputs!$G$5:$G$200&lt;&gt;"moeda")*(Inputs!$G$5:$G$200&lt;&gt;"acoes")))*INDEX(Inputs!$K$5:$AJ$200,0,MATCH(AI$2,Inputs!$K$4:$AJ$4,0)))+SUMPRODUCT((Inputs!$E$5:$E$200=$B33)*Inputs!$F$5:$F$200*(((Inputs!$G$5:$G$200="moeda")+(Inputs!$G$5:$G$200="acoes"))*Inputs!$B$1+((Inputs!$G$5:$G$200&lt;&gt;"moeda")*(Inputs!$G$5:$G$200&lt;&gt;"acoes")))*INDEX(Inputs!$K$5:$AJ$200,0,MATCH(AI$2,Inputs!$K$4:$AJ$4,0)))))</f>
        <v>#N/A</v>
      </c>
      <c r="AJ33" s="6" t="e">
        <f>IF(ISNA(MATCH(AJ$2,Inputs!$K$4:$AJ$4,0)),NA(),IF(SUMPRODUCT((Inputs!$A$5:$A$200=$B33)*ISNUMBER(INDEX(Inputs!$K$5:$AJ$200,0,MATCH(AJ$2,Inputs!$K$4:$AJ$4,0))))+SUMPRODUCT((Inputs!$C$5:$C$200=$B33)*ISNUMBER(INDEX(Inputs!$K$5:$AJ$200,0,MATCH(AJ$2,Inputs!$K$4:$AJ$4,0))))+SUMPRODUCT((Inputs!$E$5:$E$200=$B33)*ISNUMBER(INDEX(Inputs!$K$5:$AJ$200,0,MATCH(AJ$2,Inputs!$K$4:$AJ$4,0))))=0,NA(),SUMPRODUCT((Inputs!$A$5:$A$200=$B33)*Inputs!$B$5:$B$200*(((Inputs!$G$5:$G$200="moeda")+(Inputs!$G$5:$G$200="acoes"))*Inputs!$B$1+((Inputs!$G$5:$G$200&lt;&gt;"moeda")*(Inputs!$G$5:$G$200&lt;&gt;"acoes")))*INDEX(Inputs!$K$5:$AJ$200,0,MATCH(AJ$2,Inputs!$K$4:$AJ$4,0)))+SUMPRODUCT((Inputs!$C$5:$C$200=$B33)*Inputs!$D$5:$D$200*(((Inputs!$G$5:$G$200="moeda")+(Inputs!$G$5:$G$200="acoes"))*Inputs!$B$1+((Inputs!$G$5:$G$200&lt;&gt;"moeda")*(Inputs!$G$5:$G$200&lt;&gt;"acoes")))*INDEX(Inputs!$K$5:$AJ$200,0,MATCH(AJ$2,Inputs!$K$4:$AJ$4,0)))+SUMPRODUCT((Inputs!$E$5:$E$200=$B33)*Inputs!$F$5:$F$200*(((Inputs!$G$5:$G$200="moeda")+(Inputs!$G$5:$G$200="acoes"))*Inputs!$B$1+((Inputs!$G$5:$G$200&lt;&gt;"moeda")*(Inputs!$G$5:$G$200&lt;&gt;"acoes")))*INDEX(Inputs!$K$5:$AJ$200,0,MATCH(AJ$2,Inputs!$K$4:$AJ$4,0)))))</f>
        <v>#N/A</v>
      </c>
      <c r="AK33" s="6" t="e">
        <f>IF(ISNA(MATCH(AK$2,Inputs!$K$4:$AJ$4,0)),NA(),IF(SUMPRODUCT((Inputs!$A$5:$A$200=$B33)*ISNUMBER(INDEX(Inputs!$K$5:$AJ$200,0,MATCH(AK$2,Inputs!$K$4:$AJ$4,0))))+SUMPRODUCT((Inputs!$C$5:$C$200=$B33)*ISNUMBER(INDEX(Inputs!$K$5:$AJ$200,0,MATCH(AK$2,Inputs!$K$4:$AJ$4,0))))+SUMPRODUCT((Inputs!$E$5:$E$200=$B33)*ISNUMBER(INDEX(Inputs!$K$5:$AJ$200,0,MATCH(AK$2,Inputs!$K$4:$AJ$4,0))))=0,NA(),SUMPRODUCT((Inputs!$A$5:$A$200=$B33)*Inputs!$B$5:$B$200*(((Inputs!$G$5:$G$200="moeda")+(Inputs!$G$5:$G$200="acoes"))*Inputs!$B$1+((Inputs!$G$5:$G$200&lt;&gt;"moeda")*(Inputs!$G$5:$G$200&lt;&gt;"acoes")))*INDEX(Inputs!$K$5:$AJ$200,0,MATCH(AK$2,Inputs!$K$4:$AJ$4,0)))+SUMPRODUCT((Inputs!$C$5:$C$200=$B33)*Inputs!$D$5:$D$200*(((Inputs!$G$5:$G$200="moeda")+(Inputs!$G$5:$G$200="acoes"))*Inputs!$B$1+((Inputs!$G$5:$G$200&lt;&gt;"moeda")*(Inputs!$G$5:$G$200&lt;&gt;"acoes")))*INDEX(Inputs!$K$5:$AJ$200,0,MATCH(AK$2,Inputs!$K$4:$AJ$4,0)))+SUMPRODUCT((Inputs!$E$5:$E$200=$B33)*Inputs!$F$5:$F$200*(((Inputs!$G$5:$G$200="moeda")+(Inputs!$G$5:$G$200="acoes"))*Inputs!$B$1+((Inputs!$G$5:$G$200&lt;&gt;"moeda")*(Inputs!$G$5:$G$200&lt;&gt;"acoes")))*INDEX(Inputs!$K$5:$AJ$200,0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$200=$B34)*ISNUMBER(INDEX(Inputs!$K$5:$AJ$200,0,MATCH(D$2,Inputs!$K$4:$AJ$4,0))))+SUMPRODUCT((Inputs!$C$5:$C$200=$B34)*ISNUMBER(INDEX(Inputs!$K$5:$AJ$200,0,MATCH(D$2,Inputs!$K$4:$AJ$4,0))))+SUMPRODUCT((Inputs!$E$5:$E$200=$B34)*ISNUMBER(INDEX(Inputs!$K$5:$AJ$200,0,MATCH(D$2,Inputs!$K$4:$AJ$4,0))))=0,NA(),SUMPRODUCT((Inputs!$A$5:$A$200=$B34)*Inputs!$B$5:$B$200*(((Inputs!$G$5:$G$200="moeda")+(Inputs!$G$5:$G$200="acoes"))*Inputs!$B$1+((Inputs!$G$5:$G$200&lt;&gt;"moeda")*(Inputs!$G$5:$G$200&lt;&gt;"acoes")))*INDEX(Inputs!$K$5:$AJ$200,0,MATCH(D$2,Inputs!$K$4:$AJ$4,0)))+SUMPRODUCT((Inputs!$C$5:$C$200=$B34)*Inputs!$D$5:$D$200*(((Inputs!$G$5:$G$200="moeda")+(Inputs!$G$5:$G$200="acoes"))*Inputs!$B$1+((Inputs!$G$5:$G$200&lt;&gt;"moeda")*(Inputs!$G$5:$G$200&lt;&gt;"acoes")))*INDEX(Inputs!$K$5:$AJ$200,0,MATCH(D$2,Inputs!$K$4:$AJ$4,0)))+SUMPRODUCT((Inputs!$E$5:$E$200=$B34)*Inputs!$F$5:$F$200*(((Inputs!$G$5:$G$200="moeda")+(Inputs!$G$5:$G$200="acoes"))*Inputs!$B$1+((Inputs!$G$5:$G$200&lt;&gt;"moeda")*(Inputs!$G$5:$G$200&lt;&gt;"acoes")))*INDEX(Inputs!$K$5:$AJ$200,0,MATCH(D$2,Inputs!$K$4:$AJ$4,0)))))</f>
        <v>9.229</v>
      </c>
      <c r="E34" s="6">
        <f>IF(ISNA(MATCH(E$2,Inputs!$K$4:$AJ$4,0)),NA(),IF(SUMPRODUCT((Inputs!$A$5:$A$200=$B34)*ISNUMBER(INDEX(Inputs!$K$5:$AJ$200,0,MATCH(E$2,Inputs!$K$4:$AJ$4,0))))+SUMPRODUCT((Inputs!$C$5:$C$200=$B34)*ISNUMBER(INDEX(Inputs!$K$5:$AJ$200,0,MATCH(E$2,Inputs!$K$4:$AJ$4,0))))+SUMPRODUCT((Inputs!$E$5:$E$200=$B34)*ISNUMBER(INDEX(Inputs!$K$5:$AJ$200,0,MATCH(E$2,Inputs!$K$4:$AJ$4,0))))=0,NA(),SUMPRODUCT((Inputs!$A$5:$A$200=$B34)*Inputs!$B$5:$B$200*(((Inputs!$G$5:$G$200="moeda")+(Inputs!$G$5:$G$200="acoes"))*Inputs!$B$1+((Inputs!$G$5:$G$200&lt;&gt;"moeda")*(Inputs!$G$5:$G$200&lt;&gt;"acoes")))*INDEX(Inputs!$K$5:$AJ$200,0,MATCH(E$2,Inputs!$K$4:$AJ$4,0)))+SUMPRODUCT((Inputs!$C$5:$C$200=$B34)*Inputs!$D$5:$D$200*(((Inputs!$G$5:$G$200="moeda")+(Inputs!$G$5:$G$200="acoes"))*Inputs!$B$1+((Inputs!$G$5:$G$200&lt;&gt;"moeda")*(Inputs!$G$5:$G$200&lt;&gt;"acoes")))*INDEX(Inputs!$K$5:$AJ$200,0,MATCH(E$2,Inputs!$K$4:$AJ$4,0)))+SUMPRODUCT((Inputs!$E$5:$E$200=$B34)*Inputs!$F$5:$F$200*(((Inputs!$G$5:$G$200="moeda")+(Inputs!$G$5:$G$200="acoes"))*Inputs!$B$1+((Inputs!$G$5:$G$200&lt;&gt;"moeda")*(Inputs!$G$5:$G$200&lt;&gt;"acoes")))*INDEX(Inputs!$K$5:$AJ$200,0,MATCH(E$2,Inputs!$K$4:$AJ$4,0)))))</f>
        <v>10.401</v>
      </c>
      <c r="F34" s="6">
        <f>IF(ISNA(MATCH(F$2,Inputs!$K$4:$AJ$4,0)),NA(),IF(SUMPRODUCT((Inputs!$A$5:$A$200=$B34)*ISNUMBER(INDEX(Inputs!$K$5:$AJ$200,0,MATCH(F$2,Inputs!$K$4:$AJ$4,0))))+SUMPRODUCT((Inputs!$C$5:$C$200=$B34)*ISNUMBER(INDEX(Inputs!$K$5:$AJ$200,0,MATCH(F$2,Inputs!$K$4:$AJ$4,0))))+SUMPRODUCT((Inputs!$E$5:$E$200=$B34)*ISNUMBER(INDEX(Inputs!$K$5:$AJ$200,0,MATCH(F$2,Inputs!$K$4:$AJ$4,0))))=0,NA(),SUMPRODUCT((Inputs!$A$5:$A$200=$B34)*Inputs!$B$5:$B$200*(((Inputs!$G$5:$G$200="moeda")+(Inputs!$G$5:$G$200="acoes"))*Inputs!$B$1+((Inputs!$G$5:$G$200&lt;&gt;"moeda")*(Inputs!$G$5:$G$200&lt;&gt;"acoes")))*INDEX(Inputs!$K$5:$AJ$200,0,MATCH(F$2,Inputs!$K$4:$AJ$4,0)))+SUMPRODUCT((Inputs!$C$5:$C$200=$B34)*Inputs!$D$5:$D$200*(((Inputs!$G$5:$G$200="moeda")+(Inputs!$G$5:$G$200="acoes"))*Inputs!$B$1+((Inputs!$G$5:$G$200&lt;&gt;"moeda")*(Inputs!$G$5:$G$200&lt;&gt;"acoes")))*INDEX(Inputs!$K$5:$AJ$200,0,MATCH(F$2,Inputs!$K$4:$AJ$4,0)))+SUMPRODUCT((Inputs!$E$5:$E$200=$B34)*Inputs!$F$5:$F$200*(((Inputs!$G$5:$G$200="moeda")+(Inputs!$G$5:$G$200="acoes"))*Inputs!$B$1+((Inputs!$G$5:$G$200&lt;&gt;"moeda")*(Inputs!$G$5:$G$200&lt;&gt;"acoes")))*INDEX(Inputs!$K$5:$AJ$200,0,MATCH(F$2,Inputs!$K$4:$AJ$4,0)))))</f>
        <v>12.007</v>
      </c>
      <c r="G34" s="6">
        <f>IF(ISNA(MATCH(G$2,Inputs!$K$4:$AJ$4,0)),NA(),IF(SUMPRODUCT((Inputs!$A$5:$A$200=$B34)*ISNUMBER(INDEX(Inputs!$K$5:$AJ$200,0,MATCH(G$2,Inputs!$K$4:$AJ$4,0))))+SUMPRODUCT((Inputs!$C$5:$C$200=$B34)*ISNUMBER(INDEX(Inputs!$K$5:$AJ$200,0,MATCH(G$2,Inputs!$K$4:$AJ$4,0))))+SUMPRODUCT((Inputs!$E$5:$E$200=$B34)*ISNUMBER(INDEX(Inputs!$K$5:$AJ$200,0,MATCH(G$2,Inputs!$K$4:$AJ$4,0))))=0,NA(),SUMPRODUCT((Inputs!$A$5:$A$200=$B34)*Inputs!$B$5:$B$200*(((Inputs!$G$5:$G$200="moeda")+(Inputs!$G$5:$G$200="acoes"))*Inputs!$B$1+((Inputs!$G$5:$G$200&lt;&gt;"moeda")*(Inputs!$G$5:$G$200&lt;&gt;"acoes")))*INDEX(Inputs!$K$5:$AJ$200,0,MATCH(G$2,Inputs!$K$4:$AJ$4,0)))+SUMPRODUCT((Inputs!$C$5:$C$200=$B34)*Inputs!$D$5:$D$200*(((Inputs!$G$5:$G$200="moeda")+(Inputs!$G$5:$G$200="acoes"))*Inputs!$B$1+((Inputs!$G$5:$G$200&lt;&gt;"moeda")*(Inputs!$G$5:$G$200&lt;&gt;"acoes")))*INDEX(Inputs!$K$5:$AJ$200,0,MATCH(G$2,Inputs!$K$4:$AJ$4,0)))+SUMPRODUCT((Inputs!$E$5:$E$200=$B34)*Inputs!$F$5:$F$200*(((Inputs!$G$5:$G$200="moeda")+(Inputs!$G$5:$G$200="acoes"))*Inputs!$B$1+((Inputs!$G$5:$G$200&lt;&gt;"moeda")*(Inputs!$G$5:$G$200&lt;&gt;"acoes")))*INDEX(Inputs!$K$5:$AJ$200,0,MATCH(G$2,Inputs!$K$4:$AJ$4,0)))))</f>
        <v>9.526</v>
      </c>
      <c r="H34" s="3">
        <f>G34</f>
        <v>9.526</v>
      </c>
      <c r="I34" s="6">
        <f>IF(ISNA(MATCH(I$2,Inputs!$K$4:$AJ$4,0)),NA(),IF(SUMPRODUCT((Inputs!$A$5:$A$200=$B34)*ISNUMBER(INDEX(Inputs!$K$5:$AJ$200,0,MATCH(I$2,Inputs!$K$4:$AJ$4,0))))+SUMPRODUCT((Inputs!$C$5:$C$200=$B34)*ISNUMBER(INDEX(Inputs!$K$5:$AJ$200,0,MATCH(I$2,Inputs!$K$4:$AJ$4,0))))+SUMPRODUCT((Inputs!$E$5:$E$200=$B34)*ISNUMBER(INDEX(Inputs!$K$5:$AJ$200,0,MATCH(I$2,Inputs!$K$4:$AJ$4,0))))=0,NA(),SUMPRODUCT((Inputs!$A$5:$A$200=$B34)*Inputs!$B$5:$B$200*(((Inputs!$G$5:$G$200="moeda")+(Inputs!$G$5:$G$200="acoes"))*Inputs!$B$1+((Inputs!$G$5:$G$200&lt;&gt;"moeda")*(Inputs!$G$5:$G$200&lt;&gt;"acoes")))*INDEX(Inputs!$K$5:$AJ$200,0,MATCH(I$2,Inputs!$K$4:$AJ$4,0)))+SUMPRODUCT((Inputs!$C$5:$C$200=$B34)*Inputs!$D$5:$D$200*(((Inputs!$G$5:$G$200="moeda")+(Inputs!$G$5:$G$200="acoes"))*Inputs!$B$1+((Inputs!$G$5:$G$200&lt;&gt;"moeda")*(Inputs!$G$5:$G$200&lt;&gt;"acoes")))*INDEX(Inputs!$K$5:$AJ$200,0,MATCH(I$2,Inputs!$K$4:$AJ$4,0)))+SUMPRODUCT((Inputs!$E$5:$E$200=$B34)*Inputs!$F$5:$F$200*(((Inputs!$G$5:$G$200="moeda")+(Inputs!$G$5:$G$200="acoes"))*Inputs!$B$1+((Inputs!$G$5:$G$200&lt;&gt;"moeda")*(Inputs!$G$5:$G$200&lt;&gt;"acoes")))*INDEX(Inputs!$K$5:$AJ$200,0,MATCH(I$2,Inputs!$K$4:$AJ$4,0)))))</f>
        <v>10.609</v>
      </c>
      <c r="J34" s="6">
        <f>IF(ISNA(MATCH(J$2,Inputs!$K$4:$AJ$4,0)),NA(),IF(SUMPRODUCT((Inputs!$A$5:$A$200=$B34)*ISNUMBER(INDEX(Inputs!$K$5:$AJ$200,0,MATCH(J$2,Inputs!$K$4:$AJ$4,0))))+SUMPRODUCT((Inputs!$C$5:$C$200=$B34)*ISNUMBER(INDEX(Inputs!$K$5:$AJ$200,0,MATCH(J$2,Inputs!$K$4:$AJ$4,0))))+SUMPRODUCT((Inputs!$E$5:$E$200=$B34)*ISNUMBER(INDEX(Inputs!$K$5:$AJ$200,0,MATCH(J$2,Inputs!$K$4:$AJ$4,0))))=0,NA(),SUMPRODUCT((Inputs!$A$5:$A$200=$B34)*Inputs!$B$5:$B$200*(((Inputs!$G$5:$G$200="moeda")+(Inputs!$G$5:$G$200="acoes"))*Inputs!$B$1+((Inputs!$G$5:$G$200&lt;&gt;"moeda")*(Inputs!$G$5:$G$200&lt;&gt;"acoes")))*INDEX(Inputs!$K$5:$AJ$200,0,MATCH(J$2,Inputs!$K$4:$AJ$4,0)))+SUMPRODUCT((Inputs!$C$5:$C$200=$B34)*Inputs!$D$5:$D$200*(((Inputs!$G$5:$G$200="moeda")+(Inputs!$G$5:$G$200="acoes"))*Inputs!$B$1+((Inputs!$G$5:$G$200&lt;&gt;"moeda")*(Inputs!$G$5:$G$200&lt;&gt;"acoes")))*INDEX(Inputs!$K$5:$AJ$200,0,MATCH(J$2,Inputs!$K$4:$AJ$4,0)))+SUMPRODUCT((Inputs!$E$5:$E$200=$B34)*Inputs!$F$5:$F$200*(((Inputs!$G$5:$G$200="moeda")+(Inputs!$G$5:$G$200="acoes"))*Inputs!$B$1+((Inputs!$G$5:$G$200&lt;&gt;"moeda")*(Inputs!$G$5:$G$200&lt;&gt;"acoes")))*INDEX(Inputs!$K$5:$AJ$200,0,MATCH(J$2,Inputs!$K$4:$AJ$4,0)))))</f>
        <v>13.717</v>
      </c>
      <c r="K34" s="6">
        <f>IF(ISNA(MATCH(K$2,Inputs!$K$4:$AJ$4,0)),NA(),IF(SUMPRODUCT((Inputs!$A$5:$A$200=$B34)*ISNUMBER(INDEX(Inputs!$K$5:$AJ$200,0,MATCH(K$2,Inputs!$K$4:$AJ$4,0))))+SUMPRODUCT((Inputs!$C$5:$C$200=$B34)*ISNUMBER(INDEX(Inputs!$K$5:$AJ$200,0,MATCH(K$2,Inputs!$K$4:$AJ$4,0))))+SUMPRODUCT((Inputs!$E$5:$E$200=$B34)*ISNUMBER(INDEX(Inputs!$K$5:$AJ$200,0,MATCH(K$2,Inputs!$K$4:$AJ$4,0))))=0,NA(),SUMPRODUCT((Inputs!$A$5:$A$200=$B34)*Inputs!$B$5:$B$200*(((Inputs!$G$5:$G$200="moeda")+(Inputs!$G$5:$G$200="acoes"))*Inputs!$B$1+((Inputs!$G$5:$G$200&lt;&gt;"moeda")*(Inputs!$G$5:$G$200&lt;&gt;"acoes")))*INDEX(Inputs!$K$5:$AJ$200,0,MATCH(K$2,Inputs!$K$4:$AJ$4,0)))+SUMPRODUCT((Inputs!$C$5:$C$200=$B34)*Inputs!$D$5:$D$200*(((Inputs!$G$5:$G$200="moeda")+(Inputs!$G$5:$G$200="acoes"))*Inputs!$B$1+((Inputs!$G$5:$G$200&lt;&gt;"moeda")*(Inputs!$G$5:$G$200&lt;&gt;"acoes")))*INDEX(Inputs!$K$5:$AJ$200,0,MATCH(K$2,Inputs!$K$4:$AJ$4,0)))+SUMPRODUCT((Inputs!$E$5:$E$200=$B34)*Inputs!$F$5:$F$200*(((Inputs!$G$5:$G$200="moeda")+(Inputs!$G$5:$G$200="acoes"))*Inputs!$B$1+((Inputs!$G$5:$G$200&lt;&gt;"moeda")*(Inputs!$G$5:$G$200&lt;&gt;"acoes")))*INDEX(Inputs!$K$5:$AJ$200,0,MATCH(K$2,Inputs!$K$4:$AJ$4,0)))))</f>
        <v>29.34</v>
      </c>
      <c r="L34" s="6">
        <f>IF(ISNA(MATCH(L$2,Inputs!$K$4:$AJ$4,0)),NA(),IF(SUMPRODUCT((Inputs!$A$5:$A$200=$B34)*ISNUMBER(INDEX(Inputs!$K$5:$AJ$200,0,MATCH(L$2,Inputs!$K$4:$AJ$4,0))))+SUMPRODUCT((Inputs!$C$5:$C$200=$B34)*ISNUMBER(INDEX(Inputs!$K$5:$AJ$200,0,MATCH(L$2,Inputs!$K$4:$AJ$4,0))))+SUMPRODUCT((Inputs!$E$5:$E$200=$B34)*ISNUMBER(INDEX(Inputs!$K$5:$AJ$200,0,MATCH(L$2,Inputs!$K$4:$AJ$4,0))))=0,NA(),SUMPRODUCT((Inputs!$A$5:$A$200=$B34)*Inputs!$B$5:$B$200*(((Inputs!$G$5:$G$200="moeda")+(Inputs!$G$5:$G$200="acoes"))*Inputs!$B$1+((Inputs!$G$5:$G$200&lt;&gt;"moeda")*(Inputs!$G$5:$G$200&lt;&gt;"acoes")))*INDEX(Inputs!$K$5:$AJ$200,0,MATCH(L$2,Inputs!$K$4:$AJ$4,0)))+SUMPRODUCT((Inputs!$C$5:$C$200=$B34)*Inputs!$D$5:$D$200*(((Inputs!$G$5:$G$200="moeda")+(Inputs!$G$5:$G$200="acoes"))*Inputs!$B$1+((Inputs!$G$5:$G$200&lt;&gt;"moeda")*(Inputs!$G$5:$G$200&lt;&gt;"acoes")))*INDEX(Inputs!$K$5:$AJ$200,0,MATCH(L$2,Inputs!$K$4:$AJ$4,0)))+SUMPRODUCT((Inputs!$E$5:$E$200=$B34)*Inputs!$F$5:$F$200*(((Inputs!$G$5:$G$200="moeda")+(Inputs!$G$5:$G$200="acoes"))*Inputs!$B$1+((Inputs!$G$5:$G$200&lt;&gt;"moeda")*(Inputs!$G$5:$G$200&lt;&gt;"acoes")))*INDEX(Inputs!$K$5:$AJ$200,0,MATCH(L$2,Inputs!$K$4:$AJ$4,0)))))</f>
        <v>15.211</v>
      </c>
      <c r="M34" s="3">
        <f>L34</f>
        <v>15.211</v>
      </c>
      <c r="N34" s="6">
        <f>IF(ISNA(MATCH(N$2,Inputs!$K$4:$AJ$4,0)),NA(),IF(SUMPRODUCT((Inputs!$A$5:$A$200=$B34)*ISNUMBER(INDEX(Inputs!$K$5:$AJ$200,0,MATCH(N$2,Inputs!$K$4:$AJ$4,0))))+SUMPRODUCT((Inputs!$C$5:$C$200=$B34)*ISNUMBER(INDEX(Inputs!$K$5:$AJ$200,0,MATCH(N$2,Inputs!$K$4:$AJ$4,0))))+SUMPRODUCT((Inputs!$E$5:$E$200=$B34)*ISNUMBER(INDEX(Inputs!$K$5:$AJ$200,0,MATCH(N$2,Inputs!$K$4:$AJ$4,0))))=0,NA(),SUMPRODUCT((Inputs!$A$5:$A$200=$B34)*Inputs!$B$5:$B$200*(((Inputs!$G$5:$G$200="moeda")+(Inputs!$G$5:$G$200="acoes"))*Inputs!$B$1+((Inputs!$G$5:$G$200&lt;&gt;"moeda")*(Inputs!$G$5:$G$200&lt;&gt;"acoes")))*INDEX(Inputs!$K$5:$AJ$200,0,MATCH(N$2,Inputs!$K$4:$AJ$4,0)))+SUMPRODUCT((Inputs!$C$5:$C$200=$B34)*Inputs!$D$5:$D$200*(((Inputs!$G$5:$G$200="moeda")+(Inputs!$G$5:$G$200="acoes"))*Inputs!$B$1+((Inputs!$G$5:$G$200&lt;&gt;"moeda")*(Inputs!$G$5:$G$200&lt;&gt;"acoes")))*INDEX(Inputs!$K$5:$AJ$200,0,MATCH(N$2,Inputs!$K$4:$AJ$4,0)))+SUMPRODUCT((Inputs!$E$5:$E$200=$B34)*Inputs!$F$5:$F$200*(((Inputs!$G$5:$G$200="moeda")+(Inputs!$G$5:$G$200="acoes"))*Inputs!$B$1+((Inputs!$G$5:$G$200&lt;&gt;"moeda")*(Inputs!$G$5:$G$200&lt;&gt;"acoes")))*INDEX(Inputs!$K$5:$AJ$200,0,MATCH(N$2,Inputs!$K$4:$AJ$4,0)))))</f>
        <v>6.587</v>
      </c>
      <c r="O34" s="6">
        <f>IF(ISNA(MATCH(O$2,Inputs!$K$4:$AJ$4,0)),NA(),IF(SUMPRODUCT((Inputs!$A$5:$A$200=$B34)*ISNUMBER(INDEX(Inputs!$K$5:$AJ$200,0,MATCH(O$2,Inputs!$K$4:$AJ$4,0))))+SUMPRODUCT((Inputs!$C$5:$C$200=$B34)*ISNUMBER(INDEX(Inputs!$K$5:$AJ$200,0,MATCH(O$2,Inputs!$K$4:$AJ$4,0))))+SUMPRODUCT((Inputs!$E$5:$E$200=$B34)*ISNUMBER(INDEX(Inputs!$K$5:$AJ$200,0,MATCH(O$2,Inputs!$K$4:$AJ$4,0))))=0,NA(),SUMPRODUCT((Inputs!$A$5:$A$200=$B34)*Inputs!$B$5:$B$200*(((Inputs!$G$5:$G$200="moeda")+(Inputs!$G$5:$G$200="acoes"))*Inputs!$B$1+((Inputs!$G$5:$G$200&lt;&gt;"moeda")*(Inputs!$G$5:$G$200&lt;&gt;"acoes")))*INDEX(Inputs!$K$5:$AJ$200,0,MATCH(O$2,Inputs!$K$4:$AJ$4,0)))+SUMPRODUCT((Inputs!$C$5:$C$200=$B34)*Inputs!$D$5:$D$200*(((Inputs!$G$5:$G$200="moeda")+(Inputs!$G$5:$G$200="acoes"))*Inputs!$B$1+((Inputs!$G$5:$G$200&lt;&gt;"moeda")*(Inputs!$G$5:$G$200&lt;&gt;"acoes")))*INDEX(Inputs!$K$5:$AJ$200,0,MATCH(O$2,Inputs!$K$4:$AJ$4,0)))+SUMPRODUCT((Inputs!$E$5:$E$200=$B34)*Inputs!$F$5:$F$200*(((Inputs!$G$5:$G$200="moeda")+(Inputs!$G$5:$G$200="acoes"))*Inputs!$B$1+((Inputs!$G$5:$G$200&lt;&gt;"moeda")*(Inputs!$G$5:$G$200&lt;&gt;"acoes")))*INDEX(Inputs!$K$5:$AJ$200,0,MATCH(O$2,Inputs!$K$4:$AJ$4,0)))))</f>
        <v>26.872</v>
      </c>
      <c r="P34" s="6">
        <f>IF(ISNA(MATCH(P$2,Inputs!$K$4:$AJ$4,0)),NA(),IF(SUMPRODUCT((Inputs!$A$5:$A$200=$B34)*ISNUMBER(INDEX(Inputs!$K$5:$AJ$200,0,MATCH(P$2,Inputs!$K$4:$AJ$4,0))))+SUMPRODUCT((Inputs!$C$5:$C$200=$B34)*ISNUMBER(INDEX(Inputs!$K$5:$AJ$200,0,MATCH(P$2,Inputs!$K$4:$AJ$4,0))))+SUMPRODUCT((Inputs!$E$5:$E$200=$B34)*ISNUMBER(INDEX(Inputs!$K$5:$AJ$200,0,MATCH(P$2,Inputs!$K$4:$AJ$4,0))))=0,NA(),SUMPRODUCT((Inputs!$A$5:$A$200=$B34)*Inputs!$B$5:$B$200*(((Inputs!$G$5:$G$200="moeda")+(Inputs!$G$5:$G$200="acoes"))*Inputs!$B$1+((Inputs!$G$5:$G$200&lt;&gt;"moeda")*(Inputs!$G$5:$G$200&lt;&gt;"acoes")))*INDEX(Inputs!$K$5:$AJ$200,0,MATCH(P$2,Inputs!$K$4:$AJ$4,0)))+SUMPRODUCT((Inputs!$C$5:$C$200=$B34)*Inputs!$D$5:$D$200*(((Inputs!$G$5:$G$200="moeda")+(Inputs!$G$5:$G$200="acoes"))*Inputs!$B$1+((Inputs!$G$5:$G$200&lt;&gt;"moeda")*(Inputs!$G$5:$G$200&lt;&gt;"acoes")))*INDEX(Inputs!$K$5:$AJ$200,0,MATCH(P$2,Inputs!$K$4:$AJ$4,0)))+SUMPRODUCT((Inputs!$E$5:$E$200=$B34)*Inputs!$F$5:$F$200*(((Inputs!$G$5:$G$200="moeda")+(Inputs!$G$5:$G$200="acoes"))*Inputs!$B$1+((Inputs!$G$5:$G$200&lt;&gt;"moeda")*(Inputs!$G$5:$G$200&lt;&gt;"acoes")))*INDEX(Inputs!$K$5:$AJ$200,0,MATCH(P$2,Inputs!$K$4:$AJ$4,0)))))</f>
        <v>23.947</v>
      </c>
      <c r="Q34" s="6">
        <f>IF(ISNA(MATCH(Q$2,Inputs!$K$4:$AJ$4,0)),NA(),IF(SUMPRODUCT((Inputs!$A$5:$A$200=$B34)*ISNUMBER(INDEX(Inputs!$K$5:$AJ$200,0,MATCH(Q$2,Inputs!$K$4:$AJ$4,0))))+SUMPRODUCT((Inputs!$C$5:$C$200=$B34)*ISNUMBER(INDEX(Inputs!$K$5:$AJ$200,0,MATCH(Q$2,Inputs!$K$4:$AJ$4,0))))+SUMPRODUCT((Inputs!$E$5:$E$200=$B34)*ISNUMBER(INDEX(Inputs!$K$5:$AJ$200,0,MATCH(Q$2,Inputs!$K$4:$AJ$4,0))))=0,NA(),SUMPRODUCT((Inputs!$A$5:$A$200=$B34)*Inputs!$B$5:$B$200*(((Inputs!$G$5:$G$200="moeda")+(Inputs!$G$5:$G$200="acoes"))*Inputs!$B$1+((Inputs!$G$5:$G$200&lt;&gt;"moeda")*(Inputs!$G$5:$G$200&lt;&gt;"acoes")))*INDEX(Inputs!$K$5:$AJ$200,0,MATCH(Q$2,Inputs!$K$4:$AJ$4,0)))+SUMPRODUCT((Inputs!$C$5:$C$200=$B34)*Inputs!$D$5:$D$200*(((Inputs!$G$5:$G$200="moeda")+(Inputs!$G$5:$G$200="acoes"))*Inputs!$B$1+((Inputs!$G$5:$G$200&lt;&gt;"moeda")*(Inputs!$G$5:$G$200&lt;&gt;"acoes")))*INDEX(Inputs!$K$5:$AJ$200,0,MATCH(Q$2,Inputs!$K$4:$AJ$4,0)))+SUMPRODUCT((Inputs!$E$5:$E$200=$B34)*Inputs!$F$5:$F$200*(((Inputs!$G$5:$G$200="moeda")+(Inputs!$G$5:$G$200="acoes"))*Inputs!$B$1+((Inputs!$G$5:$G$200&lt;&gt;"moeda")*(Inputs!$G$5:$G$200&lt;&gt;"acoes")))*INDEX(Inputs!$K$5:$AJ$200,0,MATCH(Q$2,Inputs!$K$4:$AJ$4,0)))))</f>
        <v>29.057</v>
      </c>
      <c r="R34" s="3">
        <f>Q34</f>
        <v>29.057</v>
      </c>
      <c r="S34" s="6">
        <f>IF(ISNA(MATCH(S$2,Inputs!$K$4:$AJ$4,0)),NA(),IF(SUMPRODUCT((Inputs!$A$5:$A$200=$B34)*ISNUMBER(INDEX(Inputs!$K$5:$AJ$200,0,MATCH(S$2,Inputs!$K$4:$AJ$4,0))))+SUMPRODUCT((Inputs!$C$5:$C$200=$B34)*ISNUMBER(INDEX(Inputs!$K$5:$AJ$200,0,MATCH(S$2,Inputs!$K$4:$AJ$4,0))))+SUMPRODUCT((Inputs!$E$5:$E$200=$B34)*ISNUMBER(INDEX(Inputs!$K$5:$AJ$200,0,MATCH(S$2,Inputs!$K$4:$AJ$4,0))))=0,NA(),SUMPRODUCT((Inputs!$A$5:$A$200=$B34)*Inputs!$B$5:$B$200*(((Inputs!$G$5:$G$200="moeda")+(Inputs!$G$5:$G$200="acoes"))*Inputs!$B$1+((Inputs!$G$5:$G$200&lt;&gt;"moeda")*(Inputs!$G$5:$G$200&lt;&gt;"acoes")))*INDEX(Inputs!$K$5:$AJ$200,0,MATCH(S$2,Inputs!$K$4:$AJ$4,0)))+SUMPRODUCT((Inputs!$C$5:$C$200=$B34)*Inputs!$D$5:$D$200*(((Inputs!$G$5:$G$200="moeda")+(Inputs!$G$5:$G$200="acoes"))*Inputs!$B$1+((Inputs!$G$5:$G$200&lt;&gt;"moeda")*(Inputs!$G$5:$G$200&lt;&gt;"acoes")))*INDEX(Inputs!$K$5:$AJ$200,0,MATCH(S$2,Inputs!$K$4:$AJ$4,0)))+SUMPRODUCT((Inputs!$E$5:$E$200=$B34)*Inputs!$F$5:$F$200*(((Inputs!$G$5:$G$200="moeda")+(Inputs!$G$5:$G$200="acoes"))*Inputs!$B$1+((Inputs!$G$5:$G$200&lt;&gt;"moeda")*(Inputs!$G$5:$G$200&lt;&gt;"acoes")))*INDEX(Inputs!$K$5:$AJ$200,0,MATCH(S$2,Inputs!$K$4:$AJ$4,0)))))</f>
        <v>30.796</v>
      </c>
      <c r="T34" s="6">
        <f>IF(ISNA(MATCH(T$2,Inputs!$K$4:$AJ$4,0)),NA(),IF(SUMPRODUCT((Inputs!$A$5:$A$200=$B34)*ISNUMBER(INDEX(Inputs!$K$5:$AJ$200,0,MATCH(T$2,Inputs!$K$4:$AJ$4,0))))+SUMPRODUCT((Inputs!$C$5:$C$200=$B34)*ISNUMBER(INDEX(Inputs!$K$5:$AJ$200,0,MATCH(T$2,Inputs!$K$4:$AJ$4,0))))+SUMPRODUCT((Inputs!$E$5:$E$200=$B34)*ISNUMBER(INDEX(Inputs!$K$5:$AJ$200,0,MATCH(T$2,Inputs!$K$4:$AJ$4,0))))=0,NA(),SUMPRODUCT((Inputs!$A$5:$A$200=$B34)*Inputs!$B$5:$B$200*(((Inputs!$G$5:$G$200="moeda")+(Inputs!$G$5:$G$200="acoes"))*Inputs!$B$1+((Inputs!$G$5:$G$200&lt;&gt;"moeda")*(Inputs!$G$5:$G$200&lt;&gt;"acoes")))*INDEX(Inputs!$K$5:$AJ$200,0,MATCH(T$2,Inputs!$K$4:$AJ$4,0)))+SUMPRODUCT((Inputs!$C$5:$C$200=$B34)*Inputs!$D$5:$D$200*(((Inputs!$G$5:$G$200="moeda")+(Inputs!$G$5:$G$200="acoes"))*Inputs!$B$1+((Inputs!$G$5:$G$200&lt;&gt;"moeda")*(Inputs!$G$5:$G$200&lt;&gt;"acoes")))*INDEX(Inputs!$K$5:$AJ$200,0,MATCH(T$2,Inputs!$K$4:$AJ$4,0)))+SUMPRODUCT((Inputs!$E$5:$E$200=$B34)*Inputs!$F$5:$F$200*(((Inputs!$G$5:$G$200="moeda")+(Inputs!$G$5:$G$200="acoes"))*Inputs!$B$1+((Inputs!$G$5:$G$200&lt;&gt;"moeda")*(Inputs!$G$5:$G$200&lt;&gt;"acoes")))*INDEX(Inputs!$K$5:$AJ$200,0,MATCH(T$2,Inputs!$K$4:$AJ$4,0)))))</f>
        <v>34.249</v>
      </c>
      <c r="U34" s="6">
        <f>IF(ISNA(MATCH(U$2,Inputs!$K$4:$AJ$4,0)),NA(),IF(SUMPRODUCT((Inputs!$A$5:$A$200=$B34)*ISNUMBER(INDEX(Inputs!$K$5:$AJ$200,0,MATCH(U$2,Inputs!$K$4:$AJ$4,0))))+SUMPRODUCT((Inputs!$C$5:$C$200=$B34)*ISNUMBER(INDEX(Inputs!$K$5:$AJ$200,0,MATCH(U$2,Inputs!$K$4:$AJ$4,0))))+SUMPRODUCT((Inputs!$E$5:$E$200=$B34)*ISNUMBER(INDEX(Inputs!$K$5:$AJ$200,0,MATCH(U$2,Inputs!$K$4:$AJ$4,0))))=0,NA(),SUMPRODUCT((Inputs!$A$5:$A$200=$B34)*Inputs!$B$5:$B$200*(((Inputs!$G$5:$G$200="moeda")+(Inputs!$G$5:$G$200="acoes"))*Inputs!$B$1+((Inputs!$G$5:$G$200&lt;&gt;"moeda")*(Inputs!$G$5:$G$200&lt;&gt;"acoes")))*INDEX(Inputs!$K$5:$AJ$200,0,MATCH(U$2,Inputs!$K$4:$AJ$4,0)))+SUMPRODUCT((Inputs!$C$5:$C$200=$B34)*Inputs!$D$5:$D$200*(((Inputs!$G$5:$G$200="moeda")+(Inputs!$G$5:$G$200="acoes"))*Inputs!$B$1+((Inputs!$G$5:$G$200&lt;&gt;"moeda")*(Inputs!$G$5:$G$200&lt;&gt;"acoes")))*INDEX(Inputs!$K$5:$AJ$200,0,MATCH(U$2,Inputs!$K$4:$AJ$4,0)))+SUMPRODUCT((Inputs!$E$5:$E$200=$B34)*Inputs!$F$5:$F$200*(((Inputs!$G$5:$G$200="moeda")+(Inputs!$G$5:$G$200="acoes"))*Inputs!$B$1+((Inputs!$G$5:$G$200&lt;&gt;"moeda")*(Inputs!$G$5:$G$200&lt;&gt;"acoes")))*INDEX(Inputs!$K$5:$AJ$200,0,MATCH(U$2,Inputs!$K$4:$AJ$4,0)))))</f>
        <v>50.151</v>
      </c>
      <c r="V34" s="6">
        <f>IF(ISNA(MATCH(V$2,Inputs!$K$4:$AJ$4,0)),NA(),IF(SUMPRODUCT((Inputs!$A$5:$A$200=$B34)*ISNUMBER(INDEX(Inputs!$K$5:$AJ$200,0,MATCH(V$2,Inputs!$K$4:$AJ$4,0))))+SUMPRODUCT((Inputs!$C$5:$C$200=$B34)*ISNUMBER(INDEX(Inputs!$K$5:$AJ$200,0,MATCH(V$2,Inputs!$K$4:$AJ$4,0))))+SUMPRODUCT((Inputs!$E$5:$E$200=$B34)*ISNUMBER(INDEX(Inputs!$K$5:$AJ$200,0,MATCH(V$2,Inputs!$K$4:$AJ$4,0))))=0,NA(),SUMPRODUCT((Inputs!$A$5:$A$200=$B34)*Inputs!$B$5:$B$200*(((Inputs!$G$5:$G$200="moeda")+(Inputs!$G$5:$G$200="acoes"))*Inputs!$B$1+((Inputs!$G$5:$G$200&lt;&gt;"moeda")*(Inputs!$G$5:$G$200&lt;&gt;"acoes")))*INDEX(Inputs!$K$5:$AJ$200,0,MATCH(V$2,Inputs!$K$4:$AJ$4,0)))+SUMPRODUCT((Inputs!$C$5:$C$200=$B34)*Inputs!$D$5:$D$200*(((Inputs!$G$5:$G$200="moeda")+(Inputs!$G$5:$G$200="acoes"))*Inputs!$B$1+((Inputs!$G$5:$G$200&lt;&gt;"moeda")*(Inputs!$G$5:$G$200&lt;&gt;"acoes")))*INDEX(Inputs!$K$5:$AJ$200,0,MATCH(V$2,Inputs!$K$4:$AJ$4,0)))+SUMPRODUCT((Inputs!$E$5:$E$200=$B34)*Inputs!$F$5:$F$200*(((Inputs!$G$5:$G$200="moeda")+(Inputs!$G$5:$G$200="acoes"))*Inputs!$B$1+((Inputs!$G$5:$G$200&lt;&gt;"moeda")*(Inputs!$G$5:$G$200&lt;&gt;"acoes")))*INDEX(Inputs!$K$5:$AJ$200,0,MATCH(V$2,Inputs!$K$4:$AJ$4,0)))))</f>
        <v>45.319</v>
      </c>
      <c r="W34" s="3">
        <f>V34</f>
        <v>45.319</v>
      </c>
      <c r="X34" s="6">
        <f>IF(ISNA(MATCH(X$2,Inputs!$K$4:$AJ$4,0)),NA(),IF(SUMPRODUCT((Inputs!$A$5:$A$200=$B34)*ISNUMBER(INDEX(Inputs!$K$5:$AJ$200,0,MATCH(X$2,Inputs!$K$4:$AJ$4,0))))+SUMPRODUCT((Inputs!$C$5:$C$200=$B34)*ISNUMBER(INDEX(Inputs!$K$5:$AJ$200,0,MATCH(X$2,Inputs!$K$4:$AJ$4,0))))+SUMPRODUCT((Inputs!$E$5:$E$200=$B34)*ISNUMBER(INDEX(Inputs!$K$5:$AJ$200,0,MATCH(X$2,Inputs!$K$4:$AJ$4,0))))=0,NA(),SUMPRODUCT((Inputs!$A$5:$A$200=$B34)*Inputs!$B$5:$B$200*(((Inputs!$G$5:$G$200="moeda")+(Inputs!$G$5:$G$200="acoes"))*Inputs!$B$1+((Inputs!$G$5:$G$200&lt;&gt;"moeda")*(Inputs!$G$5:$G$200&lt;&gt;"acoes")))*INDEX(Inputs!$K$5:$AJ$200,0,MATCH(X$2,Inputs!$K$4:$AJ$4,0)))+SUMPRODUCT((Inputs!$C$5:$C$200=$B34)*Inputs!$D$5:$D$200*(((Inputs!$G$5:$G$200="moeda")+(Inputs!$G$5:$G$200="acoes"))*Inputs!$B$1+((Inputs!$G$5:$G$200&lt;&gt;"moeda")*(Inputs!$G$5:$G$200&lt;&gt;"acoes")))*INDEX(Inputs!$K$5:$AJ$200,0,MATCH(X$2,Inputs!$K$4:$AJ$4,0)))+SUMPRODUCT((Inputs!$E$5:$E$200=$B34)*Inputs!$F$5:$F$200*(((Inputs!$G$5:$G$200="moeda")+(Inputs!$G$5:$G$200="acoes"))*Inputs!$B$1+((Inputs!$G$5:$G$200&lt;&gt;"moeda")*(Inputs!$G$5:$G$200&lt;&gt;"acoes")))*INDEX(Inputs!$K$5:$AJ$200,0,MATCH(X$2,Inputs!$K$4:$AJ$4,0)))))</f>
        <v>44.844</v>
      </c>
      <c r="Y34" s="6">
        <f>IF(ISNA(MATCH(Y$2,Inputs!$K$4:$AJ$4,0)),NA(),IF(SUMPRODUCT((Inputs!$A$5:$A$200=$B34)*ISNUMBER(INDEX(Inputs!$K$5:$AJ$200,0,MATCH(Y$2,Inputs!$K$4:$AJ$4,0))))+SUMPRODUCT((Inputs!$C$5:$C$200=$B34)*ISNUMBER(INDEX(Inputs!$K$5:$AJ$200,0,MATCH(Y$2,Inputs!$K$4:$AJ$4,0))))+SUMPRODUCT((Inputs!$E$5:$E$200=$B34)*ISNUMBER(INDEX(Inputs!$K$5:$AJ$200,0,MATCH(Y$2,Inputs!$K$4:$AJ$4,0))))=0,NA(),SUMPRODUCT((Inputs!$A$5:$A$200=$B34)*Inputs!$B$5:$B$200*(((Inputs!$G$5:$G$200="moeda")+(Inputs!$G$5:$G$200="acoes"))*Inputs!$B$1+((Inputs!$G$5:$G$200&lt;&gt;"moeda")*(Inputs!$G$5:$G$200&lt;&gt;"acoes")))*INDEX(Inputs!$K$5:$AJ$200,0,MATCH(Y$2,Inputs!$K$4:$AJ$4,0)))+SUMPRODUCT((Inputs!$C$5:$C$200=$B34)*Inputs!$D$5:$D$200*(((Inputs!$G$5:$G$200="moeda")+(Inputs!$G$5:$G$200="acoes"))*Inputs!$B$1+((Inputs!$G$5:$G$200&lt;&gt;"moeda")*(Inputs!$G$5:$G$200&lt;&gt;"acoes")))*INDEX(Inputs!$K$5:$AJ$200,0,MATCH(Y$2,Inputs!$K$4:$AJ$4,0)))+SUMPRODUCT((Inputs!$E$5:$E$200=$B34)*Inputs!$F$5:$F$200*(((Inputs!$G$5:$G$200="moeda")+(Inputs!$G$5:$G$200="acoes"))*Inputs!$B$1+((Inputs!$G$5:$G$200&lt;&gt;"moeda")*(Inputs!$G$5:$G$200&lt;&gt;"acoes")))*INDEX(Inputs!$K$5:$AJ$200,0,MATCH(Y$2,Inputs!$K$4:$AJ$4,0)))))</f>
        <v>39.655</v>
      </c>
      <c r="Z34" s="6">
        <f>IF(ISNA(MATCH(Z$2,Inputs!$K$4:$AJ$4,0)),NA(),IF(SUMPRODUCT((Inputs!$A$5:$A$200=$B34)*ISNUMBER(INDEX(Inputs!$K$5:$AJ$200,0,MATCH(Z$2,Inputs!$K$4:$AJ$4,0))))+SUMPRODUCT((Inputs!$C$5:$C$200=$B34)*ISNUMBER(INDEX(Inputs!$K$5:$AJ$200,0,MATCH(Z$2,Inputs!$K$4:$AJ$4,0))))+SUMPRODUCT((Inputs!$E$5:$E$200=$B34)*ISNUMBER(INDEX(Inputs!$K$5:$AJ$200,0,MATCH(Z$2,Inputs!$K$4:$AJ$4,0))))=0,NA(),SUMPRODUCT((Inputs!$A$5:$A$200=$B34)*Inputs!$B$5:$B$200*(((Inputs!$G$5:$G$200="moeda")+(Inputs!$G$5:$G$200="acoes"))*Inputs!$B$1+((Inputs!$G$5:$G$200&lt;&gt;"moeda")*(Inputs!$G$5:$G$200&lt;&gt;"acoes")))*INDEX(Inputs!$K$5:$AJ$200,0,MATCH(Z$2,Inputs!$K$4:$AJ$4,0)))+SUMPRODUCT((Inputs!$C$5:$C$200=$B34)*Inputs!$D$5:$D$200*(((Inputs!$G$5:$G$200="moeda")+(Inputs!$G$5:$G$200="acoes"))*Inputs!$B$1+((Inputs!$G$5:$G$200&lt;&gt;"moeda")*(Inputs!$G$5:$G$200&lt;&gt;"acoes")))*INDEX(Inputs!$K$5:$AJ$200,0,MATCH(Z$2,Inputs!$K$4:$AJ$4,0)))+SUMPRODUCT((Inputs!$E$5:$E$200=$B34)*Inputs!$F$5:$F$200*(((Inputs!$G$5:$G$200="moeda")+(Inputs!$G$5:$G$200="acoes"))*Inputs!$B$1+((Inputs!$G$5:$G$200&lt;&gt;"moeda")*(Inputs!$G$5:$G$200&lt;&gt;"acoes")))*INDEX(Inputs!$K$5:$AJ$200,0,MATCH(Z$2,Inputs!$K$4:$AJ$4,0)))))</f>
        <v>37.7</v>
      </c>
      <c r="AA34" s="6">
        <f>IF(ISNA(MATCH(AA$2,Inputs!$K$4:$AJ$4,0)),NA(),IF(SUMPRODUCT((Inputs!$A$5:$A$200=$B34)*ISNUMBER(INDEX(Inputs!$K$5:$AJ$200,0,MATCH(AA$2,Inputs!$K$4:$AJ$4,0))))+SUMPRODUCT((Inputs!$C$5:$C$200=$B34)*ISNUMBER(INDEX(Inputs!$K$5:$AJ$200,0,MATCH(AA$2,Inputs!$K$4:$AJ$4,0))))+SUMPRODUCT((Inputs!$E$5:$E$200=$B34)*ISNUMBER(INDEX(Inputs!$K$5:$AJ$200,0,MATCH(AA$2,Inputs!$K$4:$AJ$4,0))))=0,NA(),SUMPRODUCT((Inputs!$A$5:$A$200=$B34)*Inputs!$B$5:$B$200*(((Inputs!$G$5:$G$200="moeda")+(Inputs!$G$5:$G$200="acoes"))*Inputs!$B$1+((Inputs!$G$5:$G$200&lt;&gt;"moeda")*(Inputs!$G$5:$G$200&lt;&gt;"acoes")))*INDEX(Inputs!$K$5:$AJ$200,0,MATCH(AA$2,Inputs!$K$4:$AJ$4,0)))+SUMPRODUCT((Inputs!$C$5:$C$200=$B34)*Inputs!$D$5:$D$200*(((Inputs!$G$5:$G$200="moeda")+(Inputs!$G$5:$G$200="acoes"))*Inputs!$B$1+((Inputs!$G$5:$G$200&lt;&gt;"moeda")*(Inputs!$G$5:$G$200&lt;&gt;"acoes")))*INDEX(Inputs!$K$5:$AJ$200,0,MATCH(AA$2,Inputs!$K$4:$AJ$4,0)))+SUMPRODUCT((Inputs!$E$5:$E$200=$B34)*Inputs!$F$5:$F$200*(((Inputs!$G$5:$G$200="moeda")+(Inputs!$G$5:$G$200="acoes"))*Inputs!$B$1+((Inputs!$G$5:$G$200&lt;&gt;"moeda")*(Inputs!$G$5:$G$200&lt;&gt;"acoes")))*INDEX(Inputs!$K$5:$AJ$200,0,MATCH(AA$2,Inputs!$K$4:$AJ$4,0)))))</f>
        <v>49.243</v>
      </c>
      <c r="AB34" s="3">
        <f>AA34</f>
        <v>49.243</v>
      </c>
      <c r="AC34" s="6">
        <f>IF(ISNA(MATCH(AC$2,Inputs!$K$4:$AJ$4,0)),NA(),IF(SUMPRODUCT((Inputs!$A$5:$A$200=$B34)*ISNUMBER(INDEX(Inputs!$K$5:$AJ$200,0,MATCH(AC$2,Inputs!$K$4:$AJ$4,0))))+SUMPRODUCT((Inputs!$C$5:$C$200=$B34)*ISNUMBER(INDEX(Inputs!$K$5:$AJ$200,0,MATCH(AC$2,Inputs!$K$4:$AJ$4,0))))+SUMPRODUCT((Inputs!$E$5:$E$200=$B34)*ISNUMBER(INDEX(Inputs!$K$5:$AJ$200,0,MATCH(AC$2,Inputs!$K$4:$AJ$4,0))))=0,NA(),SUMPRODUCT((Inputs!$A$5:$A$200=$B34)*Inputs!$B$5:$B$200*(((Inputs!$G$5:$G$200="moeda")+(Inputs!$G$5:$G$200="acoes"))*Inputs!$B$1+((Inputs!$G$5:$G$200&lt;&gt;"moeda")*(Inputs!$G$5:$G$200&lt;&gt;"acoes")))*INDEX(Inputs!$K$5:$AJ$200,0,MATCH(AC$2,Inputs!$K$4:$AJ$4,0)))+SUMPRODUCT((Inputs!$C$5:$C$200=$B34)*Inputs!$D$5:$D$200*(((Inputs!$G$5:$G$200="moeda")+(Inputs!$G$5:$G$200="acoes"))*Inputs!$B$1+((Inputs!$G$5:$G$200&lt;&gt;"moeda")*(Inputs!$G$5:$G$200&lt;&gt;"acoes")))*INDEX(Inputs!$K$5:$AJ$200,0,MATCH(AC$2,Inputs!$K$4:$AJ$4,0)))+SUMPRODUCT((Inputs!$E$5:$E$200=$B34)*Inputs!$F$5:$F$200*(((Inputs!$G$5:$G$200="moeda")+(Inputs!$G$5:$G$200="acoes"))*Inputs!$B$1+((Inputs!$G$5:$G$200&lt;&gt;"moeda")*(Inputs!$G$5:$G$200&lt;&gt;"acoes")))*INDEX(Inputs!$K$5:$AJ$200,0,MATCH(AC$2,Inputs!$K$4:$AJ$4,0)))))</f>
        <v>44.186</v>
      </c>
      <c r="AD34" s="6">
        <f>IF(ISNA(MATCH(AD$2,Inputs!$K$4:$AJ$4,0)),NA(),IF(SUMPRODUCT((Inputs!$A$5:$A$200=$B34)*ISNUMBER(INDEX(Inputs!$K$5:$AJ$200,0,MATCH(AD$2,Inputs!$K$4:$AJ$4,0))))+SUMPRODUCT((Inputs!$C$5:$C$200=$B34)*ISNUMBER(INDEX(Inputs!$K$5:$AJ$200,0,MATCH(AD$2,Inputs!$K$4:$AJ$4,0))))+SUMPRODUCT((Inputs!$E$5:$E$200=$B34)*ISNUMBER(INDEX(Inputs!$K$5:$AJ$200,0,MATCH(AD$2,Inputs!$K$4:$AJ$4,0))))=0,NA(),SUMPRODUCT((Inputs!$A$5:$A$200=$B34)*Inputs!$B$5:$B$200*(((Inputs!$G$5:$G$200="moeda")+(Inputs!$G$5:$G$200="acoes"))*Inputs!$B$1+((Inputs!$G$5:$G$200&lt;&gt;"moeda")*(Inputs!$G$5:$G$200&lt;&gt;"acoes")))*INDEX(Inputs!$K$5:$AJ$200,0,MATCH(AD$2,Inputs!$K$4:$AJ$4,0)))+SUMPRODUCT((Inputs!$C$5:$C$200=$B34)*Inputs!$D$5:$D$200*(((Inputs!$G$5:$G$200="moeda")+(Inputs!$G$5:$G$200="acoes"))*Inputs!$B$1+((Inputs!$G$5:$G$200&lt;&gt;"moeda")*(Inputs!$G$5:$G$200&lt;&gt;"acoes")))*INDEX(Inputs!$K$5:$AJ$200,0,MATCH(AD$2,Inputs!$K$4:$AJ$4,0)))+SUMPRODUCT((Inputs!$E$5:$E$200=$B34)*Inputs!$F$5:$F$200*(((Inputs!$G$5:$G$200="moeda")+(Inputs!$G$5:$G$200="acoes"))*Inputs!$B$1+((Inputs!$G$5:$G$200&lt;&gt;"moeda")*(Inputs!$G$5:$G$200&lt;&gt;"acoes")))*INDEX(Inputs!$K$5:$AJ$200,0,MATCH(AD$2,Inputs!$K$4:$AJ$4,0)))))</f>
        <v>48.061</v>
      </c>
      <c r="AE34" s="6" t="e">
        <f>IF(ISNA(MATCH(AE$2,Inputs!$K$4:$AJ$4,0)),NA(),IF(SUMPRODUCT((Inputs!$A$5:$A$200=$B34)*ISNUMBER(INDEX(Inputs!$K$5:$AJ$200,0,MATCH(AE$2,Inputs!$K$4:$AJ$4,0))))+SUMPRODUCT((Inputs!$C$5:$C$200=$B34)*ISNUMBER(INDEX(Inputs!$K$5:$AJ$200,0,MATCH(AE$2,Inputs!$K$4:$AJ$4,0))))+SUMPRODUCT((Inputs!$E$5:$E$200=$B34)*ISNUMBER(INDEX(Inputs!$K$5:$AJ$200,0,MATCH(AE$2,Inputs!$K$4:$AJ$4,0))))=0,NA(),SUMPRODUCT((Inputs!$A$5:$A$200=$B34)*Inputs!$B$5:$B$200*(((Inputs!$G$5:$G$200="moeda")+(Inputs!$G$5:$G$200="acoes"))*Inputs!$B$1+((Inputs!$G$5:$G$200&lt;&gt;"moeda")*(Inputs!$G$5:$G$200&lt;&gt;"acoes")))*INDEX(Inputs!$K$5:$AJ$200,0,MATCH(AE$2,Inputs!$K$4:$AJ$4,0)))+SUMPRODUCT((Inputs!$C$5:$C$200=$B34)*Inputs!$D$5:$D$200*(((Inputs!$G$5:$G$200="moeda")+(Inputs!$G$5:$G$200="acoes"))*Inputs!$B$1+((Inputs!$G$5:$G$200&lt;&gt;"moeda")*(Inputs!$G$5:$G$200&lt;&gt;"acoes")))*INDEX(Inputs!$K$5:$AJ$200,0,MATCH(AE$2,Inputs!$K$4:$AJ$4,0)))+SUMPRODUCT((Inputs!$E$5:$E$200=$B34)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4" s="6" t="e">
        <f>IF(ISNA(MATCH(AF$2,Inputs!$K$4:$AJ$4,0)),NA(),IF(SUMPRODUCT((Inputs!$A$5:$A$200=$B34)*ISNUMBER(INDEX(Inputs!$K$5:$AJ$200,0,MATCH(AF$2,Inputs!$K$4:$AJ$4,0))))+SUMPRODUCT((Inputs!$C$5:$C$200=$B34)*ISNUMBER(INDEX(Inputs!$K$5:$AJ$200,0,MATCH(AF$2,Inputs!$K$4:$AJ$4,0))))+SUMPRODUCT((Inputs!$E$5:$E$200=$B34)*ISNUMBER(INDEX(Inputs!$K$5:$AJ$200,0,MATCH(AF$2,Inputs!$K$4:$AJ$4,0))))=0,NA(),SUMPRODUCT((Inputs!$A$5:$A$200=$B34)*Inputs!$B$5:$B$200*(((Inputs!$G$5:$G$200="moeda")+(Inputs!$G$5:$G$200="acoes"))*Inputs!$B$1+((Inputs!$G$5:$G$200&lt;&gt;"moeda")*(Inputs!$G$5:$G$200&lt;&gt;"acoes")))*INDEX(Inputs!$K$5:$AJ$200,0,MATCH(AF$2,Inputs!$K$4:$AJ$4,0)))+SUMPRODUCT((Inputs!$C$5:$C$200=$B34)*Inputs!$D$5:$D$200*(((Inputs!$G$5:$G$200="moeda")+(Inputs!$G$5:$G$200="acoes"))*Inputs!$B$1+((Inputs!$G$5:$G$200&lt;&gt;"moeda")*(Inputs!$G$5:$G$200&lt;&gt;"acoes")))*INDEX(Inputs!$K$5:$AJ$200,0,MATCH(AF$2,Inputs!$K$4:$AJ$4,0)))+SUMPRODUCT((Inputs!$E$5:$E$200=$B34)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4" s="3" t="e">
        <f>AF34</f>
        <v>#N/A</v>
      </c>
      <c r="AH34" s="6">
        <f>IF(ISNA(MATCH(AH$2,Inputs!$K$4:$AJ$4,0)),NA(),IF(SUMPRODUCT((Inputs!$A$5:$A$200=$B34)*ISNUMBER(INDEX(Inputs!$K$5:$AJ$200,0,MATCH(AH$2,Inputs!$K$4:$AJ$4,0))))+SUMPRODUCT((Inputs!$C$5:$C$200=$B34)*ISNUMBER(INDEX(Inputs!$K$5:$AJ$200,0,MATCH(AH$2,Inputs!$K$4:$AJ$4,0))))+SUMPRODUCT((Inputs!$E$5:$E$200=$B34)*ISNUMBER(INDEX(Inputs!$K$5:$AJ$200,0,MATCH(AH$2,Inputs!$K$4:$AJ$4,0))))=0,NA(),SUMPRODUCT((Inputs!$A$5:$A$200=$B34)*Inputs!$B$5:$B$200*(((Inputs!$G$5:$G$200="moeda")+(Inputs!$G$5:$G$200="acoes"))*Inputs!$B$1+((Inputs!$G$5:$G$200&lt;&gt;"moeda")*(Inputs!$G$5:$G$200&lt;&gt;"acoes")))*INDEX(Inputs!$K$5:$AJ$200,0,MATCH(AH$2,Inputs!$K$4:$AJ$4,0)))+SUMPRODUCT((Inputs!$C$5:$C$200=$B34)*Inputs!$D$5:$D$200*(((Inputs!$G$5:$G$200="moeda")+(Inputs!$G$5:$G$200="acoes"))*Inputs!$B$1+((Inputs!$G$5:$G$200&lt;&gt;"moeda")*(Inputs!$G$5:$G$200&lt;&gt;"acoes")))*INDEX(Inputs!$K$5:$AJ$200,0,MATCH(AH$2,Inputs!$K$4:$AJ$4,0)))+SUMPRODUCT((Inputs!$E$5:$E$200=$B34)*Inputs!$F$5:$F$200*(((Inputs!$G$5:$G$200="moeda")+(Inputs!$G$5:$G$200="acoes"))*Inputs!$B$1+((Inputs!$G$5:$G$200&lt;&gt;"moeda")*(Inputs!$G$5:$G$200&lt;&gt;"acoes")))*INDEX(Inputs!$K$5:$AJ$200,0,MATCH(AH$2,Inputs!$K$4:$AJ$4,0)))))</f>
        <v>4.729</v>
      </c>
      <c r="AI34" s="6">
        <f>IF(ISNA(MATCH(AI$2,Inputs!$K$4:$AJ$4,0)),NA(),IF(SUMPRODUCT((Inputs!$A$5:$A$200=$B34)*ISNUMBER(INDEX(Inputs!$K$5:$AJ$200,0,MATCH(AI$2,Inputs!$K$4:$AJ$4,0))))+SUMPRODUCT((Inputs!$C$5:$C$200=$B34)*ISNUMBER(INDEX(Inputs!$K$5:$AJ$200,0,MATCH(AI$2,Inputs!$K$4:$AJ$4,0))))+SUMPRODUCT((Inputs!$E$5:$E$200=$B34)*ISNUMBER(INDEX(Inputs!$K$5:$AJ$200,0,MATCH(AI$2,Inputs!$K$4:$AJ$4,0))))=0,NA(),SUMPRODUCT((Inputs!$A$5:$A$200=$B34)*Inputs!$B$5:$B$200*(((Inputs!$G$5:$G$200="moeda")+(Inputs!$G$5:$G$200="acoes"))*Inputs!$B$1+((Inputs!$G$5:$G$200&lt;&gt;"moeda")*(Inputs!$G$5:$G$200&lt;&gt;"acoes")))*INDEX(Inputs!$K$5:$AJ$200,0,MATCH(AI$2,Inputs!$K$4:$AJ$4,0)))+SUMPRODUCT((Inputs!$C$5:$C$200=$B34)*Inputs!$D$5:$D$200*(((Inputs!$G$5:$G$200="moeda")+(Inputs!$G$5:$G$200="acoes"))*Inputs!$B$1+((Inputs!$G$5:$G$200&lt;&gt;"moeda")*(Inputs!$G$5:$G$200&lt;&gt;"acoes")))*INDEX(Inputs!$K$5:$AJ$200,0,MATCH(AI$2,Inputs!$K$4:$AJ$4,0)))+SUMPRODUCT((Inputs!$E$5:$E$200=$B34)*Inputs!$F$5:$F$200*(((Inputs!$G$5:$G$200="moeda")+(Inputs!$G$5:$G$200="acoes"))*Inputs!$B$1+((Inputs!$G$5:$G$200&lt;&gt;"moeda")*(Inputs!$G$5:$G$200&lt;&gt;"acoes")))*INDEX(Inputs!$K$5:$AJ$200,0,MATCH(AI$2,Inputs!$K$4:$AJ$4,0)))))</f>
        <v>3.786</v>
      </c>
      <c r="AJ34" s="6">
        <f>IF(ISNA(MATCH(AJ$2,Inputs!$K$4:$AJ$4,0)),NA(),IF(SUMPRODUCT((Inputs!$A$5:$A$200=$B34)*ISNUMBER(INDEX(Inputs!$K$5:$AJ$200,0,MATCH(AJ$2,Inputs!$K$4:$AJ$4,0))))+SUMPRODUCT((Inputs!$C$5:$C$200=$B34)*ISNUMBER(INDEX(Inputs!$K$5:$AJ$200,0,MATCH(AJ$2,Inputs!$K$4:$AJ$4,0))))+SUMPRODUCT((Inputs!$E$5:$E$200=$B34)*ISNUMBER(INDEX(Inputs!$K$5:$AJ$200,0,MATCH(AJ$2,Inputs!$K$4:$AJ$4,0))))=0,NA(),SUMPRODUCT((Inputs!$A$5:$A$200=$B34)*Inputs!$B$5:$B$200*(((Inputs!$G$5:$G$200="moeda")+(Inputs!$G$5:$G$200="acoes"))*Inputs!$B$1+((Inputs!$G$5:$G$200&lt;&gt;"moeda")*(Inputs!$G$5:$G$200&lt;&gt;"acoes")))*INDEX(Inputs!$K$5:$AJ$200,0,MATCH(AJ$2,Inputs!$K$4:$AJ$4,0)))+SUMPRODUCT((Inputs!$C$5:$C$200=$B34)*Inputs!$D$5:$D$200*(((Inputs!$G$5:$G$200="moeda")+(Inputs!$G$5:$G$200="acoes"))*Inputs!$B$1+((Inputs!$G$5:$G$200&lt;&gt;"moeda")*(Inputs!$G$5:$G$200&lt;&gt;"acoes")))*INDEX(Inputs!$K$5:$AJ$200,0,MATCH(AJ$2,Inputs!$K$4:$AJ$4,0)))+SUMPRODUCT((Inputs!$E$5:$E$200=$B34)*Inputs!$F$5:$F$200*(((Inputs!$G$5:$G$200="moeda")+(Inputs!$G$5:$G$200="acoes"))*Inputs!$B$1+((Inputs!$G$5:$G$200&lt;&gt;"moeda")*(Inputs!$G$5:$G$200&lt;&gt;"acoes")))*INDEX(Inputs!$K$5:$AJ$200,0,MATCH(AJ$2,Inputs!$K$4:$AJ$4,0)))))</f>
        <v>2.86</v>
      </c>
      <c r="AK34" s="6">
        <f>IF(ISNA(MATCH(AK$2,Inputs!$K$4:$AJ$4,0)),NA(),IF(SUMPRODUCT((Inputs!$A$5:$A$200=$B34)*ISNUMBER(INDEX(Inputs!$K$5:$AJ$200,0,MATCH(AK$2,Inputs!$K$4:$AJ$4,0))))+SUMPRODUCT((Inputs!$C$5:$C$200=$B34)*ISNUMBER(INDEX(Inputs!$K$5:$AJ$200,0,MATCH(AK$2,Inputs!$K$4:$AJ$4,0))))+SUMPRODUCT((Inputs!$E$5:$E$200=$B34)*ISNUMBER(INDEX(Inputs!$K$5:$AJ$200,0,MATCH(AK$2,Inputs!$K$4:$AJ$4,0))))=0,NA(),SUMPRODUCT((Inputs!$A$5:$A$200=$B34)*Inputs!$B$5:$B$200*(((Inputs!$G$5:$G$200="moeda")+(Inputs!$G$5:$G$200="acoes"))*Inputs!$B$1+((Inputs!$G$5:$G$200&lt;&gt;"moeda")*(Inputs!$G$5:$G$200&lt;&gt;"acoes")))*INDEX(Inputs!$K$5:$AJ$200,0,MATCH(AK$2,Inputs!$K$4:$AJ$4,0)))+SUMPRODUCT((Inputs!$C$5:$C$200=$B34)*Inputs!$D$5:$D$200*(((Inputs!$G$5:$G$200="moeda")+(Inputs!$G$5:$G$200="acoes"))*Inputs!$B$1+((Inputs!$G$5:$G$200&lt;&gt;"moeda")*(Inputs!$G$5:$G$200&lt;&gt;"acoes")))*INDEX(Inputs!$K$5:$AJ$200,0,MATCH(AK$2,Inputs!$K$4:$AJ$4,0)))+SUMPRODUCT((Inputs!$E$5:$E$200=$B34)*Inputs!$F$5:$F$200*(((Inputs!$G$5:$G$200="moeda")+(Inputs!$G$5:$G$200="acoes"))*Inputs!$B$1+((Inputs!$G$5:$G$200&lt;&gt;"moeda")*(Inputs!$G$5:$G$200&lt;&gt;"acoes")))*INDEX(Inputs!$K$5:$AJ$200,0,MATCH(AK$2,Inputs!$K$4:$AJ$4,0)))))</f>
        <v>5.493</v>
      </c>
      <c r="AL34" s="3">
        <f>AK34</f>
        <v>5.493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$200=$B35)*ISNUMBER(INDEX(Inputs!$K$5:$AJ$200,0,MATCH(D$2,Inputs!$K$4:$AJ$4,0))))+SUMPRODUCT((Inputs!$C$5:$C$200=$B35)*ISNUMBER(INDEX(Inputs!$K$5:$AJ$200,0,MATCH(D$2,Inputs!$K$4:$AJ$4,0))))+SUMPRODUCT((Inputs!$E$5:$E$200=$B35)*ISNUMBER(INDEX(Inputs!$K$5:$AJ$200,0,MATCH(D$2,Inputs!$K$4:$AJ$4,0))))=0,NA(),SUMPRODUCT((Inputs!$A$5:$A$200=$B35)*Inputs!$B$5:$B$200*(((Inputs!$G$5:$G$200="moeda")+(Inputs!$G$5:$G$200="acoes"))*Inputs!$B$1+((Inputs!$G$5:$G$200&lt;&gt;"moeda")*(Inputs!$G$5:$G$200&lt;&gt;"acoes")))*INDEX(Inputs!$K$5:$AJ$200,0,MATCH(D$2,Inputs!$K$4:$AJ$4,0)))+SUMPRODUCT((Inputs!$C$5:$C$200=$B35)*Inputs!$D$5:$D$200*(((Inputs!$G$5:$G$200="moeda")+(Inputs!$G$5:$G$200="acoes"))*Inputs!$B$1+((Inputs!$G$5:$G$200&lt;&gt;"moeda")*(Inputs!$G$5:$G$200&lt;&gt;"acoes")))*INDEX(Inputs!$K$5:$AJ$200,0,MATCH(D$2,Inputs!$K$4:$AJ$4,0)))+SUMPRODUCT((Inputs!$E$5:$E$200=$B35)*Inputs!$F$5:$F$200*(((Inputs!$G$5:$G$200="moeda")+(Inputs!$G$5:$G$200="acoes"))*Inputs!$B$1+((Inputs!$G$5:$G$200&lt;&gt;"moeda")*(Inputs!$G$5:$G$200&lt;&gt;"acoes")))*INDEX(Inputs!$K$5:$AJ$200,0,MATCH(D$2,Inputs!$K$4:$AJ$4,0)))))</f>
        <v>272.776</v>
      </c>
      <c r="E35" s="6">
        <f>IF(ISNA(MATCH(E$2,Inputs!$K$4:$AJ$4,0)),NA(),IF(SUMPRODUCT((Inputs!$A$5:$A$200=$B35)*ISNUMBER(INDEX(Inputs!$K$5:$AJ$200,0,MATCH(E$2,Inputs!$K$4:$AJ$4,0))))+SUMPRODUCT((Inputs!$C$5:$C$200=$B35)*ISNUMBER(INDEX(Inputs!$K$5:$AJ$200,0,MATCH(E$2,Inputs!$K$4:$AJ$4,0))))+SUMPRODUCT((Inputs!$E$5:$E$200=$B35)*ISNUMBER(INDEX(Inputs!$K$5:$AJ$200,0,MATCH(E$2,Inputs!$K$4:$AJ$4,0))))=0,NA(),SUMPRODUCT((Inputs!$A$5:$A$200=$B35)*Inputs!$B$5:$B$200*(((Inputs!$G$5:$G$200="moeda")+(Inputs!$G$5:$G$200="acoes"))*Inputs!$B$1+((Inputs!$G$5:$G$200&lt;&gt;"moeda")*(Inputs!$G$5:$G$200&lt;&gt;"acoes")))*INDEX(Inputs!$K$5:$AJ$200,0,MATCH(E$2,Inputs!$K$4:$AJ$4,0)))+SUMPRODUCT((Inputs!$C$5:$C$200=$B35)*Inputs!$D$5:$D$200*(((Inputs!$G$5:$G$200="moeda")+(Inputs!$G$5:$G$200="acoes"))*Inputs!$B$1+((Inputs!$G$5:$G$200&lt;&gt;"moeda")*(Inputs!$G$5:$G$200&lt;&gt;"acoes")))*INDEX(Inputs!$K$5:$AJ$200,0,MATCH(E$2,Inputs!$K$4:$AJ$4,0)))+SUMPRODUCT((Inputs!$E$5:$E$200=$B35)*Inputs!$F$5:$F$200*(((Inputs!$G$5:$G$200="moeda")+(Inputs!$G$5:$G$200="acoes"))*Inputs!$B$1+((Inputs!$G$5:$G$200&lt;&gt;"moeda")*(Inputs!$G$5:$G$200&lt;&gt;"acoes")))*INDEX(Inputs!$K$5:$AJ$200,0,MATCH(E$2,Inputs!$K$4:$AJ$4,0)))))</f>
        <v>212.701</v>
      </c>
      <c r="F35" s="6">
        <f>IF(ISNA(MATCH(F$2,Inputs!$K$4:$AJ$4,0)),NA(),IF(SUMPRODUCT((Inputs!$A$5:$A$200=$B35)*ISNUMBER(INDEX(Inputs!$K$5:$AJ$200,0,MATCH(F$2,Inputs!$K$4:$AJ$4,0))))+SUMPRODUCT((Inputs!$C$5:$C$200=$B35)*ISNUMBER(INDEX(Inputs!$K$5:$AJ$200,0,MATCH(F$2,Inputs!$K$4:$AJ$4,0))))+SUMPRODUCT((Inputs!$E$5:$E$200=$B35)*ISNUMBER(INDEX(Inputs!$K$5:$AJ$200,0,MATCH(F$2,Inputs!$K$4:$AJ$4,0))))=0,NA(),SUMPRODUCT((Inputs!$A$5:$A$200=$B35)*Inputs!$B$5:$B$200*(((Inputs!$G$5:$G$200="moeda")+(Inputs!$G$5:$G$200="acoes"))*Inputs!$B$1+((Inputs!$G$5:$G$200&lt;&gt;"moeda")*(Inputs!$G$5:$G$200&lt;&gt;"acoes")))*INDEX(Inputs!$K$5:$AJ$200,0,MATCH(F$2,Inputs!$K$4:$AJ$4,0)))+SUMPRODUCT((Inputs!$C$5:$C$200=$B35)*Inputs!$D$5:$D$200*(((Inputs!$G$5:$G$200="moeda")+(Inputs!$G$5:$G$200="acoes"))*Inputs!$B$1+((Inputs!$G$5:$G$200&lt;&gt;"moeda")*(Inputs!$G$5:$G$200&lt;&gt;"acoes")))*INDEX(Inputs!$K$5:$AJ$200,0,MATCH(F$2,Inputs!$K$4:$AJ$4,0)))+SUMPRODUCT((Inputs!$E$5:$E$200=$B35)*Inputs!$F$5:$F$200*(((Inputs!$G$5:$G$200="moeda")+(Inputs!$G$5:$G$200="acoes"))*Inputs!$B$1+((Inputs!$G$5:$G$200&lt;&gt;"moeda")*(Inputs!$G$5:$G$200&lt;&gt;"acoes")))*INDEX(Inputs!$K$5:$AJ$200,0,MATCH(F$2,Inputs!$K$4:$AJ$4,0)))))</f>
        <v>195.313</v>
      </c>
      <c r="G35" s="6">
        <f>IF(ISNA(MATCH(G$2,Inputs!$K$4:$AJ$4,0)),NA(),IF(SUMPRODUCT((Inputs!$A$5:$A$200=$B35)*ISNUMBER(INDEX(Inputs!$K$5:$AJ$200,0,MATCH(G$2,Inputs!$K$4:$AJ$4,0))))+SUMPRODUCT((Inputs!$C$5:$C$200=$B35)*ISNUMBER(INDEX(Inputs!$K$5:$AJ$200,0,MATCH(G$2,Inputs!$K$4:$AJ$4,0))))+SUMPRODUCT((Inputs!$E$5:$E$200=$B35)*ISNUMBER(INDEX(Inputs!$K$5:$AJ$200,0,MATCH(G$2,Inputs!$K$4:$AJ$4,0))))=0,NA(),SUMPRODUCT((Inputs!$A$5:$A$200=$B35)*Inputs!$B$5:$B$200*(((Inputs!$G$5:$G$200="moeda")+(Inputs!$G$5:$G$200="acoes"))*Inputs!$B$1+((Inputs!$G$5:$G$200&lt;&gt;"moeda")*(Inputs!$G$5:$G$200&lt;&gt;"acoes")))*INDEX(Inputs!$K$5:$AJ$200,0,MATCH(G$2,Inputs!$K$4:$AJ$4,0)))+SUMPRODUCT((Inputs!$C$5:$C$200=$B35)*Inputs!$D$5:$D$200*(((Inputs!$G$5:$G$200="moeda")+(Inputs!$G$5:$G$200="acoes"))*Inputs!$B$1+((Inputs!$G$5:$G$200&lt;&gt;"moeda")*(Inputs!$G$5:$G$200&lt;&gt;"acoes")))*INDEX(Inputs!$K$5:$AJ$200,0,MATCH(G$2,Inputs!$K$4:$AJ$4,0)))+SUMPRODUCT((Inputs!$E$5:$E$200=$B35)*Inputs!$F$5:$F$200*(((Inputs!$G$5:$G$200="moeda")+(Inputs!$G$5:$G$200="acoes"))*Inputs!$B$1+((Inputs!$G$5:$G$200&lt;&gt;"moeda")*(Inputs!$G$5:$G$200&lt;&gt;"acoes")))*INDEX(Inputs!$K$5:$AJ$200,0,MATCH(G$2,Inputs!$K$4:$AJ$4,0)))))</f>
        <v>539.432</v>
      </c>
      <c r="H35" s="3">
        <f>G35</f>
        <v>539.432</v>
      </c>
      <c r="I35" s="6">
        <f>IF(ISNA(MATCH(I$2,Inputs!$K$4:$AJ$4,0)),NA(),IF(SUMPRODUCT((Inputs!$A$5:$A$200=$B35)*ISNUMBER(INDEX(Inputs!$K$5:$AJ$200,0,MATCH(I$2,Inputs!$K$4:$AJ$4,0))))+SUMPRODUCT((Inputs!$C$5:$C$200=$B35)*ISNUMBER(INDEX(Inputs!$K$5:$AJ$200,0,MATCH(I$2,Inputs!$K$4:$AJ$4,0))))+SUMPRODUCT((Inputs!$E$5:$E$200=$B35)*ISNUMBER(INDEX(Inputs!$K$5:$AJ$200,0,MATCH(I$2,Inputs!$K$4:$AJ$4,0))))=0,NA(),SUMPRODUCT((Inputs!$A$5:$A$200=$B35)*Inputs!$B$5:$B$200*(((Inputs!$G$5:$G$200="moeda")+(Inputs!$G$5:$G$200="acoes"))*Inputs!$B$1+((Inputs!$G$5:$G$200&lt;&gt;"moeda")*(Inputs!$G$5:$G$200&lt;&gt;"acoes")))*INDEX(Inputs!$K$5:$AJ$200,0,MATCH(I$2,Inputs!$K$4:$AJ$4,0)))+SUMPRODUCT((Inputs!$C$5:$C$200=$B35)*Inputs!$D$5:$D$200*(((Inputs!$G$5:$G$200="moeda")+(Inputs!$G$5:$G$200="acoes"))*Inputs!$B$1+((Inputs!$G$5:$G$200&lt;&gt;"moeda")*(Inputs!$G$5:$G$200&lt;&gt;"acoes")))*INDEX(Inputs!$K$5:$AJ$200,0,MATCH(I$2,Inputs!$K$4:$AJ$4,0)))+SUMPRODUCT((Inputs!$E$5:$E$200=$B35)*Inputs!$F$5:$F$200*(((Inputs!$G$5:$G$200="moeda")+(Inputs!$G$5:$G$200="acoes"))*Inputs!$B$1+((Inputs!$G$5:$G$200&lt;&gt;"moeda")*(Inputs!$G$5:$G$200&lt;&gt;"acoes")))*INDEX(Inputs!$K$5:$AJ$200,0,MATCH(I$2,Inputs!$K$4:$AJ$4,0)))))</f>
        <v>553.411</v>
      </c>
      <c r="J35" s="6">
        <f>IF(ISNA(MATCH(J$2,Inputs!$K$4:$AJ$4,0)),NA(),IF(SUMPRODUCT((Inputs!$A$5:$A$200=$B35)*ISNUMBER(INDEX(Inputs!$K$5:$AJ$200,0,MATCH(J$2,Inputs!$K$4:$AJ$4,0))))+SUMPRODUCT((Inputs!$C$5:$C$200=$B35)*ISNUMBER(INDEX(Inputs!$K$5:$AJ$200,0,MATCH(J$2,Inputs!$K$4:$AJ$4,0))))+SUMPRODUCT((Inputs!$E$5:$E$200=$B35)*ISNUMBER(INDEX(Inputs!$K$5:$AJ$200,0,MATCH(J$2,Inputs!$K$4:$AJ$4,0))))=0,NA(),SUMPRODUCT((Inputs!$A$5:$A$200=$B35)*Inputs!$B$5:$B$200*(((Inputs!$G$5:$G$200="moeda")+(Inputs!$G$5:$G$200="acoes"))*Inputs!$B$1+((Inputs!$G$5:$G$200&lt;&gt;"moeda")*(Inputs!$G$5:$G$200&lt;&gt;"acoes")))*INDEX(Inputs!$K$5:$AJ$200,0,MATCH(J$2,Inputs!$K$4:$AJ$4,0)))+SUMPRODUCT((Inputs!$C$5:$C$200=$B35)*Inputs!$D$5:$D$200*(((Inputs!$G$5:$G$200="moeda")+(Inputs!$G$5:$G$200="acoes"))*Inputs!$B$1+((Inputs!$G$5:$G$200&lt;&gt;"moeda")*(Inputs!$G$5:$G$200&lt;&gt;"acoes")))*INDEX(Inputs!$K$5:$AJ$200,0,MATCH(J$2,Inputs!$K$4:$AJ$4,0)))+SUMPRODUCT((Inputs!$E$5:$E$200=$B35)*Inputs!$F$5:$F$200*(((Inputs!$G$5:$G$200="moeda")+(Inputs!$G$5:$G$200="acoes"))*Inputs!$B$1+((Inputs!$G$5:$G$200&lt;&gt;"moeda")*(Inputs!$G$5:$G$200&lt;&gt;"acoes")))*INDEX(Inputs!$K$5:$AJ$200,0,MATCH(J$2,Inputs!$K$4:$AJ$4,0)))))</f>
        <v>559.965</v>
      </c>
      <c r="K35" s="6">
        <f>IF(ISNA(MATCH(K$2,Inputs!$K$4:$AJ$4,0)),NA(),IF(SUMPRODUCT((Inputs!$A$5:$A$200=$B35)*ISNUMBER(INDEX(Inputs!$K$5:$AJ$200,0,MATCH(K$2,Inputs!$K$4:$AJ$4,0))))+SUMPRODUCT((Inputs!$C$5:$C$200=$B35)*ISNUMBER(INDEX(Inputs!$K$5:$AJ$200,0,MATCH(K$2,Inputs!$K$4:$AJ$4,0))))+SUMPRODUCT((Inputs!$E$5:$E$200=$B35)*ISNUMBER(INDEX(Inputs!$K$5:$AJ$200,0,MATCH(K$2,Inputs!$K$4:$AJ$4,0))))=0,NA(),SUMPRODUCT((Inputs!$A$5:$A$200=$B35)*Inputs!$B$5:$B$200*(((Inputs!$G$5:$G$200="moeda")+(Inputs!$G$5:$G$200="acoes"))*Inputs!$B$1+((Inputs!$G$5:$G$200&lt;&gt;"moeda")*(Inputs!$G$5:$G$200&lt;&gt;"acoes")))*INDEX(Inputs!$K$5:$AJ$200,0,MATCH(K$2,Inputs!$K$4:$AJ$4,0)))+SUMPRODUCT((Inputs!$C$5:$C$200=$B35)*Inputs!$D$5:$D$200*(((Inputs!$G$5:$G$200="moeda")+(Inputs!$G$5:$G$200="acoes"))*Inputs!$B$1+((Inputs!$G$5:$G$200&lt;&gt;"moeda")*(Inputs!$G$5:$G$200&lt;&gt;"acoes")))*INDEX(Inputs!$K$5:$AJ$200,0,MATCH(K$2,Inputs!$K$4:$AJ$4,0)))+SUMPRODUCT((Inputs!$E$5:$E$200=$B35)*Inputs!$F$5:$F$200*(((Inputs!$G$5:$G$200="moeda")+(Inputs!$G$5:$G$200="acoes"))*Inputs!$B$1+((Inputs!$G$5:$G$200&lt;&gt;"moeda")*(Inputs!$G$5:$G$200&lt;&gt;"acoes")))*INDEX(Inputs!$K$5:$AJ$200,0,MATCH(K$2,Inputs!$K$4:$AJ$4,0)))))</f>
        <v>574.826</v>
      </c>
      <c r="L35" s="6">
        <f>IF(ISNA(MATCH(L$2,Inputs!$K$4:$AJ$4,0)),NA(),IF(SUMPRODUCT((Inputs!$A$5:$A$200=$B35)*ISNUMBER(INDEX(Inputs!$K$5:$AJ$200,0,MATCH(L$2,Inputs!$K$4:$AJ$4,0))))+SUMPRODUCT((Inputs!$C$5:$C$200=$B35)*ISNUMBER(INDEX(Inputs!$K$5:$AJ$200,0,MATCH(L$2,Inputs!$K$4:$AJ$4,0))))+SUMPRODUCT((Inputs!$E$5:$E$200=$B35)*ISNUMBER(INDEX(Inputs!$K$5:$AJ$200,0,MATCH(L$2,Inputs!$K$4:$AJ$4,0))))=0,NA(),SUMPRODUCT((Inputs!$A$5:$A$200=$B35)*Inputs!$B$5:$B$200*(((Inputs!$G$5:$G$200="moeda")+(Inputs!$G$5:$G$200="acoes"))*Inputs!$B$1+((Inputs!$G$5:$G$200&lt;&gt;"moeda")*(Inputs!$G$5:$G$200&lt;&gt;"acoes")))*INDEX(Inputs!$K$5:$AJ$200,0,MATCH(L$2,Inputs!$K$4:$AJ$4,0)))+SUMPRODUCT((Inputs!$C$5:$C$200=$B35)*Inputs!$D$5:$D$200*(((Inputs!$G$5:$G$200="moeda")+(Inputs!$G$5:$G$200="acoes"))*Inputs!$B$1+((Inputs!$G$5:$G$200&lt;&gt;"moeda")*(Inputs!$G$5:$G$200&lt;&gt;"acoes")))*INDEX(Inputs!$K$5:$AJ$200,0,MATCH(L$2,Inputs!$K$4:$AJ$4,0)))+SUMPRODUCT((Inputs!$E$5:$E$200=$B35)*Inputs!$F$5:$F$200*(((Inputs!$G$5:$G$200="moeda")+(Inputs!$G$5:$G$200="acoes"))*Inputs!$B$1+((Inputs!$G$5:$G$200&lt;&gt;"moeda")*(Inputs!$G$5:$G$200&lt;&gt;"acoes")))*INDEX(Inputs!$K$5:$AJ$200,0,MATCH(L$2,Inputs!$K$4:$AJ$4,0)))))</f>
        <v>977.538</v>
      </c>
      <c r="M35" s="3">
        <f>L35</f>
        <v>977.538</v>
      </c>
      <c r="N35" s="6">
        <f>IF(ISNA(MATCH(N$2,Inputs!$K$4:$AJ$4,0)),NA(),IF(SUMPRODUCT((Inputs!$A$5:$A$200=$B35)*ISNUMBER(INDEX(Inputs!$K$5:$AJ$200,0,MATCH(N$2,Inputs!$K$4:$AJ$4,0))))+SUMPRODUCT((Inputs!$C$5:$C$200=$B35)*ISNUMBER(INDEX(Inputs!$K$5:$AJ$200,0,MATCH(N$2,Inputs!$K$4:$AJ$4,0))))+SUMPRODUCT((Inputs!$E$5:$E$200=$B35)*ISNUMBER(INDEX(Inputs!$K$5:$AJ$200,0,MATCH(N$2,Inputs!$K$4:$AJ$4,0))))=0,NA(),SUMPRODUCT((Inputs!$A$5:$A$200=$B35)*Inputs!$B$5:$B$200*(((Inputs!$G$5:$G$200="moeda")+(Inputs!$G$5:$G$200="acoes"))*Inputs!$B$1+((Inputs!$G$5:$G$200&lt;&gt;"moeda")*(Inputs!$G$5:$G$200&lt;&gt;"acoes")))*INDEX(Inputs!$K$5:$AJ$200,0,MATCH(N$2,Inputs!$K$4:$AJ$4,0)))+SUMPRODUCT((Inputs!$C$5:$C$200=$B35)*Inputs!$D$5:$D$200*(((Inputs!$G$5:$G$200="moeda")+(Inputs!$G$5:$G$200="acoes"))*Inputs!$B$1+((Inputs!$G$5:$G$200&lt;&gt;"moeda")*(Inputs!$G$5:$G$200&lt;&gt;"acoes")))*INDEX(Inputs!$K$5:$AJ$200,0,MATCH(N$2,Inputs!$K$4:$AJ$4,0)))+SUMPRODUCT((Inputs!$E$5:$E$200=$B35)*Inputs!$F$5:$F$200*(((Inputs!$G$5:$G$200="moeda")+(Inputs!$G$5:$G$200="acoes"))*Inputs!$B$1+((Inputs!$G$5:$G$200&lt;&gt;"moeda")*(Inputs!$G$5:$G$200&lt;&gt;"acoes")))*INDEX(Inputs!$K$5:$AJ$200,0,MATCH(N$2,Inputs!$K$4:$AJ$4,0)))))</f>
        <v>990.56</v>
      </c>
      <c r="O35" s="6">
        <f>IF(ISNA(MATCH(O$2,Inputs!$K$4:$AJ$4,0)),NA(),IF(SUMPRODUCT((Inputs!$A$5:$A$200=$B35)*ISNUMBER(INDEX(Inputs!$K$5:$AJ$200,0,MATCH(O$2,Inputs!$K$4:$AJ$4,0))))+SUMPRODUCT((Inputs!$C$5:$C$200=$B35)*ISNUMBER(INDEX(Inputs!$K$5:$AJ$200,0,MATCH(O$2,Inputs!$K$4:$AJ$4,0))))+SUMPRODUCT((Inputs!$E$5:$E$200=$B35)*ISNUMBER(INDEX(Inputs!$K$5:$AJ$200,0,MATCH(O$2,Inputs!$K$4:$AJ$4,0))))=0,NA(),SUMPRODUCT((Inputs!$A$5:$A$200=$B35)*Inputs!$B$5:$B$200*(((Inputs!$G$5:$G$200="moeda")+(Inputs!$G$5:$G$200="acoes"))*Inputs!$B$1+((Inputs!$G$5:$G$200&lt;&gt;"moeda")*(Inputs!$G$5:$G$200&lt;&gt;"acoes")))*INDEX(Inputs!$K$5:$AJ$200,0,MATCH(O$2,Inputs!$K$4:$AJ$4,0)))+SUMPRODUCT((Inputs!$C$5:$C$200=$B35)*Inputs!$D$5:$D$200*(((Inputs!$G$5:$G$200="moeda")+(Inputs!$G$5:$G$200="acoes"))*Inputs!$B$1+((Inputs!$G$5:$G$200&lt;&gt;"moeda")*(Inputs!$G$5:$G$200&lt;&gt;"acoes")))*INDEX(Inputs!$K$5:$AJ$200,0,MATCH(O$2,Inputs!$K$4:$AJ$4,0)))+SUMPRODUCT((Inputs!$E$5:$E$200=$B35)*Inputs!$F$5:$F$200*(((Inputs!$G$5:$G$200="moeda")+(Inputs!$G$5:$G$200="acoes"))*Inputs!$B$1+((Inputs!$G$5:$G$200&lt;&gt;"moeda")*(Inputs!$G$5:$G$200&lt;&gt;"acoes")))*INDEX(Inputs!$K$5:$AJ$200,0,MATCH(O$2,Inputs!$K$4:$AJ$4,0)))))</f>
        <v>955.452</v>
      </c>
      <c r="P35" s="6">
        <f>IF(ISNA(MATCH(P$2,Inputs!$K$4:$AJ$4,0)),NA(),IF(SUMPRODUCT((Inputs!$A$5:$A$200=$B35)*ISNUMBER(INDEX(Inputs!$K$5:$AJ$200,0,MATCH(P$2,Inputs!$K$4:$AJ$4,0))))+SUMPRODUCT((Inputs!$C$5:$C$200=$B35)*ISNUMBER(INDEX(Inputs!$K$5:$AJ$200,0,MATCH(P$2,Inputs!$K$4:$AJ$4,0))))+SUMPRODUCT((Inputs!$E$5:$E$200=$B35)*ISNUMBER(INDEX(Inputs!$K$5:$AJ$200,0,MATCH(P$2,Inputs!$K$4:$AJ$4,0))))=0,NA(),SUMPRODUCT((Inputs!$A$5:$A$200=$B35)*Inputs!$B$5:$B$200*(((Inputs!$G$5:$G$200="moeda")+(Inputs!$G$5:$G$200="acoes"))*Inputs!$B$1+((Inputs!$G$5:$G$200&lt;&gt;"moeda")*(Inputs!$G$5:$G$200&lt;&gt;"acoes")))*INDEX(Inputs!$K$5:$AJ$200,0,MATCH(P$2,Inputs!$K$4:$AJ$4,0)))+SUMPRODUCT((Inputs!$C$5:$C$200=$B35)*Inputs!$D$5:$D$200*(((Inputs!$G$5:$G$200="moeda")+(Inputs!$G$5:$G$200="acoes"))*Inputs!$B$1+((Inputs!$G$5:$G$200&lt;&gt;"moeda")*(Inputs!$G$5:$G$200&lt;&gt;"acoes")))*INDEX(Inputs!$K$5:$AJ$200,0,MATCH(P$2,Inputs!$K$4:$AJ$4,0)))+SUMPRODUCT((Inputs!$E$5:$E$200=$B35)*Inputs!$F$5:$F$200*(((Inputs!$G$5:$G$200="moeda")+(Inputs!$G$5:$G$200="acoes"))*Inputs!$B$1+((Inputs!$G$5:$G$200&lt;&gt;"moeda")*(Inputs!$G$5:$G$200&lt;&gt;"acoes")))*INDEX(Inputs!$K$5:$AJ$200,0,MATCH(P$2,Inputs!$K$4:$AJ$4,0)))))</f>
        <v>1098.201</v>
      </c>
      <c r="Q35" s="6">
        <f>IF(ISNA(MATCH(Q$2,Inputs!$K$4:$AJ$4,0)),NA(),IF(SUMPRODUCT((Inputs!$A$5:$A$200=$B35)*ISNUMBER(INDEX(Inputs!$K$5:$AJ$200,0,MATCH(Q$2,Inputs!$K$4:$AJ$4,0))))+SUMPRODUCT((Inputs!$C$5:$C$200=$B35)*ISNUMBER(INDEX(Inputs!$K$5:$AJ$200,0,MATCH(Q$2,Inputs!$K$4:$AJ$4,0))))+SUMPRODUCT((Inputs!$E$5:$E$200=$B35)*ISNUMBER(INDEX(Inputs!$K$5:$AJ$200,0,MATCH(Q$2,Inputs!$K$4:$AJ$4,0))))=0,NA(),SUMPRODUCT((Inputs!$A$5:$A$200=$B35)*Inputs!$B$5:$B$200*(((Inputs!$G$5:$G$200="moeda")+(Inputs!$G$5:$G$200="acoes"))*Inputs!$B$1+((Inputs!$G$5:$G$200&lt;&gt;"moeda")*(Inputs!$G$5:$G$200&lt;&gt;"acoes")))*INDEX(Inputs!$K$5:$AJ$200,0,MATCH(Q$2,Inputs!$K$4:$AJ$4,0)))+SUMPRODUCT((Inputs!$C$5:$C$200=$B35)*Inputs!$D$5:$D$200*(((Inputs!$G$5:$G$200="moeda")+(Inputs!$G$5:$G$200="acoes"))*Inputs!$B$1+((Inputs!$G$5:$G$200&lt;&gt;"moeda")*(Inputs!$G$5:$G$200&lt;&gt;"acoes")))*INDEX(Inputs!$K$5:$AJ$200,0,MATCH(Q$2,Inputs!$K$4:$AJ$4,0)))+SUMPRODUCT((Inputs!$E$5:$E$200=$B35)*Inputs!$F$5:$F$200*(((Inputs!$G$5:$G$200="moeda")+(Inputs!$G$5:$G$200="acoes"))*Inputs!$B$1+((Inputs!$G$5:$G$200&lt;&gt;"moeda")*(Inputs!$G$5:$G$200&lt;&gt;"acoes")))*INDEX(Inputs!$K$5:$AJ$200,0,MATCH(Q$2,Inputs!$K$4:$AJ$4,0)))))</f>
        <v>1079.806</v>
      </c>
      <c r="R35" s="3">
        <f>Q35</f>
        <v>1079.806</v>
      </c>
      <c r="S35" s="6">
        <f>IF(ISNA(MATCH(S$2,Inputs!$K$4:$AJ$4,0)),NA(),IF(SUMPRODUCT((Inputs!$A$5:$A$200=$B35)*ISNUMBER(INDEX(Inputs!$K$5:$AJ$200,0,MATCH(S$2,Inputs!$K$4:$AJ$4,0))))+SUMPRODUCT((Inputs!$C$5:$C$200=$B35)*ISNUMBER(INDEX(Inputs!$K$5:$AJ$200,0,MATCH(S$2,Inputs!$K$4:$AJ$4,0))))+SUMPRODUCT((Inputs!$E$5:$E$200=$B35)*ISNUMBER(INDEX(Inputs!$K$5:$AJ$200,0,MATCH(S$2,Inputs!$K$4:$AJ$4,0))))=0,NA(),SUMPRODUCT((Inputs!$A$5:$A$200=$B35)*Inputs!$B$5:$B$200*(((Inputs!$G$5:$G$200="moeda")+(Inputs!$G$5:$G$200="acoes"))*Inputs!$B$1+((Inputs!$G$5:$G$200&lt;&gt;"moeda")*(Inputs!$G$5:$G$200&lt;&gt;"acoes")))*INDEX(Inputs!$K$5:$AJ$200,0,MATCH(S$2,Inputs!$K$4:$AJ$4,0)))+SUMPRODUCT((Inputs!$C$5:$C$200=$B35)*Inputs!$D$5:$D$200*(((Inputs!$G$5:$G$200="moeda")+(Inputs!$G$5:$G$200="acoes"))*Inputs!$B$1+((Inputs!$G$5:$G$200&lt;&gt;"moeda")*(Inputs!$G$5:$G$200&lt;&gt;"acoes")))*INDEX(Inputs!$K$5:$AJ$200,0,MATCH(S$2,Inputs!$K$4:$AJ$4,0)))+SUMPRODUCT((Inputs!$E$5:$E$200=$B35)*Inputs!$F$5:$F$200*(((Inputs!$G$5:$G$200="moeda")+(Inputs!$G$5:$G$200="acoes"))*Inputs!$B$1+((Inputs!$G$5:$G$200&lt;&gt;"moeda")*(Inputs!$G$5:$G$200&lt;&gt;"acoes")))*INDEX(Inputs!$K$5:$AJ$200,0,MATCH(S$2,Inputs!$K$4:$AJ$4,0)))))</f>
        <v>1085.754</v>
      </c>
      <c r="T35" s="6">
        <f>IF(ISNA(MATCH(T$2,Inputs!$K$4:$AJ$4,0)),NA(),IF(SUMPRODUCT((Inputs!$A$5:$A$200=$B35)*ISNUMBER(INDEX(Inputs!$K$5:$AJ$200,0,MATCH(T$2,Inputs!$K$4:$AJ$4,0))))+SUMPRODUCT((Inputs!$C$5:$C$200=$B35)*ISNUMBER(INDEX(Inputs!$K$5:$AJ$200,0,MATCH(T$2,Inputs!$K$4:$AJ$4,0))))+SUMPRODUCT((Inputs!$E$5:$E$200=$B35)*ISNUMBER(INDEX(Inputs!$K$5:$AJ$200,0,MATCH(T$2,Inputs!$K$4:$AJ$4,0))))=0,NA(),SUMPRODUCT((Inputs!$A$5:$A$200=$B35)*Inputs!$B$5:$B$200*(((Inputs!$G$5:$G$200="moeda")+(Inputs!$G$5:$G$200="acoes"))*Inputs!$B$1+((Inputs!$G$5:$G$200&lt;&gt;"moeda")*(Inputs!$G$5:$G$200&lt;&gt;"acoes")))*INDEX(Inputs!$K$5:$AJ$200,0,MATCH(T$2,Inputs!$K$4:$AJ$4,0)))+SUMPRODUCT((Inputs!$C$5:$C$200=$B35)*Inputs!$D$5:$D$200*(((Inputs!$G$5:$G$200="moeda")+(Inputs!$G$5:$G$200="acoes"))*Inputs!$B$1+((Inputs!$G$5:$G$200&lt;&gt;"moeda")*(Inputs!$G$5:$G$200&lt;&gt;"acoes")))*INDEX(Inputs!$K$5:$AJ$200,0,MATCH(T$2,Inputs!$K$4:$AJ$4,0)))+SUMPRODUCT((Inputs!$E$5:$E$200=$B35)*Inputs!$F$5:$F$200*(((Inputs!$G$5:$G$200="moeda")+(Inputs!$G$5:$G$200="acoes"))*Inputs!$B$1+((Inputs!$G$5:$G$200&lt;&gt;"moeda")*(Inputs!$G$5:$G$200&lt;&gt;"acoes")))*INDEX(Inputs!$K$5:$AJ$200,0,MATCH(T$2,Inputs!$K$4:$AJ$4,0)))))</f>
        <v>1133.232</v>
      </c>
      <c r="U35" s="6">
        <f>IF(ISNA(MATCH(U$2,Inputs!$K$4:$AJ$4,0)),NA(),IF(SUMPRODUCT((Inputs!$A$5:$A$200=$B35)*ISNUMBER(INDEX(Inputs!$K$5:$AJ$200,0,MATCH(U$2,Inputs!$K$4:$AJ$4,0))))+SUMPRODUCT((Inputs!$C$5:$C$200=$B35)*ISNUMBER(INDEX(Inputs!$K$5:$AJ$200,0,MATCH(U$2,Inputs!$K$4:$AJ$4,0))))+SUMPRODUCT((Inputs!$E$5:$E$200=$B35)*ISNUMBER(INDEX(Inputs!$K$5:$AJ$200,0,MATCH(U$2,Inputs!$K$4:$AJ$4,0))))=0,NA(),SUMPRODUCT((Inputs!$A$5:$A$200=$B35)*Inputs!$B$5:$B$200*(((Inputs!$G$5:$G$200="moeda")+(Inputs!$G$5:$G$200="acoes"))*Inputs!$B$1+((Inputs!$G$5:$G$200&lt;&gt;"moeda")*(Inputs!$G$5:$G$200&lt;&gt;"acoes")))*INDEX(Inputs!$K$5:$AJ$200,0,MATCH(U$2,Inputs!$K$4:$AJ$4,0)))+SUMPRODUCT((Inputs!$C$5:$C$200=$B35)*Inputs!$D$5:$D$200*(((Inputs!$G$5:$G$200="moeda")+(Inputs!$G$5:$G$200="acoes"))*Inputs!$B$1+((Inputs!$G$5:$G$200&lt;&gt;"moeda")*(Inputs!$G$5:$G$200&lt;&gt;"acoes")))*INDEX(Inputs!$K$5:$AJ$200,0,MATCH(U$2,Inputs!$K$4:$AJ$4,0)))+SUMPRODUCT((Inputs!$E$5:$E$200=$B35)*Inputs!$F$5:$F$200*(((Inputs!$G$5:$G$200="moeda")+(Inputs!$G$5:$G$200="acoes"))*Inputs!$B$1+((Inputs!$G$5:$G$200&lt;&gt;"moeda")*(Inputs!$G$5:$G$200&lt;&gt;"acoes")))*INDEX(Inputs!$K$5:$AJ$200,0,MATCH(U$2,Inputs!$K$4:$AJ$4,0)))))</f>
        <v>1585.62</v>
      </c>
      <c r="V35" s="6">
        <f>IF(ISNA(MATCH(V$2,Inputs!$K$4:$AJ$4,0)),NA(),IF(SUMPRODUCT((Inputs!$A$5:$A$200=$B35)*ISNUMBER(INDEX(Inputs!$K$5:$AJ$200,0,MATCH(V$2,Inputs!$K$4:$AJ$4,0))))+SUMPRODUCT((Inputs!$C$5:$C$200=$B35)*ISNUMBER(INDEX(Inputs!$K$5:$AJ$200,0,MATCH(V$2,Inputs!$K$4:$AJ$4,0))))+SUMPRODUCT((Inputs!$E$5:$E$200=$B35)*ISNUMBER(INDEX(Inputs!$K$5:$AJ$200,0,MATCH(V$2,Inputs!$K$4:$AJ$4,0))))=0,NA(),SUMPRODUCT((Inputs!$A$5:$A$200=$B35)*Inputs!$B$5:$B$200*(((Inputs!$G$5:$G$200="moeda")+(Inputs!$G$5:$G$200="acoes"))*Inputs!$B$1+((Inputs!$G$5:$G$200&lt;&gt;"moeda")*(Inputs!$G$5:$G$200&lt;&gt;"acoes")))*INDEX(Inputs!$K$5:$AJ$200,0,MATCH(V$2,Inputs!$K$4:$AJ$4,0)))+SUMPRODUCT((Inputs!$C$5:$C$200=$B35)*Inputs!$D$5:$D$200*(((Inputs!$G$5:$G$200="moeda")+(Inputs!$G$5:$G$200="acoes"))*Inputs!$B$1+((Inputs!$G$5:$G$200&lt;&gt;"moeda")*(Inputs!$G$5:$G$200&lt;&gt;"acoes")))*INDEX(Inputs!$K$5:$AJ$200,0,MATCH(V$2,Inputs!$K$4:$AJ$4,0)))+SUMPRODUCT((Inputs!$E$5:$E$200=$B35)*Inputs!$F$5:$F$200*(((Inputs!$G$5:$G$200="moeda")+(Inputs!$G$5:$G$200="acoes"))*Inputs!$B$1+((Inputs!$G$5:$G$200&lt;&gt;"moeda")*(Inputs!$G$5:$G$200&lt;&gt;"acoes")))*INDEX(Inputs!$K$5:$AJ$200,0,MATCH(V$2,Inputs!$K$4:$AJ$4,0)))))</f>
        <v>1726.341</v>
      </c>
      <c r="W35" s="3">
        <f>V35</f>
        <v>1726.341</v>
      </c>
      <c r="X35" s="6">
        <f>IF(ISNA(MATCH(X$2,Inputs!$K$4:$AJ$4,0)),NA(),IF(SUMPRODUCT((Inputs!$A$5:$A$200=$B35)*ISNUMBER(INDEX(Inputs!$K$5:$AJ$200,0,MATCH(X$2,Inputs!$K$4:$AJ$4,0))))+SUMPRODUCT((Inputs!$C$5:$C$200=$B35)*ISNUMBER(INDEX(Inputs!$K$5:$AJ$200,0,MATCH(X$2,Inputs!$K$4:$AJ$4,0))))+SUMPRODUCT((Inputs!$E$5:$E$200=$B35)*ISNUMBER(INDEX(Inputs!$K$5:$AJ$200,0,MATCH(X$2,Inputs!$K$4:$AJ$4,0))))=0,NA(),SUMPRODUCT((Inputs!$A$5:$A$200=$B35)*Inputs!$B$5:$B$200*(((Inputs!$G$5:$G$200="moeda")+(Inputs!$G$5:$G$200="acoes"))*Inputs!$B$1+((Inputs!$G$5:$G$200&lt;&gt;"moeda")*(Inputs!$G$5:$G$200&lt;&gt;"acoes")))*INDEX(Inputs!$K$5:$AJ$200,0,MATCH(X$2,Inputs!$K$4:$AJ$4,0)))+SUMPRODUCT((Inputs!$C$5:$C$200=$B35)*Inputs!$D$5:$D$200*(((Inputs!$G$5:$G$200="moeda")+(Inputs!$G$5:$G$200="acoes"))*Inputs!$B$1+((Inputs!$G$5:$G$200&lt;&gt;"moeda")*(Inputs!$G$5:$G$200&lt;&gt;"acoes")))*INDEX(Inputs!$K$5:$AJ$200,0,MATCH(X$2,Inputs!$K$4:$AJ$4,0)))+SUMPRODUCT((Inputs!$E$5:$E$200=$B35)*Inputs!$F$5:$F$200*(((Inputs!$G$5:$G$200="moeda")+(Inputs!$G$5:$G$200="acoes"))*Inputs!$B$1+((Inputs!$G$5:$G$200&lt;&gt;"moeda")*(Inputs!$G$5:$G$200&lt;&gt;"acoes")))*INDEX(Inputs!$K$5:$AJ$200,0,MATCH(X$2,Inputs!$K$4:$AJ$4,0)))))</f>
        <v>1746.73</v>
      </c>
      <c r="Y35" s="6">
        <f>IF(ISNA(MATCH(Y$2,Inputs!$K$4:$AJ$4,0)),NA(),IF(SUMPRODUCT((Inputs!$A$5:$A$200=$B35)*ISNUMBER(INDEX(Inputs!$K$5:$AJ$200,0,MATCH(Y$2,Inputs!$K$4:$AJ$4,0))))+SUMPRODUCT((Inputs!$C$5:$C$200=$B35)*ISNUMBER(INDEX(Inputs!$K$5:$AJ$200,0,MATCH(Y$2,Inputs!$K$4:$AJ$4,0))))+SUMPRODUCT((Inputs!$E$5:$E$200=$B35)*ISNUMBER(INDEX(Inputs!$K$5:$AJ$200,0,MATCH(Y$2,Inputs!$K$4:$AJ$4,0))))=0,NA(),SUMPRODUCT((Inputs!$A$5:$A$200=$B35)*Inputs!$B$5:$B$200*(((Inputs!$G$5:$G$200="moeda")+(Inputs!$G$5:$G$200="acoes"))*Inputs!$B$1+((Inputs!$G$5:$G$200&lt;&gt;"moeda")*(Inputs!$G$5:$G$200&lt;&gt;"acoes")))*INDEX(Inputs!$K$5:$AJ$200,0,MATCH(Y$2,Inputs!$K$4:$AJ$4,0)))+SUMPRODUCT((Inputs!$C$5:$C$200=$B35)*Inputs!$D$5:$D$200*(((Inputs!$G$5:$G$200="moeda")+(Inputs!$G$5:$G$200="acoes"))*Inputs!$B$1+((Inputs!$G$5:$G$200&lt;&gt;"moeda")*(Inputs!$G$5:$G$200&lt;&gt;"acoes")))*INDEX(Inputs!$K$5:$AJ$200,0,MATCH(Y$2,Inputs!$K$4:$AJ$4,0)))+SUMPRODUCT((Inputs!$E$5:$E$200=$B35)*Inputs!$F$5:$F$200*(((Inputs!$G$5:$G$200="moeda")+(Inputs!$G$5:$G$200="acoes"))*Inputs!$B$1+((Inputs!$G$5:$G$200&lt;&gt;"moeda")*(Inputs!$G$5:$G$200&lt;&gt;"acoes")))*INDEX(Inputs!$K$5:$AJ$200,0,MATCH(Y$2,Inputs!$K$4:$AJ$4,0)))))</f>
        <v>1666.378</v>
      </c>
      <c r="Z35" s="6">
        <f>IF(ISNA(MATCH(Z$2,Inputs!$K$4:$AJ$4,0)),NA(),IF(SUMPRODUCT((Inputs!$A$5:$A$200=$B35)*ISNUMBER(INDEX(Inputs!$K$5:$AJ$200,0,MATCH(Z$2,Inputs!$K$4:$AJ$4,0))))+SUMPRODUCT((Inputs!$C$5:$C$200=$B35)*ISNUMBER(INDEX(Inputs!$K$5:$AJ$200,0,MATCH(Z$2,Inputs!$K$4:$AJ$4,0))))+SUMPRODUCT((Inputs!$E$5:$E$200=$B35)*ISNUMBER(INDEX(Inputs!$K$5:$AJ$200,0,MATCH(Z$2,Inputs!$K$4:$AJ$4,0))))=0,NA(),SUMPRODUCT((Inputs!$A$5:$A$200=$B35)*Inputs!$B$5:$B$200*(((Inputs!$G$5:$G$200="moeda")+(Inputs!$G$5:$G$200="acoes"))*Inputs!$B$1+((Inputs!$G$5:$G$200&lt;&gt;"moeda")*(Inputs!$G$5:$G$200&lt;&gt;"acoes")))*INDEX(Inputs!$K$5:$AJ$200,0,MATCH(Z$2,Inputs!$K$4:$AJ$4,0)))+SUMPRODUCT((Inputs!$C$5:$C$200=$B35)*Inputs!$D$5:$D$200*(((Inputs!$G$5:$G$200="moeda")+(Inputs!$G$5:$G$200="acoes"))*Inputs!$B$1+((Inputs!$G$5:$G$200&lt;&gt;"moeda")*(Inputs!$G$5:$G$200&lt;&gt;"acoes")))*INDEX(Inputs!$K$5:$AJ$200,0,MATCH(Z$2,Inputs!$K$4:$AJ$4,0)))+SUMPRODUCT((Inputs!$E$5:$E$200=$B35)*Inputs!$F$5:$F$200*(((Inputs!$G$5:$G$200="moeda")+(Inputs!$G$5:$G$200="acoes"))*Inputs!$B$1+((Inputs!$G$5:$G$200&lt;&gt;"moeda")*(Inputs!$G$5:$G$200&lt;&gt;"acoes")))*INDEX(Inputs!$K$5:$AJ$200,0,MATCH(Z$2,Inputs!$K$4:$AJ$4,0)))))</f>
        <v>1915.243</v>
      </c>
      <c r="AA35" s="6">
        <f>IF(ISNA(MATCH(AA$2,Inputs!$K$4:$AJ$4,0)),NA(),IF(SUMPRODUCT((Inputs!$A$5:$A$200=$B35)*ISNUMBER(INDEX(Inputs!$K$5:$AJ$200,0,MATCH(AA$2,Inputs!$K$4:$AJ$4,0))))+SUMPRODUCT((Inputs!$C$5:$C$200=$B35)*ISNUMBER(INDEX(Inputs!$K$5:$AJ$200,0,MATCH(AA$2,Inputs!$K$4:$AJ$4,0))))+SUMPRODUCT((Inputs!$E$5:$E$200=$B35)*ISNUMBER(INDEX(Inputs!$K$5:$AJ$200,0,MATCH(AA$2,Inputs!$K$4:$AJ$4,0))))=0,NA(),SUMPRODUCT((Inputs!$A$5:$A$200=$B35)*Inputs!$B$5:$B$200*(((Inputs!$G$5:$G$200="moeda")+(Inputs!$G$5:$G$200="acoes"))*Inputs!$B$1+((Inputs!$G$5:$G$200&lt;&gt;"moeda")*(Inputs!$G$5:$G$200&lt;&gt;"acoes")))*INDEX(Inputs!$K$5:$AJ$200,0,MATCH(AA$2,Inputs!$K$4:$AJ$4,0)))+SUMPRODUCT((Inputs!$C$5:$C$200=$B35)*Inputs!$D$5:$D$200*(((Inputs!$G$5:$G$200="moeda")+(Inputs!$G$5:$G$200="acoes"))*Inputs!$B$1+((Inputs!$G$5:$G$200&lt;&gt;"moeda")*(Inputs!$G$5:$G$200&lt;&gt;"acoes")))*INDEX(Inputs!$K$5:$AJ$200,0,MATCH(AA$2,Inputs!$K$4:$AJ$4,0)))+SUMPRODUCT((Inputs!$E$5:$E$200=$B35)*Inputs!$F$5:$F$200*(((Inputs!$G$5:$G$200="moeda")+(Inputs!$G$5:$G$200="acoes"))*Inputs!$B$1+((Inputs!$G$5:$G$200&lt;&gt;"moeda")*(Inputs!$G$5:$G$200&lt;&gt;"acoes")))*INDEX(Inputs!$K$5:$AJ$200,0,MATCH(AA$2,Inputs!$K$4:$AJ$4,0)))))</f>
        <v>1943.929</v>
      </c>
      <c r="AB35" s="3">
        <f>AA35</f>
        <v>1943.929</v>
      </c>
      <c r="AC35" s="6">
        <f>IF(ISNA(MATCH(AC$2,Inputs!$K$4:$AJ$4,0)),NA(),IF(SUMPRODUCT((Inputs!$A$5:$A$200=$B35)*ISNUMBER(INDEX(Inputs!$K$5:$AJ$200,0,MATCH(AC$2,Inputs!$K$4:$AJ$4,0))))+SUMPRODUCT((Inputs!$C$5:$C$200=$B35)*ISNUMBER(INDEX(Inputs!$K$5:$AJ$200,0,MATCH(AC$2,Inputs!$K$4:$AJ$4,0))))+SUMPRODUCT((Inputs!$E$5:$E$200=$B35)*ISNUMBER(INDEX(Inputs!$K$5:$AJ$200,0,MATCH(AC$2,Inputs!$K$4:$AJ$4,0))))=0,NA(),SUMPRODUCT((Inputs!$A$5:$A$200=$B35)*Inputs!$B$5:$B$200*(((Inputs!$G$5:$G$200="moeda")+(Inputs!$G$5:$G$200="acoes"))*Inputs!$B$1+((Inputs!$G$5:$G$200&lt;&gt;"moeda")*(Inputs!$G$5:$G$200&lt;&gt;"acoes")))*INDEX(Inputs!$K$5:$AJ$200,0,MATCH(AC$2,Inputs!$K$4:$AJ$4,0)))+SUMPRODUCT((Inputs!$C$5:$C$200=$B35)*Inputs!$D$5:$D$200*(((Inputs!$G$5:$G$200="moeda")+(Inputs!$G$5:$G$200="acoes"))*Inputs!$B$1+((Inputs!$G$5:$G$200&lt;&gt;"moeda")*(Inputs!$G$5:$G$200&lt;&gt;"acoes")))*INDEX(Inputs!$K$5:$AJ$200,0,MATCH(AC$2,Inputs!$K$4:$AJ$4,0)))+SUMPRODUCT((Inputs!$E$5:$E$200=$B35)*Inputs!$F$5:$F$200*(((Inputs!$G$5:$G$200="moeda")+(Inputs!$G$5:$G$200="acoes"))*Inputs!$B$1+((Inputs!$G$5:$G$200&lt;&gt;"moeda")*(Inputs!$G$5:$G$200&lt;&gt;"acoes")))*INDEX(Inputs!$K$5:$AJ$200,0,MATCH(AC$2,Inputs!$K$4:$AJ$4,0)))))</f>
        <v>2054.653</v>
      </c>
      <c r="AD35" s="6">
        <f>IF(ISNA(MATCH(AD$2,Inputs!$K$4:$AJ$4,0)),NA(),IF(SUMPRODUCT((Inputs!$A$5:$A$200=$B35)*ISNUMBER(INDEX(Inputs!$K$5:$AJ$200,0,MATCH(AD$2,Inputs!$K$4:$AJ$4,0))))+SUMPRODUCT((Inputs!$C$5:$C$200=$B35)*ISNUMBER(INDEX(Inputs!$K$5:$AJ$200,0,MATCH(AD$2,Inputs!$K$4:$AJ$4,0))))+SUMPRODUCT((Inputs!$E$5:$E$200=$B35)*ISNUMBER(INDEX(Inputs!$K$5:$AJ$200,0,MATCH(AD$2,Inputs!$K$4:$AJ$4,0))))=0,NA(),SUMPRODUCT((Inputs!$A$5:$A$200=$B35)*Inputs!$B$5:$B$200*(((Inputs!$G$5:$G$200="moeda")+(Inputs!$G$5:$G$200="acoes"))*Inputs!$B$1+((Inputs!$G$5:$G$200&lt;&gt;"moeda")*(Inputs!$G$5:$G$200&lt;&gt;"acoes")))*INDEX(Inputs!$K$5:$AJ$200,0,MATCH(AD$2,Inputs!$K$4:$AJ$4,0)))+SUMPRODUCT((Inputs!$C$5:$C$200=$B35)*Inputs!$D$5:$D$200*(((Inputs!$G$5:$G$200="moeda")+(Inputs!$G$5:$G$200="acoes"))*Inputs!$B$1+((Inputs!$G$5:$G$200&lt;&gt;"moeda")*(Inputs!$G$5:$G$200&lt;&gt;"acoes")))*INDEX(Inputs!$K$5:$AJ$200,0,MATCH(AD$2,Inputs!$K$4:$AJ$4,0)))+SUMPRODUCT((Inputs!$E$5:$E$200=$B35)*Inputs!$F$5:$F$200*(((Inputs!$G$5:$G$200="moeda")+(Inputs!$G$5:$G$200="acoes"))*Inputs!$B$1+((Inputs!$G$5:$G$200&lt;&gt;"moeda")*(Inputs!$G$5:$G$200&lt;&gt;"acoes")))*INDEX(Inputs!$K$5:$AJ$200,0,MATCH(AD$2,Inputs!$K$4:$AJ$4,0)))))</f>
        <v>3485.914</v>
      </c>
      <c r="AE35" s="6" t="e">
        <f>IF(ISNA(MATCH(AE$2,Inputs!$K$4:$AJ$4,0)),NA(),IF(SUMPRODUCT((Inputs!$A$5:$A$200=$B35)*ISNUMBER(INDEX(Inputs!$K$5:$AJ$200,0,MATCH(AE$2,Inputs!$K$4:$AJ$4,0))))+SUMPRODUCT((Inputs!$C$5:$C$200=$B35)*ISNUMBER(INDEX(Inputs!$K$5:$AJ$200,0,MATCH(AE$2,Inputs!$K$4:$AJ$4,0))))+SUMPRODUCT((Inputs!$E$5:$E$200=$B35)*ISNUMBER(INDEX(Inputs!$K$5:$AJ$200,0,MATCH(AE$2,Inputs!$K$4:$AJ$4,0))))=0,NA(),SUMPRODUCT((Inputs!$A$5:$A$200=$B35)*Inputs!$B$5:$B$200*(((Inputs!$G$5:$G$200="moeda")+(Inputs!$G$5:$G$200="acoes"))*Inputs!$B$1+((Inputs!$G$5:$G$200&lt;&gt;"moeda")*(Inputs!$G$5:$G$200&lt;&gt;"acoes")))*INDEX(Inputs!$K$5:$AJ$200,0,MATCH(AE$2,Inputs!$K$4:$AJ$4,0)))+SUMPRODUCT((Inputs!$C$5:$C$200=$B35)*Inputs!$D$5:$D$200*(((Inputs!$G$5:$G$200="moeda")+(Inputs!$G$5:$G$200="acoes"))*Inputs!$B$1+((Inputs!$G$5:$G$200&lt;&gt;"moeda")*(Inputs!$G$5:$G$200&lt;&gt;"acoes")))*INDEX(Inputs!$K$5:$AJ$200,0,MATCH(AE$2,Inputs!$K$4:$AJ$4,0)))+SUMPRODUCT((Inputs!$E$5:$E$200=$B35)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5" s="6" t="e">
        <f>IF(ISNA(MATCH(AF$2,Inputs!$K$4:$AJ$4,0)),NA(),IF(SUMPRODUCT((Inputs!$A$5:$A$200=$B35)*ISNUMBER(INDEX(Inputs!$K$5:$AJ$200,0,MATCH(AF$2,Inputs!$K$4:$AJ$4,0))))+SUMPRODUCT((Inputs!$C$5:$C$200=$B35)*ISNUMBER(INDEX(Inputs!$K$5:$AJ$200,0,MATCH(AF$2,Inputs!$K$4:$AJ$4,0))))+SUMPRODUCT((Inputs!$E$5:$E$200=$B35)*ISNUMBER(INDEX(Inputs!$K$5:$AJ$200,0,MATCH(AF$2,Inputs!$K$4:$AJ$4,0))))=0,NA(),SUMPRODUCT((Inputs!$A$5:$A$200=$B35)*Inputs!$B$5:$B$200*(((Inputs!$G$5:$G$200="moeda")+(Inputs!$G$5:$G$200="acoes"))*Inputs!$B$1+((Inputs!$G$5:$G$200&lt;&gt;"moeda")*(Inputs!$G$5:$G$200&lt;&gt;"acoes")))*INDEX(Inputs!$K$5:$AJ$200,0,MATCH(AF$2,Inputs!$K$4:$AJ$4,0)))+SUMPRODUCT((Inputs!$C$5:$C$200=$B35)*Inputs!$D$5:$D$200*(((Inputs!$G$5:$G$200="moeda")+(Inputs!$G$5:$G$200="acoes"))*Inputs!$B$1+((Inputs!$G$5:$G$200&lt;&gt;"moeda")*(Inputs!$G$5:$G$200&lt;&gt;"acoes")))*INDEX(Inputs!$K$5:$AJ$200,0,MATCH(AF$2,Inputs!$K$4:$AJ$4,0)))+SUMPRODUCT((Inputs!$E$5:$E$200=$B35)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5" s="3" t="e">
        <f>AF35</f>
        <v>#N/A</v>
      </c>
      <c r="AH35" s="6">
        <f>IF(ISNA(MATCH(AH$2,Inputs!$K$4:$AJ$4,0)),NA(),IF(SUMPRODUCT((Inputs!$A$5:$A$200=$B35)*ISNUMBER(INDEX(Inputs!$K$5:$AJ$200,0,MATCH(AH$2,Inputs!$K$4:$AJ$4,0))))+SUMPRODUCT((Inputs!$C$5:$C$200=$B35)*ISNUMBER(INDEX(Inputs!$K$5:$AJ$200,0,MATCH(AH$2,Inputs!$K$4:$AJ$4,0))))+SUMPRODUCT((Inputs!$E$5:$E$200=$B35)*ISNUMBER(INDEX(Inputs!$K$5:$AJ$200,0,MATCH(AH$2,Inputs!$K$4:$AJ$4,0))))=0,NA(),SUMPRODUCT((Inputs!$A$5:$A$200=$B35)*Inputs!$B$5:$B$200*(((Inputs!$G$5:$G$200="moeda")+(Inputs!$G$5:$G$200="acoes"))*Inputs!$B$1+((Inputs!$G$5:$G$200&lt;&gt;"moeda")*(Inputs!$G$5:$G$200&lt;&gt;"acoes")))*INDEX(Inputs!$K$5:$AJ$200,0,MATCH(AH$2,Inputs!$K$4:$AJ$4,0)))+SUMPRODUCT((Inputs!$C$5:$C$200=$B35)*Inputs!$D$5:$D$200*(((Inputs!$G$5:$G$200="moeda")+(Inputs!$G$5:$G$200="acoes"))*Inputs!$B$1+((Inputs!$G$5:$G$200&lt;&gt;"moeda")*(Inputs!$G$5:$G$200&lt;&gt;"acoes")))*INDEX(Inputs!$K$5:$AJ$200,0,MATCH(AH$2,Inputs!$K$4:$AJ$4,0)))+SUMPRODUCT((Inputs!$E$5:$E$200=$B35)*Inputs!$F$5:$F$200*(((Inputs!$G$5:$G$200="moeda")+(Inputs!$G$5:$G$200="acoes"))*Inputs!$B$1+((Inputs!$G$5:$G$200&lt;&gt;"moeda")*(Inputs!$G$5:$G$200&lt;&gt;"acoes")))*INDEX(Inputs!$K$5:$AJ$200,0,MATCH(AH$2,Inputs!$K$4:$AJ$4,0)))))</f>
        <v>415.77</v>
      </c>
      <c r="AI35" s="6">
        <f>IF(ISNA(MATCH(AI$2,Inputs!$K$4:$AJ$4,0)),NA(),IF(SUMPRODUCT((Inputs!$A$5:$A$200=$B35)*ISNUMBER(INDEX(Inputs!$K$5:$AJ$200,0,MATCH(AI$2,Inputs!$K$4:$AJ$4,0))))+SUMPRODUCT((Inputs!$C$5:$C$200=$B35)*ISNUMBER(INDEX(Inputs!$K$5:$AJ$200,0,MATCH(AI$2,Inputs!$K$4:$AJ$4,0))))+SUMPRODUCT((Inputs!$E$5:$E$200=$B35)*ISNUMBER(INDEX(Inputs!$K$5:$AJ$200,0,MATCH(AI$2,Inputs!$K$4:$AJ$4,0))))=0,NA(),SUMPRODUCT((Inputs!$A$5:$A$200=$B35)*Inputs!$B$5:$B$200*(((Inputs!$G$5:$G$200="moeda")+(Inputs!$G$5:$G$200="acoes"))*Inputs!$B$1+((Inputs!$G$5:$G$200&lt;&gt;"moeda")*(Inputs!$G$5:$G$200&lt;&gt;"acoes")))*INDEX(Inputs!$K$5:$AJ$200,0,MATCH(AI$2,Inputs!$K$4:$AJ$4,0)))+SUMPRODUCT((Inputs!$C$5:$C$200=$B35)*Inputs!$D$5:$D$200*(((Inputs!$G$5:$G$200="moeda")+(Inputs!$G$5:$G$200="acoes"))*Inputs!$B$1+((Inputs!$G$5:$G$200&lt;&gt;"moeda")*(Inputs!$G$5:$G$200&lt;&gt;"acoes")))*INDEX(Inputs!$K$5:$AJ$200,0,MATCH(AI$2,Inputs!$K$4:$AJ$4,0)))+SUMPRODUCT((Inputs!$E$5:$E$200=$B35)*Inputs!$F$5:$F$200*(((Inputs!$G$5:$G$200="moeda")+(Inputs!$G$5:$G$200="acoes"))*Inputs!$B$1+((Inputs!$G$5:$G$200&lt;&gt;"moeda")*(Inputs!$G$5:$G$200&lt;&gt;"acoes")))*INDEX(Inputs!$K$5:$AJ$200,0,MATCH(AI$2,Inputs!$K$4:$AJ$4,0)))))</f>
        <v>51.683</v>
      </c>
      <c r="AJ35" s="6">
        <f>IF(ISNA(MATCH(AJ$2,Inputs!$K$4:$AJ$4,0)),NA(),IF(SUMPRODUCT((Inputs!$A$5:$A$200=$B35)*ISNUMBER(INDEX(Inputs!$K$5:$AJ$200,0,MATCH(AJ$2,Inputs!$K$4:$AJ$4,0))))+SUMPRODUCT((Inputs!$C$5:$C$200=$B35)*ISNUMBER(INDEX(Inputs!$K$5:$AJ$200,0,MATCH(AJ$2,Inputs!$K$4:$AJ$4,0))))+SUMPRODUCT((Inputs!$E$5:$E$200=$B35)*ISNUMBER(INDEX(Inputs!$K$5:$AJ$200,0,MATCH(AJ$2,Inputs!$K$4:$AJ$4,0))))=0,NA(),SUMPRODUCT((Inputs!$A$5:$A$200=$B35)*Inputs!$B$5:$B$200*(((Inputs!$G$5:$G$200="moeda")+(Inputs!$G$5:$G$200="acoes"))*Inputs!$B$1+((Inputs!$G$5:$G$200&lt;&gt;"moeda")*(Inputs!$G$5:$G$200&lt;&gt;"acoes")))*INDEX(Inputs!$K$5:$AJ$200,0,MATCH(AJ$2,Inputs!$K$4:$AJ$4,0)))+SUMPRODUCT((Inputs!$C$5:$C$200=$B35)*Inputs!$D$5:$D$200*(((Inputs!$G$5:$G$200="moeda")+(Inputs!$G$5:$G$200="acoes"))*Inputs!$B$1+((Inputs!$G$5:$G$200&lt;&gt;"moeda")*(Inputs!$G$5:$G$200&lt;&gt;"acoes")))*INDEX(Inputs!$K$5:$AJ$200,0,MATCH(AJ$2,Inputs!$K$4:$AJ$4,0)))+SUMPRODUCT((Inputs!$E$5:$E$200=$B35)*Inputs!$F$5:$F$200*(((Inputs!$G$5:$G$200="moeda")+(Inputs!$G$5:$G$200="acoes"))*Inputs!$B$1+((Inputs!$G$5:$G$200&lt;&gt;"moeda")*(Inputs!$G$5:$G$200&lt;&gt;"acoes")))*INDEX(Inputs!$K$5:$AJ$200,0,MATCH(AJ$2,Inputs!$K$4:$AJ$4,0)))))</f>
        <v>291.996</v>
      </c>
      <c r="AK35" s="6">
        <f>IF(ISNA(MATCH(AK$2,Inputs!$K$4:$AJ$4,0)),NA(),IF(SUMPRODUCT((Inputs!$A$5:$A$200=$B35)*ISNUMBER(INDEX(Inputs!$K$5:$AJ$200,0,MATCH(AK$2,Inputs!$K$4:$AJ$4,0))))+SUMPRODUCT((Inputs!$C$5:$C$200=$B35)*ISNUMBER(INDEX(Inputs!$K$5:$AJ$200,0,MATCH(AK$2,Inputs!$K$4:$AJ$4,0))))+SUMPRODUCT((Inputs!$E$5:$E$200=$B35)*ISNUMBER(INDEX(Inputs!$K$5:$AJ$200,0,MATCH(AK$2,Inputs!$K$4:$AJ$4,0))))=0,NA(),SUMPRODUCT((Inputs!$A$5:$A$200=$B35)*Inputs!$B$5:$B$200*(((Inputs!$G$5:$G$200="moeda")+(Inputs!$G$5:$G$200="acoes"))*Inputs!$B$1+((Inputs!$G$5:$G$200&lt;&gt;"moeda")*(Inputs!$G$5:$G$200&lt;&gt;"acoes")))*INDEX(Inputs!$K$5:$AJ$200,0,MATCH(AK$2,Inputs!$K$4:$AJ$4,0)))+SUMPRODUCT((Inputs!$C$5:$C$200=$B35)*Inputs!$D$5:$D$200*(((Inputs!$G$5:$G$200="moeda")+(Inputs!$G$5:$G$200="acoes"))*Inputs!$B$1+((Inputs!$G$5:$G$200&lt;&gt;"moeda")*(Inputs!$G$5:$G$200&lt;&gt;"acoes")))*INDEX(Inputs!$K$5:$AJ$200,0,MATCH(AK$2,Inputs!$K$4:$AJ$4,0)))+SUMPRODUCT((Inputs!$E$5:$E$200=$B35)*Inputs!$F$5:$F$200*(((Inputs!$G$5:$G$200="moeda")+(Inputs!$G$5:$G$200="acoes"))*Inputs!$B$1+((Inputs!$G$5:$G$200&lt;&gt;"moeda")*(Inputs!$G$5:$G$200&lt;&gt;"acoes")))*INDEX(Inputs!$K$5:$AJ$200,0,MATCH(AK$2,Inputs!$K$4:$AJ$4,0)))))</f>
        <v>281.737</v>
      </c>
      <c r="AL35" s="3">
        <f>AK35</f>
        <v>281.737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$200=$B36)*ISNUMBER(INDEX(Inputs!$K$5:$AJ$200,0,MATCH(D$2,Inputs!$K$4:$AJ$4,0))))+SUMPRODUCT((Inputs!$C$5:$C$200=$B36)*ISNUMBER(INDEX(Inputs!$K$5:$AJ$200,0,MATCH(D$2,Inputs!$K$4:$AJ$4,0))))+SUMPRODUCT((Inputs!$E$5:$E$200=$B36)*ISNUMBER(INDEX(Inputs!$K$5:$AJ$200,0,MATCH(D$2,Inputs!$K$4:$AJ$4,0))))=0,NA(),SUMPRODUCT((Inputs!$A$5:$A$200=$B36)*Inputs!$B$5:$B$200*(((Inputs!$G$5:$G$200="moeda")+(Inputs!$G$5:$G$200="acoes"))*Inputs!$B$1+((Inputs!$G$5:$G$200&lt;&gt;"moeda")*(Inputs!$G$5:$G$200&lt;&gt;"acoes")))*INDEX(Inputs!$K$5:$AJ$200,0,MATCH(D$2,Inputs!$K$4:$AJ$4,0)))+SUMPRODUCT((Inputs!$C$5:$C$200=$B36)*Inputs!$D$5:$D$200*(((Inputs!$G$5:$G$200="moeda")+(Inputs!$G$5:$G$200="acoes"))*Inputs!$B$1+((Inputs!$G$5:$G$200&lt;&gt;"moeda")*(Inputs!$G$5:$G$200&lt;&gt;"acoes")))*INDEX(Inputs!$K$5:$AJ$200,0,MATCH(D$2,Inputs!$K$4:$AJ$4,0)))+SUMPRODUCT((Inputs!$E$5:$E$200=$B36)*Inputs!$F$5:$F$200*(((Inputs!$G$5:$G$200="moeda")+(Inputs!$G$5:$G$200="acoes"))*Inputs!$B$1+((Inputs!$G$5:$G$200&lt;&gt;"moeda")*(Inputs!$G$5:$G$200&lt;&gt;"acoes")))*INDEX(Inputs!$K$5:$AJ$200,0,MATCH(D$2,Inputs!$K$4:$AJ$4,0)))))</f>
        <v>11.17</v>
      </c>
      <c r="E36" s="6">
        <f>IF(ISNA(MATCH(E$2,Inputs!$K$4:$AJ$4,0)),NA(),IF(SUMPRODUCT((Inputs!$A$5:$A$200=$B36)*ISNUMBER(INDEX(Inputs!$K$5:$AJ$200,0,MATCH(E$2,Inputs!$K$4:$AJ$4,0))))+SUMPRODUCT((Inputs!$C$5:$C$200=$B36)*ISNUMBER(INDEX(Inputs!$K$5:$AJ$200,0,MATCH(E$2,Inputs!$K$4:$AJ$4,0))))+SUMPRODUCT((Inputs!$E$5:$E$200=$B36)*ISNUMBER(INDEX(Inputs!$K$5:$AJ$200,0,MATCH(E$2,Inputs!$K$4:$AJ$4,0))))=0,NA(),SUMPRODUCT((Inputs!$A$5:$A$200=$B36)*Inputs!$B$5:$B$200*(((Inputs!$G$5:$G$200="moeda")+(Inputs!$G$5:$G$200="acoes"))*Inputs!$B$1+((Inputs!$G$5:$G$200&lt;&gt;"moeda")*(Inputs!$G$5:$G$200&lt;&gt;"acoes")))*INDEX(Inputs!$K$5:$AJ$200,0,MATCH(E$2,Inputs!$K$4:$AJ$4,0)))+SUMPRODUCT((Inputs!$C$5:$C$200=$B36)*Inputs!$D$5:$D$200*(((Inputs!$G$5:$G$200="moeda")+(Inputs!$G$5:$G$200="acoes"))*Inputs!$B$1+((Inputs!$G$5:$G$200&lt;&gt;"moeda")*(Inputs!$G$5:$G$200&lt;&gt;"acoes")))*INDEX(Inputs!$K$5:$AJ$200,0,MATCH(E$2,Inputs!$K$4:$AJ$4,0)))+SUMPRODUCT((Inputs!$E$5:$E$200=$B36)*Inputs!$F$5:$F$200*(((Inputs!$G$5:$G$200="moeda")+(Inputs!$G$5:$G$200="acoes"))*Inputs!$B$1+((Inputs!$G$5:$G$200&lt;&gt;"moeda")*(Inputs!$G$5:$G$200&lt;&gt;"acoes")))*INDEX(Inputs!$K$5:$AJ$200,0,MATCH(E$2,Inputs!$K$4:$AJ$4,0)))))</f>
        <v>8.569</v>
      </c>
      <c r="F36" s="6">
        <f>IF(ISNA(MATCH(F$2,Inputs!$K$4:$AJ$4,0)),NA(),IF(SUMPRODUCT((Inputs!$A$5:$A$200=$B36)*ISNUMBER(INDEX(Inputs!$K$5:$AJ$200,0,MATCH(F$2,Inputs!$K$4:$AJ$4,0))))+SUMPRODUCT((Inputs!$C$5:$C$200=$B36)*ISNUMBER(INDEX(Inputs!$K$5:$AJ$200,0,MATCH(F$2,Inputs!$K$4:$AJ$4,0))))+SUMPRODUCT((Inputs!$E$5:$E$200=$B36)*ISNUMBER(INDEX(Inputs!$K$5:$AJ$200,0,MATCH(F$2,Inputs!$K$4:$AJ$4,0))))=0,NA(),SUMPRODUCT((Inputs!$A$5:$A$200=$B36)*Inputs!$B$5:$B$200*(((Inputs!$G$5:$G$200="moeda")+(Inputs!$G$5:$G$200="acoes"))*Inputs!$B$1+((Inputs!$G$5:$G$200&lt;&gt;"moeda")*(Inputs!$G$5:$G$200&lt;&gt;"acoes")))*INDEX(Inputs!$K$5:$AJ$200,0,MATCH(F$2,Inputs!$K$4:$AJ$4,0)))+SUMPRODUCT((Inputs!$C$5:$C$200=$B36)*Inputs!$D$5:$D$200*(((Inputs!$G$5:$G$200="moeda")+(Inputs!$G$5:$G$200="acoes"))*Inputs!$B$1+((Inputs!$G$5:$G$200&lt;&gt;"moeda")*(Inputs!$G$5:$G$200&lt;&gt;"acoes")))*INDEX(Inputs!$K$5:$AJ$200,0,MATCH(F$2,Inputs!$K$4:$AJ$4,0)))+SUMPRODUCT((Inputs!$E$5:$E$200=$B36)*Inputs!$F$5:$F$200*(((Inputs!$G$5:$G$200="moeda")+(Inputs!$G$5:$G$200="acoes"))*Inputs!$B$1+((Inputs!$G$5:$G$200&lt;&gt;"moeda")*(Inputs!$G$5:$G$200&lt;&gt;"acoes")))*INDEX(Inputs!$K$5:$AJ$200,0,MATCH(F$2,Inputs!$K$4:$AJ$4,0)))))</f>
        <v>11.432</v>
      </c>
      <c r="G36" s="6">
        <f>IF(ISNA(MATCH(G$2,Inputs!$K$4:$AJ$4,0)),NA(),IF(SUMPRODUCT((Inputs!$A$5:$A$200=$B36)*ISNUMBER(INDEX(Inputs!$K$5:$AJ$200,0,MATCH(G$2,Inputs!$K$4:$AJ$4,0))))+SUMPRODUCT((Inputs!$C$5:$C$200=$B36)*ISNUMBER(INDEX(Inputs!$K$5:$AJ$200,0,MATCH(G$2,Inputs!$K$4:$AJ$4,0))))+SUMPRODUCT((Inputs!$E$5:$E$200=$B36)*ISNUMBER(INDEX(Inputs!$K$5:$AJ$200,0,MATCH(G$2,Inputs!$K$4:$AJ$4,0))))=0,NA(),SUMPRODUCT((Inputs!$A$5:$A$200=$B36)*Inputs!$B$5:$B$200*(((Inputs!$G$5:$G$200="moeda")+(Inputs!$G$5:$G$200="acoes"))*Inputs!$B$1+((Inputs!$G$5:$G$200&lt;&gt;"moeda")*(Inputs!$G$5:$G$200&lt;&gt;"acoes")))*INDEX(Inputs!$K$5:$AJ$200,0,MATCH(G$2,Inputs!$K$4:$AJ$4,0)))+SUMPRODUCT((Inputs!$C$5:$C$200=$B36)*Inputs!$D$5:$D$200*(((Inputs!$G$5:$G$200="moeda")+(Inputs!$G$5:$G$200="acoes"))*Inputs!$B$1+((Inputs!$G$5:$G$200&lt;&gt;"moeda")*(Inputs!$G$5:$G$200&lt;&gt;"acoes")))*INDEX(Inputs!$K$5:$AJ$200,0,MATCH(G$2,Inputs!$K$4:$AJ$4,0)))+SUMPRODUCT((Inputs!$E$5:$E$200=$B36)*Inputs!$F$5:$F$200*(((Inputs!$G$5:$G$200="moeda")+(Inputs!$G$5:$G$200="acoes"))*Inputs!$B$1+((Inputs!$G$5:$G$200&lt;&gt;"moeda")*(Inputs!$G$5:$G$200&lt;&gt;"acoes")))*INDEX(Inputs!$K$5:$AJ$200,0,MATCH(G$2,Inputs!$K$4:$AJ$4,0)))))</f>
        <v>11.431</v>
      </c>
      <c r="H36" s="3">
        <f>G36</f>
        <v>11.431</v>
      </c>
      <c r="I36" s="6">
        <f>IF(ISNA(MATCH(I$2,Inputs!$K$4:$AJ$4,0)),NA(),IF(SUMPRODUCT((Inputs!$A$5:$A$200=$B36)*ISNUMBER(INDEX(Inputs!$K$5:$AJ$200,0,MATCH(I$2,Inputs!$K$4:$AJ$4,0))))+SUMPRODUCT((Inputs!$C$5:$C$200=$B36)*ISNUMBER(INDEX(Inputs!$K$5:$AJ$200,0,MATCH(I$2,Inputs!$K$4:$AJ$4,0))))+SUMPRODUCT((Inputs!$E$5:$E$200=$B36)*ISNUMBER(INDEX(Inputs!$K$5:$AJ$200,0,MATCH(I$2,Inputs!$K$4:$AJ$4,0))))=0,NA(),SUMPRODUCT((Inputs!$A$5:$A$200=$B36)*Inputs!$B$5:$B$200*(((Inputs!$G$5:$G$200="moeda")+(Inputs!$G$5:$G$200="acoes"))*Inputs!$B$1+((Inputs!$G$5:$G$200&lt;&gt;"moeda")*(Inputs!$G$5:$G$200&lt;&gt;"acoes")))*INDEX(Inputs!$K$5:$AJ$200,0,MATCH(I$2,Inputs!$K$4:$AJ$4,0)))+SUMPRODUCT((Inputs!$C$5:$C$200=$B36)*Inputs!$D$5:$D$200*(((Inputs!$G$5:$G$200="moeda")+(Inputs!$G$5:$G$200="acoes"))*Inputs!$B$1+((Inputs!$G$5:$G$200&lt;&gt;"moeda")*(Inputs!$G$5:$G$200&lt;&gt;"acoes")))*INDEX(Inputs!$K$5:$AJ$200,0,MATCH(I$2,Inputs!$K$4:$AJ$4,0)))+SUMPRODUCT((Inputs!$E$5:$E$200=$B36)*Inputs!$F$5:$F$200*(((Inputs!$G$5:$G$200="moeda")+(Inputs!$G$5:$G$200="acoes"))*Inputs!$B$1+((Inputs!$G$5:$G$200&lt;&gt;"moeda")*(Inputs!$G$5:$G$200&lt;&gt;"acoes")))*INDEX(Inputs!$K$5:$AJ$200,0,MATCH(I$2,Inputs!$K$4:$AJ$4,0)))))</f>
        <v>11.811</v>
      </c>
      <c r="J36" s="6">
        <f>IF(ISNA(MATCH(J$2,Inputs!$K$4:$AJ$4,0)),NA(),IF(SUMPRODUCT((Inputs!$A$5:$A$200=$B36)*ISNUMBER(INDEX(Inputs!$K$5:$AJ$200,0,MATCH(J$2,Inputs!$K$4:$AJ$4,0))))+SUMPRODUCT((Inputs!$C$5:$C$200=$B36)*ISNUMBER(INDEX(Inputs!$K$5:$AJ$200,0,MATCH(J$2,Inputs!$K$4:$AJ$4,0))))+SUMPRODUCT((Inputs!$E$5:$E$200=$B36)*ISNUMBER(INDEX(Inputs!$K$5:$AJ$200,0,MATCH(J$2,Inputs!$K$4:$AJ$4,0))))=0,NA(),SUMPRODUCT((Inputs!$A$5:$A$200=$B36)*Inputs!$B$5:$B$200*(((Inputs!$G$5:$G$200="moeda")+(Inputs!$G$5:$G$200="acoes"))*Inputs!$B$1+((Inputs!$G$5:$G$200&lt;&gt;"moeda")*(Inputs!$G$5:$G$200&lt;&gt;"acoes")))*INDEX(Inputs!$K$5:$AJ$200,0,MATCH(J$2,Inputs!$K$4:$AJ$4,0)))+SUMPRODUCT((Inputs!$C$5:$C$200=$B36)*Inputs!$D$5:$D$200*(((Inputs!$G$5:$G$200="moeda")+(Inputs!$G$5:$G$200="acoes"))*Inputs!$B$1+((Inputs!$G$5:$G$200&lt;&gt;"moeda")*(Inputs!$G$5:$G$200&lt;&gt;"acoes")))*INDEX(Inputs!$K$5:$AJ$200,0,MATCH(J$2,Inputs!$K$4:$AJ$4,0)))+SUMPRODUCT((Inputs!$E$5:$E$200=$B36)*Inputs!$F$5:$F$200*(((Inputs!$G$5:$G$200="moeda")+(Inputs!$G$5:$G$200="acoes"))*Inputs!$B$1+((Inputs!$G$5:$G$200&lt;&gt;"moeda")*(Inputs!$G$5:$G$200&lt;&gt;"acoes")))*INDEX(Inputs!$K$5:$AJ$200,0,MATCH(J$2,Inputs!$K$4:$AJ$4,0)))))</f>
        <v>20.698</v>
      </c>
      <c r="K36" s="6">
        <f>IF(ISNA(MATCH(K$2,Inputs!$K$4:$AJ$4,0)),NA(),IF(SUMPRODUCT((Inputs!$A$5:$A$200=$B36)*ISNUMBER(INDEX(Inputs!$K$5:$AJ$200,0,MATCH(K$2,Inputs!$K$4:$AJ$4,0))))+SUMPRODUCT((Inputs!$C$5:$C$200=$B36)*ISNUMBER(INDEX(Inputs!$K$5:$AJ$200,0,MATCH(K$2,Inputs!$K$4:$AJ$4,0))))+SUMPRODUCT((Inputs!$E$5:$E$200=$B36)*ISNUMBER(INDEX(Inputs!$K$5:$AJ$200,0,MATCH(K$2,Inputs!$K$4:$AJ$4,0))))=0,NA(),SUMPRODUCT((Inputs!$A$5:$A$200=$B36)*Inputs!$B$5:$B$200*(((Inputs!$G$5:$G$200="moeda")+(Inputs!$G$5:$G$200="acoes"))*Inputs!$B$1+((Inputs!$G$5:$G$200&lt;&gt;"moeda")*(Inputs!$G$5:$G$200&lt;&gt;"acoes")))*INDEX(Inputs!$K$5:$AJ$200,0,MATCH(K$2,Inputs!$K$4:$AJ$4,0)))+SUMPRODUCT((Inputs!$C$5:$C$200=$B36)*Inputs!$D$5:$D$200*(((Inputs!$G$5:$G$200="moeda")+(Inputs!$G$5:$G$200="acoes"))*Inputs!$B$1+((Inputs!$G$5:$G$200&lt;&gt;"moeda")*(Inputs!$G$5:$G$200&lt;&gt;"acoes")))*INDEX(Inputs!$K$5:$AJ$200,0,MATCH(K$2,Inputs!$K$4:$AJ$4,0)))+SUMPRODUCT((Inputs!$E$5:$E$200=$B36)*Inputs!$F$5:$F$200*(((Inputs!$G$5:$G$200="moeda")+(Inputs!$G$5:$G$200="acoes"))*Inputs!$B$1+((Inputs!$G$5:$G$200&lt;&gt;"moeda")*(Inputs!$G$5:$G$200&lt;&gt;"acoes")))*INDEX(Inputs!$K$5:$AJ$200,0,MATCH(K$2,Inputs!$K$4:$AJ$4,0)))))</f>
        <v>18.482</v>
      </c>
      <c r="L36" s="6">
        <f>IF(ISNA(MATCH(L$2,Inputs!$K$4:$AJ$4,0)),NA(),IF(SUMPRODUCT((Inputs!$A$5:$A$200=$B36)*ISNUMBER(INDEX(Inputs!$K$5:$AJ$200,0,MATCH(L$2,Inputs!$K$4:$AJ$4,0))))+SUMPRODUCT((Inputs!$C$5:$C$200=$B36)*ISNUMBER(INDEX(Inputs!$K$5:$AJ$200,0,MATCH(L$2,Inputs!$K$4:$AJ$4,0))))+SUMPRODUCT((Inputs!$E$5:$E$200=$B36)*ISNUMBER(INDEX(Inputs!$K$5:$AJ$200,0,MATCH(L$2,Inputs!$K$4:$AJ$4,0))))=0,NA(),SUMPRODUCT((Inputs!$A$5:$A$200=$B36)*Inputs!$B$5:$B$200*(((Inputs!$G$5:$G$200="moeda")+(Inputs!$G$5:$G$200="acoes"))*Inputs!$B$1+((Inputs!$G$5:$G$200&lt;&gt;"moeda")*(Inputs!$G$5:$G$200&lt;&gt;"acoes")))*INDEX(Inputs!$K$5:$AJ$200,0,MATCH(L$2,Inputs!$K$4:$AJ$4,0)))+SUMPRODUCT((Inputs!$C$5:$C$200=$B36)*Inputs!$D$5:$D$200*(((Inputs!$G$5:$G$200="moeda")+(Inputs!$G$5:$G$200="acoes"))*Inputs!$B$1+((Inputs!$G$5:$G$200&lt;&gt;"moeda")*(Inputs!$G$5:$G$200&lt;&gt;"acoes")))*INDEX(Inputs!$K$5:$AJ$200,0,MATCH(L$2,Inputs!$K$4:$AJ$4,0)))+SUMPRODUCT((Inputs!$E$5:$E$200=$B36)*Inputs!$F$5:$F$200*(((Inputs!$G$5:$G$200="moeda")+(Inputs!$G$5:$G$200="acoes"))*Inputs!$B$1+((Inputs!$G$5:$G$200&lt;&gt;"moeda")*(Inputs!$G$5:$G$200&lt;&gt;"acoes")))*INDEX(Inputs!$K$5:$AJ$200,0,MATCH(L$2,Inputs!$K$4:$AJ$4,0)))))</f>
        <v>40.8</v>
      </c>
      <c r="M36" s="3">
        <f>L36</f>
        <v>40.8</v>
      </c>
      <c r="N36" s="6">
        <f>IF(ISNA(MATCH(N$2,Inputs!$K$4:$AJ$4,0)),NA(),IF(SUMPRODUCT((Inputs!$A$5:$A$200=$B36)*ISNUMBER(INDEX(Inputs!$K$5:$AJ$200,0,MATCH(N$2,Inputs!$K$4:$AJ$4,0))))+SUMPRODUCT((Inputs!$C$5:$C$200=$B36)*ISNUMBER(INDEX(Inputs!$K$5:$AJ$200,0,MATCH(N$2,Inputs!$K$4:$AJ$4,0))))+SUMPRODUCT((Inputs!$E$5:$E$200=$B36)*ISNUMBER(INDEX(Inputs!$K$5:$AJ$200,0,MATCH(N$2,Inputs!$K$4:$AJ$4,0))))=0,NA(),SUMPRODUCT((Inputs!$A$5:$A$200=$B36)*Inputs!$B$5:$B$200*(((Inputs!$G$5:$G$200="moeda")+(Inputs!$G$5:$G$200="acoes"))*Inputs!$B$1+((Inputs!$G$5:$G$200&lt;&gt;"moeda")*(Inputs!$G$5:$G$200&lt;&gt;"acoes")))*INDEX(Inputs!$K$5:$AJ$200,0,MATCH(N$2,Inputs!$K$4:$AJ$4,0)))+SUMPRODUCT((Inputs!$C$5:$C$200=$B36)*Inputs!$D$5:$D$200*(((Inputs!$G$5:$G$200="moeda")+(Inputs!$G$5:$G$200="acoes"))*Inputs!$B$1+((Inputs!$G$5:$G$200&lt;&gt;"moeda")*(Inputs!$G$5:$G$200&lt;&gt;"acoes")))*INDEX(Inputs!$K$5:$AJ$200,0,MATCH(N$2,Inputs!$K$4:$AJ$4,0)))+SUMPRODUCT((Inputs!$E$5:$E$200=$B36)*Inputs!$F$5:$F$200*(((Inputs!$G$5:$G$200="moeda")+(Inputs!$G$5:$G$200="acoes"))*Inputs!$B$1+((Inputs!$G$5:$G$200&lt;&gt;"moeda")*(Inputs!$G$5:$G$200&lt;&gt;"acoes")))*INDEX(Inputs!$K$5:$AJ$200,0,MATCH(N$2,Inputs!$K$4:$AJ$4,0)))))</f>
        <v>43.454</v>
      </c>
      <c r="O36" s="6">
        <f>IF(ISNA(MATCH(O$2,Inputs!$K$4:$AJ$4,0)),NA(),IF(SUMPRODUCT((Inputs!$A$5:$A$200=$B36)*ISNUMBER(INDEX(Inputs!$K$5:$AJ$200,0,MATCH(O$2,Inputs!$K$4:$AJ$4,0))))+SUMPRODUCT((Inputs!$C$5:$C$200=$B36)*ISNUMBER(INDEX(Inputs!$K$5:$AJ$200,0,MATCH(O$2,Inputs!$K$4:$AJ$4,0))))+SUMPRODUCT((Inputs!$E$5:$E$200=$B36)*ISNUMBER(INDEX(Inputs!$K$5:$AJ$200,0,MATCH(O$2,Inputs!$K$4:$AJ$4,0))))=0,NA(),SUMPRODUCT((Inputs!$A$5:$A$200=$B36)*Inputs!$B$5:$B$200*(((Inputs!$G$5:$G$200="moeda")+(Inputs!$G$5:$G$200="acoes"))*Inputs!$B$1+((Inputs!$G$5:$G$200&lt;&gt;"moeda")*(Inputs!$G$5:$G$200&lt;&gt;"acoes")))*INDEX(Inputs!$K$5:$AJ$200,0,MATCH(O$2,Inputs!$K$4:$AJ$4,0)))+SUMPRODUCT((Inputs!$C$5:$C$200=$B36)*Inputs!$D$5:$D$200*(((Inputs!$G$5:$G$200="moeda")+(Inputs!$G$5:$G$200="acoes"))*Inputs!$B$1+((Inputs!$G$5:$G$200&lt;&gt;"moeda")*(Inputs!$G$5:$G$200&lt;&gt;"acoes")))*INDEX(Inputs!$K$5:$AJ$200,0,MATCH(O$2,Inputs!$K$4:$AJ$4,0)))+SUMPRODUCT((Inputs!$E$5:$E$200=$B36)*Inputs!$F$5:$F$200*(((Inputs!$G$5:$G$200="moeda")+(Inputs!$G$5:$G$200="acoes"))*Inputs!$B$1+((Inputs!$G$5:$G$200&lt;&gt;"moeda")*(Inputs!$G$5:$G$200&lt;&gt;"acoes")))*INDEX(Inputs!$K$5:$AJ$200,0,MATCH(O$2,Inputs!$K$4:$AJ$4,0)))))</f>
        <v>33.041</v>
      </c>
      <c r="P36" s="6">
        <f>IF(ISNA(MATCH(P$2,Inputs!$K$4:$AJ$4,0)),NA(),IF(SUMPRODUCT((Inputs!$A$5:$A$200=$B36)*ISNUMBER(INDEX(Inputs!$K$5:$AJ$200,0,MATCH(P$2,Inputs!$K$4:$AJ$4,0))))+SUMPRODUCT((Inputs!$C$5:$C$200=$B36)*ISNUMBER(INDEX(Inputs!$K$5:$AJ$200,0,MATCH(P$2,Inputs!$K$4:$AJ$4,0))))+SUMPRODUCT((Inputs!$E$5:$E$200=$B36)*ISNUMBER(INDEX(Inputs!$K$5:$AJ$200,0,MATCH(P$2,Inputs!$K$4:$AJ$4,0))))=0,NA(),SUMPRODUCT((Inputs!$A$5:$A$200=$B36)*Inputs!$B$5:$B$200*(((Inputs!$G$5:$G$200="moeda")+(Inputs!$G$5:$G$200="acoes"))*Inputs!$B$1+((Inputs!$G$5:$G$200&lt;&gt;"moeda")*(Inputs!$G$5:$G$200&lt;&gt;"acoes")))*INDEX(Inputs!$K$5:$AJ$200,0,MATCH(P$2,Inputs!$K$4:$AJ$4,0)))+SUMPRODUCT((Inputs!$C$5:$C$200=$B36)*Inputs!$D$5:$D$200*(((Inputs!$G$5:$G$200="moeda")+(Inputs!$G$5:$G$200="acoes"))*Inputs!$B$1+((Inputs!$G$5:$G$200&lt;&gt;"moeda")*(Inputs!$G$5:$G$200&lt;&gt;"acoes")))*INDEX(Inputs!$K$5:$AJ$200,0,MATCH(P$2,Inputs!$K$4:$AJ$4,0)))+SUMPRODUCT((Inputs!$E$5:$E$200=$B36)*Inputs!$F$5:$F$200*(((Inputs!$G$5:$G$200="moeda")+(Inputs!$G$5:$G$200="acoes"))*Inputs!$B$1+((Inputs!$G$5:$G$200&lt;&gt;"moeda")*(Inputs!$G$5:$G$200&lt;&gt;"acoes")))*INDEX(Inputs!$K$5:$AJ$200,0,MATCH(P$2,Inputs!$K$4:$AJ$4,0)))))</f>
        <v>27.498</v>
      </c>
      <c r="Q36" s="6">
        <f>IF(ISNA(MATCH(Q$2,Inputs!$K$4:$AJ$4,0)),NA(),IF(SUMPRODUCT((Inputs!$A$5:$A$200=$B36)*ISNUMBER(INDEX(Inputs!$K$5:$AJ$200,0,MATCH(Q$2,Inputs!$K$4:$AJ$4,0))))+SUMPRODUCT((Inputs!$C$5:$C$200=$B36)*ISNUMBER(INDEX(Inputs!$K$5:$AJ$200,0,MATCH(Q$2,Inputs!$K$4:$AJ$4,0))))+SUMPRODUCT((Inputs!$E$5:$E$200=$B36)*ISNUMBER(INDEX(Inputs!$K$5:$AJ$200,0,MATCH(Q$2,Inputs!$K$4:$AJ$4,0))))=0,NA(),SUMPRODUCT((Inputs!$A$5:$A$200=$B36)*Inputs!$B$5:$B$200*(((Inputs!$G$5:$G$200="moeda")+(Inputs!$G$5:$G$200="acoes"))*Inputs!$B$1+((Inputs!$G$5:$G$200&lt;&gt;"moeda")*(Inputs!$G$5:$G$200&lt;&gt;"acoes")))*INDEX(Inputs!$K$5:$AJ$200,0,MATCH(Q$2,Inputs!$K$4:$AJ$4,0)))+SUMPRODUCT((Inputs!$C$5:$C$200=$B36)*Inputs!$D$5:$D$200*(((Inputs!$G$5:$G$200="moeda")+(Inputs!$G$5:$G$200="acoes"))*Inputs!$B$1+((Inputs!$G$5:$G$200&lt;&gt;"moeda")*(Inputs!$G$5:$G$200&lt;&gt;"acoes")))*INDEX(Inputs!$K$5:$AJ$200,0,MATCH(Q$2,Inputs!$K$4:$AJ$4,0)))+SUMPRODUCT((Inputs!$E$5:$E$200=$B36)*Inputs!$F$5:$F$200*(((Inputs!$G$5:$G$200="moeda")+(Inputs!$G$5:$G$200="acoes"))*Inputs!$B$1+((Inputs!$G$5:$G$200&lt;&gt;"moeda")*(Inputs!$G$5:$G$200&lt;&gt;"acoes")))*INDEX(Inputs!$K$5:$AJ$200,0,MATCH(Q$2,Inputs!$K$4:$AJ$4,0)))))</f>
        <v>23.329</v>
      </c>
      <c r="R36" s="3">
        <f>Q36</f>
        <v>23.329</v>
      </c>
      <c r="S36" s="6">
        <f>IF(ISNA(MATCH(S$2,Inputs!$K$4:$AJ$4,0)),NA(),IF(SUMPRODUCT((Inputs!$A$5:$A$200=$B36)*ISNUMBER(INDEX(Inputs!$K$5:$AJ$200,0,MATCH(S$2,Inputs!$K$4:$AJ$4,0))))+SUMPRODUCT((Inputs!$C$5:$C$200=$B36)*ISNUMBER(INDEX(Inputs!$K$5:$AJ$200,0,MATCH(S$2,Inputs!$K$4:$AJ$4,0))))+SUMPRODUCT((Inputs!$E$5:$E$200=$B36)*ISNUMBER(INDEX(Inputs!$K$5:$AJ$200,0,MATCH(S$2,Inputs!$K$4:$AJ$4,0))))=0,NA(),SUMPRODUCT((Inputs!$A$5:$A$200=$B36)*Inputs!$B$5:$B$200*(((Inputs!$G$5:$G$200="moeda")+(Inputs!$G$5:$G$200="acoes"))*Inputs!$B$1+((Inputs!$G$5:$G$200&lt;&gt;"moeda")*(Inputs!$G$5:$G$200&lt;&gt;"acoes")))*INDEX(Inputs!$K$5:$AJ$200,0,MATCH(S$2,Inputs!$K$4:$AJ$4,0)))+SUMPRODUCT((Inputs!$C$5:$C$200=$B36)*Inputs!$D$5:$D$200*(((Inputs!$G$5:$G$200="moeda")+(Inputs!$G$5:$G$200="acoes"))*Inputs!$B$1+((Inputs!$G$5:$G$200&lt;&gt;"moeda")*(Inputs!$G$5:$G$200&lt;&gt;"acoes")))*INDEX(Inputs!$K$5:$AJ$200,0,MATCH(S$2,Inputs!$K$4:$AJ$4,0)))+SUMPRODUCT((Inputs!$E$5:$E$200=$B36)*Inputs!$F$5:$F$200*(((Inputs!$G$5:$G$200="moeda")+(Inputs!$G$5:$G$200="acoes"))*Inputs!$B$1+((Inputs!$G$5:$G$200&lt;&gt;"moeda")*(Inputs!$G$5:$G$200&lt;&gt;"acoes")))*INDEX(Inputs!$K$5:$AJ$200,0,MATCH(S$2,Inputs!$K$4:$AJ$4,0)))))</f>
        <v>21.543</v>
      </c>
      <c r="T36" s="6">
        <f>IF(ISNA(MATCH(T$2,Inputs!$K$4:$AJ$4,0)),NA(),IF(SUMPRODUCT((Inputs!$A$5:$A$200=$B36)*ISNUMBER(INDEX(Inputs!$K$5:$AJ$200,0,MATCH(T$2,Inputs!$K$4:$AJ$4,0))))+SUMPRODUCT((Inputs!$C$5:$C$200=$B36)*ISNUMBER(INDEX(Inputs!$K$5:$AJ$200,0,MATCH(T$2,Inputs!$K$4:$AJ$4,0))))+SUMPRODUCT((Inputs!$E$5:$E$200=$B36)*ISNUMBER(INDEX(Inputs!$K$5:$AJ$200,0,MATCH(T$2,Inputs!$K$4:$AJ$4,0))))=0,NA(),SUMPRODUCT((Inputs!$A$5:$A$200=$B36)*Inputs!$B$5:$B$200*(((Inputs!$G$5:$G$200="moeda")+(Inputs!$G$5:$G$200="acoes"))*Inputs!$B$1+((Inputs!$G$5:$G$200&lt;&gt;"moeda")*(Inputs!$G$5:$G$200&lt;&gt;"acoes")))*INDEX(Inputs!$K$5:$AJ$200,0,MATCH(T$2,Inputs!$K$4:$AJ$4,0)))+SUMPRODUCT((Inputs!$C$5:$C$200=$B36)*Inputs!$D$5:$D$200*(((Inputs!$G$5:$G$200="moeda")+(Inputs!$G$5:$G$200="acoes"))*Inputs!$B$1+((Inputs!$G$5:$G$200&lt;&gt;"moeda")*(Inputs!$G$5:$G$200&lt;&gt;"acoes")))*INDEX(Inputs!$K$5:$AJ$200,0,MATCH(T$2,Inputs!$K$4:$AJ$4,0)))+SUMPRODUCT((Inputs!$E$5:$E$200=$B36)*Inputs!$F$5:$F$200*(((Inputs!$G$5:$G$200="moeda")+(Inputs!$G$5:$G$200="acoes"))*Inputs!$B$1+((Inputs!$G$5:$G$200&lt;&gt;"moeda")*(Inputs!$G$5:$G$200&lt;&gt;"acoes")))*INDEX(Inputs!$K$5:$AJ$200,0,MATCH(T$2,Inputs!$K$4:$AJ$4,0)))))</f>
        <v>20.191</v>
      </c>
      <c r="U36" s="6">
        <f>IF(ISNA(MATCH(U$2,Inputs!$K$4:$AJ$4,0)),NA(),IF(SUMPRODUCT((Inputs!$A$5:$A$200=$B36)*ISNUMBER(INDEX(Inputs!$K$5:$AJ$200,0,MATCH(U$2,Inputs!$K$4:$AJ$4,0))))+SUMPRODUCT((Inputs!$C$5:$C$200=$B36)*ISNUMBER(INDEX(Inputs!$K$5:$AJ$200,0,MATCH(U$2,Inputs!$K$4:$AJ$4,0))))+SUMPRODUCT((Inputs!$E$5:$E$200=$B36)*ISNUMBER(INDEX(Inputs!$K$5:$AJ$200,0,MATCH(U$2,Inputs!$K$4:$AJ$4,0))))=0,NA(),SUMPRODUCT((Inputs!$A$5:$A$200=$B36)*Inputs!$B$5:$B$200*(((Inputs!$G$5:$G$200="moeda")+(Inputs!$G$5:$G$200="acoes"))*Inputs!$B$1+((Inputs!$G$5:$G$200&lt;&gt;"moeda")*(Inputs!$G$5:$G$200&lt;&gt;"acoes")))*INDEX(Inputs!$K$5:$AJ$200,0,MATCH(U$2,Inputs!$K$4:$AJ$4,0)))+SUMPRODUCT((Inputs!$C$5:$C$200=$B36)*Inputs!$D$5:$D$200*(((Inputs!$G$5:$G$200="moeda")+(Inputs!$G$5:$G$200="acoes"))*Inputs!$B$1+((Inputs!$G$5:$G$200&lt;&gt;"moeda")*(Inputs!$G$5:$G$200&lt;&gt;"acoes")))*INDEX(Inputs!$K$5:$AJ$200,0,MATCH(U$2,Inputs!$K$4:$AJ$4,0)))+SUMPRODUCT((Inputs!$E$5:$E$200=$B36)*Inputs!$F$5:$F$200*(((Inputs!$G$5:$G$200="moeda")+(Inputs!$G$5:$G$200="acoes"))*Inputs!$B$1+((Inputs!$G$5:$G$200&lt;&gt;"moeda")*(Inputs!$G$5:$G$200&lt;&gt;"acoes")))*INDEX(Inputs!$K$5:$AJ$200,0,MATCH(U$2,Inputs!$K$4:$AJ$4,0)))))</f>
        <v>47.45</v>
      </c>
      <c r="V36" s="6">
        <f>IF(ISNA(MATCH(V$2,Inputs!$K$4:$AJ$4,0)),NA(),IF(SUMPRODUCT((Inputs!$A$5:$A$200=$B36)*ISNUMBER(INDEX(Inputs!$K$5:$AJ$200,0,MATCH(V$2,Inputs!$K$4:$AJ$4,0))))+SUMPRODUCT((Inputs!$C$5:$C$200=$B36)*ISNUMBER(INDEX(Inputs!$K$5:$AJ$200,0,MATCH(V$2,Inputs!$K$4:$AJ$4,0))))+SUMPRODUCT((Inputs!$E$5:$E$200=$B36)*ISNUMBER(INDEX(Inputs!$K$5:$AJ$200,0,MATCH(V$2,Inputs!$K$4:$AJ$4,0))))=0,NA(),SUMPRODUCT((Inputs!$A$5:$A$200=$B36)*Inputs!$B$5:$B$200*(((Inputs!$G$5:$G$200="moeda")+(Inputs!$G$5:$G$200="acoes"))*Inputs!$B$1+((Inputs!$G$5:$G$200&lt;&gt;"moeda")*(Inputs!$G$5:$G$200&lt;&gt;"acoes")))*INDEX(Inputs!$K$5:$AJ$200,0,MATCH(V$2,Inputs!$K$4:$AJ$4,0)))+SUMPRODUCT((Inputs!$C$5:$C$200=$B36)*Inputs!$D$5:$D$200*(((Inputs!$G$5:$G$200="moeda")+(Inputs!$G$5:$G$200="acoes"))*Inputs!$B$1+((Inputs!$G$5:$G$200&lt;&gt;"moeda")*(Inputs!$G$5:$G$200&lt;&gt;"acoes")))*INDEX(Inputs!$K$5:$AJ$200,0,MATCH(V$2,Inputs!$K$4:$AJ$4,0)))+SUMPRODUCT((Inputs!$E$5:$E$200=$B36)*Inputs!$F$5:$F$200*(((Inputs!$G$5:$G$200="moeda")+(Inputs!$G$5:$G$200="acoes"))*Inputs!$B$1+((Inputs!$G$5:$G$200&lt;&gt;"moeda")*(Inputs!$G$5:$G$200&lt;&gt;"acoes")))*INDEX(Inputs!$K$5:$AJ$200,0,MATCH(V$2,Inputs!$K$4:$AJ$4,0)))))</f>
        <v>62.382</v>
      </c>
      <c r="W36" s="3">
        <f>V36</f>
        <v>62.382</v>
      </c>
      <c r="X36" s="6">
        <f>IF(ISNA(MATCH(X$2,Inputs!$K$4:$AJ$4,0)),NA(),IF(SUMPRODUCT((Inputs!$A$5:$A$200=$B36)*ISNUMBER(INDEX(Inputs!$K$5:$AJ$200,0,MATCH(X$2,Inputs!$K$4:$AJ$4,0))))+SUMPRODUCT((Inputs!$C$5:$C$200=$B36)*ISNUMBER(INDEX(Inputs!$K$5:$AJ$200,0,MATCH(X$2,Inputs!$K$4:$AJ$4,0))))+SUMPRODUCT((Inputs!$E$5:$E$200=$B36)*ISNUMBER(INDEX(Inputs!$K$5:$AJ$200,0,MATCH(X$2,Inputs!$K$4:$AJ$4,0))))=0,NA(),SUMPRODUCT((Inputs!$A$5:$A$200=$B36)*Inputs!$B$5:$B$200*(((Inputs!$G$5:$G$200="moeda")+(Inputs!$G$5:$G$200="acoes"))*Inputs!$B$1+((Inputs!$G$5:$G$200&lt;&gt;"moeda")*(Inputs!$G$5:$G$200&lt;&gt;"acoes")))*INDEX(Inputs!$K$5:$AJ$200,0,MATCH(X$2,Inputs!$K$4:$AJ$4,0)))+SUMPRODUCT((Inputs!$C$5:$C$200=$B36)*Inputs!$D$5:$D$200*(((Inputs!$G$5:$G$200="moeda")+(Inputs!$G$5:$G$200="acoes"))*Inputs!$B$1+((Inputs!$G$5:$G$200&lt;&gt;"moeda")*(Inputs!$G$5:$G$200&lt;&gt;"acoes")))*INDEX(Inputs!$K$5:$AJ$200,0,MATCH(X$2,Inputs!$K$4:$AJ$4,0)))+SUMPRODUCT((Inputs!$E$5:$E$200=$B36)*Inputs!$F$5:$F$200*(((Inputs!$G$5:$G$200="moeda")+(Inputs!$G$5:$G$200="acoes"))*Inputs!$B$1+((Inputs!$G$5:$G$200&lt;&gt;"moeda")*(Inputs!$G$5:$G$200&lt;&gt;"acoes")))*INDEX(Inputs!$K$5:$AJ$200,0,MATCH(X$2,Inputs!$K$4:$AJ$4,0)))))</f>
        <v>64.059</v>
      </c>
      <c r="Y36" s="6">
        <f>IF(ISNA(MATCH(Y$2,Inputs!$K$4:$AJ$4,0)),NA(),IF(SUMPRODUCT((Inputs!$A$5:$A$200=$B36)*ISNUMBER(INDEX(Inputs!$K$5:$AJ$200,0,MATCH(Y$2,Inputs!$K$4:$AJ$4,0))))+SUMPRODUCT((Inputs!$C$5:$C$200=$B36)*ISNUMBER(INDEX(Inputs!$K$5:$AJ$200,0,MATCH(Y$2,Inputs!$K$4:$AJ$4,0))))+SUMPRODUCT((Inputs!$E$5:$E$200=$B36)*ISNUMBER(INDEX(Inputs!$K$5:$AJ$200,0,MATCH(Y$2,Inputs!$K$4:$AJ$4,0))))=0,NA(),SUMPRODUCT((Inputs!$A$5:$A$200=$B36)*Inputs!$B$5:$B$200*(((Inputs!$G$5:$G$200="moeda")+(Inputs!$G$5:$G$200="acoes"))*Inputs!$B$1+((Inputs!$G$5:$G$200&lt;&gt;"moeda")*(Inputs!$G$5:$G$200&lt;&gt;"acoes")))*INDEX(Inputs!$K$5:$AJ$200,0,MATCH(Y$2,Inputs!$K$4:$AJ$4,0)))+SUMPRODUCT((Inputs!$C$5:$C$200=$B36)*Inputs!$D$5:$D$200*(((Inputs!$G$5:$G$200="moeda")+(Inputs!$G$5:$G$200="acoes"))*Inputs!$B$1+((Inputs!$G$5:$G$200&lt;&gt;"moeda")*(Inputs!$G$5:$G$200&lt;&gt;"acoes")))*INDEX(Inputs!$K$5:$AJ$200,0,MATCH(Y$2,Inputs!$K$4:$AJ$4,0)))+SUMPRODUCT((Inputs!$E$5:$E$200=$B36)*Inputs!$F$5:$F$200*(((Inputs!$G$5:$G$200="moeda")+(Inputs!$G$5:$G$200="acoes"))*Inputs!$B$1+((Inputs!$G$5:$G$200&lt;&gt;"moeda")*(Inputs!$G$5:$G$200&lt;&gt;"acoes")))*INDEX(Inputs!$K$5:$AJ$200,0,MATCH(Y$2,Inputs!$K$4:$AJ$4,0)))))</f>
        <v>48.686</v>
      </c>
      <c r="Z36" s="6">
        <f>IF(ISNA(MATCH(Z$2,Inputs!$K$4:$AJ$4,0)),NA(),IF(SUMPRODUCT((Inputs!$A$5:$A$200=$B36)*ISNUMBER(INDEX(Inputs!$K$5:$AJ$200,0,MATCH(Z$2,Inputs!$K$4:$AJ$4,0))))+SUMPRODUCT((Inputs!$C$5:$C$200=$B36)*ISNUMBER(INDEX(Inputs!$K$5:$AJ$200,0,MATCH(Z$2,Inputs!$K$4:$AJ$4,0))))+SUMPRODUCT((Inputs!$E$5:$E$200=$B36)*ISNUMBER(INDEX(Inputs!$K$5:$AJ$200,0,MATCH(Z$2,Inputs!$K$4:$AJ$4,0))))=0,NA(),SUMPRODUCT((Inputs!$A$5:$A$200=$B36)*Inputs!$B$5:$B$200*(((Inputs!$G$5:$G$200="moeda")+(Inputs!$G$5:$G$200="acoes"))*Inputs!$B$1+((Inputs!$G$5:$G$200&lt;&gt;"moeda")*(Inputs!$G$5:$G$200&lt;&gt;"acoes")))*INDEX(Inputs!$K$5:$AJ$200,0,MATCH(Z$2,Inputs!$K$4:$AJ$4,0)))+SUMPRODUCT((Inputs!$C$5:$C$200=$B36)*Inputs!$D$5:$D$200*(((Inputs!$G$5:$G$200="moeda")+(Inputs!$G$5:$G$200="acoes"))*Inputs!$B$1+((Inputs!$G$5:$G$200&lt;&gt;"moeda")*(Inputs!$G$5:$G$200&lt;&gt;"acoes")))*INDEX(Inputs!$K$5:$AJ$200,0,MATCH(Z$2,Inputs!$K$4:$AJ$4,0)))+SUMPRODUCT((Inputs!$E$5:$E$200=$B36)*Inputs!$F$5:$F$200*(((Inputs!$G$5:$G$200="moeda")+(Inputs!$G$5:$G$200="acoes"))*Inputs!$B$1+((Inputs!$G$5:$G$200&lt;&gt;"moeda")*(Inputs!$G$5:$G$200&lt;&gt;"acoes")))*INDEX(Inputs!$K$5:$AJ$200,0,MATCH(Z$2,Inputs!$K$4:$AJ$4,0)))))</f>
        <v>42.207</v>
      </c>
      <c r="AA36" s="6">
        <f>IF(ISNA(MATCH(AA$2,Inputs!$K$4:$AJ$4,0)),NA(),IF(SUMPRODUCT((Inputs!$A$5:$A$200=$B36)*ISNUMBER(INDEX(Inputs!$K$5:$AJ$200,0,MATCH(AA$2,Inputs!$K$4:$AJ$4,0))))+SUMPRODUCT((Inputs!$C$5:$C$200=$B36)*ISNUMBER(INDEX(Inputs!$K$5:$AJ$200,0,MATCH(AA$2,Inputs!$K$4:$AJ$4,0))))+SUMPRODUCT((Inputs!$E$5:$E$200=$B36)*ISNUMBER(INDEX(Inputs!$K$5:$AJ$200,0,MATCH(AA$2,Inputs!$K$4:$AJ$4,0))))=0,NA(),SUMPRODUCT((Inputs!$A$5:$A$200=$B36)*Inputs!$B$5:$B$200*(((Inputs!$G$5:$G$200="moeda")+(Inputs!$G$5:$G$200="acoes"))*Inputs!$B$1+((Inputs!$G$5:$G$200&lt;&gt;"moeda")*(Inputs!$G$5:$G$200&lt;&gt;"acoes")))*INDEX(Inputs!$K$5:$AJ$200,0,MATCH(AA$2,Inputs!$K$4:$AJ$4,0)))+SUMPRODUCT((Inputs!$C$5:$C$200=$B36)*Inputs!$D$5:$D$200*(((Inputs!$G$5:$G$200="moeda")+(Inputs!$G$5:$G$200="acoes"))*Inputs!$B$1+((Inputs!$G$5:$G$200&lt;&gt;"moeda")*(Inputs!$G$5:$G$200&lt;&gt;"acoes")))*INDEX(Inputs!$K$5:$AJ$200,0,MATCH(AA$2,Inputs!$K$4:$AJ$4,0)))+SUMPRODUCT((Inputs!$E$5:$E$200=$B36)*Inputs!$F$5:$F$200*(((Inputs!$G$5:$G$200="moeda")+(Inputs!$G$5:$G$200="acoes"))*Inputs!$B$1+((Inputs!$G$5:$G$200&lt;&gt;"moeda")*(Inputs!$G$5:$G$200&lt;&gt;"acoes")))*INDEX(Inputs!$K$5:$AJ$200,0,MATCH(AA$2,Inputs!$K$4:$AJ$4,0)))))</f>
        <v>54.834</v>
      </c>
      <c r="AB36" s="3">
        <f>AA36</f>
        <v>54.834</v>
      </c>
      <c r="AC36" s="6">
        <f>IF(ISNA(MATCH(AC$2,Inputs!$K$4:$AJ$4,0)),NA(),IF(SUMPRODUCT((Inputs!$A$5:$A$200=$B36)*ISNUMBER(INDEX(Inputs!$K$5:$AJ$200,0,MATCH(AC$2,Inputs!$K$4:$AJ$4,0))))+SUMPRODUCT((Inputs!$C$5:$C$200=$B36)*ISNUMBER(INDEX(Inputs!$K$5:$AJ$200,0,MATCH(AC$2,Inputs!$K$4:$AJ$4,0))))+SUMPRODUCT((Inputs!$E$5:$E$200=$B36)*ISNUMBER(INDEX(Inputs!$K$5:$AJ$200,0,MATCH(AC$2,Inputs!$K$4:$AJ$4,0))))=0,NA(),SUMPRODUCT((Inputs!$A$5:$A$200=$B36)*Inputs!$B$5:$B$200*(((Inputs!$G$5:$G$200="moeda")+(Inputs!$G$5:$G$200="acoes"))*Inputs!$B$1+((Inputs!$G$5:$G$200&lt;&gt;"moeda")*(Inputs!$G$5:$G$200&lt;&gt;"acoes")))*INDEX(Inputs!$K$5:$AJ$200,0,MATCH(AC$2,Inputs!$K$4:$AJ$4,0)))+SUMPRODUCT((Inputs!$C$5:$C$200=$B36)*Inputs!$D$5:$D$200*(((Inputs!$G$5:$G$200="moeda")+(Inputs!$G$5:$G$200="acoes"))*Inputs!$B$1+((Inputs!$G$5:$G$200&lt;&gt;"moeda")*(Inputs!$G$5:$G$200&lt;&gt;"acoes")))*INDEX(Inputs!$K$5:$AJ$200,0,MATCH(AC$2,Inputs!$K$4:$AJ$4,0)))+SUMPRODUCT((Inputs!$E$5:$E$200=$B36)*Inputs!$F$5:$F$200*(((Inputs!$G$5:$G$200="moeda")+(Inputs!$G$5:$G$200="acoes"))*Inputs!$B$1+((Inputs!$G$5:$G$200&lt;&gt;"moeda")*(Inputs!$G$5:$G$200&lt;&gt;"acoes")))*INDEX(Inputs!$K$5:$AJ$200,0,MATCH(AC$2,Inputs!$K$4:$AJ$4,0)))))</f>
        <v>48.425</v>
      </c>
      <c r="AD36" s="6">
        <f>IF(ISNA(MATCH(AD$2,Inputs!$K$4:$AJ$4,0)),NA(),IF(SUMPRODUCT((Inputs!$A$5:$A$200=$B36)*ISNUMBER(INDEX(Inputs!$K$5:$AJ$200,0,MATCH(AD$2,Inputs!$K$4:$AJ$4,0))))+SUMPRODUCT((Inputs!$C$5:$C$200=$B36)*ISNUMBER(INDEX(Inputs!$K$5:$AJ$200,0,MATCH(AD$2,Inputs!$K$4:$AJ$4,0))))+SUMPRODUCT((Inputs!$E$5:$E$200=$B36)*ISNUMBER(INDEX(Inputs!$K$5:$AJ$200,0,MATCH(AD$2,Inputs!$K$4:$AJ$4,0))))=0,NA(),SUMPRODUCT((Inputs!$A$5:$A$200=$B36)*Inputs!$B$5:$B$200*(((Inputs!$G$5:$G$200="moeda")+(Inputs!$G$5:$G$200="acoes"))*Inputs!$B$1+((Inputs!$G$5:$G$200&lt;&gt;"moeda")*(Inputs!$G$5:$G$200&lt;&gt;"acoes")))*INDEX(Inputs!$K$5:$AJ$200,0,MATCH(AD$2,Inputs!$K$4:$AJ$4,0)))+SUMPRODUCT((Inputs!$C$5:$C$200=$B36)*Inputs!$D$5:$D$200*(((Inputs!$G$5:$G$200="moeda")+(Inputs!$G$5:$G$200="acoes"))*Inputs!$B$1+((Inputs!$G$5:$G$200&lt;&gt;"moeda")*(Inputs!$G$5:$G$200&lt;&gt;"acoes")))*INDEX(Inputs!$K$5:$AJ$200,0,MATCH(AD$2,Inputs!$K$4:$AJ$4,0)))+SUMPRODUCT((Inputs!$E$5:$E$200=$B36)*Inputs!$F$5:$F$200*(((Inputs!$G$5:$G$200="moeda")+(Inputs!$G$5:$G$200="acoes"))*Inputs!$B$1+((Inputs!$G$5:$G$200&lt;&gt;"moeda")*(Inputs!$G$5:$G$200&lt;&gt;"acoes")))*INDEX(Inputs!$K$5:$AJ$200,0,MATCH(AD$2,Inputs!$K$4:$AJ$4,0)))))</f>
        <v>49.663</v>
      </c>
      <c r="AE36" s="6" t="e">
        <f>IF(ISNA(MATCH(AE$2,Inputs!$K$4:$AJ$4,0)),NA(),IF(SUMPRODUCT((Inputs!$A$5:$A$200=$B36)*ISNUMBER(INDEX(Inputs!$K$5:$AJ$200,0,MATCH(AE$2,Inputs!$K$4:$AJ$4,0))))+SUMPRODUCT((Inputs!$C$5:$C$200=$B36)*ISNUMBER(INDEX(Inputs!$K$5:$AJ$200,0,MATCH(AE$2,Inputs!$K$4:$AJ$4,0))))+SUMPRODUCT((Inputs!$E$5:$E$200=$B36)*ISNUMBER(INDEX(Inputs!$K$5:$AJ$200,0,MATCH(AE$2,Inputs!$K$4:$AJ$4,0))))=0,NA(),SUMPRODUCT((Inputs!$A$5:$A$200=$B36)*Inputs!$B$5:$B$200*(((Inputs!$G$5:$G$200="moeda")+(Inputs!$G$5:$G$200="acoes"))*Inputs!$B$1+((Inputs!$G$5:$G$200&lt;&gt;"moeda")*(Inputs!$G$5:$G$200&lt;&gt;"acoes")))*INDEX(Inputs!$K$5:$AJ$200,0,MATCH(AE$2,Inputs!$K$4:$AJ$4,0)))+SUMPRODUCT((Inputs!$C$5:$C$200=$B36)*Inputs!$D$5:$D$200*(((Inputs!$G$5:$G$200="moeda")+(Inputs!$G$5:$G$200="acoes"))*Inputs!$B$1+((Inputs!$G$5:$G$200&lt;&gt;"moeda")*(Inputs!$G$5:$G$200&lt;&gt;"acoes")))*INDEX(Inputs!$K$5:$AJ$200,0,MATCH(AE$2,Inputs!$K$4:$AJ$4,0)))+SUMPRODUCT((Inputs!$E$5:$E$200=$B36)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6" s="6" t="e">
        <f>IF(ISNA(MATCH(AF$2,Inputs!$K$4:$AJ$4,0)),NA(),IF(SUMPRODUCT((Inputs!$A$5:$A$200=$B36)*ISNUMBER(INDEX(Inputs!$K$5:$AJ$200,0,MATCH(AF$2,Inputs!$K$4:$AJ$4,0))))+SUMPRODUCT((Inputs!$C$5:$C$200=$B36)*ISNUMBER(INDEX(Inputs!$K$5:$AJ$200,0,MATCH(AF$2,Inputs!$K$4:$AJ$4,0))))+SUMPRODUCT((Inputs!$E$5:$E$200=$B36)*ISNUMBER(INDEX(Inputs!$K$5:$AJ$200,0,MATCH(AF$2,Inputs!$K$4:$AJ$4,0))))=0,NA(),SUMPRODUCT((Inputs!$A$5:$A$200=$B36)*Inputs!$B$5:$B$200*(((Inputs!$G$5:$G$200="moeda")+(Inputs!$G$5:$G$200="acoes"))*Inputs!$B$1+((Inputs!$G$5:$G$200&lt;&gt;"moeda")*(Inputs!$G$5:$G$200&lt;&gt;"acoes")))*INDEX(Inputs!$K$5:$AJ$200,0,MATCH(AF$2,Inputs!$K$4:$AJ$4,0)))+SUMPRODUCT((Inputs!$C$5:$C$200=$B36)*Inputs!$D$5:$D$200*(((Inputs!$G$5:$G$200="moeda")+(Inputs!$G$5:$G$200="acoes"))*Inputs!$B$1+((Inputs!$G$5:$G$200&lt;&gt;"moeda")*(Inputs!$G$5:$G$200&lt;&gt;"acoes")))*INDEX(Inputs!$K$5:$AJ$200,0,MATCH(AF$2,Inputs!$K$4:$AJ$4,0)))+SUMPRODUCT((Inputs!$E$5:$E$200=$B36)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6" s="3" t="e">
        <f>AF36</f>
        <v>#N/A</v>
      </c>
      <c r="AH36" s="6">
        <f>IF(ISNA(MATCH(AH$2,Inputs!$K$4:$AJ$4,0)),NA(),IF(SUMPRODUCT((Inputs!$A$5:$A$200=$B36)*ISNUMBER(INDEX(Inputs!$K$5:$AJ$200,0,MATCH(AH$2,Inputs!$K$4:$AJ$4,0))))+SUMPRODUCT((Inputs!$C$5:$C$200=$B36)*ISNUMBER(INDEX(Inputs!$K$5:$AJ$200,0,MATCH(AH$2,Inputs!$K$4:$AJ$4,0))))+SUMPRODUCT((Inputs!$E$5:$E$200=$B36)*ISNUMBER(INDEX(Inputs!$K$5:$AJ$200,0,MATCH(AH$2,Inputs!$K$4:$AJ$4,0))))=0,NA(),SUMPRODUCT((Inputs!$A$5:$A$200=$B36)*Inputs!$B$5:$B$200*(((Inputs!$G$5:$G$200="moeda")+(Inputs!$G$5:$G$200="acoes"))*Inputs!$B$1+((Inputs!$G$5:$G$200&lt;&gt;"moeda")*(Inputs!$G$5:$G$200&lt;&gt;"acoes")))*INDEX(Inputs!$K$5:$AJ$200,0,MATCH(AH$2,Inputs!$K$4:$AJ$4,0)))+SUMPRODUCT((Inputs!$C$5:$C$200=$B36)*Inputs!$D$5:$D$200*(((Inputs!$G$5:$G$200="moeda")+(Inputs!$G$5:$G$200="acoes"))*Inputs!$B$1+((Inputs!$G$5:$G$200&lt;&gt;"moeda")*(Inputs!$G$5:$G$200&lt;&gt;"acoes")))*INDEX(Inputs!$K$5:$AJ$200,0,MATCH(AH$2,Inputs!$K$4:$AJ$4,0)))+SUMPRODUCT((Inputs!$E$5:$E$200=$B36)*Inputs!$F$5:$F$200*(((Inputs!$G$5:$G$200="moeda")+(Inputs!$G$5:$G$200="acoes"))*Inputs!$B$1+((Inputs!$G$5:$G$200&lt;&gt;"moeda")*(Inputs!$G$5:$G$200&lt;&gt;"acoes")))*INDEX(Inputs!$K$5:$AJ$200,0,MATCH(AH$2,Inputs!$K$4:$AJ$4,0)))))</f>
        <v>6.644</v>
      </c>
      <c r="AI36" s="6">
        <f>IF(ISNA(MATCH(AI$2,Inputs!$K$4:$AJ$4,0)),NA(),IF(SUMPRODUCT((Inputs!$A$5:$A$200=$B36)*ISNUMBER(INDEX(Inputs!$K$5:$AJ$200,0,MATCH(AI$2,Inputs!$K$4:$AJ$4,0))))+SUMPRODUCT((Inputs!$C$5:$C$200=$B36)*ISNUMBER(INDEX(Inputs!$K$5:$AJ$200,0,MATCH(AI$2,Inputs!$K$4:$AJ$4,0))))+SUMPRODUCT((Inputs!$E$5:$E$200=$B36)*ISNUMBER(INDEX(Inputs!$K$5:$AJ$200,0,MATCH(AI$2,Inputs!$K$4:$AJ$4,0))))=0,NA(),SUMPRODUCT((Inputs!$A$5:$A$200=$B36)*Inputs!$B$5:$B$200*(((Inputs!$G$5:$G$200="moeda")+(Inputs!$G$5:$G$200="acoes"))*Inputs!$B$1+((Inputs!$G$5:$G$200&lt;&gt;"moeda")*(Inputs!$G$5:$G$200&lt;&gt;"acoes")))*INDEX(Inputs!$K$5:$AJ$200,0,MATCH(AI$2,Inputs!$K$4:$AJ$4,0)))+SUMPRODUCT((Inputs!$C$5:$C$200=$B36)*Inputs!$D$5:$D$200*(((Inputs!$G$5:$G$200="moeda")+(Inputs!$G$5:$G$200="acoes"))*Inputs!$B$1+((Inputs!$G$5:$G$200&lt;&gt;"moeda")*(Inputs!$G$5:$G$200&lt;&gt;"acoes")))*INDEX(Inputs!$K$5:$AJ$200,0,MATCH(AI$2,Inputs!$K$4:$AJ$4,0)))+SUMPRODUCT((Inputs!$E$5:$E$200=$B36)*Inputs!$F$5:$F$200*(((Inputs!$G$5:$G$200="moeda")+(Inputs!$G$5:$G$200="acoes"))*Inputs!$B$1+((Inputs!$G$5:$G$200&lt;&gt;"moeda")*(Inputs!$G$5:$G$200&lt;&gt;"acoes")))*INDEX(Inputs!$K$5:$AJ$200,0,MATCH(AI$2,Inputs!$K$4:$AJ$4,0)))))</f>
        <v>6.644</v>
      </c>
      <c r="AJ36" s="6">
        <f>IF(ISNA(MATCH(AJ$2,Inputs!$K$4:$AJ$4,0)),NA(),IF(SUMPRODUCT((Inputs!$A$5:$A$200=$B36)*ISNUMBER(INDEX(Inputs!$K$5:$AJ$200,0,MATCH(AJ$2,Inputs!$K$4:$AJ$4,0))))+SUMPRODUCT((Inputs!$C$5:$C$200=$B36)*ISNUMBER(INDEX(Inputs!$K$5:$AJ$200,0,MATCH(AJ$2,Inputs!$K$4:$AJ$4,0))))+SUMPRODUCT((Inputs!$E$5:$E$200=$B36)*ISNUMBER(INDEX(Inputs!$K$5:$AJ$200,0,MATCH(AJ$2,Inputs!$K$4:$AJ$4,0))))=0,NA(),SUMPRODUCT((Inputs!$A$5:$A$200=$B36)*Inputs!$B$5:$B$200*(((Inputs!$G$5:$G$200="moeda")+(Inputs!$G$5:$G$200="acoes"))*Inputs!$B$1+((Inputs!$G$5:$G$200&lt;&gt;"moeda")*(Inputs!$G$5:$G$200&lt;&gt;"acoes")))*INDEX(Inputs!$K$5:$AJ$200,0,MATCH(AJ$2,Inputs!$K$4:$AJ$4,0)))+SUMPRODUCT((Inputs!$C$5:$C$200=$B36)*Inputs!$D$5:$D$200*(((Inputs!$G$5:$G$200="moeda")+(Inputs!$G$5:$G$200="acoes"))*Inputs!$B$1+((Inputs!$G$5:$G$200&lt;&gt;"moeda")*(Inputs!$G$5:$G$200&lt;&gt;"acoes")))*INDEX(Inputs!$K$5:$AJ$200,0,MATCH(AJ$2,Inputs!$K$4:$AJ$4,0)))+SUMPRODUCT((Inputs!$E$5:$E$200=$B36)*Inputs!$F$5:$F$200*(((Inputs!$G$5:$G$200="moeda")+(Inputs!$G$5:$G$200="acoes"))*Inputs!$B$1+((Inputs!$G$5:$G$200&lt;&gt;"moeda")*(Inputs!$G$5:$G$200&lt;&gt;"acoes")))*INDEX(Inputs!$K$5:$AJ$200,0,MATCH(AJ$2,Inputs!$K$4:$AJ$4,0)))))</f>
        <v>6.644</v>
      </c>
      <c r="AK36" s="6">
        <f>IF(ISNA(MATCH(AK$2,Inputs!$K$4:$AJ$4,0)),NA(),IF(SUMPRODUCT((Inputs!$A$5:$A$200=$B36)*ISNUMBER(INDEX(Inputs!$K$5:$AJ$200,0,MATCH(AK$2,Inputs!$K$4:$AJ$4,0))))+SUMPRODUCT((Inputs!$C$5:$C$200=$B36)*ISNUMBER(INDEX(Inputs!$K$5:$AJ$200,0,MATCH(AK$2,Inputs!$K$4:$AJ$4,0))))+SUMPRODUCT((Inputs!$E$5:$E$200=$B36)*ISNUMBER(INDEX(Inputs!$K$5:$AJ$200,0,MATCH(AK$2,Inputs!$K$4:$AJ$4,0))))=0,NA(),SUMPRODUCT((Inputs!$A$5:$A$200=$B36)*Inputs!$B$5:$B$200*(((Inputs!$G$5:$G$200="moeda")+(Inputs!$G$5:$G$200="acoes"))*Inputs!$B$1+((Inputs!$G$5:$G$200&lt;&gt;"moeda")*(Inputs!$G$5:$G$200&lt;&gt;"acoes")))*INDEX(Inputs!$K$5:$AJ$200,0,MATCH(AK$2,Inputs!$K$4:$AJ$4,0)))+SUMPRODUCT((Inputs!$C$5:$C$200=$B36)*Inputs!$D$5:$D$200*(((Inputs!$G$5:$G$200="moeda")+(Inputs!$G$5:$G$200="acoes"))*Inputs!$B$1+((Inputs!$G$5:$G$200&lt;&gt;"moeda")*(Inputs!$G$5:$G$200&lt;&gt;"acoes")))*INDEX(Inputs!$K$5:$AJ$200,0,MATCH(AK$2,Inputs!$K$4:$AJ$4,0)))+SUMPRODUCT((Inputs!$E$5:$E$200=$B36)*Inputs!$F$5:$F$200*(((Inputs!$G$5:$G$200="moeda")+(Inputs!$G$5:$G$200="acoes"))*Inputs!$B$1+((Inputs!$G$5:$G$200&lt;&gt;"moeda")*(Inputs!$G$5:$G$200&lt;&gt;"acoes")))*INDEX(Inputs!$K$5:$AJ$200,0,MATCH(AK$2,Inputs!$K$4:$AJ$4,0)))))</f>
        <v>6.226</v>
      </c>
      <c r="AL36" s="3">
        <f>AK36</f>
        <v>6.226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$200=$B37)*ISNUMBER(INDEX(Inputs!$K$5:$AJ$200,0,MATCH(D$2,Inputs!$K$4:$AJ$4,0))))+SUMPRODUCT((Inputs!$C$5:$C$200=$B37)*ISNUMBER(INDEX(Inputs!$K$5:$AJ$200,0,MATCH(D$2,Inputs!$K$4:$AJ$4,0))))+SUMPRODUCT((Inputs!$E$5:$E$200=$B37)*ISNUMBER(INDEX(Inputs!$K$5:$AJ$200,0,MATCH(D$2,Inputs!$K$4:$AJ$4,0))))=0,NA(),SUMPRODUCT((Inputs!$A$5:$A$200=$B37)*Inputs!$B$5:$B$200*(((Inputs!$G$5:$G$200="moeda")+(Inputs!$G$5:$G$200="acoes"))*Inputs!$B$1+((Inputs!$G$5:$G$200&lt;&gt;"moeda")*(Inputs!$G$5:$G$200&lt;&gt;"acoes")))*INDEX(Inputs!$K$5:$AJ$200,0,MATCH(D$2,Inputs!$K$4:$AJ$4,0)))+SUMPRODUCT((Inputs!$C$5:$C$200=$B37)*Inputs!$D$5:$D$200*(((Inputs!$G$5:$G$200="moeda")+(Inputs!$G$5:$G$200="acoes"))*Inputs!$B$1+((Inputs!$G$5:$G$200&lt;&gt;"moeda")*(Inputs!$G$5:$G$200&lt;&gt;"acoes")))*INDEX(Inputs!$K$5:$AJ$200,0,MATCH(D$2,Inputs!$K$4:$AJ$4,0)))+SUMPRODUCT((Inputs!$E$5:$E$200=$B37)*Inputs!$F$5:$F$200*(((Inputs!$G$5:$G$200="moeda")+(Inputs!$G$5:$G$200="acoes"))*Inputs!$B$1+((Inputs!$G$5:$G$200&lt;&gt;"moeda")*(Inputs!$G$5:$G$200&lt;&gt;"acoes")))*INDEX(Inputs!$K$5:$AJ$200,0,MATCH(D$2,Inputs!$K$4:$AJ$4,0)))))</f>
        <v>#N/A</v>
      </c>
      <c r="E37" s="6" t="e">
        <f>IF(ISNA(MATCH(E$2,Inputs!$K$4:$AJ$4,0)),NA(),IF(SUMPRODUCT((Inputs!$A$5:$A$200=$B37)*ISNUMBER(INDEX(Inputs!$K$5:$AJ$200,0,MATCH(E$2,Inputs!$K$4:$AJ$4,0))))+SUMPRODUCT((Inputs!$C$5:$C$200=$B37)*ISNUMBER(INDEX(Inputs!$K$5:$AJ$200,0,MATCH(E$2,Inputs!$K$4:$AJ$4,0))))+SUMPRODUCT((Inputs!$E$5:$E$200=$B37)*ISNUMBER(INDEX(Inputs!$K$5:$AJ$200,0,MATCH(E$2,Inputs!$K$4:$AJ$4,0))))=0,NA(),SUMPRODUCT((Inputs!$A$5:$A$200=$B37)*Inputs!$B$5:$B$200*(((Inputs!$G$5:$G$200="moeda")+(Inputs!$G$5:$G$200="acoes"))*Inputs!$B$1+((Inputs!$G$5:$G$200&lt;&gt;"moeda")*(Inputs!$G$5:$G$200&lt;&gt;"acoes")))*INDEX(Inputs!$K$5:$AJ$200,0,MATCH(E$2,Inputs!$K$4:$AJ$4,0)))+SUMPRODUCT((Inputs!$C$5:$C$200=$B37)*Inputs!$D$5:$D$200*(((Inputs!$G$5:$G$200="moeda")+(Inputs!$G$5:$G$200="acoes"))*Inputs!$B$1+((Inputs!$G$5:$G$200&lt;&gt;"moeda")*(Inputs!$G$5:$G$200&lt;&gt;"acoes")))*INDEX(Inputs!$K$5:$AJ$200,0,MATCH(E$2,Inputs!$K$4:$AJ$4,0)))+SUMPRODUCT((Inputs!$E$5:$E$200=$B37)*Inputs!$F$5:$F$200*(((Inputs!$G$5:$G$200="moeda")+(Inputs!$G$5:$G$200="acoes"))*Inputs!$B$1+((Inputs!$G$5:$G$200&lt;&gt;"moeda")*(Inputs!$G$5:$G$200&lt;&gt;"acoes")))*INDEX(Inputs!$K$5:$AJ$200,0,MATCH(E$2,Inputs!$K$4:$AJ$4,0)))))</f>
        <v>#N/A</v>
      </c>
      <c r="F37" s="6" t="e">
        <f>IF(ISNA(MATCH(F$2,Inputs!$K$4:$AJ$4,0)),NA(),IF(SUMPRODUCT((Inputs!$A$5:$A$200=$B37)*ISNUMBER(INDEX(Inputs!$K$5:$AJ$200,0,MATCH(F$2,Inputs!$K$4:$AJ$4,0))))+SUMPRODUCT((Inputs!$C$5:$C$200=$B37)*ISNUMBER(INDEX(Inputs!$K$5:$AJ$200,0,MATCH(F$2,Inputs!$K$4:$AJ$4,0))))+SUMPRODUCT((Inputs!$E$5:$E$200=$B37)*ISNUMBER(INDEX(Inputs!$K$5:$AJ$200,0,MATCH(F$2,Inputs!$K$4:$AJ$4,0))))=0,NA(),SUMPRODUCT((Inputs!$A$5:$A$200=$B37)*Inputs!$B$5:$B$200*(((Inputs!$G$5:$G$200="moeda")+(Inputs!$G$5:$G$200="acoes"))*Inputs!$B$1+((Inputs!$G$5:$G$200&lt;&gt;"moeda")*(Inputs!$G$5:$G$200&lt;&gt;"acoes")))*INDEX(Inputs!$K$5:$AJ$200,0,MATCH(F$2,Inputs!$K$4:$AJ$4,0)))+SUMPRODUCT((Inputs!$C$5:$C$200=$B37)*Inputs!$D$5:$D$200*(((Inputs!$G$5:$G$200="moeda")+(Inputs!$G$5:$G$200="acoes"))*Inputs!$B$1+((Inputs!$G$5:$G$200&lt;&gt;"moeda")*(Inputs!$G$5:$G$200&lt;&gt;"acoes")))*INDEX(Inputs!$K$5:$AJ$200,0,MATCH(F$2,Inputs!$K$4:$AJ$4,0)))+SUMPRODUCT((Inputs!$E$5:$E$200=$B37)*Inputs!$F$5:$F$200*(((Inputs!$G$5:$G$200="moeda")+(Inputs!$G$5:$G$200="acoes"))*Inputs!$B$1+((Inputs!$G$5:$G$200&lt;&gt;"moeda")*(Inputs!$G$5:$G$200&lt;&gt;"acoes")))*INDEX(Inputs!$K$5:$AJ$200,0,MATCH(F$2,Inputs!$K$4:$AJ$4,0)))))</f>
        <v>#N/A</v>
      </c>
      <c r="G37" s="6" t="e">
        <f>IF(ISNA(MATCH(G$2,Inputs!$K$4:$AJ$4,0)),NA(),IF(SUMPRODUCT((Inputs!$A$5:$A$200=$B37)*ISNUMBER(INDEX(Inputs!$K$5:$AJ$200,0,MATCH(G$2,Inputs!$K$4:$AJ$4,0))))+SUMPRODUCT((Inputs!$C$5:$C$200=$B37)*ISNUMBER(INDEX(Inputs!$K$5:$AJ$200,0,MATCH(G$2,Inputs!$K$4:$AJ$4,0))))+SUMPRODUCT((Inputs!$E$5:$E$200=$B37)*ISNUMBER(INDEX(Inputs!$K$5:$AJ$200,0,MATCH(G$2,Inputs!$K$4:$AJ$4,0))))=0,NA(),SUMPRODUCT((Inputs!$A$5:$A$200=$B37)*Inputs!$B$5:$B$200*(((Inputs!$G$5:$G$200="moeda")+(Inputs!$G$5:$G$200="acoes"))*Inputs!$B$1+((Inputs!$G$5:$G$200&lt;&gt;"moeda")*(Inputs!$G$5:$G$200&lt;&gt;"acoes")))*INDEX(Inputs!$K$5:$AJ$200,0,MATCH(G$2,Inputs!$K$4:$AJ$4,0)))+SUMPRODUCT((Inputs!$C$5:$C$200=$B37)*Inputs!$D$5:$D$200*(((Inputs!$G$5:$G$200="moeda")+(Inputs!$G$5:$G$200="acoes"))*Inputs!$B$1+((Inputs!$G$5:$G$200&lt;&gt;"moeda")*(Inputs!$G$5:$G$200&lt;&gt;"acoes")))*INDEX(Inputs!$K$5:$AJ$200,0,MATCH(G$2,Inputs!$K$4:$AJ$4,0)))+SUMPRODUCT((Inputs!$E$5:$E$200=$B37)*Inputs!$F$5:$F$200*(((Inputs!$G$5:$G$200="moeda")+(Inputs!$G$5:$G$200="acoes"))*Inputs!$B$1+((Inputs!$G$5:$G$200&lt;&gt;"moeda")*(Inputs!$G$5:$G$200&lt;&gt;"acoes")))*INDEX(Inputs!$K$5:$AJ$200,0,MATCH(G$2,Inputs!$K$4:$AJ$4,0)))))</f>
        <v>#N/A</v>
      </c>
      <c r="H37" s="3" t="e">
        <f>G37</f>
        <v>#N/A</v>
      </c>
      <c r="I37" s="6" t="e">
        <f>IF(ISNA(MATCH(I$2,Inputs!$K$4:$AJ$4,0)),NA(),IF(SUMPRODUCT((Inputs!$A$5:$A$200=$B37)*ISNUMBER(INDEX(Inputs!$K$5:$AJ$200,0,MATCH(I$2,Inputs!$K$4:$AJ$4,0))))+SUMPRODUCT((Inputs!$C$5:$C$200=$B37)*ISNUMBER(INDEX(Inputs!$K$5:$AJ$200,0,MATCH(I$2,Inputs!$K$4:$AJ$4,0))))+SUMPRODUCT((Inputs!$E$5:$E$200=$B37)*ISNUMBER(INDEX(Inputs!$K$5:$AJ$200,0,MATCH(I$2,Inputs!$K$4:$AJ$4,0))))=0,NA(),SUMPRODUCT((Inputs!$A$5:$A$200=$B37)*Inputs!$B$5:$B$200*(((Inputs!$G$5:$G$200="moeda")+(Inputs!$G$5:$G$200="acoes"))*Inputs!$B$1+((Inputs!$G$5:$G$200&lt;&gt;"moeda")*(Inputs!$G$5:$G$200&lt;&gt;"acoes")))*INDEX(Inputs!$K$5:$AJ$200,0,MATCH(I$2,Inputs!$K$4:$AJ$4,0)))+SUMPRODUCT((Inputs!$C$5:$C$200=$B37)*Inputs!$D$5:$D$200*(((Inputs!$G$5:$G$200="moeda")+(Inputs!$G$5:$G$200="acoes"))*Inputs!$B$1+((Inputs!$G$5:$G$200&lt;&gt;"moeda")*(Inputs!$G$5:$G$200&lt;&gt;"acoes")))*INDEX(Inputs!$K$5:$AJ$200,0,MATCH(I$2,Inputs!$K$4:$AJ$4,0)))+SUMPRODUCT((Inputs!$E$5:$E$200=$B37)*Inputs!$F$5:$F$200*(((Inputs!$G$5:$G$200="moeda")+(Inputs!$G$5:$G$200="acoes"))*Inputs!$B$1+((Inputs!$G$5:$G$200&lt;&gt;"moeda")*(Inputs!$G$5:$G$200&lt;&gt;"acoes")))*INDEX(Inputs!$K$5:$AJ$200,0,MATCH(I$2,Inputs!$K$4:$AJ$4,0)))))</f>
        <v>#N/A</v>
      </c>
      <c r="J37" s="6" t="e">
        <f>IF(ISNA(MATCH(J$2,Inputs!$K$4:$AJ$4,0)),NA(),IF(SUMPRODUCT((Inputs!$A$5:$A$200=$B37)*ISNUMBER(INDEX(Inputs!$K$5:$AJ$200,0,MATCH(J$2,Inputs!$K$4:$AJ$4,0))))+SUMPRODUCT((Inputs!$C$5:$C$200=$B37)*ISNUMBER(INDEX(Inputs!$K$5:$AJ$200,0,MATCH(J$2,Inputs!$K$4:$AJ$4,0))))+SUMPRODUCT((Inputs!$E$5:$E$200=$B37)*ISNUMBER(INDEX(Inputs!$K$5:$AJ$200,0,MATCH(J$2,Inputs!$K$4:$AJ$4,0))))=0,NA(),SUMPRODUCT((Inputs!$A$5:$A$200=$B37)*Inputs!$B$5:$B$200*(((Inputs!$G$5:$G$200="moeda")+(Inputs!$G$5:$G$200="acoes"))*Inputs!$B$1+((Inputs!$G$5:$G$200&lt;&gt;"moeda")*(Inputs!$G$5:$G$200&lt;&gt;"acoes")))*INDEX(Inputs!$K$5:$AJ$200,0,MATCH(J$2,Inputs!$K$4:$AJ$4,0)))+SUMPRODUCT((Inputs!$C$5:$C$200=$B37)*Inputs!$D$5:$D$200*(((Inputs!$G$5:$G$200="moeda")+(Inputs!$G$5:$G$200="acoes"))*Inputs!$B$1+((Inputs!$G$5:$G$200&lt;&gt;"moeda")*(Inputs!$G$5:$G$200&lt;&gt;"acoes")))*INDEX(Inputs!$K$5:$AJ$200,0,MATCH(J$2,Inputs!$K$4:$AJ$4,0)))+SUMPRODUCT((Inputs!$E$5:$E$200=$B37)*Inputs!$F$5:$F$200*(((Inputs!$G$5:$G$200="moeda")+(Inputs!$G$5:$G$200="acoes"))*Inputs!$B$1+((Inputs!$G$5:$G$200&lt;&gt;"moeda")*(Inputs!$G$5:$G$200&lt;&gt;"acoes")))*INDEX(Inputs!$K$5:$AJ$200,0,MATCH(J$2,Inputs!$K$4:$AJ$4,0)))))</f>
        <v>#N/A</v>
      </c>
      <c r="K37" s="6" t="e">
        <f>IF(ISNA(MATCH(K$2,Inputs!$K$4:$AJ$4,0)),NA(),IF(SUMPRODUCT((Inputs!$A$5:$A$200=$B37)*ISNUMBER(INDEX(Inputs!$K$5:$AJ$200,0,MATCH(K$2,Inputs!$K$4:$AJ$4,0))))+SUMPRODUCT((Inputs!$C$5:$C$200=$B37)*ISNUMBER(INDEX(Inputs!$K$5:$AJ$200,0,MATCH(K$2,Inputs!$K$4:$AJ$4,0))))+SUMPRODUCT((Inputs!$E$5:$E$200=$B37)*ISNUMBER(INDEX(Inputs!$K$5:$AJ$200,0,MATCH(K$2,Inputs!$K$4:$AJ$4,0))))=0,NA(),SUMPRODUCT((Inputs!$A$5:$A$200=$B37)*Inputs!$B$5:$B$200*(((Inputs!$G$5:$G$200="moeda")+(Inputs!$G$5:$G$200="acoes"))*Inputs!$B$1+((Inputs!$G$5:$G$200&lt;&gt;"moeda")*(Inputs!$G$5:$G$200&lt;&gt;"acoes")))*INDEX(Inputs!$K$5:$AJ$200,0,MATCH(K$2,Inputs!$K$4:$AJ$4,0)))+SUMPRODUCT((Inputs!$C$5:$C$200=$B37)*Inputs!$D$5:$D$200*(((Inputs!$G$5:$G$200="moeda")+(Inputs!$G$5:$G$200="acoes"))*Inputs!$B$1+((Inputs!$G$5:$G$200&lt;&gt;"moeda")*(Inputs!$G$5:$G$200&lt;&gt;"acoes")))*INDEX(Inputs!$K$5:$AJ$200,0,MATCH(K$2,Inputs!$K$4:$AJ$4,0)))+SUMPRODUCT((Inputs!$E$5:$E$200=$B37)*Inputs!$F$5:$F$200*(((Inputs!$G$5:$G$200="moeda")+(Inputs!$G$5:$G$200="acoes"))*Inputs!$B$1+((Inputs!$G$5:$G$200&lt;&gt;"moeda")*(Inputs!$G$5:$G$200&lt;&gt;"acoes")))*INDEX(Inputs!$K$5:$AJ$200,0,MATCH(K$2,Inputs!$K$4:$AJ$4,0)))))</f>
        <v>#N/A</v>
      </c>
      <c r="L37" s="6" t="e">
        <f>IF(ISNA(MATCH(L$2,Inputs!$K$4:$AJ$4,0)),NA(),IF(SUMPRODUCT((Inputs!$A$5:$A$200=$B37)*ISNUMBER(INDEX(Inputs!$K$5:$AJ$200,0,MATCH(L$2,Inputs!$K$4:$AJ$4,0))))+SUMPRODUCT((Inputs!$C$5:$C$200=$B37)*ISNUMBER(INDEX(Inputs!$K$5:$AJ$200,0,MATCH(L$2,Inputs!$K$4:$AJ$4,0))))+SUMPRODUCT((Inputs!$E$5:$E$200=$B37)*ISNUMBER(INDEX(Inputs!$K$5:$AJ$200,0,MATCH(L$2,Inputs!$K$4:$AJ$4,0))))=0,NA(),SUMPRODUCT((Inputs!$A$5:$A$200=$B37)*Inputs!$B$5:$B$200*(((Inputs!$G$5:$G$200="moeda")+(Inputs!$G$5:$G$200="acoes"))*Inputs!$B$1+((Inputs!$G$5:$G$200&lt;&gt;"moeda")*(Inputs!$G$5:$G$200&lt;&gt;"acoes")))*INDEX(Inputs!$K$5:$AJ$200,0,MATCH(L$2,Inputs!$K$4:$AJ$4,0)))+SUMPRODUCT((Inputs!$C$5:$C$200=$B37)*Inputs!$D$5:$D$200*(((Inputs!$G$5:$G$200="moeda")+(Inputs!$G$5:$G$200="acoes"))*Inputs!$B$1+((Inputs!$G$5:$G$200&lt;&gt;"moeda")*(Inputs!$G$5:$G$200&lt;&gt;"acoes")))*INDEX(Inputs!$K$5:$AJ$200,0,MATCH(L$2,Inputs!$K$4:$AJ$4,0)))+SUMPRODUCT((Inputs!$E$5:$E$200=$B37)*Inputs!$F$5:$F$200*(((Inputs!$G$5:$G$200="moeda")+(Inputs!$G$5:$G$200="acoes"))*Inputs!$B$1+((Inputs!$G$5:$G$200&lt;&gt;"moeda")*(Inputs!$G$5:$G$200&lt;&gt;"acoes")))*INDEX(Inputs!$K$5:$AJ$200,0,MATCH(L$2,Inputs!$K$4:$AJ$4,0)))))</f>
        <v>#N/A</v>
      </c>
      <c r="M37" s="3" t="e">
        <f>L37</f>
        <v>#N/A</v>
      </c>
      <c r="N37" s="6" t="e">
        <f>IF(ISNA(MATCH(N$2,Inputs!$K$4:$AJ$4,0)),NA(),IF(SUMPRODUCT((Inputs!$A$5:$A$200=$B37)*ISNUMBER(INDEX(Inputs!$K$5:$AJ$200,0,MATCH(N$2,Inputs!$K$4:$AJ$4,0))))+SUMPRODUCT((Inputs!$C$5:$C$200=$B37)*ISNUMBER(INDEX(Inputs!$K$5:$AJ$200,0,MATCH(N$2,Inputs!$K$4:$AJ$4,0))))+SUMPRODUCT((Inputs!$E$5:$E$200=$B37)*ISNUMBER(INDEX(Inputs!$K$5:$AJ$200,0,MATCH(N$2,Inputs!$K$4:$AJ$4,0))))=0,NA(),SUMPRODUCT((Inputs!$A$5:$A$200=$B37)*Inputs!$B$5:$B$200*(((Inputs!$G$5:$G$200="moeda")+(Inputs!$G$5:$G$200="acoes"))*Inputs!$B$1+((Inputs!$G$5:$G$200&lt;&gt;"moeda")*(Inputs!$G$5:$G$200&lt;&gt;"acoes")))*INDEX(Inputs!$K$5:$AJ$200,0,MATCH(N$2,Inputs!$K$4:$AJ$4,0)))+SUMPRODUCT((Inputs!$C$5:$C$200=$B37)*Inputs!$D$5:$D$200*(((Inputs!$G$5:$G$200="moeda")+(Inputs!$G$5:$G$200="acoes"))*Inputs!$B$1+((Inputs!$G$5:$G$200&lt;&gt;"moeda")*(Inputs!$G$5:$G$200&lt;&gt;"acoes")))*INDEX(Inputs!$K$5:$AJ$200,0,MATCH(N$2,Inputs!$K$4:$AJ$4,0)))+SUMPRODUCT((Inputs!$E$5:$E$200=$B37)*Inputs!$F$5:$F$200*(((Inputs!$G$5:$G$200="moeda")+(Inputs!$G$5:$G$200="acoes"))*Inputs!$B$1+((Inputs!$G$5:$G$200&lt;&gt;"moeda")*(Inputs!$G$5:$G$200&lt;&gt;"acoes")))*INDEX(Inputs!$K$5:$AJ$200,0,MATCH(N$2,Inputs!$K$4:$AJ$4,0)))))</f>
        <v>#N/A</v>
      </c>
      <c r="O37" s="6" t="e">
        <f>IF(ISNA(MATCH(O$2,Inputs!$K$4:$AJ$4,0)),NA(),IF(SUMPRODUCT((Inputs!$A$5:$A$200=$B37)*ISNUMBER(INDEX(Inputs!$K$5:$AJ$200,0,MATCH(O$2,Inputs!$K$4:$AJ$4,0))))+SUMPRODUCT((Inputs!$C$5:$C$200=$B37)*ISNUMBER(INDEX(Inputs!$K$5:$AJ$200,0,MATCH(O$2,Inputs!$K$4:$AJ$4,0))))+SUMPRODUCT((Inputs!$E$5:$E$200=$B37)*ISNUMBER(INDEX(Inputs!$K$5:$AJ$200,0,MATCH(O$2,Inputs!$K$4:$AJ$4,0))))=0,NA(),SUMPRODUCT((Inputs!$A$5:$A$200=$B37)*Inputs!$B$5:$B$200*(((Inputs!$G$5:$G$200="moeda")+(Inputs!$G$5:$G$200="acoes"))*Inputs!$B$1+((Inputs!$G$5:$G$200&lt;&gt;"moeda")*(Inputs!$G$5:$G$200&lt;&gt;"acoes")))*INDEX(Inputs!$K$5:$AJ$200,0,MATCH(O$2,Inputs!$K$4:$AJ$4,0)))+SUMPRODUCT((Inputs!$C$5:$C$200=$B37)*Inputs!$D$5:$D$200*(((Inputs!$G$5:$G$200="moeda")+(Inputs!$G$5:$G$200="acoes"))*Inputs!$B$1+((Inputs!$G$5:$G$200&lt;&gt;"moeda")*(Inputs!$G$5:$G$200&lt;&gt;"acoes")))*INDEX(Inputs!$K$5:$AJ$200,0,MATCH(O$2,Inputs!$K$4:$AJ$4,0)))+SUMPRODUCT((Inputs!$E$5:$E$200=$B37)*Inputs!$F$5:$F$200*(((Inputs!$G$5:$G$200="moeda")+(Inputs!$G$5:$G$200="acoes"))*Inputs!$B$1+((Inputs!$G$5:$G$200&lt;&gt;"moeda")*(Inputs!$G$5:$G$200&lt;&gt;"acoes")))*INDEX(Inputs!$K$5:$AJ$200,0,MATCH(O$2,Inputs!$K$4:$AJ$4,0)))))</f>
        <v>#N/A</v>
      </c>
      <c r="P37" s="6" t="e">
        <f>IF(ISNA(MATCH(P$2,Inputs!$K$4:$AJ$4,0)),NA(),IF(SUMPRODUCT((Inputs!$A$5:$A$200=$B37)*ISNUMBER(INDEX(Inputs!$K$5:$AJ$200,0,MATCH(P$2,Inputs!$K$4:$AJ$4,0))))+SUMPRODUCT((Inputs!$C$5:$C$200=$B37)*ISNUMBER(INDEX(Inputs!$K$5:$AJ$200,0,MATCH(P$2,Inputs!$K$4:$AJ$4,0))))+SUMPRODUCT((Inputs!$E$5:$E$200=$B37)*ISNUMBER(INDEX(Inputs!$K$5:$AJ$200,0,MATCH(P$2,Inputs!$K$4:$AJ$4,0))))=0,NA(),SUMPRODUCT((Inputs!$A$5:$A$200=$B37)*Inputs!$B$5:$B$200*(((Inputs!$G$5:$G$200="moeda")+(Inputs!$G$5:$G$200="acoes"))*Inputs!$B$1+((Inputs!$G$5:$G$200&lt;&gt;"moeda")*(Inputs!$G$5:$G$200&lt;&gt;"acoes")))*INDEX(Inputs!$K$5:$AJ$200,0,MATCH(P$2,Inputs!$K$4:$AJ$4,0)))+SUMPRODUCT((Inputs!$C$5:$C$200=$B37)*Inputs!$D$5:$D$200*(((Inputs!$G$5:$G$200="moeda")+(Inputs!$G$5:$G$200="acoes"))*Inputs!$B$1+((Inputs!$G$5:$G$200&lt;&gt;"moeda")*(Inputs!$G$5:$G$200&lt;&gt;"acoes")))*INDEX(Inputs!$K$5:$AJ$200,0,MATCH(P$2,Inputs!$K$4:$AJ$4,0)))+SUMPRODUCT((Inputs!$E$5:$E$200=$B37)*Inputs!$F$5:$F$200*(((Inputs!$G$5:$G$200="moeda")+(Inputs!$G$5:$G$200="acoes"))*Inputs!$B$1+((Inputs!$G$5:$G$200&lt;&gt;"moeda")*(Inputs!$G$5:$G$200&lt;&gt;"acoes")))*INDEX(Inputs!$K$5:$AJ$200,0,MATCH(P$2,Inputs!$K$4:$AJ$4,0)))))</f>
        <v>#N/A</v>
      </c>
      <c r="Q37" s="6" t="e">
        <f>IF(ISNA(MATCH(Q$2,Inputs!$K$4:$AJ$4,0)),NA(),IF(SUMPRODUCT((Inputs!$A$5:$A$200=$B37)*ISNUMBER(INDEX(Inputs!$K$5:$AJ$200,0,MATCH(Q$2,Inputs!$K$4:$AJ$4,0))))+SUMPRODUCT((Inputs!$C$5:$C$200=$B37)*ISNUMBER(INDEX(Inputs!$K$5:$AJ$200,0,MATCH(Q$2,Inputs!$K$4:$AJ$4,0))))+SUMPRODUCT((Inputs!$E$5:$E$200=$B37)*ISNUMBER(INDEX(Inputs!$K$5:$AJ$200,0,MATCH(Q$2,Inputs!$K$4:$AJ$4,0))))=0,NA(),SUMPRODUCT((Inputs!$A$5:$A$200=$B37)*Inputs!$B$5:$B$200*(((Inputs!$G$5:$G$200="moeda")+(Inputs!$G$5:$G$200="acoes"))*Inputs!$B$1+((Inputs!$G$5:$G$200&lt;&gt;"moeda")*(Inputs!$G$5:$G$200&lt;&gt;"acoes")))*INDEX(Inputs!$K$5:$AJ$200,0,MATCH(Q$2,Inputs!$K$4:$AJ$4,0)))+SUMPRODUCT((Inputs!$C$5:$C$200=$B37)*Inputs!$D$5:$D$200*(((Inputs!$G$5:$G$200="moeda")+(Inputs!$G$5:$G$200="acoes"))*Inputs!$B$1+((Inputs!$G$5:$G$200&lt;&gt;"moeda")*(Inputs!$G$5:$G$200&lt;&gt;"acoes")))*INDEX(Inputs!$K$5:$AJ$200,0,MATCH(Q$2,Inputs!$K$4:$AJ$4,0)))+SUMPRODUCT((Inputs!$E$5:$E$200=$B37)*Inputs!$F$5:$F$200*(((Inputs!$G$5:$G$200="moeda")+(Inputs!$G$5:$G$200="acoes"))*Inputs!$B$1+((Inputs!$G$5:$G$200&lt;&gt;"moeda")*(Inputs!$G$5:$G$200&lt;&gt;"acoes")))*INDEX(Inputs!$K$5:$AJ$200,0,MATCH(Q$2,Inputs!$K$4:$AJ$4,0)))))</f>
        <v>#N/A</v>
      </c>
      <c r="R37" s="3" t="e">
        <f>Q37</f>
        <v>#N/A</v>
      </c>
      <c r="S37" s="6" t="e">
        <f>IF(ISNA(MATCH(S$2,Inputs!$K$4:$AJ$4,0)),NA(),IF(SUMPRODUCT((Inputs!$A$5:$A$200=$B37)*ISNUMBER(INDEX(Inputs!$K$5:$AJ$200,0,MATCH(S$2,Inputs!$K$4:$AJ$4,0))))+SUMPRODUCT((Inputs!$C$5:$C$200=$B37)*ISNUMBER(INDEX(Inputs!$K$5:$AJ$200,0,MATCH(S$2,Inputs!$K$4:$AJ$4,0))))+SUMPRODUCT((Inputs!$E$5:$E$200=$B37)*ISNUMBER(INDEX(Inputs!$K$5:$AJ$200,0,MATCH(S$2,Inputs!$K$4:$AJ$4,0))))=0,NA(),SUMPRODUCT((Inputs!$A$5:$A$200=$B37)*Inputs!$B$5:$B$200*(((Inputs!$G$5:$G$200="moeda")+(Inputs!$G$5:$G$200="acoes"))*Inputs!$B$1+((Inputs!$G$5:$G$200&lt;&gt;"moeda")*(Inputs!$G$5:$G$200&lt;&gt;"acoes")))*INDEX(Inputs!$K$5:$AJ$200,0,MATCH(S$2,Inputs!$K$4:$AJ$4,0)))+SUMPRODUCT((Inputs!$C$5:$C$200=$B37)*Inputs!$D$5:$D$200*(((Inputs!$G$5:$G$200="moeda")+(Inputs!$G$5:$G$200="acoes"))*Inputs!$B$1+((Inputs!$G$5:$G$200&lt;&gt;"moeda")*(Inputs!$G$5:$G$200&lt;&gt;"acoes")))*INDEX(Inputs!$K$5:$AJ$200,0,MATCH(S$2,Inputs!$K$4:$AJ$4,0)))+SUMPRODUCT((Inputs!$E$5:$E$200=$B37)*Inputs!$F$5:$F$200*(((Inputs!$G$5:$G$200="moeda")+(Inputs!$G$5:$G$200="acoes"))*Inputs!$B$1+((Inputs!$G$5:$G$200&lt;&gt;"moeda")*(Inputs!$G$5:$G$200&lt;&gt;"acoes")))*INDEX(Inputs!$K$5:$AJ$200,0,MATCH(S$2,Inputs!$K$4:$AJ$4,0)))))</f>
        <v>#N/A</v>
      </c>
      <c r="T37" s="6" t="e">
        <f>IF(ISNA(MATCH(T$2,Inputs!$K$4:$AJ$4,0)),NA(),IF(SUMPRODUCT((Inputs!$A$5:$A$200=$B37)*ISNUMBER(INDEX(Inputs!$K$5:$AJ$200,0,MATCH(T$2,Inputs!$K$4:$AJ$4,0))))+SUMPRODUCT((Inputs!$C$5:$C$200=$B37)*ISNUMBER(INDEX(Inputs!$K$5:$AJ$200,0,MATCH(T$2,Inputs!$K$4:$AJ$4,0))))+SUMPRODUCT((Inputs!$E$5:$E$200=$B37)*ISNUMBER(INDEX(Inputs!$K$5:$AJ$200,0,MATCH(T$2,Inputs!$K$4:$AJ$4,0))))=0,NA(),SUMPRODUCT((Inputs!$A$5:$A$200=$B37)*Inputs!$B$5:$B$200*(((Inputs!$G$5:$G$200="moeda")+(Inputs!$G$5:$G$200="acoes"))*Inputs!$B$1+((Inputs!$G$5:$G$200&lt;&gt;"moeda")*(Inputs!$G$5:$G$200&lt;&gt;"acoes")))*INDEX(Inputs!$K$5:$AJ$200,0,MATCH(T$2,Inputs!$K$4:$AJ$4,0)))+SUMPRODUCT((Inputs!$C$5:$C$200=$B37)*Inputs!$D$5:$D$200*(((Inputs!$G$5:$G$200="moeda")+(Inputs!$G$5:$G$200="acoes"))*Inputs!$B$1+((Inputs!$G$5:$G$200&lt;&gt;"moeda")*(Inputs!$G$5:$G$200&lt;&gt;"acoes")))*INDEX(Inputs!$K$5:$AJ$200,0,MATCH(T$2,Inputs!$K$4:$AJ$4,0)))+SUMPRODUCT((Inputs!$E$5:$E$200=$B37)*Inputs!$F$5:$F$200*(((Inputs!$G$5:$G$200="moeda")+(Inputs!$G$5:$G$200="acoes"))*Inputs!$B$1+((Inputs!$G$5:$G$200&lt;&gt;"moeda")*(Inputs!$G$5:$G$200&lt;&gt;"acoes")))*INDEX(Inputs!$K$5:$AJ$200,0,MATCH(T$2,Inputs!$K$4:$AJ$4,0)))))</f>
        <v>#N/A</v>
      </c>
      <c r="U37" s="6" t="e">
        <f>IF(ISNA(MATCH(U$2,Inputs!$K$4:$AJ$4,0)),NA(),IF(SUMPRODUCT((Inputs!$A$5:$A$200=$B37)*ISNUMBER(INDEX(Inputs!$K$5:$AJ$200,0,MATCH(U$2,Inputs!$K$4:$AJ$4,0))))+SUMPRODUCT((Inputs!$C$5:$C$200=$B37)*ISNUMBER(INDEX(Inputs!$K$5:$AJ$200,0,MATCH(U$2,Inputs!$K$4:$AJ$4,0))))+SUMPRODUCT((Inputs!$E$5:$E$200=$B37)*ISNUMBER(INDEX(Inputs!$K$5:$AJ$200,0,MATCH(U$2,Inputs!$K$4:$AJ$4,0))))=0,NA(),SUMPRODUCT((Inputs!$A$5:$A$200=$B37)*Inputs!$B$5:$B$200*(((Inputs!$G$5:$G$200="moeda")+(Inputs!$G$5:$G$200="acoes"))*Inputs!$B$1+((Inputs!$G$5:$G$200&lt;&gt;"moeda")*(Inputs!$G$5:$G$200&lt;&gt;"acoes")))*INDEX(Inputs!$K$5:$AJ$200,0,MATCH(U$2,Inputs!$K$4:$AJ$4,0)))+SUMPRODUCT((Inputs!$C$5:$C$200=$B37)*Inputs!$D$5:$D$200*(((Inputs!$G$5:$G$200="moeda")+(Inputs!$G$5:$G$200="acoes"))*Inputs!$B$1+((Inputs!$G$5:$G$200&lt;&gt;"moeda")*(Inputs!$G$5:$G$200&lt;&gt;"acoes")))*INDEX(Inputs!$K$5:$AJ$200,0,MATCH(U$2,Inputs!$K$4:$AJ$4,0)))+SUMPRODUCT((Inputs!$E$5:$E$200=$B37)*Inputs!$F$5:$F$200*(((Inputs!$G$5:$G$200="moeda")+(Inputs!$G$5:$G$200="acoes"))*Inputs!$B$1+((Inputs!$G$5:$G$200&lt;&gt;"moeda")*(Inputs!$G$5:$G$200&lt;&gt;"acoes")))*INDEX(Inputs!$K$5:$AJ$200,0,MATCH(U$2,Inputs!$K$4:$AJ$4,0)))))</f>
        <v>#N/A</v>
      </c>
      <c r="V37" s="6" t="e">
        <f>IF(ISNA(MATCH(V$2,Inputs!$K$4:$AJ$4,0)),NA(),IF(SUMPRODUCT((Inputs!$A$5:$A$200=$B37)*ISNUMBER(INDEX(Inputs!$K$5:$AJ$200,0,MATCH(V$2,Inputs!$K$4:$AJ$4,0))))+SUMPRODUCT((Inputs!$C$5:$C$200=$B37)*ISNUMBER(INDEX(Inputs!$K$5:$AJ$200,0,MATCH(V$2,Inputs!$K$4:$AJ$4,0))))+SUMPRODUCT((Inputs!$E$5:$E$200=$B37)*ISNUMBER(INDEX(Inputs!$K$5:$AJ$200,0,MATCH(V$2,Inputs!$K$4:$AJ$4,0))))=0,NA(),SUMPRODUCT((Inputs!$A$5:$A$200=$B37)*Inputs!$B$5:$B$200*(((Inputs!$G$5:$G$200="moeda")+(Inputs!$G$5:$G$200="acoes"))*Inputs!$B$1+((Inputs!$G$5:$G$200&lt;&gt;"moeda")*(Inputs!$G$5:$G$200&lt;&gt;"acoes")))*INDEX(Inputs!$K$5:$AJ$200,0,MATCH(V$2,Inputs!$K$4:$AJ$4,0)))+SUMPRODUCT((Inputs!$C$5:$C$200=$B37)*Inputs!$D$5:$D$200*(((Inputs!$G$5:$G$200="moeda")+(Inputs!$G$5:$G$200="acoes"))*Inputs!$B$1+((Inputs!$G$5:$G$200&lt;&gt;"moeda")*(Inputs!$G$5:$G$200&lt;&gt;"acoes")))*INDEX(Inputs!$K$5:$AJ$200,0,MATCH(V$2,Inputs!$K$4:$AJ$4,0)))+SUMPRODUCT((Inputs!$E$5:$E$200=$B37)*Inputs!$F$5:$F$200*(((Inputs!$G$5:$G$200="moeda")+(Inputs!$G$5:$G$200="acoes"))*Inputs!$B$1+((Inputs!$G$5:$G$200&lt;&gt;"moeda")*(Inputs!$G$5:$G$200&lt;&gt;"acoes")))*INDEX(Inputs!$K$5:$AJ$200,0,MATCH(V$2,Inputs!$K$4:$AJ$4,0)))))</f>
        <v>#N/A</v>
      </c>
      <c r="W37" s="3" t="e">
        <f>V37</f>
        <v>#N/A</v>
      </c>
      <c r="X37" s="6" t="e">
        <f>IF(ISNA(MATCH(X$2,Inputs!$K$4:$AJ$4,0)),NA(),IF(SUMPRODUCT((Inputs!$A$5:$A$200=$B37)*ISNUMBER(INDEX(Inputs!$K$5:$AJ$200,0,MATCH(X$2,Inputs!$K$4:$AJ$4,0))))+SUMPRODUCT((Inputs!$C$5:$C$200=$B37)*ISNUMBER(INDEX(Inputs!$K$5:$AJ$200,0,MATCH(X$2,Inputs!$K$4:$AJ$4,0))))+SUMPRODUCT((Inputs!$E$5:$E$200=$B37)*ISNUMBER(INDEX(Inputs!$K$5:$AJ$200,0,MATCH(X$2,Inputs!$K$4:$AJ$4,0))))=0,NA(),SUMPRODUCT((Inputs!$A$5:$A$200=$B37)*Inputs!$B$5:$B$200*(((Inputs!$G$5:$G$200="moeda")+(Inputs!$G$5:$G$200="acoes"))*Inputs!$B$1+((Inputs!$G$5:$G$200&lt;&gt;"moeda")*(Inputs!$G$5:$G$200&lt;&gt;"acoes")))*INDEX(Inputs!$K$5:$AJ$200,0,MATCH(X$2,Inputs!$K$4:$AJ$4,0)))+SUMPRODUCT((Inputs!$C$5:$C$200=$B37)*Inputs!$D$5:$D$200*(((Inputs!$G$5:$G$200="moeda")+(Inputs!$G$5:$G$200="acoes"))*Inputs!$B$1+((Inputs!$G$5:$G$200&lt;&gt;"moeda")*(Inputs!$G$5:$G$200&lt;&gt;"acoes")))*INDEX(Inputs!$K$5:$AJ$200,0,MATCH(X$2,Inputs!$K$4:$AJ$4,0)))+SUMPRODUCT((Inputs!$E$5:$E$200=$B37)*Inputs!$F$5:$F$200*(((Inputs!$G$5:$G$200="moeda")+(Inputs!$G$5:$G$200="acoes"))*Inputs!$B$1+((Inputs!$G$5:$G$200&lt;&gt;"moeda")*(Inputs!$G$5:$G$200&lt;&gt;"acoes")))*INDEX(Inputs!$K$5:$AJ$200,0,MATCH(X$2,Inputs!$K$4:$AJ$4,0)))))</f>
        <v>#N/A</v>
      </c>
      <c r="Y37" s="6" t="e">
        <f>IF(ISNA(MATCH(Y$2,Inputs!$K$4:$AJ$4,0)),NA(),IF(SUMPRODUCT((Inputs!$A$5:$A$200=$B37)*ISNUMBER(INDEX(Inputs!$K$5:$AJ$200,0,MATCH(Y$2,Inputs!$K$4:$AJ$4,0))))+SUMPRODUCT((Inputs!$C$5:$C$200=$B37)*ISNUMBER(INDEX(Inputs!$K$5:$AJ$200,0,MATCH(Y$2,Inputs!$K$4:$AJ$4,0))))+SUMPRODUCT((Inputs!$E$5:$E$200=$B37)*ISNUMBER(INDEX(Inputs!$K$5:$AJ$200,0,MATCH(Y$2,Inputs!$K$4:$AJ$4,0))))=0,NA(),SUMPRODUCT((Inputs!$A$5:$A$200=$B37)*Inputs!$B$5:$B$200*(((Inputs!$G$5:$G$200="moeda")+(Inputs!$G$5:$G$200="acoes"))*Inputs!$B$1+((Inputs!$G$5:$G$200&lt;&gt;"moeda")*(Inputs!$G$5:$G$200&lt;&gt;"acoes")))*INDEX(Inputs!$K$5:$AJ$200,0,MATCH(Y$2,Inputs!$K$4:$AJ$4,0)))+SUMPRODUCT((Inputs!$C$5:$C$200=$B37)*Inputs!$D$5:$D$200*(((Inputs!$G$5:$G$200="moeda")+(Inputs!$G$5:$G$200="acoes"))*Inputs!$B$1+((Inputs!$G$5:$G$200&lt;&gt;"moeda")*(Inputs!$G$5:$G$200&lt;&gt;"acoes")))*INDEX(Inputs!$K$5:$AJ$200,0,MATCH(Y$2,Inputs!$K$4:$AJ$4,0)))+SUMPRODUCT((Inputs!$E$5:$E$200=$B37)*Inputs!$F$5:$F$200*(((Inputs!$G$5:$G$200="moeda")+(Inputs!$G$5:$G$200="acoes"))*Inputs!$B$1+((Inputs!$G$5:$G$200&lt;&gt;"moeda")*(Inputs!$G$5:$G$200&lt;&gt;"acoes")))*INDEX(Inputs!$K$5:$AJ$200,0,MATCH(Y$2,Inputs!$K$4:$AJ$4,0)))))</f>
        <v>#N/A</v>
      </c>
      <c r="Z37" s="6" t="e">
        <f>IF(ISNA(MATCH(Z$2,Inputs!$K$4:$AJ$4,0)),NA(),IF(SUMPRODUCT((Inputs!$A$5:$A$200=$B37)*ISNUMBER(INDEX(Inputs!$K$5:$AJ$200,0,MATCH(Z$2,Inputs!$K$4:$AJ$4,0))))+SUMPRODUCT((Inputs!$C$5:$C$200=$B37)*ISNUMBER(INDEX(Inputs!$K$5:$AJ$200,0,MATCH(Z$2,Inputs!$K$4:$AJ$4,0))))+SUMPRODUCT((Inputs!$E$5:$E$200=$B37)*ISNUMBER(INDEX(Inputs!$K$5:$AJ$200,0,MATCH(Z$2,Inputs!$K$4:$AJ$4,0))))=0,NA(),SUMPRODUCT((Inputs!$A$5:$A$200=$B37)*Inputs!$B$5:$B$200*(((Inputs!$G$5:$G$200="moeda")+(Inputs!$G$5:$G$200="acoes"))*Inputs!$B$1+((Inputs!$G$5:$G$200&lt;&gt;"moeda")*(Inputs!$G$5:$G$200&lt;&gt;"acoes")))*INDEX(Inputs!$K$5:$AJ$200,0,MATCH(Z$2,Inputs!$K$4:$AJ$4,0)))+SUMPRODUCT((Inputs!$C$5:$C$200=$B37)*Inputs!$D$5:$D$200*(((Inputs!$G$5:$G$200="moeda")+(Inputs!$G$5:$G$200="acoes"))*Inputs!$B$1+((Inputs!$G$5:$G$200&lt;&gt;"moeda")*(Inputs!$G$5:$G$200&lt;&gt;"acoes")))*INDEX(Inputs!$K$5:$AJ$200,0,MATCH(Z$2,Inputs!$K$4:$AJ$4,0)))+SUMPRODUCT((Inputs!$E$5:$E$200=$B37)*Inputs!$F$5:$F$200*(((Inputs!$G$5:$G$200="moeda")+(Inputs!$G$5:$G$200="acoes"))*Inputs!$B$1+((Inputs!$G$5:$G$200&lt;&gt;"moeda")*(Inputs!$G$5:$G$200&lt;&gt;"acoes")))*INDEX(Inputs!$K$5:$AJ$200,0,MATCH(Z$2,Inputs!$K$4:$AJ$4,0)))))</f>
        <v>#N/A</v>
      </c>
      <c r="AA37" s="6" t="e">
        <f>IF(ISNA(MATCH(AA$2,Inputs!$K$4:$AJ$4,0)),NA(),IF(SUMPRODUCT((Inputs!$A$5:$A$200=$B37)*ISNUMBER(INDEX(Inputs!$K$5:$AJ$200,0,MATCH(AA$2,Inputs!$K$4:$AJ$4,0))))+SUMPRODUCT((Inputs!$C$5:$C$200=$B37)*ISNUMBER(INDEX(Inputs!$K$5:$AJ$200,0,MATCH(AA$2,Inputs!$K$4:$AJ$4,0))))+SUMPRODUCT((Inputs!$E$5:$E$200=$B37)*ISNUMBER(INDEX(Inputs!$K$5:$AJ$200,0,MATCH(AA$2,Inputs!$K$4:$AJ$4,0))))=0,NA(),SUMPRODUCT((Inputs!$A$5:$A$200=$B37)*Inputs!$B$5:$B$200*(((Inputs!$G$5:$G$200="moeda")+(Inputs!$G$5:$G$200="acoes"))*Inputs!$B$1+((Inputs!$G$5:$G$200&lt;&gt;"moeda")*(Inputs!$G$5:$G$200&lt;&gt;"acoes")))*INDEX(Inputs!$K$5:$AJ$200,0,MATCH(AA$2,Inputs!$K$4:$AJ$4,0)))+SUMPRODUCT((Inputs!$C$5:$C$200=$B37)*Inputs!$D$5:$D$200*(((Inputs!$G$5:$G$200="moeda")+(Inputs!$G$5:$G$200="acoes"))*Inputs!$B$1+((Inputs!$G$5:$G$200&lt;&gt;"moeda")*(Inputs!$G$5:$G$200&lt;&gt;"acoes")))*INDEX(Inputs!$K$5:$AJ$200,0,MATCH(AA$2,Inputs!$K$4:$AJ$4,0)))+SUMPRODUCT((Inputs!$E$5:$E$200=$B37)*Inputs!$F$5:$F$200*(((Inputs!$G$5:$G$200="moeda")+(Inputs!$G$5:$G$200="acoes"))*Inputs!$B$1+((Inputs!$G$5:$G$200&lt;&gt;"moeda")*(Inputs!$G$5:$G$200&lt;&gt;"acoes")))*INDEX(Inputs!$K$5:$AJ$200,0,MATCH(AA$2,Inputs!$K$4:$AJ$4,0)))))</f>
        <v>#N/A</v>
      </c>
      <c r="AB37" s="3" t="e">
        <f>AA37</f>
        <v>#N/A</v>
      </c>
      <c r="AC37" s="6" t="e">
        <f>IF(ISNA(MATCH(AC$2,Inputs!$K$4:$AJ$4,0)),NA(),IF(SUMPRODUCT((Inputs!$A$5:$A$200=$B37)*ISNUMBER(INDEX(Inputs!$K$5:$AJ$200,0,MATCH(AC$2,Inputs!$K$4:$AJ$4,0))))+SUMPRODUCT((Inputs!$C$5:$C$200=$B37)*ISNUMBER(INDEX(Inputs!$K$5:$AJ$200,0,MATCH(AC$2,Inputs!$K$4:$AJ$4,0))))+SUMPRODUCT((Inputs!$E$5:$E$200=$B37)*ISNUMBER(INDEX(Inputs!$K$5:$AJ$200,0,MATCH(AC$2,Inputs!$K$4:$AJ$4,0))))=0,NA(),SUMPRODUCT((Inputs!$A$5:$A$200=$B37)*Inputs!$B$5:$B$200*(((Inputs!$G$5:$G$200="moeda")+(Inputs!$G$5:$G$200="acoes"))*Inputs!$B$1+((Inputs!$G$5:$G$200&lt;&gt;"moeda")*(Inputs!$G$5:$G$200&lt;&gt;"acoes")))*INDEX(Inputs!$K$5:$AJ$200,0,MATCH(AC$2,Inputs!$K$4:$AJ$4,0)))+SUMPRODUCT((Inputs!$C$5:$C$200=$B37)*Inputs!$D$5:$D$200*(((Inputs!$G$5:$G$200="moeda")+(Inputs!$G$5:$G$200="acoes"))*Inputs!$B$1+((Inputs!$G$5:$G$200&lt;&gt;"moeda")*(Inputs!$G$5:$G$200&lt;&gt;"acoes")))*INDEX(Inputs!$K$5:$AJ$200,0,MATCH(AC$2,Inputs!$K$4:$AJ$4,0)))+SUMPRODUCT((Inputs!$E$5:$E$200=$B37)*Inputs!$F$5:$F$200*(((Inputs!$G$5:$G$200="moeda")+(Inputs!$G$5:$G$200="acoes"))*Inputs!$B$1+((Inputs!$G$5:$G$200&lt;&gt;"moeda")*(Inputs!$G$5:$G$200&lt;&gt;"acoes")))*INDEX(Inputs!$K$5:$AJ$200,0,MATCH(AC$2,Inputs!$K$4:$AJ$4,0)))))</f>
        <v>#N/A</v>
      </c>
      <c r="AD37" s="6" t="e">
        <f>IF(ISNA(MATCH(AD$2,Inputs!$K$4:$AJ$4,0)),NA(),IF(SUMPRODUCT((Inputs!$A$5:$A$200=$B37)*ISNUMBER(INDEX(Inputs!$K$5:$AJ$200,0,MATCH(AD$2,Inputs!$K$4:$AJ$4,0))))+SUMPRODUCT((Inputs!$C$5:$C$200=$B37)*ISNUMBER(INDEX(Inputs!$K$5:$AJ$200,0,MATCH(AD$2,Inputs!$K$4:$AJ$4,0))))+SUMPRODUCT((Inputs!$E$5:$E$200=$B37)*ISNUMBER(INDEX(Inputs!$K$5:$AJ$200,0,MATCH(AD$2,Inputs!$K$4:$AJ$4,0))))=0,NA(),SUMPRODUCT((Inputs!$A$5:$A$200=$B37)*Inputs!$B$5:$B$200*(((Inputs!$G$5:$G$200="moeda")+(Inputs!$G$5:$G$200="acoes"))*Inputs!$B$1+((Inputs!$G$5:$G$200&lt;&gt;"moeda")*(Inputs!$G$5:$G$200&lt;&gt;"acoes")))*INDEX(Inputs!$K$5:$AJ$200,0,MATCH(AD$2,Inputs!$K$4:$AJ$4,0)))+SUMPRODUCT((Inputs!$C$5:$C$200=$B37)*Inputs!$D$5:$D$200*(((Inputs!$G$5:$G$200="moeda")+(Inputs!$G$5:$G$200="acoes"))*Inputs!$B$1+((Inputs!$G$5:$G$200&lt;&gt;"moeda")*(Inputs!$G$5:$G$200&lt;&gt;"acoes")))*INDEX(Inputs!$K$5:$AJ$200,0,MATCH(AD$2,Inputs!$K$4:$AJ$4,0)))+SUMPRODUCT((Inputs!$E$5:$E$200=$B37)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37" s="6" t="e">
        <f>IF(ISNA(MATCH(AE$2,Inputs!$K$4:$AJ$4,0)),NA(),IF(SUMPRODUCT((Inputs!$A$5:$A$200=$B37)*ISNUMBER(INDEX(Inputs!$K$5:$AJ$200,0,MATCH(AE$2,Inputs!$K$4:$AJ$4,0))))+SUMPRODUCT((Inputs!$C$5:$C$200=$B37)*ISNUMBER(INDEX(Inputs!$K$5:$AJ$200,0,MATCH(AE$2,Inputs!$K$4:$AJ$4,0))))+SUMPRODUCT((Inputs!$E$5:$E$200=$B37)*ISNUMBER(INDEX(Inputs!$K$5:$AJ$200,0,MATCH(AE$2,Inputs!$K$4:$AJ$4,0))))=0,NA(),SUMPRODUCT((Inputs!$A$5:$A$200=$B37)*Inputs!$B$5:$B$200*(((Inputs!$G$5:$G$200="moeda")+(Inputs!$G$5:$G$200="acoes"))*Inputs!$B$1+((Inputs!$G$5:$G$200&lt;&gt;"moeda")*(Inputs!$G$5:$G$200&lt;&gt;"acoes")))*INDEX(Inputs!$K$5:$AJ$200,0,MATCH(AE$2,Inputs!$K$4:$AJ$4,0)))+SUMPRODUCT((Inputs!$C$5:$C$200=$B37)*Inputs!$D$5:$D$200*(((Inputs!$G$5:$G$200="moeda")+(Inputs!$G$5:$G$200="acoes"))*Inputs!$B$1+((Inputs!$G$5:$G$200&lt;&gt;"moeda")*(Inputs!$G$5:$G$200&lt;&gt;"acoes")))*INDEX(Inputs!$K$5:$AJ$200,0,MATCH(AE$2,Inputs!$K$4:$AJ$4,0)))+SUMPRODUCT((Inputs!$E$5:$E$200=$B37)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7" s="6" t="e">
        <f>IF(ISNA(MATCH(AF$2,Inputs!$K$4:$AJ$4,0)),NA(),IF(SUMPRODUCT((Inputs!$A$5:$A$200=$B37)*ISNUMBER(INDEX(Inputs!$K$5:$AJ$200,0,MATCH(AF$2,Inputs!$K$4:$AJ$4,0))))+SUMPRODUCT((Inputs!$C$5:$C$200=$B37)*ISNUMBER(INDEX(Inputs!$K$5:$AJ$200,0,MATCH(AF$2,Inputs!$K$4:$AJ$4,0))))+SUMPRODUCT((Inputs!$E$5:$E$200=$B37)*ISNUMBER(INDEX(Inputs!$K$5:$AJ$200,0,MATCH(AF$2,Inputs!$K$4:$AJ$4,0))))=0,NA(),SUMPRODUCT((Inputs!$A$5:$A$200=$B37)*Inputs!$B$5:$B$200*(((Inputs!$G$5:$G$200="moeda")+(Inputs!$G$5:$G$200="acoes"))*Inputs!$B$1+((Inputs!$G$5:$G$200&lt;&gt;"moeda")*(Inputs!$G$5:$G$200&lt;&gt;"acoes")))*INDEX(Inputs!$K$5:$AJ$200,0,MATCH(AF$2,Inputs!$K$4:$AJ$4,0)))+SUMPRODUCT((Inputs!$C$5:$C$200=$B37)*Inputs!$D$5:$D$200*(((Inputs!$G$5:$G$200="moeda")+(Inputs!$G$5:$G$200="acoes"))*Inputs!$B$1+((Inputs!$G$5:$G$200&lt;&gt;"moeda")*(Inputs!$G$5:$G$200&lt;&gt;"acoes")))*INDEX(Inputs!$K$5:$AJ$200,0,MATCH(AF$2,Inputs!$K$4:$AJ$4,0)))+SUMPRODUCT((Inputs!$E$5:$E$200=$B37)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7" s="3" t="e">
        <f>AF37</f>
        <v>#N/A</v>
      </c>
      <c r="AH37" s="6" t="e">
        <f>IF(ISNA(MATCH(AH$2,Inputs!$K$4:$AJ$4,0)),NA(),IF(SUMPRODUCT((Inputs!$A$5:$A$200=$B37)*ISNUMBER(INDEX(Inputs!$K$5:$AJ$200,0,MATCH(AH$2,Inputs!$K$4:$AJ$4,0))))+SUMPRODUCT((Inputs!$C$5:$C$200=$B37)*ISNUMBER(INDEX(Inputs!$K$5:$AJ$200,0,MATCH(AH$2,Inputs!$K$4:$AJ$4,0))))+SUMPRODUCT((Inputs!$E$5:$E$200=$B37)*ISNUMBER(INDEX(Inputs!$K$5:$AJ$200,0,MATCH(AH$2,Inputs!$K$4:$AJ$4,0))))=0,NA(),SUMPRODUCT((Inputs!$A$5:$A$200=$B37)*Inputs!$B$5:$B$200*(((Inputs!$G$5:$G$200="moeda")+(Inputs!$G$5:$G$200="acoes"))*Inputs!$B$1+((Inputs!$G$5:$G$200&lt;&gt;"moeda")*(Inputs!$G$5:$G$200&lt;&gt;"acoes")))*INDEX(Inputs!$K$5:$AJ$200,0,MATCH(AH$2,Inputs!$K$4:$AJ$4,0)))+SUMPRODUCT((Inputs!$C$5:$C$200=$B37)*Inputs!$D$5:$D$200*(((Inputs!$G$5:$G$200="moeda")+(Inputs!$G$5:$G$200="acoes"))*Inputs!$B$1+((Inputs!$G$5:$G$200&lt;&gt;"moeda")*(Inputs!$G$5:$G$200&lt;&gt;"acoes")))*INDEX(Inputs!$K$5:$AJ$200,0,MATCH(AH$2,Inputs!$K$4:$AJ$4,0)))+SUMPRODUCT((Inputs!$E$5:$E$200=$B37)*Inputs!$F$5:$F$200*(((Inputs!$G$5:$G$200="moeda")+(Inputs!$G$5:$G$200="acoes"))*Inputs!$B$1+((Inputs!$G$5:$G$200&lt;&gt;"moeda")*(Inputs!$G$5:$G$200&lt;&gt;"acoes")))*INDEX(Inputs!$K$5:$AJ$200,0,MATCH(AH$2,Inputs!$K$4:$AJ$4,0)))))</f>
        <v>#N/A</v>
      </c>
      <c r="AI37" s="6" t="e">
        <f>IF(ISNA(MATCH(AI$2,Inputs!$K$4:$AJ$4,0)),NA(),IF(SUMPRODUCT((Inputs!$A$5:$A$200=$B37)*ISNUMBER(INDEX(Inputs!$K$5:$AJ$200,0,MATCH(AI$2,Inputs!$K$4:$AJ$4,0))))+SUMPRODUCT((Inputs!$C$5:$C$200=$B37)*ISNUMBER(INDEX(Inputs!$K$5:$AJ$200,0,MATCH(AI$2,Inputs!$K$4:$AJ$4,0))))+SUMPRODUCT((Inputs!$E$5:$E$200=$B37)*ISNUMBER(INDEX(Inputs!$K$5:$AJ$200,0,MATCH(AI$2,Inputs!$K$4:$AJ$4,0))))=0,NA(),SUMPRODUCT((Inputs!$A$5:$A$200=$B37)*Inputs!$B$5:$B$200*(((Inputs!$G$5:$G$200="moeda")+(Inputs!$G$5:$G$200="acoes"))*Inputs!$B$1+((Inputs!$G$5:$G$200&lt;&gt;"moeda")*(Inputs!$G$5:$G$200&lt;&gt;"acoes")))*INDEX(Inputs!$K$5:$AJ$200,0,MATCH(AI$2,Inputs!$K$4:$AJ$4,0)))+SUMPRODUCT((Inputs!$C$5:$C$200=$B37)*Inputs!$D$5:$D$200*(((Inputs!$G$5:$G$200="moeda")+(Inputs!$G$5:$G$200="acoes"))*Inputs!$B$1+((Inputs!$G$5:$G$200&lt;&gt;"moeda")*(Inputs!$G$5:$G$200&lt;&gt;"acoes")))*INDEX(Inputs!$K$5:$AJ$200,0,MATCH(AI$2,Inputs!$K$4:$AJ$4,0)))+SUMPRODUCT((Inputs!$E$5:$E$200=$B37)*Inputs!$F$5:$F$200*(((Inputs!$G$5:$G$200="moeda")+(Inputs!$G$5:$G$200="acoes"))*Inputs!$B$1+((Inputs!$G$5:$G$200&lt;&gt;"moeda")*(Inputs!$G$5:$G$200&lt;&gt;"acoes")))*INDEX(Inputs!$K$5:$AJ$200,0,MATCH(AI$2,Inputs!$K$4:$AJ$4,0)))))</f>
        <v>#N/A</v>
      </c>
      <c r="AJ37" s="6" t="e">
        <f>IF(ISNA(MATCH(AJ$2,Inputs!$K$4:$AJ$4,0)),NA(),IF(SUMPRODUCT((Inputs!$A$5:$A$200=$B37)*ISNUMBER(INDEX(Inputs!$K$5:$AJ$200,0,MATCH(AJ$2,Inputs!$K$4:$AJ$4,0))))+SUMPRODUCT((Inputs!$C$5:$C$200=$B37)*ISNUMBER(INDEX(Inputs!$K$5:$AJ$200,0,MATCH(AJ$2,Inputs!$K$4:$AJ$4,0))))+SUMPRODUCT((Inputs!$E$5:$E$200=$B37)*ISNUMBER(INDEX(Inputs!$K$5:$AJ$200,0,MATCH(AJ$2,Inputs!$K$4:$AJ$4,0))))=0,NA(),SUMPRODUCT((Inputs!$A$5:$A$200=$B37)*Inputs!$B$5:$B$200*(((Inputs!$G$5:$G$200="moeda")+(Inputs!$G$5:$G$200="acoes"))*Inputs!$B$1+((Inputs!$G$5:$G$200&lt;&gt;"moeda")*(Inputs!$G$5:$G$200&lt;&gt;"acoes")))*INDEX(Inputs!$K$5:$AJ$200,0,MATCH(AJ$2,Inputs!$K$4:$AJ$4,0)))+SUMPRODUCT((Inputs!$C$5:$C$200=$B37)*Inputs!$D$5:$D$200*(((Inputs!$G$5:$G$200="moeda")+(Inputs!$G$5:$G$200="acoes"))*Inputs!$B$1+((Inputs!$G$5:$G$200&lt;&gt;"moeda")*(Inputs!$G$5:$G$200&lt;&gt;"acoes")))*INDEX(Inputs!$K$5:$AJ$200,0,MATCH(AJ$2,Inputs!$K$4:$AJ$4,0)))+SUMPRODUCT((Inputs!$E$5:$E$200=$B37)*Inputs!$F$5:$F$200*(((Inputs!$G$5:$G$200="moeda")+(Inputs!$G$5:$G$200="acoes"))*Inputs!$B$1+((Inputs!$G$5:$G$200&lt;&gt;"moeda")*(Inputs!$G$5:$G$200&lt;&gt;"acoes")))*INDEX(Inputs!$K$5:$AJ$200,0,MATCH(AJ$2,Inputs!$K$4:$AJ$4,0)))))</f>
        <v>#N/A</v>
      </c>
      <c r="AK37" s="6" t="e">
        <f>IF(ISNA(MATCH(AK$2,Inputs!$K$4:$AJ$4,0)),NA(),IF(SUMPRODUCT((Inputs!$A$5:$A$200=$B37)*ISNUMBER(INDEX(Inputs!$K$5:$AJ$200,0,MATCH(AK$2,Inputs!$K$4:$AJ$4,0))))+SUMPRODUCT((Inputs!$C$5:$C$200=$B37)*ISNUMBER(INDEX(Inputs!$K$5:$AJ$200,0,MATCH(AK$2,Inputs!$K$4:$AJ$4,0))))+SUMPRODUCT((Inputs!$E$5:$E$200=$B37)*ISNUMBER(INDEX(Inputs!$K$5:$AJ$200,0,MATCH(AK$2,Inputs!$K$4:$AJ$4,0))))=0,NA(),SUMPRODUCT((Inputs!$A$5:$A$200=$B37)*Inputs!$B$5:$B$200*(((Inputs!$G$5:$G$200="moeda")+(Inputs!$G$5:$G$200="acoes"))*Inputs!$B$1+((Inputs!$G$5:$G$200&lt;&gt;"moeda")*(Inputs!$G$5:$G$200&lt;&gt;"acoes")))*INDEX(Inputs!$K$5:$AJ$200,0,MATCH(AK$2,Inputs!$K$4:$AJ$4,0)))+SUMPRODUCT((Inputs!$C$5:$C$200=$B37)*Inputs!$D$5:$D$200*(((Inputs!$G$5:$G$200="moeda")+(Inputs!$G$5:$G$200="acoes"))*Inputs!$B$1+((Inputs!$G$5:$G$200&lt;&gt;"moeda")*(Inputs!$G$5:$G$200&lt;&gt;"acoes")))*INDEX(Inputs!$K$5:$AJ$200,0,MATCH(AK$2,Inputs!$K$4:$AJ$4,0)))+SUMPRODUCT((Inputs!$E$5:$E$200=$B37)*Inputs!$F$5:$F$200*(((Inputs!$G$5:$G$200="moeda")+(Inputs!$G$5:$G$200="acoes"))*Inputs!$B$1+((Inputs!$G$5:$G$200&lt;&gt;"moeda")*(Inputs!$G$5:$G$200&lt;&gt;"acoes")))*INDEX(Inputs!$K$5:$AJ$200,0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$200=$B38)*ISNUMBER(INDEX(Inputs!$K$5:$AJ$200,0,MATCH(D$2,Inputs!$K$4:$AJ$4,0))))+SUMPRODUCT((Inputs!$C$5:$C$200=$B38)*ISNUMBER(INDEX(Inputs!$K$5:$AJ$200,0,MATCH(D$2,Inputs!$K$4:$AJ$4,0))))+SUMPRODUCT((Inputs!$E$5:$E$200=$B38)*ISNUMBER(INDEX(Inputs!$K$5:$AJ$200,0,MATCH(D$2,Inputs!$K$4:$AJ$4,0))))=0,NA(),SUMPRODUCT((Inputs!$A$5:$A$200=$B38)*Inputs!$B$5:$B$200*(((Inputs!$G$5:$G$200="moeda")+(Inputs!$G$5:$G$200="acoes"))*Inputs!$B$1+((Inputs!$G$5:$G$200&lt;&gt;"moeda")*(Inputs!$G$5:$G$200&lt;&gt;"acoes")))*INDEX(Inputs!$K$5:$AJ$200,0,MATCH(D$2,Inputs!$K$4:$AJ$4,0)))+SUMPRODUCT((Inputs!$C$5:$C$200=$B38)*Inputs!$D$5:$D$200*(((Inputs!$G$5:$G$200="moeda")+(Inputs!$G$5:$G$200="acoes"))*Inputs!$B$1+((Inputs!$G$5:$G$200&lt;&gt;"moeda")*(Inputs!$G$5:$G$200&lt;&gt;"acoes")))*INDEX(Inputs!$K$5:$AJ$200,0,MATCH(D$2,Inputs!$K$4:$AJ$4,0)))+SUMPRODUCT((Inputs!$E$5:$E$200=$B38)*Inputs!$F$5:$F$200*(((Inputs!$G$5:$G$200="moeda")+(Inputs!$G$5:$G$200="acoes"))*Inputs!$B$1+((Inputs!$G$5:$G$200&lt;&gt;"moeda")*(Inputs!$G$5:$G$200&lt;&gt;"acoes")))*INDEX(Inputs!$K$5:$AJ$200,0,MATCH(D$2,Inputs!$K$4:$AJ$4,0)))))</f>
        <v>17.817</v>
      </c>
      <c r="E38" s="6">
        <f>IF(ISNA(MATCH(E$2,Inputs!$K$4:$AJ$4,0)),NA(),IF(SUMPRODUCT((Inputs!$A$5:$A$200=$B38)*ISNUMBER(INDEX(Inputs!$K$5:$AJ$200,0,MATCH(E$2,Inputs!$K$4:$AJ$4,0))))+SUMPRODUCT((Inputs!$C$5:$C$200=$B38)*ISNUMBER(INDEX(Inputs!$K$5:$AJ$200,0,MATCH(E$2,Inputs!$K$4:$AJ$4,0))))+SUMPRODUCT((Inputs!$E$5:$E$200=$B38)*ISNUMBER(INDEX(Inputs!$K$5:$AJ$200,0,MATCH(E$2,Inputs!$K$4:$AJ$4,0))))=0,NA(),SUMPRODUCT((Inputs!$A$5:$A$200=$B38)*Inputs!$B$5:$B$200*(((Inputs!$G$5:$G$200="moeda")+(Inputs!$G$5:$G$200="acoes"))*Inputs!$B$1+((Inputs!$G$5:$G$200&lt;&gt;"moeda")*(Inputs!$G$5:$G$200&lt;&gt;"acoes")))*INDEX(Inputs!$K$5:$AJ$200,0,MATCH(E$2,Inputs!$K$4:$AJ$4,0)))+SUMPRODUCT((Inputs!$C$5:$C$200=$B38)*Inputs!$D$5:$D$200*(((Inputs!$G$5:$G$200="moeda")+(Inputs!$G$5:$G$200="acoes"))*Inputs!$B$1+((Inputs!$G$5:$G$200&lt;&gt;"moeda")*(Inputs!$G$5:$G$200&lt;&gt;"acoes")))*INDEX(Inputs!$K$5:$AJ$200,0,MATCH(E$2,Inputs!$K$4:$AJ$4,0)))+SUMPRODUCT((Inputs!$E$5:$E$200=$B38)*Inputs!$F$5:$F$200*(((Inputs!$G$5:$G$200="moeda")+(Inputs!$G$5:$G$200="acoes"))*Inputs!$B$1+((Inputs!$G$5:$G$200&lt;&gt;"moeda")*(Inputs!$G$5:$G$200&lt;&gt;"acoes")))*INDEX(Inputs!$K$5:$AJ$200,0,MATCH(E$2,Inputs!$K$4:$AJ$4,0)))))</f>
        <v>17.496</v>
      </c>
      <c r="F38" s="6">
        <f>IF(ISNA(MATCH(F$2,Inputs!$K$4:$AJ$4,0)),NA(),IF(SUMPRODUCT((Inputs!$A$5:$A$200=$B38)*ISNUMBER(INDEX(Inputs!$K$5:$AJ$200,0,MATCH(F$2,Inputs!$K$4:$AJ$4,0))))+SUMPRODUCT((Inputs!$C$5:$C$200=$B38)*ISNUMBER(INDEX(Inputs!$K$5:$AJ$200,0,MATCH(F$2,Inputs!$K$4:$AJ$4,0))))+SUMPRODUCT((Inputs!$E$5:$E$200=$B38)*ISNUMBER(INDEX(Inputs!$K$5:$AJ$200,0,MATCH(F$2,Inputs!$K$4:$AJ$4,0))))=0,NA(),SUMPRODUCT((Inputs!$A$5:$A$200=$B38)*Inputs!$B$5:$B$200*(((Inputs!$G$5:$G$200="moeda")+(Inputs!$G$5:$G$200="acoes"))*Inputs!$B$1+((Inputs!$G$5:$G$200&lt;&gt;"moeda")*(Inputs!$G$5:$G$200&lt;&gt;"acoes")))*INDEX(Inputs!$K$5:$AJ$200,0,MATCH(F$2,Inputs!$K$4:$AJ$4,0)))+SUMPRODUCT((Inputs!$C$5:$C$200=$B38)*Inputs!$D$5:$D$200*(((Inputs!$G$5:$G$200="moeda")+(Inputs!$G$5:$G$200="acoes"))*Inputs!$B$1+((Inputs!$G$5:$G$200&lt;&gt;"moeda")*(Inputs!$G$5:$G$200&lt;&gt;"acoes")))*INDEX(Inputs!$K$5:$AJ$200,0,MATCH(F$2,Inputs!$K$4:$AJ$4,0)))+SUMPRODUCT((Inputs!$E$5:$E$200=$B38)*Inputs!$F$5:$F$200*(((Inputs!$G$5:$G$200="moeda")+(Inputs!$G$5:$G$200="acoes"))*Inputs!$B$1+((Inputs!$G$5:$G$200&lt;&gt;"moeda")*(Inputs!$G$5:$G$200&lt;&gt;"acoes")))*INDEX(Inputs!$K$5:$AJ$200,0,MATCH(F$2,Inputs!$K$4:$AJ$4,0)))))</f>
        <v>19.982</v>
      </c>
      <c r="G38" s="6">
        <f>IF(ISNA(MATCH(G$2,Inputs!$K$4:$AJ$4,0)),NA(),IF(SUMPRODUCT((Inputs!$A$5:$A$200=$B38)*ISNUMBER(INDEX(Inputs!$K$5:$AJ$200,0,MATCH(G$2,Inputs!$K$4:$AJ$4,0))))+SUMPRODUCT((Inputs!$C$5:$C$200=$B38)*ISNUMBER(INDEX(Inputs!$K$5:$AJ$200,0,MATCH(G$2,Inputs!$K$4:$AJ$4,0))))+SUMPRODUCT((Inputs!$E$5:$E$200=$B38)*ISNUMBER(INDEX(Inputs!$K$5:$AJ$200,0,MATCH(G$2,Inputs!$K$4:$AJ$4,0))))=0,NA(),SUMPRODUCT((Inputs!$A$5:$A$200=$B38)*Inputs!$B$5:$B$200*(((Inputs!$G$5:$G$200="moeda")+(Inputs!$G$5:$G$200="acoes"))*Inputs!$B$1+((Inputs!$G$5:$G$200&lt;&gt;"moeda")*(Inputs!$G$5:$G$200&lt;&gt;"acoes")))*INDEX(Inputs!$K$5:$AJ$200,0,MATCH(G$2,Inputs!$K$4:$AJ$4,0)))+SUMPRODUCT((Inputs!$C$5:$C$200=$B38)*Inputs!$D$5:$D$200*(((Inputs!$G$5:$G$200="moeda")+(Inputs!$G$5:$G$200="acoes"))*Inputs!$B$1+((Inputs!$G$5:$G$200&lt;&gt;"moeda")*(Inputs!$G$5:$G$200&lt;&gt;"acoes")))*INDEX(Inputs!$K$5:$AJ$200,0,MATCH(G$2,Inputs!$K$4:$AJ$4,0)))+SUMPRODUCT((Inputs!$E$5:$E$200=$B38)*Inputs!$F$5:$F$200*(((Inputs!$G$5:$G$200="moeda")+(Inputs!$G$5:$G$200="acoes"))*Inputs!$B$1+((Inputs!$G$5:$G$200&lt;&gt;"moeda")*(Inputs!$G$5:$G$200&lt;&gt;"acoes")))*INDEX(Inputs!$K$5:$AJ$200,0,MATCH(G$2,Inputs!$K$4:$AJ$4,0)))))</f>
        <v>9.105</v>
      </c>
      <c r="H38" s="3">
        <f>G38</f>
        <v>9.105</v>
      </c>
      <c r="I38" s="6">
        <f>IF(ISNA(MATCH(I$2,Inputs!$K$4:$AJ$4,0)),NA(),IF(SUMPRODUCT((Inputs!$A$5:$A$200=$B38)*ISNUMBER(INDEX(Inputs!$K$5:$AJ$200,0,MATCH(I$2,Inputs!$K$4:$AJ$4,0))))+SUMPRODUCT((Inputs!$C$5:$C$200=$B38)*ISNUMBER(INDEX(Inputs!$K$5:$AJ$200,0,MATCH(I$2,Inputs!$K$4:$AJ$4,0))))+SUMPRODUCT((Inputs!$E$5:$E$200=$B38)*ISNUMBER(INDEX(Inputs!$K$5:$AJ$200,0,MATCH(I$2,Inputs!$K$4:$AJ$4,0))))=0,NA(),SUMPRODUCT((Inputs!$A$5:$A$200=$B38)*Inputs!$B$5:$B$200*(((Inputs!$G$5:$G$200="moeda")+(Inputs!$G$5:$G$200="acoes"))*Inputs!$B$1+((Inputs!$G$5:$G$200&lt;&gt;"moeda")*(Inputs!$G$5:$G$200&lt;&gt;"acoes")))*INDEX(Inputs!$K$5:$AJ$200,0,MATCH(I$2,Inputs!$K$4:$AJ$4,0)))+SUMPRODUCT((Inputs!$C$5:$C$200=$B38)*Inputs!$D$5:$D$200*(((Inputs!$G$5:$G$200="moeda")+(Inputs!$G$5:$G$200="acoes"))*Inputs!$B$1+((Inputs!$G$5:$G$200&lt;&gt;"moeda")*(Inputs!$G$5:$G$200&lt;&gt;"acoes")))*INDEX(Inputs!$K$5:$AJ$200,0,MATCH(I$2,Inputs!$K$4:$AJ$4,0)))+SUMPRODUCT((Inputs!$E$5:$E$200=$B38)*Inputs!$F$5:$F$200*(((Inputs!$G$5:$G$200="moeda")+(Inputs!$G$5:$G$200="acoes"))*Inputs!$B$1+((Inputs!$G$5:$G$200&lt;&gt;"moeda")*(Inputs!$G$5:$G$200&lt;&gt;"acoes")))*INDEX(Inputs!$K$5:$AJ$200,0,MATCH(I$2,Inputs!$K$4:$AJ$4,0)))))</f>
        <v>9.105</v>
      </c>
      <c r="J38" s="6">
        <f>IF(ISNA(MATCH(J$2,Inputs!$K$4:$AJ$4,0)),NA(),IF(SUMPRODUCT((Inputs!$A$5:$A$200=$B38)*ISNUMBER(INDEX(Inputs!$K$5:$AJ$200,0,MATCH(J$2,Inputs!$K$4:$AJ$4,0))))+SUMPRODUCT((Inputs!$C$5:$C$200=$B38)*ISNUMBER(INDEX(Inputs!$K$5:$AJ$200,0,MATCH(J$2,Inputs!$K$4:$AJ$4,0))))+SUMPRODUCT((Inputs!$E$5:$E$200=$B38)*ISNUMBER(INDEX(Inputs!$K$5:$AJ$200,0,MATCH(J$2,Inputs!$K$4:$AJ$4,0))))=0,NA(),SUMPRODUCT((Inputs!$A$5:$A$200=$B38)*Inputs!$B$5:$B$200*(((Inputs!$G$5:$G$200="moeda")+(Inputs!$G$5:$G$200="acoes"))*Inputs!$B$1+((Inputs!$G$5:$G$200&lt;&gt;"moeda")*(Inputs!$G$5:$G$200&lt;&gt;"acoes")))*INDEX(Inputs!$K$5:$AJ$200,0,MATCH(J$2,Inputs!$K$4:$AJ$4,0)))+SUMPRODUCT((Inputs!$C$5:$C$200=$B38)*Inputs!$D$5:$D$200*(((Inputs!$G$5:$G$200="moeda")+(Inputs!$G$5:$G$200="acoes"))*Inputs!$B$1+((Inputs!$G$5:$G$200&lt;&gt;"moeda")*(Inputs!$G$5:$G$200&lt;&gt;"acoes")))*INDEX(Inputs!$K$5:$AJ$200,0,MATCH(J$2,Inputs!$K$4:$AJ$4,0)))+SUMPRODUCT((Inputs!$E$5:$E$200=$B38)*Inputs!$F$5:$F$200*(((Inputs!$G$5:$G$200="moeda")+(Inputs!$G$5:$G$200="acoes"))*Inputs!$B$1+((Inputs!$G$5:$G$200&lt;&gt;"moeda")*(Inputs!$G$5:$G$200&lt;&gt;"acoes")))*INDEX(Inputs!$K$5:$AJ$200,0,MATCH(J$2,Inputs!$K$4:$AJ$4,0)))))</f>
        <v>9.105</v>
      </c>
      <c r="K38" s="6">
        <f>IF(ISNA(MATCH(K$2,Inputs!$K$4:$AJ$4,0)),NA(),IF(SUMPRODUCT((Inputs!$A$5:$A$200=$B38)*ISNUMBER(INDEX(Inputs!$K$5:$AJ$200,0,MATCH(K$2,Inputs!$K$4:$AJ$4,0))))+SUMPRODUCT((Inputs!$C$5:$C$200=$B38)*ISNUMBER(INDEX(Inputs!$K$5:$AJ$200,0,MATCH(K$2,Inputs!$K$4:$AJ$4,0))))+SUMPRODUCT((Inputs!$E$5:$E$200=$B38)*ISNUMBER(INDEX(Inputs!$K$5:$AJ$200,0,MATCH(K$2,Inputs!$K$4:$AJ$4,0))))=0,NA(),SUMPRODUCT((Inputs!$A$5:$A$200=$B38)*Inputs!$B$5:$B$200*(((Inputs!$G$5:$G$200="moeda")+(Inputs!$G$5:$G$200="acoes"))*Inputs!$B$1+((Inputs!$G$5:$G$200&lt;&gt;"moeda")*(Inputs!$G$5:$G$200&lt;&gt;"acoes")))*INDEX(Inputs!$K$5:$AJ$200,0,MATCH(K$2,Inputs!$K$4:$AJ$4,0)))+SUMPRODUCT((Inputs!$C$5:$C$200=$B38)*Inputs!$D$5:$D$200*(((Inputs!$G$5:$G$200="moeda")+(Inputs!$G$5:$G$200="acoes"))*Inputs!$B$1+((Inputs!$G$5:$G$200&lt;&gt;"moeda")*(Inputs!$G$5:$G$200&lt;&gt;"acoes")))*INDEX(Inputs!$K$5:$AJ$200,0,MATCH(K$2,Inputs!$K$4:$AJ$4,0)))+SUMPRODUCT((Inputs!$E$5:$E$200=$B38)*Inputs!$F$5:$F$200*(((Inputs!$G$5:$G$200="moeda")+(Inputs!$G$5:$G$200="acoes"))*Inputs!$B$1+((Inputs!$G$5:$G$200&lt;&gt;"moeda")*(Inputs!$G$5:$G$200&lt;&gt;"acoes")))*INDEX(Inputs!$K$5:$AJ$200,0,MATCH(K$2,Inputs!$K$4:$AJ$4,0)))))</f>
        <v>9.105</v>
      </c>
      <c r="L38" s="6">
        <f>IF(ISNA(MATCH(L$2,Inputs!$K$4:$AJ$4,0)),NA(),IF(SUMPRODUCT((Inputs!$A$5:$A$200=$B38)*ISNUMBER(INDEX(Inputs!$K$5:$AJ$200,0,MATCH(L$2,Inputs!$K$4:$AJ$4,0))))+SUMPRODUCT((Inputs!$C$5:$C$200=$B38)*ISNUMBER(INDEX(Inputs!$K$5:$AJ$200,0,MATCH(L$2,Inputs!$K$4:$AJ$4,0))))+SUMPRODUCT((Inputs!$E$5:$E$200=$B38)*ISNUMBER(INDEX(Inputs!$K$5:$AJ$200,0,MATCH(L$2,Inputs!$K$4:$AJ$4,0))))=0,NA(),SUMPRODUCT((Inputs!$A$5:$A$200=$B38)*Inputs!$B$5:$B$200*(((Inputs!$G$5:$G$200="moeda")+(Inputs!$G$5:$G$200="acoes"))*Inputs!$B$1+((Inputs!$G$5:$G$200&lt;&gt;"moeda")*(Inputs!$G$5:$G$200&lt;&gt;"acoes")))*INDEX(Inputs!$K$5:$AJ$200,0,MATCH(L$2,Inputs!$K$4:$AJ$4,0)))+SUMPRODUCT((Inputs!$C$5:$C$200=$B38)*Inputs!$D$5:$D$200*(((Inputs!$G$5:$G$200="moeda")+(Inputs!$G$5:$G$200="acoes"))*Inputs!$B$1+((Inputs!$G$5:$G$200&lt;&gt;"moeda")*(Inputs!$G$5:$G$200&lt;&gt;"acoes")))*INDEX(Inputs!$K$5:$AJ$200,0,MATCH(L$2,Inputs!$K$4:$AJ$4,0)))+SUMPRODUCT((Inputs!$E$5:$E$200=$B38)*Inputs!$F$5:$F$200*(((Inputs!$G$5:$G$200="moeda")+(Inputs!$G$5:$G$200="acoes"))*Inputs!$B$1+((Inputs!$G$5:$G$200&lt;&gt;"moeda")*(Inputs!$G$5:$G$200&lt;&gt;"acoes")))*INDEX(Inputs!$K$5:$AJ$200,0,MATCH(L$2,Inputs!$K$4:$AJ$4,0)))))</f>
        <v>4.139</v>
      </c>
      <c r="M38" s="3">
        <f>L38</f>
        <v>4.139</v>
      </c>
      <c r="N38" s="6">
        <f>IF(ISNA(MATCH(N$2,Inputs!$K$4:$AJ$4,0)),NA(),IF(SUMPRODUCT((Inputs!$A$5:$A$200=$B38)*ISNUMBER(INDEX(Inputs!$K$5:$AJ$200,0,MATCH(N$2,Inputs!$K$4:$AJ$4,0))))+SUMPRODUCT((Inputs!$C$5:$C$200=$B38)*ISNUMBER(INDEX(Inputs!$K$5:$AJ$200,0,MATCH(N$2,Inputs!$K$4:$AJ$4,0))))+SUMPRODUCT((Inputs!$E$5:$E$200=$B38)*ISNUMBER(INDEX(Inputs!$K$5:$AJ$200,0,MATCH(N$2,Inputs!$K$4:$AJ$4,0))))=0,NA(),SUMPRODUCT((Inputs!$A$5:$A$200=$B38)*Inputs!$B$5:$B$200*(((Inputs!$G$5:$G$200="moeda")+(Inputs!$G$5:$G$200="acoes"))*Inputs!$B$1+((Inputs!$G$5:$G$200&lt;&gt;"moeda")*(Inputs!$G$5:$G$200&lt;&gt;"acoes")))*INDEX(Inputs!$K$5:$AJ$200,0,MATCH(N$2,Inputs!$K$4:$AJ$4,0)))+SUMPRODUCT((Inputs!$C$5:$C$200=$B38)*Inputs!$D$5:$D$200*(((Inputs!$G$5:$G$200="moeda")+(Inputs!$G$5:$G$200="acoes"))*Inputs!$B$1+((Inputs!$G$5:$G$200&lt;&gt;"moeda")*(Inputs!$G$5:$G$200&lt;&gt;"acoes")))*INDEX(Inputs!$K$5:$AJ$200,0,MATCH(N$2,Inputs!$K$4:$AJ$4,0)))+SUMPRODUCT((Inputs!$E$5:$E$200=$B38)*Inputs!$F$5:$F$200*(((Inputs!$G$5:$G$200="moeda")+(Inputs!$G$5:$G$200="acoes"))*Inputs!$B$1+((Inputs!$G$5:$G$200&lt;&gt;"moeda")*(Inputs!$G$5:$G$200&lt;&gt;"acoes")))*INDEX(Inputs!$K$5:$AJ$200,0,MATCH(N$2,Inputs!$K$4:$AJ$4,0)))))</f>
        <v>4.139</v>
      </c>
      <c r="O38" s="6">
        <f>IF(ISNA(MATCH(O$2,Inputs!$K$4:$AJ$4,0)),NA(),IF(SUMPRODUCT((Inputs!$A$5:$A$200=$B38)*ISNUMBER(INDEX(Inputs!$K$5:$AJ$200,0,MATCH(O$2,Inputs!$K$4:$AJ$4,0))))+SUMPRODUCT((Inputs!$C$5:$C$200=$B38)*ISNUMBER(INDEX(Inputs!$K$5:$AJ$200,0,MATCH(O$2,Inputs!$K$4:$AJ$4,0))))+SUMPRODUCT((Inputs!$E$5:$E$200=$B38)*ISNUMBER(INDEX(Inputs!$K$5:$AJ$200,0,MATCH(O$2,Inputs!$K$4:$AJ$4,0))))=0,NA(),SUMPRODUCT((Inputs!$A$5:$A$200=$B38)*Inputs!$B$5:$B$200*(((Inputs!$G$5:$G$200="moeda")+(Inputs!$G$5:$G$200="acoes"))*Inputs!$B$1+((Inputs!$G$5:$G$200&lt;&gt;"moeda")*(Inputs!$G$5:$G$200&lt;&gt;"acoes")))*INDEX(Inputs!$K$5:$AJ$200,0,MATCH(O$2,Inputs!$K$4:$AJ$4,0)))+SUMPRODUCT((Inputs!$C$5:$C$200=$B38)*Inputs!$D$5:$D$200*(((Inputs!$G$5:$G$200="moeda")+(Inputs!$G$5:$G$200="acoes"))*Inputs!$B$1+((Inputs!$G$5:$G$200&lt;&gt;"moeda")*(Inputs!$G$5:$G$200&lt;&gt;"acoes")))*INDEX(Inputs!$K$5:$AJ$200,0,MATCH(O$2,Inputs!$K$4:$AJ$4,0)))+SUMPRODUCT((Inputs!$E$5:$E$200=$B38)*Inputs!$F$5:$F$200*(((Inputs!$G$5:$G$200="moeda")+(Inputs!$G$5:$G$200="acoes"))*Inputs!$B$1+((Inputs!$G$5:$G$200&lt;&gt;"moeda")*(Inputs!$G$5:$G$200&lt;&gt;"acoes")))*INDEX(Inputs!$K$5:$AJ$200,0,MATCH(O$2,Inputs!$K$4:$AJ$4,0)))))</f>
        <v>4.139</v>
      </c>
      <c r="P38" s="6">
        <f>IF(ISNA(MATCH(P$2,Inputs!$K$4:$AJ$4,0)),NA(),IF(SUMPRODUCT((Inputs!$A$5:$A$200=$B38)*ISNUMBER(INDEX(Inputs!$K$5:$AJ$200,0,MATCH(P$2,Inputs!$K$4:$AJ$4,0))))+SUMPRODUCT((Inputs!$C$5:$C$200=$B38)*ISNUMBER(INDEX(Inputs!$K$5:$AJ$200,0,MATCH(P$2,Inputs!$K$4:$AJ$4,0))))+SUMPRODUCT((Inputs!$E$5:$E$200=$B38)*ISNUMBER(INDEX(Inputs!$K$5:$AJ$200,0,MATCH(P$2,Inputs!$K$4:$AJ$4,0))))=0,NA(),SUMPRODUCT((Inputs!$A$5:$A$200=$B38)*Inputs!$B$5:$B$200*(((Inputs!$G$5:$G$200="moeda")+(Inputs!$G$5:$G$200="acoes"))*Inputs!$B$1+((Inputs!$G$5:$G$200&lt;&gt;"moeda")*(Inputs!$G$5:$G$200&lt;&gt;"acoes")))*INDEX(Inputs!$K$5:$AJ$200,0,MATCH(P$2,Inputs!$K$4:$AJ$4,0)))+SUMPRODUCT((Inputs!$C$5:$C$200=$B38)*Inputs!$D$5:$D$200*(((Inputs!$G$5:$G$200="moeda")+(Inputs!$G$5:$G$200="acoes"))*Inputs!$B$1+((Inputs!$G$5:$G$200&lt;&gt;"moeda")*(Inputs!$G$5:$G$200&lt;&gt;"acoes")))*INDEX(Inputs!$K$5:$AJ$200,0,MATCH(P$2,Inputs!$K$4:$AJ$4,0)))+SUMPRODUCT((Inputs!$E$5:$E$200=$B38)*Inputs!$F$5:$F$200*(((Inputs!$G$5:$G$200="moeda")+(Inputs!$G$5:$G$200="acoes"))*Inputs!$B$1+((Inputs!$G$5:$G$200&lt;&gt;"moeda")*(Inputs!$G$5:$G$200&lt;&gt;"acoes")))*INDEX(Inputs!$K$5:$AJ$200,0,MATCH(P$2,Inputs!$K$4:$AJ$4,0)))))</f>
        <v>4.139</v>
      </c>
      <c r="Q38" s="6">
        <f>IF(ISNA(MATCH(Q$2,Inputs!$K$4:$AJ$4,0)),NA(),IF(SUMPRODUCT((Inputs!$A$5:$A$200=$B38)*ISNUMBER(INDEX(Inputs!$K$5:$AJ$200,0,MATCH(Q$2,Inputs!$K$4:$AJ$4,0))))+SUMPRODUCT((Inputs!$C$5:$C$200=$B38)*ISNUMBER(INDEX(Inputs!$K$5:$AJ$200,0,MATCH(Q$2,Inputs!$K$4:$AJ$4,0))))+SUMPRODUCT((Inputs!$E$5:$E$200=$B38)*ISNUMBER(INDEX(Inputs!$K$5:$AJ$200,0,MATCH(Q$2,Inputs!$K$4:$AJ$4,0))))=0,NA(),SUMPRODUCT((Inputs!$A$5:$A$200=$B38)*Inputs!$B$5:$B$200*(((Inputs!$G$5:$G$200="moeda")+(Inputs!$G$5:$G$200="acoes"))*Inputs!$B$1+((Inputs!$G$5:$G$200&lt;&gt;"moeda")*(Inputs!$G$5:$G$200&lt;&gt;"acoes")))*INDEX(Inputs!$K$5:$AJ$200,0,MATCH(Q$2,Inputs!$K$4:$AJ$4,0)))+SUMPRODUCT((Inputs!$C$5:$C$200=$B38)*Inputs!$D$5:$D$200*(((Inputs!$G$5:$G$200="moeda")+(Inputs!$G$5:$G$200="acoes"))*Inputs!$B$1+((Inputs!$G$5:$G$200&lt;&gt;"moeda")*(Inputs!$G$5:$G$200&lt;&gt;"acoes")))*INDEX(Inputs!$K$5:$AJ$200,0,MATCH(Q$2,Inputs!$K$4:$AJ$4,0)))+SUMPRODUCT((Inputs!$E$5:$E$200=$B38)*Inputs!$F$5:$F$200*(((Inputs!$G$5:$G$200="moeda")+(Inputs!$G$5:$G$200="acoes"))*Inputs!$B$1+((Inputs!$G$5:$G$200&lt;&gt;"moeda")*(Inputs!$G$5:$G$200&lt;&gt;"acoes")))*INDEX(Inputs!$K$5:$AJ$200,0,MATCH(Q$2,Inputs!$K$4:$AJ$4,0)))))</f>
        <v>4.139</v>
      </c>
      <c r="R38" s="3">
        <f>Q38</f>
        <v>4.139</v>
      </c>
      <c r="S38" s="6">
        <f>IF(ISNA(MATCH(S$2,Inputs!$K$4:$AJ$4,0)),NA(),IF(SUMPRODUCT((Inputs!$A$5:$A$200=$B38)*ISNUMBER(INDEX(Inputs!$K$5:$AJ$200,0,MATCH(S$2,Inputs!$K$4:$AJ$4,0))))+SUMPRODUCT((Inputs!$C$5:$C$200=$B38)*ISNUMBER(INDEX(Inputs!$K$5:$AJ$200,0,MATCH(S$2,Inputs!$K$4:$AJ$4,0))))+SUMPRODUCT((Inputs!$E$5:$E$200=$B38)*ISNUMBER(INDEX(Inputs!$K$5:$AJ$200,0,MATCH(S$2,Inputs!$K$4:$AJ$4,0))))=0,NA(),SUMPRODUCT((Inputs!$A$5:$A$200=$B38)*Inputs!$B$5:$B$200*(((Inputs!$G$5:$G$200="moeda")+(Inputs!$G$5:$G$200="acoes"))*Inputs!$B$1+((Inputs!$G$5:$G$200&lt;&gt;"moeda")*(Inputs!$G$5:$G$200&lt;&gt;"acoes")))*INDEX(Inputs!$K$5:$AJ$200,0,MATCH(S$2,Inputs!$K$4:$AJ$4,0)))+SUMPRODUCT((Inputs!$C$5:$C$200=$B38)*Inputs!$D$5:$D$200*(((Inputs!$G$5:$G$200="moeda")+(Inputs!$G$5:$G$200="acoes"))*Inputs!$B$1+((Inputs!$G$5:$G$200&lt;&gt;"moeda")*(Inputs!$G$5:$G$200&lt;&gt;"acoes")))*INDEX(Inputs!$K$5:$AJ$200,0,MATCH(S$2,Inputs!$K$4:$AJ$4,0)))+SUMPRODUCT((Inputs!$E$5:$E$200=$B38)*Inputs!$F$5:$F$200*(((Inputs!$G$5:$G$200="moeda")+(Inputs!$G$5:$G$200="acoes"))*Inputs!$B$1+((Inputs!$G$5:$G$200&lt;&gt;"moeda")*(Inputs!$G$5:$G$200&lt;&gt;"acoes")))*INDEX(Inputs!$K$5:$AJ$200,0,MATCH(S$2,Inputs!$K$4:$AJ$4,0)))))</f>
        <v>4.139</v>
      </c>
      <c r="T38" s="6">
        <f>IF(ISNA(MATCH(T$2,Inputs!$K$4:$AJ$4,0)),NA(),IF(SUMPRODUCT((Inputs!$A$5:$A$200=$B38)*ISNUMBER(INDEX(Inputs!$K$5:$AJ$200,0,MATCH(T$2,Inputs!$K$4:$AJ$4,0))))+SUMPRODUCT((Inputs!$C$5:$C$200=$B38)*ISNUMBER(INDEX(Inputs!$K$5:$AJ$200,0,MATCH(T$2,Inputs!$K$4:$AJ$4,0))))+SUMPRODUCT((Inputs!$E$5:$E$200=$B38)*ISNUMBER(INDEX(Inputs!$K$5:$AJ$200,0,MATCH(T$2,Inputs!$K$4:$AJ$4,0))))=0,NA(),SUMPRODUCT((Inputs!$A$5:$A$200=$B38)*Inputs!$B$5:$B$200*(((Inputs!$G$5:$G$200="moeda")+(Inputs!$G$5:$G$200="acoes"))*Inputs!$B$1+((Inputs!$G$5:$G$200&lt;&gt;"moeda")*(Inputs!$G$5:$G$200&lt;&gt;"acoes")))*INDEX(Inputs!$K$5:$AJ$200,0,MATCH(T$2,Inputs!$K$4:$AJ$4,0)))+SUMPRODUCT((Inputs!$C$5:$C$200=$B38)*Inputs!$D$5:$D$200*(((Inputs!$G$5:$G$200="moeda")+(Inputs!$G$5:$G$200="acoes"))*Inputs!$B$1+((Inputs!$G$5:$G$200&lt;&gt;"moeda")*(Inputs!$G$5:$G$200&lt;&gt;"acoes")))*INDEX(Inputs!$K$5:$AJ$200,0,MATCH(T$2,Inputs!$K$4:$AJ$4,0)))+SUMPRODUCT((Inputs!$E$5:$E$200=$B38)*Inputs!$F$5:$F$200*(((Inputs!$G$5:$G$200="moeda")+(Inputs!$G$5:$G$200="acoes"))*Inputs!$B$1+((Inputs!$G$5:$G$200&lt;&gt;"moeda")*(Inputs!$G$5:$G$200&lt;&gt;"acoes")))*INDEX(Inputs!$K$5:$AJ$200,0,MATCH(T$2,Inputs!$K$4:$AJ$4,0)))))</f>
        <v>4.139</v>
      </c>
      <c r="U38" s="6">
        <f>IF(ISNA(MATCH(U$2,Inputs!$K$4:$AJ$4,0)),NA(),IF(SUMPRODUCT((Inputs!$A$5:$A$200=$B38)*ISNUMBER(INDEX(Inputs!$K$5:$AJ$200,0,MATCH(U$2,Inputs!$K$4:$AJ$4,0))))+SUMPRODUCT((Inputs!$C$5:$C$200=$B38)*ISNUMBER(INDEX(Inputs!$K$5:$AJ$200,0,MATCH(U$2,Inputs!$K$4:$AJ$4,0))))+SUMPRODUCT((Inputs!$E$5:$E$200=$B38)*ISNUMBER(INDEX(Inputs!$K$5:$AJ$200,0,MATCH(U$2,Inputs!$K$4:$AJ$4,0))))=0,NA(),SUMPRODUCT((Inputs!$A$5:$A$200=$B38)*Inputs!$B$5:$B$200*(((Inputs!$G$5:$G$200="moeda")+(Inputs!$G$5:$G$200="acoes"))*Inputs!$B$1+((Inputs!$G$5:$G$200&lt;&gt;"moeda")*(Inputs!$G$5:$G$200&lt;&gt;"acoes")))*INDEX(Inputs!$K$5:$AJ$200,0,MATCH(U$2,Inputs!$K$4:$AJ$4,0)))+SUMPRODUCT((Inputs!$C$5:$C$200=$B38)*Inputs!$D$5:$D$200*(((Inputs!$G$5:$G$200="moeda")+(Inputs!$G$5:$G$200="acoes"))*Inputs!$B$1+((Inputs!$G$5:$G$200&lt;&gt;"moeda")*(Inputs!$G$5:$G$200&lt;&gt;"acoes")))*INDEX(Inputs!$K$5:$AJ$200,0,MATCH(U$2,Inputs!$K$4:$AJ$4,0)))+SUMPRODUCT((Inputs!$E$5:$E$200=$B38)*Inputs!$F$5:$F$200*(((Inputs!$G$5:$G$200="moeda")+(Inputs!$G$5:$G$200="acoes"))*Inputs!$B$1+((Inputs!$G$5:$G$200&lt;&gt;"moeda")*(Inputs!$G$5:$G$200&lt;&gt;"acoes")))*INDEX(Inputs!$K$5:$AJ$200,0,MATCH(U$2,Inputs!$K$4:$AJ$4,0)))))</f>
        <v>4.139</v>
      </c>
      <c r="V38" s="6">
        <f>IF(ISNA(MATCH(V$2,Inputs!$K$4:$AJ$4,0)),NA(),IF(SUMPRODUCT((Inputs!$A$5:$A$200=$B38)*ISNUMBER(INDEX(Inputs!$K$5:$AJ$200,0,MATCH(V$2,Inputs!$K$4:$AJ$4,0))))+SUMPRODUCT((Inputs!$C$5:$C$200=$B38)*ISNUMBER(INDEX(Inputs!$K$5:$AJ$200,0,MATCH(V$2,Inputs!$K$4:$AJ$4,0))))+SUMPRODUCT((Inputs!$E$5:$E$200=$B38)*ISNUMBER(INDEX(Inputs!$K$5:$AJ$200,0,MATCH(V$2,Inputs!$K$4:$AJ$4,0))))=0,NA(),SUMPRODUCT((Inputs!$A$5:$A$200=$B38)*Inputs!$B$5:$B$200*(((Inputs!$G$5:$G$200="moeda")+(Inputs!$G$5:$G$200="acoes"))*Inputs!$B$1+((Inputs!$G$5:$G$200&lt;&gt;"moeda")*(Inputs!$G$5:$G$200&lt;&gt;"acoes")))*INDEX(Inputs!$K$5:$AJ$200,0,MATCH(V$2,Inputs!$K$4:$AJ$4,0)))+SUMPRODUCT((Inputs!$C$5:$C$200=$B38)*Inputs!$D$5:$D$200*(((Inputs!$G$5:$G$200="moeda")+(Inputs!$G$5:$G$200="acoes"))*Inputs!$B$1+((Inputs!$G$5:$G$200&lt;&gt;"moeda")*(Inputs!$G$5:$G$200&lt;&gt;"acoes")))*INDEX(Inputs!$K$5:$AJ$200,0,MATCH(V$2,Inputs!$K$4:$AJ$4,0)))+SUMPRODUCT((Inputs!$E$5:$E$200=$B38)*Inputs!$F$5:$F$200*(((Inputs!$G$5:$G$200="moeda")+(Inputs!$G$5:$G$200="acoes"))*Inputs!$B$1+((Inputs!$G$5:$G$200&lt;&gt;"moeda")*(Inputs!$G$5:$G$200&lt;&gt;"acoes")))*INDEX(Inputs!$K$5:$AJ$200,0,MATCH(V$2,Inputs!$K$4:$AJ$4,0)))))</f>
        <v>3.68</v>
      </c>
      <c r="W38" s="3">
        <f>V38</f>
        <v>3.68</v>
      </c>
      <c r="X38" s="6">
        <f>IF(ISNA(MATCH(X$2,Inputs!$K$4:$AJ$4,0)),NA(),IF(SUMPRODUCT((Inputs!$A$5:$A$200=$B38)*ISNUMBER(INDEX(Inputs!$K$5:$AJ$200,0,MATCH(X$2,Inputs!$K$4:$AJ$4,0))))+SUMPRODUCT((Inputs!$C$5:$C$200=$B38)*ISNUMBER(INDEX(Inputs!$K$5:$AJ$200,0,MATCH(X$2,Inputs!$K$4:$AJ$4,0))))+SUMPRODUCT((Inputs!$E$5:$E$200=$B38)*ISNUMBER(INDEX(Inputs!$K$5:$AJ$200,0,MATCH(X$2,Inputs!$K$4:$AJ$4,0))))=0,NA(),SUMPRODUCT((Inputs!$A$5:$A$200=$B38)*Inputs!$B$5:$B$200*(((Inputs!$G$5:$G$200="moeda")+(Inputs!$G$5:$G$200="acoes"))*Inputs!$B$1+((Inputs!$G$5:$G$200&lt;&gt;"moeda")*(Inputs!$G$5:$G$200&lt;&gt;"acoes")))*INDEX(Inputs!$K$5:$AJ$200,0,MATCH(X$2,Inputs!$K$4:$AJ$4,0)))+SUMPRODUCT((Inputs!$C$5:$C$200=$B38)*Inputs!$D$5:$D$200*(((Inputs!$G$5:$G$200="moeda")+(Inputs!$G$5:$G$200="acoes"))*Inputs!$B$1+((Inputs!$G$5:$G$200&lt;&gt;"moeda")*(Inputs!$G$5:$G$200&lt;&gt;"acoes")))*INDEX(Inputs!$K$5:$AJ$200,0,MATCH(X$2,Inputs!$K$4:$AJ$4,0)))+SUMPRODUCT((Inputs!$E$5:$E$200=$B38)*Inputs!$F$5:$F$200*(((Inputs!$G$5:$G$200="moeda")+(Inputs!$G$5:$G$200="acoes"))*Inputs!$B$1+((Inputs!$G$5:$G$200&lt;&gt;"moeda")*(Inputs!$G$5:$G$200&lt;&gt;"acoes")))*INDEX(Inputs!$K$5:$AJ$200,0,MATCH(X$2,Inputs!$K$4:$AJ$4,0)))))</f>
        <v>3.68</v>
      </c>
      <c r="Y38" s="6">
        <f>IF(ISNA(MATCH(Y$2,Inputs!$K$4:$AJ$4,0)),NA(),IF(SUMPRODUCT((Inputs!$A$5:$A$200=$B38)*ISNUMBER(INDEX(Inputs!$K$5:$AJ$200,0,MATCH(Y$2,Inputs!$K$4:$AJ$4,0))))+SUMPRODUCT((Inputs!$C$5:$C$200=$B38)*ISNUMBER(INDEX(Inputs!$K$5:$AJ$200,0,MATCH(Y$2,Inputs!$K$4:$AJ$4,0))))+SUMPRODUCT((Inputs!$E$5:$E$200=$B38)*ISNUMBER(INDEX(Inputs!$K$5:$AJ$200,0,MATCH(Y$2,Inputs!$K$4:$AJ$4,0))))=0,NA(),SUMPRODUCT((Inputs!$A$5:$A$200=$B38)*Inputs!$B$5:$B$200*(((Inputs!$G$5:$G$200="moeda")+(Inputs!$G$5:$G$200="acoes"))*Inputs!$B$1+((Inputs!$G$5:$G$200&lt;&gt;"moeda")*(Inputs!$G$5:$G$200&lt;&gt;"acoes")))*INDEX(Inputs!$K$5:$AJ$200,0,MATCH(Y$2,Inputs!$K$4:$AJ$4,0)))+SUMPRODUCT((Inputs!$C$5:$C$200=$B38)*Inputs!$D$5:$D$200*(((Inputs!$G$5:$G$200="moeda")+(Inputs!$G$5:$G$200="acoes"))*Inputs!$B$1+((Inputs!$G$5:$G$200&lt;&gt;"moeda")*(Inputs!$G$5:$G$200&lt;&gt;"acoes")))*INDEX(Inputs!$K$5:$AJ$200,0,MATCH(Y$2,Inputs!$K$4:$AJ$4,0)))+SUMPRODUCT((Inputs!$E$5:$E$200=$B38)*Inputs!$F$5:$F$200*(((Inputs!$G$5:$G$200="moeda")+(Inputs!$G$5:$G$200="acoes"))*Inputs!$B$1+((Inputs!$G$5:$G$200&lt;&gt;"moeda")*(Inputs!$G$5:$G$200&lt;&gt;"acoes")))*INDEX(Inputs!$K$5:$AJ$200,0,MATCH(Y$2,Inputs!$K$4:$AJ$4,0)))))</f>
        <v>3.68</v>
      </c>
      <c r="Z38" s="6">
        <f>IF(ISNA(MATCH(Z$2,Inputs!$K$4:$AJ$4,0)),NA(),IF(SUMPRODUCT((Inputs!$A$5:$A$200=$B38)*ISNUMBER(INDEX(Inputs!$K$5:$AJ$200,0,MATCH(Z$2,Inputs!$K$4:$AJ$4,0))))+SUMPRODUCT((Inputs!$C$5:$C$200=$B38)*ISNUMBER(INDEX(Inputs!$K$5:$AJ$200,0,MATCH(Z$2,Inputs!$K$4:$AJ$4,0))))+SUMPRODUCT((Inputs!$E$5:$E$200=$B38)*ISNUMBER(INDEX(Inputs!$K$5:$AJ$200,0,MATCH(Z$2,Inputs!$K$4:$AJ$4,0))))=0,NA(),SUMPRODUCT((Inputs!$A$5:$A$200=$B38)*Inputs!$B$5:$B$200*(((Inputs!$G$5:$G$200="moeda")+(Inputs!$G$5:$G$200="acoes"))*Inputs!$B$1+((Inputs!$G$5:$G$200&lt;&gt;"moeda")*(Inputs!$G$5:$G$200&lt;&gt;"acoes")))*INDEX(Inputs!$K$5:$AJ$200,0,MATCH(Z$2,Inputs!$K$4:$AJ$4,0)))+SUMPRODUCT((Inputs!$C$5:$C$200=$B38)*Inputs!$D$5:$D$200*(((Inputs!$G$5:$G$200="moeda")+(Inputs!$G$5:$G$200="acoes"))*Inputs!$B$1+((Inputs!$G$5:$G$200&lt;&gt;"moeda")*(Inputs!$G$5:$G$200&lt;&gt;"acoes")))*INDEX(Inputs!$K$5:$AJ$200,0,MATCH(Z$2,Inputs!$K$4:$AJ$4,0)))+SUMPRODUCT((Inputs!$E$5:$E$200=$B38)*Inputs!$F$5:$F$200*(((Inputs!$G$5:$G$200="moeda")+(Inputs!$G$5:$G$200="acoes"))*Inputs!$B$1+((Inputs!$G$5:$G$200&lt;&gt;"moeda")*(Inputs!$G$5:$G$200&lt;&gt;"acoes")))*INDEX(Inputs!$K$5:$AJ$200,0,MATCH(Z$2,Inputs!$K$4:$AJ$4,0)))))</f>
        <v>3.68</v>
      </c>
      <c r="AA38" s="6">
        <f>IF(ISNA(MATCH(AA$2,Inputs!$K$4:$AJ$4,0)),NA(),IF(SUMPRODUCT((Inputs!$A$5:$A$200=$B38)*ISNUMBER(INDEX(Inputs!$K$5:$AJ$200,0,MATCH(AA$2,Inputs!$K$4:$AJ$4,0))))+SUMPRODUCT((Inputs!$C$5:$C$200=$B38)*ISNUMBER(INDEX(Inputs!$K$5:$AJ$200,0,MATCH(AA$2,Inputs!$K$4:$AJ$4,0))))+SUMPRODUCT((Inputs!$E$5:$E$200=$B38)*ISNUMBER(INDEX(Inputs!$K$5:$AJ$200,0,MATCH(AA$2,Inputs!$K$4:$AJ$4,0))))=0,NA(),SUMPRODUCT((Inputs!$A$5:$A$200=$B38)*Inputs!$B$5:$B$200*(((Inputs!$G$5:$G$200="moeda")+(Inputs!$G$5:$G$200="acoes"))*Inputs!$B$1+((Inputs!$G$5:$G$200&lt;&gt;"moeda")*(Inputs!$G$5:$G$200&lt;&gt;"acoes")))*INDEX(Inputs!$K$5:$AJ$200,0,MATCH(AA$2,Inputs!$K$4:$AJ$4,0)))+SUMPRODUCT((Inputs!$C$5:$C$200=$B38)*Inputs!$D$5:$D$200*(((Inputs!$G$5:$G$200="moeda")+(Inputs!$G$5:$G$200="acoes"))*Inputs!$B$1+((Inputs!$G$5:$G$200&lt;&gt;"moeda")*(Inputs!$G$5:$G$200&lt;&gt;"acoes")))*INDEX(Inputs!$K$5:$AJ$200,0,MATCH(AA$2,Inputs!$K$4:$AJ$4,0)))+SUMPRODUCT((Inputs!$E$5:$E$200=$B38)*Inputs!$F$5:$F$200*(((Inputs!$G$5:$G$200="moeda")+(Inputs!$G$5:$G$200="acoes"))*Inputs!$B$1+((Inputs!$G$5:$G$200&lt;&gt;"moeda")*(Inputs!$G$5:$G$200&lt;&gt;"acoes")))*INDEX(Inputs!$K$5:$AJ$200,0,MATCH(AA$2,Inputs!$K$4:$AJ$4,0)))))</f>
        <v>2.728</v>
      </c>
      <c r="AB38" s="3">
        <f>AA38</f>
        <v>2.728</v>
      </c>
      <c r="AC38" s="6">
        <f>IF(ISNA(MATCH(AC$2,Inputs!$K$4:$AJ$4,0)),NA(),IF(SUMPRODUCT((Inputs!$A$5:$A$200=$B38)*ISNUMBER(INDEX(Inputs!$K$5:$AJ$200,0,MATCH(AC$2,Inputs!$K$4:$AJ$4,0))))+SUMPRODUCT((Inputs!$C$5:$C$200=$B38)*ISNUMBER(INDEX(Inputs!$K$5:$AJ$200,0,MATCH(AC$2,Inputs!$K$4:$AJ$4,0))))+SUMPRODUCT((Inputs!$E$5:$E$200=$B38)*ISNUMBER(INDEX(Inputs!$K$5:$AJ$200,0,MATCH(AC$2,Inputs!$K$4:$AJ$4,0))))=0,NA(),SUMPRODUCT((Inputs!$A$5:$A$200=$B38)*Inputs!$B$5:$B$200*(((Inputs!$G$5:$G$200="moeda")+(Inputs!$G$5:$G$200="acoes"))*Inputs!$B$1+((Inputs!$G$5:$G$200&lt;&gt;"moeda")*(Inputs!$G$5:$G$200&lt;&gt;"acoes")))*INDEX(Inputs!$K$5:$AJ$200,0,MATCH(AC$2,Inputs!$K$4:$AJ$4,0)))+SUMPRODUCT((Inputs!$C$5:$C$200=$B38)*Inputs!$D$5:$D$200*(((Inputs!$G$5:$G$200="moeda")+(Inputs!$G$5:$G$200="acoes"))*Inputs!$B$1+((Inputs!$G$5:$G$200&lt;&gt;"moeda")*(Inputs!$G$5:$G$200&lt;&gt;"acoes")))*INDEX(Inputs!$K$5:$AJ$200,0,MATCH(AC$2,Inputs!$K$4:$AJ$4,0)))+SUMPRODUCT((Inputs!$E$5:$E$200=$B38)*Inputs!$F$5:$F$200*(((Inputs!$G$5:$G$200="moeda")+(Inputs!$G$5:$G$200="acoes"))*Inputs!$B$1+((Inputs!$G$5:$G$200&lt;&gt;"moeda")*(Inputs!$G$5:$G$200&lt;&gt;"acoes")))*INDEX(Inputs!$K$5:$AJ$200,0,MATCH(AC$2,Inputs!$K$4:$AJ$4,0)))))</f>
        <v>2.728</v>
      </c>
      <c r="AD38" s="6">
        <f>IF(ISNA(MATCH(AD$2,Inputs!$K$4:$AJ$4,0)),NA(),IF(SUMPRODUCT((Inputs!$A$5:$A$200=$B38)*ISNUMBER(INDEX(Inputs!$K$5:$AJ$200,0,MATCH(AD$2,Inputs!$K$4:$AJ$4,0))))+SUMPRODUCT((Inputs!$C$5:$C$200=$B38)*ISNUMBER(INDEX(Inputs!$K$5:$AJ$200,0,MATCH(AD$2,Inputs!$K$4:$AJ$4,0))))+SUMPRODUCT((Inputs!$E$5:$E$200=$B38)*ISNUMBER(INDEX(Inputs!$K$5:$AJ$200,0,MATCH(AD$2,Inputs!$K$4:$AJ$4,0))))=0,NA(),SUMPRODUCT((Inputs!$A$5:$A$200=$B38)*Inputs!$B$5:$B$200*(((Inputs!$G$5:$G$200="moeda")+(Inputs!$G$5:$G$200="acoes"))*Inputs!$B$1+((Inputs!$G$5:$G$200&lt;&gt;"moeda")*(Inputs!$G$5:$G$200&lt;&gt;"acoes")))*INDEX(Inputs!$K$5:$AJ$200,0,MATCH(AD$2,Inputs!$K$4:$AJ$4,0)))+SUMPRODUCT((Inputs!$C$5:$C$200=$B38)*Inputs!$D$5:$D$200*(((Inputs!$G$5:$G$200="moeda")+(Inputs!$G$5:$G$200="acoes"))*Inputs!$B$1+((Inputs!$G$5:$G$200&lt;&gt;"moeda")*(Inputs!$G$5:$G$200&lt;&gt;"acoes")))*INDEX(Inputs!$K$5:$AJ$200,0,MATCH(AD$2,Inputs!$K$4:$AJ$4,0)))+SUMPRODUCT((Inputs!$E$5:$E$200=$B38)*Inputs!$F$5:$F$200*(((Inputs!$G$5:$G$200="moeda")+(Inputs!$G$5:$G$200="acoes"))*Inputs!$B$1+((Inputs!$G$5:$G$200&lt;&gt;"moeda")*(Inputs!$G$5:$G$200&lt;&gt;"acoes")))*INDEX(Inputs!$K$5:$AJ$200,0,MATCH(AD$2,Inputs!$K$4:$AJ$4,0)))))</f>
        <v>597.286</v>
      </c>
      <c r="AE38" s="6" t="e">
        <f>IF(ISNA(MATCH(AE$2,Inputs!$K$4:$AJ$4,0)),NA(),IF(SUMPRODUCT((Inputs!$A$5:$A$200=$B38)*ISNUMBER(INDEX(Inputs!$K$5:$AJ$200,0,MATCH(AE$2,Inputs!$K$4:$AJ$4,0))))+SUMPRODUCT((Inputs!$C$5:$C$200=$B38)*ISNUMBER(INDEX(Inputs!$K$5:$AJ$200,0,MATCH(AE$2,Inputs!$K$4:$AJ$4,0))))+SUMPRODUCT((Inputs!$E$5:$E$200=$B38)*ISNUMBER(INDEX(Inputs!$K$5:$AJ$200,0,MATCH(AE$2,Inputs!$K$4:$AJ$4,0))))=0,NA(),SUMPRODUCT((Inputs!$A$5:$A$200=$B38)*Inputs!$B$5:$B$200*(((Inputs!$G$5:$G$200="moeda")+(Inputs!$G$5:$G$200="acoes"))*Inputs!$B$1+((Inputs!$G$5:$G$200&lt;&gt;"moeda")*(Inputs!$G$5:$G$200&lt;&gt;"acoes")))*INDEX(Inputs!$K$5:$AJ$200,0,MATCH(AE$2,Inputs!$K$4:$AJ$4,0)))+SUMPRODUCT((Inputs!$C$5:$C$200=$B38)*Inputs!$D$5:$D$200*(((Inputs!$G$5:$G$200="moeda")+(Inputs!$G$5:$G$200="acoes"))*Inputs!$B$1+((Inputs!$G$5:$G$200&lt;&gt;"moeda")*(Inputs!$G$5:$G$200&lt;&gt;"acoes")))*INDEX(Inputs!$K$5:$AJ$200,0,MATCH(AE$2,Inputs!$K$4:$AJ$4,0)))+SUMPRODUCT((Inputs!$E$5:$E$200=$B38)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8" s="6" t="e">
        <f>IF(ISNA(MATCH(AF$2,Inputs!$K$4:$AJ$4,0)),NA(),IF(SUMPRODUCT((Inputs!$A$5:$A$200=$B38)*ISNUMBER(INDEX(Inputs!$K$5:$AJ$200,0,MATCH(AF$2,Inputs!$K$4:$AJ$4,0))))+SUMPRODUCT((Inputs!$C$5:$C$200=$B38)*ISNUMBER(INDEX(Inputs!$K$5:$AJ$200,0,MATCH(AF$2,Inputs!$K$4:$AJ$4,0))))+SUMPRODUCT((Inputs!$E$5:$E$200=$B38)*ISNUMBER(INDEX(Inputs!$K$5:$AJ$200,0,MATCH(AF$2,Inputs!$K$4:$AJ$4,0))))=0,NA(),SUMPRODUCT((Inputs!$A$5:$A$200=$B38)*Inputs!$B$5:$B$200*(((Inputs!$G$5:$G$200="moeda")+(Inputs!$G$5:$G$200="acoes"))*Inputs!$B$1+((Inputs!$G$5:$G$200&lt;&gt;"moeda")*(Inputs!$G$5:$G$200&lt;&gt;"acoes")))*INDEX(Inputs!$K$5:$AJ$200,0,MATCH(AF$2,Inputs!$K$4:$AJ$4,0)))+SUMPRODUCT((Inputs!$C$5:$C$200=$B38)*Inputs!$D$5:$D$200*(((Inputs!$G$5:$G$200="moeda")+(Inputs!$G$5:$G$200="acoes"))*Inputs!$B$1+((Inputs!$G$5:$G$200&lt;&gt;"moeda")*(Inputs!$G$5:$G$200&lt;&gt;"acoes")))*INDEX(Inputs!$K$5:$AJ$200,0,MATCH(AF$2,Inputs!$K$4:$AJ$4,0)))+SUMPRODUCT((Inputs!$E$5:$E$200=$B38)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8" s="3" t="e">
        <f>AF38</f>
        <v>#N/A</v>
      </c>
      <c r="AH38" s="6">
        <f>IF(ISNA(MATCH(AH$2,Inputs!$K$4:$AJ$4,0)),NA(),IF(SUMPRODUCT((Inputs!$A$5:$A$200=$B38)*ISNUMBER(INDEX(Inputs!$K$5:$AJ$200,0,MATCH(AH$2,Inputs!$K$4:$AJ$4,0))))+SUMPRODUCT((Inputs!$C$5:$C$200=$B38)*ISNUMBER(INDEX(Inputs!$K$5:$AJ$200,0,MATCH(AH$2,Inputs!$K$4:$AJ$4,0))))+SUMPRODUCT((Inputs!$E$5:$E$200=$B38)*ISNUMBER(INDEX(Inputs!$K$5:$AJ$200,0,MATCH(AH$2,Inputs!$K$4:$AJ$4,0))))=0,NA(),SUMPRODUCT((Inputs!$A$5:$A$200=$B38)*Inputs!$B$5:$B$200*(((Inputs!$G$5:$G$200="moeda")+(Inputs!$G$5:$G$200="acoes"))*Inputs!$B$1+((Inputs!$G$5:$G$200&lt;&gt;"moeda")*(Inputs!$G$5:$G$200&lt;&gt;"acoes")))*INDEX(Inputs!$K$5:$AJ$200,0,MATCH(AH$2,Inputs!$K$4:$AJ$4,0)))+SUMPRODUCT((Inputs!$C$5:$C$200=$B38)*Inputs!$D$5:$D$200*(((Inputs!$G$5:$G$200="moeda")+(Inputs!$G$5:$G$200="acoes"))*Inputs!$B$1+((Inputs!$G$5:$G$200&lt;&gt;"moeda")*(Inputs!$G$5:$G$200&lt;&gt;"acoes")))*INDEX(Inputs!$K$5:$AJ$200,0,MATCH(AH$2,Inputs!$K$4:$AJ$4,0)))+SUMPRODUCT((Inputs!$E$5:$E$200=$B38)*Inputs!$F$5:$F$200*(((Inputs!$G$5:$G$200="moeda")+(Inputs!$G$5:$G$200="acoes"))*Inputs!$B$1+((Inputs!$G$5:$G$200&lt;&gt;"moeda")*(Inputs!$G$5:$G$200&lt;&gt;"acoes")))*INDEX(Inputs!$K$5:$AJ$200,0,MATCH(AH$2,Inputs!$K$4:$AJ$4,0)))))</f>
        <v>53.542</v>
      </c>
      <c r="AI38" s="6">
        <f>IF(ISNA(MATCH(AI$2,Inputs!$K$4:$AJ$4,0)),NA(),IF(SUMPRODUCT((Inputs!$A$5:$A$200=$B38)*ISNUMBER(INDEX(Inputs!$K$5:$AJ$200,0,MATCH(AI$2,Inputs!$K$4:$AJ$4,0))))+SUMPRODUCT((Inputs!$C$5:$C$200=$B38)*ISNUMBER(INDEX(Inputs!$K$5:$AJ$200,0,MATCH(AI$2,Inputs!$K$4:$AJ$4,0))))+SUMPRODUCT((Inputs!$E$5:$E$200=$B38)*ISNUMBER(INDEX(Inputs!$K$5:$AJ$200,0,MATCH(AI$2,Inputs!$K$4:$AJ$4,0))))=0,NA(),SUMPRODUCT((Inputs!$A$5:$A$200=$B38)*Inputs!$B$5:$B$200*(((Inputs!$G$5:$G$200="moeda")+(Inputs!$G$5:$G$200="acoes"))*Inputs!$B$1+((Inputs!$G$5:$G$200&lt;&gt;"moeda")*(Inputs!$G$5:$G$200&lt;&gt;"acoes")))*INDEX(Inputs!$K$5:$AJ$200,0,MATCH(AI$2,Inputs!$K$4:$AJ$4,0)))+SUMPRODUCT((Inputs!$C$5:$C$200=$B38)*Inputs!$D$5:$D$200*(((Inputs!$G$5:$G$200="moeda")+(Inputs!$G$5:$G$200="acoes"))*Inputs!$B$1+((Inputs!$G$5:$G$200&lt;&gt;"moeda")*(Inputs!$G$5:$G$200&lt;&gt;"acoes")))*INDEX(Inputs!$K$5:$AJ$200,0,MATCH(AI$2,Inputs!$K$4:$AJ$4,0)))+SUMPRODUCT((Inputs!$E$5:$E$200=$B38)*Inputs!$F$5:$F$200*(((Inputs!$G$5:$G$200="moeda")+(Inputs!$G$5:$G$200="acoes"))*Inputs!$B$1+((Inputs!$G$5:$G$200&lt;&gt;"moeda")*(Inputs!$G$5:$G$200&lt;&gt;"acoes")))*INDEX(Inputs!$K$5:$AJ$200,0,MATCH(AI$2,Inputs!$K$4:$AJ$4,0)))))</f>
        <v>53.542</v>
      </c>
      <c r="AJ38" s="6">
        <f>IF(ISNA(MATCH(AJ$2,Inputs!$K$4:$AJ$4,0)),NA(),IF(SUMPRODUCT((Inputs!$A$5:$A$200=$B38)*ISNUMBER(INDEX(Inputs!$K$5:$AJ$200,0,MATCH(AJ$2,Inputs!$K$4:$AJ$4,0))))+SUMPRODUCT((Inputs!$C$5:$C$200=$B38)*ISNUMBER(INDEX(Inputs!$K$5:$AJ$200,0,MATCH(AJ$2,Inputs!$K$4:$AJ$4,0))))+SUMPRODUCT((Inputs!$E$5:$E$200=$B38)*ISNUMBER(INDEX(Inputs!$K$5:$AJ$200,0,MATCH(AJ$2,Inputs!$K$4:$AJ$4,0))))=0,NA(),SUMPRODUCT((Inputs!$A$5:$A$200=$B38)*Inputs!$B$5:$B$200*(((Inputs!$G$5:$G$200="moeda")+(Inputs!$G$5:$G$200="acoes"))*Inputs!$B$1+((Inputs!$G$5:$G$200&lt;&gt;"moeda")*(Inputs!$G$5:$G$200&lt;&gt;"acoes")))*INDEX(Inputs!$K$5:$AJ$200,0,MATCH(AJ$2,Inputs!$K$4:$AJ$4,0)))+SUMPRODUCT((Inputs!$C$5:$C$200=$B38)*Inputs!$D$5:$D$200*(((Inputs!$G$5:$G$200="moeda")+(Inputs!$G$5:$G$200="acoes"))*Inputs!$B$1+((Inputs!$G$5:$G$200&lt;&gt;"moeda")*(Inputs!$G$5:$G$200&lt;&gt;"acoes")))*INDEX(Inputs!$K$5:$AJ$200,0,MATCH(AJ$2,Inputs!$K$4:$AJ$4,0)))+SUMPRODUCT((Inputs!$E$5:$E$200=$B38)*Inputs!$F$5:$F$200*(((Inputs!$G$5:$G$200="moeda")+(Inputs!$G$5:$G$200="acoes"))*Inputs!$B$1+((Inputs!$G$5:$G$200&lt;&gt;"moeda")*(Inputs!$G$5:$G$200&lt;&gt;"acoes")))*INDEX(Inputs!$K$5:$AJ$200,0,MATCH(AJ$2,Inputs!$K$4:$AJ$4,0)))))</f>
        <v>53.542</v>
      </c>
      <c r="AK38" s="6">
        <f>IF(ISNA(MATCH(AK$2,Inputs!$K$4:$AJ$4,0)),NA(),IF(SUMPRODUCT((Inputs!$A$5:$A$200=$B38)*ISNUMBER(INDEX(Inputs!$K$5:$AJ$200,0,MATCH(AK$2,Inputs!$K$4:$AJ$4,0))))+SUMPRODUCT((Inputs!$C$5:$C$200=$B38)*ISNUMBER(INDEX(Inputs!$K$5:$AJ$200,0,MATCH(AK$2,Inputs!$K$4:$AJ$4,0))))+SUMPRODUCT((Inputs!$E$5:$E$200=$B38)*ISNUMBER(INDEX(Inputs!$K$5:$AJ$200,0,MATCH(AK$2,Inputs!$K$4:$AJ$4,0))))=0,NA(),SUMPRODUCT((Inputs!$A$5:$A$200=$B38)*Inputs!$B$5:$B$200*(((Inputs!$G$5:$G$200="moeda")+(Inputs!$G$5:$G$200="acoes"))*Inputs!$B$1+((Inputs!$G$5:$G$200&lt;&gt;"moeda")*(Inputs!$G$5:$G$200&lt;&gt;"acoes")))*INDEX(Inputs!$K$5:$AJ$200,0,MATCH(AK$2,Inputs!$K$4:$AJ$4,0)))+SUMPRODUCT((Inputs!$C$5:$C$200=$B38)*Inputs!$D$5:$D$200*(((Inputs!$G$5:$G$200="moeda")+(Inputs!$G$5:$G$200="acoes"))*Inputs!$B$1+((Inputs!$G$5:$G$200&lt;&gt;"moeda")*(Inputs!$G$5:$G$200&lt;&gt;"acoes")))*INDEX(Inputs!$K$5:$AJ$200,0,MATCH(AK$2,Inputs!$K$4:$AJ$4,0)))+SUMPRODUCT((Inputs!$E$5:$E$200=$B38)*Inputs!$F$5:$F$200*(((Inputs!$G$5:$G$200="moeda")+(Inputs!$G$5:$G$200="acoes"))*Inputs!$B$1+((Inputs!$G$5:$G$200&lt;&gt;"moeda")*(Inputs!$G$5:$G$200&lt;&gt;"acoes")))*INDEX(Inputs!$K$5:$AJ$200,0,MATCH(AK$2,Inputs!$K$4:$AJ$4,0)))))</f>
        <v>23.789</v>
      </c>
      <c r="AL38" s="3">
        <f>AK38</f>
        <v>23.789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$200=$B39)*ISNUMBER(INDEX(Inputs!$K$5:$AJ$200,0,MATCH(D$2,Inputs!$K$4:$AJ$4,0))))+SUMPRODUCT((Inputs!$C$5:$C$200=$B39)*ISNUMBER(INDEX(Inputs!$K$5:$AJ$200,0,MATCH(D$2,Inputs!$K$4:$AJ$4,0))))+SUMPRODUCT((Inputs!$E$5:$E$200=$B39)*ISNUMBER(INDEX(Inputs!$K$5:$AJ$200,0,MATCH(D$2,Inputs!$K$4:$AJ$4,0))))=0,NA(),SUMPRODUCT((Inputs!$A$5:$A$200=$B39)*Inputs!$B$5:$B$200*(((Inputs!$G$5:$G$200="moeda")+(Inputs!$G$5:$G$200="acoes"))*Inputs!$B$1+((Inputs!$G$5:$G$200&lt;&gt;"moeda")*(Inputs!$G$5:$G$200&lt;&gt;"acoes")))*INDEX(Inputs!$K$5:$AJ$200,0,MATCH(D$2,Inputs!$K$4:$AJ$4,0)))+SUMPRODUCT((Inputs!$C$5:$C$200=$B39)*Inputs!$D$5:$D$200*(((Inputs!$G$5:$G$200="moeda")+(Inputs!$G$5:$G$200="acoes"))*Inputs!$B$1+((Inputs!$G$5:$G$200&lt;&gt;"moeda")*(Inputs!$G$5:$G$200&lt;&gt;"acoes")))*INDEX(Inputs!$K$5:$AJ$200,0,MATCH(D$2,Inputs!$K$4:$AJ$4,0)))+SUMPRODUCT((Inputs!$E$5:$E$200=$B39)*Inputs!$F$5:$F$200*(((Inputs!$G$5:$G$200="moeda")+(Inputs!$G$5:$G$200="acoes"))*Inputs!$B$1+((Inputs!$G$5:$G$200&lt;&gt;"moeda")*(Inputs!$G$5:$G$200&lt;&gt;"acoes")))*INDEX(Inputs!$K$5:$AJ$200,0,MATCH(D$2,Inputs!$K$4:$AJ$4,0)))))</f>
        <v>85.655</v>
      </c>
      <c r="E39" s="6">
        <f>IF(ISNA(MATCH(E$2,Inputs!$K$4:$AJ$4,0)),NA(),IF(SUMPRODUCT((Inputs!$A$5:$A$200=$B39)*ISNUMBER(INDEX(Inputs!$K$5:$AJ$200,0,MATCH(E$2,Inputs!$K$4:$AJ$4,0))))+SUMPRODUCT((Inputs!$C$5:$C$200=$B39)*ISNUMBER(INDEX(Inputs!$K$5:$AJ$200,0,MATCH(E$2,Inputs!$K$4:$AJ$4,0))))+SUMPRODUCT((Inputs!$E$5:$E$200=$B39)*ISNUMBER(INDEX(Inputs!$K$5:$AJ$200,0,MATCH(E$2,Inputs!$K$4:$AJ$4,0))))=0,NA(),SUMPRODUCT((Inputs!$A$5:$A$200=$B39)*Inputs!$B$5:$B$200*(((Inputs!$G$5:$G$200="moeda")+(Inputs!$G$5:$G$200="acoes"))*Inputs!$B$1+((Inputs!$G$5:$G$200&lt;&gt;"moeda")*(Inputs!$G$5:$G$200&lt;&gt;"acoes")))*INDEX(Inputs!$K$5:$AJ$200,0,MATCH(E$2,Inputs!$K$4:$AJ$4,0)))+SUMPRODUCT((Inputs!$C$5:$C$200=$B39)*Inputs!$D$5:$D$200*(((Inputs!$G$5:$G$200="moeda")+(Inputs!$G$5:$G$200="acoes"))*Inputs!$B$1+((Inputs!$G$5:$G$200&lt;&gt;"moeda")*(Inputs!$G$5:$G$200&lt;&gt;"acoes")))*INDEX(Inputs!$K$5:$AJ$200,0,MATCH(E$2,Inputs!$K$4:$AJ$4,0)))+SUMPRODUCT((Inputs!$E$5:$E$200=$B39)*Inputs!$F$5:$F$200*(((Inputs!$G$5:$G$200="moeda")+(Inputs!$G$5:$G$200="acoes"))*Inputs!$B$1+((Inputs!$G$5:$G$200&lt;&gt;"moeda")*(Inputs!$G$5:$G$200&lt;&gt;"acoes")))*INDEX(Inputs!$K$5:$AJ$200,0,MATCH(E$2,Inputs!$K$4:$AJ$4,0)))))</f>
        <v>76.482</v>
      </c>
      <c r="F39" s="6">
        <f>IF(ISNA(MATCH(F$2,Inputs!$K$4:$AJ$4,0)),NA(),IF(SUMPRODUCT((Inputs!$A$5:$A$200=$B39)*ISNUMBER(INDEX(Inputs!$K$5:$AJ$200,0,MATCH(F$2,Inputs!$K$4:$AJ$4,0))))+SUMPRODUCT((Inputs!$C$5:$C$200=$B39)*ISNUMBER(INDEX(Inputs!$K$5:$AJ$200,0,MATCH(F$2,Inputs!$K$4:$AJ$4,0))))+SUMPRODUCT((Inputs!$E$5:$E$200=$B39)*ISNUMBER(INDEX(Inputs!$K$5:$AJ$200,0,MATCH(F$2,Inputs!$K$4:$AJ$4,0))))=0,NA(),SUMPRODUCT((Inputs!$A$5:$A$200=$B39)*Inputs!$B$5:$B$200*(((Inputs!$G$5:$G$200="moeda")+(Inputs!$G$5:$G$200="acoes"))*Inputs!$B$1+((Inputs!$G$5:$G$200&lt;&gt;"moeda")*(Inputs!$G$5:$G$200&lt;&gt;"acoes")))*INDEX(Inputs!$K$5:$AJ$200,0,MATCH(F$2,Inputs!$K$4:$AJ$4,0)))+SUMPRODUCT((Inputs!$C$5:$C$200=$B39)*Inputs!$D$5:$D$200*(((Inputs!$G$5:$G$200="moeda")+(Inputs!$G$5:$G$200="acoes"))*Inputs!$B$1+((Inputs!$G$5:$G$200&lt;&gt;"moeda")*(Inputs!$G$5:$G$200&lt;&gt;"acoes")))*INDEX(Inputs!$K$5:$AJ$200,0,MATCH(F$2,Inputs!$K$4:$AJ$4,0)))+SUMPRODUCT((Inputs!$E$5:$E$200=$B39)*Inputs!$F$5:$F$200*(((Inputs!$G$5:$G$200="moeda")+(Inputs!$G$5:$G$200="acoes"))*Inputs!$B$1+((Inputs!$G$5:$G$200&lt;&gt;"moeda")*(Inputs!$G$5:$G$200&lt;&gt;"acoes")))*INDEX(Inputs!$K$5:$AJ$200,0,MATCH(F$2,Inputs!$K$4:$AJ$4,0)))))</f>
        <v>89.692</v>
      </c>
      <c r="G39" s="6">
        <f>IF(ISNA(MATCH(G$2,Inputs!$K$4:$AJ$4,0)),NA(),IF(SUMPRODUCT((Inputs!$A$5:$A$200=$B39)*ISNUMBER(INDEX(Inputs!$K$5:$AJ$200,0,MATCH(G$2,Inputs!$K$4:$AJ$4,0))))+SUMPRODUCT((Inputs!$C$5:$C$200=$B39)*ISNUMBER(INDEX(Inputs!$K$5:$AJ$200,0,MATCH(G$2,Inputs!$K$4:$AJ$4,0))))+SUMPRODUCT((Inputs!$E$5:$E$200=$B39)*ISNUMBER(INDEX(Inputs!$K$5:$AJ$200,0,MATCH(G$2,Inputs!$K$4:$AJ$4,0))))=0,NA(),SUMPRODUCT((Inputs!$A$5:$A$200=$B39)*Inputs!$B$5:$B$200*(((Inputs!$G$5:$G$200="moeda")+(Inputs!$G$5:$G$200="acoes"))*Inputs!$B$1+((Inputs!$G$5:$G$200&lt;&gt;"moeda")*(Inputs!$G$5:$G$200&lt;&gt;"acoes")))*INDEX(Inputs!$K$5:$AJ$200,0,MATCH(G$2,Inputs!$K$4:$AJ$4,0)))+SUMPRODUCT((Inputs!$C$5:$C$200=$B39)*Inputs!$D$5:$D$200*(((Inputs!$G$5:$G$200="moeda")+(Inputs!$G$5:$G$200="acoes"))*Inputs!$B$1+((Inputs!$G$5:$G$200&lt;&gt;"moeda")*(Inputs!$G$5:$G$200&lt;&gt;"acoes")))*INDEX(Inputs!$K$5:$AJ$200,0,MATCH(G$2,Inputs!$K$4:$AJ$4,0)))+SUMPRODUCT((Inputs!$E$5:$E$200=$B39)*Inputs!$F$5:$F$200*(((Inputs!$G$5:$G$200="moeda")+(Inputs!$G$5:$G$200="acoes"))*Inputs!$B$1+((Inputs!$G$5:$G$200&lt;&gt;"moeda")*(Inputs!$G$5:$G$200&lt;&gt;"acoes")))*INDEX(Inputs!$K$5:$AJ$200,0,MATCH(G$2,Inputs!$K$4:$AJ$4,0)))))</f>
        <v>87.593</v>
      </c>
      <c r="H39" s="3">
        <f>G39</f>
        <v>87.593</v>
      </c>
      <c r="I39" s="6">
        <f>IF(ISNA(MATCH(I$2,Inputs!$K$4:$AJ$4,0)),NA(),IF(SUMPRODUCT((Inputs!$A$5:$A$200=$B39)*ISNUMBER(INDEX(Inputs!$K$5:$AJ$200,0,MATCH(I$2,Inputs!$K$4:$AJ$4,0))))+SUMPRODUCT((Inputs!$C$5:$C$200=$B39)*ISNUMBER(INDEX(Inputs!$K$5:$AJ$200,0,MATCH(I$2,Inputs!$K$4:$AJ$4,0))))+SUMPRODUCT((Inputs!$E$5:$E$200=$B39)*ISNUMBER(INDEX(Inputs!$K$5:$AJ$200,0,MATCH(I$2,Inputs!$K$4:$AJ$4,0))))=0,NA(),SUMPRODUCT((Inputs!$A$5:$A$200=$B39)*Inputs!$B$5:$B$200*(((Inputs!$G$5:$G$200="moeda")+(Inputs!$G$5:$G$200="acoes"))*Inputs!$B$1+((Inputs!$G$5:$G$200&lt;&gt;"moeda")*(Inputs!$G$5:$G$200&lt;&gt;"acoes")))*INDEX(Inputs!$K$5:$AJ$200,0,MATCH(I$2,Inputs!$K$4:$AJ$4,0)))+SUMPRODUCT((Inputs!$C$5:$C$200=$B39)*Inputs!$D$5:$D$200*(((Inputs!$G$5:$G$200="moeda")+(Inputs!$G$5:$G$200="acoes"))*Inputs!$B$1+((Inputs!$G$5:$G$200&lt;&gt;"moeda")*(Inputs!$G$5:$G$200&lt;&gt;"acoes")))*INDEX(Inputs!$K$5:$AJ$200,0,MATCH(I$2,Inputs!$K$4:$AJ$4,0)))+SUMPRODUCT((Inputs!$E$5:$E$200=$B39)*Inputs!$F$5:$F$200*(((Inputs!$G$5:$G$200="moeda")+(Inputs!$G$5:$G$200="acoes"))*Inputs!$B$1+((Inputs!$G$5:$G$200&lt;&gt;"moeda")*(Inputs!$G$5:$G$200&lt;&gt;"acoes")))*INDEX(Inputs!$K$5:$AJ$200,0,MATCH(I$2,Inputs!$K$4:$AJ$4,0)))))</f>
        <v>90.417</v>
      </c>
      <c r="J39" s="6">
        <f>IF(ISNA(MATCH(J$2,Inputs!$K$4:$AJ$4,0)),NA(),IF(SUMPRODUCT((Inputs!$A$5:$A$200=$B39)*ISNUMBER(INDEX(Inputs!$K$5:$AJ$200,0,MATCH(J$2,Inputs!$K$4:$AJ$4,0))))+SUMPRODUCT((Inputs!$C$5:$C$200=$B39)*ISNUMBER(INDEX(Inputs!$K$5:$AJ$200,0,MATCH(J$2,Inputs!$K$4:$AJ$4,0))))+SUMPRODUCT((Inputs!$E$5:$E$200=$B39)*ISNUMBER(INDEX(Inputs!$K$5:$AJ$200,0,MATCH(J$2,Inputs!$K$4:$AJ$4,0))))=0,NA(),SUMPRODUCT((Inputs!$A$5:$A$200=$B39)*Inputs!$B$5:$B$200*(((Inputs!$G$5:$G$200="moeda")+(Inputs!$G$5:$G$200="acoes"))*Inputs!$B$1+((Inputs!$G$5:$G$200&lt;&gt;"moeda")*(Inputs!$G$5:$G$200&lt;&gt;"acoes")))*INDEX(Inputs!$K$5:$AJ$200,0,MATCH(J$2,Inputs!$K$4:$AJ$4,0)))+SUMPRODUCT((Inputs!$C$5:$C$200=$B39)*Inputs!$D$5:$D$200*(((Inputs!$G$5:$G$200="moeda")+(Inputs!$G$5:$G$200="acoes"))*Inputs!$B$1+((Inputs!$G$5:$G$200&lt;&gt;"moeda")*(Inputs!$G$5:$G$200&lt;&gt;"acoes")))*INDEX(Inputs!$K$5:$AJ$200,0,MATCH(J$2,Inputs!$K$4:$AJ$4,0)))+SUMPRODUCT((Inputs!$E$5:$E$200=$B39)*Inputs!$F$5:$F$200*(((Inputs!$G$5:$G$200="moeda")+(Inputs!$G$5:$G$200="acoes"))*Inputs!$B$1+((Inputs!$G$5:$G$200&lt;&gt;"moeda")*(Inputs!$G$5:$G$200&lt;&gt;"acoes")))*INDEX(Inputs!$K$5:$AJ$200,0,MATCH(J$2,Inputs!$K$4:$AJ$4,0)))))</f>
        <v>353.748</v>
      </c>
      <c r="K39" s="6">
        <f>IF(ISNA(MATCH(K$2,Inputs!$K$4:$AJ$4,0)),NA(),IF(SUMPRODUCT((Inputs!$A$5:$A$200=$B39)*ISNUMBER(INDEX(Inputs!$K$5:$AJ$200,0,MATCH(K$2,Inputs!$K$4:$AJ$4,0))))+SUMPRODUCT((Inputs!$C$5:$C$200=$B39)*ISNUMBER(INDEX(Inputs!$K$5:$AJ$200,0,MATCH(K$2,Inputs!$K$4:$AJ$4,0))))+SUMPRODUCT((Inputs!$E$5:$E$200=$B39)*ISNUMBER(INDEX(Inputs!$K$5:$AJ$200,0,MATCH(K$2,Inputs!$K$4:$AJ$4,0))))=0,NA(),SUMPRODUCT((Inputs!$A$5:$A$200=$B39)*Inputs!$B$5:$B$200*(((Inputs!$G$5:$G$200="moeda")+(Inputs!$G$5:$G$200="acoes"))*Inputs!$B$1+((Inputs!$G$5:$G$200&lt;&gt;"moeda")*(Inputs!$G$5:$G$200&lt;&gt;"acoes")))*INDEX(Inputs!$K$5:$AJ$200,0,MATCH(K$2,Inputs!$K$4:$AJ$4,0)))+SUMPRODUCT((Inputs!$C$5:$C$200=$B39)*Inputs!$D$5:$D$200*(((Inputs!$G$5:$G$200="moeda")+(Inputs!$G$5:$G$200="acoes"))*Inputs!$B$1+((Inputs!$G$5:$G$200&lt;&gt;"moeda")*(Inputs!$G$5:$G$200&lt;&gt;"acoes")))*INDEX(Inputs!$K$5:$AJ$200,0,MATCH(K$2,Inputs!$K$4:$AJ$4,0)))+SUMPRODUCT((Inputs!$E$5:$E$200=$B39)*Inputs!$F$5:$F$200*(((Inputs!$G$5:$G$200="moeda")+(Inputs!$G$5:$G$200="acoes"))*Inputs!$B$1+((Inputs!$G$5:$G$200&lt;&gt;"moeda")*(Inputs!$G$5:$G$200&lt;&gt;"acoes")))*INDEX(Inputs!$K$5:$AJ$200,0,MATCH(K$2,Inputs!$K$4:$AJ$4,0)))))</f>
        <v>355.709</v>
      </c>
      <c r="L39" s="6">
        <f>IF(ISNA(MATCH(L$2,Inputs!$K$4:$AJ$4,0)),NA(),IF(SUMPRODUCT((Inputs!$A$5:$A$200=$B39)*ISNUMBER(INDEX(Inputs!$K$5:$AJ$200,0,MATCH(L$2,Inputs!$K$4:$AJ$4,0))))+SUMPRODUCT((Inputs!$C$5:$C$200=$B39)*ISNUMBER(INDEX(Inputs!$K$5:$AJ$200,0,MATCH(L$2,Inputs!$K$4:$AJ$4,0))))+SUMPRODUCT((Inputs!$E$5:$E$200=$B39)*ISNUMBER(INDEX(Inputs!$K$5:$AJ$200,0,MATCH(L$2,Inputs!$K$4:$AJ$4,0))))=0,NA(),SUMPRODUCT((Inputs!$A$5:$A$200=$B39)*Inputs!$B$5:$B$200*(((Inputs!$G$5:$G$200="moeda")+(Inputs!$G$5:$G$200="acoes"))*Inputs!$B$1+((Inputs!$G$5:$G$200&lt;&gt;"moeda")*(Inputs!$G$5:$G$200&lt;&gt;"acoes")))*INDEX(Inputs!$K$5:$AJ$200,0,MATCH(L$2,Inputs!$K$4:$AJ$4,0)))+SUMPRODUCT((Inputs!$C$5:$C$200=$B39)*Inputs!$D$5:$D$200*(((Inputs!$G$5:$G$200="moeda")+(Inputs!$G$5:$G$200="acoes"))*Inputs!$B$1+((Inputs!$G$5:$G$200&lt;&gt;"moeda")*(Inputs!$G$5:$G$200&lt;&gt;"acoes")))*INDEX(Inputs!$K$5:$AJ$200,0,MATCH(L$2,Inputs!$K$4:$AJ$4,0)))+SUMPRODUCT((Inputs!$E$5:$E$200=$B39)*Inputs!$F$5:$F$200*(((Inputs!$G$5:$G$200="moeda")+(Inputs!$G$5:$G$200="acoes"))*Inputs!$B$1+((Inputs!$G$5:$G$200&lt;&gt;"moeda")*(Inputs!$G$5:$G$200&lt;&gt;"acoes")))*INDEX(Inputs!$K$5:$AJ$200,0,MATCH(L$2,Inputs!$K$4:$AJ$4,0)))))</f>
        <v>146.47</v>
      </c>
      <c r="M39" s="3">
        <f>L39</f>
        <v>146.47</v>
      </c>
      <c r="N39" s="6">
        <f>IF(ISNA(MATCH(N$2,Inputs!$K$4:$AJ$4,0)),NA(),IF(SUMPRODUCT((Inputs!$A$5:$A$200=$B39)*ISNUMBER(INDEX(Inputs!$K$5:$AJ$200,0,MATCH(N$2,Inputs!$K$4:$AJ$4,0))))+SUMPRODUCT((Inputs!$C$5:$C$200=$B39)*ISNUMBER(INDEX(Inputs!$K$5:$AJ$200,0,MATCH(N$2,Inputs!$K$4:$AJ$4,0))))+SUMPRODUCT((Inputs!$E$5:$E$200=$B39)*ISNUMBER(INDEX(Inputs!$K$5:$AJ$200,0,MATCH(N$2,Inputs!$K$4:$AJ$4,0))))=0,NA(),SUMPRODUCT((Inputs!$A$5:$A$200=$B39)*Inputs!$B$5:$B$200*(((Inputs!$G$5:$G$200="moeda")+(Inputs!$G$5:$G$200="acoes"))*Inputs!$B$1+((Inputs!$G$5:$G$200&lt;&gt;"moeda")*(Inputs!$G$5:$G$200&lt;&gt;"acoes")))*INDEX(Inputs!$K$5:$AJ$200,0,MATCH(N$2,Inputs!$K$4:$AJ$4,0)))+SUMPRODUCT((Inputs!$C$5:$C$200=$B39)*Inputs!$D$5:$D$200*(((Inputs!$G$5:$G$200="moeda")+(Inputs!$G$5:$G$200="acoes"))*Inputs!$B$1+((Inputs!$G$5:$G$200&lt;&gt;"moeda")*(Inputs!$G$5:$G$200&lt;&gt;"acoes")))*INDEX(Inputs!$K$5:$AJ$200,0,MATCH(N$2,Inputs!$K$4:$AJ$4,0)))+SUMPRODUCT((Inputs!$E$5:$E$200=$B39)*Inputs!$F$5:$F$200*(((Inputs!$G$5:$G$200="moeda")+(Inputs!$G$5:$G$200="acoes"))*Inputs!$B$1+((Inputs!$G$5:$G$200&lt;&gt;"moeda")*(Inputs!$G$5:$G$200&lt;&gt;"acoes")))*INDEX(Inputs!$K$5:$AJ$200,0,MATCH(N$2,Inputs!$K$4:$AJ$4,0)))))</f>
        <v>147.813</v>
      </c>
      <c r="O39" s="6">
        <f>IF(ISNA(MATCH(O$2,Inputs!$K$4:$AJ$4,0)),NA(),IF(SUMPRODUCT((Inputs!$A$5:$A$200=$B39)*ISNUMBER(INDEX(Inputs!$K$5:$AJ$200,0,MATCH(O$2,Inputs!$K$4:$AJ$4,0))))+SUMPRODUCT((Inputs!$C$5:$C$200=$B39)*ISNUMBER(INDEX(Inputs!$K$5:$AJ$200,0,MATCH(O$2,Inputs!$K$4:$AJ$4,0))))+SUMPRODUCT((Inputs!$E$5:$E$200=$B39)*ISNUMBER(INDEX(Inputs!$K$5:$AJ$200,0,MATCH(O$2,Inputs!$K$4:$AJ$4,0))))=0,NA(),SUMPRODUCT((Inputs!$A$5:$A$200=$B39)*Inputs!$B$5:$B$200*(((Inputs!$G$5:$G$200="moeda")+(Inputs!$G$5:$G$200="acoes"))*Inputs!$B$1+((Inputs!$G$5:$G$200&lt;&gt;"moeda")*(Inputs!$G$5:$G$200&lt;&gt;"acoes")))*INDEX(Inputs!$K$5:$AJ$200,0,MATCH(O$2,Inputs!$K$4:$AJ$4,0)))+SUMPRODUCT((Inputs!$C$5:$C$200=$B39)*Inputs!$D$5:$D$200*(((Inputs!$G$5:$G$200="moeda")+(Inputs!$G$5:$G$200="acoes"))*Inputs!$B$1+((Inputs!$G$5:$G$200&lt;&gt;"moeda")*(Inputs!$G$5:$G$200&lt;&gt;"acoes")))*INDEX(Inputs!$K$5:$AJ$200,0,MATCH(O$2,Inputs!$K$4:$AJ$4,0)))+SUMPRODUCT((Inputs!$E$5:$E$200=$B39)*Inputs!$F$5:$F$200*(((Inputs!$G$5:$G$200="moeda")+(Inputs!$G$5:$G$200="acoes"))*Inputs!$B$1+((Inputs!$G$5:$G$200&lt;&gt;"moeda")*(Inputs!$G$5:$G$200&lt;&gt;"acoes")))*INDEX(Inputs!$K$5:$AJ$200,0,MATCH(O$2,Inputs!$K$4:$AJ$4,0)))))</f>
        <v>159.096</v>
      </c>
      <c r="P39" s="6">
        <f>IF(ISNA(MATCH(P$2,Inputs!$K$4:$AJ$4,0)),NA(),IF(SUMPRODUCT((Inputs!$A$5:$A$200=$B39)*ISNUMBER(INDEX(Inputs!$K$5:$AJ$200,0,MATCH(P$2,Inputs!$K$4:$AJ$4,0))))+SUMPRODUCT((Inputs!$C$5:$C$200=$B39)*ISNUMBER(INDEX(Inputs!$K$5:$AJ$200,0,MATCH(P$2,Inputs!$K$4:$AJ$4,0))))+SUMPRODUCT((Inputs!$E$5:$E$200=$B39)*ISNUMBER(INDEX(Inputs!$K$5:$AJ$200,0,MATCH(P$2,Inputs!$K$4:$AJ$4,0))))=0,NA(),SUMPRODUCT((Inputs!$A$5:$A$200=$B39)*Inputs!$B$5:$B$200*(((Inputs!$G$5:$G$200="moeda")+(Inputs!$G$5:$G$200="acoes"))*Inputs!$B$1+((Inputs!$G$5:$G$200&lt;&gt;"moeda")*(Inputs!$G$5:$G$200&lt;&gt;"acoes")))*INDEX(Inputs!$K$5:$AJ$200,0,MATCH(P$2,Inputs!$K$4:$AJ$4,0)))+SUMPRODUCT((Inputs!$C$5:$C$200=$B39)*Inputs!$D$5:$D$200*(((Inputs!$G$5:$G$200="moeda")+(Inputs!$G$5:$G$200="acoes"))*Inputs!$B$1+((Inputs!$G$5:$G$200&lt;&gt;"moeda")*(Inputs!$G$5:$G$200&lt;&gt;"acoes")))*INDEX(Inputs!$K$5:$AJ$200,0,MATCH(P$2,Inputs!$K$4:$AJ$4,0)))+SUMPRODUCT((Inputs!$E$5:$E$200=$B39)*Inputs!$F$5:$F$200*(((Inputs!$G$5:$G$200="moeda")+(Inputs!$G$5:$G$200="acoes"))*Inputs!$B$1+((Inputs!$G$5:$G$200&lt;&gt;"moeda")*(Inputs!$G$5:$G$200&lt;&gt;"acoes")))*INDEX(Inputs!$K$5:$AJ$200,0,MATCH(P$2,Inputs!$K$4:$AJ$4,0)))))</f>
        <v>172.115</v>
      </c>
      <c r="Q39" s="6">
        <f>IF(ISNA(MATCH(Q$2,Inputs!$K$4:$AJ$4,0)),NA(),IF(SUMPRODUCT((Inputs!$A$5:$A$200=$B39)*ISNUMBER(INDEX(Inputs!$K$5:$AJ$200,0,MATCH(Q$2,Inputs!$K$4:$AJ$4,0))))+SUMPRODUCT((Inputs!$C$5:$C$200=$B39)*ISNUMBER(INDEX(Inputs!$K$5:$AJ$200,0,MATCH(Q$2,Inputs!$K$4:$AJ$4,0))))+SUMPRODUCT((Inputs!$E$5:$E$200=$B39)*ISNUMBER(INDEX(Inputs!$K$5:$AJ$200,0,MATCH(Q$2,Inputs!$K$4:$AJ$4,0))))=0,NA(),SUMPRODUCT((Inputs!$A$5:$A$200=$B39)*Inputs!$B$5:$B$200*(((Inputs!$G$5:$G$200="moeda")+(Inputs!$G$5:$G$200="acoes"))*Inputs!$B$1+((Inputs!$G$5:$G$200&lt;&gt;"moeda")*(Inputs!$G$5:$G$200&lt;&gt;"acoes")))*INDEX(Inputs!$K$5:$AJ$200,0,MATCH(Q$2,Inputs!$K$4:$AJ$4,0)))+SUMPRODUCT((Inputs!$C$5:$C$200=$B39)*Inputs!$D$5:$D$200*(((Inputs!$G$5:$G$200="moeda")+(Inputs!$G$5:$G$200="acoes"))*Inputs!$B$1+((Inputs!$G$5:$G$200&lt;&gt;"moeda")*(Inputs!$G$5:$G$200&lt;&gt;"acoes")))*INDEX(Inputs!$K$5:$AJ$200,0,MATCH(Q$2,Inputs!$K$4:$AJ$4,0)))+SUMPRODUCT((Inputs!$E$5:$E$200=$B39)*Inputs!$F$5:$F$200*(((Inputs!$G$5:$G$200="moeda")+(Inputs!$G$5:$G$200="acoes"))*Inputs!$B$1+((Inputs!$G$5:$G$200&lt;&gt;"moeda")*(Inputs!$G$5:$G$200&lt;&gt;"acoes")))*INDEX(Inputs!$K$5:$AJ$200,0,MATCH(Q$2,Inputs!$K$4:$AJ$4,0)))))</f>
        <v>152.046</v>
      </c>
      <c r="R39" s="3">
        <f>Q39</f>
        <v>152.046</v>
      </c>
      <c r="S39" s="6">
        <f>IF(ISNA(MATCH(S$2,Inputs!$K$4:$AJ$4,0)),NA(),IF(SUMPRODUCT((Inputs!$A$5:$A$200=$B39)*ISNUMBER(INDEX(Inputs!$K$5:$AJ$200,0,MATCH(S$2,Inputs!$K$4:$AJ$4,0))))+SUMPRODUCT((Inputs!$C$5:$C$200=$B39)*ISNUMBER(INDEX(Inputs!$K$5:$AJ$200,0,MATCH(S$2,Inputs!$K$4:$AJ$4,0))))+SUMPRODUCT((Inputs!$E$5:$E$200=$B39)*ISNUMBER(INDEX(Inputs!$K$5:$AJ$200,0,MATCH(S$2,Inputs!$K$4:$AJ$4,0))))=0,NA(),SUMPRODUCT((Inputs!$A$5:$A$200=$B39)*Inputs!$B$5:$B$200*(((Inputs!$G$5:$G$200="moeda")+(Inputs!$G$5:$G$200="acoes"))*Inputs!$B$1+((Inputs!$G$5:$G$200&lt;&gt;"moeda")*(Inputs!$G$5:$G$200&lt;&gt;"acoes")))*INDEX(Inputs!$K$5:$AJ$200,0,MATCH(S$2,Inputs!$K$4:$AJ$4,0)))+SUMPRODUCT((Inputs!$C$5:$C$200=$B39)*Inputs!$D$5:$D$200*(((Inputs!$G$5:$G$200="moeda")+(Inputs!$G$5:$G$200="acoes"))*Inputs!$B$1+((Inputs!$G$5:$G$200&lt;&gt;"moeda")*(Inputs!$G$5:$G$200&lt;&gt;"acoes")))*INDEX(Inputs!$K$5:$AJ$200,0,MATCH(S$2,Inputs!$K$4:$AJ$4,0)))+SUMPRODUCT((Inputs!$E$5:$E$200=$B39)*Inputs!$F$5:$F$200*(((Inputs!$G$5:$G$200="moeda")+(Inputs!$G$5:$G$200="acoes"))*Inputs!$B$1+((Inputs!$G$5:$G$200&lt;&gt;"moeda")*(Inputs!$G$5:$G$200&lt;&gt;"acoes")))*INDEX(Inputs!$K$5:$AJ$200,0,MATCH(S$2,Inputs!$K$4:$AJ$4,0)))))</f>
        <v>128.083</v>
      </c>
      <c r="T39" s="6">
        <f>IF(ISNA(MATCH(T$2,Inputs!$K$4:$AJ$4,0)),NA(),IF(SUMPRODUCT((Inputs!$A$5:$A$200=$B39)*ISNUMBER(INDEX(Inputs!$K$5:$AJ$200,0,MATCH(T$2,Inputs!$K$4:$AJ$4,0))))+SUMPRODUCT((Inputs!$C$5:$C$200=$B39)*ISNUMBER(INDEX(Inputs!$K$5:$AJ$200,0,MATCH(T$2,Inputs!$K$4:$AJ$4,0))))+SUMPRODUCT((Inputs!$E$5:$E$200=$B39)*ISNUMBER(INDEX(Inputs!$K$5:$AJ$200,0,MATCH(T$2,Inputs!$K$4:$AJ$4,0))))=0,NA(),SUMPRODUCT((Inputs!$A$5:$A$200=$B39)*Inputs!$B$5:$B$200*(((Inputs!$G$5:$G$200="moeda")+(Inputs!$G$5:$G$200="acoes"))*Inputs!$B$1+((Inputs!$G$5:$G$200&lt;&gt;"moeda")*(Inputs!$G$5:$G$200&lt;&gt;"acoes")))*INDEX(Inputs!$K$5:$AJ$200,0,MATCH(T$2,Inputs!$K$4:$AJ$4,0)))+SUMPRODUCT((Inputs!$C$5:$C$200=$B39)*Inputs!$D$5:$D$200*(((Inputs!$G$5:$G$200="moeda")+(Inputs!$G$5:$G$200="acoes"))*Inputs!$B$1+((Inputs!$G$5:$G$200&lt;&gt;"moeda")*(Inputs!$G$5:$G$200&lt;&gt;"acoes")))*INDEX(Inputs!$K$5:$AJ$200,0,MATCH(T$2,Inputs!$K$4:$AJ$4,0)))+SUMPRODUCT((Inputs!$E$5:$E$200=$B39)*Inputs!$F$5:$F$200*(((Inputs!$G$5:$G$200="moeda")+(Inputs!$G$5:$G$200="acoes"))*Inputs!$B$1+((Inputs!$G$5:$G$200&lt;&gt;"moeda")*(Inputs!$G$5:$G$200&lt;&gt;"acoes")))*INDEX(Inputs!$K$5:$AJ$200,0,MATCH(T$2,Inputs!$K$4:$AJ$4,0)))))</f>
        <v>120.231</v>
      </c>
      <c r="U39" s="6">
        <f>IF(ISNA(MATCH(U$2,Inputs!$K$4:$AJ$4,0)),NA(),IF(SUMPRODUCT((Inputs!$A$5:$A$200=$B39)*ISNUMBER(INDEX(Inputs!$K$5:$AJ$200,0,MATCH(U$2,Inputs!$K$4:$AJ$4,0))))+SUMPRODUCT((Inputs!$C$5:$C$200=$B39)*ISNUMBER(INDEX(Inputs!$K$5:$AJ$200,0,MATCH(U$2,Inputs!$K$4:$AJ$4,0))))+SUMPRODUCT((Inputs!$E$5:$E$200=$B39)*ISNUMBER(INDEX(Inputs!$K$5:$AJ$200,0,MATCH(U$2,Inputs!$K$4:$AJ$4,0))))=0,NA(),SUMPRODUCT((Inputs!$A$5:$A$200=$B39)*Inputs!$B$5:$B$200*(((Inputs!$G$5:$G$200="moeda")+(Inputs!$G$5:$G$200="acoes"))*Inputs!$B$1+((Inputs!$G$5:$G$200&lt;&gt;"moeda")*(Inputs!$G$5:$G$200&lt;&gt;"acoes")))*INDEX(Inputs!$K$5:$AJ$200,0,MATCH(U$2,Inputs!$K$4:$AJ$4,0)))+SUMPRODUCT((Inputs!$C$5:$C$200=$B39)*Inputs!$D$5:$D$200*(((Inputs!$G$5:$G$200="moeda")+(Inputs!$G$5:$G$200="acoes"))*Inputs!$B$1+((Inputs!$G$5:$G$200&lt;&gt;"moeda")*(Inputs!$G$5:$G$200&lt;&gt;"acoes")))*INDEX(Inputs!$K$5:$AJ$200,0,MATCH(U$2,Inputs!$K$4:$AJ$4,0)))+SUMPRODUCT((Inputs!$E$5:$E$200=$B39)*Inputs!$F$5:$F$200*(((Inputs!$G$5:$G$200="moeda")+(Inputs!$G$5:$G$200="acoes"))*Inputs!$B$1+((Inputs!$G$5:$G$200&lt;&gt;"moeda")*(Inputs!$G$5:$G$200&lt;&gt;"acoes")))*INDEX(Inputs!$K$5:$AJ$200,0,MATCH(U$2,Inputs!$K$4:$AJ$4,0)))))</f>
        <v>252.988</v>
      </c>
      <c r="V39" s="6">
        <f>IF(ISNA(MATCH(V$2,Inputs!$K$4:$AJ$4,0)),NA(),IF(SUMPRODUCT((Inputs!$A$5:$A$200=$B39)*ISNUMBER(INDEX(Inputs!$K$5:$AJ$200,0,MATCH(V$2,Inputs!$K$4:$AJ$4,0))))+SUMPRODUCT((Inputs!$C$5:$C$200=$B39)*ISNUMBER(INDEX(Inputs!$K$5:$AJ$200,0,MATCH(V$2,Inputs!$K$4:$AJ$4,0))))+SUMPRODUCT((Inputs!$E$5:$E$200=$B39)*ISNUMBER(INDEX(Inputs!$K$5:$AJ$200,0,MATCH(V$2,Inputs!$K$4:$AJ$4,0))))=0,NA(),SUMPRODUCT((Inputs!$A$5:$A$200=$B39)*Inputs!$B$5:$B$200*(((Inputs!$G$5:$G$200="moeda")+(Inputs!$G$5:$G$200="acoes"))*Inputs!$B$1+((Inputs!$G$5:$G$200&lt;&gt;"moeda")*(Inputs!$G$5:$G$200&lt;&gt;"acoes")))*INDEX(Inputs!$K$5:$AJ$200,0,MATCH(V$2,Inputs!$K$4:$AJ$4,0)))+SUMPRODUCT((Inputs!$C$5:$C$200=$B39)*Inputs!$D$5:$D$200*(((Inputs!$G$5:$G$200="moeda")+(Inputs!$G$5:$G$200="acoes"))*Inputs!$B$1+((Inputs!$G$5:$G$200&lt;&gt;"moeda")*(Inputs!$G$5:$G$200&lt;&gt;"acoes")))*INDEX(Inputs!$K$5:$AJ$200,0,MATCH(V$2,Inputs!$K$4:$AJ$4,0)))+SUMPRODUCT((Inputs!$E$5:$E$200=$B39)*Inputs!$F$5:$F$200*(((Inputs!$G$5:$G$200="moeda")+(Inputs!$G$5:$G$200="acoes"))*Inputs!$B$1+((Inputs!$G$5:$G$200&lt;&gt;"moeda")*(Inputs!$G$5:$G$200&lt;&gt;"acoes")))*INDEX(Inputs!$K$5:$AJ$200,0,MATCH(V$2,Inputs!$K$4:$AJ$4,0)))))</f>
        <v>244.831</v>
      </c>
      <c r="W39" s="3">
        <f>V39</f>
        <v>244.831</v>
      </c>
      <c r="X39" s="6">
        <f>IF(ISNA(MATCH(X$2,Inputs!$K$4:$AJ$4,0)),NA(),IF(SUMPRODUCT((Inputs!$A$5:$A$200=$B39)*ISNUMBER(INDEX(Inputs!$K$5:$AJ$200,0,MATCH(X$2,Inputs!$K$4:$AJ$4,0))))+SUMPRODUCT((Inputs!$C$5:$C$200=$B39)*ISNUMBER(INDEX(Inputs!$K$5:$AJ$200,0,MATCH(X$2,Inputs!$K$4:$AJ$4,0))))+SUMPRODUCT((Inputs!$E$5:$E$200=$B39)*ISNUMBER(INDEX(Inputs!$K$5:$AJ$200,0,MATCH(X$2,Inputs!$K$4:$AJ$4,0))))=0,NA(),SUMPRODUCT((Inputs!$A$5:$A$200=$B39)*Inputs!$B$5:$B$200*(((Inputs!$G$5:$G$200="moeda")+(Inputs!$G$5:$G$200="acoes"))*Inputs!$B$1+((Inputs!$G$5:$G$200&lt;&gt;"moeda")*(Inputs!$G$5:$G$200&lt;&gt;"acoes")))*INDEX(Inputs!$K$5:$AJ$200,0,MATCH(X$2,Inputs!$K$4:$AJ$4,0)))+SUMPRODUCT((Inputs!$C$5:$C$200=$B39)*Inputs!$D$5:$D$200*(((Inputs!$G$5:$G$200="moeda")+(Inputs!$G$5:$G$200="acoes"))*Inputs!$B$1+((Inputs!$G$5:$G$200&lt;&gt;"moeda")*(Inputs!$G$5:$G$200&lt;&gt;"acoes")))*INDEX(Inputs!$K$5:$AJ$200,0,MATCH(X$2,Inputs!$K$4:$AJ$4,0)))+SUMPRODUCT((Inputs!$E$5:$E$200=$B39)*Inputs!$F$5:$F$200*(((Inputs!$G$5:$G$200="moeda")+(Inputs!$G$5:$G$200="acoes"))*Inputs!$B$1+((Inputs!$G$5:$G$200&lt;&gt;"moeda")*(Inputs!$G$5:$G$200&lt;&gt;"acoes")))*INDEX(Inputs!$K$5:$AJ$200,0,MATCH(X$2,Inputs!$K$4:$AJ$4,0)))))</f>
        <v>244.158</v>
      </c>
      <c r="Y39" s="6">
        <f>IF(ISNA(MATCH(Y$2,Inputs!$K$4:$AJ$4,0)),NA(),IF(SUMPRODUCT((Inputs!$A$5:$A$200=$B39)*ISNUMBER(INDEX(Inputs!$K$5:$AJ$200,0,MATCH(Y$2,Inputs!$K$4:$AJ$4,0))))+SUMPRODUCT((Inputs!$C$5:$C$200=$B39)*ISNUMBER(INDEX(Inputs!$K$5:$AJ$200,0,MATCH(Y$2,Inputs!$K$4:$AJ$4,0))))+SUMPRODUCT((Inputs!$E$5:$E$200=$B39)*ISNUMBER(INDEX(Inputs!$K$5:$AJ$200,0,MATCH(Y$2,Inputs!$K$4:$AJ$4,0))))=0,NA(),SUMPRODUCT((Inputs!$A$5:$A$200=$B39)*Inputs!$B$5:$B$200*(((Inputs!$G$5:$G$200="moeda")+(Inputs!$G$5:$G$200="acoes"))*Inputs!$B$1+((Inputs!$G$5:$G$200&lt;&gt;"moeda")*(Inputs!$G$5:$G$200&lt;&gt;"acoes")))*INDEX(Inputs!$K$5:$AJ$200,0,MATCH(Y$2,Inputs!$K$4:$AJ$4,0)))+SUMPRODUCT((Inputs!$C$5:$C$200=$B39)*Inputs!$D$5:$D$200*(((Inputs!$G$5:$G$200="moeda")+(Inputs!$G$5:$G$200="acoes"))*Inputs!$B$1+((Inputs!$G$5:$G$200&lt;&gt;"moeda")*(Inputs!$G$5:$G$200&lt;&gt;"acoes")))*INDEX(Inputs!$K$5:$AJ$200,0,MATCH(Y$2,Inputs!$K$4:$AJ$4,0)))+SUMPRODUCT((Inputs!$E$5:$E$200=$B39)*Inputs!$F$5:$F$200*(((Inputs!$G$5:$G$200="moeda")+(Inputs!$G$5:$G$200="acoes"))*Inputs!$B$1+((Inputs!$G$5:$G$200&lt;&gt;"moeda")*(Inputs!$G$5:$G$200&lt;&gt;"acoes")))*INDEX(Inputs!$K$5:$AJ$200,0,MATCH(Y$2,Inputs!$K$4:$AJ$4,0)))))</f>
        <v>243.824</v>
      </c>
      <c r="Z39" s="6">
        <f>IF(ISNA(MATCH(Z$2,Inputs!$K$4:$AJ$4,0)),NA(),IF(SUMPRODUCT((Inputs!$A$5:$A$200=$B39)*ISNUMBER(INDEX(Inputs!$K$5:$AJ$200,0,MATCH(Z$2,Inputs!$K$4:$AJ$4,0))))+SUMPRODUCT((Inputs!$C$5:$C$200=$B39)*ISNUMBER(INDEX(Inputs!$K$5:$AJ$200,0,MATCH(Z$2,Inputs!$K$4:$AJ$4,0))))+SUMPRODUCT((Inputs!$E$5:$E$200=$B39)*ISNUMBER(INDEX(Inputs!$K$5:$AJ$200,0,MATCH(Z$2,Inputs!$K$4:$AJ$4,0))))=0,NA(),SUMPRODUCT((Inputs!$A$5:$A$200=$B39)*Inputs!$B$5:$B$200*(((Inputs!$G$5:$G$200="moeda")+(Inputs!$G$5:$G$200="acoes"))*Inputs!$B$1+((Inputs!$G$5:$G$200&lt;&gt;"moeda")*(Inputs!$G$5:$G$200&lt;&gt;"acoes")))*INDEX(Inputs!$K$5:$AJ$200,0,MATCH(Z$2,Inputs!$K$4:$AJ$4,0)))+SUMPRODUCT((Inputs!$C$5:$C$200=$B39)*Inputs!$D$5:$D$200*(((Inputs!$G$5:$G$200="moeda")+(Inputs!$G$5:$G$200="acoes"))*Inputs!$B$1+((Inputs!$G$5:$G$200&lt;&gt;"moeda")*(Inputs!$G$5:$G$200&lt;&gt;"acoes")))*INDEX(Inputs!$K$5:$AJ$200,0,MATCH(Z$2,Inputs!$K$4:$AJ$4,0)))+SUMPRODUCT((Inputs!$E$5:$E$200=$B39)*Inputs!$F$5:$F$200*(((Inputs!$G$5:$G$200="moeda")+(Inputs!$G$5:$G$200="acoes"))*Inputs!$B$1+((Inputs!$G$5:$G$200&lt;&gt;"moeda")*(Inputs!$G$5:$G$200&lt;&gt;"acoes")))*INDEX(Inputs!$K$5:$AJ$200,0,MATCH(Z$2,Inputs!$K$4:$AJ$4,0)))))</f>
        <v>237.509</v>
      </c>
      <c r="AA39" s="6">
        <f>IF(ISNA(MATCH(AA$2,Inputs!$K$4:$AJ$4,0)),NA(),IF(SUMPRODUCT((Inputs!$A$5:$A$200=$B39)*ISNUMBER(INDEX(Inputs!$K$5:$AJ$200,0,MATCH(AA$2,Inputs!$K$4:$AJ$4,0))))+SUMPRODUCT((Inputs!$C$5:$C$200=$B39)*ISNUMBER(INDEX(Inputs!$K$5:$AJ$200,0,MATCH(AA$2,Inputs!$K$4:$AJ$4,0))))+SUMPRODUCT((Inputs!$E$5:$E$200=$B39)*ISNUMBER(INDEX(Inputs!$K$5:$AJ$200,0,MATCH(AA$2,Inputs!$K$4:$AJ$4,0))))=0,NA(),SUMPRODUCT((Inputs!$A$5:$A$200=$B39)*Inputs!$B$5:$B$200*(((Inputs!$G$5:$G$200="moeda")+(Inputs!$G$5:$G$200="acoes"))*Inputs!$B$1+((Inputs!$G$5:$G$200&lt;&gt;"moeda")*(Inputs!$G$5:$G$200&lt;&gt;"acoes")))*INDEX(Inputs!$K$5:$AJ$200,0,MATCH(AA$2,Inputs!$K$4:$AJ$4,0)))+SUMPRODUCT((Inputs!$C$5:$C$200=$B39)*Inputs!$D$5:$D$200*(((Inputs!$G$5:$G$200="moeda")+(Inputs!$G$5:$G$200="acoes"))*Inputs!$B$1+((Inputs!$G$5:$G$200&lt;&gt;"moeda")*(Inputs!$G$5:$G$200&lt;&gt;"acoes")))*INDEX(Inputs!$K$5:$AJ$200,0,MATCH(AA$2,Inputs!$K$4:$AJ$4,0)))+SUMPRODUCT((Inputs!$E$5:$E$200=$B39)*Inputs!$F$5:$F$200*(((Inputs!$G$5:$G$200="moeda")+(Inputs!$G$5:$G$200="acoes"))*Inputs!$B$1+((Inputs!$G$5:$G$200&lt;&gt;"moeda")*(Inputs!$G$5:$G$200&lt;&gt;"acoes")))*INDEX(Inputs!$K$5:$AJ$200,0,MATCH(AA$2,Inputs!$K$4:$AJ$4,0)))))</f>
        <v>171.344</v>
      </c>
      <c r="AB39" s="3">
        <f>AA39</f>
        <v>171.344</v>
      </c>
      <c r="AC39" s="6">
        <f>IF(ISNA(MATCH(AC$2,Inputs!$K$4:$AJ$4,0)),NA(),IF(SUMPRODUCT((Inputs!$A$5:$A$200=$B39)*ISNUMBER(INDEX(Inputs!$K$5:$AJ$200,0,MATCH(AC$2,Inputs!$K$4:$AJ$4,0))))+SUMPRODUCT((Inputs!$C$5:$C$200=$B39)*ISNUMBER(INDEX(Inputs!$K$5:$AJ$200,0,MATCH(AC$2,Inputs!$K$4:$AJ$4,0))))+SUMPRODUCT((Inputs!$E$5:$E$200=$B39)*ISNUMBER(INDEX(Inputs!$K$5:$AJ$200,0,MATCH(AC$2,Inputs!$K$4:$AJ$4,0))))=0,NA(),SUMPRODUCT((Inputs!$A$5:$A$200=$B39)*Inputs!$B$5:$B$200*(((Inputs!$G$5:$G$200="moeda")+(Inputs!$G$5:$G$200="acoes"))*Inputs!$B$1+((Inputs!$G$5:$G$200&lt;&gt;"moeda")*(Inputs!$G$5:$G$200&lt;&gt;"acoes")))*INDEX(Inputs!$K$5:$AJ$200,0,MATCH(AC$2,Inputs!$K$4:$AJ$4,0)))+SUMPRODUCT((Inputs!$C$5:$C$200=$B39)*Inputs!$D$5:$D$200*(((Inputs!$G$5:$G$200="moeda")+(Inputs!$G$5:$G$200="acoes"))*Inputs!$B$1+((Inputs!$G$5:$G$200&lt;&gt;"moeda")*(Inputs!$G$5:$G$200&lt;&gt;"acoes")))*INDEX(Inputs!$K$5:$AJ$200,0,MATCH(AC$2,Inputs!$K$4:$AJ$4,0)))+SUMPRODUCT((Inputs!$E$5:$E$200=$B39)*Inputs!$F$5:$F$200*(((Inputs!$G$5:$G$200="moeda")+(Inputs!$G$5:$G$200="acoes"))*Inputs!$B$1+((Inputs!$G$5:$G$200&lt;&gt;"moeda")*(Inputs!$G$5:$G$200&lt;&gt;"acoes")))*INDEX(Inputs!$K$5:$AJ$200,0,MATCH(AC$2,Inputs!$K$4:$AJ$4,0)))))</f>
        <v>175.142</v>
      </c>
      <c r="AD39" s="6">
        <f>IF(ISNA(MATCH(AD$2,Inputs!$K$4:$AJ$4,0)),NA(),IF(SUMPRODUCT((Inputs!$A$5:$A$200=$B39)*ISNUMBER(INDEX(Inputs!$K$5:$AJ$200,0,MATCH(AD$2,Inputs!$K$4:$AJ$4,0))))+SUMPRODUCT((Inputs!$C$5:$C$200=$B39)*ISNUMBER(INDEX(Inputs!$K$5:$AJ$200,0,MATCH(AD$2,Inputs!$K$4:$AJ$4,0))))+SUMPRODUCT((Inputs!$E$5:$E$200=$B39)*ISNUMBER(INDEX(Inputs!$K$5:$AJ$200,0,MATCH(AD$2,Inputs!$K$4:$AJ$4,0))))=0,NA(),SUMPRODUCT((Inputs!$A$5:$A$200=$B39)*Inputs!$B$5:$B$200*(((Inputs!$G$5:$G$200="moeda")+(Inputs!$G$5:$G$200="acoes"))*Inputs!$B$1+((Inputs!$G$5:$G$200&lt;&gt;"moeda")*(Inputs!$G$5:$G$200&lt;&gt;"acoes")))*INDEX(Inputs!$K$5:$AJ$200,0,MATCH(AD$2,Inputs!$K$4:$AJ$4,0)))+SUMPRODUCT((Inputs!$C$5:$C$200=$B39)*Inputs!$D$5:$D$200*(((Inputs!$G$5:$G$200="moeda")+(Inputs!$G$5:$G$200="acoes"))*Inputs!$B$1+((Inputs!$G$5:$G$200&lt;&gt;"moeda")*(Inputs!$G$5:$G$200&lt;&gt;"acoes")))*INDEX(Inputs!$K$5:$AJ$200,0,MATCH(AD$2,Inputs!$K$4:$AJ$4,0)))+SUMPRODUCT((Inputs!$E$5:$E$200=$B39)*Inputs!$F$5:$F$200*(((Inputs!$G$5:$G$200="moeda")+(Inputs!$G$5:$G$200="acoes"))*Inputs!$B$1+((Inputs!$G$5:$G$200&lt;&gt;"moeda")*(Inputs!$G$5:$G$200&lt;&gt;"acoes")))*INDEX(Inputs!$K$5:$AJ$200,0,MATCH(AD$2,Inputs!$K$4:$AJ$4,0)))))</f>
        <v>765.768</v>
      </c>
      <c r="AE39" s="6" t="e">
        <f>IF(ISNA(MATCH(AE$2,Inputs!$K$4:$AJ$4,0)),NA(),IF(SUMPRODUCT((Inputs!$A$5:$A$200=$B39)*ISNUMBER(INDEX(Inputs!$K$5:$AJ$200,0,MATCH(AE$2,Inputs!$K$4:$AJ$4,0))))+SUMPRODUCT((Inputs!$C$5:$C$200=$B39)*ISNUMBER(INDEX(Inputs!$K$5:$AJ$200,0,MATCH(AE$2,Inputs!$K$4:$AJ$4,0))))+SUMPRODUCT((Inputs!$E$5:$E$200=$B39)*ISNUMBER(INDEX(Inputs!$K$5:$AJ$200,0,MATCH(AE$2,Inputs!$K$4:$AJ$4,0))))=0,NA(),SUMPRODUCT((Inputs!$A$5:$A$200=$B39)*Inputs!$B$5:$B$200*(((Inputs!$G$5:$G$200="moeda")+(Inputs!$G$5:$G$200="acoes"))*Inputs!$B$1+((Inputs!$G$5:$G$200&lt;&gt;"moeda")*(Inputs!$G$5:$G$200&lt;&gt;"acoes")))*INDEX(Inputs!$K$5:$AJ$200,0,MATCH(AE$2,Inputs!$K$4:$AJ$4,0)))+SUMPRODUCT((Inputs!$C$5:$C$200=$B39)*Inputs!$D$5:$D$200*(((Inputs!$G$5:$G$200="moeda")+(Inputs!$G$5:$G$200="acoes"))*Inputs!$B$1+((Inputs!$G$5:$G$200&lt;&gt;"moeda")*(Inputs!$G$5:$G$200&lt;&gt;"acoes")))*INDEX(Inputs!$K$5:$AJ$200,0,MATCH(AE$2,Inputs!$K$4:$AJ$4,0)))+SUMPRODUCT((Inputs!$E$5:$E$200=$B39)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39" s="6" t="e">
        <f>IF(ISNA(MATCH(AF$2,Inputs!$K$4:$AJ$4,0)),NA(),IF(SUMPRODUCT((Inputs!$A$5:$A$200=$B39)*ISNUMBER(INDEX(Inputs!$K$5:$AJ$200,0,MATCH(AF$2,Inputs!$K$4:$AJ$4,0))))+SUMPRODUCT((Inputs!$C$5:$C$200=$B39)*ISNUMBER(INDEX(Inputs!$K$5:$AJ$200,0,MATCH(AF$2,Inputs!$K$4:$AJ$4,0))))+SUMPRODUCT((Inputs!$E$5:$E$200=$B39)*ISNUMBER(INDEX(Inputs!$K$5:$AJ$200,0,MATCH(AF$2,Inputs!$K$4:$AJ$4,0))))=0,NA(),SUMPRODUCT((Inputs!$A$5:$A$200=$B39)*Inputs!$B$5:$B$200*(((Inputs!$G$5:$G$200="moeda")+(Inputs!$G$5:$G$200="acoes"))*Inputs!$B$1+((Inputs!$G$5:$G$200&lt;&gt;"moeda")*(Inputs!$G$5:$G$200&lt;&gt;"acoes")))*INDEX(Inputs!$K$5:$AJ$200,0,MATCH(AF$2,Inputs!$K$4:$AJ$4,0)))+SUMPRODUCT((Inputs!$C$5:$C$200=$B39)*Inputs!$D$5:$D$200*(((Inputs!$G$5:$G$200="moeda")+(Inputs!$G$5:$G$200="acoes"))*Inputs!$B$1+((Inputs!$G$5:$G$200&lt;&gt;"moeda")*(Inputs!$G$5:$G$200&lt;&gt;"acoes")))*INDEX(Inputs!$K$5:$AJ$200,0,MATCH(AF$2,Inputs!$K$4:$AJ$4,0)))+SUMPRODUCT((Inputs!$E$5:$E$200=$B39)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39" s="3" t="e">
        <f>AF39</f>
        <v>#N/A</v>
      </c>
      <c r="AH39" s="6">
        <f>IF(ISNA(MATCH(AH$2,Inputs!$K$4:$AJ$4,0)),NA(),IF(SUMPRODUCT((Inputs!$A$5:$A$200=$B39)*ISNUMBER(INDEX(Inputs!$K$5:$AJ$200,0,MATCH(AH$2,Inputs!$K$4:$AJ$4,0))))+SUMPRODUCT((Inputs!$C$5:$C$200=$B39)*ISNUMBER(INDEX(Inputs!$K$5:$AJ$200,0,MATCH(AH$2,Inputs!$K$4:$AJ$4,0))))+SUMPRODUCT((Inputs!$E$5:$E$200=$B39)*ISNUMBER(INDEX(Inputs!$K$5:$AJ$200,0,MATCH(AH$2,Inputs!$K$4:$AJ$4,0))))=0,NA(),SUMPRODUCT((Inputs!$A$5:$A$200=$B39)*Inputs!$B$5:$B$200*(((Inputs!$G$5:$G$200="moeda")+(Inputs!$G$5:$G$200="acoes"))*Inputs!$B$1+((Inputs!$G$5:$G$200&lt;&gt;"moeda")*(Inputs!$G$5:$G$200&lt;&gt;"acoes")))*INDEX(Inputs!$K$5:$AJ$200,0,MATCH(AH$2,Inputs!$K$4:$AJ$4,0)))+SUMPRODUCT((Inputs!$C$5:$C$200=$B39)*Inputs!$D$5:$D$200*(((Inputs!$G$5:$G$200="moeda")+(Inputs!$G$5:$G$200="acoes"))*Inputs!$B$1+((Inputs!$G$5:$G$200&lt;&gt;"moeda")*(Inputs!$G$5:$G$200&lt;&gt;"acoes")))*INDEX(Inputs!$K$5:$AJ$200,0,MATCH(AH$2,Inputs!$K$4:$AJ$4,0)))+SUMPRODUCT((Inputs!$E$5:$E$200=$B39)*Inputs!$F$5:$F$200*(((Inputs!$G$5:$G$200="moeda")+(Inputs!$G$5:$G$200="acoes"))*Inputs!$B$1+((Inputs!$G$5:$G$200&lt;&gt;"moeda")*(Inputs!$G$5:$G$200&lt;&gt;"acoes")))*INDEX(Inputs!$K$5:$AJ$200,0,MATCH(AH$2,Inputs!$K$4:$AJ$4,0)))))</f>
        <v>114.945</v>
      </c>
      <c r="AI39" s="6">
        <f>IF(ISNA(MATCH(AI$2,Inputs!$K$4:$AJ$4,0)),NA(),IF(SUMPRODUCT((Inputs!$A$5:$A$200=$B39)*ISNUMBER(INDEX(Inputs!$K$5:$AJ$200,0,MATCH(AI$2,Inputs!$K$4:$AJ$4,0))))+SUMPRODUCT((Inputs!$C$5:$C$200=$B39)*ISNUMBER(INDEX(Inputs!$K$5:$AJ$200,0,MATCH(AI$2,Inputs!$K$4:$AJ$4,0))))+SUMPRODUCT((Inputs!$E$5:$E$200=$B39)*ISNUMBER(INDEX(Inputs!$K$5:$AJ$200,0,MATCH(AI$2,Inputs!$K$4:$AJ$4,0))))=0,NA(),SUMPRODUCT((Inputs!$A$5:$A$200=$B39)*Inputs!$B$5:$B$200*(((Inputs!$G$5:$G$200="moeda")+(Inputs!$G$5:$G$200="acoes"))*Inputs!$B$1+((Inputs!$G$5:$G$200&lt;&gt;"moeda")*(Inputs!$G$5:$G$200&lt;&gt;"acoes")))*INDEX(Inputs!$K$5:$AJ$200,0,MATCH(AI$2,Inputs!$K$4:$AJ$4,0)))+SUMPRODUCT((Inputs!$C$5:$C$200=$B39)*Inputs!$D$5:$D$200*(((Inputs!$G$5:$G$200="moeda")+(Inputs!$G$5:$G$200="acoes"))*Inputs!$B$1+((Inputs!$G$5:$G$200&lt;&gt;"moeda")*(Inputs!$G$5:$G$200&lt;&gt;"acoes")))*INDEX(Inputs!$K$5:$AJ$200,0,MATCH(AI$2,Inputs!$K$4:$AJ$4,0)))+SUMPRODUCT((Inputs!$E$5:$E$200=$B39)*Inputs!$F$5:$F$200*(((Inputs!$G$5:$G$200="moeda")+(Inputs!$G$5:$G$200="acoes"))*Inputs!$B$1+((Inputs!$G$5:$G$200&lt;&gt;"moeda")*(Inputs!$G$5:$G$200&lt;&gt;"acoes")))*INDEX(Inputs!$K$5:$AJ$200,0,MATCH(AI$2,Inputs!$K$4:$AJ$4,0)))))</f>
        <v>53.193</v>
      </c>
      <c r="AJ39" s="6">
        <f>IF(ISNA(MATCH(AJ$2,Inputs!$K$4:$AJ$4,0)),NA(),IF(SUMPRODUCT((Inputs!$A$5:$A$200=$B39)*ISNUMBER(INDEX(Inputs!$K$5:$AJ$200,0,MATCH(AJ$2,Inputs!$K$4:$AJ$4,0))))+SUMPRODUCT((Inputs!$C$5:$C$200=$B39)*ISNUMBER(INDEX(Inputs!$K$5:$AJ$200,0,MATCH(AJ$2,Inputs!$K$4:$AJ$4,0))))+SUMPRODUCT((Inputs!$E$5:$E$200=$B39)*ISNUMBER(INDEX(Inputs!$K$5:$AJ$200,0,MATCH(AJ$2,Inputs!$K$4:$AJ$4,0))))=0,NA(),SUMPRODUCT((Inputs!$A$5:$A$200=$B39)*Inputs!$B$5:$B$200*(((Inputs!$G$5:$G$200="moeda")+(Inputs!$G$5:$G$200="acoes"))*Inputs!$B$1+((Inputs!$G$5:$G$200&lt;&gt;"moeda")*(Inputs!$G$5:$G$200&lt;&gt;"acoes")))*INDEX(Inputs!$K$5:$AJ$200,0,MATCH(AJ$2,Inputs!$K$4:$AJ$4,0)))+SUMPRODUCT((Inputs!$C$5:$C$200=$B39)*Inputs!$D$5:$D$200*(((Inputs!$G$5:$G$200="moeda")+(Inputs!$G$5:$G$200="acoes"))*Inputs!$B$1+((Inputs!$G$5:$G$200&lt;&gt;"moeda")*(Inputs!$G$5:$G$200&lt;&gt;"acoes")))*INDEX(Inputs!$K$5:$AJ$200,0,MATCH(AJ$2,Inputs!$K$4:$AJ$4,0)))+SUMPRODUCT((Inputs!$E$5:$E$200=$B39)*Inputs!$F$5:$F$200*(((Inputs!$G$5:$G$200="moeda")+(Inputs!$G$5:$G$200="acoes"))*Inputs!$B$1+((Inputs!$G$5:$G$200&lt;&gt;"moeda")*(Inputs!$G$5:$G$200&lt;&gt;"acoes")))*INDEX(Inputs!$K$5:$AJ$200,0,MATCH(AJ$2,Inputs!$K$4:$AJ$4,0)))))</f>
        <v>41.016</v>
      </c>
      <c r="AK39" s="6">
        <f>IF(ISNA(MATCH(AK$2,Inputs!$K$4:$AJ$4,0)),NA(),IF(SUMPRODUCT((Inputs!$A$5:$A$200=$B39)*ISNUMBER(INDEX(Inputs!$K$5:$AJ$200,0,MATCH(AK$2,Inputs!$K$4:$AJ$4,0))))+SUMPRODUCT((Inputs!$C$5:$C$200=$B39)*ISNUMBER(INDEX(Inputs!$K$5:$AJ$200,0,MATCH(AK$2,Inputs!$K$4:$AJ$4,0))))+SUMPRODUCT((Inputs!$E$5:$E$200=$B39)*ISNUMBER(INDEX(Inputs!$K$5:$AJ$200,0,MATCH(AK$2,Inputs!$K$4:$AJ$4,0))))=0,NA(),SUMPRODUCT((Inputs!$A$5:$A$200=$B39)*Inputs!$B$5:$B$200*(((Inputs!$G$5:$G$200="moeda")+(Inputs!$G$5:$G$200="acoes"))*Inputs!$B$1+((Inputs!$G$5:$G$200&lt;&gt;"moeda")*(Inputs!$G$5:$G$200&lt;&gt;"acoes")))*INDEX(Inputs!$K$5:$AJ$200,0,MATCH(AK$2,Inputs!$K$4:$AJ$4,0)))+SUMPRODUCT((Inputs!$C$5:$C$200=$B39)*Inputs!$D$5:$D$200*(((Inputs!$G$5:$G$200="moeda")+(Inputs!$G$5:$G$200="acoes"))*Inputs!$B$1+((Inputs!$G$5:$G$200&lt;&gt;"moeda")*(Inputs!$G$5:$G$200&lt;&gt;"acoes")))*INDEX(Inputs!$K$5:$AJ$200,0,MATCH(AK$2,Inputs!$K$4:$AJ$4,0)))+SUMPRODUCT((Inputs!$E$5:$E$200=$B39)*Inputs!$F$5:$F$200*(((Inputs!$G$5:$G$200="moeda")+(Inputs!$G$5:$G$200="acoes"))*Inputs!$B$1+((Inputs!$G$5:$G$200&lt;&gt;"moeda")*(Inputs!$G$5:$G$200&lt;&gt;"acoes")))*INDEX(Inputs!$K$5:$AJ$200,0,MATCH(AK$2,Inputs!$K$4:$AJ$4,0)))))</f>
        <v>77.245</v>
      </c>
      <c r="AL39" s="3">
        <f>AK39</f>
        <v>77.245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$200=$B41)*ISNUMBER(INDEX(Inputs!$K$5:$AJ$200,0,MATCH(D$2,Inputs!$K$4:$AJ$4,0))))+SUMPRODUCT((Inputs!$C$5:$C$200=$B41)*ISNUMBER(INDEX(Inputs!$K$5:$AJ$200,0,MATCH(D$2,Inputs!$K$4:$AJ$4,0))))+SUMPRODUCT((Inputs!$E$5:$E$200=$B41)*ISNUMBER(INDEX(Inputs!$K$5:$AJ$200,0,MATCH(D$2,Inputs!$K$4:$AJ$4,0))))=0,NA(),SUMPRODUCT((Inputs!$A$5:$A$200=$B41)*Inputs!$B$5:$B$200*(((Inputs!$G$5:$G$200="moeda")+(Inputs!$G$5:$G$200="acoes"))*Inputs!$B$1+((Inputs!$G$5:$G$200&lt;&gt;"moeda")*(Inputs!$G$5:$G$200&lt;&gt;"acoes")))*INDEX(Inputs!$K$5:$AJ$200,0,MATCH(D$2,Inputs!$K$4:$AJ$4,0)))+SUMPRODUCT((Inputs!$C$5:$C$200=$B41)*Inputs!$D$5:$D$200*(((Inputs!$G$5:$G$200="moeda")+(Inputs!$G$5:$G$200="acoes"))*Inputs!$B$1+((Inputs!$G$5:$G$200&lt;&gt;"moeda")*(Inputs!$G$5:$G$200&lt;&gt;"acoes")))*INDEX(Inputs!$K$5:$AJ$200,0,MATCH(D$2,Inputs!$K$4:$AJ$4,0)))+SUMPRODUCT((Inputs!$E$5:$E$200=$B41)*Inputs!$F$5:$F$200*(((Inputs!$G$5:$G$200="moeda")+(Inputs!$G$5:$G$200="acoes"))*Inputs!$B$1+((Inputs!$G$5:$G$200&lt;&gt;"moeda")*(Inputs!$G$5:$G$200&lt;&gt;"acoes")))*INDEX(Inputs!$K$5:$AJ$200,0,MATCH(D$2,Inputs!$K$4:$AJ$4,0)))))</f>
        <v>16.358</v>
      </c>
      <c r="E41" s="6">
        <f>IF(ISNA(MATCH(E$2,Inputs!$K$4:$AJ$4,0)),NA(),IF(SUMPRODUCT((Inputs!$A$5:$A$200=$B41)*ISNUMBER(INDEX(Inputs!$K$5:$AJ$200,0,MATCH(E$2,Inputs!$K$4:$AJ$4,0))))+SUMPRODUCT((Inputs!$C$5:$C$200=$B41)*ISNUMBER(INDEX(Inputs!$K$5:$AJ$200,0,MATCH(E$2,Inputs!$K$4:$AJ$4,0))))+SUMPRODUCT((Inputs!$E$5:$E$200=$B41)*ISNUMBER(INDEX(Inputs!$K$5:$AJ$200,0,MATCH(E$2,Inputs!$K$4:$AJ$4,0))))=0,NA(),SUMPRODUCT((Inputs!$A$5:$A$200=$B41)*Inputs!$B$5:$B$200*(((Inputs!$G$5:$G$200="moeda")+(Inputs!$G$5:$G$200="acoes"))*Inputs!$B$1+((Inputs!$G$5:$G$200&lt;&gt;"moeda")*(Inputs!$G$5:$G$200&lt;&gt;"acoes")))*INDEX(Inputs!$K$5:$AJ$200,0,MATCH(E$2,Inputs!$K$4:$AJ$4,0)))+SUMPRODUCT((Inputs!$C$5:$C$200=$B41)*Inputs!$D$5:$D$200*(((Inputs!$G$5:$G$200="moeda")+(Inputs!$G$5:$G$200="acoes"))*Inputs!$B$1+((Inputs!$G$5:$G$200&lt;&gt;"moeda")*(Inputs!$G$5:$G$200&lt;&gt;"acoes")))*INDEX(Inputs!$K$5:$AJ$200,0,MATCH(E$2,Inputs!$K$4:$AJ$4,0)))+SUMPRODUCT((Inputs!$E$5:$E$200=$B41)*Inputs!$F$5:$F$200*(((Inputs!$G$5:$G$200="moeda")+(Inputs!$G$5:$G$200="acoes"))*Inputs!$B$1+((Inputs!$G$5:$G$200&lt;&gt;"moeda")*(Inputs!$G$5:$G$200&lt;&gt;"acoes")))*INDEX(Inputs!$K$5:$AJ$200,0,MATCH(E$2,Inputs!$K$4:$AJ$4,0)))))</f>
        <v>9.287</v>
      </c>
      <c r="F41" s="6">
        <f>IF(ISNA(MATCH(F$2,Inputs!$K$4:$AJ$4,0)),NA(),IF(SUMPRODUCT((Inputs!$A$5:$A$200=$B41)*ISNUMBER(INDEX(Inputs!$K$5:$AJ$200,0,MATCH(F$2,Inputs!$K$4:$AJ$4,0))))+SUMPRODUCT((Inputs!$C$5:$C$200=$B41)*ISNUMBER(INDEX(Inputs!$K$5:$AJ$200,0,MATCH(F$2,Inputs!$K$4:$AJ$4,0))))+SUMPRODUCT((Inputs!$E$5:$E$200=$B41)*ISNUMBER(INDEX(Inputs!$K$5:$AJ$200,0,MATCH(F$2,Inputs!$K$4:$AJ$4,0))))=0,NA(),SUMPRODUCT((Inputs!$A$5:$A$200=$B41)*Inputs!$B$5:$B$200*(((Inputs!$G$5:$G$200="moeda")+(Inputs!$G$5:$G$200="acoes"))*Inputs!$B$1+((Inputs!$G$5:$G$200&lt;&gt;"moeda")*(Inputs!$G$5:$G$200&lt;&gt;"acoes")))*INDEX(Inputs!$K$5:$AJ$200,0,MATCH(F$2,Inputs!$K$4:$AJ$4,0)))+SUMPRODUCT((Inputs!$C$5:$C$200=$B41)*Inputs!$D$5:$D$200*(((Inputs!$G$5:$G$200="moeda")+(Inputs!$G$5:$G$200="acoes"))*Inputs!$B$1+((Inputs!$G$5:$G$200&lt;&gt;"moeda")*(Inputs!$G$5:$G$200&lt;&gt;"acoes")))*INDEX(Inputs!$K$5:$AJ$200,0,MATCH(F$2,Inputs!$K$4:$AJ$4,0)))+SUMPRODUCT((Inputs!$E$5:$E$200=$B41)*Inputs!$F$5:$F$200*(((Inputs!$G$5:$G$200="moeda")+(Inputs!$G$5:$G$200="acoes"))*Inputs!$B$1+((Inputs!$G$5:$G$200&lt;&gt;"moeda")*(Inputs!$G$5:$G$200&lt;&gt;"acoes")))*INDEX(Inputs!$K$5:$AJ$200,0,MATCH(F$2,Inputs!$K$4:$AJ$4,0)))))</f>
        <v>10.144</v>
      </c>
      <c r="G41" s="6">
        <f>IF(ISNA(MATCH(G$2,Inputs!$K$4:$AJ$4,0)),NA(),IF(SUMPRODUCT((Inputs!$A$5:$A$200=$B41)*ISNUMBER(INDEX(Inputs!$K$5:$AJ$200,0,MATCH(G$2,Inputs!$K$4:$AJ$4,0))))+SUMPRODUCT((Inputs!$C$5:$C$200=$B41)*ISNUMBER(INDEX(Inputs!$K$5:$AJ$200,0,MATCH(G$2,Inputs!$K$4:$AJ$4,0))))+SUMPRODUCT((Inputs!$E$5:$E$200=$B41)*ISNUMBER(INDEX(Inputs!$K$5:$AJ$200,0,MATCH(G$2,Inputs!$K$4:$AJ$4,0))))=0,NA(),SUMPRODUCT((Inputs!$A$5:$A$200=$B41)*Inputs!$B$5:$B$200*(((Inputs!$G$5:$G$200="moeda")+(Inputs!$G$5:$G$200="acoes"))*Inputs!$B$1+((Inputs!$G$5:$G$200&lt;&gt;"moeda")*(Inputs!$G$5:$G$200&lt;&gt;"acoes")))*INDEX(Inputs!$K$5:$AJ$200,0,MATCH(G$2,Inputs!$K$4:$AJ$4,0)))+SUMPRODUCT((Inputs!$C$5:$C$200=$B41)*Inputs!$D$5:$D$200*(((Inputs!$G$5:$G$200="moeda")+(Inputs!$G$5:$G$200="acoes"))*Inputs!$B$1+((Inputs!$G$5:$G$200&lt;&gt;"moeda")*(Inputs!$G$5:$G$200&lt;&gt;"acoes")))*INDEX(Inputs!$K$5:$AJ$200,0,MATCH(G$2,Inputs!$K$4:$AJ$4,0)))+SUMPRODUCT((Inputs!$E$5:$E$200=$B41)*Inputs!$F$5:$F$200*(((Inputs!$G$5:$G$200="moeda")+(Inputs!$G$5:$G$200="acoes"))*Inputs!$B$1+((Inputs!$G$5:$G$200&lt;&gt;"moeda")*(Inputs!$G$5:$G$200&lt;&gt;"acoes")))*INDEX(Inputs!$K$5:$AJ$200,0,MATCH(G$2,Inputs!$K$4:$AJ$4,0)))))</f>
        <v>13.765</v>
      </c>
      <c r="H41" s="3">
        <f>G41</f>
        <v>13.765</v>
      </c>
      <c r="I41" s="6">
        <f>IF(ISNA(MATCH(I$2,Inputs!$K$4:$AJ$4,0)),NA(),IF(SUMPRODUCT((Inputs!$A$5:$A$200=$B41)*ISNUMBER(INDEX(Inputs!$K$5:$AJ$200,0,MATCH(I$2,Inputs!$K$4:$AJ$4,0))))+SUMPRODUCT((Inputs!$C$5:$C$200=$B41)*ISNUMBER(INDEX(Inputs!$K$5:$AJ$200,0,MATCH(I$2,Inputs!$K$4:$AJ$4,0))))+SUMPRODUCT((Inputs!$E$5:$E$200=$B41)*ISNUMBER(INDEX(Inputs!$K$5:$AJ$200,0,MATCH(I$2,Inputs!$K$4:$AJ$4,0))))=0,NA(),SUMPRODUCT((Inputs!$A$5:$A$200=$B41)*Inputs!$B$5:$B$200*(((Inputs!$G$5:$G$200="moeda")+(Inputs!$G$5:$G$200="acoes"))*Inputs!$B$1+((Inputs!$G$5:$G$200&lt;&gt;"moeda")*(Inputs!$G$5:$G$200&lt;&gt;"acoes")))*INDEX(Inputs!$K$5:$AJ$200,0,MATCH(I$2,Inputs!$K$4:$AJ$4,0)))+SUMPRODUCT((Inputs!$C$5:$C$200=$B41)*Inputs!$D$5:$D$200*(((Inputs!$G$5:$G$200="moeda")+(Inputs!$G$5:$G$200="acoes"))*Inputs!$B$1+((Inputs!$G$5:$G$200&lt;&gt;"moeda")*(Inputs!$G$5:$G$200&lt;&gt;"acoes")))*INDEX(Inputs!$K$5:$AJ$200,0,MATCH(I$2,Inputs!$K$4:$AJ$4,0)))+SUMPRODUCT((Inputs!$E$5:$E$200=$B41)*Inputs!$F$5:$F$200*(((Inputs!$G$5:$G$200="moeda")+(Inputs!$G$5:$G$200="acoes"))*Inputs!$B$1+((Inputs!$G$5:$G$200&lt;&gt;"moeda")*(Inputs!$G$5:$G$200&lt;&gt;"acoes")))*INDEX(Inputs!$K$5:$AJ$200,0,MATCH(I$2,Inputs!$K$4:$AJ$4,0)))))</f>
        <v>14.538</v>
      </c>
      <c r="J41" s="6">
        <f>IF(ISNA(MATCH(J$2,Inputs!$K$4:$AJ$4,0)),NA(),IF(SUMPRODUCT((Inputs!$A$5:$A$200=$B41)*ISNUMBER(INDEX(Inputs!$K$5:$AJ$200,0,MATCH(J$2,Inputs!$K$4:$AJ$4,0))))+SUMPRODUCT((Inputs!$C$5:$C$200=$B41)*ISNUMBER(INDEX(Inputs!$K$5:$AJ$200,0,MATCH(J$2,Inputs!$K$4:$AJ$4,0))))+SUMPRODUCT((Inputs!$E$5:$E$200=$B41)*ISNUMBER(INDEX(Inputs!$K$5:$AJ$200,0,MATCH(J$2,Inputs!$K$4:$AJ$4,0))))=0,NA(),SUMPRODUCT((Inputs!$A$5:$A$200=$B41)*Inputs!$B$5:$B$200*(((Inputs!$G$5:$G$200="moeda")+(Inputs!$G$5:$G$200="acoes"))*Inputs!$B$1+((Inputs!$G$5:$G$200&lt;&gt;"moeda")*(Inputs!$G$5:$G$200&lt;&gt;"acoes")))*INDEX(Inputs!$K$5:$AJ$200,0,MATCH(J$2,Inputs!$K$4:$AJ$4,0)))+SUMPRODUCT((Inputs!$C$5:$C$200=$B41)*Inputs!$D$5:$D$200*(((Inputs!$G$5:$G$200="moeda")+(Inputs!$G$5:$G$200="acoes"))*Inputs!$B$1+((Inputs!$G$5:$G$200&lt;&gt;"moeda")*(Inputs!$G$5:$G$200&lt;&gt;"acoes")))*INDEX(Inputs!$K$5:$AJ$200,0,MATCH(J$2,Inputs!$K$4:$AJ$4,0)))+SUMPRODUCT((Inputs!$E$5:$E$200=$B41)*Inputs!$F$5:$F$200*(((Inputs!$G$5:$G$200="moeda")+(Inputs!$G$5:$G$200="acoes"))*Inputs!$B$1+((Inputs!$G$5:$G$200&lt;&gt;"moeda")*(Inputs!$G$5:$G$200&lt;&gt;"acoes")))*INDEX(Inputs!$K$5:$AJ$200,0,MATCH(J$2,Inputs!$K$4:$AJ$4,0)))))</f>
        <v>16.188</v>
      </c>
      <c r="K41" s="6">
        <f>IF(ISNA(MATCH(K$2,Inputs!$K$4:$AJ$4,0)),NA(),IF(SUMPRODUCT((Inputs!$A$5:$A$200=$B41)*ISNUMBER(INDEX(Inputs!$K$5:$AJ$200,0,MATCH(K$2,Inputs!$K$4:$AJ$4,0))))+SUMPRODUCT((Inputs!$C$5:$C$200=$B41)*ISNUMBER(INDEX(Inputs!$K$5:$AJ$200,0,MATCH(K$2,Inputs!$K$4:$AJ$4,0))))+SUMPRODUCT((Inputs!$E$5:$E$200=$B41)*ISNUMBER(INDEX(Inputs!$K$5:$AJ$200,0,MATCH(K$2,Inputs!$K$4:$AJ$4,0))))=0,NA(),SUMPRODUCT((Inputs!$A$5:$A$200=$B41)*Inputs!$B$5:$B$200*(((Inputs!$G$5:$G$200="moeda")+(Inputs!$G$5:$G$200="acoes"))*Inputs!$B$1+((Inputs!$G$5:$G$200&lt;&gt;"moeda")*(Inputs!$G$5:$G$200&lt;&gt;"acoes")))*INDEX(Inputs!$K$5:$AJ$200,0,MATCH(K$2,Inputs!$K$4:$AJ$4,0)))+SUMPRODUCT((Inputs!$C$5:$C$200=$B41)*Inputs!$D$5:$D$200*(((Inputs!$G$5:$G$200="moeda")+(Inputs!$G$5:$G$200="acoes"))*Inputs!$B$1+((Inputs!$G$5:$G$200&lt;&gt;"moeda")*(Inputs!$G$5:$G$200&lt;&gt;"acoes")))*INDEX(Inputs!$K$5:$AJ$200,0,MATCH(K$2,Inputs!$K$4:$AJ$4,0)))+SUMPRODUCT((Inputs!$E$5:$E$200=$B41)*Inputs!$F$5:$F$200*(((Inputs!$G$5:$G$200="moeda")+(Inputs!$G$5:$G$200="acoes"))*Inputs!$B$1+((Inputs!$G$5:$G$200&lt;&gt;"moeda")*(Inputs!$G$5:$G$200&lt;&gt;"acoes")))*INDEX(Inputs!$K$5:$AJ$200,0,MATCH(K$2,Inputs!$K$4:$AJ$4,0)))))</f>
        <v>17.655</v>
      </c>
      <c r="L41" s="6">
        <f>IF(ISNA(MATCH(L$2,Inputs!$K$4:$AJ$4,0)),NA(),IF(SUMPRODUCT((Inputs!$A$5:$A$200=$B41)*ISNUMBER(INDEX(Inputs!$K$5:$AJ$200,0,MATCH(L$2,Inputs!$K$4:$AJ$4,0))))+SUMPRODUCT((Inputs!$C$5:$C$200=$B41)*ISNUMBER(INDEX(Inputs!$K$5:$AJ$200,0,MATCH(L$2,Inputs!$K$4:$AJ$4,0))))+SUMPRODUCT((Inputs!$E$5:$E$200=$B41)*ISNUMBER(INDEX(Inputs!$K$5:$AJ$200,0,MATCH(L$2,Inputs!$K$4:$AJ$4,0))))=0,NA(),SUMPRODUCT((Inputs!$A$5:$A$200=$B41)*Inputs!$B$5:$B$200*(((Inputs!$G$5:$G$200="moeda")+(Inputs!$G$5:$G$200="acoes"))*Inputs!$B$1+((Inputs!$G$5:$G$200&lt;&gt;"moeda")*(Inputs!$G$5:$G$200&lt;&gt;"acoes")))*INDEX(Inputs!$K$5:$AJ$200,0,MATCH(L$2,Inputs!$K$4:$AJ$4,0)))+SUMPRODUCT((Inputs!$C$5:$C$200=$B41)*Inputs!$D$5:$D$200*(((Inputs!$G$5:$G$200="moeda")+(Inputs!$G$5:$G$200="acoes"))*Inputs!$B$1+((Inputs!$G$5:$G$200&lt;&gt;"moeda")*(Inputs!$G$5:$G$200&lt;&gt;"acoes")))*INDEX(Inputs!$K$5:$AJ$200,0,MATCH(L$2,Inputs!$K$4:$AJ$4,0)))+SUMPRODUCT((Inputs!$E$5:$E$200=$B41)*Inputs!$F$5:$F$200*(((Inputs!$G$5:$G$200="moeda")+(Inputs!$G$5:$G$200="acoes"))*Inputs!$B$1+((Inputs!$G$5:$G$200&lt;&gt;"moeda")*(Inputs!$G$5:$G$200&lt;&gt;"acoes")))*INDEX(Inputs!$K$5:$AJ$200,0,MATCH(L$2,Inputs!$K$4:$AJ$4,0)))))</f>
        <v>30.976</v>
      </c>
      <c r="M41" s="3">
        <f>L41</f>
        <v>30.976</v>
      </c>
      <c r="N41" s="6">
        <f>IF(ISNA(MATCH(N$2,Inputs!$K$4:$AJ$4,0)),NA(),IF(SUMPRODUCT((Inputs!$A$5:$A$200=$B41)*ISNUMBER(INDEX(Inputs!$K$5:$AJ$200,0,MATCH(N$2,Inputs!$K$4:$AJ$4,0))))+SUMPRODUCT((Inputs!$C$5:$C$200=$B41)*ISNUMBER(INDEX(Inputs!$K$5:$AJ$200,0,MATCH(N$2,Inputs!$K$4:$AJ$4,0))))+SUMPRODUCT((Inputs!$E$5:$E$200=$B41)*ISNUMBER(INDEX(Inputs!$K$5:$AJ$200,0,MATCH(N$2,Inputs!$K$4:$AJ$4,0))))=0,NA(),SUMPRODUCT((Inputs!$A$5:$A$200=$B41)*Inputs!$B$5:$B$200*(((Inputs!$G$5:$G$200="moeda")+(Inputs!$G$5:$G$200="acoes"))*Inputs!$B$1+((Inputs!$G$5:$G$200&lt;&gt;"moeda")*(Inputs!$G$5:$G$200&lt;&gt;"acoes")))*INDEX(Inputs!$K$5:$AJ$200,0,MATCH(N$2,Inputs!$K$4:$AJ$4,0)))+SUMPRODUCT((Inputs!$C$5:$C$200=$B41)*Inputs!$D$5:$D$200*(((Inputs!$G$5:$G$200="moeda")+(Inputs!$G$5:$G$200="acoes"))*Inputs!$B$1+((Inputs!$G$5:$G$200&lt;&gt;"moeda")*(Inputs!$G$5:$G$200&lt;&gt;"acoes")))*INDEX(Inputs!$K$5:$AJ$200,0,MATCH(N$2,Inputs!$K$4:$AJ$4,0)))+SUMPRODUCT((Inputs!$E$5:$E$200=$B41)*Inputs!$F$5:$F$200*(((Inputs!$G$5:$G$200="moeda")+(Inputs!$G$5:$G$200="acoes"))*Inputs!$B$1+((Inputs!$G$5:$G$200&lt;&gt;"moeda")*(Inputs!$G$5:$G$200&lt;&gt;"acoes")))*INDEX(Inputs!$K$5:$AJ$200,0,MATCH(N$2,Inputs!$K$4:$AJ$4,0)))))</f>
        <v>43.064</v>
      </c>
      <c r="O41" s="6">
        <f>IF(ISNA(MATCH(O$2,Inputs!$K$4:$AJ$4,0)),NA(),IF(SUMPRODUCT((Inputs!$A$5:$A$200=$B41)*ISNUMBER(INDEX(Inputs!$K$5:$AJ$200,0,MATCH(O$2,Inputs!$K$4:$AJ$4,0))))+SUMPRODUCT((Inputs!$C$5:$C$200=$B41)*ISNUMBER(INDEX(Inputs!$K$5:$AJ$200,0,MATCH(O$2,Inputs!$K$4:$AJ$4,0))))+SUMPRODUCT((Inputs!$E$5:$E$200=$B41)*ISNUMBER(INDEX(Inputs!$K$5:$AJ$200,0,MATCH(O$2,Inputs!$K$4:$AJ$4,0))))=0,NA(),SUMPRODUCT((Inputs!$A$5:$A$200=$B41)*Inputs!$B$5:$B$200*(((Inputs!$G$5:$G$200="moeda")+(Inputs!$G$5:$G$200="acoes"))*Inputs!$B$1+((Inputs!$G$5:$G$200&lt;&gt;"moeda")*(Inputs!$G$5:$G$200&lt;&gt;"acoes")))*INDEX(Inputs!$K$5:$AJ$200,0,MATCH(O$2,Inputs!$K$4:$AJ$4,0)))+SUMPRODUCT((Inputs!$C$5:$C$200=$B41)*Inputs!$D$5:$D$200*(((Inputs!$G$5:$G$200="moeda")+(Inputs!$G$5:$G$200="acoes"))*Inputs!$B$1+((Inputs!$G$5:$G$200&lt;&gt;"moeda")*(Inputs!$G$5:$G$200&lt;&gt;"acoes")))*INDEX(Inputs!$K$5:$AJ$200,0,MATCH(O$2,Inputs!$K$4:$AJ$4,0)))+SUMPRODUCT((Inputs!$E$5:$E$200=$B41)*Inputs!$F$5:$F$200*(((Inputs!$G$5:$G$200="moeda")+(Inputs!$G$5:$G$200="acoes"))*Inputs!$B$1+((Inputs!$G$5:$G$200&lt;&gt;"moeda")*(Inputs!$G$5:$G$200&lt;&gt;"acoes")))*INDEX(Inputs!$K$5:$AJ$200,0,MATCH(O$2,Inputs!$K$4:$AJ$4,0)))))</f>
        <v>44.495</v>
      </c>
      <c r="P41" s="6">
        <f>IF(ISNA(MATCH(P$2,Inputs!$K$4:$AJ$4,0)),NA(),IF(SUMPRODUCT((Inputs!$A$5:$A$200=$B41)*ISNUMBER(INDEX(Inputs!$K$5:$AJ$200,0,MATCH(P$2,Inputs!$K$4:$AJ$4,0))))+SUMPRODUCT((Inputs!$C$5:$C$200=$B41)*ISNUMBER(INDEX(Inputs!$K$5:$AJ$200,0,MATCH(P$2,Inputs!$K$4:$AJ$4,0))))+SUMPRODUCT((Inputs!$E$5:$E$200=$B41)*ISNUMBER(INDEX(Inputs!$K$5:$AJ$200,0,MATCH(P$2,Inputs!$K$4:$AJ$4,0))))=0,NA(),SUMPRODUCT((Inputs!$A$5:$A$200=$B41)*Inputs!$B$5:$B$200*(((Inputs!$G$5:$G$200="moeda")+(Inputs!$G$5:$G$200="acoes"))*Inputs!$B$1+((Inputs!$G$5:$G$200&lt;&gt;"moeda")*(Inputs!$G$5:$G$200&lt;&gt;"acoes")))*INDEX(Inputs!$K$5:$AJ$200,0,MATCH(P$2,Inputs!$K$4:$AJ$4,0)))+SUMPRODUCT((Inputs!$C$5:$C$200=$B41)*Inputs!$D$5:$D$200*(((Inputs!$G$5:$G$200="moeda")+(Inputs!$G$5:$G$200="acoes"))*Inputs!$B$1+((Inputs!$G$5:$G$200&lt;&gt;"moeda")*(Inputs!$G$5:$G$200&lt;&gt;"acoes")))*INDEX(Inputs!$K$5:$AJ$200,0,MATCH(P$2,Inputs!$K$4:$AJ$4,0)))+SUMPRODUCT((Inputs!$E$5:$E$200=$B41)*Inputs!$F$5:$F$200*(((Inputs!$G$5:$G$200="moeda")+(Inputs!$G$5:$G$200="acoes"))*Inputs!$B$1+((Inputs!$G$5:$G$200&lt;&gt;"moeda")*(Inputs!$G$5:$G$200&lt;&gt;"acoes")))*INDEX(Inputs!$K$5:$AJ$200,0,MATCH(P$2,Inputs!$K$4:$AJ$4,0)))))</f>
        <v>46.538</v>
      </c>
      <c r="Q41" s="6">
        <f>IF(ISNA(MATCH(Q$2,Inputs!$K$4:$AJ$4,0)),NA(),IF(SUMPRODUCT((Inputs!$A$5:$A$200=$B41)*ISNUMBER(INDEX(Inputs!$K$5:$AJ$200,0,MATCH(Q$2,Inputs!$K$4:$AJ$4,0))))+SUMPRODUCT((Inputs!$C$5:$C$200=$B41)*ISNUMBER(INDEX(Inputs!$K$5:$AJ$200,0,MATCH(Q$2,Inputs!$K$4:$AJ$4,0))))+SUMPRODUCT((Inputs!$E$5:$E$200=$B41)*ISNUMBER(INDEX(Inputs!$K$5:$AJ$200,0,MATCH(Q$2,Inputs!$K$4:$AJ$4,0))))=0,NA(),SUMPRODUCT((Inputs!$A$5:$A$200=$B41)*Inputs!$B$5:$B$200*(((Inputs!$G$5:$G$200="moeda")+(Inputs!$G$5:$G$200="acoes"))*Inputs!$B$1+((Inputs!$G$5:$G$200&lt;&gt;"moeda")*(Inputs!$G$5:$G$200&lt;&gt;"acoes")))*INDEX(Inputs!$K$5:$AJ$200,0,MATCH(Q$2,Inputs!$K$4:$AJ$4,0)))+SUMPRODUCT((Inputs!$C$5:$C$200=$B41)*Inputs!$D$5:$D$200*(((Inputs!$G$5:$G$200="moeda")+(Inputs!$G$5:$G$200="acoes"))*Inputs!$B$1+((Inputs!$G$5:$G$200&lt;&gt;"moeda")*(Inputs!$G$5:$G$200&lt;&gt;"acoes")))*INDEX(Inputs!$K$5:$AJ$200,0,MATCH(Q$2,Inputs!$K$4:$AJ$4,0)))+SUMPRODUCT((Inputs!$E$5:$E$200=$B41)*Inputs!$F$5:$F$200*(((Inputs!$G$5:$G$200="moeda")+(Inputs!$G$5:$G$200="acoes"))*Inputs!$B$1+((Inputs!$G$5:$G$200&lt;&gt;"moeda")*(Inputs!$G$5:$G$200&lt;&gt;"acoes")))*INDEX(Inputs!$K$5:$AJ$200,0,MATCH(Q$2,Inputs!$K$4:$AJ$4,0)))))</f>
        <v>38.588</v>
      </c>
      <c r="R41" s="3">
        <f>Q41</f>
        <v>38.588</v>
      </c>
      <c r="S41" s="6">
        <f>IF(ISNA(MATCH(S$2,Inputs!$K$4:$AJ$4,0)),NA(),IF(SUMPRODUCT((Inputs!$A$5:$A$200=$B41)*ISNUMBER(INDEX(Inputs!$K$5:$AJ$200,0,MATCH(S$2,Inputs!$K$4:$AJ$4,0))))+SUMPRODUCT((Inputs!$C$5:$C$200=$B41)*ISNUMBER(INDEX(Inputs!$K$5:$AJ$200,0,MATCH(S$2,Inputs!$K$4:$AJ$4,0))))+SUMPRODUCT((Inputs!$E$5:$E$200=$B41)*ISNUMBER(INDEX(Inputs!$K$5:$AJ$200,0,MATCH(S$2,Inputs!$K$4:$AJ$4,0))))=0,NA(),SUMPRODUCT((Inputs!$A$5:$A$200=$B41)*Inputs!$B$5:$B$200*(((Inputs!$G$5:$G$200="moeda")+(Inputs!$G$5:$G$200="acoes"))*Inputs!$B$1+((Inputs!$G$5:$G$200&lt;&gt;"moeda")*(Inputs!$G$5:$G$200&lt;&gt;"acoes")))*INDEX(Inputs!$K$5:$AJ$200,0,MATCH(S$2,Inputs!$K$4:$AJ$4,0)))+SUMPRODUCT((Inputs!$C$5:$C$200=$B41)*Inputs!$D$5:$D$200*(((Inputs!$G$5:$G$200="moeda")+(Inputs!$G$5:$G$200="acoes"))*Inputs!$B$1+((Inputs!$G$5:$G$200&lt;&gt;"moeda")*(Inputs!$G$5:$G$200&lt;&gt;"acoes")))*INDEX(Inputs!$K$5:$AJ$200,0,MATCH(S$2,Inputs!$K$4:$AJ$4,0)))+SUMPRODUCT((Inputs!$E$5:$E$200=$B41)*Inputs!$F$5:$F$200*(((Inputs!$G$5:$G$200="moeda")+(Inputs!$G$5:$G$200="acoes"))*Inputs!$B$1+((Inputs!$G$5:$G$200&lt;&gt;"moeda")*(Inputs!$G$5:$G$200&lt;&gt;"acoes")))*INDEX(Inputs!$K$5:$AJ$200,0,MATCH(S$2,Inputs!$K$4:$AJ$4,0)))))</f>
        <v>60.029</v>
      </c>
      <c r="T41" s="6">
        <f>IF(ISNA(MATCH(T$2,Inputs!$K$4:$AJ$4,0)),NA(),IF(SUMPRODUCT((Inputs!$A$5:$A$200=$B41)*ISNUMBER(INDEX(Inputs!$K$5:$AJ$200,0,MATCH(T$2,Inputs!$K$4:$AJ$4,0))))+SUMPRODUCT((Inputs!$C$5:$C$200=$B41)*ISNUMBER(INDEX(Inputs!$K$5:$AJ$200,0,MATCH(T$2,Inputs!$K$4:$AJ$4,0))))+SUMPRODUCT((Inputs!$E$5:$E$200=$B41)*ISNUMBER(INDEX(Inputs!$K$5:$AJ$200,0,MATCH(T$2,Inputs!$K$4:$AJ$4,0))))=0,NA(),SUMPRODUCT((Inputs!$A$5:$A$200=$B41)*Inputs!$B$5:$B$200*(((Inputs!$G$5:$G$200="moeda")+(Inputs!$G$5:$G$200="acoes"))*Inputs!$B$1+((Inputs!$G$5:$G$200&lt;&gt;"moeda")*(Inputs!$G$5:$G$200&lt;&gt;"acoes")))*INDEX(Inputs!$K$5:$AJ$200,0,MATCH(T$2,Inputs!$K$4:$AJ$4,0)))+SUMPRODUCT((Inputs!$C$5:$C$200=$B41)*Inputs!$D$5:$D$200*(((Inputs!$G$5:$G$200="moeda")+(Inputs!$G$5:$G$200="acoes"))*Inputs!$B$1+((Inputs!$G$5:$G$200&lt;&gt;"moeda")*(Inputs!$G$5:$G$200&lt;&gt;"acoes")))*INDEX(Inputs!$K$5:$AJ$200,0,MATCH(T$2,Inputs!$K$4:$AJ$4,0)))+SUMPRODUCT((Inputs!$E$5:$E$200=$B41)*Inputs!$F$5:$F$200*(((Inputs!$G$5:$G$200="moeda")+(Inputs!$G$5:$G$200="acoes"))*Inputs!$B$1+((Inputs!$G$5:$G$200&lt;&gt;"moeda")*(Inputs!$G$5:$G$200&lt;&gt;"acoes")))*INDEX(Inputs!$K$5:$AJ$200,0,MATCH(T$2,Inputs!$K$4:$AJ$4,0)))))</f>
        <v>61.598</v>
      </c>
      <c r="U41" s="6">
        <f>IF(ISNA(MATCH(U$2,Inputs!$K$4:$AJ$4,0)),NA(),IF(SUMPRODUCT((Inputs!$A$5:$A$200=$B41)*ISNUMBER(INDEX(Inputs!$K$5:$AJ$200,0,MATCH(U$2,Inputs!$K$4:$AJ$4,0))))+SUMPRODUCT((Inputs!$C$5:$C$200=$B41)*ISNUMBER(INDEX(Inputs!$K$5:$AJ$200,0,MATCH(U$2,Inputs!$K$4:$AJ$4,0))))+SUMPRODUCT((Inputs!$E$5:$E$200=$B41)*ISNUMBER(INDEX(Inputs!$K$5:$AJ$200,0,MATCH(U$2,Inputs!$K$4:$AJ$4,0))))=0,NA(),SUMPRODUCT((Inputs!$A$5:$A$200=$B41)*Inputs!$B$5:$B$200*(((Inputs!$G$5:$G$200="moeda")+(Inputs!$G$5:$G$200="acoes"))*Inputs!$B$1+((Inputs!$G$5:$G$200&lt;&gt;"moeda")*(Inputs!$G$5:$G$200&lt;&gt;"acoes")))*INDEX(Inputs!$K$5:$AJ$200,0,MATCH(U$2,Inputs!$K$4:$AJ$4,0)))+SUMPRODUCT((Inputs!$C$5:$C$200=$B41)*Inputs!$D$5:$D$200*(((Inputs!$G$5:$G$200="moeda")+(Inputs!$G$5:$G$200="acoes"))*Inputs!$B$1+((Inputs!$G$5:$G$200&lt;&gt;"moeda")*(Inputs!$G$5:$G$200&lt;&gt;"acoes")))*INDEX(Inputs!$K$5:$AJ$200,0,MATCH(U$2,Inputs!$K$4:$AJ$4,0)))+SUMPRODUCT((Inputs!$E$5:$E$200=$B41)*Inputs!$F$5:$F$200*(((Inputs!$G$5:$G$200="moeda")+(Inputs!$G$5:$G$200="acoes"))*Inputs!$B$1+((Inputs!$G$5:$G$200&lt;&gt;"moeda")*(Inputs!$G$5:$G$200&lt;&gt;"acoes")))*INDEX(Inputs!$K$5:$AJ$200,0,MATCH(U$2,Inputs!$K$4:$AJ$4,0)))))</f>
        <v>92.735</v>
      </c>
      <c r="V41" s="6">
        <f>IF(ISNA(MATCH(V$2,Inputs!$K$4:$AJ$4,0)),NA(),IF(SUMPRODUCT((Inputs!$A$5:$A$200=$B41)*ISNUMBER(INDEX(Inputs!$K$5:$AJ$200,0,MATCH(V$2,Inputs!$K$4:$AJ$4,0))))+SUMPRODUCT((Inputs!$C$5:$C$200=$B41)*ISNUMBER(INDEX(Inputs!$K$5:$AJ$200,0,MATCH(V$2,Inputs!$K$4:$AJ$4,0))))+SUMPRODUCT((Inputs!$E$5:$E$200=$B41)*ISNUMBER(INDEX(Inputs!$K$5:$AJ$200,0,MATCH(V$2,Inputs!$K$4:$AJ$4,0))))=0,NA(),SUMPRODUCT((Inputs!$A$5:$A$200=$B41)*Inputs!$B$5:$B$200*(((Inputs!$G$5:$G$200="moeda")+(Inputs!$G$5:$G$200="acoes"))*Inputs!$B$1+((Inputs!$G$5:$G$200&lt;&gt;"moeda")*(Inputs!$G$5:$G$200&lt;&gt;"acoes")))*INDEX(Inputs!$K$5:$AJ$200,0,MATCH(V$2,Inputs!$K$4:$AJ$4,0)))+SUMPRODUCT((Inputs!$C$5:$C$200=$B41)*Inputs!$D$5:$D$200*(((Inputs!$G$5:$G$200="moeda")+(Inputs!$G$5:$G$200="acoes"))*Inputs!$B$1+((Inputs!$G$5:$G$200&lt;&gt;"moeda")*(Inputs!$G$5:$G$200&lt;&gt;"acoes")))*INDEX(Inputs!$K$5:$AJ$200,0,MATCH(V$2,Inputs!$K$4:$AJ$4,0)))+SUMPRODUCT((Inputs!$E$5:$E$200=$B41)*Inputs!$F$5:$F$200*(((Inputs!$G$5:$G$200="moeda")+(Inputs!$G$5:$G$200="acoes"))*Inputs!$B$1+((Inputs!$G$5:$G$200&lt;&gt;"moeda")*(Inputs!$G$5:$G$200&lt;&gt;"acoes")))*INDEX(Inputs!$K$5:$AJ$200,0,MATCH(V$2,Inputs!$K$4:$AJ$4,0)))))</f>
        <v>95.715</v>
      </c>
      <c r="W41" s="3">
        <f>V41</f>
        <v>95.715</v>
      </c>
      <c r="X41" s="6">
        <f>IF(ISNA(MATCH(X$2,Inputs!$K$4:$AJ$4,0)),NA(),IF(SUMPRODUCT((Inputs!$A$5:$A$200=$B41)*ISNUMBER(INDEX(Inputs!$K$5:$AJ$200,0,MATCH(X$2,Inputs!$K$4:$AJ$4,0))))+SUMPRODUCT((Inputs!$C$5:$C$200=$B41)*ISNUMBER(INDEX(Inputs!$K$5:$AJ$200,0,MATCH(X$2,Inputs!$K$4:$AJ$4,0))))+SUMPRODUCT((Inputs!$E$5:$E$200=$B41)*ISNUMBER(INDEX(Inputs!$K$5:$AJ$200,0,MATCH(X$2,Inputs!$K$4:$AJ$4,0))))=0,NA(),SUMPRODUCT((Inputs!$A$5:$A$200=$B41)*Inputs!$B$5:$B$200*(((Inputs!$G$5:$G$200="moeda")+(Inputs!$G$5:$G$200="acoes"))*Inputs!$B$1+((Inputs!$G$5:$G$200&lt;&gt;"moeda")*(Inputs!$G$5:$G$200&lt;&gt;"acoes")))*INDEX(Inputs!$K$5:$AJ$200,0,MATCH(X$2,Inputs!$K$4:$AJ$4,0)))+SUMPRODUCT((Inputs!$C$5:$C$200=$B41)*Inputs!$D$5:$D$200*(((Inputs!$G$5:$G$200="moeda")+(Inputs!$G$5:$G$200="acoes"))*Inputs!$B$1+((Inputs!$G$5:$G$200&lt;&gt;"moeda")*(Inputs!$G$5:$G$200&lt;&gt;"acoes")))*INDEX(Inputs!$K$5:$AJ$200,0,MATCH(X$2,Inputs!$K$4:$AJ$4,0)))+SUMPRODUCT((Inputs!$E$5:$E$200=$B41)*Inputs!$F$5:$F$200*(((Inputs!$G$5:$G$200="moeda")+(Inputs!$G$5:$G$200="acoes"))*Inputs!$B$1+((Inputs!$G$5:$G$200&lt;&gt;"moeda")*(Inputs!$G$5:$G$200&lt;&gt;"acoes")))*INDEX(Inputs!$K$5:$AJ$200,0,MATCH(X$2,Inputs!$K$4:$AJ$4,0)))))</f>
        <v>98.48</v>
      </c>
      <c r="Y41" s="6">
        <f>IF(ISNA(MATCH(Y$2,Inputs!$K$4:$AJ$4,0)),NA(),IF(SUMPRODUCT((Inputs!$A$5:$A$200=$B41)*ISNUMBER(INDEX(Inputs!$K$5:$AJ$200,0,MATCH(Y$2,Inputs!$K$4:$AJ$4,0))))+SUMPRODUCT((Inputs!$C$5:$C$200=$B41)*ISNUMBER(INDEX(Inputs!$K$5:$AJ$200,0,MATCH(Y$2,Inputs!$K$4:$AJ$4,0))))+SUMPRODUCT((Inputs!$E$5:$E$200=$B41)*ISNUMBER(INDEX(Inputs!$K$5:$AJ$200,0,MATCH(Y$2,Inputs!$K$4:$AJ$4,0))))=0,NA(),SUMPRODUCT((Inputs!$A$5:$A$200=$B41)*Inputs!$B$5:$B$200*(((Inputs!$G$5:$G$200="moeda")+(Inputs!$G$5:$G$200="acoes"))*Inputs!$B$1+((Inputs!$G$5:$G$200&lt;&gt;"moeda")*(Inputs!$G$5:$G$200&lt;&gt;"acoes")))*INDEX(Inputs!$K$5:$AJ$200,0,MATCH(Y$2,Inputs!$K$4:$AJ$4,0)))+SUMPRODUCT((Inputs!$C$5:$C$200=$B41)*Inputs!$D$5:$D$200*(((Inputs!$G$5:$G$200="moeda")+(Inputs!$G$5:$G$200="acoes"))*Inputs!$B$1+((Inputs!$G$5:$G$200&lt;&gt;"moeda")*(Inputs!$G$5:$G$200&lt;&gt;"acoes")))*INDEX(Inputs!$K$5:$AJ$200,0,MATCH(Y$2,Inputs!$K$4:$AJ$4,0)))+SUMPRODUCT((Inputs!$E$5:$E$200=$B41)*Inputs!$F$5:$F$200*(((Inputs!$G$5:$G$200="moeda")+(Inputs!$G$5:$G$200="acoes"))*Inputs!$B$1+((Inputs!$G$5:$G$200&lt;&gt;"moeda")*(Inputs!$G$5:$G$200&lt;&gt;"acoes")))*INDEX(Inputs!$K$5:$AJ$200,0,MATCH(Y$2,Inputs!$K$4:$AJ$4,0)))))</f>
        <v>101.391</v>
      </c>
      <c r="Z41" s="6">
        <f>IF(ISNA(MATCH(Z$2,Inputs!$K$4:$AJ$4,0)),NA(),IF(SUMPRODUCT((Inputs!$A$5:$A$200=$B41)*ISNUMBER(INDEX(Inputs!$K$5:$AJ$200,0,MATCH(Z$2,Inputs!$K$4:$AJ$4,0))))+SUMPRODUCT((Inputs!$C$5:$C$200=$B41)*ISNUMBER(INDEX(Inputs!$K$5:$AJ$200,0,MATCH(Z$2,Inputs!$K$4:$AJ$4,0))))+SUMPRODUCT((Inputs!$E$5:$E$200=$B41)*ISNUMBER(INDEX(Inputs!$K$5:$AJ$200,0,MATCH(Z$2,Inputs!$K$4:$AJ$4,0))))=0,NA(),SUMPRODUCT((Inputs!$A$5:$A$200=$B41)*Inputs!$B$5:$B$200*(((Inputs!$G$5:$G$200="moeda")+(Inputs!$G$5:$G$200="acoes"))*Inputs!$B$1+((Inputs!$G$5:$G$200&lt;&gt;"moeda")*(Inputs!$G$5:$G$200&lt;&gt;"acoes")))*INDEX(Inputs!$K$5:$AJ$200,0,MATCH(Z$2,Inputs!$K$4:$AJ$4,0)))+SUMPRODUCT((Inputs!$C$5:$C$200=$B41)*Inputs!$D$5:$D$200*(((Inputs!$G$5:$G$200="moeda")+(Inputs!$G$5:$G$200="acoes"))*Inputs!$B$1+((Inputs!$G$5:$G$200&lt;&gt;"moeda")*(Inputs!$G$5:$G$200&lt;&gt;"acoes")))*INDEX(Inputs!$K$5:$AJ$200,0,MATCH(Z$2,Inputs!$K$4:$AJ$4,0)))+SUMPRODUCT((Inputs!$E$5:$E$200=$B41)*Inputs!$F$5:$F$200*(((Inputs!$G$5:$G$200="moeda")+(Inputs!$G$5:$G$200="acoes"))*Inputs!$B$1+((Inputs!$G$5:$G$200&lt;&gt;"moeda")*(Inputs!$G$5:$G$200&lt;&gt;"acoes")))*INDEX(Inputs!$K$5:$AJ$200,0,MATCH(Z$2,Inputs!$K$4:$AJ$4,0)))))</f>
        <v>105.445</v>
      </c>
      <c r="AA41" s="6">
        <f>IF(ISNA(MATCH(AA$2,Inputs!$K$4:$AJ$4,0)),NA(),IF(SUMPRODUCT((Inputs!$A$5:$A$200=$B41)*ISNUMBER(INDEX(Inputs!$K$5:$AJ$200,0,MATCH(AA$2,Inputs!$K$4:$AJ$4,0))))+SUMPRODUCT((Inputs!$C$5:$C$200=$B41)*ISNUMBER(INDEX(Inputs!$K$5:$AJ$200,0,MATCH(AA$2,Inputs!$K$4:$AJ$4,0))))+SUMPRODUCT((Inputs!$E$5:$E$200=$B41)*ISNUMBER(INDEX(Inputs!$K$5:$AJ$200,0,MATCH(AA$2,Inputs!$K$4:$AJ$4,0))))=0,NA(),SUMPRODUCT((Inputs!$A$5:$A$200=$B41)*Inputs!$B$5:$B$200*(((Inputs!$G$5:$G$200="moeda")+(Inputs!$G$5:$G$200="acoes"))*Inputs!$B$1+((Inputs!$G$5:$G$200&lt;&gt;"moeda")*(Inputs!$G$5:$G$200&lt;&gt;"acoes")))*INDEX(Inputs!$K$5:$AJ$200,0,MATCH(AA$2,Inputs!$K$4:$AJ$4,0)))+SUMPRODUCT((Inputs!$C$5:$C$200=$B41)*Inputs!$D$5:$D$200*(((Inputs!$G$5:$G$200="moeda")+(Inputs!$G$5:$G$200="acoes"))*Inputs!$B$1+((Inputs!$G$5:$G$200&lt;&gt;"moeda")*(Inputs!$G$5:$G$200&lt;&gt;"acoes")))*INDEX(Inputs!$K$5:$AJ$200,0,MATCH(AA$2,Inputs!$K$4:$AJ$4,0)))+SUMPRODUCT((Inputs!$E$5:$E$200=$B41)*Inputs!$F$5:$F$200*(((Inputs!$G$5:$G$200="moeda")+(Inputs!$G$5:$G$200="acoes"))*Inputs!$B$1+((Inputs!$G$5:$G$200&lt;&gt;"moeda")*(Inputs!$G$5:$G$200&lt;&gt;"acoes")))*INDEX(Inputs!$K$5:$AJ$200,0,MATCH(AA$2,Inputs!$K$4:$AJ$4,0)))))</f>
        <v>109.535</v>
      </c>
      <c r="AB41" s="3">
        <f>AA41</f>
        <v>109.535</v>
      </c>
      <c r="AC41" s="6">
        <f>IF(ISNA(MATCH(AC$2,Inputs!$K$4:$AJ$4,0)),NA(),IF(SUMPRODUCT((Inputs!$A$5:$A$200=$B41)*ISNUMBER(INDEX(Inputs!$K$5:$AJ$200,0,MATCH(AC$2,Inputs!$K$4:$AJ$4,0))))+SUMPRODUCT((Inputs!$C$5:$C$200=$B41)*ISNUMBER(INDEX(Inputs!$K$5:$AJ$200,0,MATCH(AC$2,Inputs!$K$4:$AJ$4,0))))+SUMPRODUCT((Inputs!$E$5:$E$200=$B41)*ISNUMBER(INDEX(Inputs!$K$5:$AJ$200,0,MATCH(AC$2,Inputs!$K$4:$AJ$4,0))))=0,NA(),SUMPRODUCT((Inputs!$A$5:$A$200=$B41)*Inputs!$B$5:$B$200*(((Inputs!$G$5:$G$200="moeda")+(Inputs!$G$5:$G$200="acoes"))*Inputs!$B$1+((Inputs!$G$5:$G$200&lt;&gt;"moeda")*(Inputs!$G$5:$G$200&lt;&gt;"acoes")))*INDEX(Inputs!$K$5:$AJ$200,0,MATCH(AC$2,Inputs!$K$4:$AJ$4,0)))+SUMPRODUCT((Inputs!$C$5:$C$200=$B41)*Inputs!$D$5:$D$200*(((Inputs!$G$5:$G$200="moeda")+(Inputs!$G$5:$G$200="acoes"))*Inputs!$B$1+((Inputs!$G$5:$G$200&lt;&gt;"moeda")*(Inputs!$G$5:$G$200&lt;&gt;"acoes")))*INDEX(Inputs!$K$5:$AJ$200,0,MATCH(AC$2,Inputs!$K$4:$AJ$4,0)))+SUMPRODUCT((Inputs!$E$5:$E$200=$B41)*Inputs!$F$5:$F$200*(((Inputs!$G$5:$G$200="moeda")+(Inputs!$G$5:$G$200="acoes"))*Inputs!$B$1+((Inputs!$G$5:$G$200&lt;&gt;"moeda")*(Inputs!$G$5:$G$200&lt;&gt;"acoes")))*INDEX(Inputs!$K$5:$AJ$200,0,MATCH(AC$2,Inputs!$K$4:$AJ$4,0)))))</f>
        <v>113.373</v>
      </c>
      <c r="AD41" s="6">
        <f>IF(ISNA(MATCH(AD$2,Inputs!$K$4:$AJ$4,0)),NA(),IF(SUMPRODUCT((Inputs!$A$5:$A$200=$B41)*ISNUMBER(INDEX(Inputs!$K$5:$AJ$200,0,MATCH(AD$2,Inputs!$K$4:$AJ$4,0))))+SUMPRODUCT((Inputs!$C$5:$C$200=$B41)*ISNUMBER(INDEX(Inputs!$K$5:$AJ$200,0,MATCH(AD$2,Inputs!$K$4:$AJ$4,0))))+SUMPRODUCT((Inputs!$E$5:$E$200=$B41)*ISNUMBER(INDEX(Inputs!$K$5:$AJ$200,0,MATCH(AD$2,Inputs!$K$4:$AJ$4,0))))=0,NA(),SUMPRODUCT((Inputs!$A$5:$A$200=$B41)*Inputs!$B$5:$B$200*(((Inputs!$G$5:$G$200="moeda")+(Inputs!$G$5:$G$200="acoes"))*Inputs!$B$1+((Inputs!$G$5:$G$200&lt;&gt;"moeda")*(Inputs!$G$5:$G$200&lt;&gt;"acoes")))*INDEX(Inputs!$K$5:$AJ$200,0,MATCH(AD$2,Inputs!$K$4:$AJ$4,0)))+SUMPRODUCT((Inputs!$C$5:$C$200=$B41)*Inputs!$D$5:$D$200*(((Inputs!$G$5:$G$200="moeda")+(Inputs!$G$5:$G$200="acoes"))*Inputs!$B$1+((Inputs!$G$5:$G$200&lt;&gt;"moeda")*(Inputs!$G$5:$G$200&lt;&gt;"acoes")))*INDEX(Inputs!$K$5:$AJ$200,0,MATCH(AD$2,Inputs!$K$4:$AJ$4,0)))+SUMPRODUCT((Inputs!$E$5:$E$200=$B41)*Inputs!$F$5:$F$200*(((Inputs!$G$5:$G$200="moeda")+(Inputs!$G$5:$G$200="acoes"))*Inputs!$B$1+((Inputs!$G$5:$G$200&lt;&gt;"moeda")*(Inputs!$G$5:$G$200&lt;&gt;"acoes")))*INDEX(Inputs!$K$5:$AJ$200,0,MATCH(AD$2,Inputs!$K$4:$AJ$4,0)))))</f>
        <v>400.716</v>
      </c>
      <c r="AE41" s="6" t="e">
        <f>IF(ISNA(MATCH(AE$2,Inputs!$K$4:$AJ$4,0)),NA(),IF(SUMPRODUCT((Inputs!$A$5:$A$200=$B41)*ISNUMBER(INDEX(Inputs!$K$5:$AJ$200,0,MATCH(AE$2,Inputs!$K$4:$AJ$4,0))))+SUMPRODUCT((Inputs!$C$5:$C$200=$B41)*ISNUMBER(INDEX(Inputs!$K$5:$AJ$200,0,MATCH(AE$2,Inputs!$K$4:$AJ$4,0))))+SUMPRODUCT((Inputs!$E$5:$E$200=$B41)*ISNUMBER(INDEX(Inputs!$K$5:$AJ$200,0,MATCH(AE$2,Inputs!$K$4:$AJ$4,0))))=0,NA(),SUMPRODUCT((Inputs!$A$5:$A$200=$B41)*Inputs!$B$5:$B$200*(((Inputs!$G$5:$G$200="moeda")+(Inputs!$G$5:$G$200="acoes"))*Inputs!$B$1+((Inputs!$G$5:$G$200&lt;&gt;"moeda")*(Inputs!$G$5:$G$200&lt;&gt;"acoes")))*INDEX(Inputs!$K$5:$AJ$200,0,MATCH(AE$2,Inputs!$K$4:$AJ$4,0)))+SUMPRODUCT((Inputs!$C$5:$C$200=$B41)*Inputs!$D$5:$D$200*(((Inputs!$G$5:$G$200="moeda")+(Inputs!$G$5:$G$200="acoes"))*Inputs!$B$1+((Inputs!$G$5:$G$200&lt;&gt;"moeda")*(Inputs!$G$5:$G$200&lt;&gt;"acoes")))*INDEX(Inputs!$K$5:$AJ$200,0,MATCH(AE$2,Inputs!$K$4:$AJ$4,0)))+SUMPRODUCT((Inputs!$E$5:$E$200=$B41)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1" s="6" t="e">
        <f>IF(ISNA(MATCH(AF$2,Inputs!$K$4:$AJ$4,0)),NA(),IF(SUMPRODUCT((Inputs!$A$5:$A$200=$B41)*ISNUMBER(INDEX(Inputs!$K$5:$AJ$200,0,MATCH(AF$2,Inputs!$K$4:$AJ$4,0))))+SUMPRODUCT((Inputs!$C$5:$C$200=$B41)*ISNUMBER(INDEX(Inputs!$K$5:$AJ$200,0,MATCH(AF$2,Inputs!$K$4:$AJ$4,0))))+SUMPRODUCT((Inputs!$E$5:$E$200=$B41)*ISNUMBER(INDEX(Inputs!$K$5:$AJ$200,0,MATCH(AF$2,Inputs!$K$4:$AJ$4,0))))=0,NA(),SUMPRODUCT((Inputs!$A$5:$A$200=$B41)*Inputs!$B$5:$B$200*(((Inputs!$G$5:$G$200="moeda")+(Inputs!$G$5:$G$200="acoes"))*Inputs!$B$1+((Inputs!$G$5:$G$200&lt;&gt;"moeda")*(Inputs!$G$5:$G$200&lt;&gt;"acoes")))*INDEX(Inputs!$K$5:$AJ$200,0,MATCH(AF$2,Inputs!$K$4:$AJ$4,0)))+SUMPRODUCT((Inputs!$C$5:$C$200=$B41)*Inputs!$D$5:$D$200*(((Inputs!$G$5:$G$200="moeda")+(Inputs!$G$5:$G$200="acoes"))*Inputs!$B$1+((Inputs!$G$5:$G$200&lt;&gt;"moeda")*(Inputs!$G$5:$G$200&lt;&gt;"acoes")))*INDEX(Inputs!$K$5:$AJ$200,0,MATCH(AF$2,Inputs!$K$4:$AJ$4,0)))+SUMPRODUCT((Inputs!$E$5:$E$200=$B41)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1" s="3" t="e">
        <f>AF41</f>
        <v>#N/A</v>
      </c>
      <c r="AH41" s="6">
        <f>IF(ISNA(MATCH(AH$2,Inputs!$K$4:$AJ$4,0)),NA(),IF(SUMPRODUCT((Inputs!$A$5:$A$200=$B41)*ISNUMBER(INDEX(Inputs!$K$5:$AJ$200,0,MATCH(AH$2,Inputs!$K$4:$AJ$4,0))))+SUMPRODUCT((Inputs!$C$5:$C$200=$B41)*ISNUMBER(INDEX(Inputs!$K$5:$AJ$200,0,MATCH(AH$2,Inputs!$K$4:$AJ$4,0))))+SUMPRODUCT((Inputs!$E$5:$E$200=$B41)*ISNUMBER(INDEX(Inputs!$K$5:$AJ$200,0,MATCH(AH$2,Inputs!$K$4:$AJ$4,0))))=0,NA(),SUMPRODUCT((Inputs!$A$5:$A$200=$B41)*Inputs!$B$5:$B$200*(((Inputs!$G$5:$G$200="moeda")+(Inputs!$G$5:$G$200="acoes"))*Inputs!$B$1+((Inputs!$G$5:$G$200&lt;&gt;"moeda")*(Inputs!$G$5:$G$200&lt;&gt;"acoes")))*INDEX(Inputs!$K$5:$AJ$200,0,MATCH(AH$2,Inputs!$K$4:$AJ$4,0)))+SUMPRODUCT((Inputs!$C$5:$C$200=$B41)*Inputs!$D$5:$D$200*(((Inputs!$G$5:$G$200="moeda")+(Inputs!$G$5:$G$200="acoes"))*Inputs!$B$1+((Inputs!$G$5:$G$200&lt;&gt;"moeda")*(Inputs!$G$5:$G$200&lt;&gt;"acoes")))*INDEX(Inputs!$K$5:$AJ$200,0,MATCH(AH$2,Inputs!$K$4:$AJ$4,0)))+SUMPRODUCT((Inputs!$E$5:$E$200=$B41)*Inputs!$F$5:$F$200*(((Inputs!$G$5:$G$200="moeda")+(Inputs!$G$5:$G$200="acoes"))*Inputs!$B$1+((Inputs!$G$5:$G$200&lt;&gt;"moeda")*(Inputs!$G$5:$G$200&lt;&gt;"acoes")))*INDEX(Inputs!$K$5:$AJ$200,0,MATCH(AH$2,Inputs!$K$4:$AJ$4,0)))))</f>
        <v>12.605</v>
      </c>
      <c r="AI41" s="6">
        <f>IF(ISNA(MATCH(AI$2,Inputs!$K$4:$AJ$4,0)),NA(),IF(SUMPRODUCT((Inputs!$A$5:$A$200=$B41)*ISNUMBER(INDEX(Inputs!$K$5:$AJ$200,0,MATCH(AI$2,Inputs!$K$4:$AJ$4,0))))+SUMPRODUCT((Inputs!$C$5:$C$200=$B41)*ISNUMBER(INDEX(Inputs!$K$5:$AJ$200,0,MATCH(AI$2,Inputs!$K$4:$AJ$4,0))))+SUMPRODUCT((Inputs!$E$5:$E$200=$B41)*ISNUMBER(INDEX(Inputs!$K$5:$AJ$200,0,MATCH(AI$2,Inputs!$K$4:$AJ$4,0))))=0,NA(),SUMPRODUCT((Inputs!$A$5:$A$200=$B41)*Inputs!$B$5:$B$200*(((Inputs!$G$5:$G$200="moeda")+(Inputs!$G$5:$G$200="acoes"))*Inputs!$B$1+((Inputs!$G$5:$G$200&lt;&gt;"moeda")*(Inputs!$G$5:$G$200&lt;&gt;"acoes")))*INDEX(Inputs!$K$5:$AJ$200,0,MATCH(AI$2,Inputs!$K$4:$AJ$4,0)))+SUMPRODUCT((Inputs!$C$5:$C$200=$B41)*Inputs!$D$5:$D$200*(((Inputs!$G$5:$G$200="moeda")+(Inputs!$G$5:$G$200="acoes"))*Inputs!$B$1+((Inputs!$G$5:$G$200&lt;&gt;"moeda")*(Inputs!$G$5:$G$200&lt;&gt;"acoes")))*INDEX(Inputs!$K$5:$AJ$200,0,MATCH(AI$2,Inputs!$K$4:$AJ$4,0)))+SUMPRODUCT((Inputs!$E$5:$E$200=$B41)*Inputs!$F$5:$F$200*(((Inputs!$G$5:$G$200="moeda")+(Inputs!$G$5:$G$200="acoes"))*Inputs!$B$1+((Inputs!$G$5:$G$200&lt;&gt;"moeda")*(Inputs!$G$5:$G$200&lt;&gt;"acoes")))*INDEX(Inputs!$K$5:$AJ$200,0,MATCH(AI$2,Inputs!$K$4:$AJ$4,0)))))</f>
        <v>13.267</v>
      </c>
      <c r="AJ41" s="6">
        <f>IF(ISNA(MATCH(AJ$2,Inputs!$K$4:$AJ$4,0)),NA(),IF(SUMPRODUCT((Inputs!$A$5:$A$200=$B41)*ISNUMBER(INDEX(Inputs!$K$5:$AJ$200,0,MATCH(AJ$2,Inputs!$K$4:$AJ$4,0))))+SUMPRODUCT((Inputs!$C$5:$C$200=$B41)*ISNUMBER(INDEX(Inputs!$K$5:$AJ$200,0,MATCH(AJ$2,Inputs!$K$4:$AJ$4,0))))+SUMPRODUCT((Inputs!$E$5:$E$200=$B41)*ISNUMBER(INDEX(Inputs!$K$5:$AJ$200,0,MATCH(AJ$2,Inputs!$K$4:$AJ$4,0))))=0,NA(),SUMPRODUCT((Inputs!$A$5:$A$200=$B41)*Inputs!$B$5:$B$200*(((Inputs!$G$5:$G$200="moeda")+(Inputs!$G$5:$G$200="acoes"))*Inputs!$B$1+((Inputs!$G$5:$G$200&lt;&gt;"moeda")*(Inputs!$G$5:$G$200&lt;&gt;"acoes")))*INDEX(Inputs!$K$5:$AJ$200,0,MATCH(AJ$2,Inputs!$K$4:$AJ$4,0)))+SUMPRODUCT((Inputs!$C$5:$C$200=$B41)*Inputs!$D$5:$D$200*(((Inputs!$G$5:$G$200="moeda")+(Inputs!$G$5:$G$200="acoes"))*Inputs!$B$1+((Inputs!$G$5:$G$200&lt;&gt;"moeda")*(Inputs!$G$5:$G$200&lt;&gt;"acoes")))*INDEX(Inputs!$K$5:$AJ$200,0,MATCH(AJ$2,Inputs!$K$4:$AJ$4,0)))+SUMPRODUCT((Inputs!$E$5:$E$200=$B41)*Inputs!$F$5:$F$200*(((Inputs!$G$5:$G$200="moeda")+(Inputs!$G$5:$G$200="acoes"))*Inputs!$B$1+((Inputs!$G$5:$G$200&lt;&gt;"moeda")*(Inputs!$G$5:$G$200&lt;&gt;"acoes")))*INDEX(Inputs!$K$5:$AJ$200,0,MATCH(AJ$2,Inputs!$K$4:$AJ$4,0)))))</f>
        <v>14.535</v>
      </c>
      <c r="AK41" s="6">
        <f>IF(ISNA(MATCH(AK$2,Inputs!$K$4:$AJ$4,0)),NA(),IF(SUMPRODUCT((Inputs!$A$5:$A$200=$B41)*ISNUMBER(INDEX(Inputs!$K$5:$AJ$200,0,MATCH(AK$2,Inputs!$K$4:$AJ$4,0))))+SUMPRODUCT((Inputs!$C$5:$C$200=$B41)*ISNUMBER(INDEX(Inputs!$K$5:$AJ$200,0,MATCH(AK$2,Inputs!$K$4:$AJ$4,0))))+SUMPRODUCT((Inputs!$E$5:$E$200=$B41)*ISNUMBER(INDEX(Inputs!$K$5:$AJ$200,0,MATCH(AK$2,Inputs!$K$4:$AJ$4,0))))=0,NA(),SUMPRODUCT((Inputs!$A$5:$A$200=$B41)*Inputs!$B$5:$B$200*(((Inputs!$G$5:$G$200="moeda")+(Inputs!$G$5:$G$200="acoes"))*Inputs!$B$1+((Inputs!$G$5:$G$200&lt;&gt;"moeda")*(Inputs!$G$5:$G$200&lt;&gt;"acoes")))*INDEX(Inputs!$K$5:$AJ$200,0,MATCH(AK$2,Inputs!$K$4:$AJ$4,0)))+SUMPRODUCT((Inputs!$C$5:$C$200=$B41)*Inputs!$D$5:$D$200*(((Inputs!$G$5:$G$200="moeda")+(Inputs!$G$5:$G$200="acoes"))*Inputs!$B$1+((Inputs!$G$5:$G$200&lt;&gt;"moeda")*(Inputs!$G$5:$G$200&lt;&gt;"acoes")))*INDEX(Inputs!$K$5:$AJ$200,0,MATCH(AK$2,Inputs!$K$4:$AJ$4,0)))+SUMPRODUCT((Inputs!$E$5:$E$200=$B41)*Inputs!$F$5:$F$200*(((Inputs!$G$5:$G$200="moeda")+(Inputs!$G$5:$G$200="acoes"))*Inputs!$B$1+((Inputs!$G$5:$G$200&lt;&gt;"moeda")*(Inputs!$G$5:$G$200&lt;&gt;"acoes")))*INDEX(Inputs!$K$5:$AJ$200,0,MATCH(AK$2,Inputs!$K$4:$AJ$4,0)))))</f>
        <v>15.304</v>
      </c>
      <c r="AL41" s="3">
        <f>AK41</f>
        <v>15.304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$200=$B42)*ISNUMBER(INDEX(Inputs!$K$5:$AJ$200,0,MATCH(D$2,Inputs!$K$4:$AJ$4,0))))+SUMPRODUCT((Inputs!$C$5:$C$200=$B42)*ISNUMBER(INDEX(Inputs!$K$5:$AJ$200,0,MATCH(D$2,Inputs!$K$4:$AJ$4,0))))+SUMPRODUCT((Inputs!$E$5:$E$200=$B42)*ISNUMBER(INDEX(Inputs!$K$5:$AJ$200,0,MATCH(D$2,Inputs!$K$4:$AJ$4,0))))=0,NA(),SUMPRODUCT((Inputs!$A$5:$A$200=$B42)*Inputs!$B$5:$B$200*(((Inputs!$G$5:$G$200="moeda")+(Inputs!$G$5:$G$200="acoes"))*Inputs!$B$1+((Inputs!$G$5:$G$200&lt;&gt;"moeda")*(Inputs!$G$5:$G$200&lt;&gt;"acoes")))*INDEX(Inputs!$K$5:$AJ$200,0,MATCH(D$2,Inputs!$K$4:$AJ$4,0)))+SUMPRODUCT((Inputs!$C$5:$C$200=$B42)*Inputs!$D$5:$D$200*(((Inputs!$G$5:$G$200="moeda")+(Inputs!$G$5:$G$200="acoes"))*Inputs!$B$1+((Inputs!$G$5:$G$200&lt;&gt;"moeda")*(Inputs!$G$5:$G$200&lt;&gt;"acoes")))*INDEX(Inputs!$K$5:$AJ$200,0,MATCH(D$2,Inputs!$K$4:$AJ$4,0)))+SUMPRODUCT((Inputs!$E$5:$E$200=$B42)*Inputs!$F$5:$F$200*(((Inputs!$G$5:$G$200="moeda")+(Inputs!$G$5:$G$200="acoes"))*Inputs!$B$1+((Inputs!$G$5:$G$200&lt;&gt;"moeda")*(Inputs!$G$5:$G$200&lt;&gt;"acoes")))*INDEX(Inputs!$K$5:$AJ$200,0,MATCH(D$2,Inputs!$K$4:$AJ$4,0)))))</f>
        <v>#N/A</v>
      </c>
      <c r="E42" s="6" t="e">
        <f>IF(ISNA(MATCH(E$2,Inputs!$K$4:$AJ$4,0)),NA(),IF(SUMPRODUCT((Inputs!$A$5:$A$200=$B42)*ISNUMBER(INDEX(Inputs!$K$5:$AJ$200,0,MATCH(E$2,Inputs!$K$4:$AJ$4,0))))+SUMPRODUCT((Inputs!$C$5:$C$200=$B42)*ISNUMBER(INDEX(Inputs!$K$5:$AJ$200,0,MATCH(E$2,Inputs!$K$4:$AJ$4,0))))+SUMPRODUCT((Inputs!$E$5:$E$200=$B42)*ISNUMBER(INDEX(Inputs!$K$5:$AJ$200,0,MATCH(E$2,Inputs!$K$4:$AJ$4,0))))=0,NA(),SUMPRODUCT((Inputs!$A$5:$A$200=$B42)*Inputs!$B$5:$B$200*(((Inputs!$G$5:$G$200="moeda")+(Inputs!$G$5:$G$200="acoes"))*Inputs!$B$1+((Inputs!$G$5:$G$200&lt;&gt;"moeda")*(Inputs!$G$5:$G$200&lt;&gt;"acoes")))*INDEX(Inputs!$K$5:$AJ$200,0,MATCH(E$2,Inputs!$K$4:$AJ$4,0)))+SUMPRODUCT((Inputs!$C$5:$C$200=$B42)*Inputs!$D$5:$D$200*(((Inputs!$G$5:$G$200="moeda")+(Inputs!$G$5:$G$200="acoes"))*Inputs!$B$1+((Inputs!$G$5:$G$200&lt;&gt;"moeda")*(Inputs!$G$5:$G$200&lt;&gt;"acoes")))*INDEX(Inputs!$K$5:$AJ$200,0,MATCH(E$2,Inputs!$K$4:$AJ$4,0)))+SUMPRODUCT((Inputs!$E$5:$E$200=$B42)*Inputs!$F$5:$F$200*(((Inputs!$G$5:$G$200="moeda")+(Inputs!$G$5:$G$200="acoes"))*Inputs!$B$1+((Inputs!$G$5:$G$200&lt;&gt;"moeda")*(Inputs!$G$5:$G$200&lt;&gt;"acoes")))*INDEX(Inputs!$K$5:$AJ$200,0,MATCH(E$2,Inputs!$K$4:$AJ$4,0)))))</f>
        <v>#N/A</v>
      </c>
      <c r="F42" s="6" t="e">
        <f>IF(ISNA(MATCH(F$2,Inputs!$K$4:$AJ$4,0)),NA(),IF(SUMPRODUCT((Inputs!$A$5:$A$200=$B42)*ISNUMBER(INDEX(Inputs!$K$5:$AJ$200,0,MATCH(F$2,Inputs!$K$4:$AJ$4,0))))+SUMPRODUCT((Inputs!$C$5:$C$200=$B42)*ISNUMBER(INDEX(Inputs!$K$5:$AJ$200,0,MATCH(F$2,Inputs!$K$4:$AJ$4,0))))+SUMPRODUCT((Inputs!$E$5:$E$200=$B42)*ISNUMBER(INDEX(Inputs!$K$5:$AJ$200,0,MATCH(F$2,Inputs!$K$4:$AJ$4,0))))=0,NA(),SUMPRODUCT((Inputs!$A$5:$A$200=$B42)*Inputs!$B$5:$B$200*(((Inputs!$G$5:$G$200="moeda")+(Inputs!$G$5:$G$200="acoes"))*Inputs!$B$1+((Inputs!$G$5:$G$200&lt;&gt;"moeda")*(Inputs!$G$5:$G$200&lt;&gt;"acoes")))*INDEX(Inputs!$K$5:$AJ$200,0,MATCH(F$2,Inputs!$K$4:$AJ$4,0)))+SUMPRODUCT((Inputs!$C$5:$C$200=$B42)*Inputs!$D$5:$D$200*(((Inputs!$G$5:$G$200="moeda")+(Inputs!$G$5:$G$200="acoes"))*Inputs!$B$1+((Inputs!$G$5:$G$200&lt;&gt;"moeda")*(Inputs!$G$5:$G$200&lt;&gt;"acoes")))*INDEX(Inputs!$K$5:$AJ$200,0,MATCH(F$2,Inputs!$K$4:$AJ$4,0)))+SUMPRODUCT((Inputs!$E$5:$E$200=$B42)*Inputs!$F$5:$F$200*(((Inputs!$G$5:$G$200="moeda")+(Inputs!$G$5:$G$200="acoes"))*Inputs!$B$1+((Inputs!$G$5:$G$200&lt;&gt;"moeda")*(Inputs!$G$5:$G$200&lt;&gt;"acoes")))*INDEX(Inputs!$K$5:$AJ$200,0,MATCH(F$2,Inputs!$K$4:$AJ$4,0)))))</f>
        <v>#N/A</v>
      </c>
      <c r="G42" s="6" t="e">
        <f>IF(ISNA(MATCH(G$2,Inputs!$K$4:$AJ$4,0)),NA(),IF(SUMPRODUCT((Inputs!$A$5:$A$200=$B42)*ISNUMBER(INDEX(Inputs!$K$5:$AJ$200,0,MATCH(G$2,Inputs!$K$4:$AJ$4,0))))+SUMPRODUCT((Inputs!$C$5:$C$200=$B42)*ISNUMBER(INDEX(Inputs!$K$5:$AJ$200,0,MATCH(G$2,Inputs!$K$4:$AJ$4,0))))+SUMPRODUCT((Inputs!$E$5:$E$200=$B42)*ISNUMBER(INDEX(Inputs!$K$5:$AJ$200,0,MATCH(G$2,Inputs!$K$4:$AJ$4,0))))=0,NA(),SUMPRODUCT((Inputs!$A$5:$A$200=$B42)*Inputs!$B$5:$B$200*(((Inputs!$G$5:$G$200="moeda")+(Inputs!$G$5:$G$200="acoes"))*Inputs!$B$1+((Inputs!$G$5:$G$200&lt;&gt;"moeda")*(Inputs!$G$5:$G$200&lt;&gt;"acoes")))*INDEX(Inputs!$K$5:$AJ$200,0,MATCH(G$2,Inputs!$K$4:$AJ$4,0)))+SUMPRODUCT((Inputs!$C$5:$C$200=$B42)*Inputs!$D$5:$D$200*(((Inputs!$G$5:$G$200="moeda")+(Inputs!$G$5:$G$200="acoes"))*Inputs!$B$1+((Inputs!$G$5:$G$200&lt;&gt;"moeda")*(Inputs!$G$5:$G$200&lt;&gt;"acoes")))*INDEX(Inputs!$K$5:$AJ$200,0,MATCH(G$2,Inputs!$K$4:$AJ$4,0)))+SUMPRODUCT((Inputs!$E$5:$E$200=$B42)*Inputs!$F$5:$F$200*(((Inputs!$G$5:$G$200="moeda")+(Inputs!$G$5:$G$200="acoes"))*Inputs!$B$1+((Inputs!$G$5:$G$200&lt;&gt;"moeda")*(Inputs!$G$5:$G$200&lt;&gt;"acoes")))*INDEX(Inputs!$K$5:$AJ$200,0,MATCH(G$2,Inputs!$K$4:$AJ$4,0)))))</f>
        <v>#N/A</v>
      </c>
      <c r="H42" s="3" t="e">
        <f>G42</f>
        <v>#N/A</v>
      </c>
      <c r="I42" s="6" t="e">
        <f>IF(ISNA(MATCH(I$2,Inputs!$K$4:$AJ$4,0)),NA(),IF(SUMPRODUCT((Inputs!$A$5:$A$200=$B42)*ISNUMBER(INDEX(Inputs!$K$5:$AJ$200,0,MATCH(I$2,Inputs!$K$4:$AJ$4,0))))+SUMPRODUCT((Inputs!$C$5:$C$200=$B42)*ISNUMBER(INDEX(Inputs!$K$5:$AJ$200,0,MATCH(I$2,Inputs!$K$4:$AJ$4,0))))+SUMPRODUCT((Inputs!$E$5:$E$200=$B42)*ISNUMBER(INDEX(Inputs!$K$5:$AJ$200,0,MATCH(I$2,Inputs!$K$4:$AJ$4,0))))=0,NA(),SUMPRODUCT((Inputs!$A$5:$A$200=$B42)*Inputs!$B$5:$B$200*(((Inputs!$G$5:$G$200="moeda")+(Inputs!$G$5:$G$200="acoes"))*Inputs!$B$1+((Inputs!$G$5:$G$200&lt;&gt;"moeda")*(Inputs!$G$5:$G$200&lt;&gt;"acoes")))*INDEX(Inputs!$K$5:$AJ$200,0,MATCH(I$2,Inputs!$K$4:$AJ$4,0)))+SUMPRODUCT((Inputs!$C$5:$C$200=$B42)*Inputs!$D$5:$D$200*(((Inputs!$G$5:$G$200="moeda")+(Inputs!$G$5:$G$200="acoes"))*Inputs!$B$1+((Inputs!$G$5:$G$200&lt;&gt;"moeda")*(Inputs!$G$5:$G$200&lt;&gt;"acoes")))*INDEX(Inputs!$K$5:$AJ$200,0,MATCH(I$2,Inputs!$K$4:$AJ$4,0)))+SUMPRODUCT((Inputs!$E$5:$E$200=$B42)*Inputs!$F$5:$F$200*(((Inputs!$G$5:$G$200="moeda")+(Inputs!$G$5:$G$200="acoes"))*Inputs!$B$1+((Inputs!$G$5:$G$200&lt;&gt;"moeda")*(Inputs!$G$5:$G$200&lt;&gt;"acoes")))*INDEX(Inputs!$K$5:$AJ$200,0,MATCH(I$2,Inputs!$K$4:$AJ$4,0)))))</f>
        <v>#N/A</v>
      </c>
      <c r="J42" s="6" t="e">
        <f>IF(ISNA(MATCH(J$2,Inputs!$K$4:$AJ$4,0)),NA(),IF(SUMPRODUCT((Inputs!$A$5:$A$200=$B42)*ISNUMBER(INDEX(Inputs!$K$5:$AJ$200,0,MATCH(J$2,Inputs!$K$4:$AJ$4,0))))+SUMPRODUCT((Inputs!$C$5:$C$200=$B42)*ISNUMBER(INDEX(Inputs!$K$5:$AJ$200,0,MATCH(J$2,Inputs!$K$4:$AJ$4,0))))+SUMPRODUCT((Inputs!$E$5:$E$200=$B42)*ISNUMBER(INDEX(Inputs!$K$5:$AJ$200,0,MATCH(J$2,Inputs!$K$4:$AJ$4,0))))=0,NA(),SUMPRODUCT((Inputs!$A$5:$A$200=$B42)*Inputs!$B$5:$B$200*(((Inputs!$G$5:$G$200="moeda")+(Inputs!$G$5:$G$200="acoes"))*Inputs!$B$1+((Inputs!$G$5:$G$200&lt;&gt;"moeda")*(Inputs!$G$5:$G$200&lt;&gt;"acoes")))*INDEX(Inputs!$K$5:$AJ$200,0,MATCH(J$2,Inputs!$K$4:$AJ$4,0)))+SUMPRODUCT((Inputs!$C$5:$C$200=$B42)*Inputs!$D$5:$D$200*(((Inputs!$G$5:$G$200="moeda")+(Inputs!$G$5:$G$200="acoes"))*Inputs!$B$1+((Inputs!$G$5:$G$200&lt;&gt;"moeda")*(Inputs!$G$5:$G$200&lt;&gt;"acoes")))*INDEX(Inputs!$K$5:$AJ$200,0,MATCH(J$2,Inputs!$K$4:$AJ$4,0)))+SUMPRODUCT((Inputs!$E$5:$E$200=$B42)*Inputs!$F$5:$F$200*(((Inputs!$G$5:$G$200="moeda")+(Inputs!$G$5:$G$200="acoes"))*Inputs!$B$1+((Inputs!$G$5:$G$200&lt;&gt;"moeda")*(Inputs!$G$5:$G$200&lt;&gt;"acoes")))*INDEX(Inputs!$K$5:$AJ$200,0,MATCH(J$2,Inputs!$K$4:$AJ$4,0)))))</f>
        <v>#N/A</v>
      </c>
      <c r="K42" s="6" t="e">
        <f>IF(ISNA(MATCH(K$2,Inputs!$K$4:$AJ$4,0)),NA(),IF(SUMPRODUCT((Inputs!$A$5:$A$200=$B42)*ISNUMBER(INDEX(Inputs!$K$5:$AJ$200,0,MATCH(K$2,Inputs!$K$4:$AJ$4,0))))+SUMPRODUCT((Inputs!$C$5:$C$200=$B42)*ISNUMBER(INDEX(Inputs!$K$5:$AJ$200,0,MATCH(K$2,Inputs!$K$4:$AJ$4,0))))+SUMPRODUCT((Inputs!$E$5:$E$200=$B42)*ISNUMBER(INDEX(Inputs!$K$5:$AJ$200,0,MATCH(K$2,Inputs!$K$4:$AJ$4,0))))=0,NA(),SUMPRODUCT((Inputs!$A$5:$A$200=$B42)*Inputs!$B$5:$B$200*(((Inputs!$G$5:$G$200="moeda")+(Inputs!$G$5:$G$200="acoes"))*Inputs!$B$1+((Inputs!$G$5:$G$200&lt;&gt;"moeda")*(Inputs!$G$5:$G$200&lt;&gt;"acoes")))*INDEX(Inputs!$K$5:$AJ$200,0,MATCH(K$2,Inputs!$K$4:$AJ$4,0)))+SUMPRODUCT((Inputs!$C$5:$C$200=$B42)*Inputs!$D$5:$D$200*(((Inputs!$G$5:$G$200="moeda")+(Inputs!$G$5:$G$200="acoes"))*Inputs!$B$1+((Inputs!$G$5:$G$200&lt;&gt;"moeda")*(Inputs!$G$5:$G$200&lt;&gt;"acoes")))*INDEX(Inputs!$K$5:$AJ$200,0,MATCH(K$2,Inputs!$K$4:$AJ$4,0)))+SUMPRODUCT((Inputs!$E$5:$E$200=$B42)*Inputs!$F$5:$F$200*(((Inputs!$G$5:$G$200="moeda")+(Inputs!$G$5:$G$200="acoes"))*Inputs!$B$1+((Inputs!$G$5:$G$200&lt;&gt;"moeda")*(Inputs!$G$5:$G$200&lt;&gt;"acoes")))*INDEX(Inputs!$K$5:$AJ$200,0,MATCH(K$2,Inputs!$K$4:$AJ$4,0)))))</f>
        <v>#N/A</v>
      </c>
      <c r="L42" s="6" t="e">
        <f>IF(ISNA(MATCH(L$2,Inputs!$K$4:$AJ$4,0)),NA(),IF(SUMPRODUCT((Inputs!$A$5:$A$200=$B42)*ISNUMBER(INDEX(Inputs!$K$5:$AJ$200,0,MATCH(L$2,Inputs!$K$4:$AJ$4,0))))+SUMPRODUCT((Inputs!$C$5:$C$200=$B42)*ISNUMBER(INDEX(Inputs!$K$5:$AJ$200,0,MATCH(L$2,Inputs!$K$4:$AJ$4,0))))+SUMPRODUCT((Inputs!$E$5:$E$200=$B42)*ISNUMBER(INDEX(Inputs!$K$5:$AJ$200,0,MATCH(L$2,Inputs!$K$4:$AJ$4,0))))=0,NA(),SUMPRODUCT((Inputs!$A$5:$A$200=$B42)*Inputs!$B$5:$B$200*(((Inputs!$G$5:$G$200="moeda")+(Inputs!$G$5:$G$200="acoes"))*Inputs!$B$1+((Inputs!$G$5:$G$200&lt;&gt;"moeda")*(Inputs!$G$5:$G$200&lt;&gt;"acoes")))*INDEX(Inputs!$K$5:$AJ$200,0,MATCH(L$2,Inputs!$K$4:$AJ$4,0)))+SUMPRODUCT((Inputs!$C$5:$C$200=$B42)*Inputs!$D$5:$D$200*(((Inputs!$G$5:$G$200="moeda")+(Inputs!$G$5:$G$200="acoes"))*Inputs!$B$1+((Inputs!$G$5:$G$200&lt;&gt;"moeda")*(Inputs!$G$5:$G$200&lt;&gt;"acoes")))*INDEX(Inputs!$K$5:$AJ$200,0,MATCH(L$2,Inputs!$K$4:$AJ$4,0)))+SUMPRODUCT((Inputs!$E$5:$E$200=$B42)*Inputs!$F$5:$F$200*(((Inputs!$G$5:$G$200="moeda")+(Inputs!$G$5:$G$200="acoes"))*Inputs!$B$1+((Inputs!$G$5:$G$200&lt;&gt;"moeda")*(Inputs!$G$5:$G$200&lt;&gt;"acoes")))*INDEX(Inputs!$K$5:$AJ$200,0,MATCH(L$2,Inputs!$K$4:$AJ$4,0)))))</f>
        <v>#N/A</v>
      </c>
      <c r="M42" s="3" t="e">
        <f>L42</f>
        <v>#N/A</v>
      </c>
      <c r="N42" s="6" t="e">
        <f>IF(ISNA(MATCH(N$2,Inputs!$K$4:$AJ$4,0)),NA(),IF(SUMPRODUCT((Inputs!$A$5:$A$200=$B42)*ISNUMBER(INDEX(Inputs!$K$5:$AJ$200,0,MATCH(N$2,Inputs!$K$4:$AJ$4,0))))+SUMPRODUCT((Inputs!$C$5:$C$200=$B42)*ISNUMBER(INDEX(Inputs!$K$5:$AJ$200,0,MATCH(N$2,Inputs!$K$4:$AJ$4,0))))+SUMPRODUCT((Inputs!$E$5:$E$200=$B42)*ISNUMBER(INDEX(Inputs!$K$5:$AJ$200,0,MATCH(N$2,Inputs!$K$4:$AJ$4,0))))=0,NA(),SUMPRODUCT((Inputs!$A$5:$A$200=$B42)*Inputs!$B$5:$B$200*(((Inputs!$G$5:$G$200="moeda")+(Inputs!$G$5:$G$200="acoes"))*Inputs!$B$1+((Inputs!$G$5:$G$200&lt;&gt;"moeda")*(Inputs!$G$5:$G$200&lt;&gt;"acoes")))*INDEX(Inputs!$K$5:$AJ$200,0,MATCH(N$2,Inputs!$K$4:$AJ$4,0)))+SUMPRODUCT((Inputs!$C$5:$C$200=$B42)*Inputs!$D$5:$D$200*(((Inputs!$G$5:$G$200="moeda")+(Inputs!$G$5:$G$200="acoes"))*Inputs!$B$1+((Inputs!$G$5:$G$200&lt;&gt;"moeda")*(Inputs!$G$5:$G$200&lt;&gt;"acoes")))*INDEX(Inputs!$K$5:$AJ$200,0,MATCH(N$2,Inputs!$K$4:$AJ$4,0)))+SUMPRODUCT((Inputs!$E$5:$E$200=$B42)*Inputs!$F$5:$F$200*(((Inputs!$G$5:$G$200="moeda")+(Inputs!$G$5:$G$200="acoes"))*Inputs!$B$1+((Inputs!$G$5:$G$200&lt;&gt;"moeda")*(Inputs!$G$5:$G$200&lt;&gt;"acoes")))*INDEX(Inputs!$K$5:$AJ$200,0,MATCH(N$2,Inputs!$K$4:$AJ$4,0)))))</f>
        <v>#N/A</v>
      </c>
      <c r="O42" s="6" t="e">
        <f>IF(ISNA(MATCH(O$2,Inputs!$K$4:$AJ$4,0)),NA(),IF(SUMPRODUCT((Inputs!$A$5:$A$200=$B42)*ISNUMBER(INDEX(Inputs!$K$5:$AJ$200,0,MATCH(O$2,Inputs!$K$4:$AJ$4,0))))+SUMPRODUCT((Inputs!$C$5:$C$200=$B42)*ISNUMBER(INDEX(Inputs!$K$5:$AJ$200,0,MATCH(O$2,Inputs!$K$4:$AJ$4,0))))+SUMPRODUCT((Inputs!$E$5:$E$200=$B42)*ISNUMBER(INDEX(Inputs!$K$5:$AJ$200,0,MATCH(O$2,Inputs!$K$4:$AJ$4,0))))=0,NA(),SUMPRODUCT((Inputs!$A$5:$A$200=$B42)*Inputs!$B$5:$B$200*(((Inputs!$G$5:$G$200="moeda")+(Inputs!$G$5:$G$200="acoes"))*Inputs!$B$1+((Inputs!$G$5:$G$200&lt;&gt;"moeda")*(Inputs!$G$5:$G$200&lt;&gt;"acoes")))*INDEX(Inputs!$K$5:$AJ$200,0,MATCH(O$2,Inputs!$K$4:$AJ$4,0)))+SUMPRODUCT((Inputs!$C$5:$C$200=$B42)*Inputs!$D$5:$D$200*(((Inputs!$G$5:$G$200="moeda")+(Inputs!$G$5:$G$200="acoes"))*Inputs!$B$1+((Inputs!$G$5:$G$200&lt;&gt;"moeda")*(Inputs!$G$5:$G$200&lt;&gt;"acoes")))*INDEX(Inputs!$K$5:$AJ$200,0,MATCH(O$2,Inputs!$K$4:$AJ$4,0)))+SUMPRODUCT((Inputs!$E$5:$E$200=$B42)*Inputs!$F$5:$F$200*(((Inputs!$G$5:$G$200="moeda")+(Inputs!$G$5:$G$200="acoes"))*Inputs!$B$1+((Inputs!$G$5:$G$200&lt;&gt;"moeda")*(Inputs!$G$5:$G$200&lt;&gt;"acoes")))*INDEX(Inputs!$K$5:$AJ$200,0,MATCH(O$2,Inputs!$K$4:$AJ$4,0)))))</f>
        <v>#N/A</v>
      </c>
      <c r="P42" s="6" t="e">
        <f>IF(ISNA(MATCH(P$2,Inputs!$K$4:$AJ$4,0)),NA(),IF(SUMPRODUCT((Inputs!$A$5:$A$200=$B42)*ISNUMBER(INDEX(Inputs!$K$5:$AJ$200,0,MATCH(P$2,Inputs!$K$4:$AJ$4,0))))+SUMPRODUCT((Inputs!$C$5:$C$200=$B42)*ISNUMBER(INDEX(Inputs!$K$5:$AJ$200,0,MATCH(P$2,Inputs!$K$4:$AJ$4,0))))+SUMPRODUCT((Inputs!$E$5:$E$200=$B42)*ISNUMBER(INDEX(Inputs!$K$5:$AJ$200,0,MATCH(P$2,Inputs!$K$4:$AJ$4,0))))=0,NA(),SUMPRODUCT((Inputs!$A$5:$A$200=$B42)*Inputs!$B$5:$B$200*(((Inputs!$G$5:$G$200="moeda")+(Inputs!$G$5:$G$200="acoes"))*Inputs!$B$1+((Inputs!$G$5:$G$200&lt;&gt;"moeda")*(Inputs!$G$5:$G$200&lt;&gt;"acoes")))*INDEX(Inputs!$K$5:$AJ$200,0,MATCH(P$2,Inputs!$K$4:$AJ$4,0)))+SUMPRODUCT((Inputs!$C$5:$C$200=$B42)*Inputs!$D$5:$D$200*(((Inputs!$G$5:$G$200="moeda")+(Inputs!$G$5:$G$200="acoes"))*Inputs!$B$1+((Inputs!$G$5:$G$200&lt;&gt;"moeda")*(Inputs!$G$5:$G$200&lt;&gt;"acoes")))*INDEX(Inputs!$K$5:$AJ$200,0,MATCH(P$2,Inputs!$K$4:$AJ$4,0)))+SUMPRODUCT((Inputs!$E$5:$E$200=$B42)*Inputs!$F$5:$F$200*(((Inputs!$G$5:$G$200="moeda")+(Inputs!$G$5:$G$200="acoes"))*Inputs!$B$1+((Inputs!$G$5:$G$200&lt;&gt;"moeda")*(Inputs!$G$5:$G$200&lt;&gt;"acoes")))*INDEX(Inputs!$K$5:$AJ$200,0,MATCH(P$2,Inputs!$K$4:$AJ$4,0)))))</f>
        <v>#N/A</v>
      </c>
      <c r="Q42" s="6" t="e">
        <f>IF(ISNA(MATCH(Q$2,Inputs!$K$4:$AJ$4,0)),NA(),IF(SUMPRODUCT((Inputs!$A$5:$A$200=$B42)*ISNUMBER(INDEX(Inputs!$K$5:$AJ$200,0,MATCH(Q$2,Inputs!$K$4:$AJ$4,0))))+SUMPRODUCT((Inputs!$C$5:$C$200=$B42)*ISNUMBER(INDEX(Inputs!$K$5:$AJ$200,0,MATCH(Q$2,Inputs!$K$4:$AJ$4,0))))+SUMPRODUCT((Inputs!$E$5:$E$200=$B42)*ISNUMBER(INDEX(Inputs!$K$5:$AJ$200,0,MATCH(Q$2,Inputs!$K$4:$AJ$4,0))))=0,NA(),SUMPRODUCT((Inputs!$A$5:$A$200=$B42)*Inputs!$B$5:$B$200*(((Inputs!$G$5:$G$200="moeda")+(Inputs!$G$5:$G$200="acoes"))*Inputs!$B$1+((Inputs!$G$5:$G$200&lt;&gt;"moeda")*(Inputs!$G$5:$G$200&lt;&gt;"acoes")))*INDEX(Inputs!$K$5:$AJ$200,0,MATCH(Q$2,Inputs!$K$4:$AJ$4,0)))+SUMPRODUCT((Inputs!$C$5:$C$200=$B42)*Inputs!$D$5:$D$200*(((Inputs!$G$5:$G$200="moeda")+(Inputs!$G$5:$G$200="acoes"))*Inputs!$B$1+((Inputs!$G$5:$G$200&lt;&gt;"moeda")*(Inputs!$G$5:$G$200&lt;&gt;"acoes")))*INDEX(Inputs!$K$5:$AJ$200,0,MATCH(Q$2,Inputs!$K$4:$AJ$4,0)))+SUMPRODUCT((Inputs!$E$5:$E$200=$B42)*Inputs!$F$5:$F$200*(((Inputs!$G$5:$G$200="moeda")+(Inputs!$G$5:$G$200="acoes"))*Inputs!$B$1+((Inputs!$G$5:$G$200&lt;&gt;"moeda")*(Inputs!$G$5:$G$200&lt;&gt;"acoes")))*INDEX(Inputs!$K$5:$AJ$200,0,MATCH(Q$2,Inputs!$K$4:$AJ$4,0)))))</f>
        <v>#N/A</v>
      </c>
      <c r="R42" s="3" t="e">
        <f>Q42</f>
        <v>#N/A</v>
      </c>
      <c r="S42" s="6" t="e">
        <f>IF(ISNA(MATCH(S$2,Inputs!$K$4:$AJ$4,0)),NA(),IF(SUMPRODUCT((Inputs!$A$5:$A$200=$B42)*ISNUMBER(INDEX(Inputs!$K$5:$AJ$200,0,MATCH(S$2,Inputs!$K$4:$AJ$4,0))))+SUMPRODUCT((Inputs!$C$5:$C$200=$B42)*ISNUMBER(INDEX(Inputs!$K$5:$AJ$200,0,MATCH(S$2,Inputs!$K$4:$AJ$4,0))))+SUMPRODUCT((Inputs!$E$5:$E$200=$B42)*ISNUMBER(INDEX(Inputs!$K$5:$AJ$200,0,MATCH(S$2,Inputs!$K$4:$AJ$4,0))))=0,NA(),SUMPRODUCT((Inputs!$A$5:$A$200=$B42)*Inputs!$B$5:$B$200*(((Inputs!$G$5:$G$200="moeda")+(Inputs!$G$5:$G$200="acoes"))*Inputs!$B$1+((Inputs!$G$5:$G$200&lt;&gt;"moeda")*(Inputs!$G$5:$G$200&lt;&gt;"acoes")))*INDEX(Inputs!$K$5:$AJ$200,0,MATCH(S$2,Inputs!$K$4:$AJ$4,0)))+SUMPRODUCT((Inputs!$C$5:$C$200=$B42)*Inputs!$D$5:$D$200*(((Inputs!$G$5:$G$200="moeda")+(Inputs!$G$5:$G$200="acoes"))*Inputs!$B$1+((Inputs!$G$5:$G$200&lt;&gt;"moeda")*(Inputs!$G$5:$G$200&lt;&gt;"acoes")))*INDEX(Inputs!$K$5:$AJ$200,0,MATCH(S$2,Inputs!$K$4:$AJ$4,0)))+SUMPRODUCT((Inputs!$E$5:$E$200=$B42)*Inputs!$F$5:$F$200*(((Inputs!$G$5:$G$200="moeda")+(Inputs!$G$5:$G$200="acoes"))*Inputs!$B$1+((Inputs!$G$5:$G$200&lt;&gt;"moeda")*(Inputs!$G$5:$G$200&lt;&gt;"acoes")))*INDEX(Inputs!$K$5:$AJ$200,0,MATCH(S$2,Inputs!$K$4:$AJ$4,0)))))</f>
        <v>#N/A</v>
      </c>
      <c r="T42" s="6" t="e">
        <f>IF(ISNA(MATCH(T$2,Inputs!$K$4:$AJ$4,0)),NA(),IF(SUMPRODUCT((Inputs!$A$5:$A$200=$B42)*ISNUMBER(INDEX(Inputs!$K$5:$AJ$200,0,MATCH(T$2,Inputs!$K$4:$AJ$4,0))))+SUMPRODUCT((Inputs!$C$5:$C$200=$B42)*ISNUMBER(INDEX(Inputs!$K$5:$AJ$200,0,MATCH(T$2,Inputs!$K$4:$AJ$4,0))))+SUMPRODUCT((Inputs!$E$5:$E$200=$B42)*ISNUMBER(INDEX(Inputs!$K$5:$AJ$200,0,MATCH(T$2,Inputs!$K$4:$AJ$4,0))))=0,NA(),SUMPRODUCT((Inputs!$A$5:$A$200=$B42)*Inputs!$B$5:$B$200*(((Inputs!$G$5:$G$200="moeda")+(Inputs!$G$5:$G$200="acoes"))*Inputs!$B$1+((Inputs!$G$5:$G$200&lt;&gt;"moeda")*(Inputs!$G$5:$G$200&lt;&gt;"acoes")))*INDEX(Inputs!$K$5:$AJ$200,0,MATCH(T$2,Inputs!$K$4:$AJ$4,0)))+SUMPRODUCT((Inputs!$C$5:$C$200=$B42)*Inputs!$D$5:$D$200*(((Inputs!$G$5:$G$200="moeda")+(Inputs!$G$5:$G$200="acoes"))*Inputs!$B$1+((Inputs!$G$5:$G$200&lt;&gt;"moeda")*(Inputs!$G$5:$G$200&lt;&gt;"acoes")))*INDEX(Inputs!$K$5:$AJ$200,0,MATCH(T$2,Inputs!$K$4:$AJ$4,0)))+SUMPRODUCT((Inputs!$E$5:$E$200=$B42)*Inputs!$F$5:$F$200*(((Inputs!$G$5:$G$200="moeda")+(Inputs!$G$5:$G$200="acoes"))*Inputs!$B$1+((Inputs!$G$5:$G$200&lt;&gt;"moeda")*(Inputs!$G$5:$G$200&lt;&gt;"acoes")))*INDEX(Inputs!$K$5:$AJ$200,0,MATCH(T$2,Inputs!$K$4:$AJ$4,0)))))</f>
        <v>#N/A</v>
      </c>
      <c r="U42" s="6" t="e">
        <f>IF(ISNA(MATCH(U$2,Inputs!$K$4:$AJ$4,0)),NA(),IF(SUMPRODUCT((Inputs!$A$5:$A$200=$B42)*ISNUMBER(INDEX(Inputs!$K$5:$AJ$200,0,MATCH(U$2,Inputs!$K$4:$AJ$4,0))))+SUMPRODUCT((Inputs!$C$5:$C$200=$B42)*ISNUMBER(INDEX(Inputs!$K$5:$AJ$200,0,MATCH(U$2,Inputs!$K$4:$AJ$4,0))))+SUMPRODUCT((Inputs!$E$5:$E$200=$B42)*ISNUMBER(INDEX(Inputs!$K$5:$AJ$200,0,MATCH(U$2,Inputs!$K$4:$AJ$4,0))))=0,NA(),SUMPRODUCT((Inputs!$A$5:$A$200=$B42)*Inputs!$B$5:$B$200*(((Inputs!$G$5:$G$200="moeda")+(Inputs!$G$5:$G$200="acoes"))*Inputs!$B$1+((Inputs!$G$5:$G$200&lt;&gt;"moeda")*(Inputs!$G$5:$G$200&lt;&gt;"acoes")))*INDEX(Inputs!$K$5:$AJ$200,0,MATCH(U$2,Inputs!$K$4:$AJ$4,0)))+SUMPRODUCT((Inputs!$C$5:$C$200=$B42)*Inputs!$D$5:$D$200*(((Inputs!$G$5:$G$200="moeda")+(Inputs!$G$5:$G$200="acoes"))*Inputs!$B$1+((Inputs!$G$5:$G$200&lt;&gt;"moeda")*(Inputs!$G$5:$G$200&lt;&gt;"acoes")))*INDEX(Inputs!$K$5:$AJ$200,0,MATCH(U$2,Inputs!$K$4:$AJ$4,0)))+SUMPRODUCT((Inputs!$E$5:$E$200=$B42)*Inputs!$F$5:$F$200*(((Inputs!$G$5:$G$200="moeda")+(Inputs!$G$5:$G$200="acoes"))*Inputs!$B$1+((Inputs!$G$5:$G$200&lt;&gt;"moeda")*(Inputs!$G$5:$G$200&lt;&gt;"acoes")))*INDEX(Inputs!$K$5:$AJ$200,0,MATCH(U$2,Inputs!$K$4:$AJ$4,0)))))</f>
        <v>#N/A</v>
      </c>
      <c r="V42" s="6" t="e">
        <f>IF(ISNA(MATCH(V$2,Inputs!$K$4:$AJ$4,0)),NA(),IF(SUMPRODUCT((Inputs!$A$5:$A$200=$B42)*ISNUMBER(INDEX(Inputs!$K$5:$AJ$200,0,MATCH(V$2,Inputs!$K$4:$AJ$4,0))))+SUMPRODUCT((Inputs!$C$5:$C$200=$B42)*ISNUMBER(INDEX(Inputs!$K$5:$AJ$200,0,MATCH(V$2,Inputs!$K$4:$AJ$4,0))))+SUMPRODUCT((Inputs!$E$5:$E$200=$B42)*ISNUMBER(INDEX(Inputs!$K$5:$AJ$200,0,MATCH(V$2,Inputs!$K$4:$AJ$4,0))))=0,NA(),SUMPRODUCT((Inputs!$A$5:$A$200=$B42)*Inputs!$B$5:$B$200*(((Inputs!$G$5:$G$200="moeda")+(Inputs!$G$5:$G$200="acoes"))*Inputs!$B$1+((Inputs!$G$5:$G$200&lt;&gt;"moeda")*(Inputs!$G$5:$G$200&lt;&gt;"acoes")))*INDEX(Inputs!$K$5:$AJ$200,0,MATCH(V$2,Inputs!$K$4:$AJ$4,0)))+SUMPRODUCT((Inputs!$C$5:$C$200=$B42)*Inputs!$D$5:$D$200*(((Inputs!$G$5:$G$200="moeda")+(Inputs!$G$5:$G$200="acoes"))*Inputs!$B$1+((Inputs!$G$5:$G$200&lt;&gt;"moeda")*(Inputs!$G$5:$G$200&lt;&gt;"acoes")))*INDEX(Inputs!$K$5:$AJ$200,0,MATCH(V$2,Inputs!$K$4:$AJ$4,0)))+SUMPRODUCT((Inputs!$E$5:$E$200=$B42)*Inputs!$F$5:$F$200*(((Inputs!$G$5:$G$200="moeda")+(Inputs!$G$5:$G$200="acoes"))*Inputs!$B$1+((Inputs!$G$5:$G$200&lt;&gt;"moeda")*(Inputs!$G$5:$G$200&lt;&gt;"acoes")))*INDEX(Inputs!$K$5:$AJ$200,0,MATCH(V$2,Inputs!$K$4:$AJ$4,0)))))</f>
        <v>#N/A</v>
      </c>
      <c r="W42" s="3" t="e">
        <f>V42</f>
        <v>#N/A</v>
      </c>
      <c r="X42" s="6" t="e">
        <f>IF(ISNA(MATCH(X$2,Inputs!$K$4:$AJ$4,0)),NA(),IF(SUMPRODUCT((Inputs!$A$5:$A$200=$B42)*ISNUMBER(INDEX(Inputs!$K$5:$AJ$200,0,MATCH(X$2,Inputs!$K$4:$AJ$4,0))))+SUMPRODUCT((Inputs!$C$5:$C$200=$B42)*ISNUMBER(INDEX(Inputs!$K$5:$AJ$200,0,MATCH(X$2,Inputs!$K$4:$AJ$4,0))))+SUMPRODUCT((Inputs!$E$5:$E$200=$B42)*ISNUMBER(INDEX(Inputs!$K$5:$AJ$200,0,MATCH(X$2,Inputs!$K$4:$AJ$4,0))))=0,NA(),SUMPRODUCT((Inputs!$A$5:$A$200=$B42)*Inputs!$B$5:$B$200*(((Inputs!$G$5:$G$200="moeda")+(Inputs!$G$5:$G$200="acoes"))*Inputs!$B$1+((Inputs!$G$5:$G$200&lt;&gt;"moeda")*(Inputs!$G$5:$G$200&lt;&gt;"acoes")))*INDEX(Inputs!$K$5:$AJ$200,0,MATCH(X$2,Inputs!$K$4:$AJ$4,0)))+SUMPRODUCT((Inputs!$C$5:$C$200=$B42)*Inputs!$D$5:$D$200*(((Inputs!$G$5:$G$200="moeda")+(Inputs!$G$5:$G$200="acoes"))*Inputs!$B$1+((Inputs!$G$5:$G$200&lt;&gt;"moeda")*(Inputs!$G$5:$G$200&lt;&gt;"acoes")))*INDEX(Inputs!$K$5:$AJ$200,0,MATCH(X$2,Inputs!$K$4:$AJ$4,0)))+SUMPRODUCT((Inputs!$E$5:$E$200=$B42)*Inputs!$F$5:$F$200*(((Inputs!$G$5:$G$200="moeda")+(Inputs!$G$5:$G$200="acoes"))*Inputs!$B$1+((Inputs!$G$5:$G$200&lt;&gt;"moeda")*(Inputs!$G$5:$G$200&lt;&gt;"acoes")))*INDEX(Inputs!$K$5:$AJ$200,0,MATCH(X$2,Inputs!$K$4:$AJ$4,0)))))</f>
        <v>#N/A</v>
      </c>
      <c r="Y42" s="6" t="e">
        <f>IF(ISNA(MATCH(Y$2,Inputs!$K$4:$AJ$4,0)),NA(),IF(SUMPRODUCT((Inputs!$A$5:$A$200=$B42)*ISNUMBER(INDEX(Inputs!$K$5:$AJ$200,0,MATCH(Y$2,Inputs!$K$4:$AJ$4,0))))+SUMPRODUCT((Inputs!$C$5:$C$200=$B42)*ISNUMBER(INDEX(Inputs!$K$5:$AJ$200,0,MATCH(Y$2,Inputs!$K$4:$AJ$4,0))))+SUMPRODUCT((Inputs!$E$5:$E$200=$B42)*ISNUMBER(INDEX(Inputs!$K$5:$AJ$200,0,MATCH(Y$2,Inputs!$K$4:$AJ$4,0))))=0,NA(),SUMPRODUCT((Inputs!$A$5:$A$200=$B42)*Inputs!$B$5:$B$200*(((Inputs!$G$5:$G$200="moeda")+(Inputs!$G$5:$G$200="acoes"))*Inputs!$B$1+((Inputs!$G$5:$G$200&lt;&gt;"moeda")*(Inputs!$G$5:$G$200&lt;&gt;"acoes")))*INDEX(Inputs!$K$5:$AJ$200,0,MATCH(Y$2,Inputs!$K$4:$AJ$4,0)))+SUMPRODUCT((Inputs!$C$5:$C$200=$B42)*Inputs!$D$5:$D$200*(((Inputs!$G$5:$G$200="moeda")+(Inputs!$G$5:$G$200="acoes"))*Inputs!$B$1+((Inputs!$G$5:$G$200&lt;&gt;"moeda")*(Inputs!$G$5:$G$200&lt;&gt;"acoes")))*INDEX(Inputs!$K$5:$AJ$200,0,MATCH(Y$2,Inputs!$K$4:$AJ$4,0)))+SUMPRODUCT((Inputs!$E$5:$E$200=$B42)*Inputs!$F$5:$F$200*(((Inputs!$G$5:$G$200="moeda")+(Inputs!$G$5:$G$200="acoes"))*Inputs!$B$1+((Inputs!$G$5:$G$200&lt;&gt;"moeda")*(Inputs!$G$5:$G$200&lt;&gt;"acoes")))*INDEX(Inputs!$K$5:$AJ$200,0,MATCH(Y$2,Inputs!$K$4:$AJ$4,0)))))</f>
        <v>#N/A</v>
      </c>
      <c r="Z42" s="6" t="e">
        <f>IF(ISNA(MATCH(Z$2,Inputs!$K$4:$AJ$4,0)),NA(),IF(SUMPRODUCT((Inputs!$A$5:$A$200=$B42)*ISNUMBER(INDEX(Inputs!$K$5:$AJ$200,0,MATCH(Z$2,Inputs!$K$4:$AJ$4,0))))+SUMPRODUCT((Inputs!$C$5:$C$200=$B42)*ISNUMBER(INDEX(Inputs!$K$5:$AJ$200,0,MATCH(Z$2,Inputs!$K$4:$AJ$4,0))))+SUMPRODUCT((Inputs!$E$5:$E$200=$B42)*ISNUMBER(INDEX(Inputs!$K$5:$AJ$200,0,MATCH(Z$2,Inputs!$K$4:$AJ$4,0))))=0,NA(),SUMPRODUCT((Inputs!$A$5:$A$200=$B42)*Inputs!$B$5:$B$200*(((Inputs!$G$5:$G$200="moeda")+(Inputs!$G$5:$G$200="acoes"))*Inputs!$B$1+((Inputs!$G$5:$G$200&lt;&gt;"moeda")*(Inputs!$G$5:$G$200&lt;&gt;"acoes")))*INDEX(Inputs!$K$5:$AJ$200,0,MATCH(Z$2,Inputs!$K$4:$AJ$4,0)))+SUMPRODUCT((Inputs!$C$5:$C$200=$B42)*Inputs!$D$5:$D$200*(((Inputs!$G$5:$G$200="moeda")+(Inputs!$G$5:$G$200="acoes"))*Inputs!$B$1+((Inputs!$G$5:$G$200&lt;&gt;"moeda")*(Inputs!$G$5:$G$200&lt;&gt;"acoes")))*INDEX(Inputs!$K$5:$AJ$200,0,MATCH(Z$2,Inputs!$K$4:$AJ$4,0)))+SUMPRODUCT((Inputs!$E$5:$E$200=$B42)*Inputs!$F$5:$F$200*(((Inputs!$G$5:$G$200="moeda")+(Inputs!$G$5:$G$200="acoes"))*Inputs!$B$1+((Inputs!$G$5:$G$200&lt;&gt;"moeda")*(Inputs!$G$5:$G$200&lt;&gt;"acoes")))*INDEX(Inputs!$K$5:$AJ$200,0,MATCH(Z$2,Inputs!$K$4:$AJ$4,0)))))</f>
        <v>#N/A</v>
      </c>
      <c r="AA42" s="6" t="e">
        <f>IF(ISNA(MATCH(AA$2,Inputs!$K$4:$AJ$4,0)),NA(),IF(SUMPRODUCT((Inputs!$A$5:$A$200=$B42)*ISNUMBER(INDEX(Inputs!$K$5:$AJ$200,0,MATCH(AA$2,Inputs!$K$4:$AJ$4,0))))+SUMPRODUCT((Inputs!$C$5:$C$200=$B42)*ISNUMBER(INDEX(Inputs!$K$5:$AJ$200,0,MATCH(AA$2,Inputs!$K$4:$AJ$4,0))))+SUMPRODUCT((Inputs!$E$5:$E$200=$B42)*ISNUMBER(INDEX(Inputs!$K$5:$AJ$200,0,MATCH(AA$2,Inputs!$K$4:$AJ$4,0))))=0,NA(),SUMPRODUCT((Inputs!$A$5:$A$200=$B42)*Inputs!$B$5:$B$200*(((Inputs!$G$5:$G$200="moeda")+(Inputs!$G$5:$G$200="acoes"))*Inputs!$B$1+((Inputs!$G$5:$G$200&lt;&gt;"moeda")*(Inputs!$G$5:$G$200&lt;&gt;"acoes")))*INDEX(Inputs!$K$5:$AJ$200,0,MATCH(AA$2,Inputs!$K$4:$AJ$4,0)))+SUMPRODUCT((Inputs!$C$5:$C$200=$B42)*Inputs!$D$5:$D$200*(((Inputs!$G$5:$G$200="moeda")+(Inputs!$G$5:$G$200="acoes"))*Inputs!$B$1+((Inputs!$G$5:$G$200&lt;&gt;"moeda")*(Inputs!$G$5:$G$200&lt;&gt;"acoes")))*INDEX(Inputs!$K$5:$AJ$200,0,MATCH(AA$2,Inputs!$K$4:$AJ$4,0)))+SUMPRODUCT((Inputs!$E$5:$E$200=$B42)*Inputs!$F$5:$F$200*(((Inputs!$G$5:$G$200="moeda")+(Inputs!$G$5:$G$200="acoes"))*Inputs!$B$1+((Inputs!$G$5:$G$200&lt;&gt;"moeda")*(Inputs!$G$5:$G$200&lt;&gt;"acoes")))*INDEX(Inputs!$K$5:$AJ$200,0,MATCH(AA$2,Inputs!$K$4:$AJ$4,0)))))</f>
        <v>#N/A</v>
      </c>
      <c r="AB42" s="3" t="e">
        <f>AA42</f>
        <v>#N/A</v>
      </c>
      <c r="AC42" s="6" t="e">
        <f>IF(ISNA(MATCH(AC$2,Inputs!$K$4:$AJ$4,0)),NA(),IF(SUMPRODUCT((Inputs!$A$5:$A$200=$B42)*ISNUMBER(INDEX(Inputs!$K$5:$AJ$200,0,MATCH(AC$2,Inputs!$K$4:$AJ$4,0))))+SUMPRODUCT((Inputs!$C$5:$C$200=$B42)*ISNUMBER(INDEX(Inputs!$K$5:$AJ$200,0,MATCH(AC$2,Inputs!$K$4:$AJ$4,0))))+SUMPRODUCT((Inputs!$E$5:$E$200=$B42)*ISNUMBER(INDEX(Inputs!$K$5:$AJ$200,0,MATCH(AC$2,Inputs!$K$4:$AJ$4,0))))=0,NA(),SUMPRODUCT((Inputs!$A$5:$A$200=$B42)*Inputs!$B$5:$B$200*(((Inputs!$G$5:$G$200="moeda")+(Inputs!$G$5:$G$200="acoes"))*Inputs!$B$1+((Inputs!$G$5:$G$200&lt;&gt;"moeda")*(Inputs!$G$5:$G$200&lt;&gt;"acoes")))*INDEX(Inputs!$K$5:$AJ$200,0,MATCH(AC$2,Inputs!$K$4:$AJ$4,0)))+SUMPRODUCT((Inputs!$C$5:$C$200=$B42)*Inputs!$D$5:$D$200*(((Inputs!$G$5:$G$200="moeda")+(Inputs!$G$5:$G$200="acoes"))*Inputs!$B$1+((Inputs!$G$5:$G$200&lt;&gt;"moeda")*(Inputs!$G$5:$G$200&lt;&gt;"acoes")))*INDEX(Inputs!$K$5:$AJ$200,0,MATCH(AC$2,Inputs!$K$4:$AJ$4,0)))+SUMPRODUCT((Inputs!$E$5:$E$200=$B42)*Inputs!$F$5:$F$200*(((Inputs!$G$5:$G$200="moeda")+(Inputs!$G$5:$G$200="acoes"))*Inputs!$B$1+((Inputs!$G$5:$G$200&lt;&gt;"moeda")*(Inputs!$G$5:$G$200&lt;&gt;"acoes")))*INDEX(Inputs!$K$5:$AJ$200,0,MATCH(AC$2,Inputs!$K$4:$AJ$4,0)))))</f>
        <v>#N/A</v>
      </c>
      <c r="AD42" s="6" t="e">
        <f>IF(ISNA(MATCH(AD$2,Inputs!$K$4:$AJ$4,0)),NA(),IF(SUMPRODUCT((Inputs!$A$5:$A$200=$B42)*ISNUMBER(INDEX(Inputs!$K$5:$AJ$200,0,MATCH(AD$2,Inputs!$K$4:$AJ$4,0))))+SUMPRODUCT((Inputs!$C$5:$C$200=$B42)*ISNUMBER(INDEX(Inputs!$K$5:$AJ$200,0,MATCH(AD$2,Inputs!$K$4:$AJ$4,0))))+SUMPRODUCT((Inputs!$E$5:$E$200=$B42)*ISNUMBER(INDEX(Inputs!$K$5:$AJ$200,0,MATCH(AD$2,Inputs!$K$4:$AJ$4,0))))=0,NA(),SUMPRODUCT((Inputs!$A$5:$A$200=$B42)*Inputs!$B$5:$B$200*(((Inputs!$G$5:$G$200="moeda")+(Inputs!$G$5:$G$200="acoes"))*Inputs!$B$1+((Inputs!$G$5:$G$200&lt;&gt;"moeda")*(Inputs!$G$5:$G$200&lt;&gt;"acoes")))*INDEX(Inputs!$K$5:$AJ$200,0,MATCH(AD$2,Inputs!$K$4:$AJ$4,0)))+SUMPRODUCT((Inputs!$C$5:$C$200=$B42)*Inputs!$D$5:$D$200*(((Inputs!$G$5:$G$200="moeda")+(Inputs!$G$5:$G$200="acoes"))*Inputs!$B$1+((Inputs!$G$5:$G$200&lt;&gt;"moeda")*(Inputs!$G$5:$G$200&lt;&gt;"acoes")))*INDEX(Inputs!$K$5:$AJ$200,0,MATCH(AD$2,Inputs!$K$4:$AJ$4,0)))+SUMPRODUCT((Inputs!$E$5:$E$200=$B42)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42" s="6" t="e">
        <f>IF(ISNA(MATCH(AE$2,Inputs!$K$4:$AJ$4,0)),NA(),IF(SUMPRODUCT((Inputs!$A$5:$A$200=$B42)*ISNUMBER(INDEX(Inputs!$K$5:$AJ$200,0,MATCH(AE$2,Inputs!$K$4:$AJ$4,0))))+SUMPRODUCT((Inputs!$C$5:$C$200=$B42)*ISNUMBER(INDEX(Inputs!$K$5:$AJ$200,0,MATCH(AE$2,Inputs!$K$4:$AJ$4,0))))+SUMPRODUCT((Inputs!$E$5:$E$200=$B42)*ISNUMBER(INDEX(Inputs!$K$5:$AJ$200,0,MATCH(AE$2,Inputs!$K$4:$AJ$4,0))))=0,NA(),SUMPRODUCT((Inputs!$A$5:$A$200=$B42)*Inputs!$B$5:$B$200*(((Inputs!$G$5:$G$200="moeda")+(Inputs!$G$5:$G$200="acoes"))*Inputs!$B$1+((Inputs!$G$5:$G$200&lt;&gt;"moeda")*(Inputs!$G$5:$G$200&lt;&gt;"acoes")))*INDEX(Inputs!$K$5:$AJ$200,0,MATCH(AE$2,Inputs!$K$4:$AJ$4,0)))+SUMPRODUCT((Inputs!$C$5:$C$200=$B42)*Inputs!$D$5:$D$200*(((Inputs!$G$5:$G$200="moeda")+(Inputs!$G$5:$G$200="acoes"))*Inputs!$B$1+((Inputs!$G$5:$G$200&lt;&gt;"moeda")*(Inputs!$G$5:$G$200&lt;&gt;"acoes")))*INDEX(Inputs!$K$5:$AJ$200,0,MATCH(AE$2,Inputs!$K$4:$AJ$4,0)))+SUMPRODUCT((Inputs!$E$5:$E$200=$B42)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2" s="6" t="e">
        <f>IF(ISNA(MATCH(AF$2,Inputs!$K$4:$AJ$4,0)),NA(),IF(SUMPRODUCT((Inputs!$A$5:$A$200=$B42)*ISNUMBER(INDEX(Inputs!$K$5:$AJ$200,0,MATCH(AF$2,Inputs!$K$4:$AJ$4,0))))+SUMPRODUCT((Inputs!$C$5:$C$200=$B42)*ISNUMBER(INDEX(Inputs!$K$5:$AJ$200,0,MATCH(AF$2,Inputs!$K$4:$AJ$4,0))))+SUMPRODUCT((Inputs!$E$5:$E$200=$B42)*ISNUMBER(INDEX(Inputs!$K$5:$AJ$200,0,MATCH(AF$2,Inputs!$K$4:$AJ$4,0))))=0,NA(),SUMPRODUCT((Inputs!$A$5:$A$200=$B42)*Inputs!$B$5:$B$200*(((Inputs!$G$5:$G$200="moeda")+(Inputs!$G$5:$G$200="acoes"))*Inputs!$B$1+((Inputs!$G$5:$G$200&lt;&gt;"moeda")*(Inputs!$G$5:$G$200&lt;&gt;"acoes")))*INDEX(Inputs!$K$5:$AJ$200,0,MATCH(AF$2,Inputs!$K$4:$AJ$4,0)))+SUMPRODUCT((Inputs!$C$5:$C$200=$B42)*Inputs!$D$5:$D$200*(((Inputs!$G$5:$G$200="moeda")+(Inputs!$G$5:$G$200="acoes"))*Inputs!$B$1+((Inputs!$G$5:$G$200&lt;&gt;"moeda")*(Inputs!$G$5:$G$200&lt;&gt;"acoes")))*INDEX(Inputs!$K$5:$AJ$200,0,MATCH(AF$2,Inputs!$K$4:$AJ$4,0)))+SUMPRODUCT((Inputs!$E$5:$E$200=$B42)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2" s="3" t="e">
        <f>AF42</f>
        <v>#N/A</v>
      </c>
      <c r="AH42" s="6" t="e">
        <f>IF(ISNA(MATCH(AH$2,Inputs!$K$4:$AJ$4,0)),NA(),IF(SUMPRODUCT((Inputs!$A$5:$A$200=$B42)*ISNUMBER(INDEX(Inputs!$K$5:$AJ$200,0,MATCH(AH$2,Inputs!$K$4:$AJ$4,0))))+SUMPRODUCT((Inputs!$C$5:$C$200=$B42)*ISNUMBER(INDEX(Inputs!$K$5:$AJ$200,0,MATCH(AH$2,Inputs!$K$4:$AJ$4,0))))+SUMPRODUCT((Inputs!$E$5:$E$200=$B42)*ISNUMBER(INDEX(Inputs!$K$5:$AJ$200,0,MATCH(AH$2,Inputs!$K$4:$AJ$4,0))))=0,NA(),SUMPRODUCT((Inputs!$A$5:$A$200=$B42)*Inputs!$B$5:$B$200*(((Inputs!$G$5:$G$200="moeda")+(Inputs!$G$5:$G$200="acoes"))*Inputs!$B$1+((Inputs!$G$5:$G$200&lt;&gt;"moeda")*(Inputs!$G$5:$G$200&lt;&gt;"acoes")))*INDEX(Inputs!$K$5:$AJ$200,0,MATCH(AH$2,Inputs!$K$4:$AJ$4,0)))+SUMPRODUCT((Inputs!$C$5:$C$200=$B42)*Inputs!$D$5:$D$200*(((Inputs!$G$5:$G$200="moeda")+(Inputs!$G$5:$G$200="acoes"))*Inputs!$B$1+((Inputs!$G$5:$G$200&lt;&gt;"moeda")*(Inputs!$G$5:$G$200&lt;&gt;"acoes")))*INDEX(Inputs!$K$5:$AJ$200,0,MATCH(AH$2,Inputs!$K$4:$AJ$4,0)))+SUMPRODUCT((Inputs!$E$5:$E$200=$B42)*Inputs!$F$5:$F$200*(((Inputs!$G$5:$G$200="moeda")+(Inputs!$G$5:$G$200="acoes"))*Inputs!$B$1+((Inputs!$G$5:$G$200&lt;&gt;"moeda")*(Inputs!$G$5:$G$200&lt;&gt;"acoes")))*INDEX(Inputs!$K$5:$AJ$200,0,MATCH(AH$2,Inputs!$K$4:$AJ$4,0)))))</f>
        <v>#N/A</v>
      </c>
      <c r="AI42" s="6" t="e">
        <f>IF(ISNA(MATCH(AI$2,Inputs!$K$4:$AJ$4,0)),NA(),IF(SUMPRODUCT((Inputs!$A$5:$A$200=$B42)*ISNUMBER(INDEX(Inputs!$K$5:$AJ$200,0,MATCH(AI$2,Inputs!$K$4:$AJ$4,0))))+SUMPRODUCT((Inputs!$C$5:$C$200=$B42)*ISNUMBER(INDEX(Inputs!$K$5:$AJ$200,0,MATCH(AI$2,Inputs!$K$4:$AJ$4,0))))+SUMPRODUCT((Inputs!$E$5:$E$200=$B42)*ISNUMBER(INDEX(Inputs!$K$5:$AJ$200,0,MATCH(AI$2,Inputs!$K$4:$AJ$4,0))))=0,NA(),SUMPRODUCT((Inputs!$A$5:$A$200=$B42)*Inputs!$B$5:$B$200*(((Inputs!$G$5:$G$200="moeda")+(Inputs!$G$5:$G$200="acoes"))*Inputs!$B$1+((Inputs!$G$5:$G$200&lt;&gt;"moeda")*(Inputs!$G$5:$G$200&lt;&gt;"acoes")))*INDEX(Inputs!$K$5:$AJ$200,0,MATCH(AI$2,Inputs!$K$4:$AJ$4,0)))+SUMPRODUCT((Inputs!$C$5:$C$200=$B42)*Inputs!$D$5:$D$200*(((Inputs!$G$5:$G$200="moeda")+(Inputs!$G$5:$G$200="acoes"))*Inputs!$B$1+((Inputs!$G$5:$G$200&lt;&gt;"moeda")*(Inputs!$G$5:$G$200&lt;&gt;"acoes")))*INDEX(Inputs!$K$5:$AJ$200,0,MATCH(AI$2,Inputs!$K$4:$AJ$4,0)))+SUMPRODUCT((Inputs!$E$5:$E$200=$B42)*Inputs!$F$5:$F$200*(((Inputs!$G$5:$G$200="moeda")+(Inputs!$G$5:$G$200="acoes"))*Inputs!$B$1+((Inputs!$G$5:$G$200&lt;&gt;"moeda")*(Inputs!$G$5:$G$200&lt;&gt;"acoes")))*INDEX(Inputs!$K$5:$AJ$200,0,MATCH(AI$2,Inputs!$K$4:$AJ$4,0)))))</f>
        <v>#N/A</v>
      </c>
      <c r="AJ42" s="6" t="e">
        <f>IF(ISNA(MATCH(AJ$2,Inputs!$K$4:$AJ$4,0)),NA(),IF(SUMPRODUCT((Inputs!$A$5:$A$200=$B42)*ISNUMBER(INDEX(Inputs!$K$5:$AJ$200,0,MATCH(AJ$2,Inputs!$K$4:$AJ$4,0))))+SUMPRODUCT((Inputs!$C$5:$C$200=$B42)*ISNUMBER(INDEX(Inputs!$K$5:$AJ$200,0,MATCH(AJ$2,Inputs!$K$4:$AJ$4,0))))+SUMPRODUCT((Inputs!$E$5:$E$200=$B42)*ISNUMBER(INDEX(Inputs!$K$5:$AJ$200,0,MATCH(AJ$2,Inputs!$K$4:$AJ$4,0))))=0,NA(),SUMPRODUCT((Inputs!$A$5:$A$200=$B42)*Inputs!$B$5:$B$200*(((Inputs!$G$5:$G$200="moeda")+(Inputs!$G$5:$G$200="acoes"))*Inputs!$B$1+((Inputs!$G$5:$G$200&lt;&gt;"moeda")*(Inputs!$G$5:$G$200&lt;&gt;"acoes")))*INDEX(Inputs!$K$5:$AJ$200,0,MATCH(AJ$2,Inputs!$K$4:$AJ$4,0)))+SUMPRODUCT((Inputs!$C$5:$C$200=$B42)*Inputs!$D$5:$D$200*(((Inputs!$G$5:$G$200="moeda")+(Inputs!$G$5:$G$200="acoes"))*Inputs!$B$1+((Inputs!$G$5:$G$200&lt;&gt;"moeda")*(Inputs!$G$5:$G$200&lt;&gt;"acoes")))*INDEX(Inputs!$K$5:$AJ$200,0,MATCH(AJ$2,Inputs!$K$4:$AJ$4,0)))+SUMPRODUCT((Inputs!$E$5:$E$200=$B42)*Inputs!$F$5:$F$200*(((Inputs!$G$5:$G$200="moeda")+(Inputs!$G$5:$G$200="acoes"))*Inputs!$B$1+((Inputs!$G$5:$G$200&lt;&gt;"moeda")*(Inputs!$G$5:$G$200&lt;&gt;"acoes")))*INDEX(Inputs!$K$5:$AJ$200,0,MATCH(AJ$2,Inputs!$K$4:$AJ$4,0)))))</f>
        <v>#N/A</v>
      </c>
      <c r="AK42" s="6" t="e">
        <f>IF(ISNA(MATCH(AK$2,Inputs!$K$4:$AJ$4,0)),NA(),IF(SUMPRODUCT((Inputs!$A$5:$A$200=$B42)*ISNUMBER(INDEX(Inputs!$K$5:$AJ$200,0,MATCH(AK$2,Inputs!$K$4:$AJ$4,0))))+SUMPRODUCT((Inputs!$C$5:$C$200=$B42)*ISNUMBER(INDEX(Inputs!$K$5:$AJ$200,0,MATCH(AK$2,Inputs!$K$4:$AJ$4,0))))+SUMPRODUCT((Inputs!$E$5:$E$200=$B42)*ISNUMBER(INDEX(Inputs!$K$5:$AJ$200,0,MATCH(AK$2,Inputs!$K$4:$AJ$4,0))))=0,NA(),SUMPRODUCT((Inputs!$A$5:$A$200=$B42)*Inputs!$B$5:$B$200*(((Inputs!$G$5:$G$200="moeda")+(Inputs!$G$5:$G$200="acoes"))*Inputs!$B$1+((Inputs!$G$5:$G$200&lt;&gt;"moeda")*(Inputs!$G$5:$G$200&lt;&gt;"acoes")))*INDEX(Inputs!$K$5:$AJ$200,0,MATCH(AK$2,Inputs!$K$4:$AJ$4,0)))+SUMPRODUCT((Inputs!$C$5:$C$200=$B42)*Inputs!$D$5:$D$200*(((Inputs!$G$5:$G$200="moeda")+(Inputs!$G$5:$G$200="acoes"))*Inputs!$B$1+((Inputs!$G$5:$G$200&lt;&gt;"moeda")*(Inputs!$G$5:$G$200&lt;&gt;"acoes")))*INDEX(Inputs!$K$5:$AJ$200,0,MATCH(AK$2,Inputs!$K$4:$AJ$4,0)))+SUMPRODUCT((Inputs!$E$5:$E$200=$B42)*Inputs!$F$5:$F$200*(((Inputs!$G$5:$G$200="moeda")+(Inputs!$G$5:$G$200="acoes"))*Inputs!$B$1+((Inputs!$G$5:$G$200&lt;&gt;"moeda")*(Inputs!$G$5:$G$200&lt;&gt;"acoes")))*INDEX(Inputs!$K$5:$AJ$200,0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$200=$B43)*ISNUMBER(INDEX(Inputs!$K$5:$AJ$200,0,MATCH(D$2,Inputs!$K$4:$AJ$4,0))))+SUMPRODUCT((Inputs!$C$5:$C$200=$B43)*ISNUMBER(INDEX(Inputs!$K$5:$AJ$200,0,MATCH(D$2,Inputs!$K$4:$AJ$4,0))))+SUMPRODUCT((Inputs!$E$5:$E$200=$B43)*ISNUMBER(INDEX(Inputs!$K$5:$AJ$200,0,MATCH(D$2,Inputs!$K$4:$AJ$4,0))))=0,NA(),SUMPRODUCT((Inputs!$A$5:$A$200=$B43)*Inputs!$B$5:$B$200*(((Inputs!$G$5:$G$200="moeda")+(Inputs!$G$5:$G$200="acoes"))*Inputs!$B$1+((Inputs!$G$5:$G$200&lt;&gt;"moeda")*(Inputs!$G$5:$G$200&lt;&gt;"acoes")))*INDEX(Inputs!$K$5:$AJ$200,0,MATCH(D$2,Inputs!$K$4:$AJ$4,0)))+SUMPRODUCT((Inputs!$C$5:$C$200=$B43)*Inputs!$D$5:$D$200*(((Inputs!$G$5:$G$200="moeda")+(Inputs!$G$5:$G$200="acoes"))*Inputs!$B$1+((Inputs!$G$5:$G$200&lt;&gt;"moeda")*(Inputs!$G$5:$G$200&lt;&gt;"acoes")))*INDEX(Inputs!$K$5:$AJ$200,0,MATCH(D$2,Inputs!$K$4:$AJ$4,0)))+SUMPRODUCT((Inputs!$E$5:$E$200=$B43)*Inputs!$F$5:$F$200*(((Inputs!$G$5:$G$200="moeda")+(Inputs!$G$5:$G$200="acoes"))*Inputs!$B$1+((Inputs!$G$5:$G$200&lt;&gt;"moeda")*(Inputs!$G$5:$G$200&lt;&gt;"acoes")))*INDEX(Inputs!$K$5:$AJ$200,0,MATCH(D$2,Inputs!$K$4:$AJ$4,0)))))</f>
        <v>817.544</v>
      </c>
      <c r="E43" s="6">
        <f>IF(ISNA(MATCH(E$2,Inputs!$K$4:$AJ$4,0)),NA(),IF(SUMPRODUCT((Inputs!$A$5:$A$200=$B43)*ISNUMBER(INDEX(Inputs!$K$5:$AJ$200,0,MATCH(E$2,Inputs!$K$4:$AJ$4,0))))+SUMPRODUCT((Inputs!$C$5:$C$200=$B43)*ISNUMBER(INDEX(Inputs!$K$5:$AJ$200,0,MATCH(E$2,Inputs!$K$4:$AJ$4,0))))+SUMPRODUCT((Inputs!$E$5:$E$200=$B43)*ISNUMBER(INDEX(Inputs!$K$5:$AJ$200,0,MATCH(E$2,Inputs!$K$4:$AJ$4,0))))=0,NA(),SUMPRODUCT((Inputs!$A$5:$A$200=$B43)*Inputs!$B$5:$B$200*(((Inputs!$G$5:$G$200="moeda")+(Inputs!$G$5:$G$200="acoes"))*Inputs!$B$1+((Inputs!$G$5:$G$200&lt;&gt;"moeda")*(Inputs!$G$5:$G$200&lt;&gt;"acoes")))*INDEX(Inputs!$K$5:$AJ$200,0,MATCH(E$2,Inputs!$K$4:$AJ$4,0)))+SUMPRODUCT((Inputs!$C$5:$C$200=$B43)*Inputs!$D$5:$D$200*(((Inputs!$G$5:$G$200="moeda")+(Inputs!$G$5:$G$200="acoes"))*Inputs!$B$1+((Inputs!$G$5:$G$200&lt;&gt;"moeda")*(Inputs!$G$5:$G$200&lt;&gt;"acoes")))*INDEX(Inputs!$K$5:$AJ$200,0,MATCH(E$2,Inputs!$K$4:$AJ$4,0)))+SUMPRODUCT((Inputs!$E$5:$E$200=$B43)*Inputs!$F$5:$F$200*(((Inputs!$G$5:$G$200="moeda")+(Inputs!$G$5:$G$200="acoes"))*Inputs!$B$1+((Inputs!$G$5:$G$200&lt;&gt;"moeda")*(Inputs!$G$5:$G$200&lt;&gt;"acoes")))*INDEX(Inputs!$K$5:$AJ$200,0,MATCH(E$2,Inputs!$K$4:$AJ$4,0)))))</f>
        <v>816.2</v>
      </c>
      <c r="F43" s="6">
        <f>IF(ISNA(MATCH(F$2,Inputs!$K$4:$AJ$4,0)),NA(),IF(SUMPRODUCT((Inputs!$A$5:$A$200=$B43)*ISNUMBER(INDEX(Inputs!$K$5:$AJ$200,0,MATCH(F$2,Inputs!$K$4:$AJ$4,0))))+SUMPRODUCT((Inputs!$C$5:$C$200=$B43)*ISNUMBER(INDEX(Inputs!$K$5:$AJ$200,0,MATCH(F$2,Inputs!$K$4:$AJ$4,0))))+SUMPRODUCT((Inputs!$E$5:$E$200=$B43)*ISNUMBER(INDEX(Inputs!$K$5:$AJ$200,0,MATCH(F$2,Inputs!$K$4:$AJ$4,0))))=0,NA(),SUMPRODUCT((Inputs!$A$5:$A$200=$B43)*Inputs!$B$5:$B$200*(((Inputs!$G$5:$G$200="moeda")+(Inputs!$G$5:$G$200="acoes"))*Inputs!$B$1+((Inputs!$G$5:$G$200&lt;&gt;"moeda")*(Inputs!$G$5:$G$200&lt;&gt;"acoes")))*INDEX(Inputs!$K$5:$AJ$200,0,MATCH(F$2,Inputs!$K$4:$AJ$4,0)))+SUMPRODUCT((Inputs!$C$5:$C$200=$B43)*Inputs!$D$5:$D$200*(((Inputs!$G$5:$G$200="moeda")+(Inputs!$G$5:$G$200="acoes"))*Inputs!$B$1+((Inputs!$G$5:$G$200&lt;&gt;"moeda")*(Inputs!$G$5:$G$200&lt;&gt;"acoes")))*INDEX(Inputs!$K$5:$AJ$200,0,MATCH(F$2,Inputs!$K$4:$AJ$4,0)))+SUMPRODUCT((Inputs!$E$5:$E$200=$B43)*Inputs!$F$5:$F$200*(((Inputs!$G$5:$G$200="moeda")+(Inputs!$G$5:$G$200="acoes"))*Inputs!$B$1+((Inputs!$G$5:$G$200&lt;&gt;"moeda")*(Inputs!$G$5:$G$200&lt;&gt;"acoes")))*INDEX(Inputs!$K$5:$AJ$200,0,MATCH(F$2,Inputs!$K$4:$AJ$4,0)))))</f>
        <v>816.2</v>
      </c>
      <c r="G43" s="6">
        <f>IF(ISNA(MATCH(G$2,Inputs!$K$4:$AJ$4,0)),NA(),IF(SUMPRODUCT((Inputs!$A$5:$A$200=$B43)*ISNUMBER(INDEX(Inputs!$K$5:$AJ$200,0,MATCH(G$2,Inputs!$K$4:$AJ$4,0))))+SUMPRODUCT((Inputs!$C$5:$C$200=$B43)*ISNUMBER(INDEX(Inputs!$K$5:$AJ$200,0,MATCH(G$2,Inputs!$K$4:$AJ$4,0))))+SUMPRODUCT((Inputs!$E$5:$E$200=$B43)*ISNUMBER(INDEX(Inputs!$K$5:$AJ$200,0,MATCH(G$2,Inputs!$K$4:$AJ$4,0))))=0,NA(),SUMPRODUCT((Inputs!$A$5:$A$200=$B43)*Inputs!$B$5:$B$200*(((Inputs!$G$5:$G$200="moeda")+(Inputs!$G$5:$G$200="acoes"))*Inputs!$B$1+((Inputs!$G$5:$G$200&lt;&gt;"moeda")*(Inputs!$G$5:$G$200&lt;&gt;"acoes")))*INDEX(Inputs!$K$5:$AJ$200,0,MATCH(G$2,Inputs!$K$4:$AJ$4,0)))+SUMPRODUCT((Inputs!$C$5:$C$200=$B43)*Inputs!$D$5:$D$200*(((Inputs!$G$5:$G$200="moeda")+(Inputs!$G$5:$G$200="acoes"))*Inputs!$B$1+((Inputs!$G$5:$G$200&lt;&gt;"moeda")*(Inputs!$G$5:$G$200&lt;&gt;"acoes")))*INDEX(Inputs!$K$5:$AJ$200,0,MATCH(G$2,Inputs!$K$4:$AJ$4,0)))+SUMPRODUCT((Inputs!$E$5:$E$200=$B43)*Inputs!$F$5:$F$200*(((Inputs!$G$5:$G$200="moeda")+(Inputs!$G$5:$G$200="acoes"))*Inputs!$B$1+((Inputs!$G$5:$G$200&lt;&gt;"moeda")*(Inputs!$G$5:$G$200&lt;&gt;"acoes")))*INDEX(Inputs!$K$5:$AJ$200,0,MATCH(G$2,Inputs!$K$4:$AJ$4,0)))))</f>
        <v>816.2</v>
      </c>
      <c r="H43" s="3">
        <f>G43</f>
        <v>816.2</v>
      </c>
      <c r="I43" s="6">
        <f>IF(ISNA(MATCH(I$2,Inputs!$K$4:$AJ$4,0)),NA(),IF(SUMPRODUCT((Inputs!$A$5:$A$200=$B43)*ISNUMBER(INDEX(Inputs!$K$5:$AJ$200,0,MATCH(I$2,Inputs!$K$4:$AJ$4,0))))+SUMPRODUCT((Inputs!$C$5:$C$200=$B43)*ISNUMBER(INDEX(Inputs!$K$5:$AJ$200,0,MATCH(I$2,Inputs!$K$4:$AJ$4,0))))+SUMPRODUCT((Inputs!$E$5:$E$200=$B43)*ISNUMBER(INDEX(Inputs!$K$5:$AJ$200,0,MATCH(I$2,Inputs!$K$4:$AJ$4,0))))=0,NA(),SUMPRODUCT((Inputs!$A$5:$A$200=$B43)*Inputs!$B$5:$B$200*(((Inputs!$G$5:$G$200="moeda")+(Inputs!$G$5:$G$200="acoes"))*Inputs!$B$1+((Inputs!$G$5:$G$200&lt;&gt;"moeda")*(Inputs!$G$5:$G$200&lt;&gt;"acoes")))*INDEX(Inputs!$K$5:$AJ$200,0,MATCH(I$2,Inputs!$K$4:$AJ$4,0)))+SUMPRODUCT((Inputs!$C$5:$C$200=$B43)*Inputs!$D$5:$D$200*(((Inputs!$G$5:$G$200="moeda")+(Inputs!$G$5:$G$200="acoes"))*Inputs!$B$1+((Inputs!$G$5:$G$200&lt;&gt;"moeda")*(Inputs!$G$5:$G$200&lt;&gt;"acoes")))*INDEX(Inputs!$K$5:$AJ$200,0,MATCH(I$2,Inputs!$K$4:$AJ$4,0)))+SUMPRODUCT((Inputs!$E$5:$E$200=$B43)*Inputs!$F$5:$F$200*(((Inputs!$G$5:$G$200="moeda")+(Inputs!$G$5:$G$200="acoes"))*Inputs!$B$1+((Inputs!$G$5:$G$200&lt;&gt;"moeda")*(Inputs!$G$5:$G$200&lt;&gt;"acoes")))*INDEX(Inputs!$K$5:$AJ$200,0,MATCH(I$2,Inputs!$K$4:$AJ$4,0)))))</f>
        <v>816.2</v>
      </c>
      <c r="J43" s="6">
        <f>IF(ISNA(MATCH(J$2,Inputs!$K$4:$AJ$4,0)),NA(),IF(SUMPRODUCT((Inputs!$A$5:$A$200=$B43)*ISNUMBER(INDEX(Inputs!$K$5:$AJ$200,0,MATCH(J$2,Inputs!$K$4:$AJ$4,0))))+SUMPRODUCT((Inputs!$C$5:$C$200=$B43)*ISNUMBER(INDEX(Inputs!$K$5:$AJ$200,0,MATCH(J$2,Inputs!$K$4:$AJ$4,0))))+SUMPRODUCT((Inputs!$E$5:$E$200=$B43)*ISNUMBER(INDEX(Inputs!$K$5:$AJ$200,0,MATCH(J$2,Inputs!$K$4:$AJ$4,0))))=0,NA(),SUMPRODUCT((Inputs!$A$5:$A$200=$B43)*Inputs!$B$5:$B$200*(((Inputs!$G$5:$G$200="moeda")+(Inputs!$G$5:$G$200="acoes"))*Inputs!$B$1+((Inputs!$G$5:$G$200&lt;&gt;"moeda")*(Inputs!$G$5:$G$200&lt;&gt;"acoes")))*INDEX(Inputs!$K$5:$AJ$200,0,MATCH(J$2,Inputs!$K$4:$AJ$4,0)))+SUMPRODUCT((Inputs!$C$5:$C$200=$B43)*Inputs!$D$5:$D$200*(((Inputs!$G$5:$G$200="moeda")+(Inputs!$G$5:$G$200="acoes"))*Inputs!$B$1+((Inputs!$G$5:$G$200&lt;&gt;"moeda")*(Inputs!$G$5:$G$200&lt;&gt;"acoes")))*INDEX(Inputs!$K$5:$AJ$200,0,MATCH(J$2,Inputs!$K$4:$AJ$4,0)))+SUMPRODUCT((Inputs!$E$5:$E$200=$B43)*Inputs!$F$5:$F$200*(((Inputs!$G$5:$G$200="moeda")+(Inputs!$G$5:$G$200="acoes"))*Inputs!$B$1+((Inputs!$G$5:$G$200&lt;&gt;"moeda")*(Inputs!$G$5:$G$200&lt;&gt;"acoes")))*INDEX(Inputs!$K$5:$AJ$200,0,MATCH(J$2,Inputs!$K$4:$AJ$4,0)))))</f>
        <v>929.655</v>
      </c>
      <c r="K43" s="6">
        <f>IF(ISNA(MATCH(K$2,Inputs!$K$4:$AJ$4,0)),NA(),IF(SUMPRODUCT((Inputs!$A$5:$A$200=$B43)*ISNUMBER(INDEX(Inputs!$K$5:$AJ$200,0,MATCH(K$2,Inputs!$K$4:$AJ$4,0))))+SUMPRODUCT((Inputs!$C$5:$C$200=$B43)*ISNUMBER(INDEX(Inputs!$K$5:$AJ$200,0,MATCH(K$2,Inputs!$K$4:$AJ$4,0))))+SUMPRODUCT((Inputs!$E$5:$E$200=$B43)*ISNUMBER(INDEX(Inputs!$K$5:$AJ$200,0,MATCH(K$2,Inputs!$K$4:$AJ$4,0))))=0,NA(),SUMPRODUCT((Inputs!$A$5:$A$200=$B43)*Inputs!$B$5:$B$200*(((Inputs!$G$5:$G$200="moeda")+(Inputs!$G$5:$G$200="acoes"))*Inputs!$B$1+((Inputs!$G$5:$G$200&lt;&gt;"moeda")*(Inputs!$G$5:$G$200&lt;&gt;"acoes")))*INDEX(Inputs!$K$5:$AJ$200,0,MATCH(K$2,Inputs!$K$4:$AJ$4,0)))+SUMPRODUCT((Inputs!$C$5:$C$200=$B43)*Inputs!$D$5:$D$200*(((Inputs!$G$5:$G$200="moeda")+(Inputs!$G$5:$G$200="acoes"))*Inputs!$B$1+((Inputs!$G$5:$G$200&lt;&gt;"moeda")*(Inputs!$G$5:$G$200&lt;&gt;"acoes")))*INDEX(Inputs!$K$5:$AJ$200,0,MATCH(K$2,Inputs!$K$4:$AJ$4,0)))+SUMPRODUCT((Inputs!$E$5:$E$200=$B43)*Inputs!$F$5:$F$200*(((Inputs!$G$5:$G$200="moeda")+(Inputs!$G$5:$G$200="acoes"))*Inputs!$B$1+((Inputs!$G$5:$G$200&lt;&gt;"moeda")*(Inputs!$G$5:$G$200&lt;&gt;"acoes")))*INDEX(Inputs!$K$5:$AJ$200,0,MATCH(K$2,Inputs!$K$4:$AJ$4,0)))))</f>
        <v>929.655</v>
      </c>
      <c r="L43" s="6">
        <f>IF(ISNA(MATCH(L$2,Inputs!$K$4:$AJ$4,0)),NA(),IF(SUMPRODUCT((Inputs!$A$5:$A$200=$B43)*ISNUMBER(INDEX(Inputs!$K$5:$AJ$200,0,MATCH(L$2,Inputs!$K$4:$AJ$4,0))))+SUMPRODUCT((Inputs!$C$5:$C$200=$B43)*ISNUMBER(INDEX(Inputs!$K$5:$AJ$200,0,MATCH(L$2,Inputs!$K$4:$AJ$4,0))))+SUMPRODUCT((Inputs!$E$5:$E$200=$B43)*ISNUMBER(INDEX(Inputs!$K$5:$AJ$200,0,MATCH(L$2,Inputs!$K$4:$AJ$4,0))))=0,NA(),SUMPRODUCT((Inputs!$A$5:$A$200=$B43)*Inputs!$B$5:$B$200*(((Inputs!$G$5:$G$200="moeda")+(Inputs!$G$5:$G$200="acoes"))*Inputs!$B$1+((Inputs!$G$5:$G$200&lt;&gt;"moeda")*(Inputs!$G$5:$G$200&lt;&gt;"acoes")))*INDEX(Inputs!$K$5:$AJ$200,0,MATCH(L$2,Inputs!$K$4:$AJ$4,0)))+SUMPRODUCT((Inputs!$C$5:$C$200=$B43)*Inputs!$D$5:$D$200*(((Inputs!$G$5:$G$200="moeda")+(Inputs!$G$5:$G$200="acoes"))*Inputs!$B$1+((Inputs!$G$5:$G$200&lt;&gt;"moeda")*(Inputs!$G$5:$G$200&lt;&gt;"acoes")))*INDEX(Inputs!$K$5:$AJ$200,0,MATCH(L$2,Inputs!$K$4:$AJ$4,0)))+SUMPRODUCT((Inputs!$E$5:$E$200=$B43)*Inputs!$F$5:$F$200*(((Inputs!$G$5:$G$200="moeda")+(Inputs!$G$5:$G$200="acoes"))*Inputs!$B$1+((Inputs!$G$5:$G$200&lt;&gt;"moeda")*(Inputs!$G$5:$G$200&lt;&gt;"acoes")))*INDEX(Inputs!$K$5:$AJ$200,0,MATCH(L$2,Inputs!$K$4:$AJ$4,0)))))</f>
        <v>1113.454</v>
      </c>
      <c r="M43" s="3">
        <f>L43</f>
        <v>1113.454</v>
      </c>
      <c r="N43" s="6">
        <f>IF(ISNA(MATCH(N$2,Inputs!$K$4:$AJ$4,0)),NA(),IF(SUMPRODUCT((Inputs!$A$5:$A$200=$B43)*ISNUMBER(INDEX(Inputs!$K$5:$AJ$200,0,MATCH(N$2,Inputs!$K$4:$AJ$4,0))))+SUMPRODUCT((Inputs!$C$5:$C$200=$B43)*ISNUMBER(INDEX(Inputs!$K$5:$AJ$200,0,MATCH(N$2,Inputs!$K$4:$AJ$4,0))))+SUMPRODUCT((Inputs!$E$5:$E$200=$B43)*ISNUMBER(INDEX(Inputs!$K$5:$AJ$200,0,MATCH(N$2,Inputs!$K$4:$AJ$4,0))))=0,NA(),SUMPRODUCT((Inputs!$A$5:$A$200=$B43)*Inputs!$B$5:$B$200*(((Inputs!$G$5:$G$200="moeda")+(Inputs!$G$5:$G$200="acoes"))*Inputs!$B$1+((Inputs!$G$5:$G$200&lt;&gt;"moeda")*(Inputs!$G$5:$G$200&lt;&gt;"acoes")))*INDEX(Inputs!$K$5:$AJ$200,0,MATCH(N$2,Inputs!$K$4:$AJ$4,0)))+SUMPRODUCT((Inputs!$C$5:$C$200=$B43)*Inputs!$D$5:$D$200*(((Inputs!$G$5:$G$200="moeda")+(Inputs!$G$5:$G$200="acoes"))*Inputs!$B$1+((Inputs!$G$5:$G$200&lt;&gt;"moeda")*(Inputs!$G$5:$G$200&lt;&gt;"acoes")))*INDEX(Inputs!$K$5:$AJ$200,0,MATCH(N$2,Inputs!$K$4:$AJ$4,0)))+SUMPRODUCT((Inputs!$E$5:$E$200=$B43)*Inputs!$F$5:$F$200*(((Inputs!$G$5:$G$200="moeda")+(Inputs!$G$5:$G$200="acoes"))*Inputs!$B$1+((Inputs!$G$5:$G$200&lt;&gt;"moeda")*(Inputs!$G$5:$G$200&lt;&gt;"acoes")))*INDEX(Inputs!$K$5:$AJ$200,0,MATCH(N$2,Inputs!$K$4:$AJ$4,0)))))</f>
        <v>1461.658</v>
      </c>
      <c r="O43" s="6">
        <f>IF(ISNA(MATCH(O$2,Inputs!$K$4:$AJ$4,0)),NA(),IF(SUMPRODUCT((Inputs!$A$5:$A$200=$B43)*ISNUMBER(INDEX(Inputs!$K$5:$AJ$200,0,MATCH(O$2,Inputs!$K$4:$AJ$4,0))))+SUMPRODUCT((Inputs!$C$5:$C$200=$B43)*ISNUMBER(INDEX(Inputs!$K$5:$AJ$200,0,MATCH(O$2,Inputs!$K$4:$AJ$4,0))))+SUMPRODUCT((Inputs!$E$5:$E$200=$B43)*ISNUMBER(INDEX(Inputs!$K$5:$AJ$200,0,MATCH(O$2,Inputs!$K$4:$AJ$4,0))))=0,NA(),SUMPRODUCT((Inputs!$A$5:$A$200=$B43)*Inputs!$B$5:$B$200*(((Inputs!$G$5:$G$200="moeda")+(Inputs!$G$5:$G$200="acoes"))*Inputs!$B$1+((Inputs!$G$5:$G$200&lt;&gt;"moeda")*(Inputs!$G$5:$G$200&lt;&gt;"acoes")))*INDEX(Inputs!$K$5:$AJ$200,0,MATCH(O$2,Inputs!$K$4:$AJ$4,0)))+SUMPRODUCT((Inputs!$C$5:$C$200=$B43)*Inputs!$D$5:$D$200*(((Inputs!$G$5:$G$200="moeda")+(Inputs!$G$5:$G$200="acoes"))*Inputs!$B$1+((Inputs!$G$5:$G$200&lt;&gt;"moeda")*(Inputs!$G$5:$G$200&lt;&gt;"acoes")))*INDEX(Inputs!$K$5:$AJ$200,0,MATCH(O$2,Inputs!$K$4:$AJ$4,0)))+SUMPRODUCT((Inputs!$E$5:$E$200=$B43)*Inputs!$F$5:$F$200*(((Inputs!$G$5:$G$200="moeda")+(Inputs!$G$5:$G$200="acoes"))*Inputs!$B$1+((Inputs!$G$5:$G$200&lt;&gt;"moeda")*(Inputs!$G$5:$G$200&lt;&gt;"acoes")))*INDEX(Inputs!$K$5:$AJ$200,0,MATCH(O$2,Inputs!$K$4:$AJ$4,0)))))</f>
        <v>1544.389</v>
      </c>
      <c r="P43" s="6">
        <f>IF(ISNA(MATCH(P$2,Inputs!$K$4:$AJ$4,0)),NA(),IF(SUMPRODUCT((Inputs!$A$5:$A$200=$B43)*ISNUMBER(INDEX(Inputs!$K$5:$AJ$200,0,MATCH(P$2,Inputs!$K$4:$AJ$4,0))))+SUMPRODUCT((Inputs!$C$5:$C$200=$B43)*ISNUMBER(INDEX(Inputs!$K$5:$AJ$200,0,MATCH(P$2,Inputs!$K$4:$AJ$4,0))))+SUMPRODUCT((Inputs!$E$5:$E$200=$B43)*ISNUMBER(INDEX(Inputs!$K$5:$AJ$200,0,MATCH(P$2,Inputs!$K$4:$AJ$4,0))))=0,NA(),SUMPRODUCT((Inputs!$A$5:$A$200=$B43)*Inputs!$B$5:$B$200*(((Inputs!$G$5:$G$200="moeda")+(Inputs!$G$5:$G$200="acoes"))*Inputs!$B$1+((Inputs!$G$5:$G$200&lt;&gt;"moeda")*(Inputs!$G$5:$G$200&lt;&gt;"acoes")))*INDEX(Inputs!$K$5:$AJ$200,0,MATCH(P$2,Inputs!$K$4:$AJ$4,0)))+SUMPRODUCT((Inputs!$C$5:$C$200=$B43)*Inputs!$D$5:$D$200*(((Inputs!$G$5:$G$200="moeda")+(Inputs!$G$5:$G$200="acoes"))*Inputs!$B$1+((Inputs!$G$5:$G$200&lt;&gt;"moeda")*(Inputs!$G$5:$G$200&lt;&gt;"acoes")))*INDEX(Inputs!$K$5:$AJ$200,0,MATCH(P$2,Inputs!$K$4:$AJ$4,0)))+SUMPRODUCT((Inputs!$E$5:$E$200=$B43)*Inputs!$F$5:$F$200*(((Inputs!$G$5:$G$200="moeda")+(Inputs!$G$5:$G$200="acoes"))*Inputs!$B$1+((Inputs!$G$5:$G$200&lt;&gt;"moeda")*(Inputs!$G$5:$G$200&lt;&gt;"acoes")))*INDEX(Inputs!$K$5:$AJ$200,0,MATCH(P$2,Inputs!$K$4:$AJ$4,0)))))</f>
        <v>1544.389</v>
      </c>
      <c r="Q43" s="6">
        <f>IF(ISNA(MATCH(Q$2,Inputs!$K$4:$AJ$4,0)),NA(),IF(SUMPRODUCT((Inputs!$A$5:$A$200=$B43)*ISNUMBER(INDEX(Inputs!$K$5:$AJ$200,0,MATCH(Q$2,Inputs!$K$4:$AJ$4,0))))+SUMPRODUCT((Inputs!$C$5:$C$200=$B43)*ISNUMBER(INDEX(Inputs!$K$5:$AJ$200,0,MATCH(Q$2,Inputs!$K$4:$AJ$4,0))))+SUMPRODUCT((Inputs!$E$5:$E$200=$B43)*ISNUMBER(INDEX(Inputs!$K$5:$AJ$200,0,MATCH(Q$2,Inputs!$K$4:$AJ$4,0))))=0,NA(),SUMPRODUCT((Inputs!$A$5:$A$200=$B43)*Inputs!$B$5:$B$200*(((Inputs!$G$5:$G$200="moeda")+(Inputs!$G$5:$G$200="acoes"))*Inputs!$B$1+((Inputs!$G$5:$G$200&lt;&gt;"moeda")*(Inputs!$G$5:$G$200&lt;&gt;"acoes")))*INDEX(Inputs!$K$5:$AJ$200,0,MATCH(Q$2,Inputs!$K$4:$AJ$4,0)))+SUMPRODUCT((Inputs!$C$5:$C$200=$B43)*Inputs!$D$5:$D$200*(((Inputs!$G$5:$G$200="moeda")+(Inputs!$G$5:$G$200="acoes"))*Inputs!$B$1+((Inputs!$G$5:$G$200&lt;&gt;"moeda")*(Inputs!$G$5:$G$200&lt;&gt;"acoes")))*INDEX(Inputs!$K$5:$AJ$200,0,MATCH(Q$2,Inputs!$K$4:$AJ$4,0)))+SUMPRODUCT((Inputs!$E$5:$E$200=$B43)*Inputs!$F$5:$F$200*(((Inputs!$G$5:$G$200="moeda")+(Inputs!$G$5:$G$200="acoes"))*Inputs!$B$1+((Inputs!$G$5:$G$200&lt;&gt;"moeda")*(Inputs!$G$5:$G$200&lt;&gt;"acoes")))*INDEX(Inputs!$K$5:$AJ$200,0,MATCH(Q$2,Inputs!$K$4:$AJ$4,0)))))</f>
        <v>1544.389</v>
      </c>
      <c r="R43" s="3">
        <f>Q43</f>
        <v>1544.389</v>
      </c>
      <c r="S43" s="6">
        <f>IF(ISNA(MATCH(S$2,Inputs!$K$4:$AJ$4,0)),NA(),IF(SUMPRODUCT((Inputs!$A$5:$A$200=$B43)*ISNUMBER(INDEX(Inputs!$K$5:$AJ$200,0,MATCH(S$2,Inputs!$K$4:$AJ$4,0))))+SUMPRODUCT((Inputs!$C$5:$C$200=$B43)*ISNUMBER(INDEX(Inputs!$K$5:$AJ$200,0,MATCH(S$2,Inputs!$K$4:$AJ$4,0))))+SUMPRODUCT((Inputs!$E$5:$E$200=$B43)*ISNUMBER(INDEX(Inputs!$K$5:$AJ$200,0,MATCH(S$2,Inputs!$K$4:$AJ$4,0))))=0,NA(),SUMPRODUCT((Inputs!$A$5:$A$200=$B43)*Inputs!$B$5:$B$200*(((Inputs!$G$5:$G$200="moeda")+(Inputs!$G$5:$G$200="acoes"))*Inputs!$B$1+((Inputs!$G$5:$G$200&lt;&gt;"moeda")*(Inputs!$G$5:$G$200&lt;&gt;"acoes")))*INDEX(Inputs!$K$5:$AJ$200,0,MATCH(S$2,Inputs!$K$4:$AJ$4,0)))+SUMPRODUCT((Inputs!$C$5:$C$200=$B43)*Inputs!$D$5:$D$200*(((Inputs!$G$5:$G$200="moeda")+(Inputs!$G$5:$G$200="acoes"))*Inputs!$B$1+((Inputs!$G$5:$G$200&lt;&gt;"moeda")*(Inputs!$G$5:$G$200&lt;&gt;"acoes")))*INDEX(Inputs!$K$5:$AJ$200,0,MATCH(S$2,Inputs!$K$4:$AJ$4,0)))+SUMPRODUCT((Inputs!$E$5:$E$200=$B43)*Inputs!$F$5:$F$200*(((Inputs!$G$5:$G$200="moeda")+(Inputs!$G$5:$G$200="acoes"))*Inputs!$B$1+((Inputs!$G$5:$G$200&lt;&gt;"moeda")*(Inputs!$G$5:$G$200&lt;&gt;"acoes")))*INDEX(Inputs!$K$5:$AJ$200,0,MATCH(S$2,Inputs!$K$4:$AJ$4,0)))))</f>
        <v>1544.389</v>
      </c>
      <c r="T43" s="6">
        <f>IF(ISNA(MATCH(T$2,Inputs!$K$4:$AJ$4,0)),NA(),IF(SUMPRODUCT((Inputs!$A$5:$A$200=$B43)*ISNUMBER(INDEX(Inputs!$K$5:$AJ$200,0,MATCH(T$2,Inputs!$K$4:$AJ$4,0))))+SUMPRODUCT((Inputs!$C$5:$C$200=$B43)*ISNUMBER(INDEX(Inputs!$K$5:$AJ$200,0,MATCH(T$2,Inputs!$K$4:$AJ$4,0))))+SUMPRODUCT((Inputs!$E$5:$E$200=$B43)*ISNUMBER(INDEX(Inputs!$K$5:$AJ$200,0,MATCH(T$2,Inputs!$K$4:$AJ$4,0))))=0,NA(),SUMPRODUCT((Inputs!$A$5:$A$200=$B43)*Inputs!$B$5:$B$200*(((Inputs!$G$5:$G$200="moeda")+(Inputs!$G$5:$G$200="acoes"))*Inputs!$B$1+((Inputs!$G$5:$G$200&lt;&gt;"moeda")*(Inputs!$G$5:$G$200&lt;&gt;"acoes")))*INDEX(Inputs!$K$5:$AJ$200,0,MATCH(T$2,Inputs!$K$4:$AJ$4,0)))+SUMPRODUCT((Inputs!$C$5:$C$200=$B43)*Inputs!$D$5:$D$200*(((Inputs!$G$5:$G$200="moeda")+(Inputs!$G$5:$G$200="acoes"))*Inputs!$B$1+((Inputs!$G$5:$G$200&lt;&gt;"moeda")*(Inputs!$G$5:$G$200&lt;&gt;"acoes")))*INDEX(Inputs!$K$5:$AJ$200,0,MATCH(T$2,Inputs!$K$4:$AJ$4,0)))+SUMPRODUCT((Inputs!$E$5:$E$200=$B43)*Inputs!$F$5:$F$200*(((Inputs!$G$5:$G$200="moeda")+(Inputs!$G$5:$G$200="acoes"))*Inputs!$B$1+((Inputs!$G$5:$G$200&lt;&gt;"moeda")*(Inputs!$G$5:$G$200&lt;&gt;"acoes")))*INDEX(Inputs!$K$5:$AJ$200,0,MATCH(T$2,Inputs!$K$4:$AJ$4,0)))))</f>
        <v>1544.389</v>
      </c>
      <c r="U43" s="6">
        <f>IF(ISNA(MATCH(U$2,Inputs!$K$4:$AJ$4,0)),NA(),IF(SUMPRODUCT((Inputs!$A$5:$A$200=$B43)*ISNUMBER(INDEX(Inputs!$K$5:$AJ$200,0,MATCH(U$2,Inputs!$K$4:$AJ$4,0))))+SUMPRODUCT((Inputs!$C$5:$C$200=$B43)*ISNUMBER(INDEX(Inputs!$K$5:$AJ$200,0,MATCH(U$2,Inputs!$K$4:$AJ$4,0))))+SUMPRODUCT((Inputs!$E$5:$E$200=$B43)*ISNUMBER(INDEX(Inputs!$K$5:$AJ$200,0,MATCH(U$2,Inputs!$K$4:$AJ$4,0))))=0,NA(),SUMPRODUCT((Inputs!$A$5:$A$200=$B43)*Inputs!$B$5:$B$200*(((Inputs!$G$5:$G$200="moeda")+(Inputs!$G$5:$G$200="acoes"))*Inputs!$B$1+((Inputs!$G$5:$G$200&lt;&gt;"moeda")*(Inputs!$G$5:$G$200&lt;&gt;"acoes")))*INDEX(Inputs!$K$5:$AJ$200,0,MATCH(U$2,Inputs!$K$4:$AJ$4,0)))+SUMPRODUCT((Inputs!$C$5:$C$200=$B43)*Inputs!$D$5:$D$200*(((Inputs!$G$5:$G$200="moeda")+(Inputs!$G$5:$G$200="acoes"))*Inputs!$B$1+((Inputs!$G$5:$G$200&lt;&gt;"moeda")*(Inputs!$G$5:$G$200&lt;&gt;"acoes")))*INDEX(Inputs!$K$5:$AJ$200,0,MATCH(U$2,Inputs!$K$4:$AJ$4,0)))+SUMPRODUCT((Inputs!$E$5:$E$200=$B43)*Inputs!$F$5:$F$200*(((Inputs!$G$5:$G$200="moeda")+(Inputs!$G$5:$G$200="acoes"))*Inputs!$B$1+((Inputs!$G$5:$G$200&lt;&gt;"moeda")*(Inputs!$G$5:$G$200&lt;&gt;"acoes")))*INDEX(Inputs!$K$5:$AJ$200,0,MATCH(U$2,Inputs!$K$4:$AJ$4,0)))))</f>
        <v>1544.389</v>
      </c>
      <c r="V43" s="6">
        <f>IF(ISNA(MATCH(V$2,Inputs!$K$4:$AJ$4,0)),NA(),IF(SUMPRODUCT((Inputs!$A$5:$A$200=$B43)*ISNUMBER(INDEX(Inputs!$K$5:$AJ$200,0,MATCH(V$2,Inputs!$K$4:$AJ$4,0))))+SUMPRODUCT((Inputs!$C$5:$C$200=$B43)*ISNUMBER(INDEX(Inputs!$K$5:$AJ$200,0,MATCH(V$2,Inputs!$K$4:$AJ$4,0))))+SUMPRODUCT((Inputs!$E$5:$E$200=$B43)*ISNUMBER(INDEX(Inputs!$K$5:$AJ$200,0,MATCH(V$2,Inputs!$K$4:$AJ$4,0))))=0,NA(),SUMPRODUCT((Inputs!$A$5:$A$200=$B43)*Inputs!$B$5:$B$200*(((Inputs!$G$5:$G$200="moeda")+(Inputs!$G$5:$G$200="acoes"))*Inputs!$B$1+((Inputs!$G$5:$G$200&lt;&gt;"moeda")*(Inputs!$G$5:$G$200&lt;&gt;"acoes")))*INDEX(Inputs!$K$5:$AJ$200,0,MATCH(V$2,Inputs!$K$4:$AJ$4,0)))+SUMPRODUCT((Inputs!$C$5:$C$200=$B43)*Inputs!$D$5:$D$200*(((Inputs!$G$5:$G$200="moeda")+(Inputs!$G$5:$G$200="acoes"))*Inputs!$B$1+((Inputs!$G$5:$G$200&lt;&gt;"moeda")*(Inputs!$G$5:$G$200&lt;&gt;"acoes")))*INDEX(Inputs!$K$5:$AJ$200,0,MATCH(V$2,Inputs!$K$4:$AJ$4,0)))+SUMPRODUCT((Inputs!$E$5:$E$200=$B43)*Inputs!$F$5:$F$200*(((Inputs!$G$5:$G$200="moeda")+(Inputs!$G$5:$G$200="acoes"))*Inputs!$B$1+((Inputs!$G$5:$G$200&lt;&gt;"moeda")*(Inputs!$G$5:$G$200&lt;&gt;"acoes")))*INDEX(Inputs!$K$5:$AJ$200,0,MATCH(V$2,Inputs!$K$4:$AJ$4,0)))))</f>
        <v>1544.389</v>
      </c>
      <c r="W43" s="3">
        <f>V43</f>
        <v>1544.389</v>
      </c>
      <c r="X43" s="6">
        <f>IF(ISNA(MATCH(X$2,Inputs!$K$4:$AJ$4,0)),NA(),IF(SUMPRODUCT((Inputs!$A$5:$A$200=$B43)*ISNUMBER(INDEX(Inputs!$K$5:$AJ$200,0,MATCH(X$2,Inputs!$K$4:$AJ$4,0))))+SUMPRODUCT((Inputs!$C$5:$C$200=$B43)*ISNUMBER(INDEX(Inputs!$K$5:$AJ$200,0,MATCH(X$2,Inputs!$K$4:$AJ$4,0))))+SUMPRODUCT((Inputs!$E$5:$E$200=$B43)*ISNUMBER(INDEX(Inputs!$K$5:$AJ$200,0,MATCH(X$2,Inputs!$K$4:$AJ$4,0))))=0,NA(),SUMPRODUCT((Inputs!$A$5:$A$200=$B43)*Inputs!$B$5:$B$200*(((Inputs!$G$5:$G$200="moeda")+(Inputs!$G$5:$G$200="acoes"))*Inputs!$B$1+((Inputs!$G$5:$G$200&lt;&gt;"moeda")*(Inputs!$G$5:$G$200&lt;&gt;"acoes")))*INDEX(Inputs!$K$5:$AJ$200,0,MATCH(X$2,Inputs!$K$4:$AJ$4,0)))+SUMPRODUCT((Inputs!$C$5:$C$200=$B43)*Inputs!$D$5:$D$200*(((Inputs!$G$5:$G$200="moeda")+(Inputs!$G$5:$G$200="acoes"))*Inputs!$B$1+((Inputs!$G$5:$G$200&lt;&gt;"moeda")*(Inputs!$G$5:$G$200&lt;&gt;"acoes")))*INDEX(Inputs!$K$5:$AJ$200,0,MATCH(X$2,Inputs!$K$4:$AJ$4,0)))+SUMPRODUCT((Inputs!$E$5:$E$200=$B43)*Inputs!$F$5:$F$200*(((Inputs!$G$5:$G$200="moeda")+(Inputs!$G$5:$G$200="acoes"))*Inputs!$B$1+((Inputs!$G$5:$G$200&lt;&gt;"moeda")*(Inputs!$G$5:$G$200&lt;&gt;"acoes")))*INDEX(Inputs!$K$5:$AJ$200,0,MATCH(X$2,Inputs!$K$4:$AJ$4,0)))))</f>
        <v>1544.389</v>
      </c>
      <c r="Y43" s="6">
        <f>IF(ISNA(MATCH(Y$2,Inputs!$K$4:$AJ$4,0)),NA(),IF(SUMPRODUCT((Inputs!$A$5:$A$200=$B43)*ISNUMBER(INDEX(Inputs!$K$5:$AJ$200,0,MATCH(Y$2,Inputs!$K$4:$AJ$4,0))))+SUMPRODUCT((Inputs!$C$5:$C$200=$B43)*ISNUMBER(INDEX(Inputs!$K$5:$AJ$200,0,MATCH(Y$2,Inputs!$K$4:$AJ$4,0))))+SUMPRODUCT((Inputs!$E$5:$E$200=$B43)*ISNUMBER(INDEX(Inputs!$K$5:$AJ$200,0,MATCH(Y$2,Inputs!$K$4:$AJ$4,0))))=0,NA(),SUMPRODUCT((Inputs!$A$5:$A$200=$B43)*Inputs!$B$5:$B$200*(((Inputs!$G$5:$G$200="moeda")+(Inputs!$G$5:$G$200="acoes"))*Inputs!$B$1+((Inputs!$G$5:$G$200&lt;&gt;"moeda")*(Inputs!$G$5:$G$200&lt;&gt;"acoes")))*INDEX(Inputs!$K$5:$AJ$200,0,MATCH(Y$2,Inputs!$K$4:$AJ$4,0)))+SUMPRODUCT((Inputs!$C$5:$C$200=$B43)*Inputs!$D$5:$D$200*(((Inputs!$G$5:$G$200="moeda")+(Inputs!$G$5:$G$200="acoes"))*Inputs!$B$1+((Inputs!$G$5:$G$200&lt;&gt;"moeda")*(Inputs!$G$5:$G$200&lt;&gt;"acoes")))*INDEX(Inputs!$K$5:$AJ$200,0,MATCH(Y$2,Inputs!$K$4:$AJ$4,0)))+SUMPRODUCT((Inputs!$E$5:$E$200=$B43)*Inputs!$F$5:$F$200*(((Inputs!$G$5:$G$200="moeda")+(Inputs!$G$5:$G$200="acoes"))*Inputs!$B$1+((Inputs!$G$5:$G$200&lt;&gt;"moeda")*(Inputs!$G$5:$G$200&lt;&gt;"acoes")))*INDEX(Inputs!$K$5:$AJ$200,0,MATCH(Y$2,Inputs!$K$4:$AJ$4,0)))))</f>
        <v>2151.561</v>
      </c>
      <c r="Z43" s="6">
        <f>IF(ISNA(MATCH(Z$2,Inputs!$K$4:$AJ$4,0)),NA(),IF(SUMPRODUCT((Inputs!$A$5:$A$200=$B43)*ISNUMBER(INDEX(Inputs!$K$5:$AJ$200,0,MATCH(Z$2,Inputs!$K$4:$AJ$4,0))))+SUMPRODUCT((Inputs!$C$5:$C$200=$B43)*ISNUMBER(INDEX(Inputs!$K$5:$AJ$200,0,MATCH(Z$2,Inputs!$K$4:$AJ$4,0))))+SUMPRODUCT((Inputs!$E$5:$E$200=$B43)*ISNUMBER(INDEX(Inputs!$K$5:$AJ$200,0,MATCH(Z$2,Inputs!$K$4:$AJ$4,0))))=0,NA(),SUMPRODUCT((Inputs!$A$5:$A$200=$B43)*Inputs!$B$5:$B$200*(((Inputs!$G$5:$G$200="moeda")+(Inputs!$G$5:$G$200="acoes"))*Inputs!$B$1+((Inputs!$G$5:$G$200&lt;&gt;"moeda")*(Inputs!$G$5:$G$200&lt;&gt;"acoes")))*INDEX(Inputs!$K$5:$AJ$200,0,MATCH(Z$2,Inputs!$K$4:$AJ$4,0)))+SUMPRODUCT((Inputs!$C$5:$C$200=$B43)*Inputs!$D$5:$D$200*(((Inputs!$G$5:$G$200="moeda")+(Inputs!$G$5:$G$200="acoes"))*Inputs!$B$1+((Inputs!$G$5:$G$200&lt;&gt;"moeda")*(Inputs!$G$5:$G$200&lt;&gt;"acoes")))*INDEX(Inputs!$K$5:$AJ$200,0,MATCH(Z$2,Inputs!$K$4:$AJ$4,0)))+SUMPRODUCT((Inputs!$E$5:$E$200=$B43)*Inputs!$F$5:$F$200*(((Inputs!$G$5:$G$200="moeda")+(Inputs!$G$5:$G$200="acoes"))*Inputs!$B$1+((Inputs!$G$5:$G$200&lt;&gt;"moeda")*(Inputs!$G$5:$G$200&lt;&gt;"acoes")))*INDEX(Inputs!$K$5:$AJ$200,0,MATCH(Z$2,Inputs!$K$4:$AJ$4,0)))))</f>
        <v>2150.122</v>
      </c>
      <c r="AA43" s="6">
        <f>IF(ISNA(MATCH(AA$2,Inputs!$K$4:$AJ$4,0)),NA(),IF(SUMPRODUCT((Inputs!$A$5:$A$200=$B43)*ISNUMBER(INDEX(Inputs!$K$5:$AJ$200,0,MATCH(AA$2,Inputs!$K$4:$AJ$4,0))))+SUMPRODUCT((Inputs!$C$5:$C$200=$B43)*ISNUMBER(INDEX(Inputs!$K$5:$AJ$200,0,MATCH(AA$2,Inputs!$K$4:$AJ$4,0))))+SUMPRODUCT((Inputs!$E$5:$E$200=$B43)*ISNUMBER(INDEX(Inputs!$K$5:$AJ$200,0,MATCH(AA$2,Inputs!$K$4:$AJ$4,0))))=0,NA(),SUMPRODUCT((Inputs!$A$5:$A$200=$B43)*Inputs!$B$5:$B$200*(((Inputs!$G$5:$G$200="moeda")+(Inputs!$G$5:$G$200="acoes"))*Inputs!$B$1+((Inputs!$G$5:$G$200&lt;&gt;"moeda")*(Inputs!$G$5:$G$200&lt;&gt;"acoes")))*INDEX(Inputs!$K$5:$AJ$200,0,MATCH(AA$2,Inputs!$K$4:$AJ$4,0)))+SUMPRODUCT((Inputs!$C$5:$C$200=$B43)*Inputs!$D$5:$D$200*(((Inputs!$G$5:$G$200="moeda")+(Inputs!$G$5:$G$200="acoes"))*Inputs!$B$1+((Inputs!$G$5:$G$200&lt;&gt;"moeda")*(Inputs!$G$5:$G$200&lt;&gt;"acoes")))*INDEX(Inputs!$K$5:$AJ$200,0,MATCH(AA$2,Inputs!$K$4:$AJ$4,0)))+SUMPRODUCT((Inputs!$E$5:$E$200=$B43)*Inputs!$F$5:$F$200*(((Inputs!$G$5:$G$200="moeda")+(Inputs!$G$5:$G$200="acoes"))*Inputs!$B$1+((Inputs!$G$5:$G$200&lt;&gt;"moeda")*(Inputs!$G$5:$G$200&lt;&gt;"acoes")))*INDEX(Inputs!$K$5:$AJ$200,0,MATCH(AA$2,Inputs!$K$4:$AJ$4,0)))))</f>
        <v>2148.193</v>
      </c>
      <c r="AB43" s="3">
        <f>AA43</f>
        <v>2148.193</v>
      </c>
      <c r="AC43" s="6">
        <f>IF(ISNA(MATCH(AC$2,Inputs!$K$4:$AJ$4,0)),NA(),IF(SUMPRODUCT((Inputs!$A$5:$A$200=$B43)*ISNUMBER(INDEX(Inputs!$K$5:$AJ$200,0,MATCH(AC$2,Inputs!$K$4:$AJ$4,0))))+SUMPRODUCT((Inputs!$C$5:$C$200=$B43)*ISNUMBER(INDEX(Inputs!$K$5:$AJ$200,0,MATCH(AC$2,Inputs!$K$4:$AJ$4,0))))+SUMPRODUCT((Inputs!$E$5:$E$200=$B43)*ISNUMBER(INDEX(Inputs!$K$5:$AJ$200,0,MATCH(AC$2,Inputs!$K$4:$AJ$4,0))))=0,NA(),SUMPRODUCT((Inputs!$A$5:$A$200=$B43)*Inputs!$B$5:$B$200*(((Inputs!$G$5:$G$200="moeda")+(Inputs!$G$5:$G$200="acoes"))*Inputs!$B$1+((Inputs!$G$5:$G$200&lt;&gt;"moeda")*(Inputs!$G$5:$G$200&lt;&gt;"acoes")))*INDEX(Inputs!$K$5:$AJ$200,0,MATCH(AC$2,Inputs!$K$4:$AJ$4,0)))+SUMPRODUCT((Inputs!$C$5:$C$200=$B43)*Inputs!$D$5:$D$200*(((Inputs!$G$5:$G$200="moeda")+(Inputs!$G$5:$G$200="acoes"))*Inputs!$B$1+((Inputs!$G$5:$G$200&lt;&gt;"moeda")*(Inputs!$G$5:$G$200&lt;&gt;"acoes")))*INDEX(Inputs!$K$5:$AJ$200,0,MATCH(AC$2,Inputs!$K$4:$AJ$4,0)))+SUMPRODUCT((Inputs!$E$5:$E$200=$B43)*Inputs!$F$5:$F$200*(((Inputs!$G$5:$G$200="moeda")+(Inputs!$G$5:$G$200="acoes"))*Inputs!$B$1+((Inputs!$G$5:$G$200&lt;&gt;"moeda")*(Inputs!$G$5:$G$200&lt;&gt;"acoes")))*INDEX(Inputs!$K$5:$AJ$200,0,MATCH(AC$2,Inputs!$K$4:$AJ$4,0)))))</f>
        <v>2147.299</v>
      </c>
      <c r="AD43" s="6">
        <f>IF(ISNA(MATCH(AD$2,Inputs!$K$4:$AJ$4,0)),NA(),IF(SUMPRODUCT((Inputs!$A$5:$A$200=$B43)*ISNUMBER(INDEX(Inputs!$K$5:$AJ$200,0,MATCH(AD$2,Inputs!$K$4:$AJ$4,0))))+SUMPRODUCT((Inputs!$C$5:$C$200=$B43)*ISNUMBER(INDEX(Inputs!$K$5:$AJ$200,0,MATCH(AD$2,Inputs!$K$4:$AJ$4,0))))+SUMPRODUCT((Inputs!$E$5:$E$200=$B43)*ISNUMBER(INDEX(Inputs!$K$5:$AJ$200,0,MATCH(AD$2,Inputs!$K$4:$AJ$4,0))))=0,NA(),SUMPRODUCT((Inputs!$A$5:$A$200=$B43)*Inputs!$B$5:$B$200*(((Inputs!$G$5:$G$200="moeda")+(Inputs!$G$5:$G$200="acoes"))*Inputs!$B$1+((Inputs!$G$5:$G$200&lt;&gt;"moeda")*(Inputs!$G$5:$G$200&lt;&gt;"acoes")))*INDEX(Inputs!$K$5:$AJ$200,0,MATCH(AD$2,Inputs!$K$4:$AJ$4,0)))+SUMPRODUCT((Inputs!$C$5:$C$200=$B43)*Inputs!$D$5:$D$200*(((Inputs!$G$5:$G$200="moeda")+(Inputs!$G$5:$G$200="acoes"))*Inputs!$B$1+((Inputs!$G$5:$G$200&lt;&gt;"moeda")*(Inputs!$G$5:$G$200&lt;&gt;"acoes")))*INDEX(Inputs!$K$5:$AJ$200,0,MATCH(AD$2,Inputs!$K$4:$AJ$4,0)))+SUMPRODUCT((Inputs!$E$5:$E$200=$B43)*Inputs!$F$5:$F$200*(((Inputs!$G$5:$G$200="moeda")+(Inputs!$G$5:$G$200="acoes"))*Inputs!$B$1+((Inputs!$G$5:$G$200&lt;&gt;"moeda")*(Inputs!$G$5:$G$200&lt;&gt;"acoes")))*INDEX(Inputs!$K$5:$AJ$200,0,MATCH(AD$2,Inputs!$K$4:$AJ$4,0)))))</f>
        <v>5654.326</v>
      </c>
      <c r="AE43" s="6" t="e">
        <f>IF(ISNA(MATCH(AE$2,Inputs!$K$4:$AJ$4,0)),NA(),IF(SUMPRODUCT((Inputs!$A$5:$A$200=$B43)*ISNUMBER(INDEX(Inputs!$K$5:$AJ$200,0,MATCH(AE$2,Inputs!$K$4:$AJ$4,0))))+SUMPRODUCT((Inputs!$C$5:$C$200=$B43)*ISNUMBER(INDEX(Inputs!$K$5:$AJ$200,0,MATCH(AE$2,Inputs!$K$4:$AJ$4,0))))+SUMPRODUCT((Inputs!$E$5:$E$200=$B43)*ISNUMBER(INDEX(Inputs!$K$5:$AJ$200,0,MATCH(AE$2,Inputs!$K$4:$AJ$4,0))))=0,NA(),SUMPRODUCT((Inputs!$A$5:$A$200=$B43)*Inputs!$B$5:$B$200*(((Inputs!$G$5:$G$200="moeda")+(Inputs!$G$5:$G$200="acoes"))*Inputs!$B$1+((Inputs!$G$5:$G$200&lt;&gt;"moeda")*(Inputs!$G$5:$G$200&lt;&gt;"acoes")))*INDEX(Inputs!$K$5:$AJ$200,0,MATCH(AE$2,Inputs!$K$4:$AJ$4,0)))+SUMPRODUCT((Inputs!$C$5:$C$200=$B43)*Inputs!$D$5:$D$200*(((Inputs!$G$5:$G$200="moeda")+(Inputs!$G$5:$G$200="acoes"))*Inputs!$B$1+((Inputs!$G$5:$G$200&lt;&gt;"moeda")*(Inputs!$G$5:$G$200&lt;&gt;"acoes")))*INDEX(Inputs!$K$5:$AJ$200,0,MATCH(AE$2,Inputs!$K$4:$AJ$4,0)))+SUMPRODUCT((Inputs!$E$5:$E$200=$B43)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3" s="6" t="e">
        <f>IF(ISNA(MATCH(AF$2,Inputs!$K$4:$AJ$4,0)),NA(),IF(SUMPRODUCT((Inputs!$A$5:$A$200=$B43)*ISNUMBER(INDEX(Inputs!$K$5:$AJ$200,0,MATCH(AF$2,Inputs!$K$4:$AJ$4,0))))+SUMPRODUCT((Inputs!$C$5:$C$200=$B43)*ISNUMBER(INDEX(Inputs!$K$5:$AJ$200,0,MATCH(AF$2,Inputs!$K$4:$AJ$4,0))))+SUMPRODUCT((Inputs!$E$5:$E$200=$B43)*ISNUMBER(INDEX(Inputs!$K$5:$AJ$200,0,MATCH(AF$2,Inputs!$K$4:$AJ$4,0))))=0,NA(),SUMPRODUCT((Inputs!$A$5:$A$200=$B43)*Inputs!$B$5:$B$200*(((Inputs!$G$5:$G$200="moeda")+(Inputs!$G$5:$G$200="acoes"))*Inputs!$B$1+((Inputs!$G$5:$G$200&lt;&gt;"moeda")*(Inputs!$G$5:$G$200&lt;&gt;"acoes")))*INDEX(Inputs!$K$5:$AJ$200,0,MATCH(AF$2,Inputs!$K$4:$AJ$4,0)))+SUMPRODUCT((Inputs!$C$5:$C$200=$B43)*Inputs!$D$5:$D$200*(((Inputs!$G$5:$G$200="moeda")+(Inputs!$G$5:$G$200="acoes"))*Inputs!$B$1+((Inputs!$G$5:$G$200&lt;&gt;"moeda")*(Inputs!$G$5:$G$200&lt;&gt;"acoes")))*INDEX(Inputs!$K$5:$AJ$200,0,MATCH(AF$2,Inputs!$K$4:$AJ$4,0)))+SUMPRODUCT((Inputs!$E$5:$E$200=$B43)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3" s="3" t="e">
        <f>AF43</f>
        <v>#N/A</v>
      </c>
      <c r="AH43" s="6">
        <f>IF(ISNA(MATCH(AH$2,Inputs!$K$4:$AJ$4,0)),NA(),IF(SUMPRODUCT((Inputs!$A$5:$A$200=$B43)*ISNUMBER(INDEX(Inputs!$K$5:$AJ$200,0,MATCH(AH$2,Inputs!$K$4:$AJ$4,0))))+SUMPRODUCT((Inputs!$C$5:$C$200=$B43)*ISNUMBER(INDEX(Inputs!$K$5:$AJ$200,0,MATCH(AH$2,Inputs!$K$4:$AJ$4,0))))+SUMPRODUCT((Inputs!$E$5:$E$200=$B43)*ISNUMBER(INDEX(Inputs!$K$5:$AJ$200,0,MATCH(AH$2,Inputs!$K$4:$AJ$4,0))))=0,NA(),SUMPRODUCT((Inputs!$A$5:$A$200=$B43)*Inputs!$B$5:$B$200*(((Inputs!$G$5:$G$200="moeda")+(Inputs!$G$5:$G$200="acoes"))*Inputs!$B$1+((Inputs!$G$5:$G$200&lt;&gt;"moeda")*(Inputs!$G$5:$G$200&lt;&gt;"acoes")))*INDEX(Inputs!$K$5:$AJ$200,0,MATCH(AH$2,Inputs!$K$4:$AJ$4,0)))+SUMPRODUCT((Inputs!$C$5:$C$200=$B43)*Inputs!$D$5:$D$200*(((Inputs!$G$5:$G$200="moeda")+(Inputs!$G$5:$G$200="acoes"))*Inputs!$B$1+((Inputs!$G$5:$G$200&lt;&gt;"moeda")*(Inputs!$G$5:$G$200&lt;&gt;"acoes")))*INDEX(Inputs!$K$5:$AJ$200,0,MATCH(AH$2,Inputs!$K$4:$AJ$4,0)))+SUMPRODUCT((Inputs!$E$5:$E$200=$B43)*Inputs!$F$5:$F$200*(((Inputs!$G$5:$G$200="moeda")+(Inputs!$G$5:$G$200="acoes"))*Inputs!$B$1+((Inputs!$G$5:$G$200&lt;&gt;"moeda")*(Inputs!$G$5:$G$200&lt;&gt;"acoes")))*INDEX(Inputs!$K$5:$AJ$200,0,MATCH(AH$2,Inputs!$K$4:$AJ$4,0)))))</f>
        <v>577.348</v>
      </c>
      <c r="AI43" s="6">
        <f>IF(ISNA(MATCH(AI$2,Inputs!$K$4:$AJ$4,0)),NA(),IF(SUMPRODUCT((Inputs!$A$5:$A$200=$B43)*ISNUMBER(INDEX(Inputs!$K$5:$AJ$200,0,MATCH(AI$2,Inputs!$K$4:$AJ$4,0))))+SUMPRODUCT((Inputs!$C$5:$C$200=$B43)*ISNUMBER(INDEX(Inputs!$K$5:$AJ$200,0,MATCH(AI$2,Inputs!$K$4:$AJ$4,0))))+SUMPRODUCT((Inputs!$E$5:$E$200=$B43)*ISNUMBER(INDEX(Inputs!$K$5:$AJ$200,0,MATCH(AI$2,Inputs!$K$4:$AJ$4,0))))=0,NA(),SUMPRODUCT((Inputs!$A$5:$A$200=$B43)*Inputs!$B$5:$B$200*(((Inputs!$G$5:$G$200="moeda")+(Inputs!$G$5:$G$200="acoes"))*Inputs!$B$1+((Inputs!$G$5:$G$200&lt;&gt;"moeda")*(Inputs!$G$5:$G$200&lt;&gt;"acoes")))*INDEX(Inputs!$K$5:$AJ$200,0,MATCH(AI$2,Inputs!$K$4:$AJ$4,0)))+SUMPRODUCT((Inputs!$C$5:$C$200=$B43)*Inputs!$D$5:$D$200*(((Inputs!$G$5:$G$200="moeda")+(Inputs!$G$5:$G$200="acoes"))*Inputs!$B$1+((Inputs!$G$5:$G$200&lt;&gt;"moeda")*(Inputs!$G$5:$G$200&lt;&gt;"acoes")))*INDEX(Inputs!$K$5:$AJ$200,0,MATCH(AI$2,Inputs!$K$4:$AJ$4,0)))+SUMPRODUCT((Inputs!$E$5:$E$200=$B43)*Inputs!$F$5:$F$200*(((Inputs!$G$5:$G$200="moeda")+(Inputs!$G$5:$G$200="acoes"))*Inputs!$B$1+((Inputs!$G$5:$G$200&lt;&gt;"moeda")*(Inputs!$G$5:$G$200&lt;&gt;"acoes")))*INDEX(Inputs!$K$5:$AJ$200,0,MATCH(AI$2,Inputs!$K$4:$AJ$4,0)))))</f>
        <v>734.012</v>
      </c>
      <c r="AJ43" s="6">
        <f>IF(ISNA(MATCH(AJ$2,Inputs!$K$4:$AJ$4,0)),NA(),IF(SUMPRODUCT((Inputs!$A$5:$A$200=$B43)*ISNUMBER(INDEX(Inputs!$K$5:$AJ$200,0,MATCH(AJ$2,Inputs!$K$4:$AJ$4,0))))+SUMPRODUCT((Inputs!$C$5:$C$200=$B43)*ISNUMBER(INDEX(Inputs!$K$5:$AJ$200,0,MATCH(AJ$2,Inputs!$K$4:$AJ$4,0))))+SUMPRODUCT((Inputs!$E$5:$E$200=$B43)*ISNUMBER(INDEX(Inputs!$K$5:$AJ$200,0,MATCH(AJ$2,Inputs!$K$4:$AJ$4,0))))=0,NA(),SUMPRODUCT((Inputs!$A$5:$A$200=$B43)*Inputs!$B$5:$B$200*(((Inputs!$G$5:$G$200="moeda")+(Inputs!$G$5:$G$200="acoes"))*Inputs!$B$1+((Inputs!$G$5:$G$200&lt;&gt;"moeda")*(Inputs!$G$5:$G$200&lt;&gt;"acoes")))*INDEX(Inputs!$K$5:$AJ$200,0,MATCH(AJ$2,Inputs!$K$4:$AJ$4,0)))+SUMPRODUCT((Inputs!$C$5:$C$200=$B43)*Inputs!$D$5:$D$200*(((Inputs!$G$5:$G$200="moeda")+(Inputs!$G$5:$G$200="acoes"))*Inputs!$B$1+((Inputs!$G$5:$G$200&lt;&gt;"moeda")*(Inputs!$G$5:$G$200&lt;&gt;"acoes")))*INDEX(Inputs!$K$5:$AJ$200,0,MATCH(AJ$2,Inputs!$K$4:$AJ$4,0)))+SUMPRODUCT((Inputs!$E$5:$E$200=$B43)*Inputs!$F$5:$F$200*(((Inputs!$G$5:$G$200="moeda")+(Inputs!$G$5:$G$200="acoes"))*Inputs!$B$1+((Inputs!$G$5:$G$200&lt;&gt;"moeda")*(Inputs!$G$5:$G$200&lt;&gt;"acoes")))*INDEX(Inputs!$K$5:$AJ$200,0,MATCH(AJ$2,Inputs!$K$4:$AJ$4,0)))))</f>
        <v>734.012</v>
      </c>
      <c r="AK43" s="6">
        <f>IF(ISNA(MATCH(AK$2,Inputs!$K$4:$AJ$4,0)),NA(),IF(SUMPRODUCT((Inputs!$A$5:$A$200=$B43)*ISNUMBER(INDEX(Inputs!$K$5:$AJ$200,0,MATCH(AK$2,Inputs!$K$4:$AJ$4,0))))+SUMPRODUCT((Inputs!$C$5:$C$200=$B43)*ISNUMBER(INDEX(Inputs!$K$5:$AJ$200,0,MATCH(AK$2,Inputs!$K$4:$AJ$4,0))))+SUMPRODUCT((Inputs!$E$5:$E$200=$B43)*ISNUMBER(INDEX(Inputs!$K$5:$AJ$200,0,MATCH(AK$2,Inputs!$K$4:$AJ$4,0))))=0,NA(),SUMPRODUCT((Inputs!$A$5:$A$200=$B43)*Inputs!$B$5:$B$200*(((Inputs!$G$5:$G$200="moeda")+(Inputs!$G$5:$G$200="acoes"))*Inputs!$B$1+((Inputs!$G$5:$G$200&lt;&gt;"moeda")*(Inputs!$G$5:$G$200&lt;&gt;"acoes")))*INDEX(Inputs!$K$5:$AJ$200,0,MATCH(AK$2,Inputs!$K$4:$AJ$4,0)))+SUMPRODUCT((Inputs!$C$5:$C$200=$B43)*Inputs!$D$5:$D$200*(((Inputs!$G$5:$G$200="moeda")+(Inputs!$G$5:$G$200="acoes"))*Inputs!$B$1+((Inputs!$G$5:$G$200&lt;&gt;"moeda")*(Inputs!$G$5:$G$200&lt;&gt;"acoes")))*INDEX(Inputs!$K$5:$AJ$200,0,MATCH(AK$2,Inputs!$K$4:$AJ$4,0)))+SUMPRODUCT((Inputs!$E$5:$E$200=$B43)*Inputs!$F$5:$F$200*(((Inputs!$G$5:$G$200="moeda")+(Inputs!$G$5:$G$200="acoes"))*Inputs!$B$1+((Inputs!$G$5:$G$200&lt;&gt;"moeda")*(Inputs!$G$5:$G$200&lt;&gt;"acoes")))*INDEX(Inputs!$K$5:$AJ$200,0,MATCH(AK$2,Inputs!$K$4:$AJ$4,0)))))</f>
        <v>734.887</v>
      </c>
      <c r="AL43" s="3">
        <f>AK43</f>
        <v>734.887</v>
      </c>
    </row>
    <row r="44">
      <c r="B44" s="46" t="n">
        <v>38</v>
      </c>
      <c r="C44" s="26" t="inlineStr">
        <is>
          <t>Treasury stock (contra account)</t>
        </is>
      </c>
      <c r="D44" s="6" t="e">
        <f>IF(ISNA(MATCH(D$2,Inputs!$K$4:$AJ$4,0)),NA(),IF(SUMPRODUCT((Inputs!$A$5:$A$200=$B44)*ISNUMBER(INDEX(Inputs!$K$5:$AJ$200,0,MATCH(D$2,Inputs!$K$4:$AJ$4,0))))+SUMPRODUCT((Inputs!$C$5:$C$200=$B44)*ISNUMBER(INDEX(Inputs!$K$5:$AJ$200,0,MATCH(D$2,Inputs!$K$4:$AJ$4,0))))+SUMPRODUCT((Inputs!$E$5:$E$200=$B44)*ISNUMBER(INDEX(Inputs!$K$5:$AJ$200,0,MATCH(D$2,Inputs!$K$4:$AJ$4,0))))=0,NA(),SUMPRODUCT((Inputs!$A$5:$A$200=$B44)*Inputs!$B$5:$B$200*(((Inputs!$G$5:$G$200="moeda")+(Inputs!$G$5:$G$200="acoes"))*Inputs!$B$1+((Inputs!$G$5:$G$200&lt;&gt;"moeda")*(Inputs!$G$5:$G$200&lt;&gt;"acoes")))*INDEX(Inputs!$K$5:$AJ$200,0,MATCH(D$2,Inputs!$K$4:$AJ$4,0)))+SUMPRODUCT((Inputs!$C$5:$C$200=$B44)*Inputs!$D$5:$D$200*(((Inputs!$G$5:$G$200="moeda")+(Inputs!$G$5:$G$200="acoes"))*Inputs!$B$1+((Inputs!$G$5:$G$200&lt;&gt;"moeda")*(Inputs!$G$5:$G$200&lt;&gt;"acoes")))*INDEX(Inputs!$K$5:$AJ$200,0,MATCH(D$2,Inputs!$K$4:$AJ$4,0)))+SUMPRODUCT((Inputs!$E$5:$E$200=$B44)*Inputs!$F$5:$F$200*(((Inputs!$G$5:$G$200="moeda")+(Inputs!$G$5:$G$200="acoes"))*Inputs!$B$1+((Inputs!$G$5:$G$200&lt;&gt;"moeda")*(Inputs!$G$5:$G$200&lt;&gt;"acoes")))*INDEX(Inputs!$K$5:$AJ$200,0,MATCH(D$2,Inputs!$K$4:$AJ$4,0)))))</f>
        <v>#N/A</v>
      </c>
      <c r="E44" s="6" t="e">
        <f>IF(ISNA(MATCH(E$2,Inputs!$K$4:$AJ$4,0)),NA(),IF(SUMPRODUCT((Inputs!$A$5:$A$200=$B44)*ISNUMBER(INDEX(Inputs!$K$5:$AJ$200,0,MATCH(E$2,Inputs!$K$4:$AJ$4,0))))+SUMPRODUCT((Inputs!$C$5:$C$200=$B44)*ISNUMBER(INDEX(Inputs!$K$5:$AJ$200,0,MATCH(E$2,Inputs!$K$4:$AJ$4,0))))+SUMPRODUCT((Inputs!$E$5:$E$200=$B44)*ISNUMBER(INDEX(Inputs!$K$5:$AJ$200,0,MATCH(E$2,Inputs!$K$4:$AJ$4,0))))=0,NA(),SUMPRODUCT((Inputs!$A$5:$A$200=$B44)*Inputs!$B$5:$B$200*(((Inputs!$G$5:$G$200="moeda")+(Inputs!$G$5:$G$200="acoes"))*Inputs!$B$1+((Inputs!$G$5:$G$200&lt;&gt;"moeda")*(Inputs!$G$5:$G$200&lt;&gt;"acoes")))*INDEX(Inputs!$K$5:$AJ$200,0,MATCH(E$2,Inputs!$K$4:$AJ$4,0)))+SUMPRODUCT((Inputs!$C$5:$C$200=$B44)*Inputs!$D$5:$D$200*(((Inputs!$G$5:$G$200="moeda")+(Inputs!$G$5:$G$200="acoes"))*Inputs!$B$1+((Inputs!$G$5:$G$200&lt;&gt;"moeda")*(Inputs!$G$5:$G$200&lt;&gt;"acoes")))*INDEX(Inputs!$K$5:$AJ$200,0,MATCH(E$2,Inputs!$K$4:$AJ$4,0)))+SUMPRODUCT((Inputs!$E$5:$E$200=$B44)*Inputs!$F$5:$F$200*(((Inputs!$G$5:$G$200="moeda")+(Inputs!$G$5:$G$200="acoes"))*Inputs!$B$1+((Inputs!$G$5:$G$200&lt;&gt;"moeda")*(Inputs!$G$5:$G$200&lt;&gt;"acoes")))*INDEX(Inputs!$K$5:$AJ$200,0,MATCH(E$2,Inputs!$K$4:$AJ$4,0)))))</f>
        <v>#N/A</v>
      </c>
      <c r="F44" s="6" t="e">
        <f>IF(ISNA(MATCH(F$2,Inputs!$K$4:$AJ$4,0)),NA(),IF(SUMPRODUCT((Inputs!$A$5:$A$200=$B44)*ISNUMBER(INDEX(Inputs!$K$5:$AJ$200,0,MATCH(F$2,Inputs!$K$4:$AJ$4,0))))+SUMPRODUCT((Inputs!$C$5:$C$200=$B44)*ISNUMBER(INDEX(Inputs!$K$5:$AJ$200,0,MATCH(F$2,Inputs!$K$4:$AJ$4,0))))+SUMPRODUCT((Inputs!$E$5:$E$200=$B44)*ISNUMBER(INDEX(Inputs!$K$5:$AJ$200,0,MATCH(F$2,Inputs!$K$4:$AJ$4,0))))=0,NA(),SUMPRODUCT((Inputs!$A$5:$A$200=$B44)*Inputs!$B$5:$B$200*(((Inputs!$G$5:$G$200="moeda")+(Inputs!$G$5:$G$200="acoes"))*Inputs!$B$1+((Inputs!$G$5:$G$200&lt;&gt;"moeda")*(Inputs!$G$5:$G$200&lt;&gt;"acoes")))*INDEX(Inputs!$K$5:$AJ$200,0,MATCH(F$2,Inputs!$K$4:$AJ$4,0)))+SUMPRODUCT((Inputs!$C$5:$C$200=$B44)*Inputs!$D$5:$D$200*(((Inputs!$G$5:$G$200="moeda")+(Inputs!$G$5:$G$200="acoes"))*Inputs!$B$1+((Inputs!$G$5:$G$200&lt;&gt;"moeda")*(Inputs!$G$5:$G$200&lt;&gt;"acoes")))*INDEX(Inputs!$K$5:$AJ$200,0,MATCH(F$2,Inputs!$K$4:$AJ$4,0)))+SUMPRODUCT((Inputs!$E$5:$E$200=$B44)*Inputs!$F$5:$F$200*(((Inputs!$G$5:$G$200="moeda")+(Inputs!$G$5:$G$200="acoes"))*Inputs!$B$1+((Inputs!$G$5:$G$200&lt;&gt;"moeda")*(Inputs!$G$5:$G$200&lt;&gt;"acoes")))*INDEX(Inputs!$K$5:$AJ$200,0,MATCH(F$2,Inputs!$K$4:$AJ$4,0)))))</f>
        <v>#N/A</v>
      </c>
      <c r="G44" s="6" t="e">
        <f>IF(ISNA(MATCH(G$2,Inputs!$K$4:$AJ$4,0)),NA(),IF(SUMPRODUCT((Inputs!$A$5:$A$200=$B44)*ISNUMBER(INDEX(Inputs!$K$5:$AJ$200,0,MATCH(G$2,Inputs!$K$4:$AJ$4,0))))+SUMPRODUCT((Inputs!$C$5:$C$200=$B44)*ISNUMBER(INDEX(Inputs!$K$5:$AJ$200,0,MATCH(G$2,Inputs!$K$4:$AJ$4,0))))+SUMPRODUCT((Inputs!$E$5:$E$200=$B44)*ISNUMBER(INDEX(Inputs!$K$5:$AJ$200,0,MATCH(G$2,Inputs!$K$4:$AJ$4,0))))=0,NA(),SUMPRODUCT((Inputs!$A$5:$A$200=$B44)*Inputs!$B$5:$B$200*(((Inputs!$G$5:$G$200="moeda")+(Inputs!$G$5:$G$200="acoes"))*Inputs!$B$1+((Inputs!$G$5:$G$200&lt;&gt;"moeda")*(Inputs!$G$5:$G$200&lt;&gt;"acoes")))*INDEX(Inputs!$K$5:$AJ$200,0,MATCH(G$2,Inputs!$K$4:$AJ$4,0)))+SUMPRODUCT((Inputs!$C$5:$C$200=$B44)*Inputs!$D$5:$D$200*(((Inputs!$G$5:$G$200="moeda")+(Inputs!$G$5:$G$200="acoes"))*Inputs!$B$1+((Inputs!$G$5:$G$200&lt;&gt;"moeda")*(Inputs!$G$5:$G$200&lt;&gt;"acoes")))*INDEX(Inputs!$K$5:$AJ$200,0,MATCH(G$2,Inputs!$K$4:$AJ$4,0)))+SUMPRODUCT((Inputs!$E$5:$E$200=$B44)*Inputs!$F$5:$F$200*(((Inputs!$G$5:$G$200="moeda")+(Inputs!$G$5:$G$200="acoes"))*Inputs!$B$1+((Inputs!$G$5:$G$200&lt;&gt;"moeda")*(Inputs!$G$5:$G$200&lt;&gt;"acoes")))*INDEX(Inputs!$K$5:$AJ$200,0,MATCH(G$2,Inputs!$K$4:$AJ$4,0)))))</f>
        <v>#N/A</v>
      </c>
      <c r="H44" s="3" t="e">
        <f>G44</f>
        <v>#N/A</v>
      </c>
      <c r="I44" s="6" t="e">
        <f>IF(ISNA(MATCH(I$2,Inputs!$K$4:$AJ$4,0)),NA(),IF(SUMPRODUCT((Inputs!$A$5:$A$200=$B44)*ISNUMBER(INDEX(Inputs!$K$5:$AJ$200,0,MATCH(I$2,Inputs!$K$4:$AJ$4,0))))+SUMPRODUCT((Inputs!$C$5:$C$200=$B44)*ISNUMBER(INDEX(Inputs!$K$5:$AJ$200,0,MATCH(I$2,Inputs!$K$4:$AJ$4,0))))+SUMPRODUCT((Inputs!$E$5:$E$200=$B44)*ISNUMBER(INDEX(Inputs!$K$5:$AJ$200,0,MATCH(I$2,Inputs!$K$4:$AJ$4,0))))=0,NA(),SUMPRODUCT((Inputs!$A$5:$A$200=$B44)*Inputs!$B$5:$B$200*(((Inputs!$G$5:$G$200="moeda")+(Inputs!$G$5:$G$200="acoes"))*Inputs!$B$1+((Inputs!$G$5:$G$200&lt;&gt;"moeda")*(Inputs!$G$5:$G$200&lt;&gt;"acoes")))*INDEX(Inputs!$K$5:$AJ$200,0,MATCH(I$2,Inputs!$K$4:$AJ$4,0)))+SUMPRODUCT((Inputs!$C$5:$C$200=$B44)*Inputs!$D$5:$D$200*(((Inputs!$G$5:$G$200="moeda")+(Inputs!$G$5:$G$200="acoes"))*Inputs!$B$1+((Inputs!$G$5:$G$200&lt;&gt;"moeda")*(Inputs!$G$5:$G$200&lt;&gt;"acoes")))*INDEX(Inputs!$K$5:$AJ$200,0,MATCH(I$2,Inputs!$K$4:$AJ$4,0)))+SUMPRODUCT((Inputs!$E$5:$E$200=$B44)*Inputs!$F$5:$F$200*(((Inputs!$G$5:$G$200="moeda")+(Inputs!$G$5:$G$200="acoes"))*Inputs!$B$1+((Inputs!$G$5:$G$200&lt;&gt;"moeda")*(Inputs!$G$5:$G$200&lt;&gt;"acoes")))*INDEX(Inputs!$K$5:$AJ$200,0,MATCH(I$2,Inputs!$K$4:$AJ$4,0)))))</f>
        <v>#N/A</v>
      </c>
      <c r="J44" s="6" t="e">
        <f>IF(ISNA(MATCH(J$2,Inputs!$K$4:$AJ$4,0)),NA(),IF(SUMPRODUCT((Inputs!$A$5:$A$200=$B44)*ISNUMBER(INDEX(Inputs!$K$5:$AJ$200,0,MATCH(J$2,Inputs!$K$4:$AJ$4,0))))+SUMPRODUCT((Inputs!$C$5:$C$200=$B44)*ISNUMBER(INDEX(Inputs!$K$5:$AJ$200,0,MATCH(J$2,Inputs!$K$4:$AJ$4,0))))+SUMPRODUCT((Inputs!$E$5:$E$200=$B44)*ISNUMBER(INDEX(Inputs!$K$5:$AJ$200,0,MATCH(J$2,Inputs!$K$4:$AJ$4,0))))=0,NA(),SUMPRODUCT((Inputs!$A$5:$A$200=$B44)*Inputs!$B$5:$B$200*(((Inputs!$G$5:$G$200="moeda")+(Inputs!$G$5:$G$200="acoes"))*Inputs!$B$1+((Inputs!$G$5:$G$200&lt;&gt;"moeda")*(Inputs!$G$5:$G$200&lt;&gt;"acoes")))*INDEX(Inputs!$K$5:$AJ$200,0,MATCH(J$2,Inputs!$K$4:$AJ$4,0)))+SUMPRODUCT((Inputs!$C$5:$C$200=$B44)*Inputs!$D$5:$D$200*(((Inputs!$G$5:$G$200="moeda")+(Inputs!$G$5:$G$200="acoes"))*Inputs!$B$1+((Inputs!$G$5:$G$200&lt;&gt;"moeda")*(Inputs!$G$5:$G$200&lt;&gt;"acoes")))*INDEX(Inputs!$K$5:$AJ$200,0,MATCH(J$2,Inputs!$K$4:$AJ$4,0)))+SUMPRODUCT((Inputs!$E$5:$E$200=$B44)*Inputs!$F$5:$F$200*(((Inputs!$G$5:$G$200="moeda")+(Inputs!$G$5:$G$200="acoes"))*Inputs!$B$1+((Inputs!$G$5:$G$200&lt;&gt;"moeda")*(Inputs!$G$5:$G$200&lt;&gt;"acoes")))*INDEX(Inputs!$K$5:$AJ$200,0,MATCH(J$2,Inputs!$K$4:$AJ$4,0)))))</f>
        <v>#N/A</v>
      </c>
      <c r="K44" s="6" t="e">
        <f>IF(ISNA(MATCH(K$2,Inputs!$K$4:$AJ$4,0)),NA(),IF(SUMPRODUCT((Inputs!$A$5:$A$200=$B44)*ISNUMBER(INDEX(Inputs!$K$5:$AJ$200,0,MATCH(K$2,Inputs!$K$4:$AJ$4,0))))+SUMPRODUCT((Inputs!$C$5:$C$200=$B44)*ISNUMBER(INDEX(Inputs!$K$5:$AJ$200,0,MATCH(K$2,Inputs!$K$4:$AJ$4,0))))+SUMPRODUCT((Inputs!$E$5:$E$200=$B44)*ISNUMBER(INDEX(Inputs!$K$5:$AJ$200,0,MATCH(K$2,Inputs!$K$4:$AJ$4,0))))=0,NA(),SUMPRODUCT((Inputs!$A$5:$A$200=$B44)*Inputs!$B$5:$B$200*(((Inputs!$G$5:$G$200="moeda")+(Inputs!$G$5:$G$200="acoes"))*Inputs!$B$1+((Inputs!$G$5:$G$200&lt;&gt;"moeda")*(Inputs!$G$5:$G$200&lt;&gt;"acoes")))*INDEX(Inputs!$K$5:$AJ$200,0,MATCH(K$2,Inputs!$K$4:$AJ$4,0)))+SUMPRODUCT((Inputs!$C$5:$C$200=$B44)*Inputs!$D$5:$D$200*(((Inputs!$G$5:$G$200="moeda")+(Inputs!$G$5:$G$200="acoes"))*Inputs!$B$1+((Inputs!$G$5:$G$200&lt;&gt;"moeda")*(Inputs!$G$5:$G$200&lt;&gt;"acoes")))*INDEX(Inputs!$K$5:$AJ$200,0,MATCH(K$2,Inputs!$K$4:$AJ$4,0)))+SUMPRODUCT((Inputs!$E$5:$E$200=$B44)*Inputs!$F$5:$F$200*(((Inputs!$G$5:$G$200="moeda")+(Inputs!$G$5:$G$200="acoes"))*Inputs!$B$1+((Inputs!$G$5:$G$200&lt;&gt;"moeda")*(Inputs!$G$5:$G$200&lt;&gt;"acoes")))*INDEX(Inputs!$K$5:$AJ$200,0,MATCH(K$2,Inputs!$K$4:$AJ$4,0)))))</f>
        <v>#N/A</v>
      </c>
      <c r="L44" s="6" t="e">
        <f>IF(ISNA(MATCH(L$2,Inputs!$K$4:$AJ$4,0)),NA(),IF(SUMPRODUCT((Inputs!$A$5:$A$200=$B44)*ISNUMBER(INDEX(Inputs!$K$5:$AJ$200,0,MATCH(L$2,Inputs!$K$4:$AJ$4,0))))+SUMPRODUCT((Inputs!$C$5:$C$200=$B44)*ISNUMBER(INDEX(Inputs!$K$5:$AJ$200,0,MATCH(L$2,Inputs!$K$4:$AJ$4,0))))+SUMPRODUCT((Inputs!$E$5:$E$200=$B44)*ISNUMBER(INDEX(Inputs!$K$5:$AJ$200,0,MATCH(L$2,Inputs!$K$4:$AJ$4,0))))=0,NA(),SUMPRODUCT((Inputs!$A$5:$A$200=$B44)*Inputs!$B$5:$B$200*(((Inputs!$G$5:$G$200="moeda")+(Inputs!$G$5:$G$200="acoes"))*Inputs!$B$1+((Inputs!$G$5:$G$200&lt;&gt;"moeda")*(Inputs!$G$5:$G$200&lt;&gt;"acoes")))*INDEX(Inputs!$K$5:$AJ$200,0,MATCH(L$2,Inputs!$K$4:$AJ$4,0)))+SUMPRODUCT((Inputs!$C$5:$C$200=$B44)*Inputs!$D$5:$D$200*(((Inputs!$G$5:$G$200="moeda")+(Inputs!$G$5:$G$200="acoes"))*Inputs!$B$1+((Inputs!$G$5:$G$200&lt;&gt;"moeda")*(Inputs!$G$5:$G$200&lt;&gt;"acoes")))*INDEX(Inputs!$K$5:$AJ$200,0,MATCH(L$2,Inputs!$K$4:$AJ$4,0)))+SUMPRODUCT((Inputs!$E$5:$E$200=$B44)*Inputs!$F$5:$F$200*(((Inputs!$G$5:$G$200="moeda")+(Inputs!$G$5:$G$200="acoes"))*Inputs!$B$1+((Inputs!$G$5:$G$200&lt;&gt;"moeda")*(Inputs!$G$5:$G$200&lt;&gt;"acoes")))*INDEX(Inputs!$K$5:$AJ$200,0,MATCH(L$2,Inputs!$K$4:$AJ$4,0)))))</f>
        <v>#N/A</v>
      </c>
      <c r="M44" s="3" t="e">
        <f>L44</f>
        <v>#N/A</v>
      </c>
      <c r="N44" s="6" t="e">
        <f>IF(ISNA(MATCH(N$2,Inputs!$K$4:$AJ$4,0)),NA(),IF(SUMPRODUCT((Inputs!$A$5:$A$200=$B44)*ISNUMBER(INDEX(Inputs!$K$5:$AJ$200,0,MATCH(N$2,Inputs!$K$4:$AJ$4,0))))+SUMPRODUCT((Inputs!$C$5:$C$200=$B44)*ISNUMBER(INDEX(Inputs!$K$5:$AJ$200,0,MATCH(N$2,Inputs!$K$4:$AJ$4,0))))+SUMPRODUCT((Inputs!$E$5:$E$200=$B44)*ISNUMBER(INDEX(Inputs!$K$5:$AJ$200,0,MATCH(N$2,Inputs!$K$4:$AJ$4,0))))=0,NA(),SUMPRODUCT((Inputs!$A$5:$A$200=$B44)*Inputs!$B$5:$B$200*(((Inputs!$G$5:$G$200="moeda")+(Inputs!$G$5:$G$200="acoes"))*Inputs!$B$1+((Inputs!$G$5:$G$200&lt;&gt;"moeda")*(Inputs!$G$5:$G$200&lt;&gt;"acoes")))*INDEX(Inputs!$K$5:$AJ$200,0,MATCH(N$2,Inputs!$K$4:$AJ$4,0)))+SUMPRODUCT((Inputs!$C$5:$C$200=$B44)*Inputs!$D$5:$D$200*(((Inputs!$G$5:$G$200="moeda")+(Inputs!$G$5:$G$200="acoes"))*Inputs!$B$1+((Inputs!$G$5:$G$200&lt;&gt;"moeda")*(Inputs!$G$5:$G$200&lt;&gt;"acoes")))*INDEX(Inputs!$K$5:$AJ$200,0,MATCH(N$2,Inputs!$K$4:$AJ$4,0)))+SUMPRODUCT((Inputs!$E$5:$E$200=$B44)*Inputs!$F$5:$F$200*(((Inputs!$G$5:$G$200="moeda")+(Inputs!$G$5:$G$200="acoes"))*Inputs!$B$1+((Inputs!$G$5:$G$200&lt;&gt;"moeda")*(Inputs!$G$5:$G$200&lt;&gt;"acoes")))*INDEX(Inputs!$K$5:$AJ$200,0,MATCH(N$2,Inputs!$K$4:$AJ$4,0)))))</f>
        <v>#N/A</v>
      </c>
      <c r="O44" s="6" t="e">
        <f>IF(ISNA(MATCH(O$2,Inputs!$K$4:$AJ$4,0)),NA(),IF(SUMPRODUCT((Inputs!$A$5:$A$200=$B44)*ISNUMBER(INDEX(Inputs!$K$5:$AJ$200,0,MATCH(O$2,Inputs!$K$4:$AJ$4,0))))+SUMPRODUCT((Inputs!$C$5:$C$200=$B44)*ISNUMBER(INDEX(Inputs!$K$5:$AJ$200,0,MATCH(O$2,Inputs!$K$4:$AJ$4,0))))+SUMPRODUCT((Inputs!$E$5:$E$200=$B44)*ISNUMBER(INDEX(Inputs!$K$5:$AJ$200,0,MATCH(O$2,Inputs!$K$4:$AJ$4,0))))=0,NA(),SUMPRODUCT((Inputs!$A$5:$A$200=$B44)*Inputs!$B$5:$B$200*(((Inputs!$G$5:$G$200="moeda")+(Inputs!$G$5:$G$200="acoes"))*Inputs!$B$1+((Inputs!$G$5:$G$200&lt;&gt;"moeda")*(Inputs!$G$5:$G$200&lt;&gt;"acoes")))*INDEX(Inputs!$K$5:$AJ$200,0,MATCH(O$2,Inputs!$K$4:$AJ$4,0)))+SUMPRODUCT((Inputs!$C$5:$C$200=$B44)*Inputs!$D$5:$D$200*(((Inputs!$G$5:$G$200="moeda")+(Inputs!$G$5:$G$200="acoes"))*Inputs!$B$1+((Inputs!$G$5:$G$200&lt;&gt;"moeda")*(Inputs!$G$5:$G$200&lt;&gt;"acoes")))*INDEX(Inputs!$K$5:$AJ$200,0,MATCH(O$2,Inputs!$K$4:$AJ$4,0)))+SUMPRODUCT((Inputs!$E$5:$E$200=$B44)*Inputs!$F$5:$F$200*(((Inputs!$G$5:$G$200="moeda")+(Inputs!$G$5:$G$200="acoes"))*Inputs!$B$1+((Inputs!$G$5:$G$200&lt;&gt;"moeda")*(Inputs!$G$5:$G$200&lt;&gt;"acoes")))*INDEX(Inputs!$K$5:$AJ$200,0,MATCH(O$2,Inputs!$K$4:$AJ$4,0)))))</f>
        <v>#N/A</v>
      </c>
      <c r="P44" s="6" t="e">
        <f>IF(ISNA(MATCH(P$2,Inputs!$K$4:$AJ$4,0)),NA(),IF(SUMPRODUCT((Inputs!$A$5:$A$200=$B44)*ISNUMBER(INDEX(Inputs!$K$5:$AJ$200,0,MATCH(P$2,Inputs!$K$4:$AJ$4,0))))+SUMPRODUCT((Inputs!$C$5:$C$200=$B44)*ISNUMBER(INDEX(Inputs!$K$5:$AJ$200,0,MATCH(P$2,Inputs!$K$4:$AJ$4,0))))+SUMPRODUCT((Inputs!$E$5:$E$200=$B44)*ISNUMBER(INDEX(Inputs!$K$5:$AJ$200,0,MATCH(P$2,Inputs!$K$4:$AJ$4,0))))=0,NA(),SUMPRODUCT((Inputs!$A$5:$A$200=$B44)*Inputs!$B$5:$B$200*(((Inputs!$G$5:$G$200="moeda")+(Inputs!$G$5:$G$200="acoes"))*Inputs!$B$1+((Inputs!$G$5:$G$200&lt;&gt;"moeda")*(Inputs!$G$5:$G$200&lt;&gt;"acoes")))*INDEX(Inputs!$K$5:$AJ$200,0,MATCH(P$2,Inputs!$K$4:$AJ$4,0)))+SUMPRODUCT((Inputs!$C$5:$C$200=$B44)*Inputs!$D$5:$D$200*(((Inputs!$G$5:$G$200="moeda")+(Inputs!$G$5:$G$200="acoes"))*Inputs!$B$1+((Inputs!$G$5:$G$200&lt;&gt;"moeda")*(Inputs!$G$5:$G$200&lt;&gt;"acoes")))*INDEX(Inputs!$K$5:$AJ$200,0,MATCH(P$2,Inputs!$K$4:$AJ$4,0)))+SUMPRODUCT((Inputs!$E$5:$E$200=$B44)*Inputs!$F$5:$F$200*(((Inputs!$G$5:$G$200="moeda")+(Inputs!$G$5:$G$200="acoes"))*Inputs!$B$1+((Inputs!$G$5:$G$200&lt;&gt;"moeda")*(Inputs!$G$5:$G$200&lt;&gt;"acoes")))*INDEX(Inputs!$K$5:$AJ$200,0,MATCH(P$2,Inputs!$K$4:$AJ$4,0)))))</f>
        <v>#N/A</v>
      </c>
      <c r="Q44" s="6" t="e">
        <f>IF(ISNA(MATCH(Q$2,Inputs!$K$4:$AJ$4,0)),NA(),IF(SUMPRODUCT((Inputs!$A$5:$A$200=$B44)*ISNUMBER(INDEX(Inputs!$K$5:$AJ$200,0,MATCH(Q$2,Inputs!$K$4:$AJ$4,0))))+SUMPRODUCT((Inputs!$C$5:$C$200=$B44)*ISNUMBER(INDEX(Inputs!$K$5:$AJ$200,0,MATCH(Q$2,Inputs!$K$4:$AJ$4,0))))+SUMPRODUCT((Inputs!$E$5:$E$200=$B44)*ISNUMBER(INDEX(Inputs!$K$5:$AJ$200,0,MATCH(Q$2,Inputs!$K$4:$AJ$4,0))))=0,NA(),SUMPRODUCT((Inputs!$A$5:$A$200=$B44)*Inputs!$B$5:$B$200*(((Inputs!$G$5:$G$200="moeda")+(Inputs!$G$5:$G$200="acoes"))*Inputs!$B$1+((Inputs!$G$5:$G$200&lt;&gt;"moeda")*(Inputs!$G$5:$G$200&lt;&gt;"acoes")))*INDEX(Inputs!$K$5:$AJ$200,0,MATCH(Q$2,Inputs!$K$4:$AJ$4,0)))+SUMPRODUCT((Inputs!$C$5:$C$200=$B44)*Inputs!$D$5:$D$200*(((Inputs!$G$5:$G$200="moeda")+(Inputs!$G$5:$G$200="acoes"))*Inputs!$B$1+((Inputs!$G$5:$G$200&lt;&gt;"moeda")*(Inputs!$G$5:$G$200&lt;&gt;"acoes")))*INDEX(Inputs!$K$5:$AJ$200,0,MATCH(Q$2,Inputs!$K$4:$AJ$4,0)))+SUMPRODUCT((Inputs!$E$5:$E$200=$B44)*Inputs!$F$5:$F$200*(((Inputs!$G$5:$G$200="moeda")+(Inputs!$G$5:$G$200="acoes"))*Inputs!$B$1+((Inputs!$G$5:$G$200&lt;&gt;"moeda")*(Inputs!$G$5:$G$200&lt;&gt;"acoes")))*INDEX(Inputs!$K$5:$AJ$200,0,MATCH(Q$2,Inputs!$K$4:$AJ$4,0)))))</f>
        <v>#N/A</v>
      </c>
      <c r="R44" s="3" t="e">
        <f>Q44</f>
        <v>#N/A</v>
      </c>
      <c r="S44" s="6" t="e">
        <f>IF(ISNA(MATCH(S$2,Inputs!$K$4:$AJ$4,0)),NA(),IF(SUMPRODUCT((Inputs!$A$5:$A$200=$B44)*ISNUMBER(INDEX(Inputs!$K$5:$AJ$200,0,MATCH(S$2,Inputs!$K$4:$AJ$4,0))))+SUMPRODUCT((Inputs!$C$5:$C$200=$B44)*ISNUMBER(INDEX(Inputs!$K$5:$AJ$200,0,MATCH(S$2,Inputs!$K$4:$AJ$4,0))))+SUMPRODUCT((Inputs!$E$5:$E$200=$B44)*ISNUMBER(INDEX(Inputs!$K$5:$AJ$200,0,MATCH(S$2,Inputs!$K$4:$AJ$4,0))))=0,NA(),SUMPRODUCT((Inputs!$A$5:$A$200=$B44)*Inputs!$B$5:$B$200*(((Inputs!$G$5:$G$200="moeda")+(Inputs!$G$5:$G$200="acoes"))*Inputs!$B$1+((Inputs!$G$5:$G$200&lt;&gt;"moeda")*(Inputs!$G$5:$G$200&lt;&gt;"acoes")))*INDEX(Inputs!$K$5:$AJ$200,0,MATCH(S$2,Inputs!$K$4:$AJ$4,0)))+SUMPRODUCT((Inputs!$C$5:$C$200=$B44)*Inputs!$D$5:$D$200*(((Inputs!$G$5:$G$200="moeda")+(Inputs!$G$5:$G$200="acoes"))*Inputs!$B$1+((Inputs!$G$5:$G$200&lt;&gt;"moeda")*(Inputs!$G$5:$G$200&lt;&gt;"acoes")))*INDEX(Inputs!$K$5:$AJ$200,0,MATCH(S$2,Inputs!$K$4:$AJ$4,0)))+SUMPRODUCT((Inputs!$E$5:$E$200=$B44)*Inputs!$F$5:$F$200*(((Inputs!$G$5:$G$200="moeda")+(Inputs!$G$5:$G$200="acoes"))*Inputs!$B$1+((Inputs!$G$5:$G$200&lt;&gt;"moeda")*(Inputs!$G$5:$G$200&lt;&gt;"acoes")))*INDEX(Inputs!$K$5:$AJ$200,0,MATCH(S$2,Inputs!$K$4:$AJ$4,0)))))</f>
        <v>#N/A</v>
      </c>
      <c r="T44" s="6" t="e">
        <f>IF(ISNA(MATCH(T$2,Inputs!$K$4:$AJ$4,0)),NA(),IF(SUMPRODUCT((Inputs!$A$5:$A$200=$B44)*ISNUMBER(INDEX(Inputs!$K$5:$AJ$200,0,MATCH(T$2,Inputs!$K$4:$AJ$4,0))))+SUMPRODUCT((Inputs!$C$5:$C$200=$B44)*ISNUMBER(INDEX(Inputs!$K$5:$AJ$200,0,MATCH(T$2,Inputs!$K$4:$AJ$4,0))))+SUMPRODUCT((Inputs!$E$5:$E$200=$B44)*ISNUMBER(INDEX(Inputs!$K$5:$AJ$200,0,MATCH(T$2,Inputs!$K$4:$AJ$4,0))))=0,NA(),SUMPRODUCT((Inputs!$A$5:$A$200=$B44)*Inputs!$B$5:$B$200*(((Inputs!$G$5:$G$200="moeda")+(Inputs!$G$5:$G$200="acoes"))*Inputs!$B$1+((Inputs!$G$5:$G$200&lt;&gt;"moeda")*(Inputs!$G$5:$G$200&lt;&gt;"acoes")))*INDEX(Inputs!$K$5:$AJ$200,0,MATCH(T$2,Inputs!$K$4:$AJ$4,0)))+SUMPRODUCT((Inputs!$C$5:$C$200=$B44)*Inputs!$D$5:$D$200*(((Inputs!$G$5:$G$200="moeda")+(Inputs!$G$5:$G$200="acoes"))*Inputs!$B$1+((Inputs!$G$5:$G$200&lt;&gt;"moeda")*(Inputs!$G$5:$G$200&lt;&gt;"acoes")))*INDEX(Inputs!$K$5:$AJ$200,0,MATCH(T$2,Inputs!$K$4:$AJ$4,0)))+SUMPRODUCT((Inputs!$E$5:$E$200=$B44)*Inputs!$F$5:$F$200*(((Inputs!$G$5:$G$200="moeda")+(Inputs!$G$5:$G$200="acoes"))*Inputs!$B$1+((Inputs!$G$5:$G$200&lt;&gt;"moeda")*(Inputs!$G$5:$G$200&lt;&gt;"acoes")))*INDEX(Inputs!$K$5:$AJ$200,0,MATCH(T$2,Inputs!$K$4:$AJ$4,0)))))</f>
        <v>#N/A</v>
      </c>
      <c r="U44" s="6" t="e">
        <f>IF(ISNA(MATCH(U$2,Inputs!$K$4:$AJ$4,0)),NA(),IF(SUMPRODUCT((Inputs!$A$5:$A$200=$B44)*ISNUMBER(INDEX(Inputs!$K$5:$AJ$200,0,MATCH(U$2,Inputs!$K$4:$AJ$4,0))))+SUMPRODUCT((Inputs!$C$5:$C$200=$B44)*ISNUMBER(INDEX(Inputs!$K$5:$AJ$200,0,MATCH(U$2,Inputs!$K$4:$AJ$4,0))))+SUMPRODUCT((Inputs!$E$5:$E$200=$B44)*ISNUMBER(INDEX(Inputs!$K$5:$AJ$200,0,MATCH(U$2,Inputs!$K$4:$AJ$4,0))))=0,NA(),SUMPRODUCT((Inputs!$A$5:$A$200=$B44)*Inputs!$B$5:$B$200*(((Inputs!$G$5:$G$200="moeda")+(Inputs!$G$5:$G$200="acoes"))*Inputs!$B$1+((Inputs!$G$5:$G$200&lt;&gt;"moeda")*(Inputs!$G$5:$G$200&lt;&gt;"acoes")))*INDEX(Inputs!$K$5:$AJ$200,0,MATCH(U$2,Inputs!$K$4:$AJ$4,0)))+SUMPRODUCT((Inputs!$C$5:$C$200=$B44)*Inputs!$D$5:$D$200*(((Inputs!$G$5:$G$200="moeda")+(Inputs!$G$5:$G$200="acoes"))*Inputs!$B$1+((Inputs!$G$5:$G$200&lt;&gt;"moeda")*(Inputs!$G$5:$G$200&lt;&gt;"acoes")))*INDEX(Inputs!$K$5:$AJ$200,0,MATCH(U$2,Inputs!$K$4:$AJ$4,0)))+SUMPRODUCT((Inputs!$E$5:$E$200=$B44)*Inputs!$F$5:$F$200*(((Inputs!$G$5:$G$200="moeda")+(Inputs!$G$5:$G$200="acoes"))*Inputs!$B$1+((Inputs!$G$5:$G$200&lt;&gt;"moeda")*(Inputs!$G$5:$G$200&lt;&gt;"acoes")))*INDEX(Inputs!$K$5:$AJ$200,0,MATCH(U$2,Inputs!$K$4:$AJ$4,0)))))</f>
        <v>#N/A</v>
      </c>
      <c r="V44" s="6" t="e">
        <f>IF(ISNA(MATCH(V$2,Inputs!$K$4:$AJ$4,0)),NA(),IF(SUMPRODUCT((Inputs!$A$5:$A$200=$B44)*ISNUMBER(INDEX(Inputs!$K$5:$AJ$200,0,MATCH(V$2,Inputs!$K$4:$AJ$4,0))))+SUMPRODUCT((Inputs!$C$5:$C$200=$B44)*ISNUMBER(INDEX(Inputs!$K$5:$AJ$200,0,MATCH(V$2,Inputs!$K$4:$AJ$4,0))))+SUMPRODUCT((Inputs!$E$5:$E$200=$B44)*ISNUMBER(INDEX(Inputs!$K$5:$AJ$200,0,MATCH(V$2,Inputs!$K$4:$AJ$4,0))))=0,NA(),SUMPRODUCT((Inputs!$A$5:$A$200=$B44)*Inputs!$B$5:$B$200*(((Inputs!$G$5:$G$200="moeda")+(Inputs!$G$5:$G$200="acoes"))*Inputs!$B$1+((Inputs!$G$5:$G$200&lt;&gt;"moeda")*(Inputs!$G$5:$G$200&lt;&gt;"acoes")))*INDEX(Inputs!$K$5:$AJ$200,0,MATCH(V$2,Inputs!$K$4:$AJ$4,0)))+SUMPRODUCT((Inputs!$C$5:$C$200=$B44)*Inputs!$D$5:$D$200*(((Inputs!$G$5:$G$200="moeda")+(Inputs!$G$5:$G$200="acoes"))*Inputs!$B$1+((Inputs!$G$5:$G$200&lt;&gt;"moeda")*(Inputs!$G$5:$G$200&lt;&gt;"acoes")))*INDEX(Inputs!$K$5:$AJ$200,0,MATCH(V$2,Inputs!$K$4:$AJ$4,0)))+SUMPRODUCT((Inputs!$E$5:$E$200=$B44)*Inputs!$F$5:$F$200*(((Inputs!$G$5:$G$200="moeda")+(Inputs!$G$5:$G$200="acoes"))*Inputs!$B$1+((Inputs!$G$5:$G$200&lt;&gt;"moeda")*(Inputs!$G$5:$G$200&lt;&gt;"acoes")))*INDEX(Inputs!$K$5:$AJ$200,0,MATCH(V$2,Inputs!$K$4:$AJ$4,0)))))</f>
        <v>#N/A</v>
      </c>
      <c r="W44" s="3" t="e">
        <f>V44</f>
        <v>#N/A</v>
      </c>
      <c r="X44" s="6" t="e">
        <f>IF(ISNA(MATCH(X$2,Inputs!$K$4:$AJ$4,0)),NA(),IF(SUMPRODUCT((Inputs!$A$5:$A$200=$B44)*ISNUMBER(INDEX(Inputs!$K$5:$AJ$200,0,MATCH(X$2,Inputs!$K$4:$AJ$4,0))))+SUMPRODUCT((Inputs!$C$5:$C$200=$B44)*ISNUMBER(INDEX(Inputs!$K$5:$AJ$200,0,MATCH(X$2,Inputs!$K$4:$AJ$4,0))))+SUMPRODUCT((Inputs!$E$5:$E$200=$B44)*ISNUMBER(INDEX(Inputs!$K$5:$AJ$200,0,MATCH(X$2,Inputs!$K$4:$AJ$4,0))))=0,NA(),SUMPRODUCT((Inputs!$A$5:$A$200=$B44)*Inputs!$B$5:$B$200*(((Inputs!$G$5:$G$200="moeda")+(Inputs!$G$5:$G$200="acoes"))*Inputs!$B$1+((Inputs!$G$5:$G$200&lt;&gt;"moeda")*(Inputs!$G$5:$G$200&lt;&gt;"acoes")))*INDEX(Inputs!$K$5:$AJ$200,0,MATCH(X$2,Inputs!$K$4:$AJ$4,0)))+SUMPRODUCT((Inputs!$C$5:$C$200=$B44)*Inputs!$D$5:$D$200*(((Inputs!$G$5:$G$200="moeda")+(Inputs!$G$5:$G$200="acoes"))*Inputs!$B$1+((Inputs!$G$5:$G$200&lt;&gt;"moeda")*(Inputs!$G$5:$G$200&lt;&gt;"acoes")))*INDEX(Inputs!$K$5:$AJ$200,0,MATCH(X$2,Inputs!$K$4:$AJ$4,0)))+SUMPRODUCT((Inputs!$E$5:$E$200=$B44)*Inputs!$F$5:$F$200*(((Inputs!$G$5:$G$200="moeda")+(Inputs!$G$5:$G$200="acoes"))*Inputs!$B$1+((Inputs!$G$5:$G$200&lt;&gt;"moeda")*(Inputs!$G$5:$G$200&lt;&gt;"acoes")))*INDEX(Inputs!$K$5:$AJ$200,0,MATCH(X$2,Inputs!$K$4:$AJ$4,0)))))</f>
        <v>#N/A</v>
      </c>
      <c r="Y44" s="6" t="e">
        <f>IF(ISNA(MATCH(Y$2,Inputs!$K$4:$AJ$4,0)),NA(),IF(SUMPRODUCT((Inputs!$A$5:$A$200=$B44)*ISNUMBER(INDEX(Inputs!$K$5:$AJ$200,0,MATCH(Y$2,Inputs!$K$4:$AJ$4,0))))+SUMPRODUCT((Inputs!$C$5:$C$200=$B44)*ISNUMBER(INDEX(Inputs!$K$5:$AJ$200,0,MATCH(Y$2,Inputs!$K$4:$AJ$4,0))))+SUMPRODUCT((Inputs!$E$5:$E$200=$B44)*ISNUMBER(INDEX(Inputs!$K$5:$AJ$200,0,MATCH(Y$2,Inputs!$K$4:$AJ$4,0))))=0,NA(),SUMPRODUCT((Inputs!$A$5:$A$200=$B44)*Inputs!$B$5:$B$200*(((Inputs!$G$5:$G$200="moeda")+(Inputs!$G$5:$G$200="acoes"))*Inputs!$B$1+((Inputs!$G$5:$G$200&lt;&gt;"moeda")*(Inputs!$G$5:$G$200&lt;&gt;"acoes")))*INDEX(Inputs!$K$5:$AJ$200,0,MATCH(Y$2,Inputs!$K$4:$AJ$4,0)))+SUMPRODUCT((Inputs!$C$5:$C$200=$B44)*Inputs!$D$5:$D$200*(((Inputs!$G$5:$G$200="moeda")+(Inputs!$G$5:$G$200="acoes"))*Inputs!$B$1+((Inputs!$G$5:$G$200&lt;&gt;"moeda")*(Inputs!$G$5:$G$200&lt;&gt;"acoes")))*INDEX(Inputs!$K$5:$AJ$200,0,MATCH(Y$2,Inputs!$K$4:$AJ$4,0)))+SUMPRODUCT((Inputs!$E$5:$E$200=$B44)*Inputs!$F$5:$F$200*(((Inputs!$G$5:$G$200="moeda")+(Inputs!$G$5:$G$200="acoes"))*Inputs!$B$1+((Inputs!$G$5:$G$200&lt;&gt;"moeda")*(Inputs!$G$5:$G$200&lt;&gt;"acoes")))*INDEX(Inputs!$K$5:$AJ$200,0,MATCH(Y$2,Inputs!$K$4:$AJ$4,0)))))</f>
        <v>#N/A</v>
      </c>
      <c r="Z44" s="6" t="e">
        <f>IF(ISNA(MATCH(Z$2,Inputs!$K$4:$AJ$4,0)),NA(),IF(SUMPRODUCT((Inputs!$A$5:$A$200=$B44)*ISNUMBER(INDEX(Inputs!$K$5:$AJ$200,0,MATCH(Z$2,Inputs!$K$4:$AJ$4,0))))+SUMPRODUCT((Inputs!$C$5:$C$200=$B44)*ISNUMBER(INDEX(Inputs!$K$5:$AJ$200,0,MATCH(Z$2,Inputs!$K$4:$AJ$4,0))))+SUMPRODUCT((Inputs!$E$5:$E$200=$B44)*ISNUMBER(INDEX(Inputs!$K$5:$AJ$200,0,MATCH(Z$2,Inputs!$K$4:$AJ$4,0))))=0,NA(),SUMPRODUCT((Inputs!$A$5:$A$200=$B44)*Inputs!$B$5:$B$200*(((Inputs!$G$5:$G$200="moeda")+(Inputs!$G$5:$G$200="acoes"))*Inputs!$B$1+((Inputs!$G$5:$G$200&lt;&gt;"moeda")*(Inputs!$G$5:$G$200&lt;&gt;"acoes")))*INDEX(Inputs!$K$5:$AJ$200,0,MATCH(Z$2,Inputs!$K$4:$AJ$4,0)))+SUMPRODUCT((Inputs!$C$5:$C$200=$B44)*Inputs!$D$5:$D$200*(((Inputs!$G$5:$G$200="moeda")+(Inputs!$G$5:$G$200="acoes"))*Inputs!$B$1+((Inputs!$G$5:$G$200&lt;&gt;"moeda")*(Inputs!$G$5:$G$200&lt;&gt;"acoes")))*INDEX(Inputs!$K$5:$AJ$200,0,MATCH(Z$2,Inputs!$K$4:$AJ$4,0)))+SUMPRODUCT((Inputs!$E$5:$E$200=$B44)*Inputs!$F$5:$F$200*(((Inputs!$G$5:$G$200="moeda")+(Inputs!$G$5:$G$200="acoes"))*Inputs!$B$1+((Inputs!$G$5:$G$200&lt;&gt;"moeda")*(Inputs!$G$5:$G$200&lt;&gt;"acoes")))*INDEX(Inputs!$K$5:$AJ$200,0,MATCH(Z$2,Inputs!$K$4:$AJ$4,0)))))</f>
        <v>#N/A</v>
      </c>
      <c r="AA44" s="6" t="e">
        <f>IF(ISNA(MATCH(AA$2,Inputs!$K$4:$AJ$4,0)),NA(),IF(SUMPRODUCT((Inputs!$A$5:$A$200=$B44)*ISNUMBER(INDEX(Inputs!$K$5:$AJ$200,0,MATCH(AA$2,Inputs!$K$4:$AJ$4,0))))+SUMPRODUCT((Inputs!$C$5:$C$200=$B44)*ISNUMBER(INDEX(Inputs!$K$5:$AJ$200,0,MATCH(AA$2,Inputs!$K$4:$AJ$4,0))))+SUMPRODUCT((Inputs!$E$5:$E$200=$B44)*ISNUMBER(INDEX(Inputs!$K$5:$AJ$200,0,MATCH(AA$2,Inputs!$K$4:$AJ$4,0))))=0,NA(),SUMPRODUCT((Inputs!$A$5:$A$200=$B44)*Inputs!$B$5:$B$200*(((Inputs!$G$5:$G$200="moeda")+(Inputs!$G$5:$G$200="acoes"))*Inputs!$B$1+((Inputs!$G$5:$G$200&lt;&gt;"moeda")*(Inputs!$G$5:$G$200&lt;&gt;"acoes")))*INDEX(Inputs!$K$5:$AJ$200,0,MATCH(AA$2,Inputs!$K$4:$AJ$4,0)))+SUMPRODUCT((Inputs!$C$5:$C$200=$B44)*Inputs!$D$5:$D$200*(((Inputs!$G$5:$G$200="moeda")+(Inputs!$G$5:$G$200="acoes"))*Inputs!$B$1+((Inputs!$G$5:$G$200&lt;&gt;"moeda")*(Inputs!$G$5:$G$200&lt;&gt;"acoes")))*INDEX(Inputs!$K$5:$AJ$200,0,MATCH(AA$2,Inputs!$K$4:$AJ$4,0)))+SUMPRODUCT((Inputs!$E$5:$E$200=$B44)*Inputs!$F$5:$F$200*(((Inputs!$G$5:$G$200="moeda")+(Inputs!$G$5:$G$200="acoes"))*Inputs!$B$1+((Inputs!$G$5:$G$200&lt;&gt;"moeda")*(Inputs!$G$5:$G$200&lt;&gt;"acoes")))*INDEX(Inputs!$K$5:$AJ$200,0,MATCH(AA$2,Inputs!$K$4:$AJ$4,0)))))</f>
        <v>#N/A</v>
      </c>
      <c r="AB44" s="3" t="e">
        <f>AA44</f>
        <v>#N/A</v>
      </c>
      <c r="AC44" s="6" t="e">
        <f>IF(ISNA(MATCH(AC$2,Inputs!$K$4:$AJ$4,0)),NA(),IF(SUMPRODUCT((Inputs!$A$5:$A$200=$B44)*ISNUMBER(INDEX(Inputs!$K$5:$AJ$200,0,MATCH(AC$2,Inputs!$K$4:$AJ$4,0))))+SUMPRODUCT((Inputs!$C$5:$C$200=$B44)*ISNUMBER(INDEX(Inputs!$K$5:$AJ$200,0,MATCH(AC$2,Inputs!$K$4:$AJ$4,0))))+SUMPRODUCT((Inputs!$E$5:$E$200=$B44)*ISNUMBER(INDEX(Inputs!$K$5:$AJ$200,0,MATCH(AC$2,Inputs!$K$4:$AJ$4,0))))=0,NA(),SUMPRODUCT((Inputs!$A$5:$A$200=$B44)*Inputs!$B$5:$B$200*(((Inputs!$G$5:$G$200="moeda")+(Inputs!$G$5:$G$200="acoes"))*Inputs!$B$1+((Inputs!$G$5:$G$200&lt;&gt;"moeda")*(Inputs!$G$5:$G$200&lt;&gt;"acoes")))*INDEX(Inputs!$K$5:$AJ$200,0,MATCH(AC$2,Inputs!$K$4:$AJ$4,0)))+SUMPRODUCT((Inputs!$C$5:$C$200=$B44)*Inputs!$D$5:$D$200*(((Inputs!$G$5:$G$200="moeda")+(Inputs!$G$5:$G$200="acoes"))*Inputs!$B$1+((Inputs!$G$5:$G$200&lt;&gt;"moeda")*(Inputs!$G$5:$G$200&lt;&gt;"acoes")))*INDEX(Inputs!$K$5:$AJ$200,0,MATCH(AC$2,Inputs!$K$4:$AJ$4,0)))+SUMPRODUCT((Inputs!$E$5:$E$200=$B44)*Inputs!$F$5:$F$200*(((Inputs!$G$5:$G$200="moeda")+(Inputs!$G$5:$G$200="acoes"))*Inputs!$B$1+((Inputs!$G$5:$G$200&lt;&gt;"moeda")*(Inputs!$G$5:$G$200&lt;&gt;"acoes")))*INDEX(Inputs!$K$5:$AJ$200,0,MATCH(AC$2,Inputs!$K$4:$AJ$4,0)))))</f>
        <v>#N/A</v>
      </c>
      <c r="AD44" s="6" t="e">
        <f>IF(ISNA(MATCH(AD$2,Inputs!$K$4:$AJ$4,0)),NA(),IF(SUMPRODUCT((Inputs!$A$5:$A$200=$B44)*ISNUMBER(INDEX(Inputs!$K$5:$AJ$200,0,MATCH(AD$2,Inputs!$K$4:$AJ$4,0))))+SUMPRODUCT((Inputs!$C$5:$C$200=$B44)*ISNUMBER(INDEX(Inputs!$K$5:$AJ$200,0,MATCH(AD$2,Inputs!$K$4:$AJ$4,0))))+SUMPRODUCT((Inputs!$E$5:$E$200=$B44)*ISNUMBER(INDEX(Inputs!$K$5:$AJ$200,0,MATCH(AD$2,Inputs!$K$4:$AJ$4,0))))=0,NA(),SUMPRODUCT((Inputs!$A$5:$A$200=$B44)*Inputs!$B$5:$B$200*(((Inputs!$G$5:$G$200="moeda")+(Inputs!$G$5:$G$200="acoes"))*Inputs!$B$1+((Inputs!$G$5:$G$200&lt;&gt;"moeda")*(Inputs!$G$5:$G$200&lt;&gt;"acoes")))*INDEX(Inputs!$K$5:$AJ$200,0,MATCH(AD$2,Inputs!$K$4:$AJ$4,0)))+SUMPRODUCT((Inputs!$C$5:$C$200=$B44)*Inputs!$D$5:$D$200*(((Inputs!$G$5:$G$200="moeda")+(Inputs!$G$5:$G$200="acoes"))*Inputs!$B$1+((Inputs!$G$5:$G$200&lt;&gt;"moeda")*(Inputs!$G$5:$G$200&lt;&gt;"acoes")))*INDEX(Inputs!$K$5:$AJ$200,0,MATCH(AD$2,Inputs!$K$4:$AJ$4,0)))+SUMPRODUCT((Inputs!$E$5:$E$200=$B44)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44" s="6" t="e">
        <f>IF(ISNA(MATCH(AE$2,Inputs!$K$4:$AJ$4,0)),NA(),IF(SUMPRODUCT((Inputs!$A$5:$A$200=$B44)*ISNUMBER(INDEX(Inputs!$K$5:$AJ$200,0,MATCH(AE$2,Inputs!$K$4:$AJ$4,0))))+SUMPRODUCT((Inputs!$C$5:$C$200=$B44)*ISNUMBER(INDEX(Inputs!$K$5:$AJ$200,0,MATCH(AE$2,Inputs!$K$4:$AJ$4,0))))+SUMPRODUCT((Inputs!$E$5:$E$200=$B44)*ISNUMBER(INDEX(Inputs!$K$5:$AJ$200,0,MATCH(AE$2,Inputs!$K$4:$AJ$4,0))))=0,NA(),SUMPRODUCT((Inputs!$A$5:$A$200=$B44)*Inputs!$B$5:$B$200*(((Inputs!$G$5:$G$200="moeda")+(Inputs!$G$5:$G$200="acoes"))*Inputs!$B$1+((Inputs!$G$5:$G$200&lt;&gt;"moeda")*(Inputs!$G$5:$G$200&lt;&gt;"acoes")))*INDEX(Inputs!$K$5:$AJ$200,0,MATCH(AE$2,Inputs!$K$4:$AJ$4,0)))+SUMPRODUCT((Inputs!$C$5:$C$200=$B44)*Inputs!$D$5:$D$200*(((Inputs!$G$5:$G$200="moeda")+(Inputs!$G$5:$G$200="acoes"))*Inputs!$B$1+((Inputs!$G$5:$G$200&lt;&gt;"moeda")*(Inputs!$G$5:$G$200&lt;&gt;"acoes")))*INDEX(Inputs!$K$5:$AJ$200,0,MATCH(AE$2,Inputs!$K$4:$AJ$4,0)))+SUMPRODUCT((Inputs!$E$5:$E$200=$B44)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4" s="6" t="e">
        <f>IF(ISNA(MATCH(AF$2,Inputs!$K$4:$AJ$4,0)),NA(),IF(SUMPRODUCT((Inputs!$A$5:$A$200=$B44)*ISNUMBER(INDEX(Inputs!$K$5:$AJ$200,0,MATCH(AF$2,Inputs!$K$4:$AJ$4,0))))+SUMPRODUCT((Inputs!$C$5:$C$200=$B44)*ISNUMBER(INDEX(Inputs!$K$5:$AJ$200,0,MATCH(AF$2,Inputs!$K$4:$AJ$4,0))))+SUMPRODUCT((Inputs!$E$5:$E$200=$B44)*ISNUMBER(INDEX(Inputs!$K$5:$AJ$200,0,MATCH(AF$2,Inputs!$K$4:$AJ$4,0))))=0,NA(),SUMPRODUCT((Inputs!$A$5:$A$200=$B44)*Inputs!$B$5:$B$200*(((Inputs!$G$5:$G$200="moeda")+(Inputs!$G$5:$G$200="acoes"))*Inputs!$B$1+((Inputs!$G$5:$G$200&lt;&gt;"moeda")*(Inputs!$G$5:$G$200&lt;&gt;"acoes")))*INDEX(Inputs!$K$5:$AJ$200,0,MATCH(AF$2,Inputs!$K$4:$AJ$4,0)))+SUMPRODUCT((Inputs!$C$5:$C$200=$B44)*Inputs!$D$5:$D$200*(((Inputs!$G$5:$G$200="moeda")+(Inputs!$G$5:$G$200="acoes"))*Inputs!$B$1+((Inputs!$G$5:$G$200&lt;&gt;"moeda")*(Inputs!$G$5:$G$200&lt;&gt;"acoes")))*INDEX(Inputs!$K$5:$AJ$200,0,MATCH(AF$2,Inputs!$K$4:$AJ$4,0)))+SUMPRODUCT((Inputs!$E$5:$E$200=$B44)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4" s="3" t="e">
        <f>AF44</f>
        <v>#N/A</v>
      </c>
      <c r="AH44" s="6" t="e">
        <f>IF(ISNA(MATCH(AH$2,Inputs!$K$4:$AJ$4,0)),NA(),IF(SUMPRODUCT((Inputs!$A$5:$A$200=$B44)*ISNUMBER(INDEX(Inputs!$K$5:$AJ$200,0,MATCH(AH$2,Inputs!$K$4:$AJ$4,0))))+SUMPRODUCT((Inputs!$C$5:$C$200=$B44)*ISNUMBER(INDEX(Inputs!$K$5:$AJ$200,0,MATCH(AH$2,Inputs!$K$4:$AJ$4,0))))+SUMPRODUCT((Inputs!$E$5:$E$200=$B44)*ISNUMBER(INDEX(Inputs!$K$5:$AJ$200,0,MATCH(AH$2,Inputs!$K$4:$AJ$4,0))))=0,NA(),SUMPRODUCT((Inputs!$A$5:$A$200=$B44)*Inputs!$B$5:$B$200*(((Inputs!$G$5:$G$200="moeda")+(Inputs!$G$5:$G$200="acoes"))*Inputs!$B$1+((Inputs!$G$5:$G$200&lt;&gt;"moeda")*(Inputs!$G$5:$G$200&lt;&gt;"acoes")))*INDEX(Inputs!$K$5:$AJ$200,0,MATCH(AH$2,Inputs!$K$4:$AJ$4,0)))+SUMPRODUCT((Inputs!$C$5:$C$200=$B44)*Inputs!$D$5:$D$200*(((Inputs!$G$5:$G$200="moeda")+(Inputs!$G$5:$G$200="acoes"))*Inputs!$B$1+((Inputs!$G$5:$G$200&lt;&gt;"moeda")*(Inputs!$G$5:$G$200&lt;&gt;"acoes")))*INDEX(Inputs!$K$5:$AJ$200,0,MATCH(AH$2,Inputs!$K$4:$AJ$4,0)))+SUMPRODUCT((Inputs!$E$5:$E$200=$B44)*Inputs!$F$5:$F$200*(((Inputs!$G$5:$G$200="moeda")+(Inputs!$G$5:$G$200="acoes"))*Inputs!$B$1+((Inputs!$G$5:$G$200&lt;&gt;"moeda")*(Inputs!$G$5:$G$200&lt;&gt;"acoes")))*INDEX(Inputs!$K$5:$AJ$200,0,MATCH(AH$2,Inputs!$K$4:$AJ$4,0)))))</f>
        <v>#N/A</v>
      </c>
      <c r="AI44" s="6" t="e">
        <f>IF(ISNA(MATCH(AI$2,Inputs!$K$4:$AJ$4,0)),NA(),IF(SUMPRODUCT((Inputs!$A$5:$A$200=$B44)*ISNUMBER(INDEX(Inputs!$K$5:$AJ$200,0,MATCH(AI$2,Inputs!$K$4:$AJ$4,0))))+SUMPRODUCT((Inputs!$C$5:$C$200=$B44)*ISNUMBER(INDEX(Inputs!$K$5:$AJ$200,0,MATCH(AI$2,Inputs!$K$4:$AJ$4,0))))+SUMPRODUCT((Inputs!$E$5:$E$200=$B44)*ISNUMBER(INDEX(Inputs!$K$5:$AJ$200,0,MATCH(AI$2,Inputs!$K$4:$AJ$4,0))))=0,NA(),SUMPRODUCT((Inputs!$A$5:$A$200=$B44)*Inputs!$B$5:$B$200*(((Inputs!$G$5:$G$200="moeda")+(Inputs!$G$5:$G$200="acoes"))*Inputs!$B$1+((Inputs!$G$5:$G$200&lt;&gt;"moeda")*(Inputs!$G$5:$G$200&lt;&gt;"acoes")))*INDEX(Inputs!$K$5:$AJ$200,0,MATCH(AI$2,Inputs!$K$4:$AJ$4,0)))+SUMPRODUCT((Inputs!$C$5:$C$200=$B44)*Inputs!$D$5:$D$200*(((Inputs!$G$5:$G$200="moeda")+(Inputs!$G$5:$G$200="acoes"))*Inputs!$B$1+((Inputs!$G$5:$G$200&lt;&gt;"moeda")*(Inputs!$G$5:$G$200&lt;&gt;"acoes")))*INDEX(Inputs!$K$5:$AJ$200,0,MATCH(AI$2,Inputs!$K$4:$AJ$4,0)))+SUMPRODUCT((Inputs!$E$5:$E$200=$B44)*Inputs!$F$5:$F$200*(((Inputs!$G$5:$G$200="moeda")+(Inputs!$G$5:$G$200="acoes"))*Inputs!$B$1+((Inputs!$G$5:$G$200&lt;&gt;"moeda")*(Inputs!$G$5:$G$200&lt;&gt;"acoes")))*INDEX(Inputs!$K$5:$AJ$200,0,MATCH(AI$2,Inputs!$K$4:$AJ$4,0)))))</f>
        <v>#N/A</v>
      </c>
      <c r="AJ44" s="6" t="e">
        <f>IF(ISNA(MATCH(AJ$2,Inputs!$K$4:$AJ$4,0)),NA(),IF(SUMPRODUCT((Inputs!$A$5:$A$200=$B44)*ISNUMBER(INDEX(Inputs!$K$5:$AJ$200,0,MATCH(AJ$2,Inputs!$K$4:$AJ$4,0))))+SUMPRODUCT((Inputs!$C$5:$C$200=$B44)*ISNUMBER(INDEX(Inputs!$K$5:$AJ$200,0,MATCH(AJ$2,Inputs!$K$4:$AJ$4,0))))+SUMPRODUCT((Inputs!$E$5:$E$200=$B44)*ISNUMBER(INDEX(Inputs!$K$5:$AJ$200,0,MATCH(AJ$2,Inputs!$K$4:$AJ$4,0))))=0,NA(),SUMPRODUCT((Inputs!$A$5:$A$200=$B44)*Inputs!$B$5:$B$200*(((Inputs!$G$5:$G$200="moeda")+(Inputs!$G$5:$G$200="acoes"))*Inputs!$B$1+((Inputs!$G$5:$G$200&lt;&gt;"moeda")*(Inputs!$G$5:$G$200&lt;&gt;"acoes")))*INDEX(Inputs!$K$5:$AJ$200,0,MATCH(AJ$2,Inputs!$K$4:$AJ$4,0)))+SUMPRODUCT((Inputs!$C$5:$C$200=$B44)*Inputs!$D$5:$D$200*(((Inputs!$G$5:$G$200="moeda")+(Inputs!$G$5:$G$200="acoes"))*Inputs!$B$1+((Inputs!$G$5:$G$200&lt;&gt;"moeda")*(Inputs!$G$5:$G$200&lt;&gt;"acoes")))*INDEX(Inputs!$K$5:$AJ$200,0,MATCH(AJ$2,Inputs!$K$4:$AJ$4,0)))+SUMPRODUCT((Inputs!$E$5:$E$200=$B44)*Inputs!$F$5:$F$200*(((Inputs!$G$5:$G$200="moeda")+(Inputs!$G$5:$G$200="acoes"))*Inputs!$B$1+((Inputs!$G$5:$G$200&lt;&gt;"moeda")*(Inputs!$G$5:$G$200&lt;&gt;"acoes")))*INDEX(Inputs!$K$5:$AJ$200,0,MATCH(AJ$2,Inputs!$K$4:$AJ$4,0)))))</f>
        <v>#N/A</v>
      </c>
      <c r="AK44" s="6" t="e">
        <f>IF(ISNA(MATCH(AK$2,Inputs!$K$4:$AJ$4,0)),NA(),IF(SUMPRODUCT((Inputs!$A$5:$A$200=$B44)*ISNUMBER(INDEX(Inputs!$K$5:$AJ$200,0,MATCH(AK$2,Inputs!$K$4:$AJ$4,0))))+SUMPRODUCT((Inputs!$C$5:$C$200=$B44)*ISNUMBER(INDEX(Inputs!$K$5:$AJ$200,0,MATCH(AK$2,Inputs!$K$4:$AJ$4,0))))+SUMPRODUCT((Inputs!$E$5:$E$200=$B44)*ISNUMBER(INDEX(Inputs!$K$5:$AJ$200,0,MATCH(AK$2,Inputs!$K$4:$AJ$4,0))))=0,NA(),SUMPRODUCT((Inputs!$A$5:$A$200=$B44)*Inputs!$B$5:$B$200*(((Inputs!$G$5:$G$200="moeda")+(Inputs!$G$5:$G$200="acoes"))*Inputs!$B$1+((Inputs!$G$5:$G$200&lt;&gt;"moeda")*(Inputs!$G$5:$G$200&lt;&gt;"acoes")))*INDEX(Inputs!$K$5:$AJ$200,0,MATCH(AK$2,Inputs!$K$4:$AJ$4,0)))+SUMPRODUCT((Inputs!$C$5:$C$200=$B44)*Inputs!$D$5:$D$200*(((Inputs!$G$5:$G$200="moeda")+(Inputs!$G$5:$G$200="acoes"))*Inputs!$B$1+((Inputs!$G$5:$G$200&lt;&gt;"moeda")*(Inputs!$G$5:$G$200&lt;&gt;"acoes")))*INDEX(Inputs!$K$5:$AJ$200,0,MATCH(AK$2,Inputs!$K$4:$AJ$4,0)))+SUMPRODUCT((Inputs!$E$5:$E$200=$B44)*Inputs!$F$5:$F$200*(((Inputs!$G$5:$G$200="moeda")+(Inputs!$G$5:$G$200="acoes"))*Inputs!$B$1+((Inputs!$G$5:$G$200&lt;&gt;"moeda")*(Inputs!$G$5:$G$200&lt;&gt;"acoes")))*INDEX(Inputs!$K$5:$AJ$200,0,MATCH(AK$2,Inputs!$K$4:$AJ$4,0)))))</f>
        <v>#N/A</v>
      </c>
      <c r="AL44" s="3" t="e">
        <f>AK44</f>
        <v>#N/A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$200=$B45)*ISNUMBER(INDEX(Inputs!$K$5:$AJ$200,0,MATCH(D$2,Inputs!$K$4:$AJ$4,0))))+SUMPRODUCT((Inputs!$C$5:$C$200=$B45)*ISNUMBER(INDEX(Inputs!$K$5:$AJ$200,0,MATCH(D$2,Inputs!$K$4:$AJ$4,0))))+SUMPRODUCT((Inputs!$E$5:$E$200=$B45)*ISNUMBER(INDEX(Inputs!$K$5:$AJ$200,0,MATCH(D$2,Inputs!$K$4:$AJ$4,0))))=0,NA(),SUMPRODUCT((Inputs!$A$5:$A$200=$B45)*Inputs!$B$5:$B$200*(((Inputs!$G$5:$G$200="moeda")+(Inputs!$G$5:$G$200="acoes"))*Inputs!$B$1+((Inputs!$G$5:$G$200&lt;&gt;"moeda")*(Inputs!$G$5:$G$200&lt;&gt;"acoes")))*INDEX(Inputs!$K$5:$AJ$200,0,MATCH(D$2,Inputs!$K$4:$AJ$4,0)))+SUMPRODUCT((Inputs!$C$5:$C$200=$B45)*Inputs!$D$5:$D$200*(((Inputs!$G$5:$G$200="moeda")+(Inputs!$G$5:$G$200="acoes"))*Inputs!$B$1+((Inputs!$G$5:$G$200&lt;&gt;"moeda")*(Inputs!$G$5:$G$200&lt;&gt;"acoes")))*INDEX(Inputs!$K$5:$AJ$200,0,MATCH(D$2,Inputs!$K$4:$AJ$4,0)))+SUMPRODUCT((Inputs!$E$5:$E$200=$B45)*Inputs!$F$5:$F$200*(((Inputs!$G$5:$G$200="moeda")+(Inputs!$G$5:$G$200="acoes"))*Inputs!$B$1+((Inputs!$G$5:$G$200&lt;&gt;"moeda")*(Inputs!$G$5:$G$200&lt;&gt;"acoes")))*INDEX(Inputs!$K$5:$AJ$200,0,MATCH(D$2,Inputs!$K$4:$AJ$4,0)))))</f>
        <v>10.359</v>
      </c>
      <c r="E45" s="6">
        <f>IF(ISNA(MATCH(E$2,Inputs!$K$4:$AJ$4,0)),NA(),IF(SUMPRODUCT((Inputs!$A$5:$A$200=$B45)*ISNUMBER(INDEX(Inputs!$K$5:$AJ$200,0,MATCH(E$2,Inputs!$K$4:$AJ$4,0))))+SUMPRODUCT((Inputs!$C$5:$C$200=$B45)*ISNUMBER(INDEX(Inputs!$K$5:$AJ$200,0,MATCH(E$2,Inputs!$K$4:$AJ$4,0))))+SUMPRODUCT((Inputs!$E$5:$E$200=$B45)*ISNUMBER(INDEX(Inputs!$K$5:$AJ$200,0,MATCH(E$2,Inputs!$K$4:$AJ$4,0))))=0,NA(),SUMPRODUCT((Inputs!$A$5:$A$200=$B45)*Inputs!$B$5:$B$200*(((Inputs!$G$5:$G$200="moeda")+(Inputs!$G$5:$G$200="acoes"))*Inputs!$B$1+((Inputs!$G$5:$G$200&lt;&gt;"moeda")*(Inputs!$G$5:$G$200&lt;&gt;"acoes")))*INDEX(Inputs!$K$5:$AJ$200,0,MATCH(E$2,Inputs!$K$4:$AJ$4,0)))+SUMPRODUCT((Inputs!$C$5:$C$200=$B45)*Inputs!$D$5:$D$200*(((Inputs!$G$5:$G$200="moeda")+(Inputs!$G$5:$G$200="acoes"))*Inputs!$B$1+((Inputs!$G$5:$G$200&lt;&gt;"moeda")*(Inputs!$G$5:$G$200&lt;&gt;"acoes")))*INDEX(Inputs!$K$5:$AJ$200,0,MATCH(E$2,Inputs!$K$4:$AJ$4,0)))+SUMPRODUCT((Inputs!$E$5:$E$200=$B45)*Inputs!$F$5:$F$200*(((Inputs!$G$5:$G$200="moeda")+(Inputs!$G$5:$G$200="acoes"))*Inputs!$B$1+((Inputs!$G$5:$G$200&lt;&gt;"moeda")*(Inputs!$G$5:$G$200&lt;&gt;"acoes")))*INDEX(Inputs!$K$5:$AJ$200,0,MATCH(E$2,Inputs!$K$4:$AJ$4,0)))))</f>
        <v>10.359</v>
      </c>
      <c r="F45" s="6">
        <f>IF(ISNA(MATCH(F$2,Inputs!$K$4:$AJ$4,0)),NA(),IF(SUMPRODUCT((Inputs!$A$5:$A$200=$B45)*ISNUMBER(INDEX(Inputs!$K$5:$AJ$200,0,MATCH(F$2,Inputs!$K$4:$AJ$4,0))))+SUMPRODUCT((Inputs!$C$5:$C$200=$B45)*ISNUMBER(INDEX(Inputs!$K$5:$AJ$200,0,MATCH(F$2,Inputs!$K$4:$AJ$4,0))))+SUMPRODUCT((Inputs!$E$5:$E$200=$B45)*ISNUMBER(INDEX(Inputs!$K$5:$AJ$200,0,MATCH(F$2,Inputs!$K$4:$AJ$4,0))))=0,NA(),SUMPRODUCT((Inputs!$A$5:$A$200=$B45)*Inputs!$B$5:$B$200*(((Inputs!$G$5:$G$200="moeda")+(Inputs!$G$5:$G$200="acoes"))*Inputs!$B$1+((Inputs!$G$5:$G$200&lt;&gt;"moeda")*(Inputs!$G$5:$G$200&lt;&gt;"acoes")))*INDEX(Inputs!$K$5:$AJ$200,0,MATCH(F$2,Inputs!$K$4:$AJ$4,0)))+SUMPRODUCT((Inputs!$C$5:$C$200=$B45)*Inputs!$D$5:$D$200*(((Inputs!$G$5:$G$200="moeda")+(Inputs!$G$5:$G$200="acoes"))*Inputs!$B$1+((Inputs!$G$5:$G$200&lt;&gt;"moeda")*(Inputs!$G$5:$G$200&lt;&gt;"acoes")))*INDEX(Inputs!$K$5:$AJ$200,0,MATCH(F$2,Inputs!$K$4:$AJ$4,0)))+SUMPRODUCT((Inputs!$E$5:$E$200=$B45)*Inputs!$F$5:$F$200*(((Inputs!$G$5:$G$200="moeda")+(Inputs!$G$5:$G$200="acoes"))*Inputs!$B$1+((Inputs!$G$5:$G$200&lt;&gt;"moeda")*(Inputs!$G$5:$G$200&lt;&gt;"acoes")))*INDEX(Inputs!$K$5:$AJ$200,0,MATCH(F$2,Inputs!$K$4:$AJ$4,0)))))</f>
        <v>10.359</v>
      </c>
      <c r="G45" s="6">
        <f>IF(ISNA(MATCH(G$2,Inputs!$K$4:$AJ$4,0)),NA(),IF(SUMPRODUCT((Inputs!$A$5:$A$200=$B45)*ISNUMBER(INDEX(Inputs!$K$5:$AJ$200,0,MATCH(G$2,Inputs!$K$4:$AJ$4,0))))+SUMPRODUCT((Inputs!$C$5:$C$200=$B45)*ISNUMBER(INDEX(Inputs!$K$5:$AJ$200,0,MATCH(G$2,Inputs!$K$4:$AJ$4,0))))+SUMPRODUCT((Inputs!$E$5:$E$200=$B45)*ISNUMBER(INDEX(Inputs!$K$5:$AJ$200,0,MATCH(G$2,Inputs!$K$4:$AJ$4,0))))=0,NA(),SUMPRODUCT((Inputs!$A$5:$A$200=$B45)*Inputs!$B$5:$B$200*(((Inputs!$G$5:$G$200="moeda")+(Inputs!$G$5:$G$200="acoes"))*Inputs!$B$1+((Inputs!$G$5:$G$200&lt;&gt;"moeda")*(Inputs!$G$5:$G$200&lt;&gt;"acoes")))*INDEX(Inputs!$K$5:$AJ$200,0,MATCH(G$2,Inputs!$K$4:$AJ$4,0)))+SUMPRODUCT((Inputs!$C$5:$C$200=$B45)*Inputs!$D$5:$D$200*(((Inputs!$G$5:$G$200="moeda")+(Inputs!$G$5:$G$200="acoes"))*Inputs!$B$1+((Inputs!$G$5:$G$200&lt;&gt;"moeda")*(Inputs!$G$5:$G$200&lt;&gt;"acoes")))*INDEX(Inputs!$K$5:$AJ$200,0,MATCH(G$2,Inputs!$K$4:$AJ$4,0)))+SUMPRODUCT((Inputs!$E$5:$E$200=$B45)*Inputs!$F$5:$F$200*(((Inputs!$G$5:$G$200="moeda")+(Inputs!$G$5:$G$200="acoes"))*Inputs!$B$1+((Inputs!$G$5:$G$200&lt;&gt;"moeda")*(Inputs!$G$5:$G$200&lt;&gt;"acoes")))*INDEX(Inputs!$K$5:$AJ$200,0,MATCH(G$2,Inputs!$K$4:$AJ$4,0)))))</f>
        <v>10.359</v>
      </c>
      <c r="H45" s="3">
        <f>G45</f>
        <v>10.359</v>
      </c>
      <c r="I45" s="6">
        <f>IF(ISNA(MATCH(I$2,Inputs!$K$4:$AJ$4,0)),NA(),IF(SUMPRODUCT((Inputs!$A$5:$A$200=$B45)*ISNUMBER(INDEX(Inputs!$K$5:$AJ$200,0,MATCH(I$2,Inputs!$K$4:$AJ$4,0))))+SUMPRODUCT((Inputs!$C$5:$C$200=$B45)*ISNUMBER(INDEX(Inputs!$K$5:$AJ$200,0,MATCH(I$2,Inputs!$K$4:$AJ$4,0))))+SUMPRODUCT((Inputs!$E$5:$E$200=$B45)*ISNUMBER(INDEX(Inputs!$K$5:$AJ$200,0,MATCH(I$2,Inputs!$K$4:$AJ$4,0))))=0,NA(),SUMPRODUCT((Inputs!$A$5:$A$200=$B45)*Inputs!$B$5:$B$200*(((Inputs!$G$5:$G$200="moeda")+(Inputs!$G$5:$G$200="acoes"))*Inputs!$B$1+((Inputs!$G$5:$G$200&lt;&gt;"moeda")*(Inputs!$G$5:$G$200&lt;&gt;"acoes")))*INDEX(Inputs!$K$5:$AJ$200,0,MATCH(I$2,Inputs!$K$4:$AJ$4,0)))+SUMPRODUCT((Inputs!$C$5:$C$200=$B45)*Inputs!$D$5:$D$200*(((Inputs!$G$5:$G$200="moeda")+(Inputs!$G$5:$G$200="acoes"))*Inputs!$B$1+((Inputs!$G$5:$G$200&lt;&gt;"moeda")*(Inputs!$G$5:$G$200&lt;&gt;"acoes")))*INDEX(Inputs!$K$5:$AJ$200,0,MATCH(I$2,Inputs!$K$4:$AJ$4,0)))+SUMPRODUCT((Inputs!$E$5:$E$200=$B45)*Inputs!$F$5:$F$200*(((Inputs!$G$5:$G$200="moeda")+(Inputs!$G$5:$G$200="acoes"))*Inputs!$B$1+((Inputs!$G$5:$G$200&lt;&gt;"moeda")*(Inputs!$G$5:$G$200&lt;&gt;"acoes")))*INDEX(Inputs!$K$5:$AJ$200,0,MATCH(I$2,Inputs!$K$4:$AJ$4,0)))))</f>
        <v>10.359</v>
      </c>
      <c r="J45" s="6">
        <f>IF(ISNA(MATCH(J$2,Inputs!$K$4:$AJ$4,0)),NA(),IF(SUMPRODUCT((Inputs!$A$5:$A$200=$B45)*ISNUMBER(INDEX(Inputs!$K$5:$AJ$200,0,MATCH(J$2,Inputs!$K$4:$AJ$4,0))))+SUMPRODUCT((Inputs!$C$5:$C$200=$B45)*ISNUMBER(INDEX(Inputs!$K$5:$AJ$200,0,MATCH(J$2,Inputs!$K$4:$AJ$4,0))))+SUMPRODUCT((Inputs!$E$5:$E$200=$B45)*ISNUMBER(INDEX(Inputs!$K$5:$AJ$200,0,MATCH(J$2,Inputs!$K$4:$AJ$4,0))))=0,NA(),SUMPRODUCT((Inputs!$A$5:$A$200=$B45)*Inputs!$B$5:$B$200*(((Inputs!$G$5:$G$200="moeda")+(Inputs!$G$5:$G$200="acoes"))*Inputs!$B$1+((Inputs!$G$5:$G$200&lt;&gt;"moeda")*(Inputs!$G$5:$G$200&lt;&gt;"acoes")))*INDEX(Inputs!$K$5:$AJ$200,0,MATCH(J$2,Inputs!$K$4:$AJ$4,0)))+SUMPRODUCT((Inputs!$C$5:$C$200=$B45)*Inputs!$D$5:$D$200*(((Inputs!$G$5:$G$200="moeda")+(Inputs!$G$5:$G$200="acoes"))*Inputs!$B$1+((Inputs!$G$5:$G$200&lt;&gt;"moeda")*(Inputs!$G$5:$G$200&lt;&gt;"acoes")))*INDEX(Inputs!$K$5:$AJ$200,0,MATCH(J$2,Inputs!$K$4:$AJ$4,0)))+SUMPRODUCT((Inputs!$E$5:$E$200=$B45)*Inputs!$F$5:$F$200*(((Inputs!$G$5:$G$200="moeda")+(Inputs!$G$5:$G$200="acoes"))*Inputs!$B$1+((Inputs!$G$5:$G$200&lt;&gt;"moeda")*(Inputs!$G$5:$G$200&lt;&gt;"acoes")))*INDEX(Inputs!$K$5:$AJ$200,0,MATCH(J$2,Inputs!$K$4:$AJ$4,0)))))</f>
        <v>8.763</v>
      </c>
      <c r="K45" s="6">
        <f>IF(ISNA(MATCH(K$2,Inputs!$K$4:$AJ$4,0)),NA(),IF(SUMPRODUCT((Inputs!$A$5:$A$200=$B45)*ISNUMBER(INDEX(Inputs!$K$5:$AJ$200,0,MATCH(K$2,Inputs!$K$4:$AJ$4,0))))+SUMPRODUCT((Inputs!$C$5:$C$200=$B45)*ISNUMBER(INDEX(Inputs!$K$5:$AJ$200,0,MATCH(K$2,Inputs!$K$4:$AJ$4,0))))+SUMPRODUCT((Inputs!$E$5:$E$200=$B45)*ISNUMBER(INDEX(Inputs!$K$5:$AJ$200,0,MATCH(K$2,Inputs!$K$4:$AJ$4,0))))=0,NA(),SUMPRODUCT((Inputs!$A$5:$A$200=$B45)*Inputs!$B$5:$B$200*(((Inputs!$G$5:$G$200="moeda")+(Inputs!$G$5:$G$200="acoes"))*Inputs!$B$1+((Inputs!$G$5:$G$200&lt;&gt;"moeda")*(Inputs!$G$5:$G$200&lt;&gt;"acoes")))*INDEX(Inputs!$K$5:$AJ$200,0,MATCH(K$2,Inputs!$K$4:$AJ$4,0)))+SUMPRODUCT((Inputs!$C$5:$C$200=$B45)*Inputs!$D$5:$D$200*(((Inputs!$G$5:$G$200="moeda")+(Inputs!$G$5:$G$200="acoes"))*Inputs!$B$1+((Inputs!$G$5:$G$200&lt;&gt;"moeda")*(Inputs!$G$5:$G$200&lt;&gt;"acoes")))*INDEX(Inputs!$K$5:$AJ$200,0,MATCH(K$2,Inputs!$K$4:$AJ$4,0)))+SUMPRODUCT((Inputs!$E$5:$E$200=$B45)*Inputs!$F$5:$F$200*(((Inputs!$G$5:$G$200="moeda")+(Inputs!$G$5:$G$200="acoes"))*Inputs!$B$1+((Inputs!$G$5:$G$200&lt;&gt;"moeda")*(Inputs!$G$5:$G$200&lt;&gt;"acoes")))*INDEX(Inputs!$K$5:$AJ$200,0,MATCH(K$2,Inputs!$K$4:$AJ$4,0)))))</f>
        <v>17.461</v>
      </c>
      <c r="L45" s="6">
        <f>IF(ISNA(MATCH(L$2,Inputs!$K$4:$AJ$4,0)),NA(),IF(SUMPRODUCT((Inputs!$A$5:$A$200=$B45)*ISNUMBER(INDEX(Inputs!$K$5:$AJ$200,0,MATCH(L$2,Inputs!$K$4:$AJ$4,0))))+SUMPRODUCT((Inputs!$C$5:$C$200=$B45)*ISNUMBER(INDEX(Inputs!$K$5:$AJ$200,0,MATCH(L$2,Inputs!$K$4:$AJ$4,0))))+SUMPRODUCT((Inputs!$E$5:$E$200=$B45)*ISNUMBER(INDEX(Inputs!$K$5:$AJ$200,0,MATCH(L$2,Inputs!$K$4:$AJ$4,0))))=0,NA(),SUMPRODUCT((Inputs!$A$5:$A$200=$B45)*Inputs!$B$5:$B$200*(((Inputs!$G$5:$G$200="moeda")+(Inputs!$G$5:$G$200="acoes"))*Inputs!$B$1+((Inputs!$G$5:$G$200&lt;&gt;"moeda")*(Inputs!$G$5:$G$200&lt;&gt;"acoes")))*INDEX(Inputs!$K$5:$AJ$200,0,MATCH(L$2,Inputs!$K$4:$AJ$4,0)))+SUMPRODUCT((Inputs!$C$5:$C$200=$B45)*Inputs!$D$5:$D$200*(((Inputs!$G$5:$G$200="moeda")+(Inputs!$G$5:$G$200="acoes"))*Inputs!$B$1+((Inputs!$G$5:$G$200&lt;&gt;"moeda")*(Inputs!$G$5:$G$200&lt;&gt;"acoes")))*INDEX(Inputs!$K$5:$AJ$200,0,MATCH(L$2,Inputs!$K$4:$AJ$4,0)))+SUMPRODUCT((Inputs!$E$5:$E$200=$B45)*Inputs!$F$5:$F$200*(((Inputs!$G$5:$G$200="moeda")+(Inputs!$G$5:$G$200="acoes"))*Inputs!$B$1+((Inputs!$G$5:$G$200&lt;&gt;"moeda")*(Inputs!$G$5:$G$200&lt;&gt;"acoes")))*INDEX(Inputs!$K$5:$AJ$200,0,MATCH(L$2,Inputs!$K$4:$AJ$4,0)))))</f>
        <v>325.895</v>
      </c>
      <c r="M45" s="3">
        <f>L45</f>
        <v>325.895</v>
      </c>
      <c r="N45" s="6">
        <f>IF(ISNA(MATCH(N$2,Inputs!$K$4:$AJ$4,0)),NA(),IF(SUMPRODUCT((Inputs!$A$5:$A$200=$B45)*ISNUMBER(INDEX(Inputs!$K$5:$AJ$200,0,MATCH(N$2,Inputs!$K$4:$AJ$4,0))))+SUMPRODUCT((Inputs!$C$5:$C$200=$B45)*ISNUMBER(INDEX(Inputs!$K$5:$AJ$200,0,MATCH(N$2,Inputs!$K$4:$AJ$4,0))))+SUMPRODUCT((Inputs!$E$5:$E$200=$B45)*ISNUMBER(INDEX(Inputs!$K$5:$AJ$200,0,MATCH(N$2,Inputs!$K$4:$AJ$4,0))))=0,NA(),SUMPRODUCT((Inputs!$A$5:$A$200=$B45)*Inputs!$B$5:$B$200*(((Inputs!$G$5:$G$200="moeda")+(Inputs!$G$5:$G$200="acoes"))*Inputs!$B$1+((Inputs!$G$5:$G$200&lt;&gt;"moeda")*(Inputs!$G$5:$G$200&lt;&gt;"acoes")))*INDEX(Inputs!$K$5:$AJ$200,0,MATCH(N$2,Inputs!$K$4:$AJ$4,0)))+SUMPRODUCT((Inputs!$C$5:$C$200=$B45)*Inputs!$D$5:$D$200*(((Inputs!$G$5:$G$200="moeda")+(Inputs!$G$5:$G$200="acoes"))*Inputs!$B$1+((Inputs!$G$5:$G$200&lt;&gt;"moeda")*(Inputs!$G$5:$G$200&lt;&gt;"acoes")))*INDEX(Inputs!$K$5:$AJ$200,0,MATCH(N$2,Inputs!$K$4:$AJ$4,0)))+SUMPRODUCT((Inputs!$E$5:$E$200=$B45)*Inputs!$F$5:$F$200*(((Inputs!$G$5:$G$200="moeda")+(Inputs!$G$5:$G$200="acoes"))*Inputs!$B$1+((Inputs!$G$5:$G$200&lt;&gt;"moeda")*(Inputs!$G$5:$G$200&lt;&gt;"acoes")))*INDEX(Inputs!$K$5:$AJ$200,0,MATCH(N$2,Inputs!$K$4:$AJ$4,0)))))</f>
        <v>10.359</v>
      </c>
      <c r="O45" s="6">
        <f>IF(ISNA(MATCH(O$2,Inputs!$K$4:$AJ$4,0)),NA(),IF(SUMPRODUCT((Inputs!$A$5:$A$200=$B45)*ISNUMBER(INDEX(Inputs!$K$5:$AJ$200,0,MATCH(O$2,Inputs!$K$4:$AJ$4,0))))+SUMPRODUCT((Inputs!$C$5:$C$200=$B45)*ISNUMBER(INDEX(Inputs!$K$5:$AJ$200,0,MATCH(O$2,Inputs!$K$4:$AJ$4,0))))+SUMPRODUCT((Inputs!$E$5:$E$200=$B45)*ISNUMBER(INDEX(Inputs!$K$5:$AJ$200,0,MATCH(O$2,Inputs!$K$4:$AJ$4,0))))=0,NA(),SUMPRODUCT((Inputs!$A$5:$A$200=$B45)*Inputs!$B$5:$B$200*(((Inputs!$G$5:$G$200="moeda")+(Inputs!$G$5:$G$200="acoes"))*Inputs!$B$1+((Inputs!$G$5:$G$200&lt;&gt;"moeda")*(Inputs!$G$5:$G$200&lt;&gt;"acoes")))*INDEX(Inputs!$K$5:$AJ$200,0,MATCH(O$2,Inputs!$K$4:$AJ$4,0)))+SUMPRODUCT((Inputs!$C$5:$C$200=$B45)*Inputs!$D$5:$D$200*(((Inputs!$G$5:$G$200="moeda")+(Inputs!$G$5:$G$200="acoes"))*Inputs!$B$1+((Inputs!$G$5:$G$200&lt;&gt;"moeda")*(Inputs!$G$5:$G$200&lt;&gt;"acoes")))*INDEX(Inputs!$K$5:$AJ$200,0,MATCH(O$2,Inputs!$K$4:$AJ$4,0)))+SUMPRODUCT((Inputs!$E$5:$E$200=$B45)*Inputs!$F$5:$F$200*(((Inputs!$G$5:$G$200="moeda")+(Inputs!$G$5:$G$200="acoes"))*Inputs!$B$1+((Inputs!$G$5:$G$200&lt;&gt;"moeda")*(Inputs!$G$5:$G$200&lt;&gt;"acoes")))*INDEX(Inputs!$K$5:$AJ$200,0,MATCH(O$2,Inputs!$K$4:$AJ$4,0)))))</f>
        <v>10.359</v>
      </c>
      <c r="P45" s="6">
        <f>IF(ISNA(MATCH(P$2,Inputs!$K$4:$AJ$4,0)),NA(),IF(SUMPRODUCT((Inputs!$A$5:$A$200=$B45)*ISNUMBER(INDEX(Inputs!$K$5:$AJ$200,0,MATCH(P$2,Inputs!$K$4:$AJ$4,0))))+SUMPRODUCT((Inputs!$C$5:$C$200=$B45)*ISNUMBER(INDEX(Inputs!$K$5:$AJ$200,0,MATCH(P$2,Inputs!$K$4:$AJ$4,0))))+SUMPRODUCT((Inputs!$E$5:$E$200=$B45)*ISNUMBER(INDEX(Inputs!$K$5:$AJ$200,0,MATCH(P$2,Inputs!$K$4:$AJ$4,0))))=0,NA(),SUMPRODUCT((Inputs!$A$5:$A$200=$B45)*Inputs!$B$5:$B$200*(((Inputs!$G$5:$G$200="moeda")+(Inputs!$G$5:$G$200="acoes"))*Inputs!$B$1+((Inputs!$G$5:$G$200&lt;&gt;"moeda")*(Inputs!$G$5:$G$200&lt;&gt;"acoes")))*INDEX(Inputs!$K$5:$AJ$200,0,MATCH(P$2,Inputs!$K$4:$AJ$4,0)))+SUMPRODUCT((Inputs!$C$5:$C$200=$B45)*Inputs!$D$5:$D$200*(((Inputs!$G$5:$G$200="moeda")+(Inputs!$G$5:$G$200="acoes"))*Inputs!$B$1+((Inputs!$G$5:$G$200&lt;&gt;"moeda")*(Inputs!$G$5:$G$200&lt;&gt;"acoes")))*INDEX(Inputs!$K$5:$AJ$200,0,MATCH(P$2,Inputs!$K$4:$AJ$4,0)))+SUMPRODUCT((Inputs!$E$5:$E$200=$B45)*Inputs!$F$5:$F$200*(((Inputs!$G$5:$G$200="moeda")+(Inputs!$G$5:$G$200="acoes"))*Inputs!$B$1+((Inputs!$G$5:$G$200&lt;&gt;"moeda")*(Inputs!$G$5:$G$200&lt;&gt;"acoes")))*INDEX(Inputs!$K$5:$AJ$200,0,MATCH(P$2,Inputs!$K$4:$AJ$4,0)))))</f>
        <v>10.359</v>
      </c>
      <c r="Q45" s="6">
        <f>IF(ISNA(MATCH(Q$2,Inputs!$K$4:$AJ$4,0)),NA(),IF(SUMPRODUCT((Inputs!$A$5:$A$200=$B45)*ISNUMBER(INDEX(Inputs!$K$5:$AJ$200,0,MATCH(Q$2,Inputs!$K$4:$AJ$4,0))))+SUMPRODUCT((Inputs!$C$5:$C$200=$B45)*ISNUMBER(INDEX(Inputs!$K$5:$AJ$200,0,MATCH(Q$2,Inputs!$K$4:$AJ$4,0))))+SUMPRODUCT((Inputs!$E$5:$E$200=$B45)*ISNUMBER(INDEX(Inputs!$K$5:$AJ$200,0,MATCH(Q$2,Inputs!$K$4:$AJ$4,0))))=0,NA(),SUMPRODUCT((Inputs!$A$5:$A$200=$B45)*Inputs!$B$5:$B$200*(((Inputs!$G$5:$G$200="moeda")+(Inputs!$G$5:$G$200="acoes"))*Inputs!$B$1+((Inputs!$G$5:$G$200&lt;&gt;"moeda")*(Inputs!$G$5:$G$200&lt;&gt;"acoes")))*INDEX(Inputs!$K$5:$AJ$200,0,MATCH(Q$2,Inputs!$K$4:$AJ$4,0)))+SUMPRODUCT((Inputs!$C$5:$C$200=$B45)*Inputs!$D$5:$D$200*(((Inputs!$G$5:$G$200="moeda")+(Inputs!$G$5:$G$200="acoes"))*Inputs!$B$1+((Inputs!$G$5:$G$200&lt;&gt;"moeda")*(Inputs!$G$5:$G$200&lt;&gt;"acoes")))*INDEX(Inputs!$K$5:$AJ$200,0,MATCH(Q$2,Inputs!$K$4:$AJ$4,0)))+SUMPRODUCT((Inputs!$E$5:$E$200=$B45)*Inputs!$F$5:$F$200*(((Inputs!$G$5:$G$200="moeda")+(Inputs!$G$5:$G$200="acoes"))*Inputs!$B$1+((Inputs!$G$5:$G$200&lt;&gt;"moeda")*(Inputs!$G$5:$G$200&lt;&gt;"acoes")))*INDEX(Inputs!$K$5:$AJ$200,0,MATCH(Q$2,Inputs!$K$4:$AJ$4,0)))))</f>
        <v>10.359</v>
      </c>
      <c r="R45" s="3">
        <f>Q45</f>
        <v>10.359</v>
      </c>
      <c r="S45" s="6">
        <f>IF(ISNA(MATCH(S$2,Inputs!$K$4:$AJ$4,0)),NA(),IF(SUMPRODUCT((Inputs!$A$5:$A$200=$B45)*ISNUMBER(INDEX(Inputs!$K$5:$AJ$200,0,MATCH(S$2,Inputs!$K$4:$AJ$4,0))))+SUMPRODUCT((Inputs!$C$5:$C$200=$B45)*ISNUMBER(INDEX(Inputs!$K$5:$AJ$200,0,MATCH(S$2,Inputs!$K$4:$AJ$4,0))))+SUMPRODUCT((Inputs!$E$5:$E$200=$B45)*ISNUMBER(INDEX(Inputs!$K$5:$AJ$200,0,MATCH(S$2,Inputs!$K$4:$AJ$4,0))))=0,NA(),SUMPRODUCT((Inputs!$A$5:$A$200=$B45)*Inputs!$B$5:$B$200*(((Inputs!$G$5:$G$200="moeda")+(Inputs!$G$5:$G$200="acoes"))*Inputs!$B$1+((Inputs!$G$5:$G$200&lt;&gt;"moeda")*(Inputs!$G$5:$G$200&lt;&gt;"acoes")))*INDEX(Inputs!$K$5:$AJ$200,0,MATCH(S$2,Inputs!$K$4:$AJ$4,0)))+SUMPRODUCT((Inputs!$C$5:$C$200=$B45)*Inputs!$D$5:$D$200*(((Inputs!$G$5:$G$200="moeda")+(Inputs!$G$5:$G$200="acoes"))*Inputs!$B$1+((Inputs!$G$5:$G$200&lt;&gt;"moeda")*(Inputs!$G$5:$G$200&lt;&gt;"acoes")))*INDEX(Inputs!$K$5:$AJ$200,0,MATCH(S$2,Inputs!$K$4:$AJ$4,0)))+SUMPRODUCT((Inputs!$E$5:$E$200=$B45)*Inputs!$F$5:$F$200*(((Inputs!$G$5:$G$200="moeda")+(Inputs!$G$5:$G$200="acoes"))*Inputs!$B$1+((Inputs!$G$5:$G$200&lt;&gt;"moeda")*(Inputs!$G$5:$G$200&lt;&gt;"acoes")))*INDEX(Inputs!$K$5:$AJ$200,0,MATCH(S$2,Inputs!$K$4:$AJ$4,0)))))</f>
        <v>10.359</v>
      </c>
      <c r="T45" s="6">
        <f>IF(ISNA(MATCH(T$2,Inputs!$K$4:$AJ$4,0)),NA(),IF(SUMPRODUCT((Inputs!$A$5:$A$200=$B45)*ISNUMBER(INDEX(Inputs!$K$5:$AJ$200,0,MATCH(T$2,Inputs!$K$4:$AJ$4,0))))+SUMPRODUCT((Inputs!$C$5:$C$200=$B45)*ISNUMBER(INDEX(Inputs!$K$5:$AJ$200,0,MATCH(T$2,Inputs!$K$4:$AJ$4,0))))+SUMPRODUCT((Inputs!$E$5:$E$200=$B45)*ISNUMBER(INDEX(Inputs!$K$5:$AJ$200,0,MATCH(T$2,Inputs!$K$4:$AJ$4,0))))=0,NA(),SUMPRODUCT((Inputs!$A$5:$A$200=$B45)*Inputs!$B$5:$B$200*(((Inputs!$G$5:$G$200="moeda")+(Inputs!$G$5:$G$200="acoes"))*Inputs!$B$1+((Inputs!$G$5:$G$200&lt;&gt;"moeda")*(Inputs!$G$5:$G$200&lt;&gt;"acoes")))*INDEX(Inputs!$K$5:$AJ$200,0,MATCH(T$2,Inputs!$K$4:$AJ$4,0)))+SUMPRODUCT((Inputs!$C$5:$C$200=$B45)*Inputs!$D$5:$D$200*(((Inputs!$G$5:$G$200="moeda")+(Inputs!$G$5:$G$200="acoes"))*Inputs!$B$1+((Inputs!$G$5:$G$200&lt;&gt;"moeda")*(Inputs!$G$5:$G$200&lt;&gt;"acoes")))*INDEX(Inputs!$K$5:$AJ$200,0,MATCH(T$2,Inputs!$K$4:$AJ$4,0)))+SUMPRODUCT((Inputs!$E$5:$E$200=$B45)*Inputs!$F$5:$F$200*(((Inputs!$G$5:$G$200="moeda")+(Inputs!$G$5:$G$200="acoes"))*Inputs!$B$1+((Inputs!$G$5:$G$200&lt;&gt;"moeda")*(Inputs!$G$5:$G$200&lt;&gt;"acoes")))*INDEX(Inputs!$K$5:$AJ$200,0,MATCH(T$2,Inputs!$K$4:$AJ$4,0)))))</f>
        <v>17.026</v>
      </c>
      <c r="U45" s="6">
        <f>IF(ISNA(MATCH(U$2,Inputs!$K$4:$AJ$4,0)),NA(),IF(SUMPRODUCT((Inputs!$A$5:$A$200=$B45)*ISNUMBER(INDEX(Inputs!$K$5:$AJ$200,0,MATCH(U$2,Inputs!$K$4:$AJ$4,0))))+SUMPRODUCT((Inputs!$C$5:$C$200=$B45)*ISNUMBER(INDEX(Inputs!$K$5:$AJ$200,0,MATCH(U$2,Inputs!$K$4:$AJ$4,0))))+SUMPRODUCT((Inputs!$E$5:$E$200=$B45)*ISNUMBER(INDEX(Inputs!$K$5:$AJ$200,0,MATCH(U$2,Inputs!$K$4:$AJ$4,0))))=0,NA(),SUMPRODUCT((Inputs!$A$5:$A$200=$B45)*Inputs!$B$5:$B$200*(((Inputs!$G$5:$G$200="moeda")+(Inputs!$G$5:$G$200="acoes"))*Inputs!$B$1+((Inputs!$G$5:$G$200&lt;&gt;"moeda")*(Inputs!$G$5:$G$200&lt;&gt;"acoes")))*INDEX(Inputs!$K$5:$AJ$200,0,MATCH(U$2,Inputs!$K$4:$AJ$4,0)))+SUMPRODUCT((Inputs!$C$5:$C$200=$B45)*Inputs!$D$5:$D$200*(((Inputs!$G$5:$G$200="moeda")+(Inputs!$G$5:$G$200="acoes"))*Inputs!$B$1+((Inputs!$G$5:$G$200&lt;&gt;"moeda")*(Inputs!$G$5:$G$200&lt;&gt;"acoes")))*INDEX(Inputs!$K$5:$AJ$200,0,MATCH(U$2,Inputs!$K$4:$AJ$4,0)))+SUMPRODUCT((Inputs!$E$5:$E$200=$B45)*Inputs!$F$5:$F$200*(((Inputs!$G$5:$G$200="moeda")+(Inputs!$G$5:$G$200="acoes"))*Inputs!$B$1+((Inputs!$G$5:$G$200&lt;&gt;"moeda")*(Inputs!$G$5:$G$200&lt;&gt;"acoes")))*INDEX(Inputs!$K$5:$AJ$200,0,MATCH(U$2,Inputs!$K$4:$AJ$4,0)))))</f>
        <v>10.359</v>
      </c>
      <c r="V45" s="6">
        <f>IF(ISNA(MATCH(V$2,Inputs!$K$4:$AJ$4,0)),NA(),IF(SUMPRODUCT((Inputs!$A$5:$A$200=$B45)*ISNUMBER(INDEX(Inputs!$K$5:$AJ$200,0,MATCH(V$2,Inputs!$K$4:$AJ$4,0))))+SUMPRODUCT((Inputs!$C$5:$C$200=$B45)*ISNUMBER(INDEX(Inputs!$K$5:$AJ$200,0,MATCH(V$2,Inputs!$K$4:$AJ$4,0))))+SUMPRODUCT((Inputs!$E$5:$E$200=$B45)*ISNUMBER(INDEX(Inputs!$K$5:$AJ$200,0,MATCH(V$2,Inputs!$K$4:$AJ$4,0))))=0,NA(),SUMPRODUCT((Inputs!$A$5:$A$200=$B45)*Inputs!$B$5:$B$200*(((Inputs!$G$5:$G$200="moeda")+(Inputs!$G$5:$G$200="acoes"))*Inputs!$B$1+((Inputs!$G$5:$G$200&lt;&gt;"moeda")*(Inputs!$G$5:$G$200&lt;&gt;"acoes")))*INDEX(Inputs!$K$5:$AJ$200,0,MATCH(V$2,Inputs!$K$4:$AJ$4,0)))+SUMPRODUCT((Inputs!$C$5:$C$200=$B45)*Inputs!$D$5:$D$200*(((Inputs!$G$5:$G$200="moeda")+(Inputs!$G$5:$G$200="acoes"))*Inputs!$B$1+((Inputs!$G$5:$G$200&lt;&gt;"moeda")*(Inputs!$G$5:$G$200&lt;&gt;"acoes")))*INDEX(Inputs!$K$5:$AJ$200,0,MATCH(V$2,Inputs!$K$4:$AJ$4,0)))+SUMPRODUCT((Inputs!$E$5:$E$200=$B45)*Inputs!$F$5:$F$200*(((Inputs!$G$5:$G$200="moeda")+(Inputs!$G$5:$G$200="acoes"))*Inputs!$B$1+((Inputs!$G$5:$G$200&lt;&gt;"moeda")*(Inputs!$G$5:$G$200&lt;&gt;"acoes")))*INDEX(Inputs!$K$5:$AJ$200,0,MATCH(V$2,Inputs!$K$4:$AJ$4,0)))))</f>
        <v>21.613</v>
      </c>
      <c r="W45" s="3">
        <f>V45</f>
        <v>21.613</v>
      </c>
      <c r="X45" s="6">
        <f>IF(ISNA(MATCH(X$2,Inputs!$K$4:$AJ$4,0)),NA(),IF(SUMPRODUCT((Inputs!$A$5:$A$200=$B45)*ISNUMBER(INDEX(Inputs!$K$5:$AJ$200,0,MATCH(X$2,Inputs!$K$4:$AJ$4,0))))+SUMPRODUCT((Inputs!$C$5:$C$200=$B45)*ISNUMBER(INDEX(Inputs!$K$5:$AJ$200,0,MATCH(X$2,Inputs!$K$4:$AJ$4,0))))+SUMPRODUCT((Inputs!$E$5:$E$200=$B45)*ISNUMBER(INDEX(Inputs!$K$5:$AJ$200,0,MATCH(X$2,Inputs!$K$4:$AJ$4,0))))=0,NA(),SUMPRODUCT((Inputs!$A$5:$A$200=$B45)*Inputs!$B$5:$B$200*(((Inputs!$G$5:$G$200="moeda")+(Inputs!$G$5:$G$200="acoes"))*Inputs!$B$1+((Inputs!$G$5:$G$200&lt;&gt;"moeda")*(Inputs!$G$5:$G$200&lt;&gt;"acoes")))*INDEX(Inputs!$K$5:$AJ$200,0,MATCH(X$2,Inputs!$K$4:$AJ$4,0)))+SUMPRODUCT((Inputs!$C$5:$C$200=$B45)*Inputs!$D$5:$D$200*(((Inputs!$G$5:$G$200="moeda")+(Inputs!$G$5:$G$200="acoes"))*Inputs!$B$1+((Inputs!$G$5:$G$200&lt;&gt;"moeda")*(Inputs!$G$5:$G$200&lt;&gt;"acoes")))*INDEX(Inputs!$K$5:$AJ$200,0,MATCH(X$2,Inputs!$K$4:$AJ$4,0)))+SUMPRODUCT((Inputs!$E$5:$E$200=$B45)*Inputs!$F$5:$F$200*(((Inputs!$G$5:$G$200="moeda")+(Inputs!$G$5:$G$200="acoes"))*Inputs!$B$1+((Inputs!$G$5:$G$200&lt;&gt;"moeda")*(Inputs!$G$5:$G$200&lt;&gt;"acoes")))*INDEX(Inputs!$K$5:$AJ$200,0,MATCH(X$2,Inputs!$K$4:$AJ$4,0)))))</f>
        <v>21.613</v>
      </c>
      <c r="Y45" s="6">
        <f>IF(ISNA(MATCH(Y$2,Inputs!$K$4:$AJ$4,0)),NA(),IF(SUMPRODUCT((Inputs!$A$5:$A$200=$B45)*ISNUMBER(INDEX(Inputs!$K$5:$AJ$200,0,MATCH(Y$2,Inputs!$K$4:$AJ$4,0))))+SUMPRODUCT((Inputs!$C$5:$C$200=$B45)*ISNUMBER(INDEX(Inputs!$K$5:$AJ$200,0,MATCH(Y$2,Inputs!$K$4:$AJ$4,0))))+SUMPRODUCT((Inputs!$E$5:$E$200=$B45)*ISNUMBER(INDEX(Inputs!$K$5:$AJ$200,0,MATCH(Y$2,Inputs!$K$4:$AJ$4,0))))=0,NA(),SUMPRODUCT((Inputs!$A$5:$A$200=$B45)*Inputs!$B$5:$B$200*(((Inputs!$G$5:$G$200="moeda")+(Inputs!$G$5:$G$200="acoes"))*Inputs!$B$1+((Inputs!$G$5:$G$200&lt;&gt;"moeda")*(Inputs!$G$5:$G$200&lt;&gt;"acoes")))*INDEX(Inputs!$K$5:$AJ$200,0,MATCH(Y$2,Inputs!$K$4:$AJ$4,0)))+SUMPRODUCT((Inputs!$C$5:$C$200=$B45)*Inputs!$D$5:$D$200*(((Inputs!$G$5:$G$200="moeda")+(Inputs!$G$5:$G$200="acoes"))*Inputs!$B$1+((Inputs!$G$5:$G$200&lt;&gt;"moeda")*(Inputs!$G$5:$G$200&lt;&gt;"acoes")))*INDEX(Inputs!$K$5:$AJ$200,0,MATCH(Y$2,Inputs!$K$4:$AJ$4,0)))+SUMPRODUCT((Inputs!$E$5:$E$200=$B45)*Inputs!$F$5:$F$200*(((Inputs!$G$5:$G$200="moeda")+(Inputs!$G$5:$G$200="acoes"))*Inputs!$B$1+((Inputs!$G$5:$G$200&lt;&gt;"moeda")*(Inputs!$G$5:$G$200&lt;&gt;"acoes")))*INDEX(Inputs!$K$5:$AJ$200,0,MATCH(Y$2,Inputs!$K$4:$AJ$4,0)))))</f>
        <v>21.613</v>
      </c>
      <c r="Z45" s="6">
        <f>IF(ISNA(MATCH(Z$2,Inputs!$K$4:$AJ$4,0)),NA(),IF(SUMPRODUCT((Inputs!$A$5:$A$200=$B45)*ISNUMBER(INDEX(Inputs!$K$5:$AJ$200,0,MATCH(Z$2,Inputs!$K$4:$AJ$4,0))))+SUMPRODUCT((Inputs!$C$5:$C$200=$B45)*ISNUMBER(INDEX(Inputs!$K$5:$AJ$200,0,MATCH(Z$2,Inputs!$K$4:$AJ$4,0))))+SUMPRODUCT((Inputs!$E$5:$E$200=$B45)*ISNUMBER(INDEX(Inputs!$K$5:$AJ$200,0,MATCH(Z$2,Inputs!$K$4:$AJ$4,0))))=0,NA(),SUMPRODUCT((Inputs!$A$5:$A$200=$B45)*Inputs!$B$5:$B$200*(((Inputs!$G$5:$G$200="moeda")+(Inputs!$G$5:$G$200="acoes"))*Inputs!$B$1+((Inputs!$G$5:$G$200&lt;&gt;"moeda")*(Inputs!$G$5:$G$200&lt;&gt;"acoes")))*INDEX(Inputs!$K$5:$AJ$200,0,MATCH(Z$2,Inputs!$K$4:$AJ$4,0)))+SUMPRODUCT((Inputs!$C$5:$C$200=$B45)*Inputs!$D$5:$D$200*(((Inputs!$G$5:$G$200="moeda")+(Inputs!$G$5:$G$200="acoes"))*Inputs!$B$1+((Inputs!$G$5:$G$200&lt;&gt;"moeda")*(Inputs!$G$5:$G$200&lt;&gt;"acoes")))*INDEX(Inputs!$K$5:$AJ$200,0,MATCH(Z$2,Inputs!$K$4:$AJ$4,0)))+SUMPRODUCT((Inputs!$E$5:$E$200=$B45)*Inputs!$F$5:$F$200*(((Inputs!$G$5:$G$200="moeda")+(Inputs!$G$5:$G$200="acoes"))*Inputs!$B$1+((Inputs!$G$5:$G$200&lt;&gt;"moeda")*(Inputs!$G$5:$G$200&lt;&gt;"acoes")))*INDEX(Inputs!$K$5:$AJ$200,0,MATCH(Z$2,Inputs!$K$4:$AJ$4,0)))))</f>
        <v>21.613</v>
      </c>
      <c r="AA45" s="6">
        <f>IF(ISNA(MATCH(AA$2,Inputs!$K$4:$AJ$4,0)),NA(),IF(SUMPRODUCT((Inputs!$A$5:$A$200=$B45)*ISNUMBER(INDEX(Inputs!$K$5:$AJ$200,0,MATCH(AA$2,Inputs!$K$4:$AJ$4,0))))+SUMPRODUCT((Inputs!$C$5:$C$200=$B45)*ISNUMBER(INDEX(Inputs!$K$5:$AJ$200,0,MATCH(AA$2,Inputs!$K$4:$AJ$4,0))))+SUMPRODUCT((Inputs!$E$5:$E$200=$B45)*ISNUMBER(INDEX(Inputs!$K$5:$AJ$200,0,MATCH(AA$2,Inputs!$K$4:$AJ$4,0))))=0,NA(),SUMPRODUCT((Inputs!$A$5:$A$200=$B45)*Inputs!$B$5:$B$200*(((Inputs!$G$5:$G$200="moeda")+(Inputs!$G$5:$G$200="acoes"))*Inputs!$B$1+((Inputs!$G$5:$G$200&lt;&gt;"moeda")*(Inputs!$G$5:$G$200&lt;&gt;"acoes")))*INDEX(Inputs!$K$5:$AJ$200,0,MATCH(AA$2,Inputs!$K$4:$AJ$4,0)))+SUMPRODUCT((Inputs!$C$5:$C$200=$B45)*Inputs!$D$5:$D$200*(((Inputs!$G$5:$G$200="moeda")+(Inputs!$G$5:$G$200="acoes"))*Inputs!$B$1+((Inputs!$G$5:$G$200&lt;&gt;"moeda")*(Inputs!$G$5:$G$200&lt;&gt;"acoes")))*INDEX(Inputs!$K$5:$AJ$200,0,MATCH(AA$2,Inputs!$K$4:$AJ$4,0)))+SUMPRODUCT((Inputs!$E$5:$E$200=$B45)*Inputs!$F$5:$F$200*(((Inputs!$G$5:$G$200="moeda")+(Inputs!$G$5:$G$200="acoes"))*Inputs!$B$1+((Inputs!$G$5:$G$200&lt;&gt;"moeda")*(Inputs!$G$5:$G$200&lt;&gt;"acoes")))*INDEX(Inputs!$K$5:$AJ$200,0,MATCH(AA$2,Inputs!$K$4:$AJ$4,0)))))</f>
        <v>21.613</v>
      </c>
      <c r="AB45" s="3">
        <f>AA45</f>
        <v>21.613</v>
      </c>
      <c r="AC45" s="6">
        <f>IF(ISNA(MATCH(AC$2,Inputs!$K$4:$AJ$4,0)),NA(),IF(SUMPRODUCT((Inputs!$A$5:$A$200=$B45)*ISNUMBER(INDEX(Inputs!$K$5:$AJ$200,0,MATCH(AC$2,Inputs!$K$4:$AJ$4,0))))+SUMPRODUCT((Inputs!$C$5:$C$200=$B45)*ISNUMBER(INDEX(Inputs!$K$5:$AJ$200,0,MATCH(AC$2,Inputs!$K$4:$AJ$4,0))))+SUMPRODUCT((Inputs!$E$5:$E$200=$B45)*ISNUMBER(INDEX(Inputs!$K$5:$AJ$200,0,MATCH(AC$2,Inputs!$K$4:$AJ$4,0))))=0,NA(),SUMPRODUCT((Inputs!$A$5:$A$200=$B45)*Inputs!$B$5:$B$200*(((Inputs!$G$5:$G$200="moeda")+(Inputs!$G$5:$G$200="acoes"))*Inputs!$B$1+((Inputs!$G$5:$G$200&lt;&gt;"moeda")*(Inputs!$G$5:$G$200&lt;&gt;"acoes")))*INDEX(Inputs!$K$5:$AJ$200,0,MATCH(AC$2,Inputs!$K$4:$AJ$4,0)))+SUMPRODUCT((Inputs!$C$5:$C$200=$B45)*Inputs!$D$5:$D$200*(((Inputs!$G$5:$G$200="moeda")+(Inputs!$G$5:$G$200="acoes"))*Inputs!$B$1+((Inputs!$G$5:$G$200&lt;&gt;"moeda")*(Inputs!$G$5:$G$200&lt;&gt;"acoes")))*INDEX(Inputs!$K$5:$AJ$200,0,MATCH(AC$2,Inputs!$K$4:$AJ$4,0)))+SUMPRODUCT((Inputs!$E$5:$E$200=$B45)*Inputs!$F$5:$F$200*(((Inputs!$G$5:$G$200="moeda")+(Inputs!$G$5:$G$200="acoes"))*Inputs!$B$1+((Inputs!$G$5:$G$200&lt;&gt;"moeda")*(Inputs!$G$5:$G$200&lt;&gt;"acoes")))*INDEX(Inputs!$K$5:$AJ$200,0,MATCH(AC$2,Inputs!$K$4:$AJ$4,0)))))</f>
        <v>21.613</v>
      </c>
      <c r="AD45" s="6">
        <f>IF(ISNA(MATCH(AD$2,Inputs!$K$4:$AJ$4,0)),NA(),IF(SUMPRODUCT((Inputs!$A$5:$A$200=$B45)*ISNUMBER(INDEX(Inputs!$K$5:$AJ$200,0,MATCH(AD$2,Inputs!$K$4:$AJ$4,0))))+SUMPRODUCT((Inputs!$C$5:$C$200=$B45)*ISNUMBER(INDEX(Inputs!$K$5:$AJ$200,0,MATCH(AD$2,Inputs!$K$4:$AJ$4,0))))+SUMPRODUCT((Inputs!$E$5:$E$200=$B45)*ISNUMBER(INDEX(Inputs!$K$5:$AJ$200,0,MATCH(AD$2,Inputs!$K$4:$AJ$4,0))))=0,NA(),SUMPRODUCT((Inputs!$A$5:$A$200=$B45)*Inputs!$B$5:$B$200*(((Inputs!$G$5:$G$200="moeda")+(Inputs!$G$5:$G$200="acoes"))*Inputs!$B$1+((Inputs!$G$5:$G$200&lt;&gt;"moeda")*(Inputs!$G$5:$G$200&lt;&gt;"acoes")))*INDEX(Inputs!$K$5:$AJ$200,0,MATCH(AD$2,Inputs!$K$4:$AJ$4,0)))+SUMPRODUCT((Inputs!$C$5:$C$200=$B45)*Inputs!$D$5:$D$200*(((Inputs!$G$5:$G$200="moeda")+(Inputs!$G$5:$G$200="acoes"))*Inputs!$B$1+((Inputs!$G$5:$G$200&lt;&gt;"moeda")*(Inputs!$G$5:$G$200&lt;&gt;"acoes")))*INDEX(Inputs!$K$5:$AJ$200,0,MATCH(AD$2,Inputs!$K$4:$AJ$4,0)))+SUMPRODUCT((Inputs!$E$5:$E$200=$B45)*Inputs!$F$5:$F$200*(((Inputs!$G$5:$G$200="moeda")+(Inputs!$G$5:$G$200="acoes"))*Inputs!$B$1+((Inputs!$G$5:$G$200&lt;&gt;"moeda")*(Inputs!$G$5:$G$200&lt;&gt;"acoes")))*INDEX(Inputs!$K$5:$AJ$200,0,MATCH(AD$2,Inputs!$K$4:$AJ$4,0)))))</f>
        <v>-82.535</v>
      </c>
      <c r="AE45" s="6" t="e">
        <f>IF(ISNA(MATCH(AE$2,Inputs!$K$4:$AJ$4,0)),NA(),IF(SUMPRODUCT((Inputs!$A$5:$A$200=$B45)*ISNUMBER(INDEX(Inputs!$K$5:$AJ$200,0,MATCH(AE$2,Inputs!$K$4:$AJ$4,0))))+SUMPRODUCT((Inputs!$C$5:$C$200=$B45)*ISNUMBER(INDEX(Inputs!$K$5:$AJ$200,0,MATCH(AE$2,Inputs!$K$4:$AJ$4,0))))+SUMPRODUCT((Inputs!$E$5:$E$200=$B45)*ISNUMBER(INDEX(Inputs!$K$5:$AJ$200,0,MATCH(AE$2,Inputs!$K$4:$AJ$4,0))))=0,NA(),SUMPRODUCT((Inputs!$A$5:$A$200=$B45)*Inputs!$B$5:$B$200*(((Inputs!$G$5:$G$200="moeda")+(Inputs!$G$5:$G$200="acoes"))*Inputs!$B$1+((Inputs!$G$5:$G$200&lt;&gt;"moeda")*(Inputs!$G$5:$G$200&lt;&gt;"acoes")))*INDEX(Inputs!$K$5:$AJ$200,0,MATCH(AE$2,Inputs!$K$4:$AJ$4,0)))+SUMPRODUCT((Inputs!$C$5:$C$200=$B45)*Inputs!$D$5:$D$200*(((Inputs!$G$5:$G$200="moeda")+(Inputs!$G$5:$G$200="acoes"))*Inputs!$B$1+((Inputs!$G$5:$G$200&lt;&gt;"moeda")*(Inputs!$G$5:$G$200&lt;&gt;"acoes")))*INDEX(Inputs!$K$5:$AJ$200,0,MATCH(AE$2,Inputs!$K$4:$AJ$4,0)))+SUMPRODUCT((Inputs!$E$5:$E$200=$B45)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5" s="6" t="e">
        <f>IF(ISNA(MATCH(AF$2,Inputs!$K$4:$AJ$4,0)),NA(),IF(SUMPRODUCT((Inputs!$A$5:$A$200=$B45)*ISNUMBER(INDEX(Inputs!$K$5:$AJ$200,0,MATCH(AF$2,Inputs!$K$4:$AJ$4,0))))+SUMPRODUCT((Inputs!$C$5:$C$200=$B45)*ISNUMBER(INDEX(Inputs!$K$5:$AJ$200,0,MATCH(AF$2,Inputs!$K$4:$AJ$4,0))))+SUMPRODUCT((Inputs!$E$5:$E$200=$B45)*ISNUMBER(INDEX(Inputs!$K$5:$AJ$200,0,MATCH(AF$2,Inputs!$K$4:$AJ$4,0))))=0,NA(),SUMPRODUCT((Inputs!$A$5:$A$200=$B45)*Inputs!$B$5:$B$200*(((Inputs!$G$5:$G$200="moeda")+(Inputs!$G$5:$G$200="acoes"))*Inputs!$B$1+((Inputs!$G$5:$G$200&lt;&gt;"moeda")*(Inputs!$G$5:$G$200&lt;&gt;"acoes")))*INDEX(Inputs!$K$5:$AJ$200,0,MATCH(AF$2,Inputs!$K$4:$AJ$4,0)))+SUMPRODUCT((Inputs!$C$5:$C$200=$B45)*Inputs!$D$5:$D$200*(((Inputs!$G$5:$G$200="moeda")+(Inputs!$G$5:$G$200="acoes"))*Inputs!$B$1+((Inputs!$G$5:$G$200&lt;&gt;"moeda")*(Inputs!$G$5:$G$200&lt;&gt;"acoes")))*INDEX(Inputs!$K$5:$AJ$200,0,MATCH(AF$2,Inputs!$K$4:$AJ$4,0)))+SUMPRODUCT((Inputs!$E$5:$E$200=$B45)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5" s="3" t="e">
        <f>AF45</f>
        <v>#N/A</v>
      </c>
      <c r="AH45" s="6">
        <f>IF(ISNA(MATCH(AH$2,Inputs!$K$4:$AJ$4,0)),NA(),IF(SUMPRODUCT((Inputs!$A$5:$A$200=$B45)*ISNUMBER(INDEX(Inputs!$K$5:$AJ$200,0,MATCH(AH$2,Inputs!$K$4:$AJ$4,0))))+SUMPRODUCT((Inputs!$C$5:$C$200=$B45)*ISNUMBER(INDEX(Inputs!$K$5:$AJ$200,0,MATCH(AH$2,Inputs!$K$4:$AJ$4,0))))+SUMPRODUCT((Inputs!$E$5:$E$200=$B45)*ISNUMBER(INDEX(Inputs!$K$5:$AJ$200,0,MATCH(AH$2,Inputs!$K$4:$AJ$4,0))))=0,NA(),SUMPRODUCT((Inputs!$A$5:$A$200=$B45)*Inputs!$B$5:$B$200*(((Inputs!$G$5:$G$200="moeda")+(Inputs!$G$5:$G$200="acoes"))*Inputs!$B$1+((Inputs!$G$5:$G$200&lt;&gt;"moeda")*(Inputs!$G$5:$G$200&lt;&gt;"acoes")))*INDEX(Inputs!$K$5:$AJ$200,0,MATCH(AH$2,Inputs!$K$4:$AJ$4,0)))+SUMPRODUCT((Inputs!$C$5:$C$200=$B45)*Inputs!$D$5:$D$200*(((Inputs!$G$5:$G$200="moeda")+(Inputs!$G$5:$G$200="acoes"))*Inputs!$B$1+((Inputs!$G$5:$G$200&lt;&gt;"moeda")*(Inputs!$G$5:$G$200&lt;&gt;"acoes")))*INDEX(Inputs!$K$5:$AJ$200,0,MATCH(AH$2,Inputs!$K$4:$AJ$4,0)))+SUMPRODUCT((Inputs!$E$5:$E$200=$B45)*Inputs!$F$5:$F$200*(((Inputs!$G$5:$G$200="moeda")+(Inputs!$G$5:$G$200="acoes"))*Inputs!$B$1+((Inputs!$G$5:$G$200&lt;&gt;"moeda")*(Inputs!$G$5:$G$200&lt;&gt;"acoes")))*INDEX(Inputs!$K$5:$AJ$200,0,MATCH(AH$2,Inputs!$K$4:$AJ$4,0)))))</f>
        <v>10.359</v>
      </c>
      <c r="AI45" s="6">
        <f>IF(ISNA(MATCH(AI$2,Inputs!$K$4:$AJ$4,0)),NA(),IF(SUMPRODUCT((Inputs!$A$5:$A$200=$B45)*ISNUMBER(INDEX(Inputs!$K$5:$AJ$200,0,MATCH(AI$2,Inputs!$K$4:$AJ$4,0))))+SUMPRODUCT((Inputs!$C$5:$C$200=$B45)*ISNUMBER(INDEX(Inputs!$K$5:$AJ$200,0,MATCH(AI$2,Inputs!$K$4:$AJ$4,0))))+SUMPRODUCT((Inputs!$E$5:$E$200=$B45)*ISNUMBER(INDEX(Inputs!$K$5:$AJ$200,0,MATCH(AI$2,Inputs!$K$4:$AJ$4,0))))=0,NA(),SUMPRODUCT((Inputs!$A$5:$A$200=$B45)*Inputs!$B$5:$B$200*(((Inputs!$G$5:$G$200="moeda")+(Inputs!$G$5:$G$200="acoes"))*Inputs!$B$1+((Inputs!$G$5:$G$200&lt;&gt;"moeda")*(Inputs!$G$5:$G$200&lt;&gt;"acoes")))*INDEX(Inputs!$K$5:$AJ$200,0,MATCH(AI$2,Inputs!$K$4:$AJ$4,0)))+SUMPRODUCT((Inputs!$C$5:$C$200=$B45)*Inputs!$D$5:$D$200*(((Inputs!$G$5:$G$200="moeda")+(Inputs!$G$5:$G$200="acoes"))*Inputs!$B$1+((Inputs!$G$5:$G$200&lt;&gt;"moeda")*(Inputs!$G$5:$G$200&lt;&gt;"acoes")))*INDEX(Inputs!$K$5:$AJ$200,0,MATCH(AI$2,Inputs!$K$4:$AJ$4,0)))+SUMPRODUCT((Inputs!$E$5:$E$200=$B45)*Inputs!$F$5:$F$200*(((Inputs!$G$5:$G$200="moeda")+(Inputs!$G$5:$G$200="acoes"))*Inputs!$B$1+((Inputs!$G$5:$G$200&lt;&gt;"moeda")*(Inputs!$G$5:$G$200&lt;&gt;"acoes")))*INDEX(Inputs!$K$5:$AJ$200,0,MATCH(AI$2,Inputs!$K$4:$AJ$4,0)))))</f>
        <v>10.359</v>
      </c>
      <c r="AJ45" s="6">
        <f>IF(ISNA(MATCH(AJ$2,Inputs!$K$4:$AJ$4,0)),NA(),IF(SUMPRODUCT((Inputs!$A$5:$A$200=$B45)*ISNUMBER(INDEX(Inputs!$K$5:$AJ$200,0,MATCH(AJ$2,Inputs!$K$4:$AJ$4,0))))+SUMPRODUCT((Inputs!$C$5:$C$200=$B45)*ISNUMBER(INDEX(Inputs!$K$5:$AJ$200,0,MATCH(AJ$2,Inputs!$K$4:$AJ$4,0))))+SUMPRODUCT((Inputs!$E$5:$E$200=$B45)*ISNUMBER(INDEX(Inputs!$K$5:$AJ$200,0,MATCH(AJ$2,Inputs!$K$4:$AJ$4,0))))=0,NA(),SUMPRODUCT((Inputs!$A$5:$A$200=$B45)*Inputs!$B$5:$B$200*(((Inputs!$G$5:$G$200="moeda")+(Inputs!$G$5:$G$200="acoes"))*Inputs!$B$1+((Inputs!$G$5:$G$200&lt;&gt;"moeda")*(Inputs!$G$5:$G$200&lt;&gt;"acoes")))*INDEX(Inputs!$K$5:$AJ$200,0,MATCH(AJ$2,Inputs!$K$4:$AJ$4,0)))+SUMPRODUCT((Inputs!$C$5:$C$200=$B45)*Inputs!$D$5:$D$200*(((Inputs!$G$5:$G$200="moeda")+(Inputs!$G$5:$G$200="acoes"))*Inputs!$B$1+((Inputs!$G$5:$G$200&lt;&gt;"moeda")*(Inputs!$G$5:$G$200&lt;&gt;"acoes")))*INDEX(Inputs!$K$5:$AJ$200,0,MATCH(AJ$2,Inputs!$K$4:$AJ$4,0)))+SUMPRODUCT((Inputs!$E$5:$E$200=$B45)*Inputs!$F$5:$F$200*(((Inputs!$G$5:$G$200="moeda")+(Inputs!$G$5:$G$200="acoes"))*Inputs!$B$1+((Inputs!$G$5:$G$200&lt;&gt;"moeda")*(Inputs!$G$5:$G$200&lt;&gt;"acoes")))*INDEX(Inputs!$K$5:$AJ$200,0,MATCH(AJ$2,Inputs!$K$4:$AJ$4,0)))))</f>
        <v>10.359</v>
      </c>
      <c r="AK45" s="6">
        <f>IF(ISNA(MATCH(AK$2,Inputs!$K$4:$AJ$4,0)),NA(),IF(SUMPRODUCT((Inputs!$A$5:$A$200=$B45)*ISNUMBER(INDEX(Inputs!$K$5:$AJ$200,0,MATCH(AK$2,Inputs!$K$4:$AJ$4,0))))+SUMPRODUCT((Inputs!$C$5:$C$200=$B45)*ISNUMBER(INDEX(Inputs!$K$5:$AJ$200,0,MATCH(AK$2,Inputs!$K$4:$AJ$4,0))))+SUMPRODUCT((Inputs!$E$5:$E$200=$B45)*ISNUMBER(INDEX(Inputs!$K$5:$AJ$200,0,MATCH(AK$2,Inputs!$K$4:$AJ$4,0))))=0,NA(),SUMPRODUCT((Inputs!$A$5:$A$200=$B45)*Inputs!$B$5:$B$200*(((Inputs!$G$5:$G$200="moeda")+(Inputs!$G$5:$G$200="acoes"))*Inputs!$B$1+((Inputs!$G$5:$G$200&lt;&gt;"moeda")*(Inputs!$G$5:$G$200&lt;&gt;"acoes")))*INDEX(Inputs!$K$5:$AJ$200,0,MATCH(AK$2,Inputs!$K$4:$AJ$4,0)))+SUMPRODUCT((Inputs!$C$5:$C$200=$B45)*Inputs!$D$5:$D$200*(((Inputs!$G$5:$G$200="moeda")+(Inputs!$G$5:$G$200="acoes"))*Inputs!$B$1+((Inputs!$G$5:$G$200&lt;&gt;"moeda")*(Inputs!$G$5:$G$200&lt;&gt;"acoes")))*INDEX(Inputs!$K$5:$AJ$200,0,MATCH(AK$2,Inputs!$K$4:$AJ$4,0)))+SUMPRODUCT((Inputs!$E$5:$E$200=$B45)*Inputs!$F$5:$F$200*(((Inputs!$G$5:$G$200="moeda")+(Inputs!$G$5:$G$200="acoes"))*Inputs!$B$1+((Inputs!$G$5:$G$200&lt;&gt;"moeda")*(Inputs!$G$5:$G$200&lt;&gt;"acoes")))*INDEX(Inputs!$K$5:$AJ$200,0,MATCH(AK$2,Inputs!$K$4:$AJ$4,0)))))</f>
        <v>10.359</v>
      </c>
      <c r="AL45" s="3">
        <f>AK45</f>
        <v>10.359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$200=$B46)*ISNUMBER(INDEX(Inputs!$K$5:$AJ$200,0,MATCH(D$2,Inputs!$K$4:$AJ$4,0))))+SUMPRODUCT((Inputs!$C$5:$C$200=$B46)*ISNUMBER(INDEX(Inputs!$K$5:$AJ$200,0,MATCH(D$2,Inputs!$K$4:$AJ$4,0))))+SUMPRODUCT((Inputs!$E$5:$E$200=$B46)*ISNUMBER(INDEX(Inputs!$K$5:$AJ$200,0,MATCH(D$2,Inputs!$K$4:$AJ$4,0))))=0,NA(),SUMPRODUCT((Inputs!$A$5:$A$200=$B46)*Inputs!$B$5:$B$200*(((Inputs!$G$5:$G$200="moeda")+(Inputs!$G$5:$G$200="acoes"))*Inputs!$B$1+((Inputs!$G$5:$G$200&lt;&gt;"moeda")*(Inputs!$G$5:$G$200&lt;&gt;"acoes")))*INDEX(Inputs!$K$5:$AJ$200,0,MATCH(D$2,Inputs!$K$4:$AJ$4,0)))+SUMPRODUCT((Inputs!$C$5:$C$200=$B46)*Inputs!$D$5:$D$200*(((Inputs!$G$5:$G$200="moeda")+(Inputs!$G$5:$G$200="acoes"))*Inputs!$B$1+((Inputs!$G$5:$G$200&lt;&gt;"moeda")*(Inputs!$G$5:$G$200&lt;&gt;"acoes")))*INDEX(Inputs!$K$5:$AJ$200,0,MATCH(D$2,Inputs!$K$4:$AJ$4,0)))+SUMPRODUCT((Inputs!$E$5:$E$200=$B46)*Inputs!$F$5:$F$200*(((Inputs!$G$5:$G$200="moeda")+(Inputs!$G$5:$G$200="acoes"))*Inputs!$B$1+((Inputs!$G$5:$G$200&lt;&gt;"moeda")*(Inputs!$G$5:$G$200&lt;&gt;"acoes")))*INDEX(Inputs!$K$5:$AJ$200,0,MATCH(D$2,Inputs!$K$4:$AJ$4,0)))))</f>
        <v>0</v>
      </c>
      <c r="E46" s="6">
        <f>IF(ISNA(MATCH(E$2,Inputs!$K$4:$AJ$4,0)),NA(),IF(SUMPRODUCT((Inputs!$A$5:$A$200=$B46)*ISNUMBER(INDEX(Inputs!$K$5:$AJ$200,0,MATCH(E$2,Inputs!$K$4:$AJ$4,0))))+SUMPRODUCT((Inputs!$C$5:$C$200=$B46)*ISNUMBER(INDEX(Inputs!$K$5:$AJ$200,0,MATCH(E$2,Inputs!$K$4:$AJ$4,0))))+SUMPRODUCT((Inputs!$E$5:$E$200=$B46)*ISNUMBER(INDEX(Inputs!$K$5:$AJ$200,0,MATCH(E$2,Inputs!$K$4:$AJ$4,0))))=0,NA(),SUMPRODUCT((Inputs!$A$5:$A$200=$B46)*Inputs!$B$5:$B$200*(((Inputs!$G$5:$G$200="moeda")+(Inputs!$G$5:$G$200="acoes"))*Inputs!$B$1+((Inputs!$G$5:$G$200&lt;&gt;"moeda")*(Inputs!$G$5:$G$200&lt;&gt;"acoes")))*INDEX(Inputs!$K$5:$AJ$200,0,MATCH(E$2,Inputs!$K$4:$AJ$4,0)))+SUMPRODUCT((Inputs!$C$5:$C$200=$B46)*Inputs!$D$5:$D$200*(((Inputs!$G$5:$G$200="moeda")+(Inputs!$G$5:$G$200="acoes"))*Inputs!$B$1+((Inputs!$G$5:$G$200&lt;&gt;"moeda")*(Inputs!$G$5:$G$200&lt;&gt;"acoes")))*INDEX(Inputs!$K$5:$AJ$200,0,MATCH(E$2,Inputs!$K$4:$AJ$4,0)))+SUMPRODUCT((Inputs!$E$5:$E$200=$B46)*Inputs!$F$5:$F$200*(((Inputs!$G$5:$G$200="moeda")+(Inputs!$G$5:$G$200="acoes"))*Inputs!$B$1+((Inputs!$G$5:$G$200&lt;&gt;"moeda")*(Inputs!$G$5:$G$200&lt;&gt;"acoes")))*INDEX(Inputs!$K$5:$AJ$200,0,MATCH(E$2,Inputs!$K$4:$AJ$4,0)))))</f>
        <v>0</v>
      </c>
      <c r="F46" s="6">
        <f>IF(ISNA(MATCH(F$2,Inputs!$K$4:$AJ$4,0)),NA(),IF(SUMPRODUCT((Inputs!$A$5:$A$200=$B46)*ISNUMBER(INDEX(Inputs!$K$5:$AJ$200,0,MATCH(F$2,Inputs!$K$4:$AJ$4,0))))+SUMPRODUCT((Inputs!$C$5:$C$200=$B46)*ISNUMBER(INDEX(Inputs!$K$5:$AJ$200,0,MATCH(F$2,Inputs!$K$4:$AJ$4,0))))+SUMPRODUCT((Inputs!$E$5:$E$200=$B46)*ISNUMBER(INDEX(Inputs!$K$5:$AJ$200,0,MATCH(F$2,Inputs!$K$4:$AJ$4,0))))=0,NA(),SUMPRODUCT((Inputs!$A$5:$A$200=$B46)*Inputs!$B$5:$B$200*(((Inputs!$G$5:$G$200="moeda")+(Inputs!$G$5:$G$200="acoes"))*Inputs!$B$1+((Inputs!$G$5:$G$200&lt;&gt;"moeda")*(Inputs!$G$5:$G$200&lt;&gt;"acoes")))*INDEX(Inputs!$K$5:$AJ$200,0,MATCH(F$2,Inputs!$K$4:$AJ$4,0)))+SUMPRODUCT((Inputs!$C$5:$C$200=$B46)*Inputs!$D$5:$D$200*(((Inputs!$G$5:$G$200="moeda")+(Inputs!$G$5:$G$200="acoes"))*Inputs!$B$1+((Inputs!$G$5:$G$200&lt;&gt;"moeda")*(Inputs!$G$5:$G$200&lt;&gt;"acoes")))*INDEX(Inputs!$K$5:$AJ$200,0,MATCH(F$2,Inputs!$K$4:$AJ$4,0)))+SUMPRODUCT((Inputs!$E$5:$E$200=$B46)*Inputs!$F$5:$F$200*(((Inputs!$G$5:$G$200="moeda")+(Inputs!$G$5:$G$200="acoes"))*Inputs!$B$1+((Inputs!$G$5:$G$200&lt;&gt;"moeda")*(Inputs!$G$5:$G$200&lt;&gt;"acoes")))*INDEX(Inputs!$K$5:$AJ$200,0,MATCH(F$2,Inputs!$K$4:$AJ$4,0)))))</f>
        <v>0</v>
      </c>
      <c r="G46" s="6">
        <f>IF(ISNA(MATCH(G$2,Inputs!$K$4:$AJ$4,0)),NA(),IF(SUMPRODUCT((Inputs!$A$5:$A$200=$B46)*ISNUMBER(INDEX(Inputs!$K$5:$AJ$200,0,MATCH(G$2,Inputs!$K$4:$AJ$4,0))))+SUMPRODUCT((Inputs!$C$5:$C$200=$B46)*ISNUMBER(INDEX(Inputs!$K$5:$AJ$200,0,MATCH(G$2,Inputs!$K$4:$AJ$4,0))))+SUMPRODUCT((Inputs!$E$5:$E$200=$B46)*ISNUMBER(INDEX(Inputs!$K$5:$AJ$200,0,MATCH(G$2,Inputs!$K$4:$AJ$4,0))))=0,NA(),SUMPRODUCT((Inputs!$A$5:$A$200=$B46)*Inputs!$B$5:$B$200*(((Inputs!$G$5:$G$200="moeda")+(Inputs!$G$5:$G$200="acoes"))*Inputs!$B$1+((Inputs!$G$5:$G$200&lt;&gt;"moeda")*(Inputs!$G$5:$G$200&lt;&gt;"acoes")))*INDEX(Inputs!$K$5:$AJ$200,0,MATCH(G$2,Inputs!$K$4:$AJ$4,0)))+SUMPRODUCT((Inputs!$C$5:$C$200=$B46)*Inputs!$D$5:$D$200*(((Inputs!$G$5:$G$200="moeda")+(Inputs!$G$5:$G$200="acoes"))*Inputs!$B$1+((Inputs!$G$5:$G$200&lt;&gt;"moeda")*(Inputs!$G$5:$G$200&lt;&gt;"acoes")))*INDEX(Inputs!$K$5:$AJ$200,0,MATCH(G$2,Inputs!$K$4:$AJ$4,0)))+SUMPRODUCT((Inputs!$E$5:$E$200=$B46)*Inputs!$F$5:$F$200*(((Inputs!$G$5:$G$200="moeda")+(Inputs!$G$5:$G$200="acoes"))*Inputs!$B$1+((Inputs!$G$5:$G$200&lt;&gt;"moeda")*(Inputs!$G$5:$G$200&lt;&gt;"acoes")))*INDEX(Inputs!$K$5:$AJ$200,0,MATCH(G$2,Inputs!$K$4:$AJ$4,0)))))</f>
        <v>0</v>
      </c>
      <c r="H46" s="3">
        <f>G46</f>
        <v>0</v>
      </c>
      <c r="I46" s="6">
        <f>IF(ISNA(MATCH(I$2,Inputs!$K$4:$AJ$4,0)),NA(),IF(SUMPRODUCT((Inputs!$A$5:$A$200=$B46)*ISNUMBER(INDEX(Inputs!$K$5:$AJ$200,0,MATCH(I$2,Inputs!$K$4:$AJ$4,0))))+SUMPRODUCT((Inputs!$C$5:$C$200=$B46)*ISNUMBER(INDEX(Inputs!$K$5:$AJ$200,0,MATCH(I$2,Inputs!$K$4:$AJ$4,0))))+SUMPRODUCT((Inputs!$E$5:$E$200=$B46)*ISNUMBER(INDEX(Inputs!$K$5:$AJ$200,0,MATCH(I$2,Inputs!$K$4:$AJ$4,0))))=0,NA(),SUMPRODUCT((Inputs!$A$5:$A$200=$B46)*Inputs!$B$5:$B$200*(((Inputs!$G$5:$G$200="moeda")+(Inputs!$G$5:$G$200="acoes"))*Inputs!$B$1+((Inputs!$G$5:$G$200&lt;&gt;"moeda")*(Inputs!$G$5:$G$200&lt;&gt;"acoes")))*INDEX(Inputs!$K$5:$AJ$200,0,MATCH(I$2,Inputs!$K$4:$AJ$4,0)))+SUMPRODUCT((Inputs!$C$5:$C$200=$B46)*Inputs!$D$5:$D$200*(((Inputs!$G$5:$G$200="moeda")+(Inputs!$G$5:$G$200="acoes"))*Inputs!$B$1+((Inputs!$G$5:$G$200&lt;&gt;"moeda")*(Inputs!$G$5:$G$200&lt;&gt;"acoes")))*INDEX(Inputs!$K$5:$AJ$200,0,MATCH(I$2,Inputs!$K$4:$AJ$4,0)))+SUMPRODUCT((Inputs!$E$5:$E$200=$B46)*Inputs!$F$5:$F$200*(((Inputs!$G$5:$G$200="moeda")+(Inputs!$G$5:$G$200="acoes"))*Inputs!$B$1+((Inputs!$G$5:$G$200&lt;&gt;"moeda")*(Inputs!$G$5:$G$200&lt;&gt;"acoes")))*INDEX(Inputs!$K$5:$AJ$200,0,MATCH(I$2,Inputs!$K$4:$AJ$4,0)))))</f>
        <v>0</v>
      </c>
      <c r="J46" s="6">
        <f>IF(ISNA(MATCH(J$2,Inputs!$K$4:$AJ$4,0)),NA(),IF(SUMPRODUCT((Inputs!$A$5:$A$200=$B46)*ISNUMBER(INDEX(Inputs!$K$5:$AJ$200,0,MATCH(J$2,Inputs!$K$4:$AJ$4,0))))+SUMPRODUCT((Inputs!$C$5:$C$200=$B46)*ISNUMBER(INDEX(Inputs!$K$5:$AJ$200,0,MATCH(J$2,Inputs!$K$4:$AJ$4,0))))+SUMPRODUCT((Inputs!$E$5:$E$200=$B46)*ISNUMBER(INDEX(Inputs!$K$5:$AJ$200,0,MATCH(J$2,Inputs!$K$4:$AJ$4,0))))=0,NA(),SUMPRODUCT((Inputs!$A$5:$A$200=$B46)*Inputs!$B$5:$B$200*(((Inputs!$G$5:$G$200="moeda")+(Inputs!$G$5:$G$200="acoes"))*Inputs!$B$1+((Inputs!$G$5:$G$200&lt;&gt;"moeda")*(Inputs!$G$5:$G$200&lt;&gt;"acoes")))*INDEX(Inputs!$K$5:$AJ$200,0,MATCH(J$2,Inputs!$K$4:$AJ$4,0)))+SUMPRODUCT((Inputs!$C$5:$C$200=$B46)*Inputs!$D$5:$D$200*(((Inputs!$G$5:$G$200="moeda")+(Inputs!$G$5:$G$200="acoes"))*Inputs!$B$1+((Inputs!$G$5:$G$200&lt;&gt;"moeda")*(Inputs!$G$5:$G$200&lt;&gt;"acoes")))*INDEX(Inputs!$K$5:$AJ$200,0,MATCH(J$2,Inputs!$K$4:$AJ$4,0)))+SUMPRODUCT((Inputs!$E$5:$E$200=$B46)*Inputs!$F$5:$F$200*(((Inputs!$G$5:$G$200="moeda")+(Inputs!$G$5:$G$200="acoes"))*Inputs!$B$1+((Inputs!$G$5:$G$200&lt;&gt;"moeda")*(Inputs!$G$5:$G$200&lt;&gt;"acoes")))*INDEX(Inputs!$K$5:$AJ$200,0,MATCH(J$2,Inputs!$K$4:$AJ$4,0)))))</f>
        <v>0</v>
      </c>
      <c r="K46" s="6">
        <f>IF(ISNA(MATCH(K$2,Inputs!$K$4:$AJ$4,0)),NA(),IF(SUMPRODUCT((Inputs!$A$5:$A$200=$B46)*ISNUMBER(INDEX(Inputs!$K$5:$AJ$200,0,MATCH(K$2,Inputs!$K$4:$AJ$4,0))))+SUMPRODUCT((Inputs!$C$5:$C$200=$B46)*ISNUMBER(INDEX(Inputs!$K$5:$AJ$200,0,MATCH(K$2,Inputs!$K$4:$AJ$4,0))))+SUMPRODUCT((Inputs!$E$5:$E$200=$B46)*ISNUMBER(INDEX(Inputs!$K$5:$AJ$200,0,MATCH(K$2,Inputs!$K$4:$AJ$4,0))))=0,NA(),SUMPRODUCT((Inputs!$A$5:$A$200=$B46)*Inputs!$B$5:$B$200*(((Inputs!$G$5:$G$200="moeda")+(Inputs!$G$5:$G$200="acoes"))*Inputs!$B$1+((Inputs!$G$5:$G$200&lt;&gt;"moeda")*(Inputs!$G$5:$G$200&lt;&gt;"acoes")))*INDEX(Inputs!$K$5:$AJ$200,0,MATCH(K$2,Inputs!$K$4:$AJ$4,0)))+SUMPRODUCT((Inputs!$C$5:$C$200=$B46)*Inputs!$D$5:$D$200*(((Inputs!$G$5:$G$200="moeda")+(Inputs!$G$5:$G$200="acoes"))*Inputs!$B$1+((Inputs!$G$5:$G$200&lt;&gt;"moeda")*(Inputs!$G$5:$G$200&lt;&gt;"acoes")))*INDEX(Inputs!$K$5:$AJ$200,0,MATCH(K$2,Inputs!$K$4:$AJ$4,0)))+SUMPRODUCT((Inputs!$E$5:$E$200=$B46)*Inputs!$F$5:$F$200*(((Inputs!$G$5:$G$200="moeda")+(Inputs!$G$5:$G$200="acoes"))*Inputs!$B$1+((Inputs!$G$5:$G$200&lt;&gt;"moeda")*(Inputs!$G$5:$G$200&lt;&gt;"acoes")))*INDEX(Inputs!$K$5:$AJ$200,0,MATCH(K$2,Inputs!$K$4:$AJ$4,0)))))</f>
        <v>0</v>
      </c>
      <c r="L46" s="6">
        <f>IF(ISNA(MATCH(L$2,Inputs!$K$4:$AJ$4,0)),NA(),IF(SUMPRODUCT((Inputs!$A$5:$A$200=$B46)*ISNUMBER(INDEX(Inputs!$K$5:$AJ$200,0,MATCH(L$2,Inputs!$K$4:$AJ$4,0))))+SUMPRODUCT((Inputs!$C$5:$C$200=$B46)*ISNUMBER(INDEX(Inputs!$K$5:$AJ$200,0,MATCH(L$2,Inputs!$K$4:$AJ$4,0))))+SUMPRODUCT((Inputs!$E$5:$E$200=$B46)*ISNUMBER(INDEX(Inputs!$K$5:$AJ$200,0,MATCH(L$2,Inputs!$K$4:$AJ$4,0))))=0,NA(),SUMPRODUCT((Inputs!$A$5:$A$200=$B46)*Inputs!$B$5:$B$200*(((Inputs!$G$5:$G$200="moeda")+(Inputs!$G$5:$G$200="acoes"))*Inputs!$B$1+((Inputs!$G$5:$G$200&lt;&gt;"moeda")*(Inputs!$G$5:$G$200&lt;&gt;"acoes")))*INDEX(Inputs!$K$5:$AJ$200,0,MATCH(L$2,Inputs!$K$4:$AJ$4,0)))+SUMPRODUCT((Inputs!$C$5:$C$200=$B46)*Inputs!$D$5:$D$200*(((Inputs!$G$5:$G$200="moeda")+(Inputs!$G$5:$G$200="acoes"))*Inputs!$B$1+((Inputs!$G$5:$G$200&lt;&gt;"moeda")*(Inputs!$G$5:$G$200&lt;&gt;"acoes")))*INDEX(Inputs!$K$5:$AJ$200,0,MATCH(L$2,Inputs!$K$4:$AJ$4,0)))+SUMPRODUCT((Inputs!$E$5:$E$200=$B46)*Inputs!$F$5:$F$200*(((Inputs!$G$5:$G$200="moeda")+(Inputs!$G$5:$G$200="acoes"))*Inputs!$B$1+((Inputs!$G$5:$G$200&lt;&gt;"moeda")*(Inputs!$G$5:$G$200&lt;&gt;"acoes")))*INDEX(Inputs!$K$5:$AJ$200,0,MATCH(L$2,Inputs!$K$4:$AJ$4,0)))))</f>
        <v>0</v>
      </c>
      <c r="M46" s="3">
        <f>L46</f>
        <v>0</v>
      </c>
      <c r="N46" s="6">
        <f>IF(ISNA(MATCH(N$2,Inputs!$K$4:$AJ$4,0)),NA(),IF(SUMPRODUCT((Inputs!$A$5:$A$200=$B46)*ISNUMBER(INDEX(Inputs!$K$5:$AJ$200,0,MATCH(N$2,Inputs!$K$4:$AJ$4,0))))+SUMPRODUCT((Inputs!$C$5:$C$200=$B46)*ISNUMBER(INDEX(Inputs!$K$5:$AJ$200,0,MATCH(N$2,Inputs!$K$4:$AJ$4,0))))+SUMPRODUCT((Inputs!$E$5:$E$200=$B46)*ISNUMBER(INDEX(Inputs!$K$5:$AJ$200,0,MATCH(N$2,Inputs!$K$4:$AJ$4,0))))=0,NA(),SUMPRODUCT((Inputs!$A$5:$A$200=$B46)*Inputs!$B$5:$B$200*(((Inputs!$G$5:$G$200="moeda")+(Inputs!$G$5:$G$200="acoes"))*Inputs!$B$1+((Inputs!$G$5:$G$200&lt;&gt;"moeda")*(Inputs!$G$5:$G$200&lt;&gt;"acoes")))*INDEX(Inputs!$K$5:$AJ$200,0,MATCH(N$2,Inputs!$K$4:$AJ$4,0)))+SUMPRODUCT((Inputs!$C$5:$C$200=$B46)*Inputs!$D$5:$D$200*(((Inputs!$G$5:$G$200="moeda")+(Inputs!$G$5:$G$200="acoes"))*Inputs!$B$1+((Inputs!$G$5:$G$200&lt;&gt;"moeda")*(Inputs!$G$5:$G$200&lt;&gt;"acoes")))*INDEX(Inputs!$K$5:$AJ$200,0,MATCH(N$2,Inputs!$K$4:$AJ$4,0)))+SUMPRODUCT((Inputs!$E$5:$E$200=$B46)*Inputs!$F$5:$F$200*(((Inputs!$G$5:$G$200="moeda")+(Inputs!$G$5:$G$200="acoes"))*Inputs!$B$1+((Inputs!$G$5:$G$200&lt;&gt;"moeda")*(Inputs!$G$5:$G$200&lt;&gt;"acoes")))*INDEX(Inputs!$K$5:$AJ$200,0,MATCH(N$2,Inputs!$K$4:$AJ$4,0)))))</f>
        <v>0</v>
      </c>
      <c r="O46" s="6">
        <f>IF(ISNA(MATCH(O$2,Inputs!$K$4:$AJ$4,0)),NA(),IF(SUMPRODUCT((Inputs!$A$5:$A$200=$B46)*ISNUMBER(INDEX(Inputs!$K$5:$AJ$200,0,MATCH(O$2,Inputs!$K$4:$AJ$4,0))))+SUMPRODUCT((Inputs!$C$5:$C$200=$B46)*ISNUMBER(INDEX(Inputs!$K$5:$AJ$200,0,MATCH(O$2,Inputs!$K$4:$AJ$4,0))))+SUMPRODUCT((Inputs!$E$5:$E$200=$B46)*ISNUMBER(INDEX(Inputs!$K$5:$AJ$200,0,MATCH(O$2,Inputs!$K$4:$AJ$4,0))))=0,NA(),SUMPRODUCT((Inputs!$A$5:$A$200=$B46)*Inputs!$B$5:$B$200*(((Inputs!$G$5:$G$200="moeda")+(Inputs!$G$5:$G$200="acoes"))*Inputs!$B$1+((Inputs!$G$5:$G$200&lt;&gt;"moeda")*(Inputs!$G$5:$G$200&lt;&gt;"acoes")))*INDEX(Inputs!$K$5:$AJ$200,0,MATCH(O$2,Inputs!$K$4:$AJ$4,0)))+SUMPRODUCT((Inputs!$C$5:$C$200=$B46)*Inputs!$D$5:$D$200*(((Inputs!$G$5:$G$200="moeda")+(Inputs!$G$5:$G$200="acoes"))*Inputs!$B$1+((Inputs!$G$5:$G$200&lt;&gt;"moeda")*(Inputs!$G$5:$G$200&lt;&gt;"acoes")))*INDEX(Inputs!$K$5:$AJ$200,0,MATCH(O$2,Inputs!$K$4:$AJ$4,0)))+SUMPRODUCT((Inputs!$E$5:$E$200=$B46)*Inputs!$F$5:$F$200*(((Inputs!$G$5:$G$200="moeda")+(Inputs!$G$5:$G$200="acoes"))*Inputs!$B$1+((Inputs!$G$5:$G$200&lt;&gt;"moeda")*(Inputs!$G$5:$G$200&lt;&gt;"acoes")))*INDEX(Inputs!$K$5:$AJ$200,0,MATCH(O$2,Inputs!$K$4:$AJ$4,0)))))</f>
        <v>0</v>
      </c>
      <c r="P46" s="6">
        <f>IF(ISNA(MATCH(P$2,Inputs!$K$4:$AJ$4,0)),NA(),IF(SUMPRODUCT((Inputs!$A$5:$A$200=$B46)*ISNUMBER(INDEX(Inputs!$K$5:$AJ$200,0,MATCH(P$2,Inputs!$K$4:$AJ$4,0))))+SUMPRODUCT((Inputs!$C$5:$C$200=$B46)*ISNUMBER(INDEX(Inputs!$K$5:$AJ$200,0,MATCH(P$2,Inputs!$K$4:$AJ$4,0))))+SUMPRODUCT((Inputs!$E$5:$E$200=$B46)*ISNUMBER(INDEX(Inputs!$K$5:$AJ$200,0,MATCH(P$2,Inputs!$K$4:$AJ$4,0))))=0,NA(),SUMPRODUCT((Inputs!$A$5:$A$200=$B46)*Inputs!$B$5:$B$200*(((Inputs!$G$5:$G$200="moeda")+(Inputs!$G$5:$G$200="acoes"))*Inputs!$B$1+((Inputs!$G$5:$G$200&lt;&gt;"moeda")*(Inputs!$G$5:$G$200&lt;&gt;"acoes")))*INDEX(Inputs!$K$5:$AJ$200,0,MATCH(P$2,Inputs!$K$4:$AJ$4,0)))+SUMPRODUCT((Inputs!$C$5:$C$200=$B46)*Inputs!$D$5:$D$200*(((Inputs!$G$5:$G$200="moeda")+(Inputs!$G$5:$G$200="acoes"))*Inputs!$B$1+((Inputs!$G$5:$G$200&lt;&gt;"moeda")*(Inputs!$G$5:$G$200&lt;&gt;"acoes")))*INDEX(Inputs!$K$5:$AJ$200,0,MATCH(P$2,Inputs!$K$4:$AJ$4,0)))+SUMPRODUCT((Inputs!$E$5:$E$200=$B46)*Inputs!$F$5:$F$200*(((Inputs!$G$5:$G$200="moeda")+(Inputs!$G$5:$G$200="acoes"))*Inputs!$B$1+((Inputs!$G$5:$G$200&lt;&gt;"moeda")*(Inputs!$G$5:$G$200&lt;&gt;"acoes")))*INDEX(Inputs!$K$5:$AJ$200,0,MATCH(P$2,Inputs!$K$4:$AJ$4,0)))))</f>
        <v>0</v>
      </c>
      <c r="Q46" s="6">
        <f>IF(ISNA(MATCH(Q$2,Inputs!$K$4:$AJ$4,0)),NA(),IF(SUMPRODUCT((Inputs!$A$5:$A$200=$B46)*ISNUMBER(INDEX(Inputs!$K$5:$AJ$200,0,MATCH(Q$2,Inputs!$K$4:$AJ$4,0))))+SUMPRODUCT((Inputs!$C$5:$C$200=$B46)*ISNUMBER(INDEX(Inputs!$K$5:$AJ$200,0,MATCH(Q$2,Inputs!$K$4:$AJ$4,0))))+SUMPRODUCT((Inputs!$E$5:$E$200=$B46)*ISNUMBER(INDEX(Inputs!$K$5:$AJ$200,0,MATCH(Q$2,Inputs!$K$4:$AJ$4,0))))=0,NA(),SUMPRODUCT((Inputs!$A$5:$A$200=$B46)*Inputs!$B$5:$B$200*(((Inputs!$G$5:$G$200="moeda")+(Inputs!$G$5:$G$200="acoes"))*Inputs!$B$1+((Inputs!$G$5:$G$200&lt;&gt;"moeda")*(Inputs!$G$5:$G$200&lt;&gt;"acoes")))*INDEX(Inputs!$K$5:$AJ$200,0,MATCH(Q$2,Inputs!$K$4:$AJ$4,0)))+SUMPRODUCT((Inputs!$C$5:$C$200=$B46)*Inputs!$D$5:$D$200*(((Inputs!$G$5:$G$200="moeda")+(Inputs!$G$5:$G$200="acoes"))*Inputs!$B$1+((Inputs!$G$5:$G$200&lt;&gt;"moeda")*(Inputs!$G$5:$G$200&lt;&gt;"acoes")))*INDEX(Inputs!$K$5:$AJ$200,0,MATCH(Q$2,Inputs!$K$4:$AJ$4,0)))+SUMPRODUCT((Inputs!$E$5:$E$200=$B46)*Inputs!$F$5:$F$200*(((Inputs!$G$5:$G$200="moeda")+(Inputs!$G$5:$G$200="acoes"))*Inputs!$B$1+((Inputs!$G$5:$G$200&lt;&gt;"moeda")*(Inputs!$G$5:$G$200&lt;&gt;"acoes")))*INDEX(Inputs!$K$5:$AJ$200,0,MATCH(Q$2,Inputs!$K$4:$AJ$4,0)))))</f>
        <v>0</v>
      </c>
      <c r="R46" s="3">
        <f>Q46</f>
        <v>0</v>
      </c>
      <c r="S46" s="6">
        <f>IF(ISNA(MATCH(S$2,Inputs!$K$4:$AJ$4,0)),NA(),IF(SUMPRODUCT((Inputs!$A$5:$A$200=$B46)*ISNUMBER(INDEX(Inputs!$K$5:$AJ$200,0,MATCH(S$2,Inputs!$K$4:$AJ$4,0))))+SUMPRODUCT((Inputs!$C$5:$C$200=$B46)*ISNUMBER(INDEX(Inputs!$K$5:$AJ$200,0,MATCH(S$2,Inputs!$K$4:$AJ$4,0))))+SUMPRODUCT((Inputs!$E$5:$E$200=$B46)*ISNUMBER(INDEX(Inputs!$K$5:$AJ$200,0,MATCH(S$2,Inputs!$K$4:$AJ$4,0))))=0,NA(),SUMPRODUCT((Inputs!$A$5:$A$200=$B46)*Inputs!$B$5:$B$200*(((Inputs!$G$5:$G$200="moeda")+(Inputs!$G$5:$G$200="acoes"))*Inputs!$B$1+((Inputs!$G$5:$G$200&lt;&gt;"moeda")*(Inputs!$G$5:$G$200&lt;&gt;"acoes")))*INDEX(Inputs!$K$5:$AJ$200,0,MATCH(S$2,Inputs!$K$4:$AJ$4,0)))+SUMPRODUCT((Inputs!$C$5:$C$200=$B46)*Inputs!$D$5:$D$200*(((Inputs!$G$5:$G$200="moeda")+(Inputs!$G$5:$G$200="acoes"))*Inputs!$B$1+((Inputs!$G$5:$G$200&lt;&gt;"moeda")*(Inputs!$G$5:$G$200&lt;&gt;"acoes")))*INDEX(Inputs!$K$5:$AJ$200,0,MATCH(S$2,Inputs!$K$4:$AJ$4,0)))+SUMPRODUCT((Inputs!$E$5:$E$200=$B46)*Inputs!$F$5:$F$200*(((Inputs!$G$5:$G$200="moeda")+(Inputs!$G$5:$G$200="acoes"))*Inputs!$B$1+((Inputs!$G$5:$G$200&lt;&gt;"moeda")*(Inputs!$G$5:$G$200&lt;&gt;"acoes")))*INDEX(Inputs!$K$5:$AJ$200,0,MATCH(S$2,Inputs!$K$4:$AJ$4,0)))))</f>
        <v>0</v>
      </c>
      <c r="T46" s="6">
        <f>IF(ISNA(MATCH(T$2,Inputs!$K$4:$AJ$4,0)),NA(),IF(SUMPRODUCT((Inputs!$A$5:$A$200=$B46)*ISNUMBER(INDEX(Inputs!$K$5:$AJ$200,0,MATCH(T$2,Inputs!$K$4:$AJ$4,0))))+SUMPRODUCT((Inputs!$C$5:$C$200=$B46)*ISNUMBER(INDEX(Inputs!$K$5:$AJ$200,0,MATCH(T$2,Inputs!$K$4:$AJ$4,0))))+SUMPRODUCT((Inputs!$E$5:$E$200=$B46)*ISNUMBER(INDEX(Inputs!$K$5:$AJ$200,0,MATCH(T$2,Inputs!$K$4:$AJ$4,0))))=0,NA(),SUMPRODUCT((Inputs!$A$5:$A$200=$B46)*Inputs!$B$5:$B$200*(((Inputs!$G$5:$G$200="moeda")+(Inputs!$G$5:$G$200="acoes"))*Inputs!$B$1+((Inputs!$G$5:$G$200&lt;&gt;"moeda")*(Inputs!$G$5:$G$200&lt;&gt;"acoes")))*INDEX(Inputs!$K$5:$AJ$200,0,MATCH(T$2,Inputs!$K$4:$AJ$4,0)))+SUMPRODUCT((Inputs!$C$5:$C$200=$B46)*Inputs!$D$5:$D$200*(((Inputs!$G$5:$G$200="moeda")+(Inputs!$G$5:$G$200="acoes"))*Inputs!$B$1+((Inputs!$G$5:$G$200&lt;&gt;"moeda")*(Inputs!$G$5:$G$200&lt;&gt;"acoes")))*INDEX(Inputs!$K$5:$AJ$200,0,MATCH(T$2,Inputs!$K$4:$AJ$4,0)))+SUMPRODUCT((Inputs!$E$5:$E$200=$B46)*Inputs!$F$5:$F$200*(((Inputs!$G$5:$G$200="moeda")+(Inputs!$G$5:$G$200="acoes"))*Inputs!$B$1+((Inputs!$G$5:$G$200&lt;&gt;"moeda")*(Inputs!$G$5:$G$200&lt;&gt;"acoes")))*INDEX(Inputs!$K$5:$AJ$200,0,MATCH(T$2,Inputs!$K$4:$AJ$4,0)))))</f>
        <v>0</v>
      </c>
      <c r="U46" s="6">
        <f>IF(ISNA(MATCH(U$2,Inputs!$K$4:$AJ$4,0)),NA(),IF(SUMPRODUCT((Inputs!$A$5:$A$200=$B46)*ISNUMBER(INDEX(Inputs!$K$5:$AJ$200,0,MATCH(U$2,Inputs!$K$4:$AJ$4,0))))+SUMPRODUCT((Inputs!$C$5:$C$200=$B46)*ISNUMBER(INDEX(Inputs!$K$5:$AJ$200,0,MATCH(U$2,Inputs!$K$4:$AJ$4,0))))+SUMPRODUCT((Inputs!$E$5:$E$200=$B46)*ISNUMBER(INDEX(Inputs!$K$5:$AJ$200,0,MATCH(U$2,Inputs!$K$4:$AJ$4,0))))=0,NA(),SUMPRODUCT((Inputs!$A$5:$A$200=$B46)*Inputs!$B$5:$B$200*(((Inputs!$G$5:$G$200="moeda")+(Inputs!$G$5:$G$200="acoes"))*Inputs!$B$1+((Inputs!$G$5:$G$200&lt;&gt;"moeda")*(Inputs!$G$5:$G$200&lt;&gt;"acoes")))*INDEX(Inputs!$K$5:$AJ$200,0,MATCH(U$2,Inputs!$K$4:$AJ$4,0)))+SUMPRODUCT((Inputs!$C$5:$C$200=$B46)*Inputs!$D$5:$D$200*(((Inputs!$G$5:$G$200="moeda")+(Inputs!$G$5:$G$200="acoes"))*Inputs!$B$1+((Inputs!$G$5:$G$200&lt;&gt;"moeda")*(Inputs!$G$5:$G$200&lt;&gt;"acoes")))*INDEX(Inputs!$K$5:$AJ$200,0,MATCH(U$2,Inputs!$K$4:$AJ$4,0)))+SUMPRODUCT((Inputs!$E$5:$E$200=$B46)*Inputs!$F$5:$F$200*(((Inputs!$G$5:$G$200="moeda")+(Inputs!$G$5:$G$200="acoes"))*Inputs!$B$1+((Inputs!$G$5:$G$200&lt;&gt;"moeda")*(Inputs!$G$5:$G$200&lt;&gt;"acoes")))*INDEX(Inputs!$K$5:$AJ$200,0,MATCH(U$2,Inputs!$K$4:$AJ$4,0)))))</f>
        <v>6.667</v>
      </c>
      <c r="V46" s="6">
        <f>IF(ISNA(MATCH(V$2,Inputs!$K$4:$AJ$4,0)),NA(),IF(SUMPRODUCT((Inputs!$A$5:$A$200=$B46)*ISNUMBER(INDEX(Inputs!$K$5:$AJ$200,0,MATCH(V$2,Inputs!$K$4:$AJ$4,0))))+SUMPRODUCT((Inputs!$C$5:$C$200=$B46)*ISNUMBER(INDEX(Inputs!$K$5:$AJ$200,0,MATCH(V$2,Inputs!$K$4:$AJ$4,0))))+SUMPRODUCT((Inputs!$E$5:$E$200=$B46)*ISNUMBER(INDEX(Inputs!$K$5:$AJ$200,0,MATCH(V$2,Inputs!$K$4:$AJ$4,0))))=0,NA(),SUMPRODUCT((Inputs!$A$5:$A$200=$B46)*Inputs!$B$5:$B$200*(((Inputs!$G$5:$G$200="moeda")+(Inputs!$G$5:$G$200="acoes"))*Inputs!$B$1+((Inputs!$G$5:$G$200&lt;&gt;"moeda")*(Inputs!$G$5:$G$200&lt;&gt;"acoes")))*INDEX(Inputs!$K$5:$AJ$200,0,MATCH(V$2,Inputs!$K$4:$AJ$4,0)))+SUMPRODUCT((Inputs!$C$5:$C$200=$B46)*Inputs!$D$5:$D$200*(((Inputs!$G$5:$G$200="moeda")+(Inputs!$G$5:$G$200="acoes"))*Inputs!$B$1+((Inputs!$G$5:$G$200&lt;&gt;"moeda")*(Inputs!$G$5:$G$200&lt;&gt;"acoes")))*INDEX(Inputs!$K$5:$AJ$200,0,MATCH(V$2,Inputs!$K$4:$AJ$4,0)))+SUMPRODUCT((Inputs!$E$5:$E$200=$B46)*Inputs!$F$5:$F$200*(((Inputs!$G$5:$G$200="moeda")+(Inputs!$G$5:$G$200="acoes"))*Inputs!$B$1+((Inputs!$G$5:$G$200&lt;&gt;"moeda")*(Inputs!$G$5:$G$200&lt;&gt;"acoes")))*INDEX(Inputs!$K$5:$AJ$200,0,MATCH(V$2,Inputs!$K$4:$AJ$4,0)))))</f>
        <v>0</v>
      </c>
      <c r="W46" s="3">
        <f>V46</f>
        <v>0</v>
      </c>
      <c r="X46" s="6">
        <f>IF(ISNA(MATCH(X$2,Inputs!$K$4:$AJ$4,0)),NA(),IF(SUMPRODUCT((Inputs!$A$5:$A$200=$B46)*ISNUMBER(INDEX(Inputs!$K$5:$AJ$200,0,MATCH(X$2,Inputs!$K$4:$AJ$4,0))))+SUMPRODUCT((Inputs!$C$5:$C$200=$B46)*ISNUMBER(INDEX(Inputs!$K$5:$AJ$200,0,MATCH(X$2,Inputs!$K$4:$AJ$4,0))))+SUMPRODUCT((Inputs!$E$5:$E$200=$B46)*ISNUMBER(INDEX(Inputs!$K$5:$AJ$200,0,MATCH(X$2,Inputs!$K$4:$AJ$4,0))))=0,NA(),SUMPRODUCT((Inputs!$A$5:$A$200=$B46)*Inputs!$B$5:$B$200*(((Inputs!$G$5:$G$200="moeda")+(Inputs!$G$5:$G$200="acoes"))*Inputs!$B$1+((Inputs!$G$5:$G$200&lt;&gt;"moeda")*(Inputs!$G$5:$G$200&lt;&gt;"acoes")))*INDEX(Inputs!$K$5:$AJ$200,0,MATCH(X$2,Inputs!$K$4:$AJ$4,0)))+SUMPRODUCT((Inputs!$C$5:$C$200=$B46)*Inputs!$D$5:$D$200*(((Inputs!$G$5:$G$200="moeda")+(Inputs!$G$5:$G$200="acoes"))*Inputs!$B$1+((Inputs!$G$5:$G$200&lt;&gt;"moeda")*(Inputs!$G$5:$G$200&lt;&gt;"acoes")))*INDEX(Inputs!$K$5:$AJ$200,0,MATCH(X$2,Inputs!$K$4:$AJ$4,0)))+SUMPRODUCT((Inputs!$E$5:$E$200=$B46)*Inputs!$F$5:$F$200*(((Inputs!$G$5:$G$200="moeda")+(Inputs!$G$5:$G$200="acoes"))*Inputs!$B$1+((Inputs!$G$5:$G$200&lt;&gt;"moeda")*(Inputs!$G$5:$G$200&lt;&gt;"acoes")))*INDEX(Inputs!$K$5:$AJ$200,0,MATCH(X$2,Inputs!$K$4:$AJ$4,0)))))</f>
        <v>0</v>
      </c>
      <c r="Y46" s="6">
        <f>IF(ISNA(MATCH(Y$2,Inputs!$K$4:$AJ$4,0)),NA(),IF(SUMPRODUCT((Inputs!$A$5:$A$200=$B46)*ISNUMBER(INDEX(Inputs!$K$5:$AJ$200,0,MATCH(Y$2,Inputs!$K$4:$AJ$4,0))))+SUMPRODUCT((Inputs!$C$5:$C$200=$B46)*ISNUMBER(INDEX(Inputs!$K$5:$AJ$200,0,MATCH(Y$2,Inputs!$K$4:$AJ$4,0))))+SUMPRODUCT((Inputs!$E$5:$E$200=$B46)*ISNUMBER(INDEX(Inputs!$K$5:$AJ$200,0,MATCH(Y$2,Inputs!$K$4:$AJ$4,0))))=0,NA(),SUMPRODUCT((Inputs!$A$5:$A$200=$B46)*Inputs!$B$5:$B$200*(((Inputs!$G$5:$G$200="moeda")+(Inputs!$G$5:$G$200="acoes"))*Inputs!$B$1+((Inputs!$G$5:$G$200&lt;&gt;"moeda")*(Inputs!$G$5:$G$200&lt;&gt;"acoes")))*INDEX(Inputs!$K$5:$AJ$200,0,MATCH(Y$2,Inputs!$K$4:$AJ$4,0)))+SUMPRODUCT((Inputs!$C$5:$C$200=$B46)*Inputs!$D$5:$D$200*(((Inputs!$G$5:$G$200="moeda")+(Inputs!$G$5:$G$200="acoes"))*Inputs!$B$1+((Inputs!$G$5:$G$200&lt;&gt;"moeda")*(Inputs!$G$5:$G$200&lt;&gt;"acoes")))*INDEX(Inputs!$K$5:$AJ$200,0,MATCH(Y$2,Inputs!$K$4:$AJ$4,0)))+SUMPRODUCT((Inputs!$E$5:$E$200=$B46)*Inputs!$F$5:$F$200*(((Inputs!$G$5:$G$200="moeda")+(Inputs!$G$5:$G$200="acoes"))*Inputs!$B$1+((Inputs!$G$5:$G$200&lt;&gt;"moeda")*(Inputs!$G$5:$G$200&lt;&gt;"acoes")))*INDEX(Inputs!$K$5:$AJ$200,0,MATCH(Y$2,Inputs!$K$4:$AJ$4,0)))))</f>
        <v>0</v>
      </c>
      <c r="Z46" s="6">
        <f>IF(ISNA(MATCH(Z$2,Inputs!$K$4:$AJ$4,0)),NA(),IF(SUMPRODUCT((Inputs!$A$5:$A$200=$B46)*ISNUMBER(INDEX(Inputs!$K$5:$AJ$200,0,MATCH(Z$2,Inputs!$K$4:$AJ$4,0))))+SUMPRODUCT((Inputs!$C$5:$C$200=$B46)*ISNUMBER(INDEX(Inputs!$K$5:$AJ$200,0,MATCH(Z$2,Inputs!$K$4:$AJ$4,0))))+SUMPRODUCT((Inputs!$E$5:$E$200=$B46)*ISNUMBER(INDEX(Inputs!$K$5:$AJ$200,0,MATCH(Z$2,Inputs!$K$4:$AJ$4,0))))=0,NA(),SUMPRODUCT((Inputs!$A$5:$A$200=$B46)*Inputs!$B$5:$B$200*(((Inputs!$G$5:$G$200="moeda")+(Inputs!$G$5:$G$200="acoes"))*Inputs!$B$1+((Inputs!$G$5:$G$200&lt;&gt;"moeda")*(Inputs!$G$5:$G$200&lt;&gt;"acoes")))*INDEX(Inputs!$K$5:$AJ$200,0,MATCH(Z$2,Inputs!$K$4:$AJ$4,0)))+SUMPRODUCT((Inputs!$C$5:$C$200=$B46)*Inputs!$D$5:$D$200*(((Inputs!$G$5:$G$200="moeda")+(Inputs!$G$5:$G$200="acoes"))*Inputs!$B$1+((Inputs!$G$5:$G$200&lt;&gt;"moeda")*(Inputs!$G$5:$G$200&lt;&gt;"acoes")))*INDEX(Inputs!$K$5:$AJ$200,0,MATCH(Z$2,Inputs!$K$4:$AJ$4,0)))+SUMPRODUCT((Inputs!$E$5:$E$200=$B46)*Inputs!$F$5:$F$200*(((Inputs!$G$5:$G$200="moeda")+(Inputs!$G$5:$G$200="acoes"))*Inputs!$B$1+((Inputs!$G$5:$G$200&lt;&gt;"moeda")*(Inputs!$G$5:$G$200&lt;&gt;"acoes")))*INDEX(Inputs!$K$5:$AJ$200,0,MATCH(Z$2,Inputs!$K$4:$AJ$4,0)))))</f>
        <v>0</v>
      </c>
      <c r="AA46" s="6">
        <f>IF(ISNA(MATCH(AA$2,Inputs!$K$4:$AJ$4,0)),NA(),IF(SUMPRODUCT((Inputs!$A$5:$A$200=$B46)*ISNUMBER(INDEX(Inputs!$K$5:$AJ$200,0,MATCH(AA$2,Inputs!$K$4:$AJ$4,0))))+SUMPRODUCT((Inputs!$C$5:$C$200=$B46)*ISNUMBER(INDEX(Inputs!$K$5:$AJ$200,0,MATCH(AA$2,Inputs!$K$4:$AJ$4,0))))+SUMPRODUCT((Inputs!$E$5:$E$200=$B46)*ISNUMBER(INDEX(Inputs!$K$5:$AJ$200,0,MATCH(AA$2,Inputs!$K$4:$AJ$4,0))))=0,NA(),SUMPRODUCT((Inputs!$A$5:$A$200=$B46)*Inputs!$B$5:$B$200*(((Inputs!$G$5:$G$200="moeda")+(Inputs!$G$5:$G$200="acoes"))*Inputs!$B$1+((Inputs!$G$5:$G$200&lt;&gt;"moeda")*(Inputs!$G$5:$G$200&lt;&gt;"acoes")))*INDEX(Inputs!$K$5:$AJ$200,0,MATCH(AA$2,Inputs!$K$4:$AJ$4,0)))+SUMPRODUCT((Inputs!$C$5:$C$200=$B46)*Inputs!$D$5:$D$200*(((Inputs!$G$5:$G$200="moeda")+(Inputs!$G$5:$G$200="acoes"))*Inputs!$B$1+((Inputs!$G$5:$G$200&lt;&gt;"moeda")*(Inputs!$G$5:$G$200&lt;&gt;"acoes")))*INDEX(Inputs!$K$5:$AJ$200,0,MATCH(AA$2,Inputs!$K$4:$AJ$4,0)))+SUMPRODUCT((Inputs!$E$5:$E$200=$B46)*Inputs!$F$5:$F$200*(((Inputs!$G$5:$G$200="moeda")+(Inputs!$G$5:$G$200="acoes"))*Inputs!$B$1+((Inputs!$G$5:$G$200&lt;&gt;"moeda")*(Inputs!$G$5:$G$200&lt;&gt;"acoes")))*INDEX(Inputs!$K$5:$AJ$200,0,MATCH(AA$2,Inputs!$K$4:$AJ$4,0)))))</f>
        <v>0</v>
      </c>
      <c r="AB46" s="3">
        <f>AA46</f>
        <v>0</v>
      </c>
      <c r="AC46" s="6">
        <f>IF(ISNA(MATCH(AC$2,Inputs!$K$4:$AJ$4,0)),NA(),IF(SUMPRODUCT((Inputs!$A$5:$A$200=$B46)*ISNUMBER(INDEX(Inputs!$K$5:$AJ$200,0,MATCH(AC$2,Inputs!$K$4:$AJ$4,0))))+SUMPRODUCT((Inputs!$C$5:$C$200=$B46)*ISNUMBER(INDEX(Inputs!$K$5:$AJ$200,0,MATCH(AC$2,Inputs!$K$4:$AJ$4,0))))+SUMPRODUCT((Inputs!$E$5:$E$200=$B46)*ISNUMBER(INDEX(Inputs!$K$5:$AJ$200,0,MATCH(AC$2,Inputs!$K$4:$AJ$4,0))))=0,NA(),SUMPRODUCT((Inputs!$A$5:$A$200=$B46)*Inputs!$B$5:$B$200*(((Inputs!$G$5:$G$200="moeda")+(Inputs!$G$5:$G$200="acoes"))*Inputs!$B$1+((Inputs!$G$5:$G$200&lt;&gt;"moeda")*(Inputs!$G$5:$G$200&lt;&gt;"acoes")))*INDEX(Inputs!$K$5:$AJ$200,0,MATCH(AC$2,Inputs!$K$4:$AJ$4,0)))+SUMPRODUCT((Inputs!$C$5:$C$200=$B46)*Inputs!$D$5:$D$200*(((Inputs!$G$5:$G$200="moeda")+(Inputs!$G$5:$G$200="acoes"))*Inputs!$B$1+((Inputs!$G$5:$G$200&lt;&gt;"moeda")*(Inputs!$G$5:$G$200&lt;&gt;"acoes")))*INDEX(Inputs!$K$5:$AJ$200,0,MATCH(AC$2,Inputs!$K$4:$AJ$4,0)))+SUMPRODUCT((Inputs!$E$5:$E$200=$B46)*Inputs!$F$5:$F$200*(((Inputs!$G$5:$G$200="moeda")+(Inputs!$G$5:$G$200="acoes"))*Inputs!$B$1+((Inputs!$G$5:$G$200&lt;&gt;"moeda")*(Inputs!$G$5:$G$200&lt;&gt;"acoes")))*INDEX(Inputs!$K$5:$AJ$200,0,MATCH(AC$2,Inputs!$K$4:$AJ$4,0)))))</f>
        <v>0</v>
      </c>
      <c r="AD46" s="6">
        <f>IF(ISNA(MATCH(AD$2,Inputs!$K$4:$AJ$4,0)),NA(),IF(SUMPRODUCT((Inputs!$A$5:$A$200=$B46)*ISNUMBER(INDEX(Inputs!$K$5:$AJ$200,0,MATCH(AD$2,Inputs!$K$4:$AJ$4,0))))+SUMPRODUCT((Inputs!$C$5:$C$200=$B46)*ISNUMBER(INDEX(Inputs!$K$5:$AJ$200,0,MATCH(AD$2,Inputs!$K$4:$AJ$4,0))))+SUMPRODUCT((Inputs!$E$5:$E$200=$B46)*ISNUMBER(INDEX(Inputs!$K$5:$AJ$200,0,MATCH(AD$2,Inputs!$K$4:$AJ$4,0))))=0,NA(),SUMPRODUCT((Inputs!$A$5:$A$200=$B46)*Inputs!$B$5:$B$200*(((Inputs!$G$5:$G$200="moeda")+(Inputs!$G$5:$G$200="acoes"))*Inputs!$B$1+((Inputs!$G$5:$G$200&lt;&gt;"moeda")*(Inputs!$G$5:$G$200&lt;&gt;"acoes")))*INDEX(Inputs!$K$5:$AJ$200,0,MATCH(AD$2,Inputs!$K$4:$AJ$4,0)))+SUMPRODUCT((Inputs!$C$5:$C$200=$B46)*Inputs!$D$5:$D$200*(((Inputs!$G$5:$G$200="moeda")+(Inputs!$G$5:$G$200="acoes"))*Inputs!$B$1+((Inputs!$G$5:$G$200&lt;&gt;"moeda")*(Inputs!$G$5:$G$200&lt;&gt;"acoes")))*INDEX(Inputs!$K$5:$AJ$200,0,MATCH(AD$2,Inputs!$K$4:$AJ$4,0)))+SUMPRODUCT((Inputs!$E$5:$E$200=$B46)*Inputs!$F$5:$F$200*(((Inputs!$G$5:$G$200="moeda")+(Inputs!$G$5:$G$200="acoes"))*Inputs!$B$1+((Inputs!$G$5:$G$200&lt;&gt;"moeda")*(Inputs!$G$5:$G$200&lt;&gt;"acoes")))*INDEX(Inputs!$K$5:$AJ$200,0,MATCH(AD$2,Inputs!$K$4:$AJ$4,0)))))</f>
        <v>0</v>
      </c>
      <c r="AE46" s="6" t="e">
        <f>IF(ISNA(MATCH(AE$2,Inputs!$K$4:$AJ$4,0)),NA(),IF(SUMPRODUCT((Inputs!$A$5:$A$200=$B46)*ISNUMBER(INDEX(Inputs!$K$5:$AJ$200,0,MATCH(AE$2,Inputs!$K$4:$AJ$4,0))))+SUMPRODUCT((Inputs!$C$5:$C$200=$B46)*ISNUMBER(INDEX(Inputs!$K$5:$AJ$200,0,MATCH(AE$2,Inputs!$K$4:$AJ$4,0))))+SUMPRODUCT((Inputs!$E$5:$E$200=$B46)*ISNUMBER(INDEX(Inputs!$K$5:$AJ$200,0,MATCH(AE$2,Inputs!$K$4:$AJ$4,0))))=0,NA(),SUMPRODUCT((Inputs!$A$5:$A$200=$B46)*Inputs!$B$5:$B$200*(((Inputs!$G$5:$G$200="moeda")+(Inputs!$G$5:$G$200="acoes"))*Inputs!$B$1+((Inputs!$G$5:$G$200&lt;&gt;"moeda")*(Inputs!$G$5:$G$200&lt;&gt;"acoes")))*INDEX(Inputs!$K$5:$AJ$200,0,MATCH(AE$2,Inputs!$K$4:$AJ$4,0)))+SUMPRODUCT((Inputs!$C$5:$C$200=$B46)*Inputs!$D$5:$D$200*(((Inputs!$G$5:$G$200="moeda")+(Inputs!$G$5:$G$200="acoes"))*Inputs!$B$1+((Inputs!$G$5:$G$200&lt;&gt;"moeda")*(Inputs!$G$5:$G$200&lt;&gt;"acoes")))*INDEX(Inputs!$K$5:$AJ$200,0,MATCH(AE$2,Inputs!$K$4:$AJ$4,0)))+SUMPRODUCT((Inputs!$E$5:$E$200=$B46)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6" s="6" t="e">
        <f>IF(ISNA(MATCH(AF$2,Inputs!$K$4:$AJ$4,0)),NA(),IF(SUMPRODUCT((Inputs!$A$5:$A$200=$B46)*ISNUMBER(INDEX(Inputs!$K$5:$AJ$200,0,MATCH(AF$2,Inputs!$K$4:$AJ$4,0))))+SUMPRODUCT((Inputs!$C$5:$C$200=$B46)*ISNUMBER(INDEX(Inputs!$K$5:$AJ$200,0,MATCH(AF$2,Inputs!$K$4:$AJ$4,0))))+SUMPRODUCT((Inputs!$E$5:$E$200=$B46)*ISNUMBER(INDEX(Inputs!$K$5:$AJ$200,0,MATCH(AF$2,Inputs!$K$4:$AJ$4,0))))=0,NA(),SUMPRODUCT((Inputs!$A$5:$A$200=$B46)*Inputs!$B$5:$B$200*(((Inputs!$G$5:$G$200="moeda")+(Inputs!$G$5:$G$200="acoes"))*Inputs!$B$1+((Inputs!$G$5:$G$200&lt;&gt;"moeda")*(Inputs!$G$5:$G$200&lt;&gt;"acoes")))*INDEX(Inputs!$K$5:$AJ$200,0,MATCH(AF$2,Inputs!$K$4:$AJ$4,0)))+SUMPRODUCT((Inputs!$C$5:$C$200=$B46)*Inputs!$D$5:$D$200*(((Inputs!$G$5:$G$200="moeda")+(Inputs!$G$5:$G$200="acoes"))*Inputs!$B$1+((Inputs!$G$5:$G$200&lt;&gt;"moeda")*(Inputs!$G$5:$G$200&lt;&gt;"acoes")))*INDEX(Inputs!$K$5:$AJ$200,0,MATCH(AF$2,Inputs!$K$4:$AJ$4,0)))+SUMPRODUCT((Inputs!$E$5:$E$200=$B46)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6" s="3" t="e">
        <f>AF46</f>
        <v>#N/A</v>
      </c>
      <c r="AH46" s="6">
        <f>IF(ISNA(MATCH(AH$2,Inputs!$K$4:$AJ$4,0)),NA(),IF(SUMPRODUCT((Inputs!$A$5:$A$200=$B46)*ISNUMBER(INDEX(Inputs!$K$5:$AJ$200,0,MATCH(AH$2,Inputs!$K$4:$AJ$4,0))))+SUMPRODUCT((Inputs!$C$5:$C$200=$B46)*ISNUMBER(INDEX(Inputs!$K$5:$AJ$200,0,MATCH(AH$2,Inputs!$K$4:$AJ$4,0))))+SUMPRODUCT((Inputs!$E$5:$E$200=$B46)*ISNUMBER(INDEX(Inputs!$K$5:$AJ$200,0,MATCH(AH$2,Inputs!$K$4:$AJ$4,0))))=0,NA(),SUMPRODUCT((Inputs!$A$5:$A$200=$B46)*Inputs!$B$5:$B$200*(((Inputs!$G$5:$G$200="moeda")+(Inputs!$G$5:$G$200="acoes"))*Inputs!$B$1+((Inputs!$G$5:$G$200&lt;&gt;"moeda")*(Inputs!$G$5:$G$200&lt;&gt;"acoes")))*INDEX(Inputs!$K$5:$AJ$200,0,MATCH(AH$2,Inputs!$K$4:$AJ$4,0)))+SUMPRODUCT((Inputs!$C$5:$C$200=$B46)*Inputs!$D$5:$D$200*(((Inputs!$G$5:$G$200="moeda")+(Inputs!$G$5:$G$200="acoes"))*Inputs!$B$1+((Inputs!$G$5:$G$200&lt;&gt;"moeda")*(Inputs!$G$5:$G$200&lt;&gt;"acoes")))*INDEX(Inputs!$K$5:$AJ$200,0,MATCH(AH$2,Inputs!$K$4:$AJ$4,0)))+SUMPRODUCT((Inputs!$E$5:$E$200=$B46)*Inputs!$F$5:$F$200*(((Inputs!$G$5:$G$200="moeda")+(Inputs!$G$5:$G$200="acoes"))*Inputs!$B$1+((Inputs!$G$5:$G$200&lt;&gt;"moeda")*(Inputs!$G$5:$G$200&lt;&gt;"acoes")))*INDEX(Inputs!$K$5:$AJ$200,0,MATCH(AH$2,Inputs!$K$4:$AJ$4,0)))))</f>
        <v>0</v>
      </c>
      <c r="AI46" s="6">
        <f>IF(ISNA(MATCH(AI$2,Inputs!$K$4:$AJ$4,0)),NA(),IF(SUMPRODUCT((Inputs!$A$5:$A$200=$B46)*ISNUMBER(INDEX(Inputs!$K$5:$AJ$200,0,MATCH(AI$2,Inputs!$K$4:$AJ$4,0))))+SUMPRODUCT((Inputs!$C$5:$C$200=$B46)*ISNUMBER(INDEX(Inputs!$K$5:$AJ$200,0,MATCH(AI$2,Inputs!$K$4:$AJ$4,0))))+SUMPRODUCT((Inputs!$E$5:$E$200=$B46)*ISNUMBER(INDEX(Inputs!$K$5:$AJ$200,0,MATCH(AI$2,Inputs!$K$4:$AJ$4,0))))=0,NA(),SUMPRODUCT((Inputs!$A$5:$A$200=$B46)*Inputs!$B$5:$B$200*(((Inputs!$G$5:$G$200="moeda")+(Inputs!$G$5:$G$200="acoes"))*Inputs!$B$1+((Inputs!$G$5:$G$200&lt;&gt;"moeda")*(Inputs!$G$5:$G$200&lt;&gt;"acoes")))*INDEX(Inputs!$K$5:$AJ$200,0,MATCH(AI$2,Inputs!$K$4:$AJ$4,0)))+SUMPRODUCT((Inputs!$C$5:$C$200=$B46)*Inputs!$D$5:$D$200*(((Inputs!$G$5:$G$200="moeda")+(Inputs!$G$5:$G$200="acoes"))*Inputs!$B$1+((Inputs!$G$5:$G$200&lt;&gt;"moeda")*(Inputs!$G$5:$G$200&lt;&gt;"acoes")))*INDEX(Inputs!$K$5:$AJ$200,0,MATCH(AI$2,Inputs!$K$4:$AJ$4,0)))+SUMPRODUCT((Inputs!$E$5:$E$200=$B46)*Inputs!$F$5:$F$200*(((Inputs!$G$5:$G$200="moeda")+(Inputs!$G$5:$G$200="acoes"))*Inputs!$B$1+((Inputs!$G$5:$G$200&lt;&gt;"moeda")*(Inputs!$G$5:$G$200&lt;&gt;"acoes")))*INDEX(Inputs!$K$5:$AJ$200,0,MATCH(AI$2,Inputs!$K$4:$AJ$4,0)))))</f>
        <v>0</v>
      </c>
      <c r="AJ46" s="6">
        <f>IF(ISNA(MATCH(AJ$2,Inputs!$K$4:$AJ$4,0)),NA(),IF(SUMPRODUCT((Inputs!$A$5:$A$200=$B46)*ISNUMBER(INDEX(Inputs!$K$5:$AJ$200,0,MATCH(AJ$2,Inputs!$K$4:$AJ$4,0))))+SUMPRODUCT((Inputs!$C$5:$C$200=$B46)*ISNUMBER(INDEX(Inputs!$K$5:$AJ$200,0,MATCH(AJ$2,Inputs!$K$4:$AJ$4,0))))+SUMPRODUCT((Inputs!$E$5:$E$200=$B46)*ISNUMBER(INDEX(Inputs!$K$5:$AJ$200,0,MATCH(AJ$2,Inputs!$K$4:$AJ$4,0))))=0,NA(),SUMPRODUCT((Inputs!$A$5:$A$200=$B46)*Inputs!$B$5:$B$200*(((Inputs!$G$5:$G$200="moeda")+(Inputs!$G$5:$G$200="acoes"))*Inputs!$B$1+((Inputs!$G$5:$G$200&lt;&gt;"moeda")*(Inputs!$G$5:$G$200&lt;&gt;"acoes")))*INDEX(Inputs!$K$5:$AJ$200,0,MATCH(AJ$2,Inputs!$K$4:$AJ$4,0)))+SUMPRODUCT((Inputs!$C$5:$C$200=$B46)*Inputs!$D$5:$D$200*(((Inputs!$G$5:$G$200="moeda")+(Inputs!$G$5:$G$200="acoes"))*Inputs!$B$1+((Inputs!$G$5:$G$200&lt;&gt;"moeda")*(Inputs!$G$5:$G$200&lt;&gt;"acoes")))*INDEX(Inputs!$K$5:$AJ$200,0,MATCH(AJ$2,Inputs!$K$4:$AJ$4,0)))+SUMPRODUCT((Inputs!$E$5:$E$200=$B46)*Inputs!$F$5:$F$200*(((Inputs!$G$5:$G$200="moeda")+(Inputs!$G$5:$G$200="acoes"))*Inputs!$B$1+((Inputs!$G$5:$G$200&lt;&gt;"moeda")*(Inputs!$G$5:$G$200&lt;&gt;"acoes")))*INDEX(Inputs!$K$5:$AJ$200,0,MATCH(AJ$2,Inputs!$K$4:$AJ$4,0)))))</f>
        <v>0</v>
      </c>
      <c r="AK46" s="6">
        <f>IF(ISNA(MATCH(AK$2,Inputs!$K$4:$AJ$4,0)),NA(),IF(SUMPRODUCT((Inputs!$A$5:$A$200=$B46)*ISNUMBER(INDEX(Inputs!$K$5:$AJ$200,0,MATCH(AK$2,Inputs!$K$4:$AJ$4,0))))+SUMPRODUCT((Inputs!$C$5:$C$200=$B46)*ISNUMBER(INDEX(Inputs!$K$5:$AJ$200,0,MATCH(AK$2,Inputs!$K$4:$AJ$4,0))))+SUMPRODUCT((Inputs!$E$5:$E$200=$B46)*ISNUMBER(INDEX(Inputs!$K$5:$AJ$200,0,MATCH(AK$2,Inputs!$K$4:$AJ$4,0))))=0,NA(),SUMPRODUCT((Inputs!$A$5:$A$200=$B46)*Inputs!$B$5:$B$200*(((Inputs!$G$5:$G$200="moeda")+(Inputs!$G$5:$G$200="acoes"))*Inputs!$B$1+((Inputs!$G$5:$G$200&lt;&gt;"moeda")*(Inputs!$G$5:$G$200&lt;&gt;"acoes")))*INDEX(Inputs!$K$5:$AJ$200,0,MATCH(AK$2,Inputs!$K$4:$AJ$4,0)))+SUMPRODUCT((Inputs!$C$5:$C$200=$B46)*Inputs!$D$5:$D$200*(((Inputs!$G$5:$G$200="moeda")+(Inputs!$G$5:$G$200="acoes"))*Inputs!$B$1+((Inputs!$G$5:$G$200&lt;&gt;"moeda")*(Inputs!$G$5:$G$200&lt;&gt;"acoes")))*INDEX(Inputs!$K$5:$AJ$200,0,MATCH(AK$2,Inputs!$K$4:$AJ$4,0)))+SUMPRODUCT((Inputs!$E$5:$E$200=$B46)*Inputs!$F$5:$F$200*(((Inputs!$G$5:$G$200="moeda")+(Inputs!$G$5:$G$200="acoes"))*Inputs!$B$1+((Inputs!$G$5:$G$200&lt;&gt;"moeda")*(Inputs!$G$5:$G$200&lt;&gt;"acoes")))*INDEX(Inputs!$K$5:$AJ$200,0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$200=$B47)*ISNUMBER(INDEX(Inputs!$K$5:$AJ$200,0,MATCH(D$2,Inputs!$K$4:$AJ$4,0))))+SUMPRODUCT((Inputs!$C$5:$C$200=$B47)*ISNUMBER(INDEX(Inputs!$K$5:$AJ$200,0,MATCH(D$2,Inputs!$K$4:$AJ$4,0))))+SUMPRODUCT((Inputs!$E$5:$E$200=$B47)*ISNUMBER(INDEX(Inputs!$K$5:$AJ$200,0,MATCH(D$2,Inputs!$K$4:$AJ$4,0))))=0,NA(),SUMPRODUCT((Inputs!$A$5:$A$200=$B47)*Inputs!$B$5:$B$200*(((Inputs!$G$5:$G$200="moeda")+(Inputs!$G$5:$G$200="acoes"))*Inputs!$B$1+((Inputs!$G$5:$G$200&lt;&gt;"moeda")*(Inputs!$G$5:$G$200&lt;&gt;"acoes")))*INDEX(Inputs!$K$5:$AJ$200,0,MATCH(D$2,Inputs!$K$4:$AJ$4,0)))+SUMPRODUCT((Inputs!$C$5:$C$200=$B47)*Inputs!$D$5:$D$200*(((Inputs!$G$5:$G$200="moeda")+(Inputs!$G$5:$G$200="acoes"))*Inputs!$B$1+((Inputs!$G$5:$G$200&lt;&gt;"moeda")*(Inputs!$G$5:$G$200&lt;&gt;"acoes")))*INDEX(Inputs!$K$5:$AJ$200,0,MATCH(D$2,Inputs!$K$4:$AJ$4,0)))+SUMPRODUCT((Inputs!$E$5:$E$200=$B47)*Inputs!$F$5:$F$200*(((Inputs!$G$5:$G$200="moeda")+(Inputs!$G$5:$G$200="acoes"))*Inputs!$B$1+((Inputs!$G$5:$G$200&lt;&gt;"moeda")*(Inputs!$G$5:$G$200&lt;&gt;"acoes")))*INDEX(Inputs!$K$5:$AJ$200,0,MATCH(D$2,Inputs!$K$4:$AJ$4,0)))))</f>
        <v>-455.462</v>
      </c>
      <c r="E47" s="6">
        <f>IF(ISNA(MATCH(E$2,Inputs!$K$4:$AJ$4,0)),NA(),IF(SUMPRODUCT((Inputs!$A$5:$A$200=$B47)*ISNUMBER(INDEX(Inputs!$K$5:$AJ$200,0,MATCH(E$2,Inputs!$K$4:$AJ$4,0))))+SUMPRODUCT((Inputs!$C$5:$C$200=$B47)*ISNUMBER(INDEX(Inputs!$K$5:$AJ$200,0,MATCH(E$2,Inputs!$K$4:$AJ$4,0))))+SUMPRODUCT((Inputs!$E$5:$E$200=$B47)*ISNUMBER(INDEX(Inputs!$K$5:$AJ$200,0,MATCH(E$2,Inputs!$K$4:$AJ$4,0))))=0,NA(),SUMPRODUCT((Inputs!$A$5:$A$200=$B47)*Inputs!$B$5:$B$200*(((Inputs!$G$5:$G$200="moeda")+(Inputs!$G$5:$G$200="acoes"))*Inputs!$B$1+((Inputs!$G$5:$G$200&lt;&gt;"moeda")*(Inputs!$G$5:$G$200&lt;&gt;"acoes")))*INDEX(Inputs!$K$5:$AJ$200,0,MATCH(E$2,Inputs!$K$4:$AJ$4,0)))+SUMPRODUCT((Inputs!$C$5:$C$200=$B47)*Inputs!$D$5:$D$200*(((Inputs!$G$5:$G$200="moeda")+(Inputs!$G$5:$G$200="acoes"))*Inputs!$B$1+((Inputs!$G$5:$G$200&lt;&gt;"moeda")*(Inputs!$G$5:$G$200&lt;&gt;"acoes")))*INDEX(Inputs!$K$5:$AJ$200,0,MATCH(E$2,Inputs!$K$4:$AJ$4,0)))+SUMPRODUCT((Inputs!$E$5:$E$200=$B47)*Inputs!$F$5:$F$200*(((Inputs!$G$5:$G$200="moeda")+(Inputs!$G$5:$G$200="acoes"))*Inputs!$B$1+((Inputs!$G$5:$G$200&lt;&gt;"moeda")*(Inputs!$G$5:$G$200&lt;&gt;"acoes")))*INDEX(Inputs!$K$5:$AJ$200,0,MATCH(E$2,Inputs!$K$4:$AJ$4,0)))))</f>
        <v>-450.051</v>
      </c>
      <c r="F47" s="6">
        <f>IF(ISNA(MATCH(F$2,Inputs!$K$4:$AJ$4,0)),NA(),IF(SUMPRODUCT((Inputs!$A$5:$A$200=$B47)*ISNUMBER(INDEX(Inputs!$K$5:$AJ$200,0,MATCH(F$2,Inputs!$K$4:$AJ$4,0))))+SUMPRODUCT((Inputs!$C$5:$C$200=$B47)*ISNUMBER(INDEX(Inputs!$K$5:$AJ$200,0,MATCH(F$2,Inputs!$K$4:$AJ$4,0))))+SUMPRODUCT((Inputs!$E$5:$E$200=$B47)*ISNUMBER(INDEX(Inputs!$K$5:$AJ$200,0,MATCH(F$2,Inputs!$K$4:$AJ$4,0))))=0,NA(),SUMPRODUCT((Inputs!$A$5:$A$200=$B47)*Inputs!$B$5:$B$200*(((Inputs!$G$5:$G$200="moeda")+(Inputs!$G$5:$G$200="acoes"))*Inputs!$B$1+((Inputs!$G$5:$G$200&lt;&gt;"moeda")*(Inputs!$G$5:$G$200&lt;&gt;"acoes")))*INDEX(Inputs!$K$5:$AJ$200,0,MATCH(F$2,Inputs!$K$4:$AJ$4,0)))+SUMPRODUCT((Inputs!$C$5:$C$200=$B47)*Inputs!$D$5:$D$200*(((Inputs!$G$5:$G$200="moeda")+(Inputs!$G$5:$G$200="acoes"))*Inputs!$B$1+((Inputs!$G$5:$G$200&lt;&gt;"moeda")*(Inputs!$G$5:$G$200&lt;&gt;"acoes")))*INDEX(Inputs!$K$5:$AJ$200,0,MATCH(F$2,Inputs!$K$4:$AJ$4,0)))+SUMPRODUCT((Inputs!$E$5:$E$200=$B47)*Inputs!$F$5:$F$200*(((Inputs!$G$5:$G$200="moeda")+(Inputs!$G$5:$G$200="acoes"))*Inputs!$B$1+((Inputs!$G$5:$G$200&lt;&gt;"moeda")*(Inputs!$G$5:$G$200&lt;&gt;"acoes")))*INDEX(Inputs!$K$5:$AJ$200,0,MATCH(F$2,Inputs!$K$4:$AJ$4,0)))))</f>
        <v>-452.259</v>
      </c>
      <c r="G47" s="6">
        <f>IF(ISNA(MATCH(G$2,Inputs!$K$4:$AJ$4,0)),NA(),IF(SUMPRODUCT((Inputs!$A$5:$A$200=$B47)*ISNUMBER(INDEX(Inputs!$K$5:$AJ$200,0,MATCH(G$2,Inputs!$K$4:$AJ$4,0))))+SUMPRODUCT((Inputs!$C$5:$C$200=$B47)*ISNUMBER(INDEX(Inputs!$K$5:$AJ$200,0,MATCH(G$2,Inputs!$K$4:$AJ$4,0))))+SUMPRODUCT((Inputs!$E$5:$E$200=$B47)*ISNUMBER(INDEX(Inputs!$K$5:$AJ$200,0,MATCH(G$2,Inputs!$K$4:$AJ$4,0))))=0,NA(),SUMPRODUCT((Inputs!$A$5:$A$200=$B47)*Inputs!$B$5:$B$200*(((Inputs!$G$5:$G$200="moeda")+(Inputs!$G$5:$G$200="acoes"))*Inputs!$B$1+((Inputs!$G$5:$G$200&lt;&gt;"moeda")*(Inputs!$G$5:$G$200&lt;&gt;"acoes")))*INDEX(Inputs!$K$5:$AJ$200,0,MATCH(G$2,Inputs!$K$4:$AJ$4,0)))+SUMPRODUCT((Inputs!$C$5:$C$200=$B47)*Inputs!$D$5:$D$200*(((Inputs!$G$5:$G$200="moeda")+(Inputs!$G$5:$G$200="acoes"))*Inputs!$B$1+((Inputs!$G$5:$G$200&lt;&gt;"moeda")*(Inputs!$G$5:$G$200&lt;&gt;"acoes")))*INDEX(Inputs!$K$5:$AJ$200,0,MATCH(G$2,Inputs!$K$4:$AJ$4,0)))+SUMPRODUCT((Inputs!$E$5:$E$200=$B47)*Inputs!$F$5:$F$200*(((Inputs!$G$5:$G$200="moeda")+(Inputs!$G$5:$G$200="acoes"))*Inputs!$B$1+((Inputs!$G$5:$G$200&lt;&gt;"moeda")*(Inputs!$G$5:$G$200&lt;&gt;"acoes")))*INDEX(Inputs!$K$5:$AJ$200,0,MATCH(G$2,Inputs!$K$4:$AJ$4,0)))))</f>
        <v>-470.911</v>
      </c>
      <c r="H47" s="3">
        <f>G47</f>
        <v>-470.911</v>
      </c>
      <c r="I47" s="6">
        <f>IF(ISNA(MATCH(I$2,Inputs!$K$4:$AJ$4,0)),NA(),IF(SUMPRODUCT((Inputs!$A$5:$A$200=$B47)*ISNUMBER(INDEX(Inputs!$K$5:$AJ$200,0,MATCH(I$2,Inputs!$K$4:$AJ$4,0))))+SUMPRODUCT((Inputs!$C$5:$C$200=$B47)*ISNUMBER(INDEX(Inputs!$K$5:$AJ$200,0,MATCH(I$2,Inputs!$K$4:$AJ$4,0))))+SUMPRODUCT((Inputs!$E$5:$E$200=$B47)*ISNUMBER(INDEX(Inputs!$K$5:$AJ$200,0,MATCH(I$2,Inputs!$K$4:$AJ$4,0))))=0,NA(),SUMPRODUCT((Inputs!$A$5:$A$200=$B47)*Inputs!$B$5:$B$200*(((Inputs!$G$5:$G$200="moeda")+(Inputs!$G$5:$G$200="acoes"))*Inputs!$B$1+((Inputs!$G$5:$G$200&lt;&gt;"moeda")*(Inputs!$G$5:$G$200&lt;&gt;"acoes")))*INDEX(Inputs!$K$5:$AJ$200,0,MATCH(I$2,Inputs!$K$4:$AJ$4,0)))+SUMPRODUCT((Inputs!$C$5:$C$200=$B47)*Inputs!$D$5:$D$200*(((Inputs!$G$5:$G$200="moeda")+(Inputs!$G$5:$G$200="acoes"))*Inputs!$B$1+((Inputs!$G$5:$G$200&lt;&gt;"moeda")*(Inputs!$G$5:$G$200&lt;&gt;"acoes")))*INDEX(Inputs!$K$5:$AJ$200,0,MATCH(I$2,Inputs!$K$4:$AJ$4,0)))+SUMPRODUCT((Inputs!$E$5:$E$200=$B47)*Inputs!$F$5:$F$200*(((Inputs!$G$5:$G$200="moeda")+(Inputs!$G$5:$G$200="acoes"))*Inputs!$B$1+((Inputs!$G$5:$G$200&lt;&gt;"moeda")*(Inputs!$G$5:$G$200&lt;&gt;"acoes")))*INDEX(Inputs!$K$5:$AJ$200,0,MATCH(I$2,Inputs!$K$4:$AJ$4,0)))))</f>
        <v>-491.058</v>
      </c>
      <c r="J47" s="6">
        <f>IF(ISNA(MATCH(J$2,Inputs!$K$4:$AJ$4,0)),NA(),IF(SUMPRODUCT((Inputs!$A$5:$A$200=$B47)*ISNUMBER(INDEX(Inputs!$K$5:$AJ$200,0,MATCH(J$2,Inputs!$K$4:$AJ$4,0))))+SUMPRODUCT((Inputs!$C$5:$C$200=$B47)*ISNUMBER(INDEX(Inputs!$K$5:$AJ$200,0,MATCH(J$2,Inputs!$K$4:$AJ$4,0))))+SUMPRODUCT((Inputs!$E$5:$E$200=$B47)*ISNUMBER(INDEX(Inputs!$K$5:$AJ$200,0,MATCH(J$2,Inputs!$K$4:$AJ$4,0))))=0,NA(),SUMPRODUCT((Inputs!$A$5:$A$200=$B47)*Inputs!$B$5:$B$200*(((Inputs!$G$5:$G$200="moeda")+(Inputs!$G$5:$G$200="acoes"))*Inputs!$B$1+((Inputs!$G$5:$G$200&lt;&gt;"moeda")*(Inputs!$G$5:$G$200&lt;&gt;"acoes")))*INDEX(Inputs!$K$5:$AJ$200,0,MATCH(J$2,Inputs!$K$4:$AJ$4,0)))+SUMPRODUCT((Inputs!$C$5:$C$200=$B47)*Inputs!$D$5:$D$200*(((Inputs!$G$5:$G$200="moeda")+(Inputs!$G$5:$G$200="acoes"))*Inputs!$B$1+((Inputs!$G$5:$G$200&lt;&gt;"moeda")*(Inputs!$G$5:$G$200&lt;&gt;"acoes")))*INDEX(Inputs!$K$5:$AJ$200,0,MATCH(J$2,Inputs!$K$4:$AJ$4,0)))+SUMPRODUCT((Inputs!$E$5:$E$200=$B47)*Inputs!$F$5:$F$200*(((Inputs!$G$5:$G$200="moeda")+(Inputs!$G$5:$G$200="acoes"))*Inputs!$B$1+((Inputs!$G$5:$G$200&lt;&gt;"moeda")*(Inputs!$G$5:$G$200&lt;&gt;"acoes")))*INDEX(Inputs!$K$5:$AJ$200,0,MATCH(J$2,Inputs!$K$4:$AJ$4,0)))))</f>
        <v>-503.028</v>
      </c>
      <c r="K47" s="6">
        <f>IF(ISNA(MATCH(K$2,Inputs!$K$4:$AJ$4,0)),NA(),IF(SUMPRODUCT((Inputs!$A$5:$A$200=$B47)*ISNUMBER(INDEX(Inputs!$K$5:$AJ$200,0,MATCH(K$2,Inputs!$K$4:$AJ$4,0))))+SUMPRODUCT((Inputs!$C$5:$C$200=$B47)*ISNUMBER(INDEX(Inputs!$K$5:$AJ$200,0,MATCH(K$2,Inputs!$K$4:$AJ$4,0))))+SUMPRODUCT((Inputs!$E$5:$E$200=$B47)*ISNUMBER(INDEX(Inputs!$K$5:$AJ$200,0,MATCH(K$2,Inputs!$K$4:$AJ$4,0))))=0,NA(),SUMPRODUCT((Inputs!$A$5:$A$200=$B47)*Inputs!$B$5:$B$200*(((Inputs!$G$5:$G$200="moeda")+(Inputs!$G$5:$G$200="acoes"))*Inputs!$B$1+((Inputs!$G$5:$G$200&lt;&gt;"moeda")*(Inputs!$G$5:$G$200&lt;&gt;"acoes")))*INDEX(Inputs!$K$5:$AJ$200,0,MATCH(K$2,Inputs!$K$4:$AJ$4,0)))+SUMPRODUCT((Inputs!$C$5:$C$200=$B47)*Inputs!$D$5:$D$200*(((Inputs!$G$5:$G$200="moeda")+(Inputs!$G$5:$G$200="acoes"))*Inputs!$B$1+((Inputs!$G$5:$G$200&lt;&gt;"moeda")*(Inputs!$G$5:$G$200&lt;&gt;"acoes")))*INDEX(Inputs!$K$5:$AJ$200,0,MATCH(K$2,Inputs!$K$4:$AJ$4,0)))+SUMPRODUCT((Inputs!$E$5:$E$200=$B47)*Inputs!$F$5:$F$200*(((Inputs!$G$5:$G$200="moeda")+(Inputs!$G$5:$G$200="acoes"))*Inputs!$B$1+((Inputs!$G$5:$G$200&lt;&gt;"moeda")*(Inputs!$G$5:$G$200&lt;&gt;"acoes")))*INDEX(Inputs!$K$5:$AJ$200,0,MATCH(K$2,Inputs!$K$4:$AJ$4,0)))))</f>
        <v>-534.121</v>
      </c>
      <c r="L47" s="6">
        <f>IF(ISNA(MATCH(L$2,Inputs!$K$4:$AJ$4,0)),NA(),IF(SUMPRODUCT((Inputs!$A$5:$A$200=$B47)*ISNUMBER(INDEX(Inputs!$K$5:$AJ$200,0,MATCH(L$2,Inputs!$K$4:$AJ$4,0))))+SUMPRODUCT((Inputs!$C$5:$C$200=$B47)*ISNUMBER(INDEX(Inputs!$K$5:$AJ$200,0,MATCH(L$2,Inputs!$K$4:$AJ$4,0))))+SUMPRODUCT((Inputs!$E$5:$E$200=$B47)*ISNUMBER(INDEX(Inputs!$K$5:$AJ$200,0,MATCH(L$2,Inputs!$K$4:$AJ$4,0))))=0,NA(),SUMPRODUCT((Inputs!$A$5:$A$200=$B47)*Inputs!$B$5:$B$200*(((Inputs!$G$5:$G$200="moeda")+(Inputs!$G$5:$G$200="acoes"))*Inputs!$B$1+((Inputs!$G$5:$G$200&lt;&gt;"moeda")*(Inputs!$G$5:$G$200&lt;&gt;"acoes")))*INDEX(Inputs!$K$5:$AJ$200,0,MATCH(L$2,Inputs!$K$4:$AJ$4,0)))+SUMPRODUCT((Inputs!$C$5:$C$200=$B47)*Inputs!$D$5:$D$200*(((Inputs!$G$5:$G$200="moeda")+(Inputs!$G$5:$G$200="acoes"))*Inputs!$B$1+((Inputs!$G$5:$G$200&lt;&gt;"moeda")*(Inputs!$G$5:$G$200&lt;&gt;"acoes")))*INDEX(Inputs!$K$5:$AJ$200,0,MATCH(L$2,Inputs!$K$4:$AJ$4,0)))+SUMPRODUCT((Inputs!$E$5:$E$200=$B47)*Inputs!$F$5:$F$200*(((Inputs!$G$5:$G$200="moeda")+(Inputs!$G$5:$G$200="acoes"))*Inputs!$B$1+((Inputs!$G$5:$G$200&lt;&gt;"moeda")*(Inputs!$G$5:$G$200&lt;&gt;"acoes")))*INDEX(Inputs!$K$5:$AJ$200,0,MATCH(L$2,Inputs!$K$4:$AJ$4,0)))))</f>
        <v>-888.858</v>
      </c>
      <c r="M47" s="3">
        <f>L47</f>
        <v>-888.858</v>
      </c>
      <c r="N47" s="6">
        <f>IF(ISNA(MATCH(N$2,Inputs!$K$4:$AJ$4,0)),NA(),IF(SUMPRODUCT((Inputs!$A$5:$A$200=$B47)*ISNUMBER(INDEX(Inputs!$K$5:$AJ$200,0,MATCH(N$2,Inputs!$K$4:$AJ$4,0))))+SUMPRODUCT((Inputs!$C$5:$C$200=$B47)*ISNUMBER(INDEX(Inputs!$K$5:$AJ$200,0,MATCH(N$2,Inputs!$K$4:$AJ$4,0))))+SUMPRODUCT((Inputs!$E$5:$E$200=$B47)*ISNUMBER(INDEX(Inputs!$K$5:$AJ$200,0,MATCH(N$2,Inputs!$K$4:$AJ$4,0))))=0,NA(),SUMPRODUCT((Inputs!$A$5:$A$200=$B47)*Inputs!$B$5:$B$200*(((Inputs!$G$5:$G$200="moeda")+(Inputs!$G$5:$G$200="acoes"))*Inputs!$B$1+((Inputs!$G$5:$G$200&lt;&gt;"moeda")*(Inputs!$G$5:$G$200&lt;&gt;"acoes")))*INDEX(Inputs!$K$5:$AJ$200,0,MATCH(N$2,Inputs!$K$4:$AJ$4,0)))+SUMPRODUCT((Inputs!$C$5:$C$200=$B47)*Inputs!$D$5:$D$200*(((Inputs!$G$5:$G$200="moeda")+(Inputs!$G$5:$G$200="acoes"))*Inputs!$B$1+((Inputs!$G$5:$G$200&lt;&gt;"moeda")*(Inputs!$G$5:$G$200&lt;&gt;"acoes")))*INDEX(Inputs!$K$5:$AJ$200,0,MATCH(N$2,Inputs!$K$4:$AJ$4,0)))+SUMPRODUCT((Inputs!$E$5:$E$200=$B47)*Inputs!$F$5:$F$200*(((Inputs!$G$5:$G$200="moeda")+(Inputs!$G$5:$G$200="acoes"))*Inputs!$B$1+((Inputs!$G$5:$G$200&lt;&gt;"moeda")*(Inputs!$G$5:$G$200&lt;&gt;"acoes")))*INDEX(Inputs!$K$5:$AJ$200,0,MATCH(N$2,Inputs!$K$4:$AJ$4,0)))))</f>
        <v>-933.931</v>
      </c>
      <c r="O47" s="6">
        <f>IF(ISNA(MATCH(O$2,Inputs!$K$4:$AJ$4,0)),NA(),IF(SUMPRODUCT((Inputs!$A$5:$A$200=$B47)*ISNUMBER(INDEX(Inputs!$K$5:$AJ$200,0,MATCH(O$2,Inputs!$K$4:$AJ$4,0))))+SUMPRODUCT((Inputs!$C$5:$C$200=$B47)*ISNUMBER(INDEX(Inputs!$K$5:$AJ$200,0,MATCH(O$2,Inputs!$K$4:$AJ$4,0))))+SUMPRODUCT((Inputs!$E$5:$E$200=$B47)*ISNUMBER(INDEX(Inputs!$K$5:$AJ$200,0,MATCH(O$2,Inputs!$K$4:$AJ$4,0))))=0,NA(),SUMPRODUCT((Inputs!$A$5:$A$200=$B47)*Inputs!$B$5:$B$200*(((Inputs!$G$5:$G$200="moeda")+(Inputs!$G$5:$G$200="acoes"))*Inputs!$B$1+((Inputs!$G$5:$G$200&lt;&gt;"moeda")*(Inputs!$G$5:$G$200&lt;&gt;"acoes")))*INDEX(Inputs!$K$5:$AJ$200,0,MATCH(O$2,Inputs!$K$4:$AJ$4,0)))+SUMPRODUCT((Inputs!$C$5:$C$200=$B47)*Inputs!$D$5:$D$200*(((Inputs!$G$5:$G$200="moeda")+(Inputs!$G$5:$G$200="acoes"))*Inputs!$B$1+((Inputs!$G$5:$G$200&lt;&gt;"moeda")*(Inputs!$G$5:$G$200&lt;&gt;"acoes")))*INDEX(Inputs!$K$5:$AJ$200,0,MATCH(O$2,Inputs!$K$4:$AJ$4,0)))+SUMPRODUCT((Inputs!$E$5:$E$200=$B47)*Inputs!$F$5:$F$200*(((Inputs!$G$5:$G$200="moeda")+(Inputs!$G$5:$G$200="acoes"))*Inputs!$B$1+((Inputs!$G$5:$G$200&lt;&gt;"moeda")*(Inputs!$G$5:$G$200&lt;&gt;"acoes")))*INDEX(Inputs!$K$5:$AJ$200,0,MATCH(O$2,Inputs!$K$4:$AJ$4,0)))))</f>
        <v>-939.08</v>
      </c>
      <c r="P47" s="6">
        <f>IF(ISNA(MATCH(P$2,Inputs!$K$4:$AJ$4,0)),NA(),IF(SUMPRODUCT((Inputs!$A$5:$A$200=$B47)*ISNUMBER(INDEX(Inputs!$K$5:$AJ$200,0,MATCH(P$2,Inputs!$K$4:$AJ$4,0))))+SUMPRODUCT((Inputs!$C$5:$C$200=$B47)*ISNUMBER(INDEX(Inputs!$K$5:$AJ$200,0,MATCH(P$2,Inputs!$K$4:$AJ$4,0))))+SUMPRODUCT((Inputs!$E$5:$E$200=$B47)*ISNUMBER(INDEX(Inputs!$K$5:$AJ$200,0,MATCH(P$2,Inputs!$K$4:$AJ$4,0))))=0,NA(),SUMPRODUCT((Inputs!$A$5:$A$200=$B47)*Inputs!$B$5:$B$200*(((Inputs!$G$5:$G$200="moeda")+(Inputs!$G$5:$G$200="acoes"))*Inputs!$B$1+((Inputs!$G$5:$G$200&lt;&gt;"moeda")*(Inputs!$G$5:$G$200&lt;&gt;"acoes")))*INDEX(Inputs!$K$5:$AJ$200,0,MATCH(P$2,Inputs!$K$4:$AJ$4,0)))+SUMPRODUCT((Inputs!$C$5:$C$200=$B47)*Inputs!$D$5:$D$200*(((Inputs!$G$5:$G$200="moeda")+(Inputs!$G$5:$G$200="acoes"))*Inputs!$B$1+((Inputs!$G$5:$G$200&lt;&gt;"moeda")*(Inputs!$G$5:$G$200&lt;&gt;"acoes")))*INDEX(Inputs!$K$5:$AJ$200,0,MATCH(P$2,Inputs!$K$4:$AJ$4,0)))+SUMPRODUCT((Inputs!$E$5:$E$200=$B47)*Inputs!$F$5:$F$200*(((Inputs!$G$5:$G$200="moeda")+(Inputs!$G$5:$G$200="acoes"))*Inputs!$B$1+((Inputs!$G$5:$G$200&lt;&gt;"moeda")*(Inputs!$G$5:$G$200&lt;&gt;"acoes")))*INDEX(Inputs!$K$5:$AJ$200,0,MATCH(P$2,Inputs!$K$4:$AJ$4,0)))))</f>
        <v>-937.229</v>
      </c>
      <c r="Q47" s="6">
        <f>IF(ISNA(MATCH(Q$2,Inputs!$K$4:$AJ$4,0)),NA(),IF(SUMPRODUCT((Inputs!$A$5:$A$200=$B47)*ISNUMBER(INDEX(Inputs!$K$5:$AJ$200,0,MATCH(Q$2,Inputs!$K$4:$AJ$4,0))))+SUMPRODUCT((Inputs!$C$5:$C$200=$B47)*ISNUMBER(INDEX(Inputs!$K$5:$AJ$200,0,MATCH(Q$2,Inputs!$K$4:$AJ$4,0))))+SUMPRODUCT((Inputs!$E$5:$E$200=$B47)*ISNUMBER(INDEX(Inputs!$K$5:$AJ$200,0,MATCH(Q$2,Inputs!$K$4:$AJ$4,0))))=0,NA(),SUMPRODUCT((Inputs!$A$5:$A$200=$B47)*Inputs!$B$5:$B$200*(((Inputs!$G$5:$G$200="moeda")+(Inputs!$G$5:$G$200="acoes"))*Inputs!$B$1+((Inputs!$G$5:$G$200&lt;&gt;"moeda")*(Inputs!$G$5:$G$200&lt;&gt;"acoes")))*INDEX(Inputs!$K$5:$AJ$200,0,MATCH(Q$2,Inputs!$K$4:$AJ$4,0)))+SUMPRODUCT((Inputs!$C$5:$C$200=$B47)*Inputs!$D$5:$D$200*(((Inputs!$G$5:$G$200="moeda")+(Inputs!$G$5:$G$200="acoes"))*Inputs!$B$1+((Inputs!$G$5:$G$200&lt;&gt;"moeda")*(Inputs!$G$5:$G$200&lt;&gt;"acoes")))*INDEX(Inputs!$K$5:$AJ$200,0,MATCH(Q$2,Inputs!$K$4:$AJ$4,0)))+SUMPRODUCT((Inputs!$E$5:$E$200=$B47)*Inputs!$F$5:$F$200*(((Inputs!$G$5:$G$200="moeda")+(Inputs!$G$5:$G$200="acoes"))*Inputs!$B$1+((Inputs!$G$5:$G$200&lt;&gt;"moeda")*(Inputs!$G$5:$G$200&lt;&gt;"acoes")))*INDEX(Inputs!$K$5:$AJ$200,0,MATCH(Q$2,Inputs!$K$4:$AJ$4,0)))))</f>
        <v>-848.743</v>
      </c>
      <c r="R47" s="3">
        <f>Q47</f>
        <v>-848.743</v>
      </c>
      <c r="S47" s="6">
        <f>IF(ISNA(MATCH(S$2,Inputs!$K$4:$AJ$4,0)),NA(),IF(SUMPRODUCT((Inputs!$A$5:$A$200=$B47)*ISNUMBER(INDEX(Inputs!$K$5:$AJ$200,0,MATCH(S$2,Inputs!$K$4:$AJ$4,0))))+SUMPRODUCT((Inputs!$C$5:$C$200=$B47)*ISNUMBER(INDEX(Inputs!$K$5:$AJ$200,0,MATCH(S$2,Inputs!$K$4:$AJ$4,0))))+SUMPRODUCT((Inputs!$E$5:$E$200=$B47)*ISNUMBER(INDEX(Inputs!$K$5:$AJ$200,0,MATCH(S$2,Inputs!$K$4:$AJ$4,0))))=0,NA(),SUMPRODUCT((Inputs!$A$5:$A$200=$B47)*Inputs!$B$5:$B$200*(((Inputs!$G$5:$G$200="moeda")+(Inputs!$G$5:$G$200="acoes"))*Inputs!$B$1+((Inputs!$G$5:$G$200&lt;&gt;"moeda")*(Inputs!$G$5:$G$200&lt;&gt;"acoes")))*INDEX(Inputs!$K$5:$AJ$200,0,MATCH(S$2,Inputs!$K$4:$AJ$4,0)))+SUMPRODUCT((Inputs!$C$5:$C$200=$B47)*Inputs!$D$5:$D$200*(((Inputs!$G$5:$G$200="moeda")+(Inputs!$G$5:$G$200="acoes"))*Inputs!$B$1+((Inputs!$G$5:$G$200&lt;&gt;"moeda")*(Inputs!$G$5:$G$200&lt;&gt;"acoes")))*INDEX(Inputs!$K$5:$AJ$200,0,MATCH(S$2,Inputs!$K$4:$AJ$4,0)))+SUMPRODUCT((Inputs!$E$5:$E$200=$B47)*Inputs!$F$5:$F$200*(((Inputs!$G$5:$G$200="moeda")+(Inputs!$G$5:$G$200="acoes"))*Inputs!$B$1+((Inputs!$G$5:$G$200&lt;&gt;"moeda")*(Inputs!$G$5:$G$200&lt;&gt;"acoes")))*INDEX(Inputs!$K$5:$AJ$200,0,MATCH(S$2,Inputs!$K$4:$AJ$4,0)))))</f>
        <v>-823.2</v>
      </c>
      <c r="T47" s="6">
        <f>IF(ISNA(MATCH(T$2,Inputs!$K$4:$AJ$4,0)),NA(),IF(SUMPRODUCT((Inputs!$A$5:$A$200=$B47)*ISNUMBER(INDEX(Inputs!$K$5:$AJ$200,0,MATCH(T$2,Inputs!$K$4:$AJ$4,0))))+SUMPRODUCT((Inputs!$C$5:$C$200=$B47)*ISNUMBER(INDEX(Inputs!$K$5:$AJ$200,0,MATCH(T$2,Inputs!$K$4:$AJ$4,0))))+SUMPRODUCT((Inputs!$E$5:$E$200=$B47)*ISNUMBER(INDEX(Inputs!$K$5:$AJ$200,0,MATCH(T$2,Inputs!$K$4:$AJ$4,0))))=0,NA(),SUMPRODUCT((Inputs!$A$5:$A$200=$B47)*Inputs!$B$5:$B$200*(((Inputs!$G$5:$G$200="moeda")+(Inputs!$G$5:$G$200="acoes"))*Inputs!$B$1+((Inputs!$G$5:$G$200&lt;&gt;"moeda")*(Inputs!$G$5:$G$200&lt;&gt;"acoes")))*INDEX(Inputs!$K$5:$AJ$200,0,MATCH(T$2,Inputs!$K$4:$AJ$4,0)))+SUMPRODUCT((Inputs!$C$5:$C$200=$B47)*Inputs!$D$5:$D$200*(((Inputs!$G$5:$G$200="moeda")+(Inputs!$G$5:$G$200="acoes"))*Inputs!$B$1+((Inputs!$G$5:$G$200&lt;&gt;"moeda")*(Inputs!$G$5:$G$200&lt;&gt;"acoes")))*INDEX(Inputs!$K$5:$AJ$200,0,MATCH(T$2,Inputs!$K$4:$AJ$4,0)))+SUMPRODUCT((Inputs!$E$5:$E$200=$B47)*Inputs!$F$5:$F$200*(((Inputs!$G$5:$G$200="moeda")+(Inputs!$G$5:$G$200="acoes"))*Inputs!$B$1+((Inputs!$G$5:$G$200&lt;&gt;"moeda")*(Inputs!$G$5:$G$200&lt;&gt;"acoes")))*INDEX(Inputs!$K$5:$AJ$200,0,MATCH(T$2,Inputs!$K$4:$AJ$4,0)))))</f>
        <v>-814.394</v>
      </c>
      <c r="U47" s="6">
        <f>IF(ISNA(MATCH(U$2,Inputs!$K$4:$AJ$4,0)),NA(),IF(SUMPRODUCT((Inputs!$A$5:$A$200=$B47)*ISNUMBER(INDEX(Inputs!$K$5:$AJ$200,0,MATCH(U$2,Inputs!$K$4:$AJ$4,0))))+SUMPRODUCT((Inputs!$C$5:$C$200=$B47)*ISNUMBER(INDEX(Inputs!$K$5:$AJ$200,0,MATCH(U$2,Inputs!$K$4:$AJ$4,0))))+SUMPRODUCT((Inputs!$E$5:$E$200=$B47)*ISNUMBER(INDEX(Inputs!$K$5:$AJ$200,0,MATCH(U$2,Inputs!$K$4:$AJ$4,0))))=0,NA(),SUMPRODUCT((Inputs!$A$5:$A$200=$B47)*Inputs!$B$5:$B$200*(((Inputs!$G$5:$G$200="moeda")+(Inputs!$G$5:$G$200="acoes"))*Inputs!$B$1+((Inputs!$G$5:$G$200&lt;&gt;"moeda")*(Inputs!$G$5:$G$200&lt;&gt;"acoes")))*INDEX(Inputs!$K$5:$AJ$200,0,MATCH(U$2,Inputs!$K$4:$AJ$4,0)))+SUMPRODUCT((Inputs!$C$5:$C$200=$B47)*Inputs!$D$5:$D$200*(((Inputs!$G$5:$G$200="moeda")+(Inputs!$G$5:$G$200="acoes"))*Inputs!$B$1+((Inputs!$G$5:$G$200&lt;&gt;"moeda")*(Inputs!$G$5:$G$200&lt;&gt;"acoes")))*INDEX(Inputs!$K$5:$AJ$200,0,MATCH(U$2,Inputs!$K$4:$AJ$4,0)))+SUMPRODUCT((Inputs!$E$5:$E$200=$B47)*Inputs!$F$5:$F$200*(((Inputs!$G$5:$G$200="moeda")+(Inputs!$G$5:$G$200="acoes"))*Inputs!$B$1+((Inputs!$G$5:$G$200&lt;&gt;"moeda")*(Inputs!$G$5:$G$200&lt;&gt;"acoes")))*INDEX(Inputs!$K$5:$AJ$200,0,MATCH(U$2,Inputs!$K$4:$AJ$4,0)))))</f>
        <v>-777.31</v>
      </c>
      <c r="V47" s="6">
        <f>IF(ISNA(MATCH(V$2,Inputs!$K$4:$AJ$4,0)),NA(),IF(SUMPRODUCT((Inputs!$A$5:$A$200=$B47)*ISNUMBER(INDEX(Inputs!$K$5:$AJ$200,0,MATCH(V$2,Inputs!$K$4:$AJ$4,0))))+SUMPRODUCT((Inputs!$C$5:$C$200=$B47)*ISNUMBER(INDEX(Inputs!$K$5:$AJ$200,0,MATCH(V$2,Inputs!$K$4:$AJ$4,0))))+SUMPRODUCT((Inputs!$E$5:$E$200=$B47)*ISNUMBER(INDEX(Inputs!$K$5:$AJ$200,0,MATCH(V$2,Inputs!$K$4:$AJ$4,0))))=0,NA(),SUMPRODUCT((Inputs!$A$5:$A$200=$B47)*Inputs!$B$5:$B$200*(((Inputs!$G$5:$G$200="moeda")+(Inputs!$G$5:$G$200="acoes"))*Inputs!$B$1+((Inputs!$G$5:$G$200&lt;&gt;"moeda")*(Inputs!$G$5:$G$200&lt;&gt;"acoes")))*INDEX(Inputs!$K$5:$AJ$200,0,MATCH(V$2,Inputs!$K$4:$AJ$4,0)))+SUMPRODUCT((Inputs!$C$5:$C$200=$B47)*Inputs!$D$5:$D$200*(((Inputs!$G$5:$G$200="moeda")+(Inputs!$G$5:$G$200="acoes"))*Inputs!$B$1+((Inputs!$G$5:$G$200&lt;&gt;"moeda")*(Inputs!$G$5:$G$200&lt;&gt;"acoes")))*INDEX(Inputs!$K$5:$AJ$200,0,MATCH(V$2,Inputs!$K$4:$AJ$4,0)))+SUMPRODUCT((Inputs!$E$5:$E$200=$B47)*Inputs!$F$5:$F$200*(((Inputs!$G$5:$G$200="moeda")+(Inputs!$G$5:$G$200="acoes"))*Inputs!$B$1+((Inputs!$G$5:$G$200&lt;&gt;"moeda")*(Inputs!$G$5:$G$200&lt;&gt;"acoes")))*INDEX(Inputs!$K$5:$AJ$200,0,MATCH(V$2,Inputs!$K$4:$AJ$4,0)))))</f>
        <v>-787.846</v>
      </c>
      <c r="W47" s="3">
        <f>V47</f>
        <v>-787.846</v>
      </c>
      <c r="X47" s="6">
        <f>IF(ISNA(MATCH(X$2,Inputs!$K$4:$AJ$4,0)),NA(),IF(SUMPRODUCT((Inputs!$A$5:$A$200=$B47)*ISNUMBER(INDEX(Inputs!$K$5:$AJ$200,0,MATCH(X$2,Inputs!$K$4:$AJ$4,0))))+SUMPRODUCT((Inputs!$C$5:$C$200=$B47)*ISNUMBER(INDEX(Inputs!$K$5:$AJ$200,0,MATCH(X$2,Inputs!$K$4:$AJ$4,0))))+SUMPRODUCT((Inputs!$E$5:$E$200=$B47)*ISNUMBER(INDEX(Inputs!$K$5:$AJ$200,0,MATCH(X$2,Inputs!$K$4:$AJ$4,0))))=0,NA(),SUMPRODUCT((Inputs!$A$5:$A$200=$B47)*Inputs!$B$5:$B$200*(((Inputs!$G$5:$G$200="moeda")+(Inputs!$G$5:$G$200="acoes"))*Inputs!$B$1+((Inputs!$G$5:$G$200&lt;&gt;"moeda")*(Inputs!$G$5:$G$200&lt;&gt;"acoes")))*INDEX(Inputs!$K$5:$AJ$200,0,MATCH(X$2,Inputs!$K$4:$AJ$4,0)))+SUMPRODUCT((Inputs!$C$5:$C$200=$B47)*Inputs!$D$5:$D$200*(((Inputs!$G$5:$G$200="moeda")+(Inputs!$G$5:$G$200="acoes"))*Inputs!$B$1+((Inputs!$G$5:$G$200&lt;&gt;"moeda")*(Inputs!$G$5:$G$200&lt;&gt;"acoes")))*INDEX(Inputs!$K$5:$AJ$200,0,MATCH(X$2,Inputs!$K$4:$AJ$4,0)))+SUMPRODUCT((Inputs!$E$5:$E$200=$B47)*Inputs!$F$5:$F$200*(((Inputs!$G$5:$G$200="moeda")+(Inputs!$G$5:$G$200="acoes"))*Inputs!$B$1+((Inputs!$G$5:$G$200&lt;&gt;"moeda")*(Inputs!$G$5:$G$200&lt;&gt;"acoes")))*INDEX(Inputs!$K$5:$AJ$200,0,MATCH(X$2,Inputs!$K$4:$AJ$4,0)))))</f>
        <v>-794.168</v>
      </c>
      <c r="Y47" s="6">
        <f>IF(ISNA(MATCH(Y$2,Inputs!$K$4:$AJ$4,0)),NA(),IF(SUMPRODUCT((Inputs!$A$5:$A$200=$B47)*ISNUMBER(INDEX(Inputs!$K$5:$AJ$200,0,MATCH(Y$2,Inputs!$K$4:$AJ$4,0))))+SUMPRODUCT((Inputs!$C$5:$C$200=$B47)*ISNUMBER(INDEX(Inputs!$K$5:$AJ$200,0,MATCH(Y$2,Inputs!$K$4:$AJ$4,0))))+SUMPRODUCT((Inputs!$E$5:$E$200=$B47)*ISNUMBER(INDEX(Inputs!$K$5:$AJ$200,0,MATCH(Y$2,Inputs!$K$4:$AJ$4,0))))=0,NA(),SUMPRODUCT((Inputs!$A$5:$A$200=$B47)*Inputs!$B$5:$B$200*(((Inputs!$G$5:$G$200="moeda")+(Inputs!$G$5:$G$200="acoes"))*Inputs!$B$1+((Inputs!$G$5:$G$200&lt;&gt;"moeda")*(Inputs!$G$5:$G$200&lt;&gt;"acoes")))*INDEX(Inputs!$K$5:$AJ$200,0,MATCH(Y$2,Inputs!$K$4:$AJ$4,0)))+SUMPRODUCT((Inputs!$C$5:$C$200=$B47)*Inputs!$D$5:$D$200*(((Inputs!$G$5:$G$200="moeda")+(Inputs!$G$5:$G$200="acoes"))*Inputs!$B$1+((Inputs!$G$5:$G$200&lt;&gt;"moeda")*(Inputs!$G$5:$G$200&lt;&gt;"acoes")))*INDEX(Inputs!$K$5:$AJ$200,0,MATCH(Y$2,Inputs!$K$4:$AJ$4,0)))+SUMPRODUCT((Inputs!$E$5:$E$200=$B47)*Inputs!$F$5:$F$200*(((Inputs!$G$5:$G$200="moeda")+(Inputs!$G$5:$G$200="acoes"))*Inputs!$B$1+((Inputs!$G$5:$G$200&lt;&gt;"moeda")*(Inputs!$G$5:$G$200&lt;&gt;"acoes")))*INDEX(Inputs!$K$5:$AJ$200,0,MATCH(Y$2,Inputs!$K$4:$AJ$4,0)))))</f>
        <v>-770.322</v>
      </c>
      <c r="Z47" s="6">
        <f>IF(ISNA(MATCH(Z$2,Inputs!$K$4:$AJ$4,0)),NA(),IF(SUMPRODUCT((Inputs!$A$5:$A$200=$B47)*ISNUMBER(INDEX(Inputs!$K$5:$AJ$200,0,MATCH(Z$2,Inputs!$K$4:$AJ$4,0))))+SUMPRODUCT((Inputs!$C$5:$C$200=$B47)*ISNUMBER(INDEX(Inputs!$K$5:$AJ$200,0,MATCH(Z$2,Inputs!$K$4:$AJ$4,0))))+SUMPRODUCT((Inputs!$E$5:$E$200=$B47)*ISNUMBER(INDEX(Inputs!$K$5:$AJ$200,0,MATCH(Z$2,Inputs!$K$4:$AJ$4,0))))=0,NA(),SUMPRODUCT((Inputs!$A$5:$A$200=$B47)*Inputs!$B$5:$B$200*(((Inputs!$G$5:$G$200="moeda")+(Inputs!$G$5:$G$200="acoes"))*Inputs!$B$1+((Inputs!$G$5:$G$200&lt;&gt;"moeda")*(Inputs!$G$5:$G$200&lt;&gt;"acoes")))*INDEX(Inputs!$K$5:$AJ$200,0,MATCH(Z$2,Inputs!$K$4:$AJ$4,0)))+SUMPRODUCT((Inputs!$C$5:$C$200=$B47)*Inputs!$D$5:$D$200*(((Inputs!$G$5:$G$200="moeda")+(Inputs!$G$5:$G$200="acoes"))*Inputs!$B$1+((Inputs!$G$5:$G$200&lt;&gt;"moeda")*(Inputs!$G$5:$G$200&lt;&gt;"acoes")))*INDEX(Inputs!$K$5:$AJ$200,0,MATCH(Z$2,Inputs!$K$4:$AJ$4,0)))+SUMPRODUCT((Inputs!$E$5:$E$200=$B47)*Inputs!$F$5:$F$200*(((Inputs!$G$5:$G$200="moeda")+(Inputs!$G$5:$G$200="acoes"))*Inputs!$B$1+((Inputs!$G$5:$G$200&lt;&gt;"moeda")*(Inputs!$G$5:$G$200&lt;&gt;"acoes")))*INDEX(Inputs!$K$5:$AJ$200,0,MATCH(Z$2,Inputs!$K$4:$AJ$4,0)))))</f>
        <v>-747.034</v>
      </c>
      <c r="AA47" s="6">
        <f>IF(ISNA(MATCH(AA$2,Inputs!$K$4:$AJ$4,0)),NA(),IF(SUMPRODUCT((Inputs!$A$5:$A$200=$B47)*ISNUMBER(INDEX(Inputs!$K$5:$AJ$200,0,MATCH(AA$2,Inputs!$K$4:$AJ$4,0))))+SUMPRODUCT((Inputs!$C$5:$C$200=$B47)*ISNUMBER(INDEX(Inputs!$K$5:$AJ$200,0,MATCH(AA$2,Inputs!$K$4:$AJ$4,0))))+SUMPRODUCT((Inputs!$E$5:$E$200=$B47)*ISNUMBER(INDEX(Inputs!$K$5:$AJ$200,0,MATCH(AA$2,Inputs!$K$4:$AJ$4,0))))=0,NA(),SUMPRODUCT((Inputs!$A$5:$A$200=$B47)*Inputs!$B$5:$B$200*(((Inputs!$G$5:$G$200="moeda")+(Inputs!$G$5:$G$200="acoes"))*Inputs!$B$1+((Inputs!$G$5:$G$200&lt;&gt;"moeda")*(Inputs!$G$5:$G$200&lt;&gt;"acoes")))*INDEX(Inputs!$K$5:$AJ$200,0,MATCH(AA$2,Inputs!$K$4:$AJ$4,0)))+SUMPRODUCT((Inputs!$C$5:$C$200=$B47)*Inputs!$D$5:$D$200*(((Inputs!$G$5:$G$200="moeda")+(Inputs!$G$5:$G$200="acoes"))*Inputs!$B$1+((Inputs!$G$5:$G$200&lt;&gt;"moeda")*(Inputs!$G$5:$G$200&lt;&gt;"acoes")))*INDEX(Inputs!$K$5:$AJ$200,0,MATCH(AA$2,Inputs!$K$4:$AJ$4,0)))+SUMPRODUCT((Inputs!$E$5:$E$200=$B47)*Inputs!$F$5:$F$200*(((Inputs!$G$5:$G$200="moeda")+(Inputs!$G$5:$G$200="acoes"))*Inputs!$B$1+((Inputs!$G$5:$G$200&lt;&gt;"moeda")*(Inputs!$G$5:$G$200&lt;&gt;"acoes")))*INDEX(Inputs!$K$5:$AJ$200,0,MATCH(AA$2,Inputs!$K$4:$AJ$4,0)))))</f>
        <v>-727.704</v>
      </c>
      <c r="AB47" s="3">
        <f>AA47</f>
        <v>-727.704</v>
      </c>
      <c r="AC47" s="6">
        <f>IF(ISNA(MATCH(AC$2,Inputs!$K$4:$AJ$4,0)),NA(),IF(SUMPRODUCT((Inputs!$A$5:$A$200=$B47)*ISNUMBER(INDEX(Inputs!$K$5:$AJ$200,0,MATCH(AC$2,Inputs!$K$4:$AJ$4,0))))+SUMPRODUCT((Inputs!$C$5:$C$200=$B47)*ISNUMBER(INDEX(Inputs!$K$5:$AJ$200,0,MATCH(AC$2,Inputs!$K$4:$AJ$4,0))))+SUMPRODUCT((Inputs!$E$5:$E$200=$B47)*ISNUMBER(INDEX(Inputs!$K$5:$AJ$200,0,MATCH(AC$2,Inputs!$K$4:$AJ$4,0))))=0,NA(),SUMPRODUCT((Inputs!$A$5:$A$200=$B47)*Inputs!$B$5:$B$200*(((Inputs!$G$5:$G$200="moeda")+(Inputs!$G$5:$G$200="acoes"))*Inputs!$B$1+((Inputs!$G$5:$G$200&lt;&gt;"moeda")*(Inputs!$G$5:$G$200&lt;&gt;"acoes")))*INDEX(Inputs!$K$5:$AJ$200,0,MATCH(AC$2,Inputs!$K$4:$AJ$4,0)))+SUMPRODUCT((Inputs!$C$5:$C$200=$B47)*Inputs!$D$5:$D$200*(((Inputs!$G$5:$G$200="moeda")+(Inputs!$G$5:$G$200="acoes"))*Inputs!$B$1+((Inputs!$G$5:$G$200&lt;&gt;"moeda")*(Inputs!$G$5:$G$200&lt;&gt;"acoes")))*INDEX(Inputs!$K$5:$AJ$200,0,MATCH(AC$2,Inputs!$K$4:$AJ$4,0)))+SUMPRODUCT((Inputs!$E$5:$E$200=$B47)*Inputs!$F$5:$F$200*(((Inputs!$G$5:$G$200="moeda")+(Inputs!$G$5:$G$200="acoes"))*Inputs!$B$1+((Inputs!$G$5:$G$200&lt;&gt;"moeda")*(Inputs!$G$5:$G$200&lt;&gt;"acoes")))*INDEX(Inputs!$K$5:$AJ$200,0,MATCH(AC$2,Inputs!$K$4:$AJ$4,0)))))</f>
        <v>-708.92</v>
      </c>
      <c r="AD47" s="6">
        <f>IF(ISNA(MATCH(AD$2,Inputs!$K$4:$AJ$4,0)),NA(),IF(SUMPRODUCT((Inputs!$A$5:$A$200=$B47)*ISNUMBER(INDEX(Inputs!$K$5:$AJ$200,0,MATCH(AD$2,Inputs!$K$4:$AJ$4,0))))+SUMPRODUCT((Inputs!$C$5:$C$200=$B47)*ISNUMBER(INDEX(Inputs!$K$5:$AJ$200,0,MATCH(AD$2,Inputs!$K$4:$AJ$4,0))))+SUMPRODUCT((Inputs!$E$5:$E$200=$B47)*ISNUMBER(INDEX(Inputs!$K$5:$AJ$200,0,MATCH(AD$2,Inputs!$K$4:$AJ$4,0))))=0,NA(),SUMPRODUCT((Inputs!$A$5:$A$200=$B47)*Inputs!$B$5:$B$200*(((Inputs!$G$5:$G$200="moeda")+(Inputs!$G$5:$G$200="acoes"))*Inputs!$B$1+((Inputs!$G$5:$G$200&lt;&gt;"moeda")*(Inputs!$G$5:$G$200&lt;&gt;"acoes")))*INDEX(Inputs!$K$5:$AJ$200,0,MATCH(AD$2,Inputs!$K$4:$AJ$4,0)))+SUMPRODUCT((Inputs!$C$5:$C$200=$B47)*Inputs!$D$5:$D$200*(((Inputs!$G$5:$G$200="moeda")+(Inputs!$G$5:$G$200="acoes"))*Inputs!$B$1+((Inputs!$G$5:$G$200&lt;&gt;"moeda")*(Inputs!$G$5:$G$200&lt;&gt;"acoes")))*INDEX(Inputs!$K$5:$AJ$200,0,MATCH(AD$2,Inputs!$K$4:$AJ$4,0)))+SUMPRODUCT((Inputs!$E$5:$E$200=$B47)*Inputs!$F$5:$F$200*(((Inputs!$G$5:$G$200="moeda")+(Inputs!$G$5:$G$200="acoes"))*Inputs!$B$1+((Inputs!$G$5:$G$200&lt;&gt;"moeda")*(Inputs!$G$5:$G$200&lt;&gt;"acoes")))*INDEX(Inputs!$K$5:$AJ$200,0,MATCH(AD$2,Inputs!$K$4:$AJ$4,0)))))</f>
        <v>-720.067</v>
      </c>
      <c r="AE47" s="6" t="e">
        <f>IF(ISNA(MATCH(AE$2,Inputs!$K$4:$AJ$4,0)),NA(),IF(SUMPRODUCT((Inputs!$A$5:$A$200=$B47)*ISNUMBER(INDEX(Inputs!$K$5:$AJ$200,0,MATCH(AE$2,Inputs!$K$4:$AJ$4,0))))+SUMPRODUCT((Inputs!$C$5:$C$200=$B47)*ISNUMBER(INDEX(Inputs!$K$5:$AJ$200,0,MATCH(AE$2,Inputs!$K$4:$AJ$4,0))))+SUMPRODUCT((Inputs!$E$5:$E$200=$B47)*ISNUMBER(INDEX(Inputs!$K$5:$AJ$200,0,MATCH(AE$2,Inputs!$K$4:$AJ$4,0))))=0,NA(),SUMPRODUCT((Inputs!$A$5:$A$200=$B47)*Inputs!$B$5:$B$200*(((Inputs!$G$5:$G$200="moeda")+(Inputs!$G$5:$G$200="acoes"))*Inputs!$B$1+((Inputs!$G$5:$G$200&lt;&gt;"moeda")*(Inputs!$G$5:$G$200&lt;&gt;"acoes")))*INDEX(Inputs!$K$5:$AJ$200,0,MATCH(AE$2,Inputs!$K$4:$AJ$4,0)))+SUMPRODUCT((Inputs!$C$5:$C$200=$B47)*Inputs!$D$5:$D$200*(((Inputs!$G$5:$G$200="moeda")+(Inputs!$G$5:$G$200="acoes"))*Inputs!$B$1+((Inputs!$G$5:$G$200&lt;&gt;"moeda")*(Inputs!$G$5:$G$200&lt;&gt;"acoes")))*INDEX(Inputs!$K$5:$AJ$200,0,MATCH(AE$2,Inputs!$K$4:$AJ$4,0)))+SUMPRODUCT((Inputs!$E$5:$E$200=$B47)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47" s="6" t="e">
        <f>IF(ISNA(MATCH(AF$2,Inputs!$K$4:$AJ$4,0)),NA(),IF(SUMPRODUCT((Inputs!$A$5:$A$200=$B47)*ISNUMBER(INDEX(Inputs!$K$5:$AJ$200,0,MATCH(AF$2,Inputs!$K$4:$AJ$4,0))))+SUMPRODUCT((Inputs!$C$5:$C$200=$B47)*ISNUMBER(INDEX(Inputs!$K$5:$AJ$200,0,MATCH(AF$2,Inputs!$K$4:$AJ$4,0))))+SUMPRODUCT((Inputs!$E$5:$E$200=$B47)*ISNUMBER(INDEX(Inputs!$K$5:$AJ$200,0,MATCH(AF$2,Inputs!$K$4:$AJ$4,0))))=0,NA(),SUMPRODUCT((Inputs!$A$5:$A$200=$B47)*Inputs!$B$5:$B$200*(((Inputs!$G$5:$G$200="moeda")+(Inputs!$G$5:$G$200="acoes"))*Inputs!$B$1+((Inputs!$G$5:$G$200&lt;&gt;"moeda")*(Inputs!$G$5:$G$200&lt;&gt;"acoes")))*INDEX(Inputs!$K$5:$AJ$200,0,MATCH(AF$2,Inputs!$K$4:$AJ$4,0)))+SUMPRODUCT((Inputs!$C$5:$C$200=$B47)*Inputs!$D$5:$D$200*(((Inputs!$G$5:$G$200="moeda")+(Inputs!$G$5:$G$200="acoes"))*Inputs!$B$1+((Inputs!$G$5:$G$200&lt;&gt;"moeda")*(Inputs!$G$5:$G$200&lt;&gt;"acoes")))*INDEX(Inputs!$K$5:$AJ$200,0,MATCH(AF$2,Inputs!$K$4:$AJ$4,0)))+SUMPRODUCT((Inputs!$E$5:$E$200=$B47)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47" s="3" t="e">
        <f>AF47</f>
        <v>#N/A</v>
      </c>
      <c r="AH47" s="6">
        <f>IF(ISNA(MATCH(AH$2,Inputs!$K$4:$AJ$4,0)),NA(),IF(SUMPRODUCT((Inputs!$A$5:$A$200=$B47)*ISNUMBER(INDEX(Inputs!$K$5:$AJ$200,0,MATCH(AH$2,Inputs!$K$4:$AJ$4,0))))+SUMPRODUCT((Inputs!$C$5:$C$200=$B47)*ISNUMBER(INDEX(Inputs!$K$5:$AJ$200,0,MATCH(AH$2,Inputs!$K$4:$AJ$4,0))))+SUMPRODUCT((Inputs!$E$5:$E$200=$B47)*ISNUMBER(INDEX(Inputs!$K$5:$AJ$200,0,MATCH(AH$2,Inputs!$K$4:$AJ$4,0))))=0,NA(),SUMPRODUCT((Inputs!$A$5:$A$200=$B47)*Inputs!$B$5:$B$200*(((Inputs!$G$5:$G$200="moeda")+(Inputs!$G$5:$G$200="acoes"))*Inputs!$B$1+((Inputs!$G$5:$G$200&lt;&gt;"moeda")*(Inputs!$G$5:$G$200&lt;&gt;"acoes")))*INDEX(Inputs!$K$5:$AJ$200,0,MATCH(AH$2,Inputs!$K$4:$AJ$4,0)))+SUMPRODUCT((Inputs!$C$5:$C$200=$B47)*Inputs!$D$5:$D$200*(((Inputs!$G$5:$G$200="moeda")+(Inputs!$G$5:$G$200="acoes"))*Inputs!$B$1+((Inputs!$G$5:$G$200&lt;&gt;"moeda")*(Inputs!$G$5:$G$200&lt;&gt;"acoes")))*INDEX(Inputs!$K$5:$AJ$200,0,MATCH(AH$2,Inputs!$K$4:$AJ$4,0)))+SUMPRODUCT((Inputs!$E$5:$E$200=$B47)*Inputs!$F$5:$F$200*(((Inputs!$G$5:$G$200="moeda")+(Inputs!$G$5:$G$200="acoes"))*Inputs!$B$1+((Inputs!$G$5:$G$200&lt;&gt;"moeda")*(Inputs!$G$5:$G$200&lt;&gt;"acoes")))*INDEX(Inputs!$K$5:$AJ$200,0,MATCH(AH$2,Inputs!$K$4:$AJ$4,0)))))</f>
        <v>-707.898</v>
      </c>
      <c r="AI47" s="6">
        <f>IF(ISNA(MATCH(AI$2,Inputs!$K$4:$AJ$4,0)),NA(),IF(SUMPRODUCT((Inputs!$A$5:$A$200=$B47)*ISNUMBER(INDEX(Inputs!$K$5:$AJ$200,0,MATCH(AI$2,Inputs!$K$4:$AJ$4,0))))+SUMPRODUCT((Inputs!$C$5:$C$200=$B47)*ISNUMBER(INDEX(Inputs!$K$5:$AJ$200,0,MATCH(AI$2,Inputs!$K$4:$AJ$4,0))))+SUMPRODUCT((Inputs!$E$5:$E$200=$B47)*ISNUMBER(INDEX(Inputs!$K$5:$AJ$200,0,MATCH(AI$2,Inputs!$K$4:$AJ$4,0))))=0,NA(),SUMPRODUCT((Inputs!$A$5:$A$200=$B47)*Inputs!$B$5:$B$200*(((Inputs!$G$5:$G$200="moeda")+(Inputs!$G$5:$G$200="acoes"))*Inputs!$B$1+((Inputs!$G$5:$G$200&lt;&gt;"moeda")*(Inputs!$G$5:$G$200&lt;&gt;"acoes")))*INDEX(Inputs!$K$5:$AJ$200,0,MATCH(AI$2,Inputs!$K$4:$AJ$4,0)))+SUMPRODUCT((Inputs!$C$5:$C$200=$B47)*Inputs!$D$5:$D$200*(((Inputs!$G$5:$G$200="moeda")+(Inputs!$G$5:$G$200="acoes"))*Inputs!$B$1+((Inputs!$G$5:$G$200&lt;&gt;"moeda")*(Inputs!$G$5:$G$200&lt;&gt;"acoes")))*INDEX(Inputs!$K$5:$AJ$200,0,MATCH(AI$2,Inputs!$K$4:$AJ$4,0)))+SUMPRODUCT((Inputs!$E$5:$E$200=$B47)*Inputs!$F$5:$F$200*(((Inputs!$G$5:$G$200="moeda")+(Inputs!$G$5:$G$200="acoes"))*Inputs!$B$1+((Inputs!$G$5:$G$200&lt;&gt;"moeda")*(Inputs!$G$5:$G$200&lt;&gt;"acoes")))*INDEX(Inputs!$K$5:$AJ$200,0,MATCH(AI$2,Inputs!$K$4:$AJ$4,0)))))</f>
        <v>-683.537</v>
      </c>
      <c r="AJ47" s="6">
        <f>IF(ISNA(MATCH(AJ$2,Inputs!$K$4:$AJ$4,0)),NA(),IF(SUMPRODUCT((Inputs!$A$5:$A$200=$B47)*ISNUMBER(INDEX(Inputs!$K$5:$AJ$200,0,MATCH(AJ$2,Inputs!$K$4:$AJ$4,0))))+SUMPRODUCT((Inputs!$C$5:$C$200=$B47)*ISNUMBER(INDEX(Inputs!$K$5:$AJ$200,0,MATCH(AJ$2,Inputs!$K$4:$AJ$4,0))))+SUMPRODUCT((Inputs!$E$5:$E$200=$B47)*ISNUMBER(INDEX(Inputs!$K$5:$AJ$200,0,MATCH(AJ$2,Inputs!$K$4:$AJ$4,0))))=0,NA(),SUMPRODUCT((Inputs!$A$5:$A$200=$B47)*Inputs!$B$5:$B$200*(((Inputs!$G$5:$G$200="moeda")+(Inputs!$G$5:$G$200="acoes"))*Inputs!$B$1+((Inputs!$G$5:$G$200&lt;&gt;"moeda")*(Inputs!$G$5:$G$200&lt;&gt;"acoes")))*INDEX(Inputs!$K$5:$AJ$200,0,MATCH(AJ$2,Inputs!$K$4:$AJ$4,0)))+SUMPRODUCT((Inputs!$C$5:$C$200=$B47)*Inputs!$D$5:$D$200*(((Inputs!$G$5:$G$200="moeda")+(Inputs!$G$5:$G$200="acoes"))*Inputs!$B$1+((Inputs!$G$5:$G$200&lt;&gt;"moeda")*(Inputs!$G$5:$G$200&lt;&gt;"acoes")))*INDEX(Inputs!$K$5:$AJ$200,0,MATCH(AJ$2,Inputs!$K$4:$AJ$4,0)))+SUMPRODUCT((Inputs!$E$5:$E$200=$B47)*Inputs!$F$5:$F$200*(((Inputs!$G$5:$G$200="moeda")+(Inputs!$G$5:$G$200="acoes"))*Inputs!$B$1+((Inputs!$G$5:$G$200&lt;&gt;"moeda")*(Inputs!$G$5:$G$200&lt;&gt;"acoes")))*INDEX(Inputs!$K$5:$AJ$200,0,MATCH(AJ$2,Inputs!$K$4:$AJ$4,0)))))</f>
        <v>-683.49</v>
      </c>
      <c r="AK47" s="6">
        <f>IF(ISNA(MATCH(AK$2,Inputs!$K$4:$AJ$4,0)),NA(),IF(SUMPRODUCT((Inputs!$A$5:$A$200=$B47)*ISNUMBER(INDEX(Inputs!$K$5:$AJ$200,0,MATCH(AK$2,Inputs!$K$4:$AJ$4,0))))+SUMPRODUCT((Inputs!$C$5:$C$200=$B47)*ISNUMBER(INDEX(Inputs!$K$5:$AJ$200,0,MATCH(AK$2,Inputs!$K$4:$AJ$4,0))))+SUMPRODUCT((Inputs!$E$5:$E$200=$B47)*ISNUMBER(INDEX(Inputs!$K$5:$AJ$200,0,MATCH(AK$2,Inputs!$K$4:$AJ$4,0))))=0,NA(),SUMPRODUCT((Inputs!$A$5:$A$200=$B47)*Inputs!$B$5:$B$200*(((Inputs!$G$5:$G$200="moeda")+(Inputs!$G$5:$G$200="acoes"))*Inputs!$B$1+((Inputs!$G$5:$G$200&lt;&gt;"moeda")*(Inputs!$G$5:$G$200&lt;&gt;"acoes")))*INDEX(Inputs!$K$5:$AJ$200,0,MATCH(AK$2,Inputs!$K$4:$AJ$4,0)))+SUMPRODUCT((Inputs!$C$5:$C$200=$B47)*Inputs!$D$5:$D$200*(((Inputs!$G$5:$G$200="moeda")+(Inputs!$G$5:$G$200="acoes"))*Inputs!$B$1+((Inputs!$G$5:$G$200&lt;&gt;"moeda")*(Inputs!$G$5:$G$200&lt;&gt;"acoes")))*INDEX(Inputs!$K$5:$AJ$200,0,MATCH(AK$2,Inputs!$K$4:$AJ$4,0)))+SUMPRODUCT((Inputs!$E$5:$E$200=$B47)*Inputs!$F$5:$F$200*(((Inputs!$G$5:$G$200="moeda")+(Inputs!$G$5:$G$200="acoes"))*Inputs!$B$1+((Inputs!$G$5:$G$200&lt;&gt;"moeda")*(Inputs!$G$5:$G$200&lt;&gt;"acoes")))*INDEX(Inputs!$K$5:$AJ$200,0,MATCH(AK$2,Inputs!$K$4:$AJ$4,0)))))</f>
        <v>-677.824</v>
      </c>
      <c r="AL47" s="3">
        <f>AK47</f>
        <v>-677.824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$200=$B50)*ISNUMBER(INDEX(Inputs!$K$5:$AJ$200,0,MATCH(D$2,Inputs!$K$4:$AJ$4,0))))+SUMPRODUCT((Inputs!$C$5:$C$200=$B50)*ISNUMBER(INDEX(Inputs!$K$5:$AJ$200,0,MATCH(D$2,Inputs!$K$4:$AJ$4,0))))+SUMPRODUCT((Inputs!$E$5:$E$200=$B50)*ISNUMBER(INDEX(Inputs!$K$5:$AJ$200,0,MATCH(D$2,Inputs!$K$4:$AJ$4,0))))=0,NA(),SUMPRODUCT((Inputs!$A$5:$A$200=$B50)*Inputs!$B$5:$B$200*(((Inputs!$G$5:$G$200="moeda")+(Inputs!$G$5:$G$200="acoes"))*Inputs!$B$1+((Inputs!$G$5:$G$200&lt;&gt;"moeda")*(Inputs!$G$5:$G$200&lt;&gt;"acoes")))*INDEX(Inputs!$K$5:$AJ$200,0,MATCH(D$2,Inputs!$K$4:$AJ$4,0)))+SUMPRODUCT((Inputs!$C$5:$C$200=$B50)*Inputs!$D$5:$D$200*(((Inputs!$G$5:$G$200="moeda")+(Inputs!$G$5:$G$200="acoes"))*Inputs!$B$1+((Inputs!$G$5:$G$200&lt;&gt;"moeda")*(Inputs!$G$5:$G$200&lt;&gt;"acoes")))*INDEX(Inputs!$K$5:$AJ$200,0,MATCH(D$2,Inputs!$K$4:$AJ$4,0)))+SUMPRODUCT((Inputs!$E$5:$E$200=$B50)*Inputs!$F$5:$F$200*(((Inputs!$G$5:$G$200="moeda")+(Inputs!$G$5:$G$200="acoes"))*Inputs!$B$1+((Inputs!$G$5:$G$200&lt;&gt;"moeda")*(Inputs!$G$5:$G$200&lt;&gt;"acoes")))*INDEX(Inputs!$K$5:$AJ$200,0,MATCH(D$2,Inputs!$K$4:$AJ$4,0)))))</f>
        <v>-46.579</v>
      </c>
      <c r="E50" s="6">
        <f>IF(ISNA(MATCH(E$2,Inputs!$K$4:$AJ$4,0)),NA(),IF(SUMPRODUCT((Inputs!$A$5:$A$200=$B50)*ISNUMBER(INDEX(Inputs!$K$5:$AJ$200,0,MATCH(E$2,Inputs!$K$4:$AJ$4,0))))+SUMPRODUCT((Inputs!$C$5:$C$200=$B50)*ISNUMBER(INDEX(Inputs!$K$5:$AJ$200,0,MATCH(E$2,Inputs!$K$4:$AJ$4,0))))+SUMPRODUCT((Inputs!$E$5:$E$200=$B50)*ISNUMBER(INDEX(Inputs!$K$5:$AJ$200,0,MATCH(E$2,Inputs!$K$4:$AJ$4,0))))=0,NA(),SUMPRODUCT((Inputs!$A$5:$A$200=$B50)*Inputs!$B$5:$B$200*(((Inputs!$G$5:$G$200="moeda")+(Inputs!$G$5:$G$200="acoes"))*Inputs!$B$1+((Inputs!$G$5:$G$200&lt;&gt;"moeda")*(Inputs!$G$5:$G$200&lt;&gt;"acoes")))*INDEX(Inputs!$K$5:$AJ$200,0,MATCH(E$2,Inputs!$K$4:$AJ$4,0)))+SUMPRODUCT((Inputs!$C$5:$C$200=$B50)*Inputs!$D$5:$D$200*(((Inputs!$G$5:$G$200="moeda")+(Inputs!$G$5:$G$200="acoes"))*Inputs!$B$1+((Inputs!$G$5:$G$200&lt;&gt;"moeda")*(Inputs!$G$5:$G$200&lt;&gt;"acoes")))*INDEX(Inputs!$K$5:$AJ$200,0,MATCH(E$2,Inputs!$K$4:$AJ$4,0)))+SUMPRODUCT((Inputs!$E$5:$E$200=$B50)*Inputs!$F$5:$F$200*(((Inputs!$G$5:$G$200="moeda")+(Inputs!$G$5:$G$200="acoes"))*Inputs!$B$1+((Inputs!$G$5:$G$200&lt;&gt;"moeda")*(Inputs!$G$5:$G$200&lt;&gt;"acoes")))*INDEX(Inputs!$K$5:$AJ$200,0,MATCH(E$2,Inputs!$K$4:$AJ$4,0)))))</f>
        <v>5.411</v>
      </c>
      <c r="F50" s="6">
        <f>IF(ISNA(MATCH(F$2,Inputs!$K$4:$AJ$4,0)),NA(),IF(SUMPRODUCT((Inputs!$A$5:$A$200=$B50)*ISNUMBER(INDEX(Inputs!$K$5:$AJ$200,0,MATCH(F$2,Inputs!$K$4:$AJ$4,0))))+SUMPRODUCT((Inputs!$C$5:$C$200=$B50)*ISNUMBER(INDEX(Inputs!$K$5:$AJ$200,0,MATCH(F$2,Inputs!$K$4:$AJ$4,0))))+SUMPRODUCT((Inputs!$E$5:$E$200=$B50)*ISNUMBER(INDEX(Inputs!$K$5:$AJ$200,0,MATCH(F$2,Inputs!$K$4:$AJ$4,0))))=0,NA(),SUMPRODUCT((Inputs!$A$5:$A$200=$B50)*Inputs!$B$5:$B$200*(((Inputs!$G$5:$G$200="moeda")+(Inputs!$G$5:$G$200="acoes"))*Inputs!$B$1+((Inputs!$G$5:$G$200&lt;&gt;"moeda")*(Inputs!$G$5:$G$200&lt;&gt;"acoes")))*INDEX(Inputs!$K$5:$AJ$200,0,MATCH(F$2,Inputs!$K$4:$AJ$4,0)))+SUMPRODUCT((Inputs!$C$5:$C$200=$B50)*Inputs!$D$5:$D$200*(((Inputs!$G$5:$G$200="moeda")+(Inputs!$G$5:$G$200="acoes"))*Inputs!$B$1+((Inputs!$G$5:$G$200&lt;&gt;"moeda")*(Inputs!$G$5:$G$200&lt;&gt;"acoes")))*INDEX(Inputs!$K$5:$AJ$200,0,MATCH(F$2,Inputs!$K$4:$AJ$4,0)))+SUMPRODUCT((Inputs!$E$5:$E$200=$B50)*Inputs!$F$5:$F$200*(((Inputs!$G$5:$G$200="moeda")+(Inputs!$G$5:$G$200="acoes"))*Inputs!$B$1+((Inputs!$G$5:$G$200&lt;&gt;"moeda")*(Inputs!$G$5:$G$200&lt;&gt;"acoes")))*INDEX(Inputs!$K$5:$AJ$200,0,MATCH(F$2,Inputs!$K$4:$AJ$4,0)))))</f>
        <v>-2.208</v>
      </c>
      <c r="G50" s="6">
        <f>IF(ISNA(MATCH(G$2,Inputs!$K$4:$AJ$4,0)),NA(),IF(SUMPRODUCT((Inputs!$A$5:$A$200=$B50)*ISNUMBER(INDEX(Inputs!$K$5:$AJ$200,0,MATCH(G$2,Inputs!$K$4:$AJ$4,0))))+SUMPRODUCT((Inputs!$C$5:$C$200=$B50)*ISNUMBER(INDEX(Inputs!$K$5:$AJ$200,0,MATCH(G$2,Inputs!$K$4:$AJ$4,0))))+SUMPRODUCT((Inputs!$E$5:$E$200=$B50)*ISNUMBER(INDEX(Inputs!$K$5:$AJ$200,0,MATCH(G$2,Inputs!$K$4:$AJ$4,0))))=0,NA(),SUMPRODUCT((Inputs!$A$5:$A$200=$B50)*Inputs!$B$5:$B$200*(((Inputs!$G$5:$G$200="moeda")+(Inputs!$G$5:$G$200="acoes"))*Inputs!$B$1+((Inputs!$G$5:$G$200&lt;&gt;"moeda")*(Inputs!$G$5:$G$200&lt;&gt;"acoes")))*INDEX(Inputs!$K$5:$AJ$200,0,MATCH(G$2,Inputs!$K$4:$AJ$4,0)))+SUMPRODUCT((Inputs!$C$5:$C$200=$B50)*Inputs!$D$5:$D$200*(((Inputs!$G$5:$G$200="moeda")+(Inputs!$G$5:$G$200="acoes"))*Inputs!$B$1+((Inputs!$G$5:$G$200&lt;&gt;"moeda")*(Inputs!$G$5:$G$200&lt;&gt;"acoes")))*INDEX(Inputs!$K$5:$AJ$200,0,MATCH(G$2,Inputs!$K$4:$AJ$4,0)))+SUMPRODUCT((Inputs!$E$5:$E$200=$B50)*Inputs!$F$5:$F$200*(((Inputs!$G$5:$G$200="moeda")+(Inputs!$G$5:$G$200="acoes"))*Inputs!$B$1+((Inputs!$G$5:$G$200&lt;&gt;"moeda")*(Inputs!$G$5:$G$200&lt;&gt;"acoes")))*INDEX(Inputs!$K$5:$AJ$200,0,MATCH(G$2,Inputs!$K$4:$AJ$4,0)))))</f>
        <v>-18.652</v>
      </c>
      <c r="H50" s="3">
        <f>SUM(D50:G50)</f>
        <v>-62.028</v>
      </c>
      <c r="I50" s="6">
        <f>IF(ISNA(MATCH(I$2,Inputs!$K$4:$AJ$4,0)),NA(),IF(SUMPRODUCT((Inputs!$A$5:$A$200=$B50)*ISNUMBER(INDEX(Inputs!$K$5:$AJ$200,0,MATCH(I$2,Inputs!$K$4:$AJ$4,0))))+SUMPRODUCT((Inputs!$C$5:$C$200=$B50)*ISNUMBER(INDEX(Inputs!$K$5:$AJ$200,0,MATCH(I$2,Inputs!$K$4:$AJ$4,0))))+SUMPRODUCT((Inputs!$E$5:$E$200=$B50)*ISNUMBER(INDEX(Inputs!$K$5:$AJ$200,0,MATCH(I$2,Inputs!$K$4:$AJ$4,0))))=0,NA(),SUMPRODUCT((Inputs!$A$5:$A$200=$B50)*Inputs!$B$5:$B$200*(((Inputs!$G$5:$G$200="moeda")+(Inputs!$G$5:$G$200="acoes"))*Inputs!$B$1+((Inputs!$G$5:$G$200&lt;&gt;"moeda")*(Inputs!$G$5:$G$200&lt;&gt;"acoes")))*INDEX(Inputs!$K$5:$AJ$200,0,MATCH(I$2,Inputs!$K$4:$AJ$4,0)))+SUMPRODUCT((Inputs!$C$5:$C$200=$B50)*Inputs!$D$5:$D$200*(((Inputs!$G$5:$G$200="moeda")+(Inputs!$G$5:$G$200="acoes"))*Inputs!$B$1+((Inputs!$G$5:$G$200&lt;&gt;"moeda")*(Inputs!$G$5:$G$200&lt;&gt;"acoes")))*INDEX(Inputs!$K$5:$AJ$200,0,MATCH(I$2,Inputs!$K$4:$AJ$4,0)))+SUMPRODUCT((Inputs!$E$5:$E$200=$B50)*Inputs!$F$5:$F$200*(((Inputs!$G$5:$G$200="moeda")+(Inputs!$G$5:$G$200="acoes"))*Inputs!$B$1+((Inputs!$G$5:$G$200&lt;&gt;"moeda")*(Inputs!$G$5:$G$200&lt;&gt;"acoes")))*INDEX(Inputs!$K$5:$AJ$200,0,MATCH(I$2,Inputs!$K$4:$AJ$4,0)))))</f>
        <v>-20.147</v>
      </c>
      <c r="J50" s="6">
        <f>IF(ISNA(MATCH(J$2,Inputs!$K$4:$AJ$4,0)),NA(),IF(SUMPRODUCT((Inputs!$A$5:$A$200=$B50)*ISNUMBER(INDEX(Inputs!$K$5:$AJ$200,0,MATCH(J$2,Inputs!$K$4:$AJ$4,0))))+SUMPRODUCT((Inputs!$C$5:$C$200=$B50)*ISNUMBER(INDEX(Inputs!$K$5:$AJ$200,0,MATCH(J$2,Inputs!$K$4:$AJ$4,0))))+SUMPRODUCT((Inputs!$E$5:$E$200=$B50)*ISNUMBER(INDEX(Inputs!$K$5:$AJ$200,0,MATCH(J$2,Inputs!$K$4:$AJ$4,0))))=0,NA(),SUMPRODUCT((Inputs!$A$5:$A$200=$B50)*Inputs!$B$5:$B$200*(((Inputs!$G$5:$G$200="moeda")+(Inputs!$G$5:$G$200="acoes"))*Inputs!$B$1+((Inputs!$G$5:$G$200&lt;&gt;"moeda")*(Inputs!$G$5:$G$200&lt;&gt;"acoes")))*INDEX(Inputs!$K$5:$AJ$200,0,MATCH(J$2,Inputs!$K$4:$AJ$4,0)))+SUMPRODUCT((Inputs!$C$5:$C$200=$B50)*Inputs!$D$5:$D$200*(((Inputs!$G$5:$G$200="moeda")+(Inputs!$G$5:$G$200="acoes"))*Inputs!$B$1+((Inputs!$G$5:$G$200&lt;&gt;"moeda")*(Inputs!$G$5:$G$200&lt;&gt;"acoes")))*INDEX(Inputs!$K$5:$AJ$200,0,MATCH(J$2,Inputs!$K$4:$AJ$4,0)))+SUMPRODUCT((Inputs!$E$5:$E$200=$B50)*Inputs!$F$5:$F$200*(((Inputs!$G$5:$G$200="moeda")+(Inputs!$G$5:$G$200="acoes"))*Inputs!$B$1+((Inputs!$G$5:$G$200&lt;&gt;"moeda")*(Inputs!$G$5:$G$200&lt;&gt;"acoes")))*INDEX(Inputs!$K$5:$AJ$200,0,MATCH(J$2,Inputs!$K$4:$AJ$4,0)))))</f>
        <v>-11.97</v>
      </c>
      <c r="K50" s="6">
        <f>IF(ISNA(MATCH(K$2,Inputs!$K$4:$AJ$4,0)),NA(),IF(SUMPRODUCT((Inputs!$A$5:$A$200=$B50)*ISNUMBER(INDEX(Inputs!$K$5:$AJ$200,0,MATCH(K$2,Inputs!$K$4:$AJ$4,0))))+SUMPRODUCT((Inputs!$C$5:$C$200=$B50)*ISNUMBER(INDEX(Inputs!$K$5:$AJ$200,0,MATCH(K$2,Inputs!$K$4:$AJ$4,0))))+SUMPRODUCT((Inputs!$E$5:$E$200=$B50)*ISNUMBER(INDEX(Inputs!$K$5:$AJ$200,0,MATCH(K$2,Inputs!$K$4:$AJ$4,0))))=0,NA(),SUMPRODUCT((Inputs!$A$5:$A$200=$B50)*Inputs!$B$5:$B$200*(((Inputs!$G$5:$G$200="moeda")+(Inputs!$G$5:$G$200="acoes"))*Inputs!$B$1+((Inputs!$G$5:$G$200&lt;&gt;"moeda")*(Inputs!$G$5:$G$200&lt;&gt;"acoes")))*INDEX(Inputs!$K$5:$AJ$200,0,MATCH(K$2,Inputs!$K$4:$AJ$4,0)))+SUMPRODUCT((Inputs!$C$5:$C$200=$B50)*Inputs!$D$5:$D$200*(((Inputs!$G$5:$G$200="moeda")+(Inputs!$G$5:$G$200="acoes"))*Inputs!$B$1+((Inputs!$G$5:$G$200&lt;&gt;"moeda")*(Inputs!$G$5:$G$200&lt;&gt;"acoes")))*INDEX(Inputs!$K$5:$AJ$200,0,MATCH(K$2,Inputs!$K$4:$AJ$4,0)))+SUMPRODUCT((Inputs!$E$5:$E$200=$B50)*Inputs!$F$5:$F$200*(((Inputs!$G$5:$G$200="moeda")+(Inputs!$G$5:$G$200="acoes"))*Inputs!$B$1+((Inputs!$G$5:$G$200&lt;&gt;"moeda")*(Inputs!$G$5:$G$200&lt;&gt;"acoes")))*INDEX(Inputs!$K$5:$AJ$200,0,MATCH(K$2,Inputs!$K$4:$AJ$4,0)))))</f>
        <v>-31.093</v>
      </c>
      <c r="L50" s="6">
        <f>IF(ISNA(MATCH(L$2,Inputs!$K$4:$AJ$4,0)),NA(),IF(SUMPRODUCT((Inputs!$A$5:$A$200=$B50)*ISNUMBER(INDEX(Inputs!$K$5:$AJ$200,0,MATCH(L$2,Inputs!$K$4:$AJ$4,0))))+SUMPRODUCT((Inputs!$C$5:$C$200=$B50)*ISNUMBER(INDEX(Inputs!$K$5:$AJ$200,0,MATCH(L$2,Inputs!$K$4:$AJ$4,0))))+SUMPRODUCT((Inputs!$E$5:$E$200=$B50)*ISNUMBER(INDEX(Inputs!$K$5:$AJ$200,0,MATCH(L$2,Inputs!$K$4:$AJ$4,0))))=0,NA(),SUMPRODUCT((Inputs!$A$5:$A$200=$B50)*Inputs!$B$5:$B$200*(((Inputs!$G$5:$G$200="moeda")+(Inputs!$G$5:$G$200="acoes"))*Inputs!$B$1+((Inputs!$G$5:$G$200&lt;&gt;"moeda")*(Inputs!$G$5:$G$200&lt;&gt;"acoes")))*INDEX(Inputs!$K$5:$AJ$200,0,MATCH(L$2,Inputs!$K$4:$AJ$4,0)))+SUMPRODUCT((Inputs!$C$5:$C$200=$B50)*Inputs!$D$5:$D$200*(((Inputs!$G$5:$G$200="moeda")+(Inputs!$G$5:$G$200="acoes"))*Inputs!$B$1+((Inputs!$G$5:$G$200&lt;&gt;"moeda")*(Inputs!$G$5:$G$200&lt;&gt;"acoes")))*INDEX(Inputs!$K$5:$AJ$200,0,MATCH(L$2,Inputs!$K$4:$AJ$4,0)))+SUMPRODUCT((Inputs!$E$5:$E$200=$B50)*Inputs!$F$5:$F$200*(((Inputs!$G$5:$G$200="moeda")+(Inputs!$G$5:$G$200="acoes"))*Inputs!$B$1+((Inputs!$G$5:$G$200&lt;&gt;"moeda")*(Inputs!$G$5:$G$200&lt;&gt;"acoes")))*INDEX(Inputs!$K$5:$AJ$200,0,MATCH(L$2,Inputs!$K$4:$AJ$4,0)))))</f>
        <v>-85.796</v>
      </c>
      <c r="M50" s="3">
        <f>SUM(I50:L50)</f>
        <v>-149.006</v>
      </c>
      <c r="N50" s="6">
        <f>IF(ISNA(MATCH(N$2,Inputs!$K$4:$AJ$4,0)),NA(),IF(SUMPRODUCT((Inputs!$A$5:$A$200=$B50)*ISNUMBER(INDEX(Inputs!$K$5:$AJ$200,0,MATCH(N$2,Inputs!$K$4:$AJ$4,0))))+SUMPRODUCT((Inputs!$C$5:$C$200=$B50)*ISNUMBER(INDEX(Inputs!$K$5:$AJ$200,0,MATCH(N$2,Inputs!$K$4:$AJ$4,0))))+SUMPRODUCT((Inputs!$E$5:$E$200=$B50)*ISNUMBER(INDEX(Inputs!$K$5:$AJ$200,0,MATCH(N$2,Inputs!$K$4:$AJ$4,0))))=0,NA(),SUMPRODUCT((Inputs!$A$5:$A$200=$B50)*Inputs!$B$5:$B$200*(((Inputs!$G$5:$G$200="moeda")+(Inputs!$G$5:$G$200="acoes"))*Inputs!$B$1+((Inputs!$G$5:$G$200&lt;&gt;"moeda")*(Inputs!$G$5:$G$200&lt;&gt;"acoes")))*INDEX(Inputs!$K$5:$AJ$200,0,MATCH(N$2,Inputs!$K$4:$AJ$4,0)))+SUMPRODUCT((Inputs!$C$5:$C$200=$B50)*Inputs!$D$5:$D$200*(((Inputs!$G$5:$G$200="moeda")+(Inputs!$G$5:$G$200="acoes"))*Inputs!$B$1+((Inputs!$G$5:$G$200&lt;&gt;"moeda")*(Inputs!$G$5:$G$200&lt;&gt;"acoes")))*INDEX(Inputs!$K$5:$AJ$200,0,MATCH(N$2,Inputs!$K$4:$AJ$4,0)))+SUMPRODUCT((Inputs!$E$5:$E$200=$B50)*Inputs!$F$5:$F$200*(((Inputs!$G$5:$G$200="moeda")+(Inputs!$G$5:$G$200="acoes"))*Inputs!$B$1+((Inputs!$G$5:$G$200&lt;&gt;"moeda")*(Inputs!$G$5:$G$200&lt;&gt;"acoes")))*INDEX(Inputs!$K$5:$AJ$200,0,MATCH(N$2,Inputs!$K$4:$AJ$4,0)))))</f>
        <v>-45.073</v>
      </c>
      <c r="O50" s="6">
        <f>IF(ISNA(MATCH(O$2,Inputs!$K$4:$AJ$4,0)),NA(),IF(SUMPRODUCT((Inputs!$A$5:$A$200=$B50)*ISNUMBER(INDEX(Inputs!$K$5:$AJ$200,0,MATCH(O$2,Inputs!$K$4:$AJ$4,0))))+SUMPRODUCT((Inputs!$C$5:$C$200=$B50)*ISNUMBER(INDEX(Inputs!$K$5:$AJ$200,0,MATCH(O$2,Inputs!$K$4:$AJ$4,0))))+SUMPRODUCT((Inputs!$E$5:$E$200=$B50)*ISNUMBER(INDEX(Inputs!$K$5:$AJ$200,0,MATCH(O$2,Inputs!$K$4:$AJ$4,0))))=0,NA(),SUMPRODUCT((Inputs!$A$5:$A$200=$B50)*Inputs!$B$5:$B$200*(((Inputs!$G$5:$G$200="moeda")+(Inputs!$G$5:$G$200="acoes"))*Inputs!$B$1+((Inputs!$G$5:$G$200&lt;&gt;"moeda")*(Inputs!$G$5:$G$200&lt;&gt;"acoes")))*INDEX(Inputs!$K$5:$AJ$200,0,MATCH(O$2,Inputs!$K$4:$AJ$4,0)))+SUMPRODUCT((Inputs!$C$5:$C$200=$B50)*Inputs!$D$5:$D$200*(((Inputs!$G$5:$G$200="moeda")+(Inputs!$G$5:$G$200="acoes"))*Inputs!$B$1+((Inputs!$G$5:$G$200&lt;&gt;"moeda")*(Inputs!$G$5:$G$200&lt;&gt;"acoes")))*INDEX(Inputs!$K$5:$AJ$200,0,MATCH(O$2,Inputs!$K$4:$AJ$4,0)))+SUMPRODUCT((Inputs!$E$5:$E$200=$B50)*Inputs!$F$5:$F$200*(((Inputs!$G$5:$G$200="moeda")+(Inputs!$G$5:$G$200="acoes"))*Inputs!$B$1+((Inputs!$G$5:$G$200&lt;&gt;"moeda")*(Inputs!$G$5:$G$200&lt;&gt;"acoes")))*INDEX(Inputs!$K$5:$AJ$200,0,MATCH(O$2,Inputs!$K$4:$AJ$4,0)))))</f>
        <v>-5.149</v>
      </c>
      <c r="P50" s="6">
        <f>IF(ISNA(MATCH(P$2,Inputs!$K$4:$AJ$4,0)),NA(),IF(SUMPRODUCT((Inputs!$A$5:$A$200=$B50)*ISNUMBER(INDEX(Inputs!$K$5:$AJ$200,0,MATCH(P$2,Inputs!$K$4:$AJ$4,0))))+SUMPRODUCT((Inputs!$C$5:$C$200=$B50)*ISNUMBER(INDEX(Inputs!$K$5:$AJ$200,0,MATCH(P$2,Inputs!$K$4:$AJ$4,0))))+SUMPRODUCT((Inputs!$E$5:$E$200=$B50)*ISNUMBER(INDEX(Inputs!$K$5:$AJ$200,0,MATCH(P$2,Inputs!$K$4:$AJ$4,0))))=0,NA(),SUMPRODUCT((Inputs!$A$5:$A$200=$B50)*Inputs!$B$5:$B$200*(((Inputs!$G$5:$G$200="moeda")+(Inputs!$G$5:$G$200="acoes"))*Inputs!$B$1+((Inputs!$G$5:$G$200&lt;&gt;"moeda")*(Inputs!$G$5:$G$200&lt;&gt;"acoes")))*INDEX(Inputs!$K$5:$AJ$200,0,MATCH(P$2,Inputs!$K$4:$AJ$4,0)))+SUMPRODUCT((Inputs!$C$5:$C$200=$B50)*Inputs!$D$5:$D$200*(((Inputs!$G$5:$G$200="moeda")+(Inputs!$G$5:$G$200="acoes"))*Inputs!$B$1+((Inputs!$G$5:$G$200&lt;&gt;"moeda")*(Inputs!$G$5:$G$200&lt;&gt;"acoes")))*INDEX(Inputs!$K$5:$AJ$200,0,MATCH(P$2,Inputs!$K$4:$AJ$4,0)))+SUMPRODUCT((Inputs!$E$5:$E$200=$B50)*Inputs!$F$5:$F$200*(((Inputs!$G$5:$G$200="moeda")+(Inputs!$G$5:$G$200="acoes"))*Inputs!$B$1+((Inputs!$G$5:$G$200&lt;&gt;"moeda")*(Inputs!$G$5:$G$200&lt;&gt;"acoes")))*INDEX(Inputs!$K$5:$AJ$200,0,MATCH(P$2,Inputs!$K$4:$AJ$4,0)))))</f>
        <v>1.851</v>
      </c>
      <c r="Q50" s="6">
        <f>IF(ISNA(MATCH(Q$2,Inputs!$K$4:$AJ$4,0)),NA(),IF(SUMPRODUCT((Inputs!$A$5:$A$200=$B50)*ISNUMBER(INDEX(Inputs!$K$5:$AJ$200,0,MATCH(Q$2,Inputs!$K$4:$AJ$4,0))))+SUMPRODUCT((Inputs!$C$5:$C$200=$B50)*ISNUMBER(INDEX(Inputs!$K$5:$AJ$200,0,MATCH(Q$2,Inputs!$K$4:$AJ$4,0))))+SUMPRODUCT((Inputs!$E$5:$E$200=$B50)*ISNUMBER(INDEX(Inputs!$K$5:$AJ$200,0,MATCH(Q$2,Inputs!$K$4:$AJ$4,0))))=0,NA(),SUMPRODUCT((Inputs!$A$5:$A$200=$B50)*Inputs!$B$5:$B$200*(((Inputs!$G$5:$G$200="moeda")+(Inputs!$G$5:$G$200="acoes"))*Inputs!$B$1+((Inputs!$G$5:$G$200&lt;&gt;"moeda")*(Inputs!$G$5:$G$200&lt;&gt;"acoes")))*INDEX(Inputs!$K$5:$AJ$200,0,MATCH(Q$2,Inputs!$K$4:$AJ$4,0)))+SUMPRODUCT((Inputs!$C$5:$C$200=$B50)*Inputs!$D$5:$D$200*(((Inputs!$G$5:$G$200="moeda")+(Inputs!$G$5:$G$200="acoes"))*Inputs!$B$1+((Inputs!$G$5:$G$200&lt;&gt;"moeda")*(Inputs!$G$5:$G$200&lt;&gt;"acoes")))*INDEX(Inputs!$K$5:$AJ$200,0,MATCH(Q$2,Inputs!$K$4:$AJ$4,0)))+SUMPRODUCT((Inputs!$E$5:$E$200=$B50)*Inputs!$F$5:$F$200*(((Inputs!$G$5:$G$200="moeda")+(Inputs!$G$5:$G$200="acoes"))*Inputs!$B$1+((Inputs!$G$5:$G$200&lt;&gt;"moeda")*(Inputs!$G$5:$G$200&lt;&gt;"acoes")))*INDEX(Inputs!$K$5:$AJ$200,0,MATCH(Q$2,Inputs!$K$4:$AJ$4,0)))))</f>
        <v>88.486</v>
      </c>
      <c r="R50" s="3">
        <f>SUM(N50:Q50)</f>
        <v>40.115</v>
      </c>
      <c r="S50" s="6">
        <f>IF(ISNA(MATCH(S$2,Inputs!$K$4:$AJ$4,0)),NA(),IF(SUMPRODUCT((Inputs!$A$5:$A$200=$B50)*ISNUMBER(INDEX(Inputs!$K$5:$AJ$200,0,MATCH(S$2,Inputs!$K$4:$AJ$4,0))))+SUMPRODUCT((Inputs!$C$5:$C$200=$B50)*ISNUMBER(INDEX(Inputs!$K$5:$AJ$200,0,MATCH(S$2,Inputs!$K$4:$AJ$4,0))))+SUMPRODUCT((Inputs!$E$5:$E$200=$B50)*ISNUMBER(INDEX(Inputs!$K$5:$AJ$200,0,MATCH(S$2,Inputs!$K$4:$AJ$4,0))))=0,NA(),SUMPRODUCT((Inputs!$A$5:$A$200=$B50)*Inputs!$B$5:$B$200*(((Inputs!$G$5:$G$200="moeda")+(Inputs!$G$5:$G$200="acoes"))*Inputs!$B$1+((Inputs!$G$5:$G$200&lt;&gt;"moeda")*(Inputs!$G$5:$G$200&lt;&gt;"acoes")))*INDEX(Inputs!$K$5:$AJ$200,0,MATCH(S$2,Inputs!$K$4:$AJ$4,0)))+SUMPRODUCT((Inputs!$C$5:$C$200=$B50)*Inputs!$D$5:$D$200*(((Inputs!$G$5:$G$200="moeda")+(Inputs!$G$5:$G$200="acoes"))*Inputs!$B$1+((Inputs!$G$5:$G$200&lt;&gt;"moeda")*(Inputs!$G$5:$G$200&lt;&gt;"acoes")))*INDEX(Inputs!$K$5:$AJ$200,0,MATCH(S$2,Inputs!$K$4:$AJ$4,0)))+SUMPRODUCT((Inputs!$E$5:$E$200=$B50)*Inputs!$F$5:$F$200*(((Inputs!$G$5:$G$200="moeda")+(Inputs!$G$5:$G$200="acoes"))*Inputs!$B$1+((Inputs!$G$5:$G$200&lt;&gt;"moeda")*(Inputs!$G$5:$G$200&lt;&gt;"acoes")))*INDEX(Inputs!$K$5:$AJ$200,0,MATCH(S$2,Inputs!$K$4:$AJ$4,0)))))</f>
        <v>25.543</v>
      </c>
      <c r="T50" s="6">
        <f>IF(ISNA(MATCH(T$2,Inputs!$K$4:$AJ$4,0)),NA(),IF(SUMPRODUCT((Inputs!$A$5:$A$200=$B50)*ISNUMBER(INDEX(Inputs!$K$5:$AJ$200,0,MATCH(T$2,Inputs!$K$4:$AJ$4,0))))+SUMPRODUCT((Inputs!$C$5:$C$200=$B50)*ISNUMBER(INDEX(Inputs!$K$5:$AJ$200,0,MATCH(T$2,Inputs!$K$4:$AJ$4,0))))+SUMPRODUCT((Inputs!$E$5:$E$200=$B50)*ISNUMBER(INDEX(Inputs!$K$5:$AJ$200,0,MATCH(T$2,Inputs!$K$4:$AJ$4,0))))=0,NA(),SUMPRODUCT((Inputs!$A$5:$A$200=$B50)*Inputs!$B$5:$B$200*(((Inputs!$G$5:$G$200="moeda")+(Inputs!$G$5:$G$200="acoes"))*Inputs!$B$1+((Inputs!$G$5:$G$200&lt;&gt;"moeda")*(Inputs!$G$5:$G$200&lt;&gt;"acoes")))*INDEX(Inputs!$K$5:$AJ$200,0,MATCH(T$2,Inputs!$K$4:$AJ$4,0)))+SUMPRODUCT((Inputs!$C$5:$C$200=$B50)*Inputs!$D$5:$D$200*(((Inputs!$G$5:$G$200="moeda")+(Inputs!$G$5:$G$200="acoes"))*Inputs!$B$1+((Inputs!$G$5:$G$200&lt;&gt;"moeda")*(Inputs!$G$5:$G$200&lt;&gt;"acoes")))*INDEX(Inputs!$K$5:$AJ$200,0,MATCH(T$2,Inputs!$K$4:$AJ$4,0)))+SUMPRODUCT((Inputs!$E$5:$E$200=$B50)*Inputs!$F$5:$F$200*(((Inputs!$G$5:$G$200="moeda")+(Inputs!$G$5:$G$200="acoes"))*Inputs!$B$1+((Inputs!$G$5:$G$200&lt;&gt;"moeda")*(Inputs!$G$5:$G$200&lt;&gt;"acoes")))*INDEX(Inputs!$K$5:$AJ$200,0,MATCH(T$2,Inputs!$K$4:$AJ$4,0)))))</f>
        <v>8.806</v>
      </c>
      <c r="U50" s="6">
        <f>IF(ISNA(MATCH(U$2,Inputs!$K$4:$AJ$4,0)),NA(),IF(SUMPRODUCT((Inputs!$A$5:$A$200=$B50)*ISNUMBER(INDEX(Inputs!$K$5:$AJ$200,0,MATCH(U$2,Inputs!$K$4:$AJ$4,0))))+SUMPRODUCT((Inputs!$C$5:$C$200=$B50)*ISNUMBER(INDEX(Inputs!$K$5:$AJ$200,0,MATCH(U$2,Inputs!$K$4:$AJ$4,0))))+SUMPRODUCT((Inputs!$E$5:$E$200=$B50)*ISNUMBER(INDEX(Inputs!$K$5:$AJ$200,0,MATCH(U$2,Inputs!$K$4:$AJ$4,0))))=0,NA(),SUMPRODUCT((Inputs!$A$5:$A$200=$B50)*Inputs!$B$5:$B$200*(((Inputs!$G$5:$G$200="moeda")+(Inputs!$G$5:$G$200="acoes"))*Inputs!$B$1+((Inputs!$G$5:$G$200&lt;&gt;"moeda")*(Inputs!$G$5:$G$200&lt;&gt;"acoes")))*INDEX(Inputs!$K$5:$AJ$200,0,MATCH(U$2,Inputs!$K$4:$AJ$4,0)))+SUMPRODUCT((Inputs!$C$5:$C$200=$B50)*Inputs!$D$5:$D$200*(((Inputs!$G$5:$G$200="moeda")+(Inputs!$G$5:$G$200="acoes"))*Inputs!$B$1+((Inputs!$G$5:$G$200&lt;&gt;"moeda")*(Inputs!$G$5:$G$200&lt;&gt;"acoes")))*INDEX(Inputs!$K$5:$AJ$200,0,MATCH(U$2,Inputs!$K$4:$AJ$4,0)))+SUMPRODUCT((Inputs!$E$5:$E$200=$B50)*Inputs!$F$5:$F$200*(((Inputs!$G$5:$G$200="moeda")+(Inputs!$G$5:$G$200="acoes"))*Inputs!$B$1+((Inputs!$G$5:$G$200&lt;&gt;"moeda")*(Inputs!$G$5:$G$200&lt;&gt;"acoes")))*INDEX(Inputs!$K$5:$AJ$200,0,MATCH(U$2,Inputs!$K$4:$AJ$4,0)))))</f>
        <v>37.084</v>
      </c>
      <c r="V50" s="6">
        <f>IF(ISNA(MATCH(V$2,Inputs!$K$4:$AJ$4,0)),NA(),IF(SUMPRODUCT((Inputs!$A$5:$A$200=$B50)*ISNUMBER(INDEX(Inputs!$K$5:$AJ$200,0,MATCH(V$2,Inputs!$K$4:$AJ$4,0))))+SUMPRODUCT((Inputs!$C$5:$C$200=$B50)*ISNUMBER(INDEX(Inputs!$K$5:$AJ$200,0,MATCH(V$2,Inputs!$K$4:$AJ$4,0))))+SUMPRODUCT((Inputs!$E$5:$E$200=$B50)*ISNUMBER(INDEX(Inputs!$K$5:$AJ$200,0,MATCH(V$2,Inputs!$K$4:$AJ$4,0))))=0,NA(),SUMPRODUCT((Inputs!$A$5:$A$200=$B50)*Inputs!$B$5:$B$200*(((Inputs!$G$5:$G$200="moeda")+(Inputs!$G$5:$G$200="acoes"))*Inputs!$B$1+((Inputs!$G$5:$G$200&lt;&gt;"moeda")*(Inputs!$G$5:$G$200&lt;&gt;"acoes")))*INDEX(Inputs!$K$5:$AJ$200,0,MATCH(V$2,Inputs!$K$4:$AJ$4,0)))+SUMPRODUCT((Inputs!$C$5:$C$200=$B50)*Inputs!$D$5:$D$200*(((Inputs!$G$5:$G$200="moeda")+(Inputs!$G$5:$G$200="acoes"))*Inputs!$B$1+((Inputs!$G$5:$G$200&lt;&gt;"moeda")*(Inputs!$G$5:$G$200&lt;&gt;"acoes")))*INDEX(Inputs!$K$5:$AJ$200,0,MATCH(V$2,Inputs!$K$4:$AJ$4,0)))+SUMPRODUCT((Inputs!$E$5:$E$200=$B50)*Inputs!$F$5:$F$200*(((Inputs!$G$5:$G$200="moeda")+(Inputs!$G$5:$G$200="acoes"))*Inputs!$B$1+((Inputs!$G$5:$G$200&lt;&gt;"moeda")*(Inputs!$G$5:$G$200&lt;&gt;"acoes")))*INDEX(Inputs!$K$5:$AJ$200,0,MATCH(V$2,Inputs!$K$4:$AJ$4,0)))))</f>
        <v>-10.536</v>
      </c>
      <c r="W50" s="3">
        <f>SUM(S50:V50)</f>
        <v>60.897</v>
      </c>
      <c r="X50" s="6">
        <f>IF(ISNA(MATCH(X$2,Inputs!$K$4:$AJ$4,0)),NA(),IF(SUMPRODUCT((Inputs!$A$5:$A$200=$B50)*ISNUMBER(INDEX(Inputs!$K$5:$AJ$200,0,MATCH(X$2,Inputs!$K$4:$AJ$4,0))))+SUMPRODUCT((Inputs!$C$5:$C$200=$B50)*ISNUMBER(INDEX(Inputs!$K$5:$AJ$200,0,MATCH(X$2,Inputs!$K$4:$AJ$4,0))))+SUMPRODUCT((Inputs!$E$5:$E$200=$B50)*ISNUMBER(INDEX(Inputs!$K$5:$AJ$200,0,MATCH(X$2,Inputs!$K$4:$AJ$4,0))))=0,NA(),SUMPRODUCT((Inputs!$A$5:$A$200=$B50)*Inputs!$B$5:$B$200*(((Inputs!$G$5:$G$200="moeda")+(Inputs!$G$5:$G$200="acoes"))*Inputs!$B$1+((Inputs!$G$5:$G$200&lt;&gt;"moeda")*(Inputs!$G$5:$G$200&lt;&gt;"acoes")))*INDEX(Inputs!$K$5:$AJ$200,0,MATCH(X$2,Inputs!$K$4:$AJ$4,0)))+SUMPRODUCT((Inputs!$C$5:$C$200=$B50)*Inputs!$D$5:$D$200*(((Inputs!$G$5:$G$200="moeda")+(Inputs!$G$5:$G$200="acoes"))*Inputs!$B$1+((Inputs!$G$5:$G$200&lt;&gt;"moeda")*(Inputs!$G$5:$G$200&lt;&gt;"acoes")))*INDEX(Inputs!$K$5:$AJ$200,0,MATCH(X$2,Inputs!$K$4:$AJ$4,0)))+SUMPRODUCT((Inputs!$E$5:$E$200=$B50)*Inputs!$F$5:$F$200*(((Inputs!$G$5:$G$200="moeda")+(Inputs!$G$5:$G$200="acoes"))*Inputs!$B$1+((Inputs!$G$5:$G$200&lt;&gt;"moeda")*(Inputs!$G$5:$G$200&lt;&gt;"acoes")))*INDEX(Inputs!$K$5:$AJ$200,0,MATCH(X$2,Inputs!$K$4:$AJ$4,0)))))</f>
        <v>-6.322</v>
      </c>
      <c r="Y50" s="6">
        <f>IF(ISNA(MATCH(Y$2,Inputs!$K$4:$AJ$4,0)),NA(),IF(SUMPRODUCT((Inputs!$A$5:$A$200=$B50)*ISNUMBER(INDEX(Inputs!$K$5:$AJ$200,0,MATCH(Y$2,Inputs!$K$4:$AJ$4,0))))+SUMPRODUCT((Inputs!$C$5:$C$200=$B50)*ISNUMBER(INDEX(Inputs!$K$5:$AJ$200,0,MATCH(Y$2,Inputs!$K$4:$AJ$4,0))))+SUMPRODUCT((Inputs!$E$5:$E$200=$B50)*ISNUMBER(INDEX(Inputs!$K$5:$AJ$200,0,MATCH(Y$2,Inputs!$K$4:$AJ$4,0))))=0,NA(),SUMPRODUCT((Inputs!$A$5:$A$200=$B50)*Inputs!$B$5:$B$200*(((Inputs!$G$5:$G$200="moeda")+(Inputs!$G$5:$G$200="acoes"))*Inputs!$B$1+((Inputs!$G$5:$G$200&lt;&gt;"moeda")*(Inputs!$G$5:$G$200&lt;&gt;"acoes")))*INDEX(Inputs!$K$5:$AJ$200,0,MATCH(Y$2,Inputs!$K$4:$AJ$4,0)))+SUMPRODUCT((Inputs!$C$5:$C$200=$B50)*Inputs!$D$5:$D$200*(((Inputs!$G$5:$G$200="moeda")+(Inputs!$G$5:$G$200="acoes"))*Inputs!$B$1+((Inputs!$G$5:$G$200&lt;&gt;"moeda")*(Inputs!$G$5:$G$200&lt;&gt;"acoes")))*INDEX(Inputs!$K$5:$AJ$200,0,MATCH(Y$2,Inputs!$K$4:$AJ$4,0)))+SUMPRODUCT((Inputs!$E$5:$E$200=$B50)*Inputs!$F$5:$F$200*(((Inputs!$G$5:$G$200="moeda")+(Inputs!$G$5:$G$200="acoes"))*Inputs!$B$1+((Inputs!$G$5:$G$200&lt;&gt;"moeda")*(Inputs!$G$5:$G$200&lt;&gt;"acoes")))*INDEX(Inputs!$K$5:$AJ$200,0,MATCH(Y$2,Inputs!$K$4:$AJ$4,0)))))</f>
        <v>23.846</v>
      </c>
      <c r="Z50" s="6">
        <f>IF(ISNA(MATCH(Z$2,Inputs!$K$4:$AJ$4,0)),NA(),IF(SUMPRODUCT((Inputs!$A$5:$A$200=$B50)*ISNUMBER(INDEX(Inputs!$K$5:$AJ$200,0,MATCH(Z$2,Inputs!$K$4:$AJ$4,0))))+SUMPRODUCT((Inputs!$C$5:$C$200=$B50)*ISNUMBER(INDEX(Inputs!$K$5:$AJ$200,0,MATCH(Z$2,Inputs!$K$4:$AJ$4,0))))+SUMPRODUCT((Inputs!$E$5:$E$200=$B50)*ISNUMBER(INDEX(Inputs!$K$5:$AJ$200,0,MATCH(Z$2,Inputs!$K$4:$AJ$4,0))))=0,NA(),SUMPRODUCT((Inputs!$A$5:$A$200=$B50)*Inputs!$B$5:$B$200*(((Inputs!$G$5:$G$200="moeda")+(Inputs!$G$5:$G$200="acoes"))*Inputs!$B$1+((Inputs!$G$5:$G$200&lt;&gt;"moeda")*(Inputs!$G$5:$G$200&lt;&gt;"acoes")))*INDEX(Inputs!$K$5:$AJ$200,0,MATCH(Z$2,Inputs!$K$4:$AJ$4,0)))+SUMPRODUCT((Inputs!$C$5:$C$200=$B50)*Inputs!$D$5:$D$200*(((Inputs!$G$5:$G$200="moeda")+(Inputs!$G$5:$G$200="acoes"))*Inputs!$B$1+((Inputs!$G$5:$G$200&lt;&gt;"moeda")*(Inputs!$G$5:$G$200&lt;&gt;"acoes")))*INDEX(Inputs!$K$5:$AJ$200,0,MATCH(Z$2,Inputs!$K$4:$AJ$4,0)))+SUMPRODUCT((Inputs!$E$5:$E$200=$B50)*Inputs!$F$5:$F$200*(((Inputs!$G$5:$G$200="moeda")+(Inputs!$G$5:$G$200="acoes"))*Inputs!$B$1+((Inputs!$G$5:$G$200&lt;&gt;"moeda")*(Inputs!$G$5:$G$200&lt;&gt;"acoes")))*INDEX(Inputs!$K$5:$AJ$200,0,MATCH(Z$2,Inputs!$K$4:$AJ$4,0)))))</f>
        <v>23.288</v>
      </c>
      <c r="AA50" s="6">
        <f>IF(ISNA(MATCH(AA$2,Inputs!$K$4:$AJ$4,0)),NA(),IF(SUMPRODUCT((Inputs!$A$5:$A$200=$B50)*ISNUMBER(INDEX(Inputs!$K$5:$AJ$200,0,MATCH(AA$2,Inputs!$K$4:$AJ$4,0))))+SUMPRODUCT((Inputs!$C$5:$C$200=$B50)*ISNUMBER(INDEX(Inputs!$K$5:$AJ$200,0,MATCH(AA$2,Inputs!$K$4:$AJ$4,0))))+SUMPRODUCT((Inputs!$E$5:$E$200=$B50)*ISNUMBER(INDEX(Inputs!$K$5:$AJ$200,0,MATCH(AA$2,Inputs!$K$4:$AJ$4,0))))=0,NA(),SUMPRODUCT((Inputs!$A$5:$A$200=$B50)*Inputs!$B$5:$B$200*(((Inputs!$G$5:$G$200="moeda")+(Inputs!$G$5:$G$200="acoes"))*Inputs!$B$1+((Inputs!$G$5:$G$200&lt;&gt;"moeda")*(Inputs!$G$5:$G$200&lt;&gt;"acoes")))*INDEX(Inputs!$K$5:$AJ$200,0,MATCH(AA$2,Inputs!$K$4:$AJ$4,0)))+SUMPRODUCT((Inputs!$C$5:$C$200=$B50)*Inputs!$D$5:$D$200*(((Inputs!$G$5:$G$200="moeda")+(Inputs!$G$5:$G$200="acoes"))*Inputs!$B$1+((Inputs!$G$5:$G$200&lt;&gt;"moeda")*(Inputs!$G$5:$G$200&lt;&gt;"acoes")))*INDEX(Inputs!$K$5:$AJ$200,0,MATCH(AA$2,Inputs!$K$4:$AJ$4,0)))+SUMPRODUCT((Inputs!$E$5:$E$200=$B50)*Inputs!$F$5:$F$200*(((Inputs!$G$5:$G$200="moeda")+(Inputs!$G$5:$G$200="acoes"))*Inputs!$B$1+((Inputs!$G$5:$G$200&lt;&gt;"moeda")*(Inputs!$G$5:$G$200&lt;&gt;"acoes")))*INDEX(Inputs!$K$5:$AJ$200,0,MATCH(AA$2,Inputs!$K$4:$AJ$4,0)))))</f>
        <v>19.33</v>
      </c>
      <c r="AB50" s="3">
        <f>SUM(X50:AA50)</f>
        <v>60.142</v>
      </c>
      <c r="AC50" s="6">
        <f>IF(ISNA(MATCH(AC$2,Inputs!$K$4:$AJ$4,0)),NA(),IF(SUMPRODUCT((Inputs!$A$5:$A$200=$B50)*ISNUMBER(INDEX(Inputs!$K$5:$AJ$200,0,MATCH(AC$2,Inputs!$K$4:$AJ$4,0))))+SUMPRODUCT((Inputs!$C$5:$C$200=$B50)*ISNUMBER(INDEX(Inputs!$K$5:$AJ$200,0,MATCH(AC$2,Inputs!$K$4:$AJ$4,0))))+SUMPRODUCT((Inputs!$E$5:$E$200=$B50)*ISNUMBER(INDEX(Inputs!$K$5:$AJ$200,0,MATCH(AC$2,Inputs!$K$4:$AJ$4,0))))=0,NA(),SUMPRODUCT((Inputs!$A$5:$A$200=$B50)*Inputs!$B$5:$B$200*(((Inputs!$G$5:$G$200="moeda")+(Inputs!$G$5:$G$200="acoes"))*Inputs!$B$1+((Inputs!$G$5:$G$200&lt;&gt;"moeda")*(Inputs!$G$5:$G$200&lt;&gt;"acoes")))*INDEX(Inputs!$K$5:$AJ$200,0,MATCH(AC$2,Inputs!$K$4:$AJ$4,0)))+SUMPRODUCT((Inputs!$C$5:$C$200=$B50)*Inputs!$D$5:$D$200*(((Inputs!$G$5:$G$200="moeda")+(Inputs!$G$5:$G$200="acoes"))*Inputs!$B$1+((Inputs!$G$5:$G$200&lt;&gt;"moeda")*(Inputs!$G$5:$G$200&lt;&gt;"acoes")))*INDEX(Inputs!$K$5:$AJ$200,0,MATCH(AC$2,Inputs!$K$4:$AJ$4,0)))+SUMPRODUCT((Inputs!$E$5:$E$200=$B50)*Inputs!$F$5:$F$200*(((Inputs!$G$5:$G$200="moeda")+(Inputs!$G$5:$G$200="acoes"))*Inputs!$B$1+((Inputs!$G$5:$G$200&lt;&gt;"moeda")*(Inputs!$G$5:$G$200&lt;&gt;"acoes")))*INDEX(Inputs!$K$5:$AJ$200,0,MATCH(AC$2,Inputs!$K$4:$AJ$4,0)))))</f>
        <v>18.784</v>
      </c>
      <c r="AD50" s="6">
        <f>IF(ISNA(MATCH(AD$2,Inputs!$K$4:$AJ$4,0)),NA(),IF(SUMPRODUCT((Inputs!$A$5:$A$200=$B50)*ISNUMBER(INDEX(Inputs!$K$5:$AJ$200,0,MATCH(AD$2,Inputs!$K$4:$AJ$4,0))))+SUMPRODUCT((Inputs!$C$5:$C$200=$B50)*ISNUMBER(INDEX(Inputs!$K$5:$AJ$200,0,MATCH(AD$2,Inputs!$K$4:$AJ$4,0))))+SUMPRODUCT((Inputs!$E$5:$E$200=$B50)*ISNUMBER(INDEX(Inputs!$K$5:$AJ$200,0,MATCH(AD$2,Inputs!$K$4:$AJ$4,0))))=0,NA(),SUMPRODUCT((Inputs!$A$5:$A$200=$B50)*Inputs!$B$5:$B$200*(((Inputs!$G$5:$G$200="moeda")+(Inputs!$G$5:$G$200="acoes"))*Inputs!$B$1+((Inputs!$G$5:$G$200&lt;&gt;"moeda")*(Inputs!$G$5:$G$200&lt;&gt;"acoes")))*INDEX(Inputs!$K$5:$AJ$200,0,MATCH(AD$2,Inputs!$K$4:$AJ$4,0)))+SUMPRODUCT((Inputs!$C$5:$C$200=$B50)*Inputs!$D$5:$D$200*(((Inputs!$G$5:$G$200="moeda")+(Inputs!$G$5:$G$200="acoes"))*Inputs!$B$1+((Inputs!$G$5:$G$200&lt;&gt;"moeda")*(Inputs!$G$5:$G$200&lt;&gt;"acoes")))*INDEX(Inputs!$K$5:$AJ$200,0,MATCH(AD$2,Inputs!$K$4:$AJ$4,0)))+SUMPRODUCT((Inputs!$E$5:$E$200=$B50)*Inputs!$F$5:$F$200*(((Inputs!$G$5:$G$200="moeda")+(Inputs!$G$5:$G$200="acoes"))*Inputs!$B$1+((Inputs!$G$5:$G$200&lt;&gt;"moeda")*(Inputs!$G$5:$G$200&lt;&gt;"acoes")))*INDEX(Inputs!$K$5:$AJ$200,0,MATCH(AD$2,Inputs!$K$4:$AJ$4,0)))))</f>
        <v>-11.147</v>
      </c>
      <c r="AE50" s="6" t="e">
        <f>IF(ISNA(MATCH(AE$2,Inputs!$K$4:$AJ$4,0)),NA(),IF(SUMPRODUCT((Inputs!$A$5:$A$200=$B50)*ISNUMBER(INDEX(Inputs!$K$5:$AJ$200,0,MATCH(AE$2,Inputs!$K$4:$AJ$4,0))))+SUMPRODUCT((Inputs!$C$5:$C$200=$B50)*ISNUMBER(INDEX(Inputs!$K$5:$AJ$200,0,MATCH(AE$2,Inputs!$K$4:$AJ$4,0))))+SUMPRODUCT((Inputs!$E$5:$E$200=$B50)*ISNUMBER(INDEX(Inputs!$K$5:$AJ$200,0,MATCH(AE$2,Inputs!$K$4:$AJ$4,0))))=0,NA(),SUMPRODUCT((Inputs!$A$5:$A$200=$B50)*Inputs!$B$5:$B$200*(((Inputs!$G$5:$G$200="moeda")+(Inputs!$G$5:$G$200="acoes"))*Inputs!$B$1+((Inputs!$G$5:$G$200&lt;&gt;"moeda")*(Inputs!$G$5:$G$200&lt;&gt;"acoes")))*INDEX(Inputs!$K$5:$AJ$200,0,MATCH(AE$2,Inputs!$K$4:$AJ$4,0)))+SUMPRODUCT((Inputs!$C$5:$C$200=$B50)*Inputs!$D$5:$D$200*(((Inputs!$G$5:$G$200="moeda")+(Inputs!$G$5:$G$200="acoes"))*Inputs!$B$1+((Inputs!$G$5:$G$200&lt;&gt;"moeda")*(Inputs!$G$5:$G$200&lt;&gt;"acoes")))*INDEX(Inputs!$K$5:$AJ$200,0,MATCH(AE$2,Inputs!$K$4:$AJ$4,0)))+SUMPRODUCT((Inputs!$E$5:$E$200=$B50)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0" s="6" t="e">
        <f>IF(ISNA(MATCH(AF$2,Inputs!$K$4:$AJ$4,0)),NA(),IF(SUMPRODUCT((Inputs!$A$5:$A$200=$B50)*ISNUMBER(INDEX(Inputs!$K$5:$AJ$200,0,MATCH(AF$2,Inputs!$K$4:$AJ$4,0))))+SUMPRODUCT((Inputs!$C$5:$C$200=$B50)*ISNUMBER(INDEX(Inputs!$K$5:$AJ$200,0,MATCH(AF$2,Inputs!$K$4:$AJ$4,0))))+SUMPRODUCT((Inputs!$E$5:$E$200=$B50)*ISNUMBER(INDEX(Inputs!$K$5:$AJ$200,0,MATCH(AF$2,Inputs!$K$4:$AJ$4,0))))=0,NA(),SUMPRODUCT((Inputs!$A$5:$A$200=$B50)*Inputs!$B$5:$B$200*(((Inputs!$G$5:$G$200="moeda")+(Inputs!$G$5:$G$200="acoes"))*Inputs!$B$1+((Inputs!$G$5:$G$200&lt;&gt;"moeda")*(Inputs!$G$5:$G$200&lt;&gt;"acoes")))*INDEX(Inputs!$K$5:$AJ$200,0,MATCH(AF$2,Inputs!$K$4:$AJ$4,0)))+SUMPRODUCT((Inputs!$C$5:$C$200=$B50)*Inputs!$D$5:$D$200*(((Inputs!$G$5:$G$200="moeda")+(Inputs!$G$5:$G$200="acoes"))*Inputs!$B$1+((Inputs!$G$5:$G$200&lt;&gt;"moeda")*(Inputs!$G$5:$G$200&lt;&gt;"acoes")))*INDEX(Inputs!$K$5:$AJ$200,0,MATCH(AF$2,Inputs!$K$4:$AJ$4,0)))+SUMPRODUCT((Inputs!$E$5:$E$200=$B50)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0" s="3" t="e">
        <f>SUM(AC50:AF50)</f>
        <v>#N/A</v>
      </c>
      <c r="AH50">
        <f>IF(ISNA(MATCH(AH$2,Inputs!$K$4:$AJ$4,0)),NA(),IF(SUMPRODUCT((Inputs!$A$5:$A$200=$B50)*ISNUMBER(INDEX(Inputs!$K$5:$AJ$200,0,MATCH(AH$2,Inputs!$K$4:$AJ$4,0))))+SUMPRODUCT((Inputs!$C$5:$C$200=$B50)*ISNUMBER(INDEX(Inputs!$K$5:$AJ$200,0,MATCH(AH$2,Inputs!$K$4:$AJ$4,0))))+SUMPRODUCT((Inputs!$E$5:$E$200=$B50)*ISNUMBER(INDEX(Inputs!$K$5:$AJ$200,0,MATCH(AH$2,Inputs!$K$4:$AJ$4,0))))=0,NA(),SUMPRODUCT((Inputs!$A$5:$A$200=$B50)*Inputs!$B$5:$B$200*(((Inputs!$G$5:$G$200="moeda")+(Inputs!$G$5:$G$200="acoes"))*Inputs!$B$1+((Inputs!$G$5:$G$200&lt;&gt;"moeda")*(Inputs!$G$5:$G$200&lt;&gt;"acoes")))*INDEX(Inputs!$K$5:$AJ$200,0,MATCH(AH$2,Inputs!$K$4:$AJ$4,0)))+SUMPRODUCT((Inputs!$C$5:$C$200=$B50)*Inputs!$D$5:$D$200*(((Inputs!$G$5:$G$200="moeda")+(Inputs!$G$5:$G$200="acoes"))*Inputs!$B$1+((Inputs!$G$5:$G$200&lt;&gt;"moeda")*(Inputs!$G$5:$G$200&lt;&gt;"acoes")))*INDEX(Inputs!$K$5:$AJ$200,0,MATCH(AH$2,Inputs!$K$4:$AJ$4,0)))+SUMPRODUCT((Inputs!$E$5:$E$200=$B50)*Inputs!$F$5:$F$200*(((Inputs!$G$5:$G$200="moeda")+(Inputs!$G$5:$G$200="acoes"))*Inputs!$B$1+((Inputs!$G$5:$G$200&lt;&gt;"moeda")*(Inputs!$G$5:$G$200&lt;&gt;"acoes")))*INDEX(Inputs!$K$5:$AJ$200,0,MATCH(AH$2,Inputs!$K$4:$AJ$4,0)))))</f>
        <v>-10.009</v>
      </c>
      <c r="AI50">
        <f>IF(ISNA(MATCH(AI$2,Inputs!$K$4:$AJ$4,0)),NA(),IF(SUMPRODUCT((Inputs!$A$5:$A$200=$B50)*ISNUMBER(INDEX(Inputs!$K$5:$AJ$200,0,MATCH(AI$2,Inputs!$K$4:$AJ$4,0))))+SUMPRODUCT((Inputs!$C$5:$C$200=$B50)*ISNUMBER(INDEX(Inputs!$K$5:$AJ$200,0,MATCH(AI$2,Inputs!$K$4:$AJ$4,0))))+SUMPRODUCT((Inputs!$E$5:$E$200=$B50)*ISNUMBER(INDEX(Inputs!$K$5:$AJ$200,0,MATCH(AI$2,Inputs!$K$4:$AJ$4,0))))=0,NA(),SUMPRODUCT((Inputs!$A$5:$A$200=$B50)*Inputs!$B$5:$B$200*(((Inputs!$G$5:$G$200="moeda")+(Inputs!$G$5:$G$200="acoes"))*Inputs!$B$1+((Inputs!$G$5:$G$200&lt;&gt;"moeda")*(Inputs!$G$5:$G$200&lt;&gt;"acoes")))*INDEX(Inputs!$K$5:$AJ$200,0,MATCH(AI$2,Inputs!$K$4:$AJ$4,0)))+SUMPRODUCT((Inputs!$C$5:$C$200=$B50)*Inputs!$D$5:$D$200*(((Inputs!$G$5:$G$200="moeda")+(Inputs!$G$5:$G$200="acoes"))*Inputs!$B$1+((Inputs!$G$5:$G$200&lt;&gt;"moeda")*(Inputs!$G$5:$G$200&lt;&gt;"acoes")))*INDEX(Inputs!$K$5:$AJ$200,0,MATCH(AI$2,Inputs!$K$4:$AJ$4,0)))+SUMPRODUCT((Inputs!$E$5:$E$200=$B50)*Inputs!$F$5:$F$200*(((Inputs!$G$5:$G$200="moeda")+(Inputs!$G$5:$G$200="acoes"))*Inputs!$B$1+((Inputs!$G$5:$G$200&lt;&gt;"moeda")*(Inputs!$G$5:$G$200&lt;&gt;"acoes")))*INDEX(Inputs!$K$5:$AJ$200,0,MATCH(AI$2,Inputs!$K$4:$AJ$4,0)))))</f>
        <v>24.361</v>
      </c>
      <c r="AJ50">
        <f>IF(ISNA(MATCH(AJ$2,Inputs!$K$4:$AJ$4,0)),NA(),IF(SUMPRODUCT((Inputs!$A$5:$A$200=$B50)*ISNUMBER(INDEX(Inputs!$K$5:$AJ$200,0,MATCH(AJ$2,Inputs!$K$4:$AJ$4,0))))+SUMPRODUCT((Inputs!$C$5:$C$200=$B50)*ISNUMBER(INDEX(Inputs!$K$5:$AJ$200,0,MATCH(AJ$2,Inputs!$K$4:$AJ$4,0))))+SUMPRODUCT((Inputs!$E$5:$E$200=$B50)*ISNUMBER(INDEX(Inputs!$K$5:$AJ$200,0,MATCH(AJ$2,Inputs!$K$4:$AJ$4,0))))=0,NA(),SUMPRODUCT((Inputs!$A$5:$A$200=$B50)*Inputs!$B$5:$B$200*(((Inputs!$G$5:$G$200="moeda")+(Inputs!$G$5:$G$200="acoes"))*Inputs!$B$1+((Inputs!$G$5:$G$200&lt;&gt;"moeda")*(Inputs!$G$5:$G$200&lt;&gt;"acoes")))*INDEX(Inputs!$K$5:$AJ$200,0,MATCH(AJ$2,Inputs!$K$4:$AJ$4,0)))+SUMPRODUCT((Inputs!$C$5:$C$200=$B50)*Inputs!$D$5:$D$200*(((Inputs!$G$5:$G$200="moeda")+(Inputs!$G$5:$G$200="acoes"))*Inputs!$B$1+((Inputs!$G$5:$G$200&lt;&gt;"moeda")*(Inputs!$G$5:$G$200&lt;&gt;"acoes")))*INDEX(Inputs!$K$5:$AJ$200,0,MATCH(AJ$2,Inputs!$K$4:$AJ$4,0)))+SUMPRODUCT((Inputs!$E$5:$E$200=$B50)*Inputs!$F$5:$F$200*(((Inputs!$G$5:$G$200="moeda")+(Inputs!$G$5:$G$200="acoes"))*Inputs!$B$1+((Inputs!$G$5:$G$200&lt;&gt;"moeda")*(Inputs!$G$5:$G$200&lt;&gt;"acoes")))*INDEX(Inputs!$K$5:$AJ$200,0,MATCH(AJ$2,Inputs!$K$4:$AJ$4,0)))))</f>
        <v>0.047</v>
      </c>
      <c r="AK50">
        <f>IF(ISNA(MATCH(AK$2,Inputs!$K$4:$AJ$4,0)),NA(),IF(SUMPRODUCT((Inputs!$A$5:$A$200=$B50)*ISNUMBER(INDEX(Inputs!$K$5:$AJ$200,0,MATCH(AK$2,Inputs!$K$4:$AJ$4,0))))+SUMPRODUCT((Inputs!$C$5:$C$200=$B50)*ISNUMBER(INDEX(Inputs!$K$5:$AJ$200,0,MATCH(AK$2,Inputs!$K$4:$AJ$4,0))))+SUMPRODUCT((Inputs!$E$5:$E$200=$B50)*ISNUMBER(INDEX(Inputs!$K$5:$AJ$200,0,MATCH(AK$2,Inputs!$K$4:$AJ$4,0))))=0,NA(),SUMPRODUCT((Inputs!$A$5:$A$200=$B50)*Inputs!$B$5:$B$200*(((Inputs!$G$5:$G$200="moeda")+(Inputs!$G$5:$G$200="acoes"))*Inputs!$B$1+((Inputs!$G$5:$G$200&lt;&gt;"moeda")*(Inputs!$G$5:$G$200&lt;&gt;"acoes")))*INDEX(Inputs!$K$5:$AJ$200,0,MATCH(AK$2,Inputs!$K$4:$AJ$4,0)))+SUMPRODUCT((Inputs!$C$5:$C$200=$B50)*Inputs!$D$5:$D$200*(((Inputs!$G$5:$G$200="moeda")+(Inputs!$G$5:$G$200="acoes"))*Inputs!$B$1+((Inputs!$G$5:$G$200&lt;&gt;"moeda")*(Inputs!$G$5:$G$200&lt;&gt;"acoes")))*INDEX(Inputs!$K$5:$AJ$200,0,MATCH(AK$2,Inputs!$K$4:$AJ$4,0)))+SUMPRODUCT((Inputs!$E$5:$E$200=$B50)*Inputs!$F$5:$F$200*(((Inputs!$G$5:$G$200="moeda")+(Inputs!$G$5:$G$200="acoes"))*Inputs!$B$1+((Inputs!$G$5:$G$200&lt;&gt;"moeda")*(Inputs!$G$5:$G$200&lt;&gt;"acoes")))*INDEX(Inputs!$K$5:$AJ$200,0,MATCH(AK$2,Inputs!$K$4:$AJ$4,0)))))</f>
        <v>-10.854</v>
      </c>
      <c r="AL50">
        <f>SUM(AH50:AK50)</f>
        <v>3.545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liquida - Tratamento e destinacao final (R$ mil; releases)</t>
        </is>
      </c>
      <c r="D53" s="262">
        <f>IF(ISNA(MATCH(D$2,Inputs!$K$4:$AJ$4,0)),NA(),IF(SUMPRODUCT((Inputs!$A$5:$A$200=$B53)*ISNUMBER(INDEX(Inputs!$K$5:$AJ$200,0,MATCH(D$2,Inputs!$K$4:$AJ$4,0))))+SUMPRODUCT((Inputs!$C$5:$C$200=$B53)*ISNUMBER(INDEX(Inputs!$K$5:$AJ$200,0,MATCH(D$2,Inputs!$K$4:$AJ$4,0))))+SUMPRODUCT((Inputs!$E$5:$E$200=$B53)*ISNUMBER(INDEX(Inputs!$K$5:$AJ$200,0,MATCH(D$2,Inputs!$K$4:$AJ$4,0))))=0,NA(),SUMPRODUCT((Inputs!$A$5:$A$200=$B53)*Inputs!$B$5:$B$200*(((Inputs!$G$5:$G$200="moeda")+(Inputs!$G$5:$G$200="acoes"))*Inputs!$B$1+((Inputs!$G$5:$G$200&lt;&gt;"moeda")*(Inputs!$G$5:$G$200&lt;&gt;"acoes")))*INDEX(Inputs!$K$5:$AJ$200,0,MATCH(D$2,Inputs!$K$4:$AJ$4,0)))+SUMPRODUCT((Inputs!$C$5:$C$200=$B53)*Inputs!$D$5:$D$200*(((Inputs!$G$5:$G$200="moeda")+(Inputs!$G$5:$G$200="acoes"))*Inputs!$B$1+((Inputs!$G$5:$G$200&lt;&gt;"moeda")*(Inputs!$G$5:$G$200&lt;&gt;"acoes")))*INDEX(Inputs!$K$5:$AJ$200,0,MATCH(D$2,Inputs!$K$4:$AJ$4,0)))+SUMPRODUCT((Inputs!$E$5:$E$200=$B53)*Inputs!$F$5:$F$200*(((Inputs!$G$5:$G$200="moeda")+(Inputs!$G$5:$G$200="acoes"))*Inputs!$B$1+((Inputs!$G$5:$G$200&lt;&gt;"moeda")*(Inputs!$G$5:$G$200&lt;&gt;"acoes")))*INDEX(Inputs!$K$5:$AJ$200,0,MATCH(D$2,Inputs!$K$4:$AJ$4,0)))))</f>
        <v>62.245</v>
      </c>
      <c r="E53" s="262">
        <f>IF(ISNA(MATCH(E$2,Inputs!$K$4:$AJ$4,0)),NA(),IF(SUMPRODUCT((Inputs!$A$5:$A$200=$B53)*ISNUMBER(INDEX(Inputs!$K$5:$AJ$200,0,MATCH(E$2,Inputs!$K$4:$AJ$4,0))))+SUMPRODUCT((Inputs!$C$5:$C$200=$B53)*ISNUMBER(INDEX(Inputs!$K$5:$AJ$200,0,MATCH(E$2,Inputs!$K$4:$AJ$4,0))))+SUMPRODUCT((Inputs!$E$5:$E$200=$B53)*ISNUMBER(INDEX(Inputs!$K$5:$AJ$200,0,MATCH(E$2,Inputs!$K$4:$AJ$4,0))))=0,NA(),SUMPRODUCT((Inputs!$A$5:$A$200=$B53)*Inputs!$B$5:$B$200*(((Inputs!$G$5:$G$200="moeda")+(Inputs!$G$5:$G$200="acoes"))*Inputs!$B$1+((Inputs!$G$5:$G$200&lt;&gt;"moeda")*(Inputs!$G$5:$G$200&lt;&gt;"acoes")))*INDEX(Inputs!$K$5:$AJ$200,0,MATCH(E$2,Inputs!$K$4:$AJ$4,0)))+SUMPRODUCT((Inputs!$C$5:$C$200=$B53)*Inputs!$D$5:$D$200*(((Inputs!$G$5:$G$200="moeda")+(Inputs!$G$5:$G$200="acoes"))*Inputs!$B$1+((Inputs!$G$5:$G$200&lt;&gt;"moeda")*(Inputs!$G$5:$G$200&lt;&gt;"acoes")))*INDEX(Inputs!$K$5:$AJ$200,0,MATCH(E$2,Inputs!$K$4:$AJ$4,0)))+SUMPRODUCT((Inputs!$E$5:$E$200=$B53)*Inputs!$F$5:$F$200*(((Inputs!$G$5:$G$200="moeda")+(Inputs!$G$5:$G$200="acoes"))*Inputs!$B$1+((Inputs!$G$5:$G$200&lt;&gt;"moeda")*(Inputs!$G$5:$G$200&lt;&gt;"acoes")))*INDEX(Inputs!$K$5:$AJ$200,0,MATCH(E$2,Inputs!$K$4:$AJ$4,0)))))</f>
        <v>62.273</v>
      </c>
      <c r="F53" s="262">
        <f>IF(ISNA(MATCH(F$2,Inputs!$K$4:$AJ$4,0)),NA(),IF(SUMPRODUCT((Inputs!$A$5:$A$200=$B53)*ISNUMBER(INDEX(Inputs!$K$5:$AJ$200,0,MATCH(F$2,Inputs!$K$4:$AJ$4,0))))+SUMPRODUCT((Inputs!$C$5:$C$200=$B53)*ISNUMBER(INDEX(Inputs!$K$5:$AJ$200,0,MATCH(F$2,Inputs!$K$4:$AJ$4,0))))+SUMPRODUCT((Inputs!$E$5:$E$200=$B53)*ISNUMBER(INDEX(Inputs!$K$5:$AJ$200,0,MATCH(F$2,Inputs!$K$4:$AJ$4,0))))=0,NA(),SUMPRODUCT((Inputs!$A$5:$A$200=$B53)*Inputs!$B$5:$B$200*(((Inputs!$G$5:$G$200="moeda")+(Inputs!$G$5:$G$200="acoes"))*Inputs!$B$1+((Inputs!$G$5:$G$200&lt;&gt;"moeda")*(Inputs!$G$5:$G$200&lt;&gt;"acoes")))*INDEX(Inputs!$K$5:$AJ$200,0,MATCH(F$2,Inputs!$K$4:$AJ$4,0)))+SUMPRODUCT((Inputs!$C$5:$C$200=$B53)*Inputs!$D$5:$D$200*(((Inputs!$G$5:$G$200="moeda")+(Inputs!$G$5:$G$200="acoes"))*Inputs!$B$1+((Inputs!$G$5:$G$200&lt;&gt;"moeda")*(Inputs!$G$5:$G$200&lt;&gt;"acoes")))*INDEX(Inputs!$K$5:$AJ$200,0,MATCH(F$2,Inputs!$K$4:$AJ$4,0)))+SUMPRODUCT((Inputs!$E$5:$E$200=$B53)*Inputs!$F$5:$F$200*(((Inputs!$G$5:$G$200="moeda")+(Inputs!$G$5:$G$200="acoes"))*Inputs!$B$1+((Inputs!$G$5:$G$200&lt;&gt;"moeda")*(Inputs!$G$5:$G$200&lt;&gt;"acoes")))*INDEX(Inputs!$K$5:$AJ$200,0,MATCH(F$2,Inputs!$K$4:$AJ$4,0)))))</f>
        <v>63.828</v>
      </c>
      <c r="G53" s="262">
        <f>IF(ISNA(MATCH(G$2,Inputs!$K$4:$AJ$4,0)),NA(),IF(SUMPRODUCT((Inputs!$A$5:$A$200=$B53)*ISNUMBER(INDEX(Inputs!$K$5:$AJ$200,0,MATCH(G$2,Inputs!$K$4:$AJ$4,0))))+SUMPRODUCT((Inputs!$C$5:$C$200=$B53)*ISNUMBER(INDEX(Inputs!$K$5:$AJ$200,0,MATCH(G$2,Inputs!$K$4:$AJ$4,0))))+SUMPRODUCT((Inputs!$E$5:$E$200=$B53)*ISNUMBER(INDEX(Inputs!$K$5:$AJ$200,0,MATCH(G$2,Inputs!$K$4:$AJ$4,0))))=0,NA(),SUMPRODUCT((Inputs!$A$5:$A$200=$B53)*Inputs!$B$5:$B$200*(((Inputs!$G$5:$G$200="moeda")+(Inputs!$G$5:$G$200="acoes"))*Inputs!$B$1+((Inputs!$G$5:$G$200&lt;&gt;"moeda")*(Inputs!$G$5:$G$200&lt;&gt;"acoes")))*INDEX(Inputs!$K$5:$AJ$200,0,MATCH(G$2,Inputs!$K$4:$AJ$4,0)))+SUMPRODUCT((Inputs!$C$5:$C$200=$B53)*Inputs!$D$5:$D$200*(((Inputs!$G$5:$G$200="moeda")+(Inputs!$G$5:$G$200="acoes"))*Inputs!$B$1+((Inputs!$G$5:$G$200&lt;&gt;"moeda")*(Inputs!$G$5:$G$200&lt;&gt;"acoes")))*INDEX(Inputs!$K$5:$AJ$200,0,MATCH(G$2,Inputs!$K$4:$AJ$4,0)))+SUMPRODUCT((Inputs!$E$5:$E$200=$B53)*Inputs!$F$5:$F$200*(((Inputs!$G$5:$G$200="moeda")+(Inputs!$G$5:$G$200="acoes"))*Inputs!$B$1+((Inputs!$G$5:$G$200&lt;&gt;"moeda")*(Inputs!$G$5:$G$200&lt;&gt;"acoes")))*INDEX(Inputs!$K$5:$AJ$200,0,MATCH(G$2,Inputs!$K$4:$AJ$4,0)))))</f>
        <v>78.351</v>
      </c>
      <c r="H53" s="263">
        <f>SUM(D53:G53)</f>
        <v>266.697</v>
      </c>
      <c r="I53" s="262">
        <f>IF(ISNA(MATCH(I$2,Inputs!$K$4:$AJ$4,0)),NA(),IF(SUMPRODUCT((Inputs!$A$5:$A$200=$B53)*ISNUMBER(INDEX(Inputs!$K$5:$AJ$200,0,MATCH(I$2,Inputs!$K$4:$AJ$4,0))))+SUMPRODUCT((Inputs!$C$5:$C$200=$B53)*ISNUMBER(INDEX(Inputs!$K$5:$AJ$200,0,MATCH(I$2,Inputs!$K$4:$AJ$4,0))))+SUMPRODUCT((Inputs!$E$5:$E$200=$B53)*ISNUMBER(INDEX(Inputs!$K$5:$AJ$200,0,MATCH(I$2,Inputs!$K$4:$AJ$4,0))))=0,NA(),SUMPRODUCT((Inputs!$A$5:$A$200=$B53)*Inputs!$B$5:$B$200*(((Inputs!$G$5:$G$200="moeda")+(Inputs!$G$5:$G$200="acoes"))*Inputs!$B$1+((Inputs!$G$5:$G$200&lt;&gt;"moeda")*(Inputs!$G$5:$G$200&lt;&gt;"acoes")))*INDEX(Inputs!$K$5:$AJ$200,0,MATCH(I$2,Inputs!$K$4:$AJ$4,0)))+SUMPRODUCT((Inputs!$C$5:$C$200=$B53)*Inputs!$D$5:$D$200*(((Inputs!$G$5:$G$200="moeda")+(Inputs!$G$5:$G$200="acoes"))*Inputs!$B$1+((Inputs!$G$5:$G$200&lt;&gt;"moeda")*(Inputs!$G$5:$G$200&lt;&gt;"acoes")))*INDEX(Inputs!$K$5:$AJ$200,0,MATCH(I$2,Inputs!$K$4:$AJ$4,0)))+SUMPRODUCT((Inputs!$E$5:$E$200=$B53)*Inputs!$F$5:$F$200*(((Inputs!$G$5:$G$200="moeda")+(Inputs!$G$5:$G$200="acoes"))*Inputs!$B$1+((Inputs!$G$5:$G$200&lt;&gt;"moeda")*(Inputs!$G$5:$G$200&lt;&gt;"acoes")))*INDEX(Inputs!$K$5:$AJ$200,0,MATCH(I$2,Inputs!$K$4:$AJ$4,0)))))</f>
        <v>75.119</v>
      </c>
      <c r="J53" s="262">
        <f>IF(ISNA(MATCH(J$2,Inputs!$K$4:$AJ$4,0)),NA(),IF(SUMPRODUCT((Inputs!$A$5:$A$200=$B53)*ISNUMBER(INDEX(Inputs!$K$5:$AJ$200,0,MATCH(J$2,Inputs!$K$4:$AJ$4,0))))+SUMPRODUCT((Inputs!$C$5:$C$200=$B53)*ISNUMBER(INDEX(Inputs!$K$5:$AJ$200,0,MATCH(J$2,Inputs!$K$4:$AJ$4,0))))+SUMPRODUCT((Inputs!$E$5:$E$200=$B53)*ISNUMBER(INDEX(Inputs!$K$5:$AJ$200,0,MATCH(J$2,Inputs!$K$4:$AJ$4,0))))=0,NA(),SUMPRODUCT((Inputs!$A$5:$A$200=$B53)*Inputs!$B$5:$B$200*(((Inputs!$G$5:$G$200="moeda")+(Inputs!$G$5:$G$200="acoes"))*Inputs!$B$1+((Inputs!$G$5:$G$200&lt;&gt;"moeda")*(Inputs!$G$5:$G$200&lt;&gt;"acoes")))*INDEX(Inputs!$K$5:$AJ$200,0,MATCH(J$2,Inputs!$K$4:$AJ$4,0)))+SUMPRODUCT((Inputs!$C$5:$C$200=$B53)*Inputs!$D$5:$D$200*(((Inputs!$G$5:$G$200="moeda")+(Inputs!$G$5:$G$200="acoes"))*Inputs!$B$1+((Inputs!$G$5:$G$200&lt;&gt;"moeda")*(Inputs!$G$5:$G$200&lt;&gt;"acoes")))*INDEX(Inputs!$K$5:$AJ$200,0,MATCH(J$2,Inputs!$K$4:$AJ$4,0)))+SUMPRODUCT((Inputs!$E$5:$E$200=$B53)*Inputs!$F$5:$F$200*(((Inputs!$G$5:$G$200="moeda")+(Inputs!$G$5:$G$200="acoes"))*Inputs!$B$1+((Inputs!$G$5:$G$200&lt;&gt;"moeda")*(Inputs!$G$5:$G$200&lt;&gt;"acoes")))*INDEX(Inputs!$K$5:$AJ$200,0,MATCH(J$2,Inputs!$K$4:$AJ$4,0)))))</f>
        <v>121.928</v>
      </c>
      <c r="K53" s="262">
        <f>IF(ISNA(MATCH(K$2,Inputs!$K$4:$AJ$4,0)),NA(),IF(SUMPRODUCT((Inputs!$A$5:$A$200=$B53)*ISNUMBER(INDEX(Inputs!$K$5:$AJ$200,0,MATCH(K$2,Inputs!$K$4:$AJ$4,0))))+SUMPRODUCT((Inputs!$C$5:$C$200=$B53)*ISNUMBER(INDEX(Inputs!$K$5:$AJ$200,0,MATCH(K$2,Inputs!$K$4:$AJ$4,0))))+SUMPRODUCT((Inputs!$E$5:$E$200=$B53)*ISNUMBER(INDEX(Inputs!$K$5:$AJ$200,0,MATCH(K$2,Inputs!$K$4:$AJ$4,0))))=0,NA(),SUMPRODUCT((Inputs!$A$5:$A$200=$B53)*Inputs!$B$5:$B$200*(((Inputs!$G$5:$G$200="moeda")+(Inputs!$G$5:$G$200="acoes"))*Inputs!$B$1+((Inputs!$G$5:$G$200&lt;&gt;"moeda")*(Inputs!$G$5:$G$200&lt;&gt;"acoes")))*INDEX(Inputs!$K$5:$AJ$200,0,MATCH(K$2,Inputs!$K$4:$AJ$4,0)))+SUMPRODUCT((Inputs!$C$5:$C$200=$B53)*Inputs!$D$5:$D$200*(((Inputs!$G$5:$G$200="moeda")+(Inputs!$G$5:$G$200="acoes"))*Inputs!$B$1+((Inputs!$G$5:$G$200&lt;&gt;"moeda")*(Inputs!$G$5:$G$200&lt;&gt;"acoes")))*INDEX(Inputs!$K$5:$AJ$200,0,MATCH(K$2,Inputs!$K$4:$AJ$4,0)))+SUMPRODUCT((Inputs!$E$5:$E$200=$B53)*Inputs!$F$5:$F$200*(((Inputs!$G$5:$G$200="moeda")+(Inputs!$G$5:$G$200="acoes"))*Inputs!$B$1+((Inputs!$G$5:$G$200&lt;&gt;"moeda")*(Inputs!$G$5:$G$200&lt;&gt;"acoes")))*INDEX(Inputs!$K$5:$AJ$200,0,MATCH(K$2,Inputs!$K$4:$AJ$4,0)))))</f>
        <v>154.009</v>
      </c>
      <c r="L53" s="262">
        <f>IF(ISNA(MATCH(L$2,Inputs!$K$4:$AJ$4,0)),NA(),IF(SUMPRODUCT((Inputs!$A$5:$A$200=$B53)*ISNUMBER(INDEX(Inputs!$K$5:$AJ$200,0,MATCH(L$2,Inputs!$K$4:$AJ$4,0))))+SUMPRODUCT((Inputs!$C$5:$C$200=$B53)*ISNUMBER(INDEX(Inputs!$K$5:$AJ$200,0,MATCH(L$2,Inputs!$K$4:$AJ$4,0))))+SUMPRODUCT((Inputs!$E$5:$E$200=$B53)*ISNUMBER(INDEX(Inputs!$K$5:$AJ$200,0,MATCH(L$2,Inputs!$K$4:$AJ$4,0))))=0,NA(),SUMPRODUCT((Inputs!$A$5:$A$200=$B53)*Inputs!$B$5:$B$200*(((Inputs!$G$5:$G$200="moeda")+(Inputs!$G$5:$G$200="acoes"))*Inputs!$B$1+((Inputs!$G$5:$G$200&lt;&gt;"moeda")*(Inputs!$G$5:$G$200&lt;&gt;"acoes")))*INDEX(Inputs!$K$5:$AJ$200,0,MATCH(L$2,Inputs!$K$4:$AJ$4,0)))+SUMPRODUCT((Inputs!$C$5:$C$200=$B53)*Inputs!$D$5:$D$200*(((Inputs!$G$5:$G$200="moeda")+(Inputs!$G$5:$G$200="acoes"))*Inputs!$B$1+((Inputs!$G$5:$G$200&lt;&gt;"moeda")*(Inputs!$G$5:$G$200&lt;&gt;"acoes")))*INDEX(Inputs!$K$5:$AJ$200,0,MATCH(L$2,Inputs!$K$4:$AJ$4,0)))+SUMPRODUCT((Inputs!$E$5:$E$200=$B53)*Inputs!$F$5:$F$200*(((Inputs!$G$5:$G$200="moeda")+(Inputs!$G$5:$G$200="acoes"))*Inputs!$B$1+((Inputs!$G$5:$G$200&lt;&gt;"moeda")*(Inputs!$G$5:$G$200&lt;&gt;"acoes")))*INDEX(Inputs!$K$5:$AJ$200,0,MATCH(L$2,Inputs!$K$4:$AJ$4,0)))))</f>
        <v>140.74</v>
      </c>
      <c r="M53" s="263">
        <f>SUM(I53:L53)</f>
        <v>491.796</v>
      </c>
      <c r="N53" s="262">
        <f>IF(ISNA(MATCH(N$2,Inputs!$K$4:$AJ$4,0)),NA(),IF(SUMPRODUCT((Inputs!$A$5:$A$200=$B53)*ISNUMBER(INDEX(Inputs!$K$5:$AJ$200,0,MATCH(N$2,Inputs!$K$4:$AJ$4,0))))+SUMPRODUCT((Inputs!$C$5:$C$200=$B53)*ISNUMBER(INDEX(Inputs!$K$5:$AJ$200,0,MATCH(N$2,Inputs!$K$4:$AJ$4,0))))+SUMPRODUCT((Inputs!$E$5:$E$200=$B53)*ISNUMBER(INDEX(Inputs!$K$5:$AJ$200,0,MATCH(N$2,Inputs!$K$4:$AJ$4,0))))=0,NA(),SUMPRODUCT((Inputs!$A$5:$A$200=$B53)*Inputs!$B$5:$B$200*(((Inputs!$G$5:$G$200="moeda")+(Inputs!$G$5:$G$200="acoes"))*Inputs!$B$1+((Inputs!$G$5:$G$200&lt;&gt;"moeda")*(Inputs!$G$5:$G$200&lt;&gt;"acoes")))*INDEX(Inputs!$K$5:$AJ$200,0,MATCH(N$2,Inputs!$K$4:$AJ$4,0)))+SUMPRODUCT((Inputs!$C$5:$C$200=$B53)*Inputs!$D$5:$D$200*(((Inputs!$G$5:$G$200="moeda")+(Inputs!$G$5:$G$200="acoes"))*Inputs!$B$1+((Inputs!$G$5:$G$200&lt;&gt;"moeda")*(Inputs!$G$5:$G$200&lt;&gt;"acoes")))*INDEX(Inputs!$K$5:$AJ$200,0,MATCH(N$2,Inputs!$K$4:$AJ$4,0)))+SUMPRODUCT((Inputs!$E$5:$E$200=$B53)*Inputs!$F$5:$F$200*(((Inputs!$G$5:$G$200="moeda")+(Inputs!$G$5:$G$200="acoes"))*Inputs!$B$1+((Inputs!$G$5:$G$200&lt;&gt;"moeda")*(Inputs!$G$5:$G$200&lt;&gt;"acoes")))*INDEX(Inputs!$K$5:$AJ$200,0,MATCH(N$2,Inputs!$K$4:$AJ$4,0)))))</f>
        <v>136.507</v>
      </c>
      <c r="O53" s="262">
        <f>IF(ISNA(MATCH(O$2,Inputs!$K$4:$AJ$4,0)),NA(),IF(SUMPRODUCT((Inputs!$A$5:$A$200=$B53)*ISNUMBER(INDEX(Inputs!$K$5:$AJ$200,0,MATCH(O$2,Inputs!$K$4:$AJ$4,0))))+SUMPRODUCT((Inputs!$C$5:$C$200=$B53)*ISNUMBER(INDEX(Inputs!$K$5:$AJ$200,0,MATCH(O$2,Inputs!$K$4:$AJ$4,0))))+SUMPRODUCT((Inputs!$E$5:$E$200=$B53)*ISNUMBER(INDEX(Inputs!$K$5:$AJ$200,0,MATCH(O$2,Inputs!$K$4:$AJ$4,0))))=0,NA(),SUMPRODUCT((Inputs!$A$5:$A$200=$B53)*Inputs!$B$5:$B$200*(((Inputs!$G$5:$G$200="moeda")+(Inputs!$G$5:$G$200="acoes"))*Inputs!$B$1+((Inputs!$G$5:$G$200&lt;&gt;"moeda")*(Inputs!$G$5:$G$200&lt;&gt;"acoes")))*INDEX(Inputs!$K$5:$AJ$200,0,MATCH(O$2,Inputs!$K$4:$AJ$4,0)))+SUMPRODUCT((Inputs!$C$5:$C$200=$B53)*Inputs!$D$5:$D$200*(((Inputs!$G$5:$G$200="moeda")+(Inputs!$G$5:$G$200="acoes"))*Inputs!$B$1+((Inputs!$G$5:$G$200&lt;&gt;"moeda")*(Inputs!$G$5:$G$200&lt;&gt;"acoes")))*INDEX(Inputs!$K$5:$AJ$200,0,MATCH(O$2,Inputs!$K$4:$AJ$4,0)))+SUMPRODUCT((Inputs!$E$5:$E$200=$B53)*Inputs!$F$5:$F$200*(((Inputs!$G$5:$G$200="moeda")+(Inputs!$G$5:$G$200="acoes"))*Inputs!$B$1+((Inputs!$G$5:$G$200&lt;&gt;"moeda")*(Inputs!$G$5:$G$200&lt;&gt;"acoes")))*INDEX(Inputs!$K$5:$AJ$200,0,MATCH(O$2,Inputs!$K$4:$AJ$4,0)))))</f>
        <v>148.257</v>
      </c>
      <c r="P53" s="262">
        <f>IF(ISNA(MATCH(P$2,Inputs!$K$4:$AJ$4,0)),NA(),IF(SUMPRODUCT((Inputs!$A$5:$A$200=$B53)*ISNUMBER(INDEX(Inputs!$K$5:$AJ$200,0,MATCH(P$2,Inputs!$K$4:$AJ$4,0))))+SUMPRODUCT((Inputs!$C$5:$C$200=$B53)*ISNUMBER(INDEX(Inputs!$K$5:$AJ$200,0,MATCH(P$2,Inputs!$K$4:$AJ$4,0))))+SUMPRODUCT((Inputs!$E$5:$E$200=$B53)*ISNUMBER(INDEX(Inputs!$K$5:$AJ$200,0,MATCH(P$2,Inputs!$K$4:$AJ$4,0))))=0,NA(),SUMPRODUCT((Inputs!$A$5:$A$200=$B53)*Inputs!$B$5:$B$200*(((Inputs!$G$5:$G$200="moeda")+(Inputs!$G$5:$G$200="acoes"))*Inputs!$B$1+((Inputs!$G$5:$G$200&lt;&gt;"moeda")*(Inputs!$G$5:$G$200&lt;&gt;"acoes")))*INDEX(Inputs!$K$5:$AJ$200,0,MATCH(P$2,Inputs!$K$4:$AJ$4,0)))+SUMPRODUCT((Inputs!$C$5:$C$200=$B53)*Inputs!$D$5:$D$200*(((Inputs!$G$5:$G$200="moeda")+(Inputs!$G$5:$G$200="acoes"))*Inputs!$B$1+((Inputs!$G$5:$G$200&lt;&gt;"moeda")*(Inputs!$G$5:$G$200&lt;&gt;"acoes")))*INDEX(Inputs!$K$5:$AJ$200,0,MATCH(P$2,Inputs!$K$4:$AJ$4,0)))+SUMPRODUCT((Inputs!$E$5:$E$200=$B53)*Inputs!$F$5:$F$200*(((Inputs!$G$5:$G$200="moeda")+(Inputs!$G$5:$G$200="acoes"))*Inputs!$B$1+((Inputs!$G$5:$G$200&lt;&gt;"moeda")*(Inputs!$G$5:$G$200&lt;&gt;"acoes")))*INDEX(Inputs!$K$5:$AJ$200,0,MATCH(P$2,Inputs!$K$4:$AJ$4,0)))))</f>
        <v>145.237</v>
      </c>
      <c r="Q53" s="262">
        <f>IF(ISNA(MATCH(Q$2,Inputs!$K$4:$AJ$4,0)),NA(),IF(SUMPRODUCT((Inputs!$A$5:$A$200=$B53)*ISNUMBER(INDEX(Inputs!$K$5:$AJ$200,0,MATCH(Q$2,Inputs!$K$4:$AJ$4,0))))+SUMPRODUCT((Inputs!$C$5:$C$200=$B53)*ISNUMBER(INDEX(Inputs!$K$5:$AJ$200,0,MATCH(Q$2,Inputs!$K$4:$AJ$4,0))))+SUMPRODUCT((Inputs!$E$5:$E$200=$B53)*ISNUMBER(INDEX(Inputs!$K$5:$AJ$200,0,MATCH(Q$2,Inputs!$K$4:$AJ$4,0))))=0,NA(),SUMPRODUCT((Inputs!$A$5:$A$200=$B53)*Inputs!$B$5:$B$200*(((Inputs!$G$5:$G$200="moeda")+(Inputs!$G$5:$G$200="acoes"))*Inputs!$B$1+((Inputs!$G$5:$G$200&lt;&gt;"moeda")*(Inputs!$G$5:$G$200&lt;&gt;"acoes")))*INDEX(Inputs!$K$5:$AJ$200,0,MATCH(Q$2,Inputs!$K$4:$AJ$4,0)))+SUMPRODUCT((Inputs!$C$5:$C$200=$B53)*Inputs!$D$5:$D$200*(((Inputs!$G$5:$G$200="moeda")+(Inputs!$G$5:$G$200="acoes"))*Inputs!$B$1+((Inputs!$G$5:$G$200&lt;&gt;"moeda")*(Inputs!$G$5:$G$200&lt;&gt;"acoes")))*INDEX(Inputs!$K$5:$AJ$200,0,MATCH(Q$2,Inputs!$K$4:$AJ$4,0)))+SUMPRODUCT((Inputs!$E$5:$E$200=$B53)*Inputs!$F$5:$F$200*(((Inputs!$G$5:$G$200="moeda")+(Inputs!$G$5:$G$200="acoes"))*Inputs!$B$1+((Inputs!$G$5:$G$200&lt;&gt;"moeda")*(Inputs!$G$5:$G$200&lt;&gt;"acoes")))*INDEX(Inputs!$K$5:$AJ$200,0,MATCH(Q$2,Inputs!$K$4:$AJ$4,0)))))</f>
        <v>153.02</v>
      </c>
      <c r="R53" s="263">
        <f>SUM(N53:Q53)</f>
        <v>583.021</v>
      </c>
      <c r="S53" s="262">
        <f>IF(ISNA(MATCH(S$2,Inputs!$K$4:$AJ$4,0)),NA(),IF(SUMPRODUCT((Inputs!$A$5:$A$200=$B53)*ISNUMBER(INDEX(Inputs!$K$5:$AJ$200,0,MATCH(S$2,Inputs!$K$4:$AJ$4,0))))+SUMPRODUCT((Inputs!$C$5:$C$200=$B53)*ISNUMBER(INDEX(Inputs!$K$5:$AJ$200,0,MATCH(S$2,Inputs!$K$4:$AJ$4,0))))+SUMPRODUCT((Inputs!$E$5:$E$200=$B53)*ISNUMBER(INDEX(Inputs!$K$5:$AJ$200,0,MATCH(S$2,Inputs!$K$4:$AJ$4,0))))=0,NA(),SUMPRODUCT((Inputs!$A$5:$A$200=$B53)*Inputs!$B$5:$B$200*(((Inputs!$G$5:$G$200="moeda")+(Inputs!$G$5:$G$200="acoes"))*Inputs!$B$1+((Inputs!$G$5:$G$200&lt;&gt;"moeda")*(Inputs!$G$5:$G$200&lt;&gt;"acoes")))*INDEX(Inputs!$K$5:$AJ$200,0,MATCH(S$2,Inputs!$K$4:$AJ$4,0)))+SUMPRODUCT((Inputs!$C$5:$C$200=$B53)*Inputs!$D$5:$D$200*(((Inputs!$G$5:$G$200="moeda")+(Inputs!$G$5:$G$200="acoes"))*Inputs!$B$1+((Inputs!$G$5:$G$200&lt;&gt;"moeda")*(Inputs!$G$5:$G$200&lt;&gt;"acoes")))*INDEX(Inputs!$K$5:$AJ$200,0,MATCH(S$2,Inputs!$K$4:$AJ$4,0)))+SUMPRODUCT((Inputs!$E$5:$E$200=$B53)*Inputs!$F$5:$F$200*(((Inputs!$G$5:$G$200="moeda")+(Inputs!$G$5:$G$200="acoes"))*Inputs!$B$1+((Inputs!$G$5:$G$200&lt;&gt;"moeda")*(Inputs!$G$5:$G$200&lt;&gt;"acoes")))*INDEX(Inputs!$K$5:$AJ$200,0,MATCH(S$2,Inputs!$K$4:$AJ$4,0)))))</f>
        <v>162.45</v>
      </c>
      <c r="T53" s="262">
        <f>IF(ISNA(MATCH(T$2,Inputs!$K$4:$AJ$4,0)),NA(),IF(SUMPRODUCT((Inputs!$A$5:$A$200=$B53)*ISNUMBER(INDEX(Inputs!$K$5:$AJ$200,0,MATCH(T$2,Inputs!$K$4:$AJ$4,0))))+SUMPRODUCT((Inputs!$C$5:$C$200=$B53)*ISNUMBER(INDEX(Inputs!$K$5:$AJ$200,0,MATCH(T$2,Inputs!$K$4:$AJ$4,0))))+SUMPRODUCT((Inputs!$E$5:$E$200=$B53)*ISNUMBER(INDEX(Inputs!$K$5:$AJ$200,0,MATCH(T$2,Inputs!$K$4:$AJ$4,0))))=0,NA(),SUMPRODUCT((Inputs!$A$5:$A$200=$B53)*Inputs!$B$5:$B$200*(((Inputs!$G$5:$G$200="moeda")+(Inputs!$G$5:$G$200="acoes"))*Inputs!$B$1+((Inputs!$G$5:$G$200&lt;&gt;"moeda")*(Inputs!$G$5:$G$200&lt;&gt;"acoes")))*INDEX(Inputs!$K$5:$AJ$200,0,MATCH(T$2,Inputs!$K$4:$AJ$4,0)))+SUMPRODUCT((Inputs!$C$5:$C$200=$B53)*Inputs!$D$5:$D$200*(((Inputs!$G$5:$G$200="moeda")+(Inputs!$G$5:$G$200="acoes"))*Inputs!$B$1+((Inputs!$G$5:$G$200&lt;&gt;"moeda")*(Inputs!$G$5:$G$200&lt;&gt;"acoes")))*INDEX(Inputs!$K$5:$AJ$200,0,MATCH(T$2,Inputs!$K$4:$AJ$4,0)))+SUMPRODUCT((Inputs!$E$5:$E$200=$B53)*Inputs!$F$5:$F$200*(((Inputs!$G$5:$G$200="moeda")+(Inputs!$G$5:$G$200="acoes"))*Inputs!$B$1+((Inputs!$G$5:$G$200&lt;&gt;"moeda")*(Inputs!$G$5:$G$200&lt;&gt;"acoes")))*INDEX(Inputs!$K$5:$AJ$200,0,MATCH(T$2,Inputs!$K$4:$AJ$4,0)))))</f>
        <v>160.347</v>
      </c>
      <c r="U53" s="262">
        <f>IF(ISNA(MATCH(U$2,Inputs!$K$4:$AJ$4,0)),NA(),IF(SUMPRODUCT((Inputs!$A$5:$A$200=$B53)*ISNUMBER(INDEX(Inputs!$K$5:$AJ$200,0,MATCH(U$2,Inputs!$K$4:$AJ$4,0))))+SUMPRODUCT((Inputs!$C$5:$C$200=$B53)*ISNUMBER(INDEX(Inputs!$K$5:$AJ$200,0,MATCH(U$2,Inputs!$K$4:$AJ$4,0))))+SUMPRODUCT((Inputs!$E$5:$E$200=$B53)*ISNUMBER(INDEX(Inputs!$K$5:$AJ$200,0,MATCH(U$2,Inputs!$K$4:$AJ$4,0))))=0,NA(),SUMPRODUCT((Inputs!$A$5:$A$200=$B53)*Inputs!$B$5:$B$200*(((Inputs!$G$5:$G$200="moeda")+(Inputs!$G$5:$G$200="acoes"))*Inputs!$B$1+((Inputs!$G$5:$G$200&lt;&gt;"moeda")*(Inputs!$G$5:$G$200&lt;&gt;"acoes")))*INDEX(Inputs!$K$5:$AJ$200,0,MATCH(U$2,Inputs!$K$4:$AJ$4,0)))+SUMPRODUCT((Inputs!$C$5:$C$200=$B53)*Inputs!$D$5:$D$200*(((Inputs!$G$5:$G$200="moeda")+(Inputs!$G$5:$G$200="acoes"))*Inputs!$B$1+((Inputs!$G$5:$G$200&lt;&gt;"moeda")*(Inputs!$G$5:$G$200&lt;&gt;"acoes")))*INDEX(Inputs!$K$5:$AJ$200,0,MATCH(U$2,Inputs!$K$4:$AJ$4,0)))+SUMPRODUCT((Inputs!$E$5:$E$200=$B53)*Inputs!$F$5:$F$200*(((Inputs!$G$5:$G$200="moeda")+(Inputs!$G$5:$G$200="acoes"))*Inputs!$B$1+((Inputs!$G$5:$G$200&lt;&gt;"moeda")*(Inputs!$G$5:$G$200&lt;&gt;"acoes")))*INDEX(Inputs!$K$5:$AJ$200,0,MATCH(U$2,Inputs!$K$4:$AJ$4,0)))))</f>
        <v>163.478</v>
      </c>
      <c r="V53" s="262">
        <f>IF(ISNA(MATCH(V$2,Inputs!$K$4:$AJ$4,0)),NA(),IF(SUMPRODUCT((Inputs!$A$5:$A$200=$B53)*ISNUMBER(INDEX(Inputs!$K$5:$AJ$200,0,MATCH(V$2,Inputs!$K$4:$AJ$4,0))))+SUMPRODUCT((Inputs!$C$5:$C$200=$B53)*ISNUMBER(INDEX(Inputs!$K$5:$AJ$200,0,MATCH(V$2,Inputs!$K$4:$AJ$4,0))))+SUMPRODUCT((Inputs!$E$5:$E$200=$B53)*ISNUMBER(INDEX(Inputs!$K$5:$AJ$200,0,MATCH(V$2,Inputs!$K$4:$AJ$4,0))))=0,NA(),SUMPRODUCT((Inputs!$A$5:$A$200=$B53)*Inputs!$B$5:$B$200*(((Inputs!$G$5:$G$200="moeda")+(Inputs!$G$5:$G$200="acoes"))*Inputs!$B$1+((Inputs!$G$5:$G$200&lt;&gt;"moeda")*(Inputs!$G$5:$G$200&lt;&gt;"acoes")))*INDEX(Inputs!$K$5:$AJ$200,0,MATCH(V$2,Inputs!$K$4:$AJ$4,0)))+SUMPRODUCT((Inputs!$C$5:$C$200=$B53)*Inputs!$D$5:$D$200*(((Inputs!$G$5:$G$200="moeda")+(Inputs!$G$5:$G$200="acoes"))*Inputs!$B$1+((Inputs!$G$5:$G$200&lt;&gt;"moeda")*(Inputs!$G$5:$G$200&lt;&gt;"acoes")))*INDEX(Inputs!$K$5:$AJ$200,0,MATCH(V$2,Inputs!$K$4:$AJ$4,0)))+SUMPRODUCT((Inputs!$E$5:$E$200=$B53)*Inputs!$F$5:$F$200*(((Inputs!$G$5:$G$200="moeda")+(Inputs!$G$5:$G$200="acoes"))*Inputs!$B$1+((Inputs!$G$5:$G$200&lt;&gt;"moeda")*(Inputs!$G$5:$G$200&lt;&gt;"acoes")))*INDEX(Inputs!$K$5:$AJ$200,0,MATCH(V$2,Inputs!$K$4:$AJ$4,0)))))</f>
        <v>167.406</v>
      </c>
      <c r="W53" s="263">
        <f>SUM(S53:V53)</f>
        <v>653.681</v>
      </c>
      <c r="X53" s="262">
        <f>IF(ISNA(MATCH(X$2,Inputs!$K$4:$AJ$4,0)),NA(),IF(SUMPRODUCT((Inputs!$A$5:$A$200=$B53)*ISNUMBER(INDEX(Inputs!$K$5:$AJ$200,0,MATCH(X$2,Inputs!$K$4:$AJ$4,0))))+SUMPRODUCT((Inputs!$C$5:$C$200=$B53)*ISNUMBER(INDEX(Inputs!$K$5:$AJ$200,0,MATCH(X$2,Inputs!$K$4:$AJ$4,0))))+SUMPRODUCT((Inputs!$E$5:$E$200=$B53)*ISNUMBER(INDEX(Inputs!$K$5:$AJ$200,0,MATCH(X$2,Inputs!$K$4:$AJ$4,0))))=0,NA(),SUMPRODUCT((Inputs!$A$5:$A$200=$B53)*Inputs!$B$5:$B$200*(((Inputs!$G$5:$G$200="moeda")+(Inputs!$G$5:$G$200="acoes"))*Inputs!$B$1+((Inputs!$G$5:$G$200&lt;&gt;"moeda")*(Inputs!$G$5:$G$200&lt;&gt;"acoes")))*INDEX(Inputs!$K$5:$AJ$200,0,MATCH(X$2,Inputs!$K$4:$AJ$4,0)))+SUMPRODUCT((Inputs!$C$5:$C$200=$B53)*Inputs!$D$5:$D$200*(((Inputs!$G$5:$G$200="moeda")+(Inputs!$G$5:$G$200="acoes"))*Inputs!$B$1+((Inputs!$G$5:$G$200&lt;&gt;"moeda")*(Inputs!$G$5:$G$200&lt;&gt;"acoes")))*INDEX(Inputs!$K$5:$AJ$200,0,MATCH(X$2,Inputs!$K$4:$AJ$4,0)))+SUMPRODUCT((Inputs!$E$5:$E$200=$B53)*Inputs!$F$5:$F$200*(((Inputs!$G$5:$G$200="moeda")+(Inputs!$G$5:$G$200="acoes"))*Inputs!$B$1+((Inputs!$G$5:$G$200&lt;&gt;"moeda")*(Inputs!$G$5:$G$200&lt;&gt;"acoes")))*INDEX(Inputs!$K$5:$AJ$200,0,MATCH(X$2,Inputs!$K$4:$AJ$4,0)))))</f>
        <v>174.283</v>
      </c>
      <c r="Y53" s="262">
        <f>IF(ISNA(MATCH(Y$2,Inputs!$K$4:$AJ$4,0)),NA(),IF(SUMPRODUCT((Inputs!$A$5:$A$200=$B53)*ISNUMBER(INDEX(Inputs!$K$5:$AJ$200,0,MATCH(Y$2,Inputs!$K$4:$AJ$4,0))))+SUMPRODUCT((Inputs!$C$5:$C$200=$B53)*ISNUMBER(INDEX(Inputs!$K$5:$AJ$200,0,MATCH(Y$2,Inputs!$K$4:$AJ$4,0))))+SUMPRODUCT((Inputs!$E$5:$E$200=$B53)*ISNUMBER(INDEX(Inputs!$K$5:$AJ$200,0,MATCH(Y$2,Inputs!$K$4:$AJ$4,0))))=0,NA(),SUMPRODUCT((Inputs!$A$5:$A$200=$B53)*Inputs!$B$5:$B$200*(((Inputs!$G$5:$G$200="moeda")+(Inputs!$G$5:$G$200="acoes"))*Inputs!$B$1+((Inputs!$G$5:$G$200&lt;&gt;"moeda")*(Inputs!$G$5:$G$200&lt;&gt;"acoes")))*INDEX(Inputs!$K$5:$AJ$200,0,MATCH(Y$2,Inputs!$K$4:$AJ$4,0)))+SUMPRODUCT((Inputs!$C$5:$C$200=$B53)*Inputs!$D$5:$D$200*(((Inputs!$G$5:$G$200="moeda")+(Inputs!$G$5:$G$200="acoes"))*Inputs!$B$1+((Inputs!$G$5:$G$200&lt;&gt;"moeda")*(Inputs!$G$5:$G$200&lt;&gt;"acoes")))*INDEX(Inputs!$K$5:$AJ$200,0,MATCH(Y$2,Inputs!$K$4:$AJ$4,0)))+SUMPRODUCT((Inputs!$E$5:$E$200=$B53)*Inputs!$F$5:$F$200*(((Inputs!$G$5:$G$200="moeda")+(Inputs!$G$5:$G$200="acoes"))*Inputs!$B$1+((Inputs!$G$5:$G$200&lt;&gt;"moeda")*(Inputs!$G$5:$G$200&lt;&gt;"acoes")))*INDEX(Inputs!$K$5:$AJ$200,0,MATCH(Y$2,Inputs!$K$4:$AJ$4,0)))))</f>
        <v>178.679</v>
      </c>
      <c r="Z53" s="262">
        <f>IF(ISNA(MATCH(Z$2,Inputs!$K$4:$AJ$4,0)),NA(),IF(SUMPRODUCT((Inputs!$A$5:$A$200=$B53)*ISNUMBER(INDEX(Inputs!$K$5:$AJ$200,0,MATCH(Z$2,Inputs!$K$4:$AJ$4,0))))+SUMPRODUCT((Inputs!$C$5:$C$200=$B53)*ISNUMBER(INDEX(Inputs!$K$5:$AJ$200,0,MATCH(Z$2,Inputs!$K$4:$AJ$4,0))))+SUMPRODUCT((Inputs!$E$5:$E$200=$B53)*ISNUMBER(INDEX(Inputs!$K$5:$AJ$200,0,MATCH(Z$2,Inputs!$K$4:$AJ$4,0))))=0,NA(),SUMPRODUCT((Inputs!$A$5:$A$200=$B53)*Inputs!$B$5:$B$200*(((Inputs!$G$5:$G$200="moeda")+(Inputs!$G$5:$G$200="acoes"))*Inputs!$B$1+((Inputs!$G$5:$G$200&lt;&gt;"moeda")*(Inputs!$G$5:$G$200&lt;&gt;"acoes")))*INDEX(Inputs!$K$5:$AJ$200,0,MATCH(Z$2,Inputs!$K$4:$AJ$4,0)))+SUMPRODUCT((Inputs!$C$5:$C$200=$B53)*Inputs!$D$5:$D$200*(((Inputs!$G$5:$G$200="moeda")+(Inputs!$G$5:$G$200="acoes"))*Inputs!$B$1+((Inputs!$G$5:$G$200&lt;&gt;"moeda")*(Inputs!$G$5:$G$200&lt;&gt;"acoes")))*INDEX(Inputs!$K$5:$AJ$200,0,MATCH(Z$2,Inputs!$K$4:$AJ$4,0)))+SUMPRODUCT((Inputs!$E$5:$E$200=$B53)*Inputs!$F$5:$F$200*(((Inputs!$G$5:$G$200="moeda")+(Inputs!$G$5:$G$200="acoes"))*Inputs!$B$1+((Inputs!$G$5:$G$200&lt;&gt;"moeda")*(Inputs!$G$5:$G$200&lt;&gt;"acoes")))*INDEX(Inputs!$K$5:$AJ$200,0,MATCH(Z$2,Inputs!$K$4:$AJ$4,0)))))</f>
        <v>182.316</v>
      </c>
      <c r="AA53" s="262">
        <f>IF(ISNA(MATCH(AA$2,Inputs!$K$4:$AJ$4,0)),NA(),IF(SUMPRODUCT((Inputs!$A$5:$A$200=$B53)*ISNUMBER(INDEX(Inputs!$K$5:$AJ$200,0,MATCH(AA$2,Inputs!$K$4:$AJ$4,0))))+SUMPRODUCT((Inputs!$C$5:$C$200=$B53)*ISNUMBER(INDEX(Inputs!$K$5:$AJ$200,0,MATCH(AA$2,Inputs!$K$4:$AJ$4,0))))+SUMPRODUCT((Inputs!$E$5:$E$200=$B53)*ISNUMBER(INDEX(Inputs!$K$5:$AJ$200,0,MATCH(AA$2,Inputs!$K$4:$AJ$4,0))))=0,NA(),SUMPRODUCT((Inputs!$A$5:$A$200=$B53)*Inputs!$B$5:$B$200*(((Inputs!$G$5:$G$200="moeda")+(Inputs!$G$5:$G$200="acoes"))*Inputs!$B$1+((Inputs!$G$5:$G$200&lt;&gt;"moeda")*(Inputs!$G$5:$G$200&lt;&gt;"acoes")))*INDEX(Inputs!$K$5:$AJ$200,0,MATCH(AA$2,Inputs!$K$4:$AJ$4,0)))+SUMPRODUCT((Inputs!$C$5:$C$200=$B53)*Inputs!$D$5:$D$200*(((Inputs!$G$5:$G$200="moeda")+(Inputs!$G$5:$G$200="acoes"))*Inputs!$B$1+((Inputs!$G$5:$G$200&lt;&gt;"moeda")*(Inputs!$G$5:$G$200&lt;&gt;"acoes")))*INDEX(Inputs!$K$5:$AJ$200,0,MATCH(AA$2,Inputs!$K$4:$AJ$4,0)))+SUMPRODUCT((Inputs!$E$5:$E$200=$B53)*Inputs!$F$5:$F$200*(((Inputs!$G$5:$G$200="moeda")+(Inputs!$G$5:$G$200="acoes"))*Inputs!$B$1+((Inputs!$G$5:$G$200&lt;&gt;"moeda")*(Inputs!$G$5:$G$200&lt;&gt;"acoes")))*INDEX(Inputs!$K$5:$AJ$200,0,MATCH(AA$2,Inputs!$K$4:$AJ$4,0)))))</f>
        <v>181.543</v>
      </c>
      <c r="AB53" s="263">
        <f>SUM(X53:AA53)</f>
        <v>716.821</v>
      </c>
      <c r="AC53" s="262">
        <f>IF(ISNA(MATCH(AC$2,Inputs!$K$4:$AJ$4,0)),NA(),IF(SUMPRODUCT((Inputs!$A$5:$A$200=$B53)*ISNUMBER(INDEX(Inputs!$K$5:$AJ$200,0,MATCH(AC$2,Inputs!$K$4:$AJ$4,0))))+SUMPRODUCT((Inputs!$C$5:$C$200=$B53)*ISNUMBER(INDEX(Inputs!$K$5:$AJ$200,0,MATCH(AC$2,Inputs!$K$4:$AJ$4,0))))+SUMPRODUCT((Inputs!$E$5:$E$200=$B53)*ISNUMBER(INDEX(Inputs!$K$5:$AJ$200,0,MATCH(AC$2,Inputs!$K$4:$AJ$4,0))))=0,NA(),SUMPRODUCT((Inputs!$A$5:$A$200=$B53)*Inputs!$B$5:$B$200*(((Inputs!$G$5:$G$200="moeda")+(Inputs!$G$5:$G$200="acoes"))*Inputs!$B$1+((Inputs!$G$5:$G$200&lt;&gt;"moeda")*(Inputs!$G$5:$G$200&lt;&gt;"acoes")))*INDEX(Inputs!$K$5:$AJ$200,0,MATCH(AC$2,Inputs!$K$4:$AJ$4,0)))+SUMPRODUCT((Inputs!$C$5:$C$200=$B53)*Inputs!$D$5:$D$200*(((Inputs!$G$5:$G$200="moeda")+(Inputs!$G$5:$G$200="acoes"))*Inputs!$B$1+((Inputs!$G$5:$G$200&lt;&gt;"moeda")*(Inputs!$G$5:$G$200&lt;&gt;"acoes")))*INDEX(Inputs!$K$5:$AJ$200,0,MATCH(AC$2,Inputs!$K$4:$AJ$4,0)))+SUMPRODUCT((Inputs!$E$5:$E$200=$B53)*Inputs!$F$5:$F$200*(((Inputs!$G$5:$G$200="moeda")+(Inputs!$G$5:$G$200="acoes"))*Inputs!$B$1+((Inputs!$G$5:$G$200&lt;&gt;"moeda")*(Inputs!$G$5:$G$200&lt;&gt;"acoes")))*INDEX(Inputs!$K$5:$AJ$200,0,MATCH(AC$2,Inputs!$K$4:$AJ$4,0)))))</f>
        <v>202.995</v>
      </c>
      <c r="AD53" s="262" t="e">
        <f>IF(ISNA(MATCH(AD$2,Inputs!$K$4:$AJ$4,0)),NA(),IF(SUMPRODUCT((Inputs!$A$5:$A$200=$B53)*ISNUMBER(INDEX(Inputs!$K$5:$AJ$200,0,MATCH(AD$2,Inputs!$K$4:$AJ$4,0))))+SUMPRODUCT((Inputs!$C$5:$C$200=$B53)*ISNUMBER(INDEX(Inputs!$K$5:$AJ$200,0,MATCH(AD$2,Inputs!$K$4:$AJ$4,0))))+SUMPRODUCT((Inputs!$E$5:$E$200=$B53)*ISNUMBER(INDEX(Inputs!$K$5:$AJ$200,0,MATCH(AD$2,Inputs!$K$4:$AJ$4,0))))=0,NA(),SUMPRODUCT((Inputs!$A$5:$A$200=$B53)*Inputs!$B$5:$B$200*(((Inputs!$G$5:$G$200="moeda")+(Inputs!$G$5:$G$200="acoes"))*Inputs!$B$1+((Inputs!$G$5:$G$200&lt;&gt;"moeda")*(Inputs!$G$5:$G$200&lt;&gt;"acoes")))*INDEX(Inputs!$K$5:$AJ$200,0,MATCH(AD$2,Inputs!$K$4:$AJ$4,0)))+SUMPRODUCT((Inputs!$C$5:$C$200=$B53)*Inputs!$D$5:$D$200*(((Inputs!$G$5:$G$200="moeda")+(Inputs!$G$5:$G$200="acoes"))*Inputs!$B$1+((Inputs!$G$5:$G$200&lt;&gt;"moeda")*(Inputs!$G$5:$G$200&lt;&gt;"acoes")))*INDEX(Inputs!$K$5:$AJ$200,0,MATCH(AD$2,Inputs!$K$4:$AJ$4,0)))+SUMPRODUCT((Inputs!$E$5:$E$200=$B53)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53" s="262" t="e">
        <f>IF(ISNA(MATCH(AE$2,Inputs!$K$4:$AJ$4,0)),NA(),IF(SUMPRODUCT((Inputs!$A$5:$A$200=$B53)*ISNUMBER(INDEX(Inputs!$K$5:$AJ$200,0,MATCH(AE$2,Inputs!$K$4:$AJ$4,0))))+SUMPRODUCT((Inputs!$C$5:$C$200=$B53)*ISNUMBER(INDEX(Inputs!$K$5:$AJ$200,0,MATCH(AE$2,Inputs!$K$4:$AJ$4,0))))+SUMPRODUCT((Inputs!$E$5:$E$200=$B53)*ISNUMBER(INDEX(Inputs!$K$5:$AJ$200,0,MATCH(AE$2,Inputs!$K$4:$AJ$4,0))))=0,NA(),SUMPRODUCT((Inputs!$A$5:$A$200=$B53)*Inputs!$B$5:$B$200*(((Inputs!$G$5:$G$200="moeda")+(Inputs!$G$5:$G$200="acoes"))*Inputs!$B$1+((Inputs!$G$5:$G$200&lt;&gt;"moeda")*(Inputs!$G$5:$G$200&lt;&gt;"acoes")))*INDEX(Inputs!$K$5:$AJ$200,0,MATCH(AE$2,Inputs!$K$4:$AJ$4,0)))+SUMPRODUCT((Inputs!$C$5:$C$200=$B53)*Inputs!$D$5:$D$200*(((Inputs!$G$5:$G$200="moeda")+(Inputs!$G$5:$G$200="acoes"))*Inputs!$B$1+((Inputs!$G$5:$G$200&lt;&gt;"moeda")*(Inputs!$G$5:$G$200&lt;&gt;"acoes")))*INDEX(Inputs!$K$5:$AJ$200,0,MATCH(AE$2,Inputs!$K$4:$AJ$4,0)))+SUMPRODUCT((Inputs!$E$5:$E$200=$B53)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3" s="262" t="e">
        <f>IF(ISNA(MATCH(AF$2,Inputs!$K$4:$AJ$4,0)),NA(),IF(SUMPRODUCT((Inputs!$A$5:$A$200=$B53)*ISNUMBER(INDEX(Inputs!$K$5:$AJ$200,0,MATCH(AF$2,Inputs!$K$4:$AJ$4,0))))+SUMPRODUCT((Inputs!$C$5:$C$200=$B53)*ISNUMBER(INDEX(Inputs!$K$5:$AJ$200,0,MATCH(AF$2,Inputs!$K$4:$AJ$4,0))))+SUMPRODUCT((Inputs!$E$5:$E$200=$B53)*ISNUMBER(INDEX(Inputs!$K$5:$AJ$200,0,MATCH(AF$2,Inputs!$K$4:$AJ$4,0))))=0,NA(),SUMPRODUCT((Inputs!$A$5:$A$200=$B53)*Inputs!$B$5:$B$200*(((Inputs!$G$5:$G$200="moeda")+(Inputs!$G$5:$G$200="acoes"))*Inputs!$B$1+((Inputs!$G$5:$G$200&lt;&gt;"moeda")*(Inputs!$G$5:$G$200&lt;&gt;"acoes")))*INDEX(Inputs!$K$5:$AJ$200,0,MATCH(AF$2,Inputs!$K$4:$AJ$4,0)))+SUMPRODUCT((Inputs!$C$5:$C$200=$B53)*Inputs!$D$5:$D$200*(((Inputs!$G$5:$G$200="moeda")+(Inputs!$G$5:$G$200="acoes"))*Inputs!$B$1+((Inputs!$G$5:$G$200&lt;&gt;"moeda")*(Inputs!$G$5:$G$200&lt;&gt;"acoes")))*INDEX(Inputs!$K$5:$AJ$200,0,MATCH(AF$2,Inputs!$K$4:$AJ$4,0)))+SUMPRODUCT((Inputs!$E$5:$E$200=$B53)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3" s="263" t="e">
        <f>SUM(AC53:AF53)</f>
        <v>#N/A</v>
      </c>
      <c r="AH53" s="262">
        <f>IF(ISNA(MATCH(AH$2,Inputs!$K$4:$AJ$4,0)),NA(),IF(SUMPRODUCT((Inputs!$A$5:$A$200=$B53)*ISNUMBER(INDEX(Inputs!$K$5:$AJ$200,0,MATCH(AH$2,Inputs!$K$4:$AJ$4,0))))+SUMPRODUCT((Inputs!$C$5:$C$200=$B53)*ISNUMBER(INDEX(Inputs!$K$5:$AJ$200,0,MATCH(AH$2,Inputs!$K$4:$AJ$4,0))))+SUMPRODUCT((Inputs!$E$5:$E$200=$B53)*ISNUMBER(INDEX(Inputs!$K$5:$AJ$200,0,MATCH(AH$2,Inputs!$K$4:$AJ$4,0))))=0,NA(),SUMPRODUCT((Inputs!$A$5:$A$200=$B53)*Inputs!$B$5:$B$200*(((Inputs!$G$5:$G$200="moeda")+(Inputs!$G$5:$G$200="acoes"))*Inputs!$B$1+((Inputs!$G$5:$G$200&lt;&gt;"moeda")*(Inputs!$G$5:$G$200&lt;&gt;"acoes")))*INDEX(Inputs!$K$5:$AJ$200,0,MATCH(AH$2,Inputs!$K$4:$AJ$4,0)))+SUMPRODUCT((Inputs!$C$5:$C$200=$B53)*Inputs!$D$5:$D$200*(((Inputs!$G$5:$G$200="moeda")+(Inputs!$G$5:$G$200="acoes"))*Inputs!$B$1+((Inputs!$G$5:$G$200&lt;&gt;"moeda")*(Inputs!$G$5:$G$200&lt;&gt;"acoes")))*INDEX(Inputs!$K$5:$AJ$200,0,MATCH(AH$2,Inputs!$K$4:$AJ$4,0)))+SUMPRODUCT((Inputs!$E$5:$E$200=$B53)*Inputs!$F$5:$F$200*(((Inputs!$G$5:$G$200="moeda")+(Inputs!$G$5:$G$200="acoes"))*Inputs!$B$1+((Inputs!$G$5:$G$200&lt;&gt;"moeda")*(Inputs!$G$5:$G$200&lt;&gt;"acoes")))*INDEX(Inputs!$K$5:$AJ$200,0,MATCH(AH$2,Inputs!$K$4:$AJ$4,0)))))</f>
        <v>58.929</v>
      </c>
      <c r="AI53" s="262">
        <f>IF(ISNA(MATCH(AI$2,Inputs!$K$4:$AJ$4,0)),NA(),IF(SUMPRODUCT((Inputs!$A$5:$A$200=$B53)*ISNUMBER(INDEX(Inputs!$K$5:$AJ$200,0,MATCH(AI$2,Inputs!$K$4:$AJ$4,0))))+SUMPRODUCT((Inputs!$C$5:$C$200=$B53)*ISNUMBER(INDEX(Inputs!$K$5:$AJ$200,0,MATCH(AI$2,Inputs!$K$4:$AJ$4,0))))+SUMPRODUCT((Inputs!$E$5:$E$200=$B53)*ISNUMBER(INDEX(Inputs!$K$5:$AJ$200,0,MATCH(AI$2,Inputs!$K$4:$AJ$4,0))))=0,NA(),SUMPRODUCT((Inputs!$A$5:$A$200=$B53)*Inputs!$B$5:$B$200*(((Inputs!$G$5:$G$200="moeda")+(Inputs!$G$5:$G$200="acoes"))*Inputs!$B$1+((Inputs!$G$5:$G$200&lt;&gt;"moeda")*(Inputs!$G$5:$G$200&lt;&gt;"acoes")))*INDEX(Inputs!$K$5:$AJ$200,0,MATCH(AI$2,Inputs!$K$4:$AJ$4,0)))+SUMPRODUCT((Inputs!$C$5:$C$200=$B53)*Inputs!$D$5:$D$200*(((Inputs!$G$5:$G$200="moeda")+(Inputs!$G$5:$G$200="acoes"))*Inputs!$B$1+((Inputs!$G$5:$G$200&lt;&gt;"moeda")*(Inputs!$G$5:$G$200&lt;&gt;"acoes")))*INDEX(Inputs!$K$5:$AJ$200,0,MATCH(AI$2,Inputs!$K$4:$AJ$4,0)))+SUMPRODUCT((Inputs!$E$5:$E$200=$B53)*Inputs!$F$5:$F$200*(((Inputs!$G$5:$G$200="moeda")+(Inputs!$G$5:$G$200="acoes"))*Inputs!$B$1+((Inputs!$G$5:$G$200&lt;&gt;"moeda")*(Inputs!$G$5:$G$200&lt;&gt;"acoes")))*INDEX(Inputs!$K$5:$AJ$200,0,MATCH(AI$2,Inputs!$K$4:$AJ$4,0)))))</f>
        <v>63.853</v>
      </c>
      <c r="AJ53" s="262">
        <f>IF(ISNA(MATCH(AJ$2,Inputs!$K$4:$AJ$4,0)),NA(),IF(SUMPRODUCT((Inputs!$A$5:$A$200=$B53)*ISNUMBER(INDEX(Inputs!$K$5:$AJ$200,0,MATCH(AJ$2,Inputs!$K$4:$AJ$4,0))))+SUMPRODUCT((Inputs!$C$5:$C$200=$B53)*ISNUMBER(INDEX(Inputs!$K$5:$AJ$200,0,MATCH(AJ$2,Inputs!$K$4:$AJ$4,0))))+SUMPRODUCT((Inputs!$E$5:$E$200=$B53)*ISNUMBER(INDEX(Inputs!$K$5:$AJ$200,0,MATCH(AJ$2,Inputs!$K$4:$AJ$4,0))))=0,NA(),SUMPRODUCT((Inputs!$A$5:$A$200=$B53)*Inputs!$B$5:$B$200*(((Inputs!$G$5:$G$200="moeda")+(Inputs!$G$5:$G$200="acoes"))*Inputs!$B$1+((Inputs!$G$5:$G$200&lt;&gt;"moeda")*(Inputs!$G$5:$G$200&lt;&gt;"acoes")))*INDEX(Inputs!$K$5:$AJ$200,0,MATCH(AJ$2,Inputs!$K$4:$AJ$4,0)))+SUMPRODUCT((Inputs!$C$5:$C$200=$B53)*Inputs!$D$5:$D$200*(((Inputs!$G$5:$G$200="moeda")+(Inputs!$G$5:$G$200="acoes"))*Inputs!$B$1+((Inputs!$G$5:$G$200&lt;&gt;"moeda")*(Inputs!$G$5:$G$200&lt;&gt;"acoes")))*INDEX(Inputs!$K$5:$AJ$200,0,MATCH(AJ$2,Inputs!$K$4:$AJ$4,0)))+SUMPRODUCT((Inputs!$E$5:$E$200=$B53)*Inputs!$F$5:$F$200*(((Inputs!$G$5:$G$200="moeda")+(Inputs!$G$5:$G$200="acoes"))*Inputs!$B$1+((Inputs!$G$5:$G$200&lt;&gt;"moeda")*(Inputs!$G$5:$G$200&lt;&gt;"acoes")))*INDEX(Inputs!$K$5:$AJ$200,0,MATCH(AJ$2,Inputs!$K$4:$AJ$4,0)))))</f>
        <v>64.216</v>
      </c>
      <c r="AK53" s="262">
        <f>IF(ISNA(MATCH(AK$2,Inputs!$K$4:$AJ$4,0)),NA(),IF(SUMPRODUCT((Inputs!$A$5:$A$200=$B53)*ISNUMBER(INDEX(Inputs!$K$5:$AJ$200,0,MATCH(AK$2,Inputs!$K$4:$AJ$4,0))))+SUMPRODUCT((Inputs!$C$5:$C$200=$B53)*ISNUMBER(INDEX(Inputs!$K$5:$AJ$200,0,MATCH(AK$2,Inputs!$K$4:$AJ$4,0))))+SUMPRODUCT((Inputs!$E$5:$E$200=$B53)*ISNUMBER(INDEX(Inputs!$K$5:$AJ$200,0,MATCH(AK$2,Inputs!$K$4:$AJ$4,0))))=0,NA(),SUMPRODUCT((Inputs!$A$5:$A$200=$B53)*Inputs!$B$5:$B$200*(((Inputs!$G$5:$G$200="moeda")+(Inputs!$G$5:$G$200="acoes"))*Inputs!$B$1+((Inputs!$G$5:$G$200&lt;&gt;"moeda")*(Inputs!$G$5:$G$200&lt;&gt;"acoes")))*INDEX(Inputs!$K$5:$AJ$200,0,MATCH(AK$2,Inputs!$K$4:$AJ$4,0)))+SUMPRODUCT((Inputs!$C$5:$C$200=$B53)*Inputs!$D$5:$D$200*(((Inputs!$G$5:$G$200="moeda")+(Inputs!$G$5:$G$200="acoes"))*Inputs!$B$1+((Inputs!$G$5:$G$200&lt;&gt;"moeda")*(Inputs!$G$5:$G$200&lt;&gt;"acoes")))*INDEX(Inputs!$K$5:$AJ$200,0,MATCH(AK$2,Inputs!$K$4:$AJ$4,0)))+SUMPRODUCT((Inputs!$E$5:$E$200=$B53)*Inputs!$F$5:$F$200*(((Inputs!$G$5:$G$200="moeda")+(Inputs!$G$5:$G$200="acoes"))*Inputs!$B$1+((Inputs!$G$5:$G$200&lt;&gt;"moeda")*(Inputs!$G$5:$G$200&lt;&gt;"acoes")))*INDEX(Inputs!$K$5:$AJ$200,0,MATCH(AK$2,Inputs!$K$4:$AJ$4,0)))))</f>
        <v>60.773</v>
      </c>
      <c r="AL53" s="263">
        <f>SUM(AH53:AK53)</f>
        <v>247.771</v>
      </c>
    </row>
    <row r="54">
      <c r="B54" s="46" t="n">
        <v>46</v>
      </c>
      <c r="C54" s="29" t="inlineStr">
        <is>
          <t>Receita liquida - Energia, biogas e credito de carbono (R$ mil)</t>
        </is>
      </c>
      <c r="D54" s="262">
        <f>IF(ISNA(MATCH(D$2,Inputs!$K$4:$AJ$4,0)),NA(),IF(SUMPRODUCT((Inputs!$A$5:$A$200=$B54)*ISNUMBER(INDEX(Inputs!$K$5:$AJ$200,0,MATCH(D$2,Inputs!$K$4:$AJ$4,0))))+SUMPRODUCT((Inputs!$C$5:$C$200=$B54)*ISNUMBER(INDEX(Inputs!$K$5:$AJ$200,0,MATCH(D$2,Inputs!$K$4:$AJ$4,0))))+SUMPRODUCT((Inputs!$E$5:$E$200=$B54)*ISNUMBER(INDEX(Inputs!$K$5:$AJ$200,0,MATCH(D$2,Inputs!$K$4:$AJ$4,0))))=0,NA(),SUMPRODUCT((Inputs!$A$5:$A$200=$B54)*Inputs!$B$5:$B$200*(((Inputs!$G$5:$G$200="moeda")+(Inputs!$G$5:$G$200="acoes"))*Inputs!$B$1+((Inputs!$G$5:$G$200&lt;&gt;"moeda")*(Inputs!$G$5:$G$200&lt;&gt;"acoes")))*INDEX(Inputs!$K$5:$AJ$200,0,MATCH(D$2,Inputs!$K$4:$AJ$4,0)))+SUMPRODUCT((Inputs!$C$5:$C$200=$B54)*Inputs!$D$5:$D$200*(((Inputs!$G$5:$G$200="moeda")+(Inputs!$G$5:$G$200="acoes"))*Inputs!$B$1+((Inputs!$G$5:$G$200&lt;&gt;"moeda")*(Inputs!$G$5:$G$200&lt;&gt;"acoes")))*INDEX(Inputs!$K$5:$AJ$200,0,MATCH(D$2,Inputs!$K$4:$AJ$4,0)))+SUMPRODUCT((Inputs!$E$5:$E$200=$B54)*Inputs!$F$5:$F$200*(((Inputs!$G$5:$G$200="moeda")+(Inputs!$G$5:$G$200="acoes"))*Inputs!$B$1+((Inputs!$G$5:$G$200&lt;&gt;"moeda")*(Inputs!$G$5:$G$200&lt;&gt;"acoes")))*INDEX(Inputs!$K$5:$AJ$200,0,MATCH(D$2,Inputs!$K$4:$AJ$4,0)))))</f>
        <v>11.233</v>
      </c>
      <c r="E54" s="262">
        <f>IF(ISNA(MATCH(E$2,Inputs!$K$4:$AJ$4,0)),NA(),IF(SUMPRODUCT((Inputs!$A$5:$A$200=$B54)*ISNUMBER(INDEX(Inputs!$K$5:$AJ$200,0,MATCH(E$2,Inputs!$K$4:$AJ$4,0))))+SUMPRODUCT((Inputs!$C$5:$C$200=$B54)*ISNUMBER(INDEX(Inputs!$K$5:$AJ$200,0,MATCH(E$2,Inputs!$K$4:$AJ$4,0))))+SUMPRODUCT((Inputs!$E$5:$E$200=$B54)*ISNUMBER(INDEX(Inputs!$K$5:$AJ$200,0,MATCH(E$2,Inputs!$K$4:$AJ$4,0))))=0,NA(),SUMPRODUCT((Inputs!$A$5:$A$200=$B54)*Inputs!$B$5:$B$200*(((Inputs!$G$5:$G$200="moeda")+(Inputs!$G$5:$G$200="acoes"))*Inputs!$B$1+((Inputs!$G$5:$G$200&lt;&gt;"moeda")*(Inputs!$G$5:$G$200&lt;&gt;"acoes")))*INDEX(Inputs!$K$5:$AJ$200,0,MATCH(E$2,Inputs!$K$4:$AJ$4,0)))+SUMPRODUCT((Inputs!$C$5:$C$200=$B54)*Inputs!$D$5:$D$200*(((Inputs!$G$5:$G$200="moeda")+(Inputs!$G$5:$G$200="acoes"))*Inputs!$B$1+((Inputs!$G$5:$G$200&lt;&gt;"moeda")*(Inputs!$G$5:$G$200&lt;&gt;"acoes")))*INDEX(Inputs!$K$5:$AJ$200,0,MATCH(E$2,Inputs!$K$4:$AJ$4,0)))+SUMPRODUCT((Inputs!$E$5:$E$200=$B54)*Inputs!$F$5:$F$200*(((Inputs!$G$5:$G$200="moeda")+(Inputs!$G$5:$G$200="acoes"))*Inputs!$B$1+((Inputs!$G$5:$G$200&lt;&gt;"moeda")*(Inputs!$G$5:$G$200&lt;&gt;"acoes")))*INDEX(Inputs!$K$5:$AJ$200,0,MATCH(E$2,Inputs!$K$4:$AJ$4,0)))))</f>
        <v>12.297</v>
      </c>
      <c r="F54" s="262">
        <f>IF(ISNA(MATCH(F$2,Inputs!$K$4:$AJ$4,0)),NA(),IF(SUMPRODUCT((Inputs!$A$5:$A$200=$B54)*ISNUMBER(INDEX(Inputs!$K$5:$AJ$200,0,MATCH(F$2,Inputs!$K$4:$AJ$4,0))))+SUMPRODUCT((Inputs!$C$5:$C$200=$B54)*ISNUMBER(INDEX(Inputs!$K$5:$AJ$200,0,MATCH(F$2,Inputs!$K$4:$AJ$4,0))))+SUMPRODUCT((Inputs!$E$5:$E$200=$B54)*ISNUMBER(INDEX(Inputs!$K$5:$AJ$200,0,MATCH(F$2,Inputs!$K$4:$AJ$4,0))))=0,NA(),SUMPRODUCT((Inputs!$A$5:$A$200=$B54)*Inputs!$B$5:$B$200*(((Inputs!$G$5:$G$200="moeda")+(Inputs!$G$5:$G$200="acoes"))*Inputs!$B$1+((Inputs!$G$5:$G$200&lt;&gt;"moeda")*(Inputs!$G$5:$G$200&lt;&gt;"acoes")))*INDEX(Inputs!$K$5:$AJ$200,0,MATCH(F$2,Inputs!$K$4:$AJ$4,0)))+SUMPRODUCT((Inputs!$C$5:$C$200=$B54)*Inputs!$D$5:$D$200*(((Inputs!$G$5:$G$200="moeda")+(Inputs!$G$5:$G$200="acoes"))*Inputs!$B$1+((Inputs!$G$5:$G$200&lt;&gt;"moeda")*(Inputs!$G$5:$G$200&lt;&gt;"acoes")))*INDEX(Inputs!$K$5:$AJ$200,0,MATCH(F$2,Inputs!$K$4:$AJ$4,0)))+SUMPRODUCT((Inputs!$E$5:$E$200=$B54)*Inputs!$F$5:$F$200*(((Inputs!$G$5:$G$200="moeda")+(Inputs!$G$5:$G$200="acoes"))*Inputs!$B$1+((Inputs!$G$5:$G$200&lt;&gt;"moeda")*(Inputs!$G$5:$G$200&lt;&gt;"acoes")))*INDEX(Inputs!$K$5:$AJ$200,0,MATCH(F$2,Inputs!$K$4:$AJ$4,0)))))</f>
        <v>19.858</v>
      </c>
      <c r="G54" s="262">
        <f>IF(ISNA(MATCH(G$2,Inputs!$K$4:$AJ$4,0)),NA(),IF(SUMPRODUCT((Inputs!$A$5:$A$200=$B54)*ISNUMBER(INDEX(Inputs!$K$5:$AJ$200,0,MATCH(G$2,Inputs!$K$4:$AJ$4,0))))+SUMPRODUCT((Inputs!$C$5:$C$200=$B54)*ISNUMBER(INDEX(Inputs!$K$5:$AJ$200,0,MATCH(G$2,Inputs!$K$4:$AJ$4,0))))+SUMPRODUCT((Inputs!$E$5:$E$200=$B54)*ISNUMBER(INDEX(Inputs!$K$5:$AJ$200,0,MATCH(G$2,Inputs!$K$4:$AJ$4,0))))=0,NA(),SUMPRODUCT((Inputs!$A$5:$A$200=$B54)*Inputs!$B$5:$B$200*(((Inputs!$G$5:$G$200="moeda")+(Inputs!$G$5:$G$200="acoes"))*Inputs!$B$1+((Inputs!$G$5:$G$200&lt;&gt;"moeda")*(Inputs!$G$5:$G$200&lt;&gt;"acoes")))*INDEX(Inputs!$K$5:$AJ$200,0,MATCH(G$2,Inputs!$K$4:$AJ$4,0)))+SUMPRODUCT((Inputs!$C$5:$C$200=$B54)*Inputs!$D$5:$D$200*(((Inputs!$G$5:$G$200="moeda")+(Inputs!$G$5:$G$200="acoes"))*Inputs!$B$1+((Inputs!$G$5:$G$200&lt;&gt;"moeda")*(Inputs!$G$5:$G$200&lt;&gt;"acoes")))*INDEX(Inputs!$K$5:$AJ$200,0,MATCH(G$2,Inputs!$K$4:$AJ$4,0)))+SUMPRODUCT((Inputs!$E$5:$E$200=$B54)*Inputs!$F$5:$F$200*(((Inputs!$G$5:$G$200="moeda")+(Inputs!$G$5:$G$200="acoes"))*Inputs!$B$1+((Inputs!$G$5:$G$200&lt;&gt;"moeda")*(Inputs!$G$5:$G$200&lt;&gt;"acoes")))*INDEX(Inputs!$K$5:$AJ$200,0,MATCH(G$2,Inputs!$K$4:$AJ$4,0)))))</f>
        <v>60.088</v>
      </c>
      <c r="H54" s="263">
        <f>SUM(D54:G54)</f>
        <v>103.476</v>
      </c>
      <c r="I54" s="262">
        <f>IF(ISNA(MATCH(I$2,Inputs!$K$4:$AJ$4,0)),NA(),IF(SUMPRODUCT((Inputs!$A$5:$A$200=$B54)*ISNUMBER(INDEX(Inputs!$K$5:$AJ$200,0,MATCH(I$2,Inputs!$K$4:$AJ$4,0))))+SUMPRODUCT((Inputs!$C$5:$C$200=$B54)*ISNUMBER(INDEX(Inputs!$K$5:$AJ$200,0,MATCH(I$2,Inputs!$K$4:$AJ$4,0))))+SUMPRODUCT((Inputs!$E$5:$E$200=$B54)*ISNUMBER(INDEX(Inputs!$K$5:$AJ$200,0,MATCH(I$2,Inputs!$K$4:$AJ$4,0))))=0,NA(),SUMPRODUCT((Inputs!$A$5:$A$200=$B54)*Inputs!$B$5:$B$200*(((Inputs!$G$5:$G$200="moeda")+(Inputs!$G$5:$G$200="acoes"))*Inputs!$B$1+((Inputs!$G$5:$G$200&lt;&gt;"moeda")*(Inputs!$G$5:$G$200&lt;&gt;"acoes")))*INDEX(Inputs!$K$5:$AJ$200,0,MATCH(I$2,Inputs!$K$4:$AJ$4,0)))+SUMPRODUCT((Inputs!$C$5:$C$200=$B54)*Inputs!$D$5:$D$200*(((Inputs!$G$5:$G$200="moeda")+(Inputs!$G$5:$G$200="acoes"))*Inputs!$B$1+((Inputs!$G$5:$G$200&lt;&gt;"moeda")*(Inputs!$G$5:$G$200&lt;&gt;"acoes")))*INDEX(Inputs!$K$5:$AJ$200,0,MATCH(I$2,Inputs!$K$4:$AJ$4,0)))+SUMPRODUCT((Inputs!$E$5:$E$200=$B54)*Inputs!$F$5:$F$200*(((Inputs!$G$5:$G$200="moeda")+(Inputs!$G$5:$G$200="acoes"))*Inputs!$B$1+((Inputs!$G$5:$G$200&lt;&gt;"moeda")*(Inputs!$G$5:$G$200&lt;&gt;"acoes")))*INDEX(Inputs!$K$5:$AJ$200,0,MATCH(I$2,Inputs!$K$4:$AJ$4,0)))))</f>
        <v>9.996</v>
      </c>
      <c r="J54" s="262">
        <f>IF(ISNA(MATCH(J$2,Inputs!$K$4:$AJ$4,0)),NA(),IF(SUMPRODUCT((Inputs!$A$5:$A$200=$B54)*ISNUMBER(INDEX(Inputs!$K$5:$AJ$200,0,MATCH(J$2,Inputs!$K$4:$AJ$4,0))))+SUMPRODUCT((Inputs!$C$5:$C$200=$B54)*ISNUMBER(INDEX(Inputs!$K$5:$AJ$200,0,MATCH(J$2,Inputs!$K$4:$AJ$4,0))))+SUMPRODUCT((Inputs!$E$5:$E$200=$B54)*ISNUMBER(INDEX(Inputs!$K$5:$AJ$200,0,MATCH(J$2,Inputs!$K$4:$AJ$4,0))))=0,NA(),SUMPRODUCT((Inputs!$A$5:$A$200=$B54)*Inputs!$B$5:$B$200*(((Inputs!$G$5:$G$200="moeda")+(Inputs!$G$5:$G$200="acoes"))*Inputs!$B$1+((Inputs!$G$5:$G$200&lt;&gt;"moeda")*(Inputs!$G$5:$G$200&lt;&gt;"acoes")))*INDEX(Inputs!$K$5:$AJ$200,0,MATCH(J$2,Inputs!$K$4:$AJ$4,0)))+SUMPRODUCT((Inputs!$C$5:$C$200=$B54)*Inputs!$D$5:$D$200*(((Inputs!$G$5:$G$200="moeda")+(Inputs!$G$5:$G$200="acoes"))*Inputs!$B$1+((Inputs!$G$5:$G$200&lt;&gt;"moeda")*(Inputs!$G$5:$G$200&lt;&gt;"acoes")))*INDEX(Inputs!$K$5:$AJ$200,0,MATCH(J$2,Inputs!$K$4:$AJ$4,0)))+SUMPRODUCT((Inputs!$E$5:$E$200=$B54)*Inputs!$F$5:$F$200*(((Inputs!$G$5:$G$200="moeda")+(Inputs!$G$5:$G$200="acoes"))*Inputs!$B$1+((Inputs!$G$5:$G$200&lt;&gt;"moeda")*(Inputs!$G$5:$G$200&lt;&gt;"acoes")))*INDEX(Inputs!$K$5:$AJ$200,0,MATCH(J$2,Inputs!$K$4:$AJ$4,0)))))</f>
        <v>10.498</v>
      </c>
      <c r="K54" s="262">
        <f>IF(ISNA(MATCH(K$2,Inputs!$K$4:$AJ$4,0)),NA(),IF(SUMPRODUCT((Inputs!$A$5:$A$200=$B54)*ISNUMBER(INDEX(Inputs!$K$5:$AJ$200,0,MATCH(K$2,Inputs!$K$4:$AJ$4,0))))+SUMPRODUCT((Inputs!$C$5:$C$200=$B54)*ISNUMBER(INDEX(Inputs!$K$5:$AJ$200,0,MATCH(K$2,Inputs!$K$4:$AJ$4,0))))+SUMPRODUCT((Inputs!$E$5:$E$200=$B54)*ISNUMBER(INDEX(Inputs!$K$5:$AJ$200,0,MATCH(K$2,Inputs!$K$4:$AJ$4,0))))=0,NA(),SUMPRODUCT((Inputs!$A$5:$A$200=$B54)*Inputs!$B$5:$B$200*(((Inputs!$G$5:$G$200="moeda")+(Inputs!$G$5:$G$200="acoes"))*Inputs!$B$1+((Inputs!$G$5:$G$200&lt;&gt;"moeda")*(Inputs!$G$5:$G$200&lt;&gt;"acoes")))*INDEX(Inputs!$K$5:$AJ$200,0,MATCH(K$2,Inputs!$K$4:$AJ$4,0)))+SUMPRODUCT((Inputs!$C$5:$C$200=$B54)*Inputs!$D$5:$D$200*(((Inputs!$G$5:$G$200="moeda")+(Inputs!$G$5:$G$200="acoes"))*Inputs!$B$1+((Inputs!$G$5:$G$200&lt;&gt;"moeda")*(Inputs!$G$5:$G$200&lt;&gt;"acoes")))*INDEX(Inputs!$K$5:$AJ$200,0,MATCH(K$2,Inputs!$K$4:$AJ$4,0)))+SUMPRODUCT((Inputs!$E$5:$E$200=$B54)*Inputs!$F$5:$F$200*(((Inputs!$G$5:$G$200="moeda")+(Inputs!$G$5:$G$200="acoes"))*Inputs!$B$1+((Inputs!$G$5:$G$200&lt;&gt;"moeda")*(Inputs!$G$5:$G$200&lt;&gt;"acoes")))*INDEX(Inputs!$K$5:$AJ$200,0,MATCH(K$2,Inputs!$K$4:$AJ$4,0)))))</f>
        <v>22.127</v>
      </c>
      <c r="L54" s="262">
        <f>IF(ISNA(MATCH(L$2,Inputs!$K$4:$AJ$4,0)),NA(),IF(SUMPRODUCT((Inputs!$A$5:$A$200=$B54)*ISNUMBER(INDEX(Inputs!$K$5:$AJ$200,0,MATCH(L$2,Inputs!$K$4:$AJ$4,0))))+SUMPRODUCT((Inputs!$C$5:$C$200=$B54)*ISNUMBER(INDEX(Inputs!$K$5:$AJ$200,0,MATCH(L$2,Inputs!$K$4:$AJ$4,0))))+SUMPRODUCT((Inputs!$E$5:$E$200=$B54)*ISNUMBER(INDEX(Inputs!$K$5:$AJ$200,0,MATCH(L$2,Inputs!$K$4:$AJ$4,0))))=0,NA(),SUMPRODUCT((Inputs!$A$5:$A$200=$B54)*Inputs!$B$5:$B$200*(((Inputs!$G$5:$G$200="moeda")+(Inputs!$G$5:$G$200="acoes"))*Inputs!$B$1+((Inputs!$G$5:$G$200&lt;&gt;"moeda")*(Inputs!$G$5:$G$200&lt;&gt;"acoes")))*INDEX(Inputs!$K$5:$AJ$200,0,MATCH(L$2,Inputs!$K$4:$AJ$4,0)))+SUMPRODUCT((Inputs!$C$5:$C$200=$B54)*Inputs!$D$5:$D$200*(((Inputs!$G$5:$G$200="moeda")+(Inputs!$G$5:$G$200="acoes"))*Inputs!$B$1+((Inputs!$G$5:$G$200&lt;&gt;"moeda")*(Inputs!$G$5:$G$200&lt;&gt;"acoes")))*INDEX(Inputs!$K$5:$AJ$200,0,MATCH(L$2,Inputs!$K$4:$AJ$4,0)))+SUMPRODUCT((Inputs!$E$5:$E$200=$B54)*Inputs!$F$5:$F$200*(((Inputs!$G$5:$G$200="moeda")+(Inputs!$G$5:$G$200="acoes"))*Inputs!$B$1+((Inputs!$G$5:$G$200&lt;&gt;"moeda")*(Inputs!$G$5:$G$200&lt;&gt;"acoes")))*INDEX(Inputs!$K$5:$AJ$200,0,MATCH(L$2,Inputs!$K$4:$AJ$4,0)))))</f>
        <v>17.087</v>
      </c>
      <c r="M54" s="263">
        <f>SUM(I54:L54)</f>
        <v>59.708</v>
      </c>
      <c r="N54" s="262">
        <f>IF(ISNA(MATCH(N$2,Inputs!$K$4:$AJ$4,0)),NA(),IF(SUMPRODUCT((Inputs!$A$5:$A$200=$B54)*ISNUMBER(INDEX(Inputs!$K$5:$AJ$200,0,MATCH(N$2,Inputs!$K$4:$AJ$4,0))))+SUMPRODUCT((Inputs!$C$5:$C$200=$B54)*ISNUMBER(INDEX(Inputs!$K$5:$AJ$200,0,MATCH(N$2,Inputs!$K$4:$AJ$4,0))))+SUMPRODUCT((Inputs!$E$5:$E$200=$B54)*ISNUMBER(INDEX(Inputs!$K$5:$AJ$200,0,MATCH(N$2,Inputs!$K$4:$AJ$4,0))))=0,NA(),SUMPRODUCT((Inputs!$A$5:$A$200=$B54)*Inputs!$B$5:$B$200*(((Inputs!$G$5:$G$200="moeda")+(Inputs!$G$5:$G$200="acoes"))*Inputs!$B$1+((Inputs!$G$5:$G$200&lt;&gt;"moeda")*(Inputs!$G$5:$G$200&lt;&gt;"acoes")))*INDEX(Inputs!$K$5:$AJ$200,0,MATCH(N$2,Inputs!$K$4:$AJ$4,0)))+SUMPRODUCT((Inputs!$C$5:$C$200=$B54)*Inputs!$D$5:$D$200*(((Inputs!$G$5:$G$200="moeda")+(Inputs!$G$5:$G$200="acoes"))*Inputs!$B$1+((Inputs!$G$5:$G$200&lt;&gt;"moeda")*(Inputs!$G$5:$G$200&lt;&gt;"acoes")))*INDEX(Inputs!$K$5:$AJ$200,0,MATCH(N$2,Inputs!$K$4:$AJ$4,0)))+SUMPRODUCT((Inputs!$E$5:$E$200=$B54)*Inputs!$F$5:$F$200*(((Inputs!$G$5:$G$200="moeda")+(Inputs!$G$5:$G$200="acoes"))*Inputs!$B$1+((Inputs!$G$5:$G$200&lt;&gt;"moeda")*(Inputs!$G$5:$G$200&lt;&gt;"acoes")))*INDEX(Inputs!$K$5:$AJ$200,0,MATCH(N$2,Inputs!$K$4:$AJ$4,0)))))</f>
        <v>28.881</v>
      </c>
      <c r="O54" s="262">
        <f>IF(ISNA(MATCH(O$2,Inputs!$K$4:$AJ$4,0)),NA(),IF(SUMPRODUCT((Inputs!$A$5:$A$200=$B54)*ISNUMBER(INDEX(Inputs!$K$5:$AJ$200,0,MATCH(O$2,Inputs!$K$4:$AJ$4,0))))+SUMPRODUCT((Inputs!$C$5:$C$200=$B54)*ISNUMBER(INDEX(Inputs!$K$5:$AJ$200,0,MATCH(O$2,Inputs!$K$4:$AJ$4,0))))+SUMPRODUCT((Inputs!$E$5:$E$200=$B54)*ISNUMBER(INDEX(Inputs!$K$5:$AJ$200,0,MATCH(O$2,Inputs!$K$4:$AJ$4,0))))=0,NA(),SUMPRODUCT((Inputs!$A$5:$A$200=$B54)*Inputs!$B$5:$B$200*(((Inputs!$G$5:$G$200="moeda")+(Inputs!$G$5:$G$200="acoes"))*Inputs!$B$1+((Inputs!$G$5:$G$200&lt;&gt;"moeda")*(Inputs!$G$5:$G$200&lt;&gt;"acoes")))*INDEX(Inputs!$K$5:$AJ$200,0,MATCH(O$2,Inputs!$K$4:$AJ$4,0)))+SUMPRODUCT((Inputs!$C$5:$C$200=$B54)*Inputs!$D$5:$D$200*(((Inputs!$G$5:$G$200="moeda")+(Inputs!$G$5:$G$200="acoes"))*Inputs!$B$1+((Inputs!$G$5:$G$200&lt;&gt;"moeda")*(Inputs!$G$5:$G$200&lt;&gt;"acoes")))*INDEX(Inputs!$K$5:$AJ$200,0,MATCH(O$2,Inputs!$K$4:$AJ$4,0)))+SUMPRODUCT((Inputs!$E$5:$E$200=$B54)*Inputs!$F$5:$F$200*(((Inputs!$G$5:$G$200="moeda")+(Inputs!$G$5:$G$200="acoes"))*Inputs!$B$1+((Inputs!$G$5:$G$200&lt;&gt;"moeda")*(Inputs!$G$5:$G$200&lt;&gt;"acoes")))*INDEX(Inputs!$K$5:$AJ$200,0,MATCH(O$2,Inputs!$K$4:$AJ$4,0)))))</f>
        <v>27.481</v>
      </c>
      <c r="P54" s="262">
        <f>IF(ISNA(MATCH(P$2,Inputs!$K$4:$AJ$4,0)),NA(),IF(SUMPRODUCT((Inputs!$A$5:$A$200=$B54)*ISNUMBER(INDEX(Inputs!$K$5:$AJ$200,0,MATCH(P$2,Inputs!$K$4:$AJ$4,0))))+SUMPRODUCT((Inputs!$C$5:$C$200=$B54)*ISNUMBER(INDEX(Inputs!$K$5:$AJ$200,0,MATCH(P$2,Inputs!$K$4:$AJ$4,0))))+SUMPRODUCT((Inputs!$E$5:$E$200=$B54)*ISNUMBER(INDEX(Inputs!$K$5:$AJ$200,0,MATCH(P$2,Inputs!$K$4:$AJ$4,0))))=0,NA(),SUMPRODUCT((Inputs!$A$5:$A$200=$B54)*Inputs!$B$5:$B$200*(((Inputs!$G$5:$G$200="moeda")+(Inputs!$G$5:$G$200="acoes"))*Inputs!$B$1+((Inputs!$G$5:$G$200&lt;&gt;"moeda")*(Inputs!$G$5:$G$200&lt;&gt;"acoes")))*INDEX(Inputs!$K$5:$AJ$200,0,MATCH(P$2,Inputs!$K$4:$AJ$4,0)))+SUMPRODUCT((Inputs!$C$5:$C$200=$B54)*Inputs!$D$5:$D$200*(((Inputs!$G$5:$G$200="moeda")+(Inputs!$G$5:$G$200="acoes"))*Inputs!$B$1+((Inputs!$G$5:$G$200&lt;&gt;"moeda")*(Inputs!$G$5:$G$200&lt;&gt;"acoes")))*INDEX(Inputs!$K$5:$AJ$200,0,MATCH(P$2,Inputs!$K$4:$AJ$4,0)))+SUMPRODUCT((Inputs!$E$5:$E$200=$B54)*Inputs!$F$5:$F$200*(((Inputs!$G$5:$G$200="moeda")+(Inputs!$G$5:$G$200="acoes"))*Inputs!$B$1+((Inputs!$G$5:$G$200&lt;&gt;"moeda")*(Inputs!$G$5:$G$200&lt;&gt;"acoes")))*INDEX(Inputs!$K$5:$AJ$200,0,MATCH(P$2,Inputs!$K$4:$AJ$4,0)))))</f>
        <v>30.562</v>
      </c>
      <c r="Q54" s="262">
        <f>IF(ISNA(MATCH(Q$2,Inputs!$K$4:$AJ$4,0)),NA(),IF(SUMPRODUCT((Inputs!$A$5:$A$200=$B54)*ISNUMBER(INDEX(Inputs!$K$5:$AJ$200,0,MATCH(Q$2,Inputs!$K$4:$AJ$4,0))))+SUMPRODUCT((Inputs!$C$5:$C$200=$B54)*ISNUMBER(INDEX(Inputs!$K$5:$AJ$200,0,MATCH(Q$2,Inputs!$K$4:$AJ$4,0))))+SUMPRODUCT((Inputs!$E$5:$E$200=$B54)*ISNUMBER(INDEX(Inputs!$K$5:$AJ$200,0,MATCH(Q$2,Inputs!$K$4:$AJ$4,0))))=0,NA(),SUMPRODUCT((Inputs!$A$5:$A$200=$B54)*Inputs!$B$5:$B$200*(((Inputs!$G$5:$G$200="moeda")+(Inputs!$G$5:$G$200="acoes"))*Inputs!$B$1+((Inputs!$G$5:$G$200&lt;&gt;"moeda")*(Inputs!$G$5:$G$200&lt;&gt;"acoes")))*INDEX(Inputs!$K$5:$AJ$200,0,MATCH(Q$2,Inputs!$K$4:$AJ$4,0)))+SUMPRODUCT((Inputs!$C$5:$C$200=$B54)*Inputs!$D$5:$D$200*(((Inputs!$G$5:$G$200="moeda")+(Inputs!$G$5:$G$200="acoes"))*Inputs!$B$1+((Inputs!$G$5:$G$200&lt;&gt;"moeda")*(Inputs!$G$5:$G$200&lt;&gt;"acoes")))*INDEX(Inputs!$K$5:$AJ$200,0,MATCH(Q$2,Inputs!$K$4:$AJ$4,0)))+SUMPRODUCT((Inputs!$E$5:$E$200=$B54)*Inputs!$F$5:$F$200*(((Inputs!$G$5:$G$200="moeda")+(Inputs!$G$5:$G$200="acoes"))*Inputs!$B$1+((Inputs!$G$5:$G$200&lt;&gt;"moeda")*(Inputs!$G$5:$G$200&lt;&gt;"acoes")))*INDEX(Inputs!$K$5:$AJ$200,0,MATCH(Q$2,Inputs!$K$4:$AJ$4,0)))))</f>
        <v>29.824</v>
      </c>
      <c r="R54" s="263">
        <f>SUM(N54:Q54)</f>
        <v>116.748</v>
      </c>
      <c r="S54" s="262">
        <f>IF(ISNA(MATCH(S$2,Inputs!$K$4:$AJ$4,0)),NA(),IF(SUMPRODUCT((Inputs!$A$5:$A$200=$B54)*ISNUMBER(INDEX(Inputs!$K$5:$AJ$200,0,MATCH(S$2,Inputs!$K$4:$AJ$4,0))))+SUMPRODUCT((Inputs!$C$5:$C$200=$B54)*ISNUMBER(INDEX(Inputs!$K$5:$AJ$200,0,MATCH(S$2,Inputs!$K$4:$AJ$4,0))))+SUMPRODUCT((Inputs!$E$5:$E$200=$B54)*ISNUMBER(INDEX(Inputs!$K$5:$AJ$200,0,MATCH(S$2,Inputs!$K$4:$AJ$4,0))))=0,NA(),SUMPRODUCT((Inputs!$A$5:$A$200=$B54)*Inputs!$B$5:$B$200*(((Inputs!$G$5:$G$200="moeda")+(Inputs!$G$5:$G$200="acoes"))*Inputs!$B$1+((Inputs!$G$5:$G$200&lt;&gt;"moeda")*(Inputs!$G$5:$G$200&lt;&gt;"acoes")))*INDEX(Inputs!$K$5:$AJ$200,0,MATCH(S$2,Inputs!$K$4:$AJ$4,0)))+SUMPRODUCT((Inputs!$C$5:$C$200=$B54)*Inputs!$D$5:$D$200*(((Inputs!$G$5:$G$200="moeda")+(Inputs!$G$5:$G$200="acoes"))*Inputs!$B$1+((Inputs!$G$5:$G$200&lt;&gt;"moeda")*(Inputs!$G$5:$G$200&lt;&gt;"acoes")))*INDEX(Inputs!$K$5:$AJ$200,0,MATCH(S$2,Inputs!$K$4:$AJ$4,0)))+SUMPRODUCT((Inputs!$E$5:$E$200=$B54)*Inputs!$F$5:$F$200*(((Inputs!$G$5:$G$200="moeda")+(Inputs!$G$5:$G$200="acoes"))*Inputs!$B$1+((Inputs!$G$5:$G$200&lt;&gt;"moeda")*(Inputs!$G$5:$G$200&lt;&gt;"acoes")))*INDEX(Inputs!$K$5:$AJ$200,0,MATCH(S$2,Inputs!$K$4:$AJ$4,0)))))</f>
        <v>30.69</v>
      </c>
      <c r="T54" s="262">
        <f>IF(ISNA(MATCH(T$2,Inputs!$K$4:$AJ$4,0)),NA(),IF(SUMPRODUCT((Inputs!$A$5:$A$200=$B54)*ISNUMBER(INDEX(Inputs!$K$5:$AJ$200,0,MATCH(T$2,Inputs!$K$4:$AJ$4,0))))+SUMPRODUCT((Inputs!$C$5:$C$200=$B54)*ISNUMBER(INDEX(Inputs!$K$5:$AJ$200,0,MATCH(T$2,Inputs!$K$4:$AJ$4,0))))+SUMPRODUCT((Inputs!$E$5:$E$200=$B54)*ISNUMBER(INDEX(Inputs!$K$5:$AJ$200,0,MATCH(T$2,Inputs!$K$4:$AJ$4,0))))=0,NA(),SUMPRODUCT((Inputs!$A$5:$A$200=$B54)*Inputs!$B$5:$B$200*(((Inputs!$G$5:$G$200="moeda")+(Inputs!$G$5:$G$200="acoes"))*Inputs!$B$1+((Inputs!$G$5:$G$200&lt;&gt;"moeda")*(Inputs!$G$5:$G$200&lt;&gt;"acoes")))*INDEX(Inputs!$K$5:$AJ$200,0,MATCH(T$2,Inputs!$K$4:$AJ$4,0)))+SUMPRODUCT((Inputs!$C$5:$C$200=$B54)*Inputs!$D$5:$D$200*(((Inputs!$G$5:$G$200="moeda")+(Inputs!$G$5:$G$200="acoes"))*Inputs!$B$1+((Inputs!$G$5:$G$200&lt;&gt;"moeda")*(Inputs!$G$5:$G$200&lt;&gt;"acoes")))*INDEX(Inputs!$K$5:$AJ$200,0,MATCH(T$2,Inputs!$K$4:$AJ$4,0)))+SUMPRODUCT((Inputs!$E$5:$E$200=$B54)*Inputs!$F$5:$F$200*(((Inputs!$G$5:$G$200="moeda")+(Inputs!$G$5:$G$200="acoes"))*Inputs!$B$1+((Inputs!$G$5:$G$200&lt;&gt;"moeda")*(Inputs!$G$5:$G$200&lt;&gt;"acoes")))*INDEX(Inputs!$K$5:$AJ$200,0,MATCH(T$2,Inputs!$K$4:$AJ$4,0)))))</f>
        <v>33.98</v>
      </c>
      <c r="U54" s="262">
        <f>IF(ISNA(MATCH(U$2,Inputs!$K$4:$AJ$4,0)),NA(),IF(SUMPRODUCT((Inputs!$A$5:$A$200=$B54)*ISNUMBER(INDEX(Inputs!$K$5:$AJ$200,0,MATCH(U$2,Inputs!$K$4:$AJ$4,0))))+SUMPRODUCT((Inputs!$C$5:$C$200=$B54)*ISNUMBER(INDEX(Inputs!$K$5:$AJ$200,0,MATCH(U$2,Inputs!$K$4:$AJ$4,0))))+SUMPRODUCT((Inputs!$E$5:$E$200=$B54)*ISNUMBER(INDEX(Inputs!$K$5:$AJ$200,0,MATCH(U$2,Inputs!$K$4:$AJ$4,0))))=0,NA(),SUMPRODUCT((Inputs!$A$5:$A$200=$B54)*Inputs!$B$5:$B$200*(((Inputs!$G$5:$G$200="moeda")+(Inputs!$G$5:$G$200="acoes"))*Inputs!$B$1+((Inputs!$G$5:$G$200&lt;&gt;"moeda")*(Inputs!$G$5:$G$200&lt;&gt;"acoes")))*INDEX(Inputs!$K$5:$AJ$200,0,MATCH(U$2,Inputs!$K$4:$AJ$4,0)))+SUMPRODUCT((Inputs!$C$5:$C$200=$B54)*Inputs!$D$5:$D$200*(((Inputs!$G$5:$G$200="moeda")+(Inputs!$G$5:$G$200="acoes"))*Inputs!$B$1+((Inputs!$G$5:$G$200&lt;&gt;"moeda")*(Inputs!$G$5:$G$200&lt;&gt;"acoes")))*INDEX(Inputs!$K$5:$AJ$200,0,MATCH(U$2,Inputs!$K$4:$AJ$4,0)))+SUMPRODUCT((Inputs!$E$5:$E$200=$B54)*Inputs!$F$5:$F$200*(((Inputs!$G$5:$G$200="moeda")+(Inputs!$G$5:$G$200="acoes"))*Inputs!$B$1+((Inputs!$G$5:$G$200&lt;&gt;"moeda")*(Inputs!$G$5:$G$200&lt;&gt;"acoes")))*INDEX(Inputs!$K$5:$AJ$200,0,MATCH(U$2,Inputs!$K$4:$AJ$4,0)))))</f>
        <v>63.217</v>
      </c>
      <c r="V54" s="262">
        <f>IF(ISNA(MATCH(V$2,Inputs!$K$4:$AJ$4,0)),NA(),IF(SUMPRODUCT((Inputs!$A$5:$A$200=$B54)*ISNUMBER(INDEX(Inputs!$K$5:$AJ$200,0,MATCH(V$2,Inputs!$K$4:$AJ$4,0))))+SUMPRODUCT((Inputs!$C$5:$C$200=$B54)*ISNUMBER(INDEX(Inputs!$K$5:$AJ$200,0,MATCH(V$2,Inputs!$K$4:$AJ$4,0))))+SUMPRODUCT((Inputs!$E$5:$E$200=$B54)*ISNUMBER(INDEX(Inputs!$K$5:$AJ$200,0,MATCH(V$2,Inputs!$K$4:$AJ$4,0))))=0,NA(),SUMPRODUCT((Inputs!$A$5:$A$200=$B54)*Inputs!$B$5:$B$200*(((Inputs!$G$5:$G$200="moeda")+(Inputs!$G$5:$G$200="acoes"))*Inputs!$B$1+((Inputs!$G$5:$G$200&lt;&gt;"moeda")*(Inputs!$G$5:$G$200&lt;&gt;"acoes")))*INDEX(Inputs!$K$5:$AJ$200,0,MATCH(V$2,Inputs!$K$4:$AJ$4,0)))+SUMPRODUCT((Inputs!$C$5:$C$200=$B54)*Inputs!$D$5:$D$200*(((Inputs!$G$5:$G$200="moeda")+(Inputs!$G$5:$G$200="acoes"))*Inputs!$B$1+((Inputs!$G$5:$G$200&lt;&gt;"moeda")*(Inputs!$G$5:$G$200&lt;&gt;"acoes")))*INDEX(Inputs!$K$5:$AJ$200,0,MATCH(V$2,Inputs!$K$4:$AJ$4,0)))+SUMPRODUCT((Inputs!$E$5:$E$200=$B54)*Inputs!$F$5:$F$200*(((Inputs!$G$5:$G$200="moeda")+(Inputs!$G$5:$G$200="acoes"))*Inputs!$B$1+((Inputs!$G$5:$G$200&lt;&gt;"moeda")*(Inputs!$G$5:$G$200&lt;&gt;"acoes")))*INDEX(Inputs!$K$5:$AJ$200,0,MATCH(V$2,Inputs!$K$4:$AJ$4,0)))))</f>
        <v>41.805</v>
      </c>
      <c r="W54" s="263">
        <f>SUM(S54:V54)</f>
        <v>169.692</v>
      </c>
      <c r="X54" s="262">
        <f>IF(ISNA(MATCH(X$2,Inputs!$K$4:$AJ$4,0)),NA(),IF(SUMPRODUCT((Inputs!$A$5:$A$200=$B54)*ISNUMBER(INDEX(Inputs!$K$5:$AJ$200,0,MATCH(X$2,Inputs!$K$4:$AJ$4,0))))+SUMPRODUCT((Inputs!$C$5:$C$200=$B54)*ISNUMBER(INDEX(Inputs!$K$5:$AJ$200,0,MATCH(X$2,Inputs!$K$4:$AJ$4,0))))+SUMPRODUCT((Inputs!$E$5:$E$200=$B54)*ISNUMBER(INDEX(Inputs!$K$5:$AJ$200,0,MATCH(X$2,Inputs!$K$4:$AJ$4,0))))=0,NA(),SUMPRODUCT((Inputs!$A$5:$A$200=$B54)*Inputs!$B$5:$B$200*(((Inputs!$G$5:$G$200="moeda")+(Inputs!$G$5:$G$200="acoes"))*Inputs!$B$1+((Inputs!$G$5:$G$200&lt;&gt;"moeda")*(Inputs!$G$5:$G$200&lt;&gt;"acoes")))*INDEX(Inputs!$K$5:$AJ$200,0,MATCH(X$2,Inputs!$K$4:$AJ$4,0)))+SUMPRODUCT((Inputs!$C$5:$C$200=$B54)*Inputs!$D$5:$D$200*(((Inputs!$G$5:$G$200="moeda")+(Inputs!$G$5:$G$200="acoes"))*Inputs!$B$1+((Inputs!$G$5:$G$200&lt;&gt;"moeda")*(Inputs!$G$5:$G$200&lt;&gt;"acoes")))*INDEX(Inputs!$K$5:$AJ$200,0,MATCH(X$2,Inputs!$K$4:$AJ$4,0)))+SUMPRODUCT((Inputs!$E$5:$E$200=$B54)*Inputs!$F$5:$F$200*(((Inputs!$G$5:$G$200="moeda")+(Inputs!$G$5:$G$200="acoes"))*Inputs!$B$1+((Inputs!$G$5:$G$200&lt;&gt;"moeda")*(Inputs!$G$5:$G$200&lt;&gt;"acoes")))*INDEX(Inputs!$K$5:$AJ$200,0,MATCH(X$2,Inputs!$K$4:$AJ$4,0)))))</f>
        <v>47.138</v>
      </c>
      <c r="Y54" s="262">
        <f>IF(ISNA(MATCH(Y$2,Inputs!$K$4:$AJ$4,0)),NA(),IF(SUMPRODUCT((Inputs!$A$5:$A$200=$B54)*ISNUMBER(INDEX(Inputs!$K$5:$AJ$200,0,MATCH(Y$2,Inputs!$K$4:$AJ$4,0))))+SUMPRODUCT((Inputs!$C$5:$C$200=$B54)*ISNUMBER(INDEX(Inputs!$K$5:$AJ$200,0,MATCH(Y$2,Inputs!$K$4:$AJ$4,0))))+SUMPRODUCT((Inputs!$E$5:$E$200=$B54)*ISNUMBER(INDEX(Inputs!$K$5:$AJ$200,0,MATCH(Y$2,Inputs!$K$4:$AJ$4,0))))=0,NA(),SUMPRODUCT((Inputs!$A$5:$A$200=$B54)*Inputs!$B$5:$B$200*(((Inputs!$G$5:$G$200="moeda")+(Inputs!$G$5:$G$200="acoes"))*Inputs!$B$1+((Inputs!$G$5:$G$200&lt;&gt;"moeda")*(Inputs!$G$5:$G$200&lt;&gt;"acoes")))*INDEX(Inputs!$K$5:$AJ$200,0,MATCH(Y$2,Inputs!$K$4:$AJ$4,0)))+SUMPRODUCT((Inputs!$C$5:$C$200=$B54)*Inputs!$D$5:$D$200*(((Inputs!$G$5:$G$200="moeda")+(Inputs!$G$5:$G$200="acoes"))*Inputs!$B$1+((Inputs!$G$5:$G$200&lt;&gt;"moeda")*(Inputs!$G$5:$G$200&lt;&gt;"acoes")))*INDEX(Inputs!$K$5:$AJ$200,0,MATCH(Y$2,Inputs!$K$4:$AJ$4,0)))+SUMPRODUCT((Inputs!$E$5:$E$200=$B54)*Inputs!$F$5:$F$200*(((Inputs!$G$5:$G$200="moeda")+(Inputs!$G$5:$G$200="acoes"))*Inputs!$B$1+((Inputs!$G$5:$G$200&lt;&gt;"moeda")*(Inputs!$G$5:$G$200&lt;&gt;"acoes")))*INDEX(Inputs!$K$5:$AJ$200,0,MATCH(Y$2,Inputs!$K$4:$AJ$4,0)))))</f>
        <v>66.302</v>
      </c>
      <c r="Z54" s="262">
        <f>IF(ISNA(MATCH(Z$2,Inputs!$K$4:$AJ$4,0)),NA(),IF(SUMPRODUCT((Inputs!$A$5:$A$200=$B54)*ISNUMBER(INDEX(Inputs!$K$5:$AJ$200,0,MATCH(Z$2,Inputs!$K$4:$AJ$4,0))))+SUMPRODUCT((Inputs!$C$5:$C$200=$B54)*ISNUMBER(INDEX(Inputs!$K$5:$AJ$200,0,MATCH(Z$2,Inputs!$K$4:$AJ$4,0))))+SUMPRODUCT((Inputs!$E$5:$E$200=$B54)*ISNUMBER(INDEX(Inputs!$K$5:$AJ$200,0,MATCH(Z$2,Inputs!$K$4:$AJ$4,0))))=0,NA(),SUMPRODUCT((Inputs!$A$5:$A$200=$B54)*Inputs!$B$5:$B$200*(((Inputs!$G$5:$G$200="moeda")+(Inputs!$G$5:$G$200="acoes"))*Inputs!$B$1+((Inputs!$G$5:$G$200&lt;&gt;"moeda")*(Inputs!$G$5:$G$200&lt;&gt;"acoes")))*INDEX(Inputs!$K$5:$AJ$200,0,MATCH(Z$2,Inputs!$K$4:$AJ$4,0)))+SUMPRODUCT((Inputs!$C$5:$C$200=$B54)*Inputs!$D$5:$D$200*(((Inputs!$G$5:$G$200="moeda")+(Inputs!$G$5:$G$200="acoes"))*Inputs!$B$1+((Inputs!$G$5:$G$200&lt;&gt;"moeda")*(Inputs!$G$5:$G$200&lt;&gt;"acoes")))*INDEX(Inputs!$K$5:$AJ$200,0,MATCH(Z$2,Inputs!$K$4:$AJ$4,0)))+SUMPRODUCT((Inputs!$E$5:$E$200=$B54)*Inputs!$F$5:$F$200*(((Inputs!$G$5:$G$200="moeda")+(Inputs!$G$5:$G$200="acoes"))*Inputs!$B$1+((Inputs!$G$5:$G$200&lt;&gt;"moeda")*(Inputs!$G$5:$G$200&lt;&gt;"acoes")))*INDEX(Inputs!$K$5:$AJ$200,0,MATCH(Z$2,Inputs!$K$4:$AJ$4,0)))))</f>
        <v>77.08</v>
      </c>
      <c r="AA54" s="262">
        <f>IF(ISNA(MATCH(AA$2,Inputs!$K$4:$AJ$4,0)),NA(),IF(SUMPRODUCT((Inputs!$A$5:$A$200=$B54)*ISNUMBER(INDEX(Inputs!$K$5:$AJ$200,0,MATCH(AA$2,Inputs!$K$4:$AJ$4,0))))+SUMPRODUCT((Inputs!$C$5:$C$200=$B54)*ISNUMBER(INDEX(Inputs!$K$5:$AJ$200,0,MATCH(AA$2,Inputs!$K$4:$AJ$4,0))))+SUMPRODUCT((Inputs!$E$5:$E$200=$B54)*ISNUMBER(INDEX(Inputs!$K$5:$AJ$200,0,MATCH(AA$2,Inputs!$K$4:$AJ$4,0))))=0,NA(),SUMPRODUCT((Inputs!$A$5:$A$200=$B54)*Inputs!$B$5:$B$200*(((Inputs!$G$5:$G$200="moeda")+(Inputs!$G$5:$G$200="acoes"))*Inputs!$B$1+((Inputs!$G$5:$G$200&lt;&gt;"moeda")*(Inputs!$G$5:$G$200&lt;&gt;"acoes")))*INDEX(Inputs!$K$5:$AJ$200,0,MATCH(AA$2,Inputs!$K$4:$AJ$4,0)))+SUMPRODUCT((Inputs!$C$5:$C$200=$B54)*Inputs!$D$5:$D$200*(((Inputs!$G$5:$G$200="moeda")+(Inputs!$G$5:$G$200="acoes"))*Inputs!$B$1+((Inputs!$G$5:$G$200&lt;&gt;"moeda")*(Inputs!$G$5:$G$200&lt;&gt;"acoes")))*INDEX(Inputs!$K$5:$AJ$200,0,MATCH(AA$2,Inputs!$K$4:$AJ$4,0)))+SUMPRODUCT((Inputs!$E$5:$E$200=$B54)*Inputs!$F$5:$F$200*(((Inputs!$G$5:$G$200="moeda")+(Inputs!$G$5:$G$200="acoes"))*Inputs!$B$1+((Inputs!$G$5:$G$200&lt;&gt;"moeda")*(Inputs!$G$5:$G$200&lt;&gt;"acoes")))*INDEX(Inputs!$K$5:$AJ$200,0,MATCH(AA$2,Inputs!$K$4:$AJ$4,0)))))</f>
        <v>67.379</v>
      </c>
      <c r="AB54" s="263">
        <f>SUM(X54:AA54)</f>
        <v>257.899</v>
      </c>
      <c r="AC54" s="262">
        <f>IF(ISNA(MATCH(AC$2,Inputs!$K$4:$AJ$4,0)),NA(),IF(SUMPRODUCT((Inputs!$A$5:$A$200=$B54)*ISNUMBER(INDEX(Inputs!$K$5:$AJ$200,0,MATCH(AC$2,Inputs!$K$4:$AJ$4,0))))+SUMPRODUCT((Inputs!$C$5:$C$200=$B54)*ISNUMBER(INDEX(Inputs!$K$5:$AJ$200,0,MATCH(AC$2,Inputs!$K$4:$AJ$4,0))))+SUMPRODUCT((Inputs!$E$5:$E$200=$B54)*ISNUMBER(INDEX(Inputs!$K$5:$AJ$200,0,MATCH(AC$2,Inputs!$K$4:$AJ$4,0))))=0,NA(),SUMPRODUCT((Inputs!$A$5:$A$200=$B54)*Inputs!$B$5:$B$200*(((Inputs!$G$5:$G$200="moeda")+(Inputs!$G$5:$G$200="acoes"))*Inputs!$B$1+((Inputs!$G$5:$G$200&lt;&gt;"moeda")*(Inputs!$G$5:$G$200&lt;&gt;"acoes")))*INDEX(Inputs!$K$5:$AJ$200,0,MATCH(AC$2,Inputs!$K$4:$AJ$4,0)))+SUMPRODUCT((Inputs!$C$5:$C$200=$B54)*Inputs!$D$5:$D$200*(((Inputs!$G$5:$G$200="moeda")+(Inputs!$G$5:$G$200="acoes"))*Inputs!$B$1+((Inputs!$G$5:$G$200&lt;&gt;"moeda")*(Inputs!$G$5:$G$200&lt;&gt;"acoes")))*INDEX(Inputs!$K$5:$AJ$200,0,MATCH(AC$2,Inputs!$K$4:$AJ$4,0)))+SUMPRODUCT((Inputs!$E$5:$E$200=$B54)*Inputs!$F$5:$F$200*(((Inputs!$G$5:$G$200="moeda")+(Inputs!$G$5:$G$200="acoes"))*Inputs!$B$1+((Inputs!$G$5:$G$200&lt;&gt;"moeda")*(Inputs!$G$5:$G$200&lt;&gt;"acoes")))*INDEX(Inputs!$K$5:$AJ$200,0,MATCH(AC$2,Inputs!$K$4:$AJ$4,0)))))</f>
        <v>111.014</v>
      </c>
      <c r="AD54" s="262" t="e">
        <f>IF(ISNA(MATCH(AD$2,Inputs!$K$4:$AJ$4,0)),NA(),IF(SUMPRODUCT((Inputs!$A$5:$A$200=$B54)*ISNUMBER(INDEX(Inputs!$K$5:$AJ$200,0,MATCH(AD$2,Inputs!$K$4:$AJ$4,0))))+SUMPRODUCT((Inputs!$C$5:$C$200=$B54)*ISNUMBER(INDEX(Inputs!$K$5:$AJ$200,0,MATCH(AD$2,Inputs!$K$4:$AJ$4,0))))+SUMPRODUCT((Inputs!$E$5:$E$200=$B54)*ISNUMBER(INDEX(Inputs!$K$5:$AJ$200,0,MATCH(AD$2,Inputs!$K$4:$AJ$4,0))))=0,NA(),SUMPRODUCT((Inputs!$A$5:$A$200=$B54)*Inputs!$B$5:$B$200*(((Inputs!$G$5:$G$200="moeda")+(Inputs!$G$5:$G$200="acoes"))*Inputs!$B$1+((Inputs!$G$5:$G$200&lt;&gt;"moeda")*(Inputs!$G$5:$G$200&lt;&gt;"acoes")))*INDEX(Inputs!$K$5:$AJ$200,0,MATCH(AD$2,Inputs!$K$4:$AJ$4,0)))+SUMPRODUCT((Inputs!$C$5:$C$200=$B54)*Inputs!$D$5:$D$200*(((Inputs!$G$5:$G$200="moeda")+(Inputs!$G$5:$G$200="acoes"))*Inputs!$B$1+((Inputs!$G$5:$G$200&lt;&gt;"moeda")*(Inputs!$G$5:$G$200&lt;&gt;"acoes")))*INDEX(Inputs!$K$5:$AJ$200,0,MATCH(AD$2,Inputs!$K$4:$AJ$4,0)))+SUMPRODUCT((Inputs!$E$5:$E$200=$B54)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54" s="262" t="e">
        <f>IF(ISNA(MATCH(AE$2,Inputs!$K$4:$AJ$4,0)),NA(),IF(SUMPRODUCT((Inputs!$A$5:$A$200=$B54)*ISNUMBER(INDEX(Inputs!$K$5:$AJ$200,0,MATCH(AE$2,Inputs!$K$4:$AJ$4,0))))+SUMPRODUCT((Inputs!$C$5:$C$200=$B54)*ISNUMBER(INDEX(Inputs!$K$5:$AJ$200,0,MATCH(AE$2,Inputs!$K$4:$AJ$4,0))))+SUMPRODUCT((Inputs!$E$5:$E$200=$B54)*ISNUMBER(INDEX(Inputs!$K$5:$AJ$200,0,MATCH(AE$2,Inputs!$K$4:$AJ$4,0))))=0,NA(),SUMPRODUCT((Inputs!$A$5:$A$200=$B54)*Inputs!$B$5:$B$200*(((Inputs!$G$5:$G$200="moeda")+(Inputs!$G$5:$G$200="acoes"))*Inputs!$B$1+((Inputs!$G$5:$G$200&lt;&gt;"moeda")*(Inputs!$G$5:$G$200&lt;&gt;"acoes")))*INDEX(Inputs!$K$5:$AJ$200,0,MATCH(AE$2,Inputs!$K$4:$AJ$4,0)))+SUMPRODUCT((Inputs!$C$5:$C$200=$B54)*Inputs!$D$5:$D$200*(((Inputs!$G$5:$G$200="moeda")+(Inputs!$G$5:$G$200="acoes"))*Inputs!$B$1+((Inputs!$G$5:$G$200&lt;&gt;"moeda")*(Inputs!$G$5:$G$200&lt;&gt;"acoes")))*INDEX(Inputs!$K$5:$AJ$200,0,MATCH(AE$2,Inputs!$K$4:$AJ$4,0)))+SUMPRODUCT((Inputs!$E$5:$E$200=$B54)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4" s="262" t="e">
        <f>IF(ISNA(MATCH(AF$2,Inputs!$K$4:$AJ$4,0)),NA(),IF(SUMPRODUCT((Inputs!$A$5:$A$200=$B54)*ISNUMBER(INDEX(Inputs!$K$5:$AJ$200,0,MATCH(AF$2,Inputs!$K$4:$AJ$4,0))))+SUMPRODUCT((Inputs!$C$5:$C$200=$B54)*ISNUMBER(INDEX(Inputs!$K$5:$AJ$200,0,MATCH(AF$2,Inputs!$K$4:$AJ$4,0))))+SUMPRODUCT((Inputs!$E$5:$E$200=$B54)*ISNUMBER(INDEX(Inputs!$K$5:$AJ$200,0,MATCH(AF$2,Inputs!$K$4:$AJ$4,0))))=0,NA(),SUMPRODUCT((Inputs!$A$5:$A$200=$B54)*Inputs!$B$5:$B$200*(((Inputs!$G$5:$G$200="moeda")+(Inputs!$G$5:$G$200="acoes"))*Inputs!$B$1+((Inputs!$G$5:$G$200&lt;&gt;"moeda")*(Inputs!$G$5:$G$200&lt;&gt;"acoes")))*INDEX(Inputs!$K$5:$AJ$200,0,MATCH(AF$2,Inputs!$K$4:$AJ$4,0)))+SUMPRODUCT((Inputs!$C$5:$C$200=$B54)*Inputs!$D$5:$D$200*(((Inputs!$G$5:$G$200="moeda")+(Inputs!$G$5:$G$200="acoes"))*Inputs!$B$1+((Inputs!$G$5:$G$200&lt;&gt;"moeda")*(Inputs!$G$5:$G$200&lt;&gt;"acoes")))*INDEX(Inputs!$K$5:$AJ$200,0,MATCH(AF$2,Inputs!$K$4:$AJ$4,0)))+SUMPRODUCT((Inputs!$E$5:$E$200=$B54)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4" s="263" t="e">
        <f>SUM(AC54:AF54)</f>
        <v>#N/A</v>
      </c>
      <c r="AH54" s="262">
        <f>IF(ISNA(MATCH(AH$2,Inputs!$K$4:$AJ$4,0)),NA(),IF(SUMPRODUCT((Inputs!$A$5:$A$200=$B54)*ISNUMBER(INDEX(Inputs!$K$5:$AJ$200,0,MATCH(AH$2,Inputs!$K$4:$AJ$4,0))))+SUMPRODUCT((Inputs!$C$5:$C$200=$B54)*ISNUMBER(INDEX(Inputs!$K$5:$AJ$200,0,MATCH(AH$2,Inputs!$K$4:$AJ$4,0))))+SUMPRODUCT((Inputs!$E$5:$E$200=$B54)*ISNUMBER(INDEX(Inputs!$K$5:$AJ$200,0,MATCH(AH$2,Inputs!$K$4:$AJ$4,0))))=0,NA(),SUMPRODUCT((Inputs!$A$5:$A$200=$B54)*Inputs!$B$5:$B$200*(((Inputs!$G$5:$G$200="moeda")+(Inputs!$G$5:$G$200="acoes"))*Inputs!$B$1+((Inputs!$G$5:$G$200&lt;&gt;"moeda")*(Inputs!$G$5:$G$200&lt;&gt;"acoes")))*INDEX(Inputs!$K$5:$AJ$200,0,MATCH(AH$2,Inputs!$K$4:$AJ$4,0)))+SUMPRODUCT((Inputs!$C$5:$C$200=$B54)*Inputs!$D$5:$D$200*(((Inputs!$G$5:$G$200="moeda")+(Inputs!$G$5:$G$200="acoes"))*Inputs!$B$1+((Inputs!$G$5:$G$200&lt;&gt;"moeda")*(Inputs!$G$5:$G$200&lt;&gt;"acoes")))*INDEX(Inputs!$K$5:$AJ$200,0,MATCH(AH$2,Inputs!$K$4:$AJ$4,0)))+SUMPRODUCT((Inputs!$E$5:$E$200=$B54)*Inputs!$F$5:$F$200*(((Inputs!$G$5:$G$200="moeda")+(Inputs!$G$5:$G$200="acoes"))*Inputs!$B$1+((Inputs!$G$5:$G$200&lt;&gt;"moeda")*(Inputs!$G$5:$G$200&lt;&gt;"acoes")))*INDEX(Inputs!$K$5:$AJ$200,0,MATCH(AH$2,Inputs!$K$4:$AJ$4,0)))))</f>
        <v>11.31</v>
      </c>
      <c r="AI54" s="262">
        <f>IF(ISNA(MATCH(AI$2,Inputs!$K$4:$AJ$4,0)),NA(),IF(SUMPRODUCT((Inputs!$A$5:$A$200=$B54)*ISNUMBER(INDEX(Inputs!$K$5:$AJ$200,0,MATCH(AI$2,Inputs!$K$4:$AJ$4,0))))+SUMPRODUCT((Inputs!$C$5:$C$200=$B54)*ISNUMBER(INDEX(Inputs!$K$5:$AJ$200,0,MATCH(AI$2,Inputs!$K$4:$AJ$4,0))))+SUMPRODUCT((Inputs!$E$5:$E$200=$B54)*ISNUMBER(INDEX(Inputs!$K$5:$AJ$200,0,MATCH(AI$2,Inputs!$K$4:$AJ$4,0))))=0,NA(),SUMPRODUCT((Inputs!$A$5:$A$200=$B54)*Inputs!$B$5:$B$200*(((Inputs!$G$5:$G$200="moeda")+(Inputs!$G$5:$G$200="acoes"))*Inputs!$B$1+((Inputs!$G$5:$G$200&lt;&gt;"moeda")*(Inputs!$G$5:$G$200&lt;&gt;"acoes")))*INDEX(Inputs!$K$5:$AJ$200,0,MATCH(AI$2,Inputs!$K$4:$AJ$4,0)))+SUMPRODUCT((Inputs!$C$5:$C$200=$B54)*Inputs!$D$5:$D$200*(((Inputs!$G$5:$G$200="moeda")+(Inputs!$G$5:$G$200="acoes"))*Inputs!$B$1+((Inputs!$G$5:$G$200&lt;&gt;"moeda")*(Inputs!$G$5:$G$200&lt;&gt;"acoes")))*INDEX(Inputs!$K$5:$AJ$200,0,MATCH(AI$2,Inputs!$K$4:$AJ$4,0)))+SUMPRODUCT((Inputs!$E$5:$E$200=$B54)*Inputs!$F$5:$F$200*(((Inputs!$G$5:$G$200="moeda")+(Inputs!$G$5:$G$200="acoes"))*Inputs!$B$1+((Inputs!$G$5:$G$200&lt;&gt;"moeda")*(Inputs!$G$5:$G$200&lt;&gt;"acoes")))*INDEX(Inputs!$K$5:$AJ$200,0,MATCH(AI$2,Inputs!$K$4:$AJ$4,0)))))</f>
        <v>18.03</v>
      </c>
      <c r="AJ54" s="262">
        <f>IF(ISNA(MATCH(AJ$2,Inputs!$K$4:$AJ$4,0)),NA(),IF(SUMPRODUCT((Inputs!$A$5:$A$200=$B54)*ISNUMBER(INDEX(Inputs!$K$5:$AJ$200,0,MATCH(AJ$2,Inputs!$K$4:$AJ$4,0))))+SUMPRODUCT((Inputs!$C$5:$C$200=$B54)*ISNUMBER(INDEX(Inputs!$K$5:$AJ$200,0,MATCH(AJ$2,Inputs!$K$4:$AJ$4,0))))+SUMPRODUCT((Inputs!$E$5:$E$200=$B54)*ISNUMBER(INDEX(Inputs!$K$5:$AJ$200,0,MATCH(AJ$2,Inputs!$K$4:$AJ$4,0))))=0,NA(),SUMPRODUCT((Inputs!$A$5:$A$200=$B54)*Inputs!$B$5:$B$200*(((Inputs!$G$5:$G$200="moeda")+(Inputs!$G$5:$G$200="acoes"))*Inputs!$B$1+((Inputs!$G$5:$G$200&lt;&gt;"moeda")*(Inputs!$G$5:$G$200&lt;&gt;"acoes")))*INDEX(Inputs!$K$5:$AJ$200,0,MATCH(AJ$2,Inputs!$K$4:$AJ$4,0)))+SUMPRODUCT((Inputs!$C$5:$C$200=$B54)*Inputs!$D$5:$D$200*(((Inputs!$G$5:$G$200="moeda")+(Inputs!$G$5:$G$200="acoes"))*Inputs!$B$1+((Inputs!$G$5:$G$200&lt;&gt;"moeda")*(Inputs!$G$5:$G$200&lt;&gt;"acoes")))*INDEX(Inputs!$K$5:$AJ$200,0,MATCH(AJ$2,Inputs!$K$4:$AJ$4,0)))+SUMPRODUCT((Inputs!$E$5:$E$200=$B54)*Inputs!$F$5:$F$200*(((Inputs!$G$5:$G$200="moeda")+(Inputs!$G$5:$G$200="acoes"))*Inputs!$B$1+((Inputs!$G$5:$G$200&lt;&gt;"moeda")*(Inputs!$G$5:$G$200&lt;&gt;"acoes")))*INDEX(Inputs!$K$5:$AJ$200,0,MATCH(AJ$2,Inputs!$K$4:$AJ$4,0)))))</f>
        <v>17.056</v>
      </c>
      <c r="AK54" s="262">
        <f>IF(ISNA(MATCH(AK$2,Inputs!$K$4:$AJ$4,0)),NA(),IF(SUMPRODUCT((Inputs!$A$5:$A$200=$B54)*ISNUMBER(INDEX(Inputs!$K$5:$AJ$200,0,MATCH(AK$2,Inputs!$K$4:$AJ$4,0))))+SUMPRODUCT((Inputs!$C$5:$C$200=$B54)*ISNUMBER(INDEX(Inputs!$K$5:$AJ$200,0,MATCH(AK$2,Inputs!$K$4:$AJ$4,0))))+SUMPRODUCT((Inputs!$E$5:$E$200=$B54)*ISNUMBER(INDEX(Inputs!$K$5:$AJ$200,0,MATCH(AK$2,Inputs!$K$4:$AJ$4,0))))=0,NA(),SUMPRODUCT((Inputs!$A$5:$A$200=$B54)*Inputs!$B$5:$B$200*(((Inputs!$G$5:$G$200="moeda")+(Inputs!$G$5:$G$200="acoes"))*Inputs!$B$1+((Inputs!$G$5:$G$200&lt;&gt;"moeda")*(Inputs!$G$5:$G$200&lt;&gt;"acoes")))*INDEX(Inputs!$K$5:$AJ$200,0,MATCH(AK$2,Inputs!$K$4:$AJ$4,0)))+SUMPRODUCT((Inputs!$C$5:$C$200=$B54)*Inputs!$D$5:$D$200*(((Inputs!$G$5:$G$200="moeda")+(Inputs!$G$5:$G$200="acoes"))*Inputs!$B$1+((Inputs!$G$5:$G$200&lt;&gt;"moeda")*(Inputs!$G$5:$G$200&lt;&gt;"acoes")))*INDEX(Inputs!$K$5:$AJ$200,0,MATCH(AK$2,Inputs!$K$4:$AJ$4,0)))+SUMPRODUCT((Inputs!$E$5:$E$200=$B54)*Inputs!$F$5:$F$200*(((Inputs!$G$5:$G$200="moeda")+(Inputs!$G$5:$G$200="acoes"))*Inputs!$B$1+((Inputs!$G$5:$G$200&lt;&gt;"moeda")*(Inputs!$G$5:$G$200&lt;&gt;"acoes")))*INDEX(Inputs!$K$5:$AJ$200,0,MATCH(AK$2,Inputs!$K$4:$AJ$4,0)))))</f>
        <v>24.028</v>
      </c>
      <c r="AL54" s="263">
        <f>SUM(AH54:AK54)</f>
        <v>70.424</v>
      </c>
    </row>
    <row r="55">
      <c r="B55" s="46" t="n">
        <v>47</v>
      </c>
      <c r="C55" s="29" t="inlineStr">
        <is>
          <t>Receita liquida - Beneficiamento de residuos / WtE (R$ mil)</t>
        </is>
      </c>
      <c r="D55" s="262">
        <f>IF(ISNA(MATCH(D$2,Inputs!$K$4:$AJ$4,0)),NA(),IF(SUMPRODUCT((Inputs!$A$5:$A$200=$B55)*ISNUMBER(INDEX(Inputs!$K$5:$AJ$200,0,MATCH(D$2,Inputs!$K$4:$AJ$4,0))))+SUMPRODUCT((Inputs!$C$5:$C$200=$B55)*ISNUMBER(INDEX(Inputs!$K$5:$AJ$200,0,MATCH(D$2,Inputs!$K$4:$AJ$4,0))))+SUMPRODUCT((Inputs!$E$5:$E$200=$B55)*ISNUMBER(INDEX(Inputs!$K$5:$AJ$200,0,MATCH(D$2,Inputs!$K$4:$AJ$4,0))))=0,NA(),SUMPRODUCT((Inputs!$A$5:$A$200=$B55)*Inputs!$B$5:$B$200*(((Inputs!$G$5:$G$200="moeda")+(Inputs!$G$5:$G$200="acoes"))*Inputs!$B$1+((Inputs!$G$5:$G$200&lt;&gt;"moeda")*(Inputs!$G$5:$G$200&lt;&gt;"acoes")))*INDEX(Inputs!$K$5:$AJ$200,0,MATCH(D$2,Inputs!$K$4:$AJ$4,0)))+SUMPRODUCT((Inputs!$C$5:$C$200=$B55)*Inputs!$D$5:$D$200*(((Inputs!$G$5:$G$200="moeda")+(Inputs!$G$5:$G$200="acoes"))*Inputs!$B$1+((Inputs!$G$5:$G$200&lt;&gt;"moeda")*(Inputs!$G$5:$G$200&lt;&gt;"acoes")))*INDEX(Inputs!$K$5:$AJ$200,0,MATCH(D$2,Inputs!$K$4:$AJ$4,0)))+SUMPRODUCT((Inputs!$E$5:$E$200=$B55)*Inputs!$F$5:$F$200*(((Inputs!$G$5:$G$200="moeda")+(Inputs!$G$5:$G$200="acoes"))*Inputs!$B$1+((Inputs!$G$5:$G$200&lt;&gt;"moeda")*(Inputs!$G$5:$G$200&lt;&gt;"acoes")))*INDEX(Inputs!$K$5:$AJ$200,0,MATCH(D$2,Inputs!$K$4:$AJ$4,0)))))</f>
        <v>10.626</v>
      </c>
      <c r="E55" s="262">
        <f>IF(ISNA(MATCH(E$2,Inputs!$K$4:$AJ$4,0)),NA(),IF(SUMPRODUCT((Inputs!$A$5:$A$200=$B55)*ISNUMBER(INDEX(Inputs!$K$5:$AJ$200,0,MATCH(E$2,Inputs!$K$4:$AJ$4,0))))+SUMPRODUCT((Inputs!$C$5:$C$200=$B55)*ISNUMBER(INDEX(Inputs!$K$5:$AJ$200,0,MATCH(E$2,Inputs!$K$4:$AJ$4,0))))+SUMPRODUCT((Inputs!$E$5:$E$200=$B55)*ISNUMBER(INDEX(Inputs!$K$5:$AJ$200,0,MATCH(E$2,Inputs!$K$4:$AJ$4,0))))=0,NA(),SUMPRODUCT((Inputs!$A$5:$A$200=$B55)*Inputs!$B$5:$B$200*(((Inputs!$G$5:$G$200="moeda")+(Inputs!$G$5:$G$200="acoes"))*Inputs!$B$1+((Inputs!$G$5:$G$200&lt;&gt;"moeda")*(Inputs!$G$5:$G$200&lt;&gt;"acoes")))*INDEX(Inputs!$K$5:$AJ$200,0,MATCH(E$2,Inputs!$K$4:$AJ$4,0)))+SUMPRODUCT((Inputs!$C$5:$C$200=$B55)*Inputs!$D$5:$D$200*(((Inputs!$G$5:$G$200="moeda")+(Inputs!$G$5:$G$200="acoes"))*Inputs!$B$1+((Inputs!$G$5:$G$200&lt;&gt;"moeda")*(Inputs!$G$5:$G$200&lt;&gt;"acoes")))*INDEX(Inputs!$K$5:$AJ$200,0,MATCH(E$2,Inputs!$K$4:$AJ$4,0)))+SUMPRODUCT((Inputs!$E$5:$E$200=$B55)*Inputs!$F$5:$F$200*(((Inputs!$G$5:$G$200="moeda")+(Inputs!$G$5:$G$200="acoes"))*Inputs!$B$1+((Inputs!$G$5:$G$200&lt;&gt;"moeda")*(Inputs!$G$5:$G$200&lt;&gt;"acoes")))*INDEX(Inputs!$K$5:$AJ$200,0,MATCH(E$2,Inputs!$K$4:$AJ$4,0)))))</f>
        <v>12.903</v>
      </c>
      <c r="F55" s="262">
        <f>IF(ISNA(MATCH(F$2,Inputs!$K$4:$AJ$4,0)),NA(),IF(SUMPRODUCT((Inputs!$A$5:$A$200=$B55)*ISNUMBER(INDEX(Inputs!$K$5:$AJ$200,0,MATCH(F$2,Inputs!$K$4:$AJ$4,0))))+SUMPRODUCT((Inputs!$C$5:$C$200=$B55)*ISNUMBER(INDEX(Inputs!$K$5:$AJ$200,0,MATCH(F$2,Inputs!$K$4:$AJ$4,0))))+SUMPRODUCT((Inputs!$E$5:$E$200=$B55)*ISNUMBER(INDEX(Inputs!$K$5:$AJ$200,0,MATCH(F$2,Inputs!$K$4:$AJ$4,0))))=0,NA(),SUMPRODUCT((Inputs!$A$5:$A$200=$B55)*Inputs!$B$5:$B$200*(((Inputs!$G$5:$G$200="moeda")+(Inputs!$G$5:$G$200="acoes"))*Inputs!$B$1+((Inputs!$G$5:$G$200&lt;&gt;"moeda")*(Inputs!$G$5:$G$200&lt;&gt;"acoes")))*INDEX(Inputs!$K$5:$AJ$200,0,MATCH(F$2,Inputs!$K$4:$AJ$4,0)))+SUMPRODUCT((Inputs!$C$5:$C$200=$B55)*Inputs!$D$5:$D$200*(((Inputs!$G$5:$G$200="moeda")+(Inputs!$G$5:$G$200="acoes"))*Inputs!$B$1+((Inputs!$G$5:$G$200&lt;&gt;"moeda")*(Inputs!$G$5:$G$200&lt;&gt;"acoes")))*INDEX(Inputs!$K$5:$AJ$200,0,MATCH(F$2,Inputs!$K$4:$AJ$4,0)))+SUMPRODUCT((Inputs!$E$5:$E$200=$B55)*Inputs!$F$5:$F$200*(((Inputs!$G$5:$G$200="moeda")+(Inputs!$G$5:$G$200="acoes"))*Inputs!$B$1+((Inputs!$G$5:$G$200&lt;&gt;"moeda")*(Inputs!$G$5:$G$200&lt;&gt;"acoes")))*INDEX(Inputs!$K$5:$AJ$200,0,MATCH(F$2,Inputs!$K$4:$AJ$4,0)))))</f>
        <v>8.793</v>
      </c>
      <c r="G55" s="262">
        <f>IF(ISNA(MATCH(G$2,Inputs!$K$4:$AJ$4,0)),NA(),IF(SUMPRODUCT((Inputs!$A$5:$A$200=$B55)*ISNUMBER(INDEX(Inputs!$K$5:$AJ$200,0,MATCH(G$2,Inputs!$K$4:$AJ$4,0))))+SUMPRODUCT((Inputs!$C$5:$C$200=$B55)*ISNUMBER(INDEX(Inputs!$K$5:$AJ$200,0,MATCH(G$2,Inputs!$K$4:$AJ$4,0))))+SUMPRODUCT((Inputs!$E$5:$E$200=$B55)*ISNUMBER(INDEX(Inputs!$K$5:$AJ$200,0,MATCH(G$2,Inputs!$K$4:$AJ$4,0))))=0,NA(),SUMPRODUCT((Inputs!$A$5:$A$200=$B55)*Inputs!$B$5:$B$200*(((Inputs!$G$5:$G$200="moeda")+(Inputs!$G$5:$G$200="acoes"))*Inputs!$B$1+((Inputs!$G$5:$G$200&lt;&gt;"moeda")*(Inputs!$G$5:$G$200&lt;&gt;"acoes")))*INDEX(Inputs!$K$5:$AJ$200,0,MATCH(G$2,Inputs!$K$4:$AJ$4,0)))+SUMPRODUCT((Inputs!$C$5:$C$200=$B55)*Inputs!$D$5:$D$200*(((Inputs!$G$5:$G$200="moeda")+(Inputs!$G$5:$G$200="acoes"))*Inputs!$B$1+((Inputs!$G$5:$G$200&lt;&gt;"moeda")*(Inputs!$G$5:$G$200&lt;&gt;"acoes")))*INDEX(Inputs!$K$5:$AJ$200,0,MATCH(G$2,Inputs!$K$4:$AJ$4,0)))+SUMPRODUCT((Inputs!$E$5:$E$200=$B55)*Inputs!$F$5:$F$200*(((Inputs!$G$5:$G$200="moeda")+(Inputs!$G$5:$G$200="acoes"))*Inputs!$B$1+((Inputs!$G$5:$G$200&lt;&gt;"moeda")*(Inputs!$G$5:$G$200&lt;&gt;"acoes")))*INDEX(Inputs!$K$5:$AJ$200,0,MATCH(G$2,Inputs!$K$4:$AJ$4,0)))))</f>
        <v>6.835</v>
      </c>
      <c r="H55" s="263">
        <f>SUM(D55:G55)</f>
        <v>39.157</v>
      </c>
      <c r="I55" s="262">
        <f>IF(ISNA(MATCH(I$2,Inputs!$K$4:$AJ$4,0)),NA(),IF(SUMPRODUCT((Inputs!$A$5:$A$200=$B55)*ISNUMBER(INDEX(Inputs!$K$5:$AJ$200,0,MATCH(I$2,Inputs!$K$4:$AJ$4,0))))+SUMPRODUCT((Inputs!$C$5:$C$200=$B55)*ISNUMBER(INDEX(Inputs!$K$5:$AJ$200,0,MATCH(I$2,Inputs!$K$4:$AJ$4,0))))+SUMPRODUCT((Inputs!$E$5:$E$200=$B55)*ISNUMBER(INDEX(Inputs!$K$5:$AJ$200,0,MATCH(I$2,Inputs!$K$4:$AJ$4,0))))=0,NA(),SUMPRODUCT((Inputs!$A$5:$A$200=$B55)*Inputs!$B$5:$B$200*(((Inputs!$G$5:$G$200="moeda")+(Inputs!$G$5:$G$200="acoes"))*Inputs!$B$1+((Inputs!$G$5:$G$200&lt;&gt;"moeda")*(Inputs!$G$5:$G$200&lt;&gt;"acoes")))*INDEX(Inputs!$K$5:$AJ$200,0,MATCH(I$2,Inputs!$K$4:$AJ$4,0)))+SUMPRODUCT((Inputs!$C$5:$C$200=$B55)*Inputs!$D$5:$D$200*(((Inputs!$G$5:$G$200="moeda")+(Inputs!$G$5:$G$200="acoes"))*Inputs!$B$1+((Inputs!$G$5:$G$200&lt;&gt;"moeda")*(Inputs!$G$5:$G$200&lt;&gt;"acoes")))*INDEX(Inputs!$K$5:$AJ$200,0,MATCH(I$2,Inputs!$K$4:$AJ$4,0)))+SUMPRODUCT((Inputs!$E$5:$E$200=$B55)*Inputs!$F$5:$F$200*(((Inputs!$G$5:$G$200="moeda")+(Inputs!$G$5:$G$200="acoes"))*Inputs!$B$1+((Inputs!$G$5:$G$200&lt;&gt;"moeda")*(Inputs!$G$5:$G$200&lt;&gt;"acoes")))*INDEX(Inputs!$K$5:$AJ$200,0,MATCH(I$2,Inputs!$K$4:$AJ$4,0)))))</f>
        <v>3.78</v>
      </c>
      <c r="J55" s="262">
        <f>IF(ISNA(MATCH(J$2,Inputs!$K$4:$AJ$4,0)),NA(),IF(SUMPRODUCT((Inputs!$A$5:$A$200=$B55)*ISNUMBER(INDEX(Inputs!$K$5:$AJ$200,0,MATCH(J$2,Inputs!$K$4:$AJ$4,0))))+SUMPRODUCT((Inputs!$C$5:$C$200=$B55)*ISNUMBER(INDEX(Inputs!$K$5:$AJ$200,0,MATCH(J$2,Inputs!$K$4:$AJ$4,0))))+SUMPRODUCT((Inputs!$E$5:$E$200=$B55)*ISNUMBER(INDEX(Inputs!$K$5:$AJ$200,0,MATCH(J$2,Inputs!$K$4:$AJ$4,0))))=0,NA(),SUMPRODUCT((Inputs!$A$5:$A$200=$B55)*Inputs!$B$5:$B$200*(((Inputs!$G$5:$G$200="moeda")+(Inputs!$G$5:$G$200="acoes"))*Inputs!$B$1+((Inputs!$G$5:$G$200&lt;&gt;"moeda")*(Inputs!$G$5:$G$200&lt;&gt;"acoes")))*INDEX(Inputs!$K$5:$AJ$200,0,MATCH(J$2,Inputs!$K$4:$AJ$4,0)))+SUMPRODUCT((Inputs!$C$5:$C$200=$B55)*Inputs!$D$5:$D$200*(((Inputs!$G$5:$G$200="moeda")+(Inputs!$G$5:$G$200="acoes"))*Inputs!$B$1+((Inputs!$G$5:$G$200&lt;&gt;"moeda")*(Inputs!$G$5:$G$200&lt;&gt;"acoes")))*INDEX(Inputs!$K$5:$AJ$200,0,MATCH(J$2,Inputs!$K$4:$AJ$4,0)))+SUMPRODUCT((Inputs!$E$5:$E$200=$B55)*Inputs!$F$5:$F$200*(((Inputs!$G$5:$G$200="moeda")+(Inputs!$G$5:$G$200="acoes"))*Inputs!$B$1+((Inputs!$G$5:$G$200&lt;&gt;"moeda")*(Inputs!$G$5:$G$200&lt;&gt;"acoes")))*INDEX(Inputs!$K$5:$AJ$200,0,MATCH(J$2,Inputs!$K$4:$AJ$4,0)))))</f>
        <v>6.677</v>
      </c>
      <c r="K55" s="262">
        <f>IF(ISNA(MATCH(K$2,Inputs!$K$4:$AJ$4,0)),NA(),IF(SUMPRODUCT((Inputs!$A$5:$A$200=$B55)*ISNUMBER(INDEX(Inputs!$K$5:$AJ$200,0,MATCH(K$2,Inputs!$K$4:$AJ$4,0))))+SUMPRODUCT((Inputs!$C$5:$C$200=$B55)*ISNUMBER(INDEX(Inputs!$K$5:$AJ$200,0,MATCH(K$2,Inputs!$K$4:$AJ$4,0))))+SUMPRODUCT((Inputs!$E$5:$E$200=$B55)*ISNUMBER(INDEX(Inputs!$K$5:$AJ$200,0,MATCH(K$2,Inputs!$K$4:$AJ$4,0))))=0,NA(),SUMPRODUCT((Inputs!$A$5:$A$200=$B55)*Inputs!$B$5:$B$200*(((Inputs!$G$5:$G$200="moeda")+(Inputs!$G$5:$G$200="acoes"))*Inputs!$B$1+((Inputs!$G$5:$G$200&lt;&gt;"moeda")*(Inputs!$G$5:$G$200&lt;&gt;"acoes")))*INDEX(Inputs!$K$5:$AJ$200,0,MATCH(K$2,Inputs!$K$4:$AJ$4,0)))+SUMPRODUCT((Inputs!$C$5:$C$200=$B55)*Inputs!$D$5:$D$200*(((Inputs!$G$5:$G$200="moeda")+(Inputs!$G$5:$G$200="acoes"))*Inputs!$B$1+((Inputs!$G$5:$G$200&lt;&gt;"moeda")*(Inputs!$G$5:$G$200&lt;&gt;"acoes")))*INDEX(Inputs!$K$5:$AJ$200,0,MATCH(K$2,Inputs!$K$4:$AJ$4,0)))+SUMPRODUCT((Inputs!$E$5:$E$200=$B55)*Inputs!$F$5:$F$200*(((Inputs!$G$5:$G$200="moeda")+(Inputs!$G$5:$G$200="acoes"))*Inputs!$B$1+((Inputs!$G$5:$G$200&lt;&gt;"moeda")*(Inputs!$G$5:$G$200&lt;&gt;"acoes")))*INDEX(Inputs!$K$5:$AJ$200,0,MATCH(K$2,Inputs!$K$4:$AJ$4,0)))))</f>
        <v>11.911</v>
      </c>
      <c r="L55" s="262">
        <f>IF(ISNA(MATCH(L$2,Inputs!$K$4:$AJ$4,0)),NA(),IF(SUMPRODUCT((Inputs!$A$5:$A$200=$B55)*ISNUMBER(INDEX(Inputs!$K$5:$AJ$200,0,MATCH(L$2,Inputs!$K$4:$AJ$4,0))))+SUMPRODUCT((Inputs!$C$5:$C$200=$B55)*ISNUMBER(INDEX(Inputs!$K$5:$AJ$200,0,MATCH(L$2,Inputs!$K$4:$AJ$4,0))))+SUMPRODUCT((Inputs!$E$5:$E$200=$B55)*ISNUMBER(INDEX(Inputs!$K$5:$AJ$200,0,MATCH(L$2,Inputs!$K$4:$AJ$4,0))))=0,NA(),SUMPRODUCT((Inputs!$A$5:$A$200=$B55)*Inputs!$B$5:$B$200*(((Inputs!$G$5:$G$200="moeda")+(Inputs!$G$5:$G$200="acoes"))*Inputs!$B$1+((Inputs!$G$5:$G$200&lt;&gt;"moeda")*(Inputs!$G$5:$G$200&lt;&gt;"acoes")))*INDEX(Inputs!$K$5:$AJ$200,0,MATCH(L$2,Inputs!$K$4:$AJ$4,0)))+SUMPRODUCT((Inputs!$C$5:$C$200=$B55)*Inputs!$D$5:$D$200*(((Inputs!$G$5:$G$200="moeda")+(Inputs!$G$5:$G$200="acoes"))*Inputs!$B$1+((Inputs!$G$5:$G$200&lt;&gt;"moeda")*(Inputs!$G$5:$G$200&lt;&gt;"acoes")))*INDEX(Inputs!$K$5:$AJ$200,0,MATCH(L$2,Inputs!$K$4:$AJ$4,0)))+SUMPRODUCT((Inputs!$E$5:$E$200=$B55)*Inputs!$F$5:$F$200*(((Inputs!$G$5:$G$200="moeda")+(Inputs!$G$5:$G$200="acoes"))*Inputs!$B$1+((Inputs!$G$5:$G$200&lt;&gt;"moeda")*(Inputs!$G$5:$G$200&lt;&gt;"acoes")))*INDEX(Inputs!$K$5:$AJ$200,0,MATCH(L$2,Inputs!$K$4:$AJ$4,0)))))</f>
        <v>8.966</v>
      </c>
      <c r="M55" s="263">
        <f>SUM(I55:L55)</f>
        <v>31.334</v>
      </c>
      <c r="N55" s="262">
        <f>IF(ISNA(MATCH(N$2,Inputs!$K$4:$AJ$4,0)),NA(),IF(SUMPRODUCT((Inputs!$A$5:$A$200=$B55)*ISNUMBER(INDEX(Inputs!$K$5:$AJ$200,0,MATCH(N$2,Inputs!$K$4:$AJ$4,0))))+SUMPRODUCT((Inputs!$C$5:$C$200=$B55)*ISNUMBER(INDEX(Inputs!$K$5:$AJ$200,0,MATCH(N$2,Inputs!$K$4:$AJ$4,0))))+SUMPRODUCT((Inputs!$E$5:$E$200=$B55)*ISNUMBER(INDEX(Inputs!$K$5:$AJ$200,0,MATCH(N$2,Inputs!$K$4:$AJ$4,0))))=0,NA(),SUMPRODUCT((Inputs!$A$5:$A$200=$B55)*Inputs!$B$5:$B$200*(((Inputs!$G$5:$G$200="moeda")+(Inputs!$G$5:$G$200="acoes"))*Inputs!$B$1+((Inputs!$G$5:$G$200&lt;&gt;"moeda")*(Inputs!$G$5:$G$200&lt;&gt;"acoes")))*INDEX(Inputs!$K$5:$AJ$200,0,MATCH(N$2,Inputs!$K$4:$AJ$4,0)))+SUMPRODUCT((Inputs!$C$5:$C$200=$B55)*Inputs!$D$5:$D$200*(((Inputs!$G$5:$G$200="moeda")+(Inputs!$G$5:$G$200="acoes"))*Inputs!$B$1+((Inputs!$G$5:$G$200&lt;&gt;"moeda")*(Inputs!$G$5:$G$200&lt;&gt;"acoes")))*INDEX(Inputs!$K$5:$AJ$200,0,MATCH(N$2,Inputs!$K$4:$AJ$4,0)))+SUMPRODUCT((Inputs!$E$5:$E$200=$B55)*Inputs!$F$5:$F$200*(((Inputs!$G$5:$G$200="moeda")+(Inputs!$G$5:$G$200="acoes"))*Inputs!$B$1+((Inputs!$G$5:$G$200&lt;&gt;"moeda")*(Inputs!$G$5:$G$200&lt;&gt;"acoes")))*INDEX(Inputs!$K$5:$AJ$200,0,MATCH(N$2,Inputs!$K$4:$AJ$4,0)))))</f>
        <v>12.524</v>
      </c>
      <c r="O55" s="262">
        <f>IF(ISNA(MATCH(O$2,Inputs!$K$4:$AJ$4,0)),NA(),IF(SUMPRODUCT((Inputs!$A$5:$A$200=$B55)*ISNUMBER(INDEX(Inputs!$K$5:$AJ$200,0,MATCH(O$2,Inputs!$K$4:$AJ$4,0))))+SUMPRODUCT((Inputs!$C$5:$C$200=$B55)*ISNUMBER(INDEX(Inputs!$K$5:$AJ$200,0,MATCH(O$2,Inputs!$K$4:$AJ$4,0))))+SUMPRODUCT((Inputs!$E$5:$E$200=$B55)*ISNUMBER(INDEX(Inputs!$K$5:$AJ$200,0,MATCH(O$2,Inputs!$K$4:$AJ$4,0))))=0,NA(),SUMPRODUCT((Inputs!$A$5:$A$200=$B55)*Inputs!$B$5:$B$200*(((Inputs!$G$5:$G$200="moeda")+(Inputs!$G$5:$G$200="acoes"))*Inputs!$B$1+((Inputs!$G$5:$G$200&lt;&gt;"moeda")*(Inputs!$G$5:$G$200&lt;&gt;"acoes")))*INDEX(Inputs!$K$5:$AJ$200,0,MATCH(O$2,Inputs!$K$4:$AJ$4,0)))+SUMPRODUCT((Inputs!$C$5:$C$200=$B55)*Inputs!$D$5:$D$200*(((Inputs!$G$5:$G$200="moeda")+(Inputs!$G$5:$G$200="acoes"))*Inputs!$B$1+((Inputs!$G$5:$G$200&lt;&gt;"moeda")*(Inputs!$G$5:$G$200&lt;&gt;"acoes")))*INDEX(Inputs!$K$5:$AJ$200,0,MATCH(O$2,Inputs!$K$4:$AJ$4,0)))+SUMPRODUCT((Inputs!$E$5:$E$200=$B55)*Inputs!$F$5:$F$200*(((Inputs!$G$5:$G$200="moeda")+(Inputs!$G$5:$G$200="acoes"))*Inputs!$B$1+((Inputs!$G$5:$G$200&lt;&gt;"moeda")*(Inputs!$G$5:$G$200&lt;&gt;"acoes")))*INDEX(Inputs!$K$5:$AJ$200,0,MATCH(O$2,Inputs!$K$4:$AJ$4,0)))))</f>
        <v>13.42</v>
      </c>
      <c r="P55" s="262">
        <f>IF(ISNA(MATCH(P$2,Inputs!$K$4:$AJ$4,0)),NA(),IF(SUMPRODUCT((Inputs!$A$5:$A$200=$B55)*ISNUMBER(INDEX(Inputs!$K$5:$AJ$200,0,MATCH(P$2,Inputs!$K$4:$AJ$4,0))))+SUMPRODUCT((Inputs!$C$5:$C$200=$B55)*ISNUMBER(INDEX(Inputs!$K$5:$AJ$200,0,MATCH(P$2,Inputs!$K$4:$AJ$4,0))))+SUMPRODUCT((Inputs!$E$5:$E$200=$B55)*ISNUMBER(INDEX(Inputs!$K$5:$AJ$200,0,MATCH(P$2,Inputs!$K$4:$AJ$4,0))))=0,NA(),SUMPRODUCT((Inputs!$A$5:$A$200=$B55)*Inputs!$B$5:$B$200*(((Inputs!$G$5:$G$200="moeda")+(Inputs!$G$5:$G$200="acoes"))*Inputs!$B$1+((Inputs!$G$5:$G$200&lt;&gt;"moeda")*(Inputs!$G$5:$G$200&lt;&gt;"acoes")))*INDEX(Inputs!$K$5:$AJ$200,0,MATCH(P$2,Inputs!$K$4:$AJ$4,0)))+SUMPRODUCT((Inputs!$C$5:$C$200=$B55)*Inputs!$D$5:$D$200*(((Inputs!$G$5:$G$200="moeda")+(Inputs!$G$5:$G$200="acoes"))*Inputs!$B$1+((Inputs!$G$5:$G$200&lt;&gt;"moeda")*(Inputs!$G$5:$G$200&lt;&gt;"acoes")))*INDEX(Inputs!$K$5:$AJ$200,0,MATCH(P$2,Inputs!$K$4:$AJ$4,0)))+SUMPRODUCT((Inputs!$E$5:$E$200=$B55)*Inputs!$F$5:$F$200*(((Inputs!$G$5:$G$200="moeda")+(Inputs!$G$5:$G$200="acoes"))*Inputs!$B$1+((Inputs!$G$5:$G$200&lt;&gt;"moeda")*(Inputs!$G$5:$G$200&lt;&gt;"acoes")))*INDEX(Inputs!$K$5:$AJ$200,0,MATCH(P$2,Inputs!$K$4:$AJ$4,0)))))</f>
        <v>10.484</v>
      </c>
      <c r="Q55" s="262">
        <f>IF(ISNA(MATCH(Q$2,Inputs!$K$4:$AJ$4,0)),NA(),IF(SUMPRODUCT((Inputs!$A$5:$A$200=$B55)*ISNUMBER(INDEX(Inputs!$K$5:$AJ$200,0,MATCH(Q$2,Inputs!$K$4:$AJ$4,0))))+SUMPRODUCT((Inputs!$C$5:$C$200=$B55)*ISNUMBER(INDEX(Inputs!$K$5:$AJ$200,0,MATCH(Q$2,Inputs!$K$4:$AJ$4,0))))+SUMPRODUCT((Inputs!$E$5:$E$200=$B55)*ISNUMBER(INDEX(Inputs!$K$5:$AJ$200,0,MATCH(Q$2,Inputs!$K$4:$AJ$4,0))))=0,NA(),SUMPRODUCT((Inputs!$A$5:$A$200=$B55)*Inputs!$B$5:$B$200*(((Inputs!$G$5:$G$200="moeda")+(Inputs!$G$5:$G$200="acoes"))*Inputs!$B$1+((Inputs!$G$5:$G$200&lt;&gt;"moeda")*(Inputs!$G$5:$G$200&lt;&gt;"acoes")))*INDEX(Inputs!$K$5:$AJ$200,0,MATCH(Q$2,Inputs!$K$4:$AJ$4,0)))+SUMPRODUCT((Inputs!$C$5:$C$200=$B55)*Inputs!$D$5:$D$200*(((Inputs!$G$5:$G$200="moeda")+(Inputs!$G$5:$G$200="acoes"))*Inputs!$B$1+((Inputs!$G$5:$G$200&lt;&gt;"moeda")*(Inputs!$G$5:$G$200&lt;&gt;"acoes")))*INDEX(Inputs!$K$5:$AJ$200,0,MATCH(Q$2,Inputs!$K$4:$AJ$4,0)))+SUMPRODUCT((Inputs!$E$5:$E$200=$B55)*Inputs!$F$5:$F$200*(((Inputs!$G$5:$G$200="moeda")+(Inputs!$G$5:$G$200="acoes"))*Inputs!$B$1+((Inputs!$G$5:$G$200&lt;&gt;"moeda")*(Inputs!$G$5:$G$200&lt;&gt;"acoes")))*INDEX(Inputs!$K$5:$AJ$200,0,MATCH(Q$2,Inputs!$K$4:$AJ$4,0)))))</f>
        <v>8.945</v>
      </c>
      <c r="R55" s="263">
        <f>SUM(N55:Q55)</f>
        <v>45.373</v>
      </c>
      <c r="S55" s="262">
        <f>IF(ISNA(MATCH(S$2,Inputs!$K$4:$AJ$4,0)),NA(),IF(SUMPRODUCT((Inputs!$A$5:$A$200=$B55)*ISNUMBER(INDEX(Inputs!$K$5:$AJ$200,0,MATCH(S$2,Inputs!$K$4:$AJ$4,0))))+SUMPRODUCT((Inputs!$C$5:$C$200=$B55)*ISNUMBER(INDEX(Inputs!$K$5:$AJ$200,0,MATCH(S$2,Inputs!$K$4:$AJ$4,0))))+SUMPRODUCT((Inputs!$E$5:$E$200=$B55)*ISNUMBER(INDEX(Inputs!$K$5:$AJ$200,0,MATCH(S$2,Inputs!$K$4:$AJ$4,0))))=0,NA(),SUMPRODUCT((Inputs!$A$5:$A$200=$B55)*Inputs!$B$5:$B$200*(((Inputs!$G$5:$G$200="moeda")+(Inputs!$G$5:$G$200="acoes"))*Inputs!$B$1+((Inputs!$G$5:$G$200&lt;&gt;"moeda")*(Inputs!$G$5:$G$200&lt;&gt;"acoes")))*INDEX(Inputs!$K$5:$AJ$200,0,MATCH(S$2,Inputs!$K$4:$AJ$4,0)))+SUMPRODUCT((Inputs!$C$5:$C$200=$B55)*Inputs!$D$5:$D$200*(((Inputs!$G$5:$G$200="moeda")+(Inputs!$G$5:$G$200="acoes"))*Inputs!$B$1+((Inputs!$G$5:$G$200&lt;&gt;"moeda")*(Inputs!$G$5:$G$200&lt;&gt;"acoes")))*INDEX(Inputs!$K$5:$AJ$200,0,MATCH(S$2,Inputs!$K$4:$AJ$4,0)))+SUMPRODUCT((Inputs!$E$5:$E$200=$B55)*Inputs!$F$5:$F$200*(((Inputs!$G$5:$G$200="moeda")+(Inputs!$G$5:$G$200="acoes"))*Inputs!$B$1+((Inputs!$G$5:$G$200&lt;&gt;"moeda")*(Inputs!$G$5:$G$200&lt;&gt;"acoes")))*INDEX(Inputs!$K$5:$AJ$200,0,MATCH(S$2,Inputs!$K$4:$AJ$4,0)))))</f>
        <v>10.485</v>
      </c>
      <c r="T55" s="262">
        <f>IF(ISNA(MATCH(T$2,Inputs!$K$4:$AJ$4,0)),NA(),IF(SUMPRODUCT((Inputs!$A$5:$A$200=$B55)*ISNUMBER(INDEX(Inputs!$K$5:$AJ$200,0,MATCH(T$2,Inputs!$K$4:$AJ$4,0))))+SUMPRODUCT((Inputs!$C$5:$C$200=$B55)*ISNUMBER(INDEX(Inputs!$K$5:$AJ$200,0,MATCH(T$2,Inputs!$K$4:$AJ$4,0))))+SUMPRODUCT((Inputs!$E$5:$E$200=$B55)*ISNUMBER(INDEX(Inputs!$K$5:$AJ$200,0,MATCH(T$2,Inputs!$K$4:$AJ$4,0))))=0,NA(),SUMPRODUCT((Inputs!$A$5:$A$200=$B55)*Inputs!$B$5:$B$200*(((Inputs!$G$5:$G$200="moeda")+(Inputs!$G$5:$G$200="acoes"))*Inputs!$B$1+((Inputs!$G$5:$G$200&lt;&gt;"moeda")*(Inputs!$G$5:$G$200&lt;&gt;"acoes")))*INDEX(Inputs!$K$5:$AJ$200,0,MATCH(T$2,Inputs!$K$4:$AJ$4,0)))+SUMPRODUCT((Inputs!$C$5:$C$200=$B55)*Inputs!$D$5:$D$200*(((Inputs!$G$5:$G$200="moeda")+(Inputs!$G$5:$G$200="acoes"))*Inputs!$B$1+((Inputs!$G$5:$G$200&lt;&gt;"moeda")*(Inputs!$G$5:$G$200&lt;&gt;"acoes")))*INDEX(Inputs!$K$5:$AJ$200,0,MATCH(T$2,Inputs!$K$4:$AJ$4,0)))+SUMPRODUCT((Inputs!$E$5:$E$200=$B55)*Inputs!$F$5:$F$200*(((Inputs!$G$5:$G$200="moeda")+(Inputs!$G$5:$G$200="acoes"))*Inputs!$B$1+((Inputs!$G$5:$G$200&lt;&gt;"moeda")*(Inputs!$G$5:$G$200&lt;&gt;"acoes")))*INDEX(Inputs!$K$5:$AJ$200,0,MATCH(T$2,Inputs!$K$4:$AJ$4,0)))))</f>
        <v>13.901</v>
      </c>
      <c r="U55" s="262">
        <f>IF(ISNA(MATCH(U$2,Inputs!$K$4:$AJ$4,0)),NA(),IF(SUMPRODUCT((Inputs!$A$5:$A$200=$B55)*ISNUMBER(INDEX(Inputs!$K$5:$AJ$200,0,MATCH(U$2,Inputs!$K$4:$AJ$4,0))))+SUMPRODUCT((Inputs!$C$5:$C$200=$B55)*ISNUMBER(INDEX(Inputs!$K$5:$AJ$200,0,MATCH(U$2,Inputs!$K$4:$AJ$4,0))))+SUMPRODUCT((Inputs!$E$5:$E$200=$B55)*ISNUMBER(INDEX(Inputs!$K$5:$AJ$200,0,MATCH(U$2,Inputs!$K$4:$AJ$4,0))))=0,NA(),SUMPRODUCT((Inputs!$A$5:$A$200=$B55)*Inputs!$B$5:$B$200*(((Inputs!$G$5:$G$200="moeda")+(Inputs!$G$5:$G$200="acoes"))*Inputs!$B$1+((Inputs!$G$5:$G$200&lt;&gt;"moeda")*(Inputs!$G$5:$G$200&lt;&gt;"acoes")))*INDEX(Inputs!$K$5:$AJ$200,0,MATCH(U$2,Inputs!$K$4:$AJ$4,0)))+SUMPRODUCT((Inputs!$C$5:$C$200=$B55)*Inputs!$D$5:$D$200*(((Inputs!$G$5:$G$200="moeda")+(Inputs!$G$5:$G$200="acoes"))*Inputs!$B$1+((Inputs!$G$5:$G$200&lt;&gt;"moeda")*(Inputs!$G$5:$G$200&lt;&gt;"acoes")))*INDEX(Inputs!$K$5:$AJ$200,0,MATCH(U$2,Inputs!$K$4:$AJ$4,0)))+SUMPRODUCT((Inputs!$E$5:$E$200=$B55)*Inputs!$F$5:$F$200*(((Inputs!$G$5:$G$200="moeda")+(Inputs!$G$5:$G$200="acoes"))*Inputs!$B$1+((Inputs!$G$5:$G$200&lt;&gt;"moeda")*(Inputs!$G$5:$G$200&lt;&gt;"acoes")))*INDEX(Inputs!$K$5:$AJ$200,0,MATCH(U$2,Inputs!$K$4:$AJ$4,0)))))</f>
        <v>16.375</v>
      </c>
      <c r="V55" s="262">
        <f>IF(ISNA(MATCH(V$2,Inputs!$K$4:$AJ$4,0)),NA(),IF(SUMPRODUCT((Inputs!$A$5:$A$200=$B55)*ISNUMBER(INDEX(Inputs!$K$5:$AJ$200,0,MATCH(V$2,Inputs!$K$4:$AJ$4,0))))+SUMPRODUCT((Inputs!$C$5:$C$200=$B55)*ISNUMBER(INDEX(Inputs!$K$5:$AJ$200,0,MATCH(V$2,Inputs!$K$4:$AJ$4,0))))+SUMPRODUCT((Inputs!$E$5:$E$200=$B55)*ISNUMBER(INDEX(Inputs!$K$5:$AJ$200,0,MATCH(V$2,Inputs!$K$4:$AJ$4,0))))=0,NA(),SUMPRODUCT((Inputs!$A$5:$A$200=$B55)*Inputs!$B$5:$B$200*(((Inputs!$G$5:$G$200="moeda")+(Inputs!$G$5:$G$200="acoes"))*Inputs!$B$1+((Inputs!$G$5:$G$200&lt;&gt;"moeda")*(Inputs!$G$5:$G$200&lt;&gt;"acoes")))*INDEX(Inputs!$K$5:$AJ$200,0,MATCH(V$2,Inputs!$K$4:$AJ$4,0)))+SUMPRODUCT((Inputs!$C$5:$C$200=$B55)*Inputs!$D$5:$D$200*(((Inputs!$G$5:$G$200="moeda")+(Inputs!$G$5:$G$200="acoes"))*Inputs!$B$1+((Inputs!$G$5:$G$200&lt;&gt;"moeda")*(Inputs!$G$5:$G$200&lt;&gt;"acoes")))*INDEX(Inputs!$K$5:$AJ$200,0,MATCH(V$2,Inputs!$K$4:$AJ$4,0)))+SUMPRODUCT((Inputs!$E$5:$E$200=$B55)*Inputs!$F$5:$F$200*(((Inputs!$G$5:$G$200="moeda")+(Inputs!$G$5:$G$200="acoes"))*Inputs!$B$1+((Inputs!$G$5:$G$200&lt;&gt;"moeda")*(Inputs!$G$5:$G$200&lt;&gt;"acoes")))*INDEX(Inputs!$K$5:$AJ$200,0,MATCH(V$2,Inputs!$K$4:$AJ$4,0)))))</f>
        <v>16.41</v>
      </c>
      <c r="W55" s="263">
        <f>SUM(S55:V55)</f>
        <v>57.171</v>
      </c>
      <c r="X55" s="262">
        <f>IF(ISNA(MATCH(X$2,Inputs!$K$4:$AJ$4,0)),NA(),IF(SUMPRODUCT((Inputs!$A$5:$A$200=$B55)*ISNUMBER(INDEX(Inputs!$K$5:$AJ$200,0,MATCH(X$2,Inputs!$K$4:$AJ$4,0))))+SUMPRODUCT((Inputs!$C$5:$C$200=$B55)*ISNUMBER(INDEX(Inputs!$K$5:$AJ$200,0,MATCH(X$2,Inputs!$K$4:$AJ$4,0))))+SUMPRODUCT((Inputs!$E$5:$E$200=$B55)*ISNUMBER(INDEX(Inputs!$K$5:$AJ$200,0,MATCH(X$2,Inputs!$K$4:$AJ$4,0))))=0,NA(),SUMPRODUCT((Inputs!$A$5:$A$200=$B55)*Inputs!$B$5:$B$200*(((Inputs!$G$5:$G$200="moeda")+(Inputs!$G$5:$G$200="acoes"))*Inputs!$B$1+((Inputs!$G$5:$G$200&lt;&gt;"moeda")*(Inputs!$G$5:$G$200&lt;&gt;"acoes")))*INDEX(Inputs!$K$5:$AJ$200,0,MATCH(X$2,Inputs!$K$4:$AJ$4,0)))+SUMPRODUCT((Inputs!$C$5:$C$200=$B55)*Inputs!$D$5:$D$200*(((Inputs!$G$5:$G$200="moeda")+(Inputs!$G$5:$G$200="acoes"))*Inputs!$B$1+((Inputs!$G$5:$G$200&lt;&gt;"moeda")*(Inputs!$G$5:$G$200&lt;&gt;"acoes")))*INDEX(Inputs!$K$5:$AJ$200,0,MATCH(X$2,Inputs!$K$4:$AJ$4,0)))+SUMPRODUCT((Inputs!$E$5:$E$200=$B55)*Inputs!$F$5:$F$200*(((Inputs!$G$5:$G$200="moeda")+(Inputs!$G$5:$G$200="acoes"))*Inputs!$B$1+((Inputs!$G$5:$G$200&lt;&gt;"moeda")*(Inputs!$G$5:$G$200&lt;&gt;"acoes")))*INDEX(Inputs!$K$5:$AJ$200,0,MATCH(X$2,Inputs!$K$4:$AJ$4,0)))))</f>
        <v>17.104</v>
      </c>
      <c r="Y55" s="262">
        <f>IF(ISNA(MATCH(Y$2,Inputs!$K$4:$AJ$4,0)),NA(),IF(SUMPRODUCT((Inputs!$A$5:$A$200=$B55)*ISNUMBER(INDEX(Inputs!$K$5:$AJ$200,0,MATCH(Y$2,Inputs!$K$4:$AJ$4,0))))+SUMPRODUCT((Inputs!$C$5:$C$200=$B55)*ISNUMBER(INDEX(Inputs!$K$5:$AJ$200,0,MATCH(Y$2,Inputs!$K$4:$AJ$4,0))))+SUMPRODUCT((Inputs!$E$5:$E$200=$B55)*ISNUMBER(INDEX(Inputs!$K$5:$AJ$200,0,MATCH(Y$2,Inputs!$K$4:$AJ$4,0))))=0,NA(),SUMPRODUCT((Inputs!$A$5:$A$200=$B55)*Inputs!$B$5:$B$200*(((Inputs!$G$5:$G$200="moeda")+(Inputs!$G$5:$G$200="acoes"))*Inputs!$B$1+((Inputs!$G$5:$G$200&lt;&gt;"moeda")*(Inputs!$G$5:$G$200&lt;&gt;"acoes")))*INDEX(Inputs!$K$5:$AJ$200,0,MATCH(Y$2,Inputs!$K$4:$AJ$4,0)))+SUMPRODUCT((Inputs!$C$5:$C$200=$B55)*Inputs!$D$5:$D$200*(((Inputs!$G$5:$G$200="moeda")+(Inputs!$G$5:$G$200="acoes"))*Inputs!$B$1+((Inputs!$G$5:$G$200&lt;&gt;"moeda")*(Inputs!$G$5:$G$200&lt;&gt;"acoes")))*INDEX(Inputs!$K$5:$AJ$200,0,MATCH(Y$2,Inputs!$K$4:$AJ$4,0)))+SUMPRODUCT((Inputs!$E$5:$E$200=$B55)*Inputs!$F$5:$F$200*(((Inputs!$G$5:$G$200="moeda")+(Inputs!$G$5:$G$200="acoes"))*Inputs!$B$1+((Inputs!$G$5:$G$200&lt;&gt;"moeda")*(Inputs!$G$5:$G$200&lt;&gt;"acoes")))*INDEX(Inputs!$K$5:$AJ$200,0,MATCH(Y$2,Inputs!$K$4:$AJ$4,0)))))</f>
        <v>16.495</v>
      </c>
      <c r="Z55" s="262">
        <f>IF(ISNA(MATCH(Z$2,Inputs!$K$4:$AJ$4,0)),NA(),IF(SUMPRODUCT((Inputs!$A$5:$A$200=$B55)*ISNUMBER(INDEX(Inputs!$K$5:$AJ$200,0,MATCH(Z$2,Inputs!$K$4:$AJ$4,0))))+SUMPRODUCT((Inputs!$C$5:$C$200=$B55)*ISNUMBER(INDEX(Inputs!$K$5:$AJ$200,0,MATCH(Z$2,Inputs!$K$4:$AJ$4,0))))+SUMPRODUCT((Inputs!$E$5:$E$200=$B55)*ISNUMBER(INDEX(Inputs!$K$5:$AJ$200,0,MATCH(Z$2,Inputs!$K$4:$AJ$4,0))))=0,NA(),SUMPRODUCT((Inputs!$A$5:$A$200=$B55)*Inputs!$B$5:$B$200*(((Inputs!$G$5:$G$200="moeda")+(Inputs!$G$5:$G$200="acoes"))*Inputs!$B$1+((Inputs!$G$5:$G$200&lt;&gt;"moeda")*(Inputs!$G$5:$G$200&lt;&gt;"acoes")))*INDEX(Inputs!$K$5:$AJ$200,0,MATCH(Z$2,Inputs!$K$4:$AJ$4,0)))+SUMPRODUCT((Inputs!$C$5:$C$200=$B55)*Inputs!$D$5:$D$200*(((Inputs!$G$5:$G$200="moeda")+(Inputs!$G$5:$G$200="acoes"))*Inputs!$B$1+((Inputs!$G$5:$G$200&lt;&gt;"moeda")*(Inputs!$G$5:$G$200&lt;&gt;"acoes")))*INDEX(Inputs!$K$5:$AJ$200,0,MATCH(Z$2,Inputs!$K$4:$AJ$4,0)))+SUMPRODUCT((Inputs!$E$5:$E$200=$B55)*Inputs!$F$5:$F$200*(((Inputs!$G$5:$G$200="moeda")+(Inputs!$G$5:$G$200="acoes"))*Inputs!$B$1+((Inputs!$G$5:$G$200&lt;&gt;"moeda")*(Inputs!$G$5:$G$200&lt;&gt;"acoes")))*INDEX(Inputs!$K$5:$AJ$200,0,MATCH(Z$2,Inputs!$K$4:$AJ$4,0)))))</f>
        <v>17.292</v>
      </c>
      <c r="AA55" s="262">
        <f>IF(ISNA(MATCH(AA$2,Inputs!$K$4:$AJ$4,0)),NA(),IF(SUMPRODUCT((Inputs!$A$5:$A$200=$B55)*ISNUMBER(INDEX(Inputs!$K$5:$AJ$200,0,MATCH(AA$2,Inputs!$K$4:$AJ$4,0))))+SUMPRODUCT((Inputs!$C$5:$C$200=$B55)*ISNUMBER(INDEX(Inputs!$K$5:$AJ$200,0,MATCH(AA$2,Inputs!$K$4:$AJ$4,0))))+SUMPRODUCT((Inputs!$E$5:$E$200=$B55)*ISNUMBER(INDEX(Inputs!$K$5:$AJ$200,0,MATCH(AA$2,Inputs!$K$4:$AJ$4,0))))=0,NA(),SUMPRODUCT((Inputs!$A$5:$A$200=$B55)*Inputs!$B$5:$B$200*(((Inputs!$G$5:$G$200="moeda")+(Inputs!$G$5:$G$200="acoes"))*Inputs!$B$1+((Inputs!$G$5:$G$200&lt;&gt;"moeda")*(Inputs!$G$5:$G$200&lt;&gt;"acoes")))*INDEX(Inputs!$K$5:$AJ$200,0,MATCH(AA$2,Inputs!$K$4:$AJ$4,0)))+SUMPRODUCT((Inputs!$C$5:$C$200=$B55)*Inputs!$D$5:$D$200*(((Inputs!$G$5:$G$200="moeda")+(Inputs!$G$5:$G$200="acoes"))*Inputs!$B$1+((Inputs!$G$5:$G$200&lt;&gt;"moeda")*(Inputs!$G$5:$G$200&lt;&gt;"acoes")))*INDEX(Inputs!$K$5:$AJ$200,0,MATCH(AA$2,Inputs!$K$4:$AJ$4,0)))+SUMPRODUCT((Inputs!$E$5:$E$200=$B55)*Inputs!$F$5:$F$200*(((Inputs!$G$5:$G$200="moeda")+(Inputs!$G$5:$G$200="acoes"))*Inputs!$B$1+((Inputs!$G$5:$G$200&lt;&gt;"moeda")*(Inputs!$G$5:$G$200&lt;&gt;"acoes")))*INDEX(Inputs!$K$5:$AJ$200,0,MATCH(AA$2,Inputs!$K$4:$AJ$4,0)))))</f>
        <v>11.639</v>
      </c>
      <c r="AB55" s="263">
        <f>SUM(X55:AA55)</f>
        <v>62.53</v>
      </c>
      <c r="AC55" s="262">
        <f>IF(ISNA(MATCH(AC$2,Inputs!$K$4:$AJ$4,0)),NA(),IF(SUMPRODUCT((Inputs!$A$5:$A$200=$B55)*ISNUMBER(INDEX(Inputs!$K$5:$AJ$200,0,MATCH(AC$2,Inputs!$K$4:$AJ$4,0))))+SUMPRODUCT((Inputs!$C$5:$C$200=$B55)*ISNUMBER(INDEX(Inputs!$K$5:$AJ$200,0,MATCH(AC$2,Inputs!$K$4:$AJ$4,0))))+SUMPRODUCT((Inputs!$E$5:$E$200=$B55)*ISNUMBER(INDEX(Inputs!$K$5:$AJ$200,0,MATCH(AC$2,Inputs!$K$4:$AJ$4,0))))=0,NA(),SUMPRODUCT((Inputs!$A$5:$A$200=$B55)*Inputs!$B$5:$B$200*(((Inputs!$G$5:$G$200="moeda")+(Inputs!$G$5:$G$200="acoes"))*Inputs!$B$1+((Inputs!$G$5:$G$200&lt;&gt;"moeda")*(Inputs!$G$5:$G$200&lt;&gt;"acoes")))*INDEX(Inputs!$K$5:$AJ$200,0,MATCH(AC$2,Inputs!$K$4:$AJ$4,0)))+SUMPRODUCT((Inputs!$C$5:$C$200=$B55)*Inputs!$D$5:$D$200*(((Inputs!$G$5:$G$200="moeda")+(Inputs!$G$5:$G$200="acoes"))*Inputs!$B$1+((Inputs!$G$5:$G$200&lt;&gt;"moeda")*(Inputs!$G$5:$G$200&lt;&gt;"acoes")))*INDEX(Inputs!$K$5:$AJ$200,0,MATCH(AC$2,Inputs!$K$4:$AJ$4,0)))+SUMPRODUCT((Inputs!$E$5:$E$200=$B55)*Inputs!$F$5:$F$200*(((Inputs!$G$5:$G$200="moeda")+(Inputs!$G$5:$G$200="acoes"))*Inputs!$B$1+((Inputs!$G$5:$G$200&lt;&gt;"moeda")*(Inputs!$G$5:$G$200&lt;&gt;"acoes")))*INDEX(Inputs!$K$5:$AJ$200,0,MATCH(AC$2,Inputs!$K$4:$AJ$4,0)))))</f>
        <v>13.253</v>
      </c>
      <c r="AD55" s="262" t="e">
        <f>IF(ISNA(MATCH(AD$2,Inputs!$K$4:$AJ$4,0)),NA(),IF(SUMPRODUCT((Inputs!$A$5:$A$200=$B55)*ISNUMBER(INDEX(Inputs!$K$5:$AJ$200,0,MATCH(AD$2,Inputs!$K$4:$AJ$4,0))))+SUMPRODUCT((Inputs!$C$5:$C$200=$B55)*ISNUMBER(INDEX(Inputs!$K$5:$AJ$200,0,MATCH(AD$2,Inputs!$K$4:$AJ$4,0))))+SUMPRODUCT((Inputs!$E$5:$E$200=$B55)*ISNUMBER(INDEX(Inputs!$K$5:$AJ$200,0,MATCH(AD$2,Inputs!$K$4:$AJ$4,0))))=0,NA(),SUMPRODUCT((Inputs!$A$5:$A$200=$B55)*Inputs!$B$5:$B$200*(((Inputs!$G$5:$G$200="moeda")+(Inputs!$G$5:$G$200="acoes"))*Inputs!$B$1+((Inputs!$G$5:$G$200&lt;&gt;"moeda")*(Inputs!$G$5:$G$200&lt;&gt;"acoes")))*INDEX(Inputs!$K$5:$AJ$200,0,MATCH(AD$2,Inputs!$K$4:$AJ$4,0)))+SUMPRODUCT((Inputs!$C$5:$C$200=$B55)*Inputs!$D$5:$D$200*(((Inputs!$G$5:$G$200="moeda")+(Inputs!$G$5:$G$200="acoes"))*Inputs!$B$1+((Inputs!$G$5:$G$200&lt;&gt;"moeda")*(Inputs!$G$5:$G$200&lt;&gt;"acoes")))*INDEX(Inputs!$K$5:$AJ$200,0,MATCH(AD$2,Inputs!$K$4:$AJ$4,0)))+SUMPRODUCT((Inputs!$E$5:$E$200=$B55)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55" s="262" t="e">
        <f>IF(ISNA(MATCH(AE$2,Inputs!$K$4:$AJ$4,0)),NA(),IF(SUMPRODUCT((Inputs!$A$5:$A$200=$B55)*ISNUMBER(INDEX(Inputs!$K$5:$AJ$200,0,MATCH(AE$2,Inputs!$K$4:$AJ$4,0))))+SUMPRODUCT((Inputs!$C$5:$C$200=$B55)*ISNUMBER(INDEX(Inputs!$K$5:$AJ$200,0,MATCH(AE$2,Inputs!$K$4:$AJ$4,0))))+SUMPRODUCT((Inputs!$E$5:$E$200=$B55)*ISNUMBER(INDEX(Inputs!$K$5:$AJ$200,0,MATCH(AE$2,Inputs!$K$4:$AJ$4,0))))=0,NA(),SUMPRODUCT((Inputs!$A$5:$A$200=$B55)*Inputs!$B$5:$B$200*(((Inputs!$G$5:$G$200="moeda")+(Inputs!$G$5:$G$200="acoes"))*Inputs!$B$1+((Inputs!$G$5:$G$200&lt;&gt;"moeda")*(Inputs!$G$5:$G$200&lt;&gt;"acoes")))*INDEX(Inputs!$K$5:$AJ$200,0,MATCH(AE$2,Inputs!$K$4:$AJ$4,0)))+SUMPRODUCT((Inputs!$C$5:$C$200=$B55)*Inputs!$D$5:$D$200*(((Inputs!$G$5:$G$200="moeda")+(Inputs!$G$5:$G$200="acoes"))*Inputs!$B$1+((Inputs!$G$5:$G$200&lt;&gt;"moeda")*(Inputs!$G$5:$G$200&lt;&gt;"acoes")))*INDEX(Inputs!$K$5:$AJ$200,0,MATCH(AE$2,Inputs!$K$4:$AJ$4,0)))+SUMPRODUCT((Inputs!$E$5:$E$200=$B55)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5" s="262" t="e">
        <f>IF(ISNA(MATCH(AF$2,Inputs!$K$4:$AJ$4,0)),NA(),IF(SUMPRODUCT((Inputs!$A$5:$A$200=$B55)*ISNUMBER(INDEX(Inputs!$K$5:$AJ$200,0,MATCH(AF$2,Inputs!$K$4:$AJ$4,0))))+SUMPRODUCT((Inputs!$C$5:$C$200=$B55)*ISNUMBER(INDEX(Inputs!$K$5:$AJ$200,0,MATCH(AF$2,Inputs!$K$4:$AJ$4,0))))+SUMPRODUCT((Inputs!$E$5:$E$200=$B55)*ISNUMBER(INDEX(Inputs!$K$5:$AJ$200,0,MATCH(AF$2,Inputs!$K$4:$AJ$4,0))))=0,NA(),SUMPRODUCT((Inputs!$A$5:$A$200=$B55)*Inputs!$B$5:$B$200*(((Inputs!$G$5:$G$200="moeda")+(Inputs!$G$5:$G$200="acoes"))*Inputs!$B$1+((Inputs!$G$5:$G$200&lt;&gt;"moeda")*(Inputs!$G$5:$G$200&lt;&gt;"acoes")))*INDEX(Inputs!$K$5:$AJ$200,0,MATCH(AF$2,Inputs!$K$4:$AJ$4,0)))+SUMPRODUCT((Inputs!$C$5:$C$200=$B55)*Inputs!$D$5:$D$200*(((Inputs!$G$5:$G$200="moeda")+(Inputs!$G$5:$G$200="acoes"))*Inputs!$B$1+((Inputs!$G$5:$G$200&lt;&gt;"moeda")*(Inputs!$G$5:$G$200&lt;&gt;"acoes")))*INDEX(Inputs!$K$5:$AJ$200,0,MATCH(AF$2,Inputs!$K$4:$AJ$4,0)))+SUMPRODUCT((Inputs!$E$5:$E$200=$B55)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5" s="263" t="e">
        <f>SUM(AC55:AF55)</f>
        <v>#N/A</v>
      </c>
      <c r="AH55" s="262">
        <f>IF(ISNA(MATCH(AH$2,Inputs!$K$4:$AJ$4,0)),NA(),IF(SUMPRODUCT((Inputs!$A$5:$A$200=$B55)*ISNUMBER(INDEX(Inputs!$K$5:$AJ$200,0,MATCH(AH$2,Inputs!$K$4:$AJ$4,0))))+SUMPRODUCT((Inputs!$C$5:$C$200=$B55)*ISNUMBER(INDEX(Inputs!$K$5:$AJ$200,0,MATCH(AH$2,Inputs!$K$4:$AJ$4,0))))+SUMPRODUCT((Inputs!$E$5:$E$200=$B55)*ISNUMBER(INDEX(Inputs!$K$5:$AJ$200,0,MATCH(AH$2,Inputs!$K$4:$AJ$4,0))))=0,NA(),SUMPRODUCT((Inputs!$A$5:$A$200=$B55)*Inputs!$B$5:$B$200*(((Inputs!$G$5:$G$200="moeda")+(Inputs!$G$5:$G$200="acoes"))*Inputs!$B$1+((Inputs!$G$5:$G$200&lt;&gt;"moeda")*(Inputs!$G$5:$G$200&lt;&gt;"acoes")))*INDEX(Inputs!$K$5:$AJ$200,0,MATCH(AH$2,Inputs!$K$4:$AJ$4,0)))+SUMPRODUCT((Inputs!$C$5:$C$200=$B55)*Inputs!$D$5:$D$200*(((Inputs!$G$5:$G$200="moeda")+(Inputs!$G$5:$G$200="acoes"))*Inputs!$B$1+((Inputs!$G$5:$G$200&lt;&gt;"moeda")*(Inputs!$G$5:$G$200&lt;&gt;"acoes")))*INDEX(Inputs!$K$5:$AJ$200,0,MATCH(AH$2,Inputs!$K$4:$AJ$4,0)))+SUMPRODUCT((Inputs!$E$5:$E$200=$B55)*Inputs!$F$5:$F$200*(((Inputs!$G$5:$G$200="moeda")+(Inputs!$G$5:$G$200="acoes"))*Inputs!$B$1+((Inputs!$G$5:$G$200&lt;&gt;"moeda")*(Inputs!$G$5:$G$200&lt;&gt;"acoes")))*INDEX(Inputs!$K$5:$AJ$200,0,MATCH(AH$2,Inputs!$K$4:$AJ$4,0)))))</f>
        <v>14.195</v>
      </c>
      <c r="AI55" s="262">
        <f>IF(ISNA(MATCH(AI$2,Inputs!$K$4:$AJ$4,0)),NA(),IF(SUMPRODUCT((Inputs!$A$5:$A$200=$B55)*ISNUMBER(INDEX(Inputs!$K$5:$AJ$200,0,MATCH(AI$2,Inputs!$K$4:$AJ$4,0))))+SUMPRODUCT((Inputs!$C$5:$C$200=$B55)*ISNUMBER(INDEX(Inputs!$K$5:$AJ$200,0,MATCH(AI$2,Inputs!$K$4:$AJ$4,0))))+SUMPRODUCT((Inputs!$E$5:$E$200=$B55)*ISNUMBER(INDEX(Inputs!$K$5:$AJ$200,0,MATCH(AI$2,Inputs!$K$4:$AJ$4,0))))=0,NA(),SUMPRODUCT((Inputs!$A$5:$A$200=$B55)*Inputs!$B$5:$B$200*(((Inputs!$G$5:$G$200="moeda")+(Inputs!$G$5:$G$200="acoes"))*Inputs!$B$1+((Inputs!$G$5:$G$200&lt;&gt;"moeda")*(Inputs!$G$5:$G$200&lt;&gt;"acoes")))*INDEX(Inputs!$K$5:$AJ$200,0,MATCH(AI$2,Inputs!$K$4:$AJ$4,0)))+SUMPRODUCT((Inputs!$C$5:$C$200=$B55)*Inputs!$D$5:$D$200*(((Inputs!$G$5:$G$200="moeda")+(Inputs!$G$5:$G$200="acoes"))*Inputs!$B$1+((Inputs!$G$5:$G$200&lt;&gt;"moeda")*(Inputs!$G$5:$G$200&lt;&gt;"acoes")))*INDEX(Inputs!$K$5:$AJ$200,0,MATCH(AI$2,Inputs!$K$4:$AJ$4,0)))+SUMPRODUCT((Inputs!$E$5:$E$200=$B55)*Inputs!$F$5:$F$200*(((Inputs!$G$5:$G$200="moeda")+(Inputs!$G$5:$G$200="acoes"))*Inputs!$B$1+((Inputs!$G$5:$G$200&lt;&gt;"moeda")*(Inputs!$G$5:$G$200&lt;&gt;"acoes")))*INDEX(Inputs!$K$5:$AJ$200,0,MATCH(AI$2,Inputs!$K$4:$AJ$4,0)))))</f>
        <v>11.847</v>
      </c>
      <c r="AJ55" s="262">
        <f>IF(ISNA(MATCH(AJ$2,Inputs!$K$4:$AJ$4,0)),NA(),IF(SUMPRODUCT((Inputs!$A$5:$A$200=$B55)*ISNUMBER(INDEX(Inputs!$K$5:$AJ$200,0,MATCH(AJ$2,Inputs!$K$4:$AJ$4,0))))+SUMPRODUCT((Inputs!$C$5:$C$200=$B55)*ISNUMBER(INDEX(Inputs!$K$5:$AJ$200,0,MATCH(AJ$2,Inputs!$K$4:$AJ$4,0))))+SUMPRODUCT((Inputs!$E$5:$E$200=$B55)*ISNUMBER(INDEX(Inputs!$K$5:$AJ$200,0,MATCH(AJ$2,Inputs!$K$4:$AJ$4,0))))=0,NA(),SUMPRODUCT((Inputs!$A$5:$A$200=$B55)*Inputs!$B$5:$B$200*(((Inputs!$G$5:$G$200="moeda")+(Inputs!$G$5:$G$200="acoes"))*Inputs!$B$1+((Inputs!$G$5:$G$200&lt;&gt;"moeda")*(Inputs!$G$5:$G$200&lt;&gt;"acoes")))*INDEX(Inputs!$K$5:$AJ$200,0,MATCH(AJ$2,Inputs!$K$4:$AJ$4,0)))+SUMPRODUCT((Inputs!$C$5:$C$200=$B55)*Inputs!$D$5:$D$200*(((Inputs!$G$5:$G$200="moeda")+(Inputs!$G$5:$G$200="acoes"))*Inputs!$B$1+((Inputs!$G$5:$G$200&lt;&gt;"moeda")*(Inputs!$G$5:$G$200&lt;&gt;"acoes")))*INDEX(Inputs!$K$5:$AJ$200,0,MATCH(AJ$2,Inputs!$K$4:$AJ$4,0)))+SUMPRODUCT((Inputs!$E$5:$E$200=$B55)*Inputs!$F$5:$F$200*(((Inputs!$G$5:$G$200="moeda")+(Inputs!$G$5:$G$200="acoes"))*Inputs!$B$1+((Inputs!$G$5:$G$200&lt;&gt;"moeda")*(Inputs!$G$5:$G$200&lt;&gt;"acoes")))*INDEX(Inputs!$K$5:$AJ$200,0,MATCH(AJ$2,Inputs!$K$4:$AJ$4,0)))))</f>
        <v>12.418</v>
      </c>
      <c r="AK55" s="262">
        <f>IF(ISNA(MATCH(AK$2,Inputs!$K$4:$AJ$4,0)),NA(),IF(SUMPRODUCT((Inputs!$A$5:$A$200=$B55)*ISNUMBER(INDEX(Inputs!$K$5:$AJ$200,0,MATCH(AK$2,Inputs!$K$4:$AJ$4,0))))+SUMPRODUCT((Inputs!$C$5:$C$200=$B55)*ISNUMBER(INDEX(Inputs!$K$5:$AJ$200,0,MATCH(AK$2,Inputs!$K$4:$AJ$4,0))))+SUMPRODUCT((Inputs!$E$5:$E$200=$B55)*ISNUMBER(INDEX(Inputs!$K$5:$AJ$200,0,MATCH(AK$2,Inputs!$K$4:$AJ$4,0))))=0,NA(),SUMPRODUCT((Inputs!$A$5:$A$200=$B55)*Inputs!$B$5:$B$200*(((Inputs!$G$5:$G$200="moeda")+(Inputs!$G$5:$G$200="acoes"))*Inputs!$B$1+((Inputs!$G$5:$G$200&lt;&gt;"moeda")*(Inputs!$G$5:$G$200&lt;&gt;"acoes")))*INDEX(Inputs!$K$5:$AJ$200,0,MATCH(AK$2,Inputs!$K$4:$AJ$4,0)))+SUMPRODUCT((Inputs!$C$5:$C$200=$B55)*Inputs!$D$5:$D$200*(((Inputs!$G$5:$G$200="moeda")+(Inputs!$G$5:$G$200="acoes"))*Inputs!$B$1+((Inputs!$G$5:$G$200&lt;&gt;"moeda")*(Inputs!$G$5:$G$200&lt;&gt;"acoes")))*INDEX(Inputs!$K$5:$AJ$200,0,MATCH(AK$2,Inputs!$K$4:$AJ$4,0)))+SUMPRODUCT((Inputs!$E$5:$E$200=$B55)*Inputs!$F$5:$F$200*(((Inputs!$G$5:$G$200="moeda")+(Inputs!$G$5:$G$200="acoes"))*Inputs!$B$1+((Inputs!$G$5:$G$200&lt;&gt;"moeda")*(Inputs!$G$5:$G$200&lt;&gt;"acoes")))*INDEX(Inputs!$K$5:$AJ$200,0,MATCH(AK$2,Inputs!$K$4:$AJ$4,0)))))</f>
        <v>12.494</v>
      </c>
      <c r="AL55" s="263">
        <f>SUM(AH55:AK55)</f>
        <v>50.954</v>
      </c>
    </row>
    <row r="56">
      <c r="B56" s="46" t="n">
        <v>48</v>
      </c>
      <c r="C56" s="29" t="inlineStr">
        <is>
          <t>Receita liquida - Engenharia ambiental (R$ mil)</t>
        </is>
      </c>
      <c r="D56" s="262">
        <f>IF(ISNA(MATCH(D$2,Inputs!$K$4:$AJ$4,0)),NA(),IF(SUMPRODUCT((Inputs!$A$5:$A$200=$B56)*ISNUMBER(INDEX(Inputs!$K$5:$AJ$200,0,MATCH(D$2,Inputs!$K$4:$AJ$4,0))))+SUMPRODUCT((Inputs!$C$5:$C$200=$B56)*ISNUMBER(INDEX(Inputs!$K$5:$AJ$200,0,MATCH(D$2,Inputs!$K$4:$AJ$4,0))))+SUMPRODUCT((Inputs!$E$5:$E$200=$B56)*ISNUMBER(INDEX(Inputs!$K$5:$AJ$200,0,MATCH(D$2,Inputs!$K$4:$AJ$4,0))))=0,NA(),SUMPRODUCT((Inputs!$A$5:$A$200=$B56)*Inputs!$B$5:$B$200*(((Inputs!$G$5:$G$200="moeda")+(Inputs!$G$5:$G$200="acoes"))*Inputs!$B$1+((Inputs!$G$5:$G$200&lt;&gt;"moeda")*(Inputs!$G$5:$G$200&lt;&gt;"acoes")))*INDEX(Inputs!$K$5:$AJ$200,0,MATCH(D$2,Inputs!$K$4:$AJ$4,0)))+SUMPRODUCT((Inputs!$C$5:$C$200=$B56)*Inputs!$D$5:$D$200*(((Inputs!$G$5:$G$200="moeda")+(Inputs!$G$5:$G$200="acoes"))*Inputs!$B$1+((Inputs!$G$5:$G$200&lt;&gt;"moeda")*(Inputs!$G$5:$G$200&lt;&gt;"acoes")))*INDEX(Inputs!$K$5:$AJ$200,0,MATCH(D$2,Inputs!$K$4:$AJ$4,0)))+SUMPRODUCT((Inputs!$E$5:$E$200=$B56)*Inputs!$F$5:$F$200*(((Inputs!$G$5:$G$200="moeda")+(Inputs!$G$5:$G$200="acoes"))*Inputs!$B$1+((Inputs!$G$5:$G$200&lt;&gt;"moeda")*(Inputs!$G$5:$G$200&lt;&gt;"acoes")))*INDEX(Inputs!$K$5:$AJ$200,0,MATCH(D$2,Inputs!$K$4:$AJ$4,0)))))</f>
        <v>3.521</v>
      </c>
      <c r="E56" s="262">
        <f>IF(ISNA(MATCH(E$2,Inputs!$K$4:$AJ$4,0)),NA(),IF(SUMPRODUCT((Inputs!$A$5:$A$200=$B56)*ISNUMBER(INDEX(Inputs!$K$5:$AJ$200,0,MATCH(E$2,Inputs!$K$4:$AJ$4,0))))+SUMPRODUCT((Inputs!$C$5:$C$200=$B56)*ISNUMBER(INDEX(Inputs!$K$5:$AJ$200,0,MATCH(E$2,Inputs!$K$4:$AJ$4,0))))+SUMPRODUCT((Inputs!$E$5:$E$200=$B56)*ISNUMBER(INDEX(Inputs!$K$5:$AJ$200,0,MATCH(E$2,Inputs!$K$4:$AJ$4,0))))=0,NA(),SUMPRODUCT((Inputs!$A$5:$A$200=$B56)*Inputs!$B$5:$B$200*(((Inputs!$G$5:$G$200="moeda")+(Inputs!$G$5:$G$200="acoes"))*Inputs!$B$1+((Inputs!$G$5:$G$200&lt;&gt;"moeda")*(Inputs!$G$5:$G$200&lt;&gt;"acoes")))*INDEX(Inputs!$K$5:$AJ$200,0,MATCH(E$2,Inputs!$K$4:$AJ$4,0)))+SUMPRODUCT((Inputs!$C$5:$C$200=$B56)*Inputs!$D$5:$D$200*(((Inputs!$G$5:$G$200="moeda")+(Inputs!$G$5:$G$200="acoes"))*Inputs!$B$1+((Inputs!$G$5:$G$200&lt;&gt;"moeda")*(Inputs!$G$5:$G$200&lt;&gt;"acoes")))*INDEX(Inputs!$K$5:$AJ$200,0,MATCH(E$2,Inputs!$K$4:$AJ$4,0)))+SUMPRODUCT((Inputs!$E$5:$E$200=$B56)*Inputs!$F$5:$F$200*(((Inputs!$G$5:$G$200="moeda")+(Inputs!$G$5:$G$200="acoes"))*Inputs!$B$1+((Inputs!$G$5:$G$200&lt;&gt;"moeda")*(Inputs!$G$5:$G$200&lt;&gt;"acoes")))*INDEX(Inputs!$K$5:$AJ$200,0,MATCH(E$2,Inputs!$K$4:$AJ$4,0)))))</f>
        <v>5.214</v>
      </c>
      <c r="F56" s="262">
        <f>IF(ISNA(MATCH(F$2,Inputs!$K$4:$AJ$4,0)),NA(),IF(SUMPRODUCT((Inputs!$A$5:$A$200=$B56)*ISNUMBER(INDEX(Inputs!$K$5:$AJ$200,0,MATCH(F$2,Inputs!$K$4:$AJ$4,0))))+SUMPRODUCT((Inputs!$C$5:$C$200=$B56)*ISNUMBER(INDEX(Inputs!$K$5:$AJ$200,0,MATCH(F$2,Inputs!$K$4:$AJ$4,0))))+SUMPRODUCT((Inputs!$E$5:$E$200=$B56)*ISNUMBER(INDEX(Inputs!$K$5:$AJ$200,0,MATCH(F$2,Inputs!$K$4:$AJ$4,0))))=0,NA(),SUMPRODUCT((Inputs!$A$5:$A$200=$B56)*Inputs!$B$5:$B$200*(((Inputs!$G$5:$G$200="moeda")+(Inputs!$G$5:$G$200="acoes"))*Inputs!$B$1+((Inputs!$G$5:$G$200&lt;&gt;"moeda")*(Inputs!$G$5:$G$200&lt;&gt;"acoes")))*INDEX(Inputs!$K$5:$AJ$200,0,MATCH(F$2,Inputs!$K$4:$AJ$4,0)))+SUMPRODUCT((Inputs!$C$5:$C$200=$B56)*Inputs!$D$5:$D$200*(((Inputs!$G$5:$G$200="moeda")+(Inputs!$G$5:$G$200="acoes"))*Inputs!$B$1+((Inputs!$G$5:$G$200&lt;&gt;"moeda")*(Inputs!$G$5:$G$200&lt;&gt;"acoes")))*INDEX(Inputs!$K$5:$AJ$200,0,MATCH(F$2,Inputs!$K$4:$AJ$4,0)))+SUMPRODUCT((Inputs!$E$5:$E$200=$B56)*Inputs!$F$5:$F$200*(((Inputs!$G$5:$G$200="moeda")+(Inputs!$G$5:$G$200="acoes"))*Inputs!$B$1+((Inputs!$G$5:$G$200&lt;&gt;"moeda")*(Inputs!$G$5:$G$200&lt;&gt;"acoes")))*INDEX(Inputs!$K$5:$AJ$200,0,MATCH(F$2,Inputs!$K$4:$AJ$4,0)))))</f>
        <v>7.362</v>
      </c>
      <c r="G56" s="262">
        <f>IF(ISNA(MATCH(G$2,Inputs!$K$4:$AJ$4,0)),NA(),IF(SUMPRODUCT((Inputs!$A$5:$A$200=$B56)*ISNUMBER(INDEX(Inputs!$K$5:$AJ$200,0,MATCH(G$2,Inputs!$K$4:$AJ$4,0))))+SUMPRODUCT((Inputs!$C$5:$C$200=$B56)*ISNUMBER(INDEX(Inputs!$K$5:$AJ$200,0,MATCH(G$2,Inputs!$K$4:$AJ$4,0))))+SUMPRODUCT((Inputs!$E$5:$E$200=$B56)*ISNUMBER(INDEX(Inputs!$K$5:$AJ$200,0,MATCH(G$2,Inputs!$K$4:$AJ$4,0))))=0,NA(),SUMPRODUCT((Inputs!$A$5:$A$200=$B56)*Inputs!$B$5:$B$200*(((Inputs!$G$5:$G$200="moeda")+(Inputs!$G$5:$G$200="acoes"))*Inputs!$B$1+((Inputs!$G$5:$G$200&lt;&gt;"moeda")*(Inputs!$G$5:$G$200&lt;&gt;"acoes")))*INDEX(Inputs!$K$5:$AJ$200,0,MATCH(G$2,Inputs!$K$4:$AJ$4,0)))+SUMPRODUCT((Inputs!$C$5:$C$200=$B56)*Inputs!$D$5:$D$200*(((Inputs!$G$5:$G$200="moeda")+(Inputs!$G$5:$G$200="acoes"))*Inputs!$B$1+((Inputs!$G$5:$G$200&lt;&gt;"moeda")*(Inputs!$G$5:$G$200&lt;&gt;"acoes")))*INDEX(Inputs!$K$5:$AJ$200,0,MATCH(G$2,Inputs!$K$4:$AJ$4,0)))+SUMPRODUCT((Inputs!$E$5:$E$200=$B56)*Inputs!$F$5:$F$200*(((Inputs!$G$5:$G$200="moeda")+(Inputs!$G$5:$G$200="acoes"))*Inputs!$B$1+((Inputs!$G$5:$G$200&lt;&gt;"moeda")*(Inputs!$G$5:$G$200&lt;&gt;"acoes")))*INDEX(Inputs!$K$5:$AJ$200,0,MATCH(G$2,Inputs!$K$4:$AJ$4,0)))))</f>
        <v>10.089</v>
      </c>
      <c r="H56" s="263">
        <f>SUM(D56:G56)</f>
        <v>26.186</v>
      </c>
      <c r="I56" s="262">
        <f>IF(ISNA(MATCH(I$2,Inputs!$K$4:$AJ$4,0)),NA(),IF(SUMPRODUCT((Inputs!$A$5:$A$200=$B56)*ISNUMBER(INDEX(Inputs!$K$5:$AJ$200,0,MATCH(I$2,Inputs!$K$4:$AJ$4,0))))+SUMPRODUCT((Inputs!$C$5:$C$200=$B56)*ISNUMBER(INDEX(Inputs!$K$5:$AJ$200,0,MATCH(I$2,Inputs!$K$4:$AJ$4,0))))+SUMPRODUCT((Inputs!$E$5:$E$200=$B56)*ISNUMBER(INDEX(Inputs!$K$5:$AJ$200,0,MATCH(I$2,Inputs!$K$4:$AJ$4,0))))=0,NA(),SUMPRODUCT((Inputs!$A$5:$A$200=$B56)*Inputs!$B$5:$B$200*(((Inputs!$G$5:$G$200="moeda")+(Inputs!$G$5:$G$200="acoes"))*Inputs!$B$1+((Inputs!$G$5:$G$200&lt;&gt;"moeda")*(Inputs!$G$5:$G$200&lt;&gt;"acoes")))*INDEX(Inputs!$K$5:$AJ$200,0,MATCH(I$2,Inputs!$K$4:$AJ$4,0)))+SUMPRODUCT((Inputs!$C$5:$C$200=$B56)*Inputs!$D$5:$D$200*(((Inputs!$G$5:$G$200="moeda")+(Inputs!$G$5:$G$200="acoes"))*Inputs!$B$1+((Inputs!$G$5:$G$200&lt;&gt;"moeda")*(Inputs!$G$5:$G$200&lt;&gt;"acoes")))*INDEX(Inputs!$K$5:$AJ$200,0,MATCH(I$2,Inputs!$K$4:$AJ$4,0)))+SUMPRODUCT((Inputs!$E$5:$E$200=$B56)*Inputs!$F$5:$F$200*(((Inputs!$G$5:$G$200="moeda")+(Inputs!$G$5:$G$200="acoes"))*Inputs!$B$1+((Inputs!$G$5:$G$200&lt;&gt;"moeda")*(Inputs!$G$5:$G$200&lt;&gt;"acoes")))*INDEX(Inputs!$K$5:$AJ$200,0,MATCH(I$2,Inputs!$K$4:$AJ$4,0)))))</f>
        <v>10.331</v>
      </c>
      <c r="J56" s="262">
        <f>IF(ISNA(MATCH(J$2,Inputs!$K$4:$AJ$4,0)),NA(),IF(SUMPRODUCT((Inputs!$A$5:$A$200=$B56)*ISNUMBER(INDEX(Inputs!$K$5:$AJ$200,0,MATCH(J$2,Inputs!$K$4:$AJ$4,0))))+SUMPRODUCT((Inputs!$C$5:$C$200=$B56)*ISNUMBER(INDEX(Inputs!$K$5:$AJ$200,0,MATCH(J$2,Inputs!$K$4:$AJ$4,0))))+SUMPRODUCT((Inputs!$E$5:$E$200=$B56)*ISNUMBER(INDEX(Inputs!$K$5:$AJ$200,0,MATCH(J$2,Inputs!$K$4:$AJ$4,0))))=0,NA(),SUMPRODUCT((Inputs!$A$5:$A$200=$B56)*Inputs!$B$5:$B$200*(((Inputs!$G$5:$G$200="moeda")+(Inputs!$G$5:$G$200="acoes"))*Inputs!$B$1+((Inputs!$G$5:$G$200&lt;&gt;"moeda")*(Inputs!$G$5:$G$200&lt;&gt;"acoes")))*INDEX(Inputs!$K$5:$AJ$200,0,MATCH(J$2,Inputs!$K$4:$AJ$4,0)))+SUMPRODUCT((Inputs!$C$5:$C$200=$B56)*Inputs!$D$5:$D$200*(((Inputs!$G$5:$G$200="moeda")+(Inputs!$G$5:$G$200="acoes"))*Inputs!$B$1+((Inputs!$G$5:$G$200&lt;&gt;"moeda")*(Inputs!$G$5:$G$200&lt;&gt;"acoes")))*INDEX(Inputs!$K$5:$AJ$200,0,MATCH(J$2,Inputs!$K$4:$AJ$4,0)))+SUMPRODUCT((Inputs!$E$5:$E$200=$B56)*Inputs!$F$5:$F$200*(((Inputs!$G$5:$G$200="moeda")+(Inputs!$G$5:$G$200="acoes"))*Inputs!$B$1+((Inputs!$G$5:$G$200&lt;&gt;"moeda")*(Inputs!$G$5:$G$200&lt;&gt;"acoes")))*INDEX(Inputs!$K$5:$AJ$200,0,MATCH(J$2,Inputs!$K$4:$AJ$4,0)))))</f>
        <v>11.509</v>
      </c>
      <c r="K56" s="262">
        <f>IF(ISNA(MATCH(K$2,Inputs!$K$4:$AJ$4,0)),NA(),IF(SUMPRODUCT((Inputs!$A$5:$A$200=$B56)*ISNUMBER(INDEX(Inputs!$K$5:$AJ$200,0,MATCH(K$2,Inputs!$K$4:$AJ$4,0))))+SUMPRODUCT((Inputs!$C$5:$C$200=$B56)*ISNUMBER(INDEX(Inputs!$K$5:$AJ$200,0,MATCH(K$2,Inputs!$K$4:$AJ$4,0))))+SUMPRODUCT((Inputs!$E$5:$E$200=$B56)*ISNUMBER(INDEX(Inputs!$K$5:$AJ$200,0,MATCH(K$2,Inputs!$K$4:$AJ$4,0))))=0,NA(),SUMPRODUCT((Inputs!$A$5:$A$200=$B56)*Inputs!$B$5:$B$200*(((Inputs!$G$5:$G$200="moeda")+(Inputs!$G$5:$G$200="acoes"))*Inputs!$B$1+((Inputs!$G$5:$G$200&lt;&gt;"moeda")*(Inputs!$G$5:$G$200&lt;&gt;"acoes")))*INDEX(Inputs!$K$5:$AJ$200,0,MATCH(K$2,Inputs!$K$4:$AJ$4,0)))+SUMPRODUCT((Inputs!$C$5:$C$200=$B56)*Inputs!$D$5:$D$200*(((Inputs!$G$5:$G$200="moeda")+(Inputs!$G$5:$G$200="acoes"))*Inputs!$B$1+((Inputs!$G$5:$G$200&lt;&gt;"moeda")*(Inputs!$G$5:$G$200&lt;&gt;"acoes")))*INDEX(Inputs!$K$5:$AJ$200,0,MATCH(K$2,Inputs!$K$4:$AJ$4,0)))+SUMPRODUCT((Inputs!$E$5:$E$200=$B56)*Inputs!$F$5:$F$200*(((Inputs!$G$5:$G$200="moeda")+(Inputs!$G$5:$G$200="acoes"))*Inputs!$B$1+((Inputs!$G$5:$G$200&lt;&gt;"moeda")*(Inputs!$G$5:$G$200&lt;&gt;"acoes")))*INDEX(Inputs!$K$5:$AJ$200,0,MATCH(K$2,Inputs!$K$4:$AJ$4,0)))))</f>
        <v>9.129</v>
      </c>
      <c r="L56" s="262">
        <f>IF(ISNA(MATCH(L$2,Inputs!$K$4:$AJ$4,0)),NA(),IF(SUMPRODUCT((Inputs!$A$5:$A$200=$B56)*ISNUMBER(INDEX(Inputs!$K$5:$AJ$200,0,MATCH(L$2,Inputs!$K$4:$AJ$4,0))))+SUMPRODUCT((Inputs!$C$5:$C$200=$B56)*ISNUMBER(INDEX(Inputs!$K$5:$AJ$200,0,MATCH(L$2,Inputs!$K$4:$AJ$4,0))))+SUMPRODUCT((Inputs!$E$5:$E$200=$B56)*ISNUMBER(INDEX(Inputs!$K$5:$AJ$200,0,MATCH(L$2,Inputs!$K$4:$AJ$4,0))))=0,NA(),SUMPRODUCT((Inputs!$A$5:$A$200=$B56)*Inputs!$B$5:$B$200*(((Inputs!$G$5:$G$200="moeda")+(Inputs!$G$5:$G$200="acoes"))*Inputs!$B$1+((Inputs!$G$5:$G$200&lt;&gt;"moeda")*(Inputs!$G$5:$G$200&lt;&gt;"acoes")))*INDEX(Inputs!$K$5:$AJ$200,0,MATCH(L$2,Inputs!$K$4:$AJ$4,0)))+SUMPRODUCT((Inputs!$C$5:$C$200=$B56)*Inputs!$D$5:$D$200*(((Inputs!$G$5:$G$200="moeda")+(Inputs!$G$5:$G$200="acoes"))*Inputs!$B$1+((Inputs!$G$5:$G$200&lt;&gt;"moeda")*(Inputs!$G$5:$G$200&lt;&gt;"acoes")))*INDEX(Inputs!$K$5:$AJ$200,0,MATCH(L$2,Inputs!$K$4:$AJ$4,0)))+SUMPRODUCT((Inputs!$E$5:$E$200=$B56)*Inputs!$F$5:$F$200*(((Inputs!$G$5:$G$200="moeda")+(Inputs!$G$5:$G$200="acoes"))*Inputs!$B$1+((Inputs!$G$5:$G$200&lt;&gt;"moeda")*(Inputs!$G$5:$G$200&lt;&gt;"acoes")))*INDEX(Inputs!$K$5:$AJ$200,0,MATCH(L$2,Inputs!$K$4:$AJ$4,0)))))</f>
        <v>12.416</v>
      </c>
      <c r="M56" s="263">
        <f>SUM(I56:L56)</f>
        <v>43.385</v>
      </c>
      <c r="N56" s="262">
        <f>IF(ISNA(MATCH(N$2,Inputs!$K$4:$AJ$4,0)),NA(),IF(SUMPRODUCT((Inputs!$A$5:$A$200=$B56)*ISNUMBER(INDEX(Inputs!$K$5:$AJ$200,0,MATCH(N$2,Inputs!$K$4:$AJ$4,0))))+SUMPRODUCT((Inputs!$C$5:$C$200=$B56)*ISNUMBER(INDEX(Inputs!$K$5:$AJ$200,0,MATCH(N$2,Inputs!$K$4:$AJ$4,0))))+SUMPRODUCT((Inputs!$E$5:$E$200=$B56)*ISNUMBER(INDEX(Inputs!$K$5:$AJ$200,0,MATCH(N$2,Inputs!$K$4:$AJ$4,0))))=0,NA(),SUMPRODUCT((Inputs!$A$5:$A$200=$B56)*Inputs!$B$5:$B$200*(((Inputs!$G$5:$G$200="moeda")+(Inputs!$G$5:$G$200="acoes"))*Inputs!$B$1+((Inputs!$G$5:$G$200&lt;&gt;"moeda")*(Inputs!$G$5:$G$200&lt;&gt;"acoes")))*INDEX(Inputs!$K$5:$AJ$200,0,MATCH(N$2,Inputs!$K$4:$AJ$4,0)))+SUMPRODUCT((Inputs!$C$5:$C$200=$B56)*Inputs!$D$5:$D$200*(((Inputs!$G$5:$G$200="moeda")+(Inputs!$G$5:$G$200="acoes"))*Inputs!$B$1+((Inputs!$G$5:$G$200&lt;&gt;"moeda")*(Inputs!$G$5:$G$200&lt;&gt;"acoes")))*INDEX(Inputs!$K$5:$AJ$200,0,MATCH(N$2,Inputs!$K$4:$AJ$4,0)))+SUMPRODUCT((Inputs!$E$5:$E$200=$B56)*Inputs!$F$5:$F$200*(((Inputs!$G$5:$G$200="moeda")+(Inputs!$G$5:$G$200="acoes"))*Inputs!$B$1+((Inputs!$G$5:$G$200&lt;&gt;"moeda")*(Inputs!$G$5:$G$200&lt;&gt;"acoes")))*INDEX(Inputs!$K$5:$AJ$200,0,MATCH(N$2,Inputs!$K$4:$AJ$4,0)))))</f>
        <v>10.933</v>
      </c>
      <c r="O56" s="262">
        <f>IF(ISNA(MATCH(O$2,Inputs!$K$4:$AJ$4,0)),NA(),IF(SUMPRODUCT((Inputs!$A$5:$A$200=$B56)*ISNUMBER(INDEX(Inputs!$K$5:$AJ$200,0,MATCH(O$2,Inputs!$K$4:$AJ$4,0))))+SUMPRODUCT((Inputs!$C$5:$C$200=$B56)*ISNUMBER(INDEX(Inputs!$K$5:$AJ$200,0,MATCH(O$2,Inputs!$K$4:$AJ$4,0))))+SUMPRODUCT((Inputs!$E$5:$E$200=$B56)*ISNUMBER(INDEX(Inputs!$K$5:$AJ$200,0,MATCH(O$2,Inputs!$K$4:$AJ$4,0))))=0,NA(),SUMPRODUCT((Inputs!$A$5:$A$200=$B56)*Inputs!$B$5:$B$200*(((Inputs!$G$5:$G$200="moeda")+(Inputs!$G$5:$G$200="acoes"))*Inputs!$B$1+((Inputs!$G$5:$G$200&lt;&gt;"moeda")*(Inputs!$G$5:$G$200&lt;&gt;"acoes")))*INDEX(Inputs!$K$5:$AJ$200,0,MATCH(O$2,Inputs!$K$4:$AJ$4,0)))+SUMPRODUCT((Inputs!$C$5:$C$200=$B56)*Inputs!$D$5:$D$200*(((Inputs!$G$5:$G$200="moeda")+(Inputs!$G$5:$G$200="acoes"))*Inputs!$B$1+((Inputs!$G$5:$G$200&lt;&gt;"moeda")*(Inputs!$G$5:$G$200&lt;&gt;"acoes")))*INDEX(Inputs!$K$5:$AJ$200,0,MATCH(O$2,Inputs!$K$4:$AJ$4,0)))+SUMPRODUCT((Inputs!$E$5:$E$200=$B56)*Inputs!$F$5:$F$200*(((Inputs!$G$5:$G$200="moeda")+(Inputs!$G$5:$G$200="acoes"))*Inputs!$B$1+((Inputs!$G$5:$G$200&lt;&gt;"moeda")*(Inputs!$G$5:$G$200&lt;&gt;"acoes")))*INDEX(Inputs!$K$5:$AJ$200,0,MATCH(O$2,Inputs!$K$4:$AJ$4,0)))))</f>
        <v>7.087</v>
      </c>
      <c r="P56" s="262">
        <f>IF(ISNA(MATCH(P$2,Inputs!$K$4:$AJ$4,0)),NA(),IF(SUMPRODUCT((Inputs!$A$5:$A$200=$B56)*ISNUMBER(INDEX(Inputs!$K$5:$AJ$200,0,MATCH(P$2,Inputs!$K$4:$AJ$4,0))))+SUMPRODUCT((Inputs!$C$5:$C$200=$B56)*ISNUMBER(INDEX(Inputs!$K$5:$AJ$200,0,MATCH(P$2,Inputs!$K$4:$AJ$4,0))))+SUMPRODUCT((Inputs!$E$5:$E$200=$B56)*ISNUMBER(INDEX(Inputs!$K$5:$AJ$200,0,MATCH(P$2,Inputs!$K$4:$AJ$4,0))))=0,NA(),SUMPRODUCT((Inputs!$A$5:$A$200=$B56)*Inputs!$B$5:$B$200*(((Inputs!$G$5:$G$200="moeda")+(Inputs!$G$5:$G$200="acoes"))*Inputs!$B$1+((Inputs!$G$5:$G$200&lt;&gt;"moeda")*(Inputs!$G$5:$G$200&lt;&gt;"acoes")))*INDEX(Inputs!$K$5:$AJ$200,0,MATCH(P$2,Inputs!$K$4:$AJ$4,0)))+SUMPRODUCT((Inputs!$C$5:$C$200=$B56)*Inputs!$D$5:$D$200*(((Inputs!$G$5:$G$200="moeda")+(Inputs!$G$5:$G$200="acoes"))*Inputs!$B$1+((Inputs!$G$5:$G$200&lt;&gt;"moeda")*(Inputs!$G$5:$G$200&lt;&gt;"acoes")))*INDEX(Inputs!$K$5:$AJ$200,0,MATCH(P$2,Inputs!$K$4:$AJ$4,0)))+SUMPRODUCT((Inputs!$E$5:$E$200=$B56)*Inputs!$F$5:$F$200*(((Inputs!$G$5:$G$200="moeda")+(Inputs!$G$5:$G$200="acoes"))*Inputs!$B$1+((Inputs!$G$5:$G$200&lt;&gt;"moeda")*(Inputs!$G$5:$G$200&lt;&gt;"acoes")))*INDEX(Inputs!$K$5:$AJ$200,0,MATCH(P$2,Inputs!$K$4:$AJ$4,0)))))</f>
        <v>6.316</v>
      </c>
      <c r="Q56" s="262">
        <f>IF(ISNA(MATCH(Q$2,Inputs!$K$4:$AJ$4,0)),NA(),IF(SUMPRODUCT((Inputs!$A$5:$A$200=$B56)*ISNUMBER(INDEX(Inputs!$K$5:$AJ$200,0,MATCH(Q$2,Inputs!$K$4:$AJ$4,0))))+SUMPRODUCT((Inputs!$C$5:$C$200=$B56)*ISNUMBER(INDEX(Inputs!$K$5:$AJ$200,0,MATCH(Q$2,Inputs!$K$4:$AJ$4,0))))+SUMPRODUCT((Inputs!$E$5:$E$200=$B56)*ISNUMBER(INDEX(Inputs!$K$5:$AJ$200,0,MATCH(Q$2,Inputs!$K$4:$AJ$4,0))))=0,NA(),SUMPRODUCT((Inputs!$A$5:$A$200=$B56)*Inputs!$B$5:$B$200*(((Inputs!$G$5:$G$200="moeda")+(Inputs!$G$5:$G$200="acoes"))*Inputs!$B$1+((Inputs!$G$5:$G$200&lt;&gt;"moeda")*(Inputs!$G$5:$G$200&lt;&gt;"acoes")))*INDEX(Inputs!$K$5:$AJ$200,0,MATCH(Q$2,Inputs!$K$4:$AJ$4,0)))+SUMPRODUCT((Inputs!$C$5:$C$200=$B56)*Inputs!$D$5:$D$200*(((Inputs!$G$5:$G$200="moeda")+(Inputs!$G$5:$G$200="acoes"))*Inputs!$B$1+((Inputs!$G$5:$G$200&lt;&gt;"moeda")*(Inputs!$G$5:$G$200&lt;&gt;"acoes")))*INDEX(Inputs!$K$5:$AJ$200,0,MATCH(Q$2,Inputs!$K$4:$AJ$4,0)))+SUMPRODUCT((Inputs!$E$5:$E$200=$B56)*Inputs!$F$5:$F$200*(((Inputs!$G$5:$G$200="moeda")+(Inputs!$G$5:$G$200="acoes"))*Inputs!$B$1+((Inputs!$G$5:$G$200&lt;&gt;"moeda")*(Inputs!$G$5:$G$200&lt;&gt;"acoes")))*INDEX(Inputs!$K$5:$AJ$200,0,MATCH(Q$2,Inputs!$K$4:$AJ$4,0)))))</f>
        <v>6.798</v>
      </c>
      <c r="R56" s="263">
        <f>SUM(N56:Q56)</f>
        <v>31.134</v>
      </c>
      <c r="S56" s="262">
        <f>IF(ISNA(MATCH(S$2,Inputs!$K$4:$AJ$4,0)),NA(),IF(SUMPRODUCT((Inputs!$A$5:$A$200=$B56)*ISNUMBER(INDEX(Inputs!$K$5:$AJ$200,0,MATCH(S$2,Inputs!$K$4:$AJ$4,0))))+SUMPRODUCT((Inputs!$C$5:$C$200=$B56)*ISNUMBER(INDEX(Inputs!$K$5:$AJ$200,0,MATCH(S$2,Inputs!$K$4:$AJ$4,0))))+SUMPRODUCT((Inputs!$E$5:$E$200=$B56)*ISNUMBER(INDEX(Inputs!$K$5:$AJ$200,0,MATCH(S$2,Inputs!$K$4:$AJ$4,0))))=0,NA(),SUMPRODUCT((Inputs!$A$5:$A$200=$B56)*Inputs!$B$5:$B$200*(((Inputs!$G$5:$G$200="moeda")+(Inputs!$G$5:$G$200="acoes"))*Inputs!$B$1+((Inputs!$G$5:$G$200&lt;&gt;"moeda")*(Inputs!$G$5:$G$200&lt;&gt;"acoes")))*INDEX(Inputs!$K$5:$AJ$200,0,MATCH(S$2,Inputs!$K$4:$AJ$4,0)))+SUMPRODUCT((Inputs!$C$5:$C$200=$B56)*Inputs!$D$5:$D$200*(((Inputs!$G$5:$G$200="moeda")+(Inputs!$G$5:$G$200="acoes"))*Inputs!$B$1+((Inputs!$G$5:$G$200&lt;&gt;"moeda")*(Inputs!$G$5:$G$200&lt;&gt;"acoes")))*INDEX(Inputs!$K$5:$AJ$200,0,MATCH(S$2,Inputs!$K$4:$AJ$4,0)))+SUMPRODUCT((Inputs!$E$5:$E$200=$B56)*Inputs!$F$5:$F$200*(((Inputs!$G$5:$G$200="moeda")+(Inputs!$G$5:$G$200="acoes"))*Inputs!$B$1+((Inputs!$G$5:$G$200&lt;&gt;"moeda")*(Inputs!$G$5:$G$200&lt;&gt;"acoes")))*INDEX(Inputs!$K$5:$AJ$200,0,MATCH(S$2,Inputs!$K$4:$AJ$4,0)))))</f>
        <v>5.521</v>
      </c>
      <c r="T56" s="262">
        <f>IF(ISNA(MATCH(T$2,Inputs!$K$4:$AJ$4,0)),NA(),IF(SUMPRODUCT((Inputs!$A$5:$A$200=$B56)*ISNUMBER(INDEX(Inputs!$K$5:$AJ$200,0,MATCH(T$2,Inputs!$K$4:$AJ$4,0))))+SUMPRODUCT((Inputs!$C$5:$C$200=$B56)*ISNUMBER(INDEX(Inputs!$K$5:$AJ$200,0,MATCH(T$2,Inputs!$K$4:$AJ$4,0))))+SUMPRODUCT((Inputs!$E$5:$E$200=$B56)*ISNUMBER(INDEX(Inputs!$K$5:$AJ$200,0,MATCH(T$2,Inputs!$K$4:$AJ$4,0))))=0,NA(),SUMPRODUCT((Inputs!$A$5:$A$200=$B56)*Inputs!$B$5:$B$200*(((Inputs!$G$5:$G$200="moeda")+(Inputs!$G$5:$G$200="acoes"))*Inputs!$B$1+((Inputs!$G$5:$G$200&lt;&gt;"moeda")*(Inputs!$G$5:$G$200&lt;&gt;"acoes")))*INDEX(Inputs!$K$5:$AJ$200,0,MATCH(T$2,Inputs!$K$4:$AJ$4,0)))+SUMPRODUCT((Inputs!$C$5:$C$200=$B56)*Inputs!$D$5:$D$200*(((Inputs!$G$5:$G$200="moeda")+(Inputs!$G$5:$G$200="acoes"))*Inputs!$B$1+((Inputs!$G$5:$G$200&lt;&gt;"moeda")*(Inputs!$G$5:$G$200&lt;&gt;"acoes")))*INDEX(Inputs!$K$5:$AJ$200,0,MATCH(T$2,Inputs!$K$4:$AJ$4,0)))+SUMPRODUCT((Inputs!$E$5:$E$200=$B56)*Inputs!$F$5:$F$200*(((Inputs!$G$5:$G$200="moeda")+(Inputs!$G$5:$G$200="acoes"))*Inputs!$B$1+((Inputs!$G$5:$G$200&lt;&gt;"moeda")*(Inputs!$G$5:$G$200&lt;&gt;"acoes")))*INDEX(Inputs!$K$5:$AJ$200,0,MATCH(T$2,Inputs!$K$4:$AJ$4,0)))))</f>
        <v>6.819</v>
      </c>
      <c r="U56" s="262">
        <f>IF(ISNA(MATCH(U$2,Inputs!$K$4:$AJ$4,0)),NA(),IF(SUMPRODUCT((Inputs!$A$5:$A$200=$B56)*ISNUMBER(INDEX(Inputs!$K$5:$AJ$200,0,MATCH(U$2,Inputs!$K$4:$AJ$4,0))))+SUMPRODUCT((Inputs!$C$5:$C$200=$B56)*ISNUMBER(INDEX(Inputs!$K$5:$AJ$200,0,MATCH(U$2,Inputs!$K$4:$AJ$4,0))))+SUMPRODUCT((Inputs!$E$5:$E$200=$B56)*ISNUMBER(INDEX(Inputs!$K$5:$AJ$200,0,MATCH(U$2,Inputs!$K$4:$AJ$4,0))))=0,NA(),SUMPRODUCT((Inputs!$A$5:$A$200=$B56)*Inputs!$B$5:$B$200*(((Inputs!$G$5:$G$200="moeda")+(Inputs!$G$5:$G$200="acoes"))*Inputs!$B$1+((Inputs!$G$5:$G$200&lt;&gt;"moeda")*(Inputs!$G$5:$G$200&lt;&gt;"acoes")))*INDEX(Inputs!$K$5:$AJ$200,0,MATCH(U$2,Inputs!$K$4:$AJ$4,0)))+SUMPRODUCT((Inputs!$C$5:$C$200=$B56)*Inputs!$D$5:$D$200*(((Inputs!$G$5:$G$200="moeda")+(Inputs!$G$5:$G$200="acoes"))*Inputs!$B$1+((Inputs!$G$5:$G$200&lt;&gt;"moeda")*(Inputs!$G$5:$G$200&lt;&gt;"acoes")))*INDEX(Inputs!$K$5:$AJ$200,0,MATCH(U$2,Inputs!$K$4:$AJ$4,0)))+SUMPRODUCT((Inputs!$E$5:$E$200=$B56)*Inputs!$F$5:$F$200*(((Inputs!$G$5:$G$200="moeda")+(Inputs!$G$5:$G$200="acoes"))*Inputs!$B$1+((Inputs!$G$5:$G$200&lt;&gt;"moeda")*(Inputs!$G$5:$G$200&lt;&gt;"acoes")))*INDEX(Inputs!$K$5:$AJ$200,0,MATCH(U$2,Inputs!$K$4:$AJ$4,0)))))</f>
        <v>6.003</v>
      </c>
      <c r="V56" s="262">
        <f>IF(ISNA(MATCH(V$2,Inputs!$K$4:$AJ$4,0)),NA(),IF(SUMPRODUCT((Inputs!$A$5:$A$200=$B56)*ISNUMBER(INDEX(Inputs!$K$5:$AJ$200,0,MATCH(V$2,Inputs!$K$4:$AJ$4,0))))+SUMPRODUCT((Inputs!$C$5:$C$200=$B56)*ISNUMBER(INDEX(Inputs!$K$5:$AJ$200,0,MATCH(V$2,Inputs!$K$4:$AJ$4,0))))+SUMPRODUCT((Inputs!$E$5:$E$200=$B56)*ISNUMBER(INDEX(Inputs!$K$5:$AJ$200,0,MATCH(V$2,Inputs!$K$4:$AJ$4,0))))=0,NA(),SUMPRODUCT((Inputs!$A$5:$A$200=$B56)*Inputs!$B$5:$B$200*(((Inputs!$G$5:$G$200="moeda")+(Inputs!$G$5:$G$200="acoes"))*Inputs!$B$1+((Inputs!$G$5:$G$200&lt;&gt;"moeda")*(Inputs!$G$5:$G$200&lt;&gt;"acoes")))*INDEX(Inputs!$K$5:$AJ$200,0,MATCH(V$2,Inputs!$K$4:$AJ$4,0)))+SUMPRODUCT((Inputs!$C$5:$C$200=$B56)*Inputs!$D$5:$D$200*(((Inputs!$G$5:$G$200="moeda")+(Inputs!$G$5:$G$200="acoes"))*Inputs!$B$1+((Inputs!$G$5:$G$200&lt;&gt;"moeda")*(Inputs!$G$5:$G$200&lt;&gt;"acoes")))*INDEX(Inputs!$K$5:$AJ$200,0,MATCH(V$2,Inputs!$K$4:$AJ$4,0)))+SUMPRODUCT((Inputs!$E$5:$E$200=$B56)*Inputs!$F$5:$F$200*(((Inputs!$G$5:$G$200="moeda")+(Inputs!$G$5:$G$200="acoes"))*Inputs!$B$1+((Inputs!$G$5:$G$200&lt;&gt;"moeda")*(Inputs!$G$5:$G$200&lt;&gt;"acoes")))*INDEX(Inputs!$K$5:$AJ$200,0,MATCH(V$2,Inputs!$K$4:$AJ$4,0)))))</f>
        <v>4.585</v>
      </c>
      <c r="W56" s="263">
        <f>SUM(S56:V56)</f>
        <v>22.928</v>
      </c>
      <c r="X56" s="262">
        <f>IF(ISNA(MATCH(X$2,Inputs!$K$4:$AJ$4,0)),NA(),IF(SUMPRODUCT((Inputs!$A$5:$A$200=$B56)*ISNUMBER(INDEX(Inputs!$K$5:$AJ$200,0,MATCH(X$2,Inputs!$K$4:$AJ$4,0))))+SUMPRODUCT((Inputs!$C$5:$C$200=$B56)*ISNUMBER(INDEX(Inputs!$K$5:$AJ$200,0,MATCH(X$2,Inputs!$K$4:$AJ$4,0))))+SUMPRODUCT((Inputs!$E$5:$E$200=$B56)*ISNUMBER(INDEX(Inputs!$K$5:$AJ$200,0,MATCH(X$2,Inputs!$K$4:$AJ$4,0))))=0,NA(),SUMPRODUCT((Inputs!$A$5:$A$200=$B56)*Inputs!$B$5:$B$200*(((Inputs!$G$5:$G$200="moeda")+(Inputs!$G$5:$G$200="acoes"))*Inputs!$B$1+((Inputs!$G$5:$G$200&lt;&gt;"moeda")*(Inputs!$G$5:$G$200&lt;&gt;"acoes")))*INDEX(Inputs!$K$5:$AJ$200,0,MATCH(X$2,Inputs!$K$4:$AJ$4,0)))+SUMPRODUCT((Inputs!$C$5:$C$200=$B56)*Inputs!$D$5:$D$200*(((Inputs!$G$5:$G$200="moeda")+(Inputs!$G$5:$G$200="acoes"))*Inputs!$B$1+((Inputs!$G$5:$G$200&lt;&gt;"moeda")*(Inputs!$G$5:$G$200&lt;&gt;"acoes")))*INDEX(Inputs!$K$5:$AJ$200,0,MATCH(X$2,Inputs!$K$4:$AJ$4,0)))+SUMPRODUCT((Inputs!$E$5:$E$200=$B56)*Inputs!$F$5:$F$200*(((Inputs!$G$5:$G$200="moeda")+(Inputs!$G$5:$G$200="acoes"))*Inputs!$B$1+((Inputs!$G$5:$G$200&lt;&gt;"moeda")*(Inputs!$G$5:$G$200&lt;&gt;"acoes")))*INDEX(Inputs!$K$5:$AJ$200,0,MATCH(X$2,Inputs!$K$4:$AJ$4,0)))))</f>
        <v>2.275</v>
      </c>
      <c r="Y56" s="262">
        <f>IF(ISNA(MATCH(Y$2,Inputs!$K$4:$AJ$4,0)),NA(),IF(SUMPRODUCT((Inputs!$A$5:$A$200=$B56)*ISNUMBER(INDEX(Inputs!$K$5:$AJ$200,0,MATCH(Y$2,Inputs!$K$4:$AJ$4,0))))+SUMPRODUCT((Inputs!$C$5:$C$200=$B56)*ISNUMBER(INDEX(Inputs!$K$5:$AJ$200,0,MATCH(Y$2,Inputs!$K$4:$AJ$4,0))))+SUMPRODUCT((Inputs!$E$5:$E$200=$B56)*ISNUMBER(INDEX(Inputs!$K$5:$AJ$200,0,MATCH(Y$2,Inputs!$K$4:$AJ$4,0))))=0,NA(),SUMPRODUCT((Inputs!$A$5:$A$200=$B56)*Inputs!$B$5:$B$200*(((Inputs!$G$5:$G$200="moeda")+(Inputs!$G$5:$G$200="acoes"))*Inputs!$B$1+((Inputs!$G$5:$G$200&lt;&gt;"moeda")*(Inputs!$G$5:$G$200&lt;&gt;"acoes")))*INDEX(Inputs!$K$5:$AJ$200,0,MATCH(Y$2,Inputs!$K$4:$AJ$4,0)))+SUMPRODUCT((Inputs!$C$5:$C$200=$B56)*Inputs!$D$5:$D$200*(((Inputs!$G$5:$G$200="moeda")+(Inputs!$G$5:$G$200="acoes"))*Inputs!$B$1+((Inputs!$G$5:$G$200&lt;&gt;"moeda")*(Inputs!$G$5:$G$200&lt;&gt;"acoes")))*INDEX(Inputs!$K$5:$AJ$200,0,MATCH(Y$2,Inputs!$K$4:$AJ$4,0)))+SUMPRODUCT((Inputs!$E$5:$E$200=$B56)*Inputs!$F$5:$F$200*(((Inputs!$G$5:$G$200="moeda")+(Inputs!$G$5:$G$200="acoes"))*Inputs!$B$1+((Inputs!$G$5:$G$200&lt;&gt;"moeda")*(Inputs!$G$5:$G$200&lt;&gt;"acoes")))*INDEX(Inputs!$K$5:$AJ$200,0,MATCH(Y$2,Inputs!$K$4:$AJ$4,0)))))</f>
        <v>2.706</v>
      </c>
      <c r="Z56" s="262">
        <f>IF(ISNA(MATCH(Z$2,Inputs!$K$4:$AJ$4,0)),NA(),IF(SUMPRODUCT((Inputs!$A$5:$A$200=$B56)*ISNUMBER(INDEX(Inputs!$K$5:$AJ$200,0,MATCH(Z$2,Inputs!$K$4:$AJ$4,0))))+SUMPRODUCT((Inputs!$C$5:$C$200=$B56)*ISNUMBER(INDEX(Inputs!$K$5:$AJ$200,0,MATCH(Z$2,Inputs!$K$4:$AJ$4,0))))+SUMPRODUCT((Inputs!$E$5:$E$200=$B56)*ISNUMBER(INDEX(Inputs!$K$5:$AJ$200,0,MATCH(Z$2,Inputs!$K$4:$AJ$4,0))))=0,NA(),SUMPRODUCT((Inputs!$A$5:$A$200=$B56)*Inputs!$B$5:$B$200*(((Inputs!$G$5:$G$200="moeda")+(Inputs!$G$5:$G$200="acoes"))*Inputs!$B$1+((Inputs!$G$5:$G$200&lt;&gt;"moeda")*(Inputs!$G$5:$G$200&lt;&gt;"acoes")))*INDEX(Inputs!$K$5:$AJ$200,0,MATCH(Z$2,Inputs!$K$4:$AJ$4,0)))+SUMPRODUCT((Inputs!$C$5:$C$200=$B56)*Inputs!$D$5:$D$200*(((Inputs!$G$5:$G$200="moeda")+(Inputs!$G$5:$G$200="acoes"))*Inputs!$B$1+((Inputs!$G$5:$G$200&lt;&gt;"moeda")*(Inputs!$G$5:$G$200&lt;&gt;"acoes")))*INDEX(Inputs!$K$5:$AJ$200,0,MATCH(Z$2,Inputs!$K$4:$AJ$4,0)))+SUMPRODUCT((Inputs!$E$5:$E$200=$B56)*Inputs!$F$5:$F$200*(((Inputs!$G$5:$G$200="moeda")+(Inputs!$G$5:$G$200="acoes"))*Inputs!$B$1+((Inputs!$G$5:$G$200&lt;&gt;"moeda")*(Inputs!$G$5:$G$200&lt;&gt;"acoes")))*INDEX(Inputs!$K$5:$AJ$200,0,MATCH(Z$2,Inputs!$K$4:$AJ$4,0)))))</f>
        <v>4.362</v>
      </c>
      <c r="AA56" s="262">
        <f>IF(ISNA(MATCH(AA$2,Inputs!$K$4:$AJ$4,0)),NA(),IF(SUMPRODUCT((Inputs!$A$5:$A$200=$B56)*ISNUMBER(INDEX(Inputs!$K$5:$AJ$200,0,MATCH(AA$2,Inputs!$K$4:$AJ$4,0))))+SUMPRODUCT((Inputs!$C$5:$C$200=$B56)*ISNUMBER(INDEX(Inputs!$K$5:$AJ$200,0,MATCH(AA$2,Inputs!$K$4:$AJ$4,0))))+SUMPRODUCT((Inputs!$E$5:$E$200=$B56)*ISNUMBER(INDEX(Inputs!$K$5:$AJ$200,0,MATCH(AA$2,Inputs!$K$4:$AJ$4,0))))=0,NA(),SUMPRODUCT((Inputs!$A$5:$A$200=$B56)*Inputs!$B$5:$B$200*(((Inputs!$G$5:$G$200="moeda")+(Inputs!$G$5:$G$200="acoes"))*Inputs!$B$1+((Inputs!$G$5:$G$200&lt;&gt;"moeda")*(Inputs!$G$5:$G$200&lt;&gt;"acoes")))*INDEX(Inputs!$K$5:$AJ$200,0,MATCH(AA$2,Inputs!$K$4:$AJ$4,0)))+SUMPRODUCT((Inputs!$C$5:$C$200=$B56)*Inputs!$D$5:$D$200*(((Inputs!$G$5:$G$200="moeda")+(Inputs!$G$5:$G$200="acoes"))*Inputs!$B$1+((Inputs!$G$5:$G$200&lt;&gt;"moeda")*(Inputs!$G$5:$G$200&lt;&gt;"acoes")))*INDEX(Inputs!$K$5:$AJ$200,0,MATCH(AA$2,Inputs!$K$4:$AJ$4,0)))+SUMPRODUCT((Inputs!$E$5:$E$200=$B56)*Inputs!$F$5:$F$200*(((Inputs!$G$5:$G$200="moeda")+(Inputs!$G$5:$G$200="acoes"))*Inputs!$B$1+((Inputs!$G$5:$G$200&lt;&gt;"moeda")*(Inputs!$G$5:$G$200&lt;&gt;"acoes")))*INDEX(Inputs!$K$5:$AJ$200,0,MATCH(AA$2,Inputs!$K$4:$AJ$4,0)))))</f>
        <v>3.748</v>
      </c>
      <c r="AB56" s="263">
        <f>SUM(X56:AA56)</f>
        <v>13.091</v>
      </c>
      <c r="AC56" s="262">
        <f>IF(ISNA(MATCH(AC$2,Inputs!$K$4:$AJ$4,0)),NA(),IF(SUMPRODUCT((Inputs!$A$5:$A$200=$B56)*ISNUMBER(INDEX(Inputs!$K$5:$AJ$200,0,MATCH(AC$2,Inputs!$K$4:$AJ$4,0))))+SUMPRODUCT((Inputs!$C$5:$C$200=$B56)*ISNUMBER(INDEX(Inputs!$K$5:$AJ$200,0,MATCH(AC$2,Inputs!$K$4:$AJ$4,0))))+SUMPRODUCT((Inputs!$E$5:$E$200=$B56)*ISNUMBER(INDEX(Inputs!$K$5:$AJ$200,0,MATCH(AC$2,Inputs!$K$4:$AJ$4,0))))=0,NA(),SUMPRODUCT((Inputs!$A$5:$A$200=$B56)*Inputs!$B$5:$B$200*(((Inputs!$G$5:$G$200="moeda")+(Inputs!$G$5:$G$200="acoes"))*Inputs!$B$1+((Inputs!$G$5:$G$200&lt;&gt;"moeda")*(Inputs!$G$5:$G$200&lt;&gt;"acoes")))*INDEX(Inputs!$K$5:$AJ$200,0,MATCH(AC$2,Inputs!$K$4:$AJ$4,0)))+SUMPRODUCT((Inputs!$C$5:$C$200=$B56)*Inputs!$D$5:$D$200*(((Inputs!$G$5:$G$200="moeda")+(Inputs!$G$5:$G$200="acoes"))*Inputs!$B$1+((Inputs!$G$5:$G$200&lt;&gt;"moeda")*(Inputs!$G$5:$G$200&lt;&gt;"acoes")))*INDEX(Inputs!$K$5:$AJ$200,0,MATCH(AC$2,Inputs!$K$4:$AJ$4,0)))+SUMPRODUCT((Inputs!$E$5:$E$200=$B56)*Inputs!$F$5:$F$200*(((Inputs!$G$5:$G$200="moeda")+(Inputs!$G$5:$G$200="acoes"))*Inputs!$B$1+((Inputs!$G$5:$G$200&lt;&gt;"moeda")*(Inputs!$G$5:$G$200&lt;&gt;"acoes")))*INDEX(Inputs!$K$5:$AJ$200,0,MATCH(AC$2,Inputs!$K$4:$AJ$4,0)))))</f>
        <v>3.814</v>
      </c>
      <c r="AD56" s="262" t="e">
        <f>IF(ISNA(MATCH(AD$2,Inputs!$K$4:$AJ$4,0)),NA(),IF(SUMPRODUCT((Inputs!$A$5:$A$200=$B56)*ISNUMBER(INDEX(Inputs!$K$5:$AJ$200,0,MATCH(AD$2,Inputs!$K$4:$AJ$4,0))))+SUMPRODUCT((Inputs!$C$5:$C$200=$B56)*ISNUMBER(INDEX(Inputs!$K$5:$AJ$200,0,MATCH(AD$2,Inputs!$K$4:$AJ$4,0))))+SUMPRODUCT((Inputs!$E$5:$E$200=$B56)*ISNUMBER(INDEX(Inputs!$K$5:$AJ$200,0,MATCH(AD$2,Inputs!$K$4:$AJ$4,0))))=0,NA(),SUMPRODUCT((Inputs!$A$5:$A$200=$B56)*Inputs!$B$5:$B$200*(((Inputs!$G$5:$G$200="moeda")+(Inputs!$G$5:$G$200="acoes"))*Inputs!$B$1+((Inputs!$G$5:$G$200&lt;&gt;"moeda")*(Inputs!$G$5:$G$200&lt;&gt;"acoes")))*INDEX(Inputs!$K$5:$AJ$200,0,MATCH(AD$2,Inputs!$K$4:$AJ$4,0)))+SUMPRODUCT((Inputs!$C$5:$C$200=$B56)*Inputs!$D$5:$D$200*(((Inputs!$G$5:$G$200="moeda")+(Inputs!$G$5:$G$200="acoes"))*Inputs!$B$1+((Inputs!$G$5:$G$200&lt;&gt;"moeda")*(Inputs!$G$5:$G$200&lt;&gt;"acoes")))*INDEX(Inputs!$K$5:$AJ$200,0,MATCH(AD$2,Inputs!$K$4:$AJ$4,0)))+SUMPRODUCT((Inputs!$E$5:$E$200=$B56)*Inputs!$F$5:$F$200*(((Inputs!$G$5:$G$200="moeda")+(Inputs!$G$5:$G$200="acoes"))*Inputs!$B$1+((Inputs!$G$5:$G$200&lt;&gt;"moeda")*(Inputs!$G$5:$G$200&lt;&gt;"acoes")))*INDEX(Inputs!$K$5:$AJ$200,0,MATCH(AD$2,Inputs!$K$4:$AJ$4,0)))))</f>
        <v>#N/A</v>
      </c>
      <c r="AE56" s="262" t="e">
        <f>IF(ISNA(MATCH(AE$2,Inputs!$K$4:$AJ$4,0)),NA(),IF(SUMPRODUCT((Inputs!$A$5:$A$200=$B56)*ISNUMBER(INDEX(Inputs!$K$5:$AJ$200,0,MATCH(AE$2,Inputs!$K$4:$AJ$4,0))))+SUMPRODUCT((Inputs!$C$5:$C$200=$B56)*ISNUMBER(INDEX(Inputs!$K$5:$AJ$200,0,MATCH(AE$2,Inputs!$K$4:$AJ$4,0))))+SUMPRODUCT((Inputs!$E$5:$E$200=$B56)*ISNUMBER(INDEX(Inputs!$K$5:$AJ$200,0,MATCH(AE$2,Inputs!$K$4:$AJ$4,0))))=0,NA(),SUMPRODUCT((Inputs!$A$5:$A$200=$B56)*Inputs!$B$5:$B$200*(((Inputs!$G$5:$G$200="moeda")+(Inputs!$G$5:$G$200="acoes"))*Inputs!$B$1+((Inputs!$G$5:$G$200&lt;&gt;"moeda")*(Inputs!$G$5:$G$200&lt;&gt;"acoes")))*INDEX(Inputs!$K$5:$AJ$200,0,MATCH(AE$2,Inputs!$K$4:$AJ$4,0)))+SUMPRODUCT((Inputs!$C$5:$C$200=$B56)*Inputs!$D$5:$D$200*(((Inputs!$G$5:$G$200="moeda")+(Inputs!$G$5:$G$200="acoes"))*Inputs!$B$1+((Inputs!$G$5:$G$200&lt;&gt;"moeda")*(Inputs!$G$5:$G$200&lt;&gt;"acoes")))*INDEX(Inputs!$K$5:$AJ$200,0,MATCH(AE$2,Inputs!$K$4:$AJ$4,0)))+SUMPRODUCT((Inputs!$E$5:$E$200=$B56)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6" s="262" t="e">
        <f>IF(ISNA(MATCH(AF$2,Inputs!$K$4:$AJ$4,0)),NA(),IF(SUMPRODUCT((Inputs!$A$5:$A$200=$B56)*ISNUMBER(INDEX(Inputs!$K$5:$AJ$200,0,MATCH(AF$2,Inputs!$K$4:$AJ$4,0))))+SUMPRODUCT((Inputs!$C$5:$C$200=$B56)*ISNUMBER(INDEX(Inputs!$K$5:$AJ$200,0,MATCH(AF$2,Inputs!$K$4:$AJ$4,0))))+SUMPRODUCT((Inputs!$E$5:$E$200=$B56)*ISNUMBER(INDEX(Inputs!$K$5:$AJ$200,0,MATCH(AF$2,Inputs!$K$4:$AJ$4,0))))=0,NA(),SUMPRODUCT((Inputs!$A$5:$A$200=$B56)*Inputs!$B$5:$B$200*(((Inputs!$G$5:$G$200="moeda")+(Inputs!$G$5:$G$200="acoes"))*Inputs!$B$1+((Inputs!$G$5:$G$200&lt;&gt;"moeda")*(Inputs!$G$5:$G$200&lt;&gt;"acoes")))*INDEX(Inputs!$K$5:$AJ$200,0,MATCH(AF$2,Inputs!$K$4:$AJ$4,0)))+SUMPRODUCT((Inputs!$C$5:$C$200=$B56)*Inputs!$D$5:$D$200*(((Inputs!$G$5:$G$200="moeda")+(Inputs!$G$5:$G$200="acoes"))*Inputs!$B$1+((Inputs!$G$5:$G$200&lt;&gt;"moeda")*(Inputs!$G$5:$G$200&lt;&gt;"acoes")))*INDEX(Inputs!$K$5:$AJ$200,0,MATCH(AF$2,Inputs!$K$4:$AJ$4,0)))+SUMPRODUCT((Inputs!$E$5:$E$200=$B56)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6" s="263" t="e">
        <f>SUM(AC56:AF56)</f>
        <v>#N/A</v>
      </c>
      <c r="AH56" s="262">
        <f>IF(ISNA(MATCH(AH$2,Inputs!$K$4:$AJ$4,0)),NA(),IF(SUMPRODUCT((Inputs!$A$5:$A$200=$B56)*ISNUMBER(INDEX(Inputs!$K$5:$AJ$200,0,MATCH(AH$2,Inputs!$K$4:$AJ$4,0))))+SUMPRODUCT((Inputs!$C$5:$C$200=$B56)*ISNUMBER(INDEX(Inputs!$K$5:$AJ$200,0,MATCH(AH$2,Inputs!$K$4:$AJ$4,0))))+SUMPRODUCT((Inputs!$E$5:$E$200=$B56)*ISNUMBER(INDEX(Inputs!$K$5:$AJ$200,0,MATCH(AH$2,Inputs!$K$4:$AJ$4,0))))=0,NA(),SUMPRODUCT((Inputs!$A$5:$A$200=$B56)*Inputs!$B$5:$B$200*(((Inputs!$G$5:$G$200="moeda")+(Inputs!$G$5:$G$200="acoes"))*Inputs!$B$1+((Inputs!$G$5:$G$200&lt;&gt;"moeda")*(Inputs!$G$5:$G$200&lt;&gt;"acoes")))*INDEX(Inputs!$K$5:$AJ$200,0,MATCH(AH$2,Inputs!$K$4:$AJ$4,0)))+SUMPRODUCT((Inputs!$C$5:$C$200=$B56)*Inputs!$D$5:$D$200*(((Inputs!$G$5:$G$200="moeda")+(Inputs!$G$5:$G$200="acoes"))*Inputs!$B$1+((Inputs!$G$5:$G$200&lt;&gt;"moeda")*(Inputs!$G$5:$G$200&lt;&gt;"acoes")))*INDEX(Inputs!$K$5:$AJ$200,0,MATCH(AH$2,Inputs!$K$4:$AJ$4,0)))+SUMPRODUCT((Inputs!$E$5:$E$200=$B56)*Inputs!$F$5:$F$200*(((Inputs!$G$5:$G$200="moeda")+(Inputs!$G$5:$G$200="acoes"))*Inputs!$B$1+((Inputs!$G$5:$G$200&lt;&gt;"moeda")*(Inputs!$G$5:$G$200&lt;&gt;"acoes")))*INDEX(Inputs!$K$5:$AJ$200,0,MATCH(AH$2,Inputs!$K$4:$AJ$4,0)))))</f>
        <v>7.075</v>
      </c>
      <c r="AI56" s="262">
        <f>IF(ISNA(MATCH(AI$2,Inputs!$K$4:$AJ$4,0)),NA(),IF(SUMPRODUCT((Inputs!$A$5:$A$200=$B56)*ISNUMBER(INDEX(Inputs!$K$5:$AJ$200,0,MATCH(AI$2,Inputs!$K$4:$AJ$4,0))))+SUMPRODUCT((Inputs!$C$5:$C$200=$B56)*ISNUMBER(INDEX(Inputs!$K$5:$AJ$200,0,MATCH(AI$2,Inputs!$K$4:$AJ$4,0))))+SUMPRODUCT((Inputs!$E$5:$E$200=$B56)*ISNUMBER(INDEX(Inputs!$K$5:$AJ$200,0,MATCH(AI$2,Inputs!$K$4:$AJ$4,0))))=0,NA(),SUMPRODUCT((Inputs!$A$5:$A$200=$B56)*Inputs!$B$5:$B$200*(((Inputs!$G$5:$G$200="moeda")+(Inputs!$G$5:$G$200="acoes"))*Inputs!$B$1+((Inputs!$G$5:$G$200&lt;&gt;"moeda")*(Inputs!$G$5:$G$200&lt;&gt;"acoes")))*INDEX(Inputs!$K$5:$AJ$200,0,MATCH(AI$2,Inputs!$K$4:$AJ$4,0)))+SUMPRODUCT((Inputs!$C$5:$C$200=$B56)*Inputs!$D$5:$D$200*(((Inputs!$G$5:$G$200="moeda")+(Inputs!$G$5:$G$200="acoes"))*Inputs!$B$1+((Inputs!$G$5:$G$200&lt;&gt;"moeda")*(Inputs!$G$5:$G$200&lt;&gt;"acoes")))*INDEX(Inputs!$K$5:$AJ$200,0,MATCH(AI$2,Inputs!$K$4:$AJ$4,0)))+SUMPRODUCT((Inputs!$E$5:$E$200=$B56)*Inputs!$F$5:$F$200*(((Inputs!$G$5:$G$200="moeda")+(Inputs!$G$5:$G$200="acoes"))*Inputs!$B$1+((Inputs!$G$5:$G$200&lt;&gt;"moeda")*(Inputs!$G$5:$G$200&lt;&gt;"acoes")))*INDEX(Inputs!$K$5:$AJ$200,0,MATCH(AI$2,Inputs!$K$4:$AJ$4,0)))))</f>
        <v>6.106</v>
      </c>
      <c r="AJ56" s="262">
        <f>IF(ISNA(MATCH(AJ$2,Inputs!$K$4:$AJ$4,0)),NA(),IF(SUMPRODUCT((Inputs!$A$5:$A$200=$B56)*ISNUMBER(INDEX(Inputs!$K$5:$AJ$200,0,MATCH(AJ$2,Inputs!$K$4:$AJ$4,0))))+SUMPRODUCT((Inputs!$C$5:$C$200=$B56)*ISNUMBER(INDEX(Inputs!$K$5:$AJ$200,0,MATCH(AJ$2,Inputs!$K$4:$AJ$4,0))))+SUMPRODUCT((Inputs!$E$5:$E$200=$B56)*ISNUMBER(INDEX(Inputs!$K$5:$AJ$200,0,MATCH(AJ$2,Inputs!$K$4:$AJ$4,0))))=0,NA(),SUMPRODUCT((Inputs!$A$5:$A$200=$B56)*Inputs!$B$5:$B$200*(((Inputs!$G$5:$G$200="moeda")+(Inputs!$G$5:$G$200="acoes"))*Inputs!$B$1+((Inputs!$G$5:$G$200&lt;&gt;"moeda")*(Inputs!$G$5:$G$200&lt;&gt;"acoes")))*INDEX(Inputs!$K$5:$AJ$200,0,MATCH(AJ$2,Inputs!$K$4:$AJ$4,0)))+SUMPRODUCT((Inputs!$C$5:$C$200=$B56)*Inputs!$D$5:$D$200*(((Inputs!$G$5:$G$200="moeda")+(Inputs!$G$5:$G$200="acoes"))*Inputs!$B$1+((Inputs!$G$5:$G$200&lt;&gt;"moeda")*(Inputs!$G$5:$G$200&lt;&gt;"acoes")))*INDEX(Inputs!$K$5:$AJ$200,0,MATCH(AJ$2,Inputs!$K$4:$AJ$4,0)))+SUMPRODUCT((Inputs!$E$5:$E$200=$B56)*Inputs!$F$5:$F$200*(((Inputs!$G$5:$G$200="moeda")+(Inputs!$G$5:$G$200="acoes"))*Inputs!$B$1+((Inputs!$G$5:$G$200&lt;&gt;"moeda")*(Inputs!$G$5:$G$200&lt;&gt;"acoes")))*INDEX(Inputs!$K$5:$AJ$200,0,MATCH(AJ$2,Inputs!$K$4:$AJ$4,0)))))</f>
        <v>3.915</v>
      </c>
      <c r="AK56" s="262">
        <f>IF(ISNA(MATCH(AK$2,Inputs!$K$4:$AJ$4,0)),NA(),IF(SUMPRODUCT((Inputs!$A$5:$A$200=$B56)*ISNUMBER(INDEX(Inputs!$K$5:$AJ$200,0,MATCH(AK$2,Inputs!$K$4:$AJ$4,0))))+SUMPRODUCT((Inputs!$C$5:$C$200=$B56)*ISNUMBER(INDEX(Inputs!$K$5:$AJ$200,0,MATCH(AK$2,Inputs!$K$4:$AJ$4,0))))+SUMPRODUCT((Inputs!$E$5:$E$200=$B56)*ISNUMBER(INDEX(Inputs!$K$5:$AJ$200,0,MATCH(AK$2,Inputs!$K$4:$AJ$4,0))))=0,NA(),SUMPRODUCT((Inputs!$A$5:$A$200=$B56)*Inputs!$B$5:$B$200*(((Inputs!$G$5:$G$200="moeda")+(Inputs!$G$5:$G$200="acoes"))*Inputs!$B$1+((Inputs!$G$5:$G$200&lt;&gt;"moeda")*(Inputs!$G$5:$G$200&lt;&gt;"acoes")))*INDEX(Inputs!$K$5:$AJ$200,0,MATCH(AK$2,Inputs!$K$4:$AJ$4,0)))+SUMPRODUCT((Inputs!$C$5:$C$200=$B56)*Inputs!$D$5:$D$200*(((Inputs!$G$5:$G$200="moeda")+(Inputs!$G$5:$G$200="acoes"))*Inputs!$B$1+((Inputs!$G$5:$G$200&lt;&gt;"moeda")*(Inputs!$G$5:$G$200&lt;&gt;"acoes")))*INDEX(Inputs!$K$5:$AJ$200,0,MATCH(AK$2,Inputs!$K$4:$AJ$4,0)))+SUMPRODUCT((Inputs!$E$5:$E$200=$B56)*Inputs!$F$5:$F$200*(((Inputs!$G$5:$G$200="moeda")+(Inputs!$G$5:$G$200="acoes"))*Inputs!$B$1+((Inputs!$G$5:$G$200&lt;&gt;"moeda")*(Inputs!$G$5:$G$200&lt;&gt;"acoes")))*INDEX(Inputs!$K$5:$AJ$200,0,MATCH(AK$2,Inputs!$K$4:$AJ$4,0)))))</f>
        <v>5.723</v>
      </c>
      <c r="AL56" s="263">
        <f>SUM(AH56:AK56)</f>
        <v>22.819</v>
      </c>
    </row>
    <row r="57">
      <c r="B57" s="46" t="n">
        <v>49</v>
      </c>
      <c r="C57" s="29" t="inlineStr">
        <is>
          <t>dos quais: receita de creditos de carbono (R$ mil; 2025-26 arredondado em R$ mi no release; 4T20 e 1T24 nao divulgados)</t>
        </is>
      </c>
      <c r="D57" s="262">
        <f>IF(ISNA(MATCH(D$2,Inputs!$K$4:$AJ$4,0)),NA(),IF(SUMPRODUCT((Inputs!$A$5:$A$200=$B57)*ISNUMBER(INDEX(Inputs!$K$5:$AJ$200,0,MATCH(D$2,Inputs!$K$4:$AJ$4,0))))+SUMPRODUCT((Inputs!$C$5:$C$200=$B57)*ISNUMBER(INDEX(Inputs!$K$5:$AJ$200,0,MATCH(D$2,Inputs!$K$4:$AJ$4,0))))+SUMPRODUCT((Inputs!$E$5:$E$200=$B57)*ISNUMBER(INDEX(Inputs!$K$5:$AJ$200,0,MATCH(D$2,Inputs!$K$4:$AJ$4,0))))=0,NA(),SUMPRODUCT((Inputs!$A$5:$A$200=$B57)*Inputs!$B$5:$B$200*(((Inputs!$G$5:$G$200="moeda")+(Inputs!$G$5:$G$200="acoes"))*Inputs!$B$1+((Inputs!$G$5:$G$200&lt;&gt;"moeda")*(Inputs!$G$5:$G$200&lt;&gt;"acoes")))*INDEX(Inputs!$K$5:$AJ$200,0,MATCH(D$2,Inputs!$K$4:$AJ$4,0)))+SUMPRODUCT((Inputs!$C$5:$C$200=$B57)*Inputs!$D$5:$D$200*(((Inputs!$G$5:$G$200="moeda")+(Inputs!$G$5:$G$200="acoes"))*Inputs!$B$1+((Inputs!$G$5:$G$200&lt;&gt;"moeda")*(Inputs!$G$5:$G$200&lt;&gt;"acoes")))*INDEX(Inputs!$K$5:$AJ$200,0,MATCH(D$2,Inputs!$K$4:$AJ$4,0)))+SUMPRODUCT((Inputs!$E$5:$E$200=$B57)*Inputs!$F$5:$F$200*(((Inputs!$G$5:$G$200="moeda")+(Inputs!$G$5:$G$200="acoes"))*Inputs!$B$1+((Inputs!$G$5:$G$200&lt;&gt;"moeda")*(Inputs!$G$5:$G$200&lt;&gt;"acoes")))*INDEX(Inputs!$K$5:$AJ$200,0,MATCH(D$2,Inputs!$K$4:$AJ$4,0)))))</f>
        <v>0</v>
      </c>
      <c r="E57" s="262">
        <f>IF(ISNA(MATCH(E$2,Inputs!$K$4:$AJ$4,0)),NA(),IF(SUMPRODUCT((Inputs!$A$5:$A$200=$B57)*ISNUMBER(INDEX(Inputs!$K$5:$AJ$200,0,MATCH(E$2,Inputs!$K$4:$AJ$4,0))))+SUMPRODUCT((Inputs!$C$5:$C$200=$B57)*ISNUMBER(INDEX(Inputs!$K$5:$AJ$200,0,MATCH(E$2,Inputs!$K$4:$AJ$4,0))))+SUMPRODUCT((Inputs!$E$5:$E$200=$B57)*ISNUMBER(INDEX(Inputs!$K$5:$AJ$200,0,MATCH(E$2,Inputs!$K$4:$AJ$4,0))))=0,NA(),SUMPRODUCT((Inputs!$A$5:$A$200=$B57)*Inputs!$B$5:$B$200*(((Inputs!$G$5:$G$200="moeda")+(Inputs!$G$5:$G$200="acoes"))*Inputs!$B$1+((Inputs!$G$5:$G$200&lt;&gt;"moeda")*(Inputs!$G$5:$G$200&lt;&gt;"acoes")))*INDEX(Inputs!$K$5:$AJ$200,0,MATCH(E$2,Inputs!$K$4:$AJ$4,0)))+SUMPRODUCT((Inputs!$C$5:$C$200=$B57)*Inputs!$D$5:$D$200*(((Inputs!$G$5:$G$200="moeda")+(Inputs!$G$5:$G$200="acoes"))*Inputs!$B$1+((Inputs!$G$5:$G$200&lt;&gt;"moeda")*(Inputs!$G$5:$G$200&lt;&gt;"acoes")))*INDEX(Inputs!$K$5:$AJ$200,0,MATCH(E$2,Inputs!$K$4:$AJ$4,0)))+SUMPRODUCT((Inputs!$E$5:$E$200=$B57)*Inputs!$F$5:$F$200*(((Inputs!$G$5:$G$200="moeda")+(Inputs!$G$5:$G$200="acoes"))*Inputs!$B$1+((Inputs!$G$5:$G$200&lt;&gt;"moeda")*(Inputs!$G$5:$G$200&lt;&gt;"acoes")))*INDEX(Inputs!$K$5:$AJ$200,0,MATCH(E$2,Inputs!$K$4:$AJ$4,0)))))</f>
        <v>0</v>
      </c>
      <c r="F57" s="262">
        <f>IF(ISNA(MATCH(F$2,Inputs!$K$4:$AJ$4,0)),NA(),IF(SUMPRODUCT((Inputs!$A$5:$A$200=$B57)*ISNUMBER(INDEX(Inputs!$K$5:$AJ$200,0,MATCH(F$2,Inputs!$K$4:$AJ$4,0))))+SUMPRODUCT((Inputs!$C$5:$C$200=$B57)*ISNUMBER(INDEX(Inputs!$K$5:$AJ$200,0,MATCH(F$2,Inputs!$K$4:$AJ$4,0))))+SUMPRODUCT((Inputs!$E$5:$E$200=$B57)*ISNUMBER(INDEX(Inputs!$K$5:$AJ$200,0,MATCH(F$2,Inputs!$K$4:$AJ$4,0))))=0,NA(),SUMPRODUCT((Inputs!$A$5:$A$200=$B57)*Inputs!$B$5:$B$200*(((Inputs!$G$5:$G$200="moeda")+(Inputs!$G$5:$G$200="acoes"))*Inputs!$B$1+((Inputs!$G$5:$G$200&lt;&gt;"moeda")*(Inputs!$G$5:$G$200&lt;&gt;"acoes")))*INDEX(Inputs!$K$5:$AJ$200,0,MATCH(F$2,Inputs!$K$4:$AJ$4,0)))+SUMPRODUCT((Inputs!$C$5:$C$200=$B57)*Inputs!$D$5:$D$200*(((Inputs!$G$5:$G$200="moeda")+(Inputs!$G$5:$G$200="acoes"))*Inputs!$B$1+((Inputs!$G$5:$G$200&lt;&gt;"moeda")*(Inputs!$G$5:$G$200&lt;&gt;"acoes")))*INDEX(Inputs!$K$5:$AJ$200,0,MATCH(F$2,Inputs!$K$4:$AJ$4,0)))+SUMPRODUCT((Inputs!$E$5:$E$200=$B57)*Inputs!$F$5:$F$200*(((Inputs!$G$5:$G$200="moeda")+(Inputs!$G$5:$G$200="acoes"))*Inputs!$B$1+((Inputs!$G$5:$G$200&lt;&gt;"moeda")*(Inputs!$G$5:$G$200&lt;&gt;"acoes")))*INDEX(Inputs!$K$5:$AJ$200,0,MATCH(F$2,Inputs!$K$4:$AJ$4,0)))))</f>
        <v>1.687</v>
      </c>
      <c r="G57" s="262">
        <f>IF(ISNA(MATCH(G$2,Inputs!$K$4:$AJ$4,0)),NA(),IF(SUMPRODUCT((Inputs!$A$5:$A$200=$B57)*ISNUMBER(INDEX(Inputs!$K$5:$AJ$200,0,MATCH(G$2,Inputs!$K$4:$AJ$4,0))))+SUMPRODUCT((Inputs!$C$5:$C$200=$B57)*ISNUMBER(INDEX(Inputs!$K$5:$AJ$200,0,MATCH(G$2,Inputs!$K$4:$AJ$4,0))))+SUMPRODUCT((Inputs!$E$5:$E$200=$B57)*ISNUMBER(INDEX(Inputs!$K$5:$AJ$200,0,MATCH(G$2,Inputs!$K$4:$AJ$4,0))))=0,NA(),SUMPRODUCT((Inputs!$A$5:$A$200=$B57)*Inputs!$B$5:$B$200*(((Inputs!$G$5:$G$200="moeda")+(Inputs!$G$5:$G$200="acoes"))*Inputs!$B$1+((Inputs!$G$5:$G$200&lt;&gt;"moeda")*(Inputs!$G$5:$G$200&lt;&gt;"acoes")))*INDEX(Inputs!$K$5:$AJ$200,0,MATCH(G$2,Inputs!$K$4:$AJ$4,0)))+SUMPRODUCT((Inputs!$C$5:$C$200=$B57)*Inputs!$D$5:$D$200*(((Inputs!$G$5:$G$200="moeda")+(Inputs!$G$5:$G$200="acoes"))*Inputs!$B$1+((Inputs!$G$5:$G$200&lt;&gt;"moeda")*(Inputs!$G$5:$G$200&lt;&gt;"acoes")))*INDEX(Inputs!$K$5:$AJ$200,0,MATCH(G$2,Inputs!$K$4:$AJ$4,0)))+SUMPRODUCT((Inputs!$E$5:$E$200=$B57)*Inputs!$F$5:$F$200*(((Inputs!$G$5:$G$200="moeda")+(Inputs!$G$5:$G$200="acoes"))*Inputs!$B$1+((Inputs!$G$5:$G$200&lt;&gt;"moeda")*(Inputs!$G$5:$G$200&lt;&gt;"acoes")))*INDEX(Inputs!$K$5:$AJ$200,0,MATCH(G$2,Inputs!$K$4:$AJ$4,0)))))</f>
        <v>42.103</v>
      </c>
      <c r="H57" s="263">
        <f>SUM(D57:G57)</f>
        <v>43.79</v>
      </c>
      <c r="I57" s="262">
        <f>IF(ISNA(MATCH(I$2,Inputs!$K$4:$AJ$4,0)),NA(),IF(SUMPRODUCT((Inputs!$A$5:$A$200=$B57)*ISNUMBER(INDEX(Inputs!$K$5:$AJ$200,0,MATCH(I$2,Inputs!$K$4:$AJ$4,0))))+SUMPRODUCT((Inputs!$C$5:$C$200=$B57)*ISNUMBER(INDEX(Inputs!$K$5:$AJ$200,0,MATCH(I$2,Inputs!$K$4:$AJ$4,0))))+SUMPRODUCT((Inputs!$E$5:$E$200=$B57)*ISNUMBER(INDEX(Inputs!$K$5:$AJ$200,0,MATCH(I$2,Inputs!$K$4:$AJ$4,0))))=0,NA(),SUMPRODUCT((Inputs!$A$5:$A$200=$B57)*Inputs!$B$5:$B$200*(((Inputs!$G$5:$G$200="moeda")+(Inputs!$G$5:$G$200="acoes"))*Inputs!$B$1+((Inputs!$G$5:$G$200&lt;&gt;"moeda")*(Inputs!$G$5:$G$200&lt;&gt;"acoes")))*INDEX(Inputs!$K$5:$AJ$200,0,MATCH(I$2,Inputs!$K$4:$AJ$4,0)))+SUMPRODUCT((Inputs!$C$5:$C$200=$B57)*Inputs!$D$5:$D$200*(((Inputs!$G$5:$G$200="moeda")+(Inputs!$G$5:$G$200="acoes"))*Inputs!$B$1+((Inputs!$G$5:$G$200&lt;&gt;"moeda")*(Inputs!$G$5:$G$200&lt;&gt;"acoes")))*INDEX(Inputs!$K$5:$AJ$200,0,MATCH(I$2,Inputs!$K$4:$AJ$4,0)))+SUMPRODUCT((Inputs!$E$5:$E$200=$B57)*Inputs!$F$5:$F$200*(((Inputs!$G$5:$G$200="moeda")+(Inputs!$G$5:$G$200="acoes"))*Inputs!$B$1+((Inputs!$G$5:$G$200&lt;&gt;"moeda")*(Inputs!$G$5:$G$200&lt;&gt;"acoes")))*INDEX(Inputs!$K$5:$AJ$200,0,MATCH(I$2,Inputs!$K$4:$AJ$4,0)))))</f>
        <v>0</v>
      </c>
      <c r="J57" s="262">
        <f>IF(ISNA(MATCH(J$2,Inputs!$K$4:$AJ$4,0)),NA(),IF(SUMPRODUCT((Inputs!$A$5:$A$200=$B57)*ISNUMBER(INDEX(Inputs!$K$5:$AJ$200,0,MATCH(J$2,Inputs!$K$4:$AJ$4,0))))+SUMPRODUCT((Inputs!$C$5:$C$200=$B57)*ISNUMBER(INDEX(Inputs!$K$5:$AJ$200,0,MATCH(J$2,Inputs!$K$4:$AJ$4,0))))+SUMPRODUCT((Inputs!$E$5:$E$200=$B57)*ISNUMBER(INDEX(Inputs!$K$5:$AJ$200,0,MATCH(J$2,Inputs!$K$4:$AJ$4,0))))=0,NA(),SUMPRODUCT((Inputs!$A$5:$A$200=$B57)*Inputs!$B$5:$B$200*(((Inputs!$G$5:$G$200="moeda")+(Inputs!$G$5:$G$200="acoes"))*Inputs!$B$1+((Inputs!$G$5:$G$200&lt;&gt;"moeda")*(Inputs!$G$5:$G$200&lt;&gt;"acoes")))*INDEX(Inputs!$K$5:$AJ$200,0,MATCH(J$2,Inputs!$K$4:$AJ$4,0)))+SUMPRODUCT((Inputs!$C$5:$C$200=$B57)*Inputs!$D$5:$D$200*(((Inputs!$G$5:$G$200="moeda")+(Inputs!$G$5:$G$200="acoes"))*Inputs!$B$1+((Inputs!$G$5:$G$200&lt;&gt;"moeda")*(Inputs!$G$5:$G$200&lt;&gt;"acoes")))*INDEX(Inputs!$K$5:$AJ$200,0,MATCH(J$2,Inputs!$K$4:$AJ$4,0)))+SUMPRODUCT((Inputs!$E$5:$E$200=$B57)*Inputs!$F$5:$F$200*(((Inputs!$G$5:$G$200="moeda")+(Inputs!$G$5:$G$200="acoes"))*Inputs!$B$1+((Inputs!$G$5:$G$200&lt;&gt;"moeda")*(Inputs!$G$5:$G$200&lt;&gt;"acoes")))*INDEX(Inputs!$K$5:$AJ$200,0,MATCH(J$2,Inputs!$K$4:$AJ$4,0)))))</f>
        <v>0</v>
      </c>
      <c r="K57" s="262">
        <f>IF(ISNA(MATCH(K$2,Inputs!$K$4:$AJ$4,0)),NA(),IF(SUMPRODUCT((Inputs!$A$5:$A$200=$B57)*ISNUMBER(INDEX(Inputs!$K$5:$AJ$200,0,MATCH(K$2,Inputs!$K$4:$AJ$4,0))))+SUMPRODUCT((Inputs!$C$5:$C$200=$B57)*ISNUMBER(INDEX(Inputs!$K$5:$AJ$200,0,MATCH(K$2,Inputs!$K$4:$AJ$4,0))))+SUMPRODUCT((Inputs!$E$5:$E$200=$B57)*ISNUMBER(INDEX(Inputs!$K$5:$AJ$200,0,MATCH(K$2,Inputs!$K$4:$AJ$4,0))))=0,NA(),SUMPRODUCT((Inputs!$A$5:$A$200=$B57)*Inputs!$B$5:$B$200*(((Inputs!$G$5:$G$200="moeda")+(Inputs!$G$5:$G$200="acoes"))*Inputs!$B$1+((Inputs!$G$5:$G$200&lt;&gt;"moeda")*(Inputs!$G$5:$G$200&lt;&gt;"acoes")))*INDEX(Inputs!$K$5:$AJ$200,0,MATCH(K$2,Inputs!$K$4:$AJ$4,0)))+SUMPRODUCT((Inputs!$C$5:$C$200=$B57)*Inputs!$D$5:$D$200*(((Inputs!$G$5:$G$200="moeda")+(Inputs!$G$5:$G$200="acoes"))*Inputs!$B$1+((Inputs!$G$5:$G$200&lt;&gt;"moeda")*(Inputs!$G$5:$G$200&lt;&gt;"acoes")))*INDEX(Inputs!$K$5:$AJ$200,0,MATCH(K$2,Inputs!$K$4:$AJ$4,0)))+SUMPRODUCT((Inputs!$E$5:$E$200=$B57)*Inputs!$F$5:$F$200*(((Inputs!$G$5:$G$200="moeda")+(Inputs!$G$5:$G$200="acoes"))*Inputs!$B$1+((Inputs!$G$5:$G$200&lt;&gt;"moeda")*(Inputs!$G$5:$G$200&lt;&gt;"acoes")))*INDEX(Inputs!$K$5:$AJ$200,0,MATCH(K$2,Inputs!$K$4:$AJ$4,0)))))</f>
        <v>0</v>
      </c>
      <c r="L57" s="262">
        <f>IF(ISNA(MATCH(L$2,Inputs!$K$4:$AJ$4,0)),NA(),IF(SUMPRODUCT((Inputs!$A$5:$A$200=$B57)*ISNUMBER(INDEX(Inputs!$K$5:$AJ$200,0,MATCH(L$2,Inputs!$K$4:$AJ$4,0))))+SUMPRODUCT((Inputs!$C$5:$C$200=$B57)*ISNUMBER(INDEX(Inputs!$K$5:$AJ$200,0,MATCH(L$2,Inputs!$K$4:$AJ$4,0))))+SUMPRODUCT((Inputs!$E$5:$E$200=$B57)*ISNUMBER(INDEX(Inputs!$K$5:$AJ$200,0,MATCH(L$2,Inputs!$K$4:$AJ$4,0))))=0,NA(),SUMPRODUCT((Inputs!$A$5:$A$200=$B57)*Inputs!$B$5:$B$200*(((Inputs!$G$5:$G$200="moeda")+(Inputs!$G$5:$G$200="acoes"))*Inputs!$B$1+((Inputs!$G$5:$G$200&lt;&gt;"moeda")*(Inputs!$G$5:$G$200&lt;&gt;"acoes")))*INDEX(Inputs!$K$5:$AJ$200,0,MATCH(L$2,Inputs!$K$4:$AJ$4,0)))+SUMPRODUCT((Inputs!$C$5:$C$200=$B57)*Inputs!$D$5:$D$200*(((Inputs!$G$5:$G$200="moeda")+(Inputs!$G$5:$G$200="acoes"))*Inputs!$B$1+((Inputs!$G$5:$G$200&lt;&gt;"moeda")*(Inputs!$G$5:$G$200&lt;&gt;"acoes")))*INDEX(Inputs!$K$5:$AJ$200,0,MATCH(L$2,Inputs!$K$4:$AJ$4,0)))+SUMPRODUCT((Inputs!$E$5:$E$200=$B57)*Inputs!$F$5:$F$200*(((Inputs!$G$5:$G$200="moeda")+(Inputs!$G$5:$G$200="acoes"))*Inputs!$B$1+((Inputs!$G$5:$G$200&lt;&gt;"moeda")*(Inputs!$G$5:$G$200&lt;&gt;"acoes")))*INDEX(Inputs!$K$5:$AJ$200,0,MATCH(L$2,Inputs!$K$4:$AJ$4,0)))))</f>
        <v>0</v>
      </c>
      <c r="M57" s="263">
        <f>SUM(I57:L57)</f>
        <v>0</v>
      </c>
      <c r="N57" s="262">
        <f>IF(ISNA(MATCH(N$2,Inputs!$K$4:$AJ$4,0)),NA(),IF(SUMPRODUCT((Inputs!$A$5:$A$200=$B57)*ISNUMBER(INDEX(Inputs!$K$5:$AJ$200,0,MATCH(N$2,Inputs!$K$4:$AJ$4,0))))+SUMPRODUCT((Inputs!$C$5:$C$200=$B57)*ISNUMBER(INDEX(Inputs!$K$5:$AJ$200,0,MATCH(N$2,Inputs!$K$4:$AJ$4,0))))+SUMPRODUCT((Inputs!$E$5:$E$200=$B57)*ISNUMBER(INDEX(Inputs!$K$5:$AJ$200,0,MATCH(N$2,Inputs!$K$4:$AJ$4,0))))=0,NA(),SUMPRODUCT((Inputs!$A$5:$A$200=$B57)*Inputs!$B$5:$B$200*(((Inputs!$G$5:$G$200="moeda")+(Inputs!$G$5:$G$200="acoes"))*Inputs!$B$1+((Inputs!$G$5:$G$200&lt;&gt;"moeda")*(Inputs!$G$5:$G$200&lt;&gt;"acoes")))*INDEX(Inputs!$K$5:$AJ$200,0,MATCH(N$2,Inputs!$K$4:$AJ$4,0)))+SUMPRODUCT((Inputs!$C$5:$C$200=$B57)*Inputs!$D$5:$D$200*(((Inputs!$G$5:$G$200="moeda")+(Inputs!$G$5:$G$200="acoes"))*Inputs!$B$1+((Inputs!$G$5:$G$200&lt;&gt;"moeda")*(Inputs!$G$5:$G$200&lt;&gt;"acoes")))*INDEX(Inputs!$K$5:$AJ$200,0,MATCH(N$2,Inputs!$K$4:$AJ$4,0)))+SUMPRODUCT((Inputs!$E$5:$E$200=$B57)*Inputs!$F$5:$F$200*(((Inputs!$G$5:$G$200="moeda")+(Inputs!$G$5:$G$200="acoes"))*Inputs!$B$1+((Inputs!$G$5:$G$200&lt;&gt;"moeda")*(Inputs!$G$5:$G$200&lt;&gt;"acoes")))*INDEX(Inputs!$K$5:$AJ$200,0,MATCH(N$2,Inputs!$K$4:$AJ$4,0)))))</f>
        <v>0</v>
      </c>
      <c r="O57" s="262">
        <f>IF(ISNA(MATCH(O$2,Inputs!$K$4:$AJ$4,0)),NA(),IF(SUMPRODUCT((Inputs!$A$5:$A$200=$B57)*ISNUMBER(INDEX(Inputs!$K$5:$AJ$200,0,MATCH(O$2,Inputs!$K$4:$AJ$4,0))))+SUMPRODUCT((Inputs!$C$5:$C$200=$B57)*ISNUMBER(INDEX(Inputs!$K$5:$AJ$200,0,MATCH(O$2,Inputs!$K$4:$AJ$4,0))))+SUMPRODUCT((Inputs!$E$5:$E$200=$B57)*ISNUMBER(INDEX(Inputs!$K$5:$AJ$200,0,MATCH(O$2,Inputs!$K$4:$AJ$4,0))))=0,NA(),SUMPRODUCT((Inputs!$A$5:$A$200=$B57)*Inputs!$B$5:$B$200*(((Inputs!$G$5:$G$200="moeda")+(Inputs!$G$5:$G$200="acoes"))*Inputs!$B$1+((Inputs!$G$5:$G$200&lt;&gt;"moeda")*(Inputs!$G$5:$G$200&lt;&gt;"acoes")))*INDEX(Inputs!$K$5:$AJ$200,0,MATCH(O$2,Inputs!$K$4:$AJ$4,0)))+SUMPRODUCT((Inputs!$C$5:$C$200=$B57)*Inputs!$D$5:$D$200*(((Inputs!$G$5:$G$200="moeda")+(Inputs!$G$5:$G$200="acoes"))*Inputs!$B$1+((Inputs!$G$5:$G$200&lt;&gt;"moeda")*(Inputs!$G$5:$G$200&lt;&gt;"acoes")))*INDEX(Inputs!$K$5:$AJ$200,0,MATCH(O$2,Inputs!$K$4:$AJ$4,0)))+SUMPRODUCT((Inputs!$E$5:$E$200=$B57)*Inputs!$F$5:$F$200*(((Inputs!$G$5:$G$200="moeda")+(Inputs!$G$5:$G$200="acoes"))*Inputs!$B$1+((Inputs!$G$5:$G$200&lt;&gt;"moeda")*(Inputs!$G$5:$G$200&lt;&gt;"acoes")))*INDEX(Inputs!$K$5:$AJ$200,0,MATCH(O$2,Inputs!$K$4:$AJ$4,0)))))</f>
        <v>0</v>
      </c>
      <c r="P57" s="262">
        <f>IF(ISNA(MATCH(P$2,Inputs!$K$4:$AJ$4,0)),NA(),IF(SUMPRODUCT((Inputs!$A$5:$A$200=$B57)*ISNUMBER(INDEX(Inputs!$K$5:$AJ$200,0,MATCH(P$2,Inputs!$K$4:$AJ$4,0))))+SUMPRODUCT((Inputs!$C$5:$C$200=$B57)*ISNUMBER(INDEX(Inputs!$K$5:$AJ$200,0,MATCH(P$2,Inputs!$K$4:$AJ$4,0))))+SUMPRODUCT((Inputs!$E$5:$E$200=$B57)*ISNUMBER(INDEX(Inputs!$K$5:$AJ$200,0,MATCH(P$2,Inputs!$K$4:$AJ$4,0))))=0,NA(),SUMPRODUCT((Inputs!$A$5:$A$200=$B57)*Inputs!$B$5:$B$200*(((Inputs!$G$5:$G$200="moeda")+(Inputs!$G$5:$G$200="acoes"))*Inputs!$B$1+((Inputs!$G$5:$G$200&lt;&gt;"moeda")*(Inputs!$G$5:$G$200&lt;&gt;"acoes")))*INDEX(Inputs!$K$5:$AJ$200,0,MATCH(P$2,Inputs!$K$4:$AJ$4,0)))+SUMPRODUCT((Inputs!$C$5:$C$200=$B57)*Inputs!$D$5:$D$200*(((Inputs!$G$5:$G$200="moeda")+(Inputs!$G$5:$G$200="acoes"))*Inputs!$B$1+((Inputs!$G$5:$G$200&lt;&gt;"moeda")*(Inputs!$G$5:$G$200&lt;&gt;"acoes")))*INDEX(Inputs!$K$5:$AJ$200,0,MATCH(P$2,Inputs!$K$4:$AJ$4,0)))+SUMPRODUCT((Inputs!$E$5:$E$200=$B57)*Inputs!$F$5:$F$200*(((Inputs!$G$5:$G$200="moeda")+(Inputs!$G$5:$G$200="acoes"))*Inputs!$B$1+((Inputs!$G$5:$G$200&lt;&gt;"moeda")*(Inputs!$G$5:$G$200&lt;&gt;"acoes")))*INDEX(Inputs!$K$5:$AJ$200,0,MATCH(P$2,Inputs!$K$4:$AJ$4,0)))))</f>
        <v>0</v>
      </c>
      <c r="Q57" s="262">
        <f>IF(ISNA(MATCH(Q$2,Inputs!$K$4:$AJ$4,0)),NA(),IF(SUMPRODUCT((Inputs!$A$5:$A$200=$B57)*ISNUMBER(INDEX(Inputs!$K$5:$AJ$200,0,MATCH(Q$2,Inputs!$K$4:$AJ$4,0))))+SUMPRODUCT((Inputs!$C$5:$C$200=$B57)*ISNUMBER(INDEX(Inputs!$K$5:$AJ$200,0,MATCH(Q$2,Inputs!$K$4:$AJ$4,0))))+SUMPRODUCT((Inputs!$E$5:$E$200=$B57)*ISNUMBER(INDEX(Inputs!$K$5:$AJ$200,0,MATCH(Q$2,Inputs!$K$4:$AJ$4,0))))=0,NA(),SUMPRODUCT((Inputs!$A$5:$A$200=$B57)*Inputs!$B$5:$B$200*(((Inputs!$G$5:$G$200="moeda")+(Inputs!$G$5:$G$200="acoes"))*Inputs!$B$1+((Inputs!$G$5:$G$200&lt;&gt;"moeda")*(Inputs!$G$5:$G$200&lt;&gt;"acoes")))*INDEX(Inputs!$K$5:$AJ$200,0,MATCH(Q$2,Inputs!$K$4:$AJ$4,0)))+SUMPRODUCT((Inputs!$C$5:$C$200=$B57)*Inputs!$D$5:$D$200*(((Inputs!$G$5:$G$200="moeda")+(Inputs!$G$5:$G$200="acoes"))*Inputs!$B$1+((Inputs!$G$5:$G$200&lt;&gt;"moeda")*(Inputs!$G$5:$G$200&lt;&gt;"acoes")))*INDEX(Inputs!$K$5:$AJ$200,0,MATCH(Q$2,Inputs!$K$4:$AJ$4,0)))+SUMPRODUCT((Inputs!$E$5:$E$200=$B57)*Inputs!$F$5:$F$200*(((Inputs!$G$5:$G$200="moeda")+(Inputs!$G$5:$G$200="acoes"))*Inputs!$B$1+((Inputs!$G$5:$G$200&lt;&gt;"moeda")*(Inputs!$G$5:$G$200&lt;&gt;"acoes")))*INDEX(Inputs!$K$5:$AJ$200,0,MATCH(Q$2,Inputs!$K$4:$AJ$4,0)))))</f>
        <v>0</v>
      </c>
      <c r="R57" s="263">
        <f>SUM(N57:Q57)</f>
        <v>0</v>
      </c>
      <c r="S57" s="262" t="e">
        <f>IF(ISNA(MATCH(S$2,Inputs!$K$4:$AJ$4,0)),NA(),IF(SUMPRODUCT((Inputs!$A$5:$A$200=$B57)*ISNUMBER(INDEX(Inputs!$K$5:$AJ$200,0,MATCH(S$2,Inputs!$K$4:$AJ$4,0))))+SUMPRODUCT((Inputs!$C$5:$C$200=$B57)*ISNUMBER(INDEX(Inputs!$K$5:$AJ$200,0,MATCH(S$2,Inputs!$K$4:$AJ$4,0))))+SUMPRODUCT((Inputs!$E$5:$E$200=$B57)*ISNUMBER(INDEX(Inputs!$K$5:$AJ$200,0,MATCH(S$2,Inputs!$K$4:$AJ$4,0))))=0,NA(),SUMPRODUCT((Inputs!$A$5:$A$200=$B57)*Inputs!$B$5:$B$200*(((Inputs!$G$5:$G$200="moeda")+(Inputs!$G$5:$G$200="acoes"))*Inputs!$B$1+((Inputs!$G$5:$G$200&lt;&gt;"moeda")*(Inputs!$G$5:$G$200&lt;&gt;"acoes")))*INDEX(Inputs!$K$5:$AJ$200,0,MATCH(S$2,Inputs!$K$4:$AJ$4,0)))+SUMPRODUCT((Inputs!$C$5:$C$200=$B57)*Inputs!$D$5:$D$200*(((Inputs!$G$5:$G$200="moeda")+(Inputs!$G$5:$G$200="acoes"))*Inputs!$B$1+((Inputs!$G$5:$G$200&lt;&gt;"moeda")*(Inputs!$G$5:$G$200&lt;&gt;"acoes")))*INDEX(Inputs!$K$5:$AJ$200,0,MATCH(S$2,Inputs!$K$4:$AJ$4,0)))+SUMPRODUCT((Inputs!$E$5:$E$200=$B57)*Inputs!$F$5:$F$200*(((Inputs!$G$5:$G$200="moeda")+(Inputs!$G$5:$G$200="acoes"))*Inputs!$B$1+((Inputs!$G$5:$G$200&lt;&gt;"moeda")*(Inputs!$G$5:$G$200&lt;&gt;"acoes")))*INDEX(Inputs!$K$5:$AJ$200,0,MATCH(S$2,Inputs!$K$4:$AJ$4,0)))))</f>
        <v>#N/A</v>
      </c>
      <c r="T57" s="262">
        <f>IF(ISNA(MATCH(T$2,Inputs!$K$4:$AJ$4,0)),NA(),IF(SUMPRODUCT((Inputs!$A$5:$A$200=$B57)*ISNUMBER(INDEX(Inputs!$K$5:$AJ$200,0,MATCH(T$2,Inputs!$K$4:$AJ$4,0))))+SUMPRODUCT((Inputs!$C$5:$C$200=$B57)*ISNUMBER(INDEX(Inputs!$K$5:$AJ$200,0,MATCH(T$2,Inputs!$K$4:$AJ$4,0))))+SUMPRODUCT((Inputs!$E$5:$E$200=$B57)*ISNUMBER(INDEX(Inputs!$K$5:$AJ$200,0,MATCH(T$2,Inputs!$K$4:$AJ$4,0))))=0,NA(),SUMPRODUCT((Inputs!$A$5:$A$200=$B57)*Inputs!$B$5:$B$200*(((Inputs!$G$5:$G$200="moeda")+(Inputs!$G$5:$G$200="acoes"))*Inputs!$B$1+((Inputs!$G$5:$G$200&lt;&gt;"moeda")*(Inputs!$G$5:$G$200&lt;&gt;"acoes")))*INDEX(Inputs!$K$5:$AJ$200,0,MATCH(T$2,Inputs!$K$4:$AJ$4,0)))+SUMPRODUCT((Inputs!$C$5:$C$200=$B57)*Inputs!$D$5:$D$200*(((Inputs!$G$5:$G$200="moeda")+(Inputs!$G$5:$G$200="acoes"))*Inputs!$B$1+((Inputs!$G$5:$G$200&lt;&gt;"moeda")*(Inputs!$G$5:$G$200&lt;&gt;"acoes")))*INDEX(Inputs!$K$5:$AJ$200,0,MATCH(T$2,Inputs!$K$4:$AJ$4,0)))+SUMPRODUCT((Inputs!$E$5:$E$200=$B57)*Inputs!$F$5:$F$200*(((Inputs!$G$5:$G$200="moeda")+(Inputs!$G$5:$G$200="acoes"))*Inputs!$B$1+((Inputs!$G$5:$G$200&lt;&gt;"moeda")*(Inputs!$G$5:$G$200&lt;&gt;"acoes")))*INDEX(Inputs!$K$5:$AJ$200,0,MATCH(T$2,Inputs!$K$4:$AJ$4,0)))))</f>
        <v>0</v>
      </c>
      <c r="U57" s="262">
        <f>IF(ISNA(MATCH(U$2,Inputs!$K$4:$AJ$4,0)),NA(),IF(SUMPRODUCT((Inputs!$A$5:$A$200=$B57)*ISNUMBER(INDEX(Inputs!$K$5:$AJ$200,0,MATCH(U$2,Inputs!$K$4:$AJ$4,0))))+SUMPRODUCT((Inputs!$C$5:$C$200=$B57)*ISNUMBER(INDEX(Inputs!$K$5:$AJ$200,0,MATCH(U$2,Inputs!$K$4:$AJ$4,0))))+SUMPRODUCT((Inputs!$E$5:$E$200=$B57)*ISNUMBER(INDEX(Inputs!$K$5:$AJ$200,0,MATCH(U$2,Inputs!$K$4:$AJ$4,0))))=0,NA(),SUMPRODUCT((Inputs!$A$5:$A$200=$B57)*Inputs!$B$5:$B$200*(((Inputs!$G$5:$G$200="moeda")+(Inputs!$G$5:$G$200="acoes"))*Inputs!$B$1+((Inputs!$G$5:$G$200&lt;&gt;"moeda")*(Inputs!$G$5:$G$200&lt;&gt;"acoes")))*INDEX(Inputs!$K$5:$AJ$200,0,MATCH(U$2,Inputs!$K$4:$AJ$4,0)))+SUMPRODUCT((Inputs!$C$5:$C$200=$B57)*Inputs!$D$5:$D$200*(((Inputs!$G$5:$G$200="moeda")+(Inputs!$G$5:$G$200="acoes"))*Inputs!$B$1+((Inputs!$G$5:$G$200&lt;&gt;"moeda")*(Inputs!$G$5:$G$200&lt;&gt;"acoes")))*INDEX(Inputs!$K$5:$AJ$200,0,MATCH(U$2,Inputs!$K$4:$AJ$4,0)))+SUMPRODUCT((Inputs!$E$5:$E$200=$B57)*Inputs!$F$5:$F$200*(((Inputs!$G$5:$G$200="moeda")+(Inputs!$G$5:$G$200="acoes"))*Inputs!$B$1+((Inputs!$G$5:$G$200&lt;&gt;"moeda")*(Inputs!$G$5:$G$200&lt;&gt;"acoes")))*INDEX(Inputs!$K$5:$AJ$200,0,MATCH(U$2,Inputs!$K$4:$AJ$4,0)))))</f>
        <v>37.4</v>
      </c>
      <c r="V57" s="262">
        <f>IF(ISNA(MATCH(V$2,Inputs!$K$4:$AJ$4,0)),NA(),IF(SUMPRODUCT((Inputs!$A$5:$A$200=$B57)*ISNUMBER(INDEX(Inputs!$K$5:$AJ$200,0,MATCH(V$2,Inputs!$K$4:$AJ$4,0))))+SUMPRODUCT((Inputs!$C$5:$C$200=$B57)*ISNUMBER(INDEX(Inputs!$K$5:$AJ$200,0,MATCH(V$2,Inputs!$K$4:$AJ$4,0))))+SUMPRODUCT((Inputs!$E$5:$E$200=$B57)*ISNUMBER(INDEX(Inputs!$K$5:$AJ$200,0,MATCH(V$2,Inputs!$K$4:$AJ$4,0))))=0,NA(),SUMPRODUCT((Inputs!$A$5:$A$200=$B57)*Inputs!$B$5:$B$200*(((Inputs!$G$5:$G$200="moeda")+(Inputs!$G$5:$G$200="acoes"))*Inputs!$B$1+((Inputs!$G$5:$G$200&lt;&gt;"moeda")*(Inputs!$G$5:$G$200&lt;&gt;"acoes")))*INDEX(Inputs!$K$5:$AJ$200,0,MATCH(V$2,Inputs!$K$4:$AJ$4,0)))+SUMPRODUCT((Inputs!$C$5:$C$200=$B57)*Inputs!$D$5:$D$200*(((Inputs!$G$5:$G$200="moeda")+(Inputs!$G$5:$G$200="acoes"))*Inputs!$B$1+((Inputs!$G$5:$G$200&lt;&gt;"moeda")*(Inputs!$G$5:$G$200&lt;&gt;"acoes")))*INDEX(Inputs!$K$5:$AJ$200,0,MATCH(V$2,Inputs!$K$4:$AJ$4,0)))+SUMPRODUCT((Inputs!$E$5:$E$200=$B57)*Inputs!$F$5:$F$200*(((Inputs!$G$5:$G$200="moeda")+(Inputs!$G$5:$G$200="acoes"))*Inputs!$B$1+((Inputs!$G$5:$G$200&lt;&gt;"moeda")*(Inputs!$G$5:$G$200&lt;&gt;"acoes")))*INDEX(Inputs!$K$5:$AJ$200,0,MATCH(V$2,Inputs!$K$4:$AJ$4,0)))))</f>
        <v>0</v>
      </c>
      <c r="W57" s="263" t="e">
        <f>SUM(S57:V57)</f>
        <v>#N/A</v>
      </c>
      <c r="X57" s="262">
        <f>IF(ISNA(MATCH(X$2,Inputs!$K$4:$AJ$4,0)),NA(),IF(SUMPRODUCT((Inputs!$A$5:$A$200=$B57)*ISNUMBER(INDEX(Inputs!$K$5:$AJ$200,0,MATCH(X$2,Inputs!$K$4:$AJ$4,0))))+SUMPRODUCT((Inputs!$C$5:$C$200=$B57)*ISNUMBER(INDEX(Inputs!$K$5:$AJ$200,0,MATCH(X$2,Inputs!$K$4:$AJ$4,0))))+SUMPRODUCT((Inputs!$E$5:$E$200=$B57)*ISNUMBER(INDEX(Inputs!$K$5:$AJ$200,0,MATCH(X$2,Inputs!$K$4:$AJ$4,0))))=0,NA(),SUMPRODUCT((Inputs!$A$5:$A$200=$B57)*Inputs!$B$5:$B$200*(((Inputs!$G$5:$G$200="moeda")+(Inputs!$G$5:$G$200="acoes"))*Inputs!$B$1+((Inputs!$G$5:$G$200&lt;&gt;"moeda")*(Inputs!$G$5:$G$200&lt;&gt;"acoes")))*INDEX(Inputs!$K$5:$AJ$200,0,MATCH(X$2,Inputs!$K$4:$AJ$4,0)))+SUMPRODUCT((Inputs!$C$5:$C$200=$B57)*Inputs!$D$5:$D$200*(((Inputs!$G$5:$G$200="moeda")+(Inputs!$G$5:$G$200="acoes"))*Inputs!$B$1+((Inputs!$G$5:$G$200&lt;&gt;"moeda")*(Inputs!$G$5:$G$200&lt;&gt;"acoes")))*INDEX(Inputs!$K$5:$AJ$200,0,MATCH(X$2,Inputs!$K$4:$AJ$4,0)))+SUMPRODUCT((Inputs!$E$5:$E$200=$B57)*Inputs!$F$5:$F$200*(((Inputs!$G$5:$G$200="moeda")+(Inputs!$G$5:$G$200="acoes"))*Inputs!$B$1+((Inputs!$G$5:$G$200&lt;&gt;"moeda")*(Inputs!$G$5:$G$200&lt;&gt;"acoes")))*INDEX(Inputs!$K$5:$AJ$200,0,MATCH(X$2,Inputs!$K$4:$AJ$4,0)))))</f>
        <v>0</v>
      </c>
      <c r="Y57" s="262">
        <f>IF(ISNA(MATCH(Y$2,Inputs!$K$4:$AJ$4,0)),NA(),IF(SUMPRODUCT((Inputs!$A$5:$A$200=$B57)*ISNUMBER(INDEX(Inputs!$K$5:$AJ$200,0,MATCH(Y$2,Inputs!$K$4:$AJ$4,0))))+SUMPRODUCT((Inputs!$C$5:$C$200=$B57)*ISNUMBER(INDEX(Inputs!$K$5:$AJ$200,0,MATCH(Y$2,Inputs!$K$4:$AJ$4,0))))+SUMPRODUCT((Inputs!$E$5:$E$200=$B57)*ISNUMBER(INDEX(Inputs!$K$5:$AJ$200,0,MATCH(Y$2,Inputs!$K$4:$AJ$4,0))))=0,NA(),SUMPRODUCT((Inputs!$A$5:$A$200=$B57)*Inputs!$B$5:$B$200*(((Inputs!$G$5:$G$200="moeda")+(Inputs!$G$5:$G$200="acoes"))*Inputs!$B$1+((Inputs!$G$5:$G$200&lt;&gt;"moeda")*(Inputs!$G$5:$G$200&lt;&gt;"acoes")))*INDEX(Inputs!$K$5:$AJ$200,0,MATCH(Y$2,Inputs!$K$4:$AJ$4,0)))+SUMPRODUCT((Inputs!$C$5:$C$200=$B57)*Inputs!$D$5:$D$200*(((Inputs!$G$5:$G$200="moeda")+(Inputs!$G$5:$G$200="acoes"))*Inputs!$B$1+((Inputs!$G$5:$G$200&lt;&gt;"moeda")*(Inputs!$G$5:$G$200&lt;&gt;"acoes")))*INDEX(Inputs!$K$5:$AJ$200,0,MATCH(Y$2,Inputs!$K$4:$AJ$4,0)))+SUMPRODUCT((Inputs!$E$5:$E$200=$B57)*Inputs!$F$5:$F$200*(((Inputs!$G$5:$G$200="moeda")+(Inputs!$G$5:$G$200="acoes"))*Inputs!$B$1+((Inputs!$G$5:$G$200&lt;&gt;"moeda")*(Inputs!$G$5:$G$200&lt;&gt;"acoes")))*INDEX(Inputs!$K$5:$AJ$200,0,MATCH(Y$2,Inputs!$K$4:$AJ$4,0)))))</f>
        <v>5</v>
      </c>
      <c r="Z57" s="262">
        <f>IF(ISNA(MATCH(Z$2,Inputs!$K$4:$AJ$4,0)),NA(),IF(SUMPRODUCT((Inputs!$A$5:$A$200=$B57)*ISNUMBER(INDEX(Inputs!$K$5:$AJ$200,0,MATCH(Z$2,Inputs!$K$4:$AJ$4,0))))+SUMPRODUCT((Inputs!$C$5:$C$200=$B57)*ISNUMBER(INDEX(Inputs!$K$5:$AJ$200,0,MATCH(Z$2,Inputs!$K$4:$AJ$4,0))))+SUMPRODUCT((Inputs!$E$5:$E$200=$B57)*ISNUMBER(INDEX(Inputs!$K$5:$AJ$200,0,MATCH(Z$2,Inputs!$K$4:$AJ$4,0))))=0,NA(),SUMPRODUCT((Inputs!$A$5:$A$200=$B57)*Inputs!$B$5:$B$200*(((Inputs!$G$5:$G$200="moeda")+(Inputs!$G$5:$G$200="acoes"))*Inputs!$B$1+((Inputs!$G$5:$G$200&lt;&gt;"moeda")*(Inputs!$G$5:$G$200&lt;&gt;"acoes")))*INDEX(Inputs!$K$5:$AJ$200,0,MATCH(Z$2,Inputs!$K$4:$AJ$4,0)))+SUMPRODUCT((Inputs!$C$5:$C$200=$B57)*Inputs!$D$5:$D$200*(((Inputs!$G$5:$G$200="moeda")+(Inputs!$G$5:$G$200="acoes"))*Inputs!$B$1+((Inputs!$G$5:$G$200&lt;&gt;"moeda")*(Inputs!$G$5:$G$200&lt;&gt;"acoes")))*INDEX(Inputs!$K$5:$AJ$200,0,MATCH(Z$2,Inputs!$K$4:$AJ$4,0)))+SUMPRODUCT((Inputs!$E$5:$E$200=$B57)*Inputs!$F$5:$F$200*(((Inputs!$G$5:$G$200="moeda")+(Inputs!$G$5:$G$200="acoes"))*Inputs!$B$1+((Inputs!$G$5:$G$200&lt;&gt;"moeda")*(Inputs!$G$5:$G$200&lt;&gt;"acoes")))*INDEX(Inputs!$K$5:$AJ$200,0,MATCH(Z$2,Inputs!$K$4:$AJ$4,0)))))</f>
        <v>14</v>
      </c>
      <c r="AA57" s="262">
        <f>IF(ISNA(MATCH(AA$2,Inputs!$K$4:$AJ$4,0)),NA(),IF(SUMPRODUCT((Inputs!$A$5:$A$200=$B57)*ISNUMBER(INDEX(Inputs!$K$5:$AJ$200,0,MATCH(AA$2,Inputs!$K$4:$AJ$4,0))))+SUMPRODUCT((Inputs!$C$5:$C$200=$B57)*ISNUMBER(INDEX(Inputs!$K$5:$AJ$200,0,MATCH(AA$2,Inputs!$K$4:$AJ$4,0))))+SUMPRODUCT((Inputs!$E$5:$E$200=$B57)*ISNUMBER(INDEX(Inputs!$K$5:$AJ$200,0,MATCH(AA$2,Inputs!$K$4:$AJ$4,0))))=0,NA(),SUMPRODUCT((Inputs!$A$5:$A$200=$B57)*Inputs!$B$5:$B$200*(((Inputs!$G$5:$G$200="moeda")+(Inputs!$G$5:$G$200="acoes"))*Inputs!$B$1+((Inputs!$G$5:$G$200&lt;&gt;"moeda")*(Inputs!$G$5:$G$200&lt;&gt;"acoes")))*INDEX(Inputs!$K$5:$AJ$200,0,MATCH(AA$2,Inputs!$K$4:$AJ$4,0)))+SUMPRODUCT((Inputs!$C$5:$C$200=$B57)*Inputs!$D$5:$D$200*(((Inputs!$G$5:$G$200="moeda")+(Inputs!$G$5:$G$200="acoes"))*Inputs!$B$1+((Inputs!$G$5:$G$200&lt;&gt;"moeda")*(Inputs!$G$5:$G$200&lt;&gt;"acoes")))*INDEX(Inputs!$K$5:$AJ$200,0,MATCH(AA$2,Inputs!$K$4:$AJ$4,0)))+SUMPRODUCT((Inputs!$E$5:$E$200=$B57)*Inputs!$F$5:$F$200*(((Inputs!$G$5:$G$200="moeda")+(Inputs!$G$5:$G$200="acoes"))*Inputs!$B$1+((Inputs!$G$5:$G$200&lt;&gt;"moeda")*(Inputs!$G$5:$G$200&lt;&gt;"acoes")))*INDEX(Inputs!$K$5:$AJ$200,0,MATCH(AA$2,Inputs!$K$4:$AJ$4,0)))))</f>
        <v>16.5</v>
      </c>
      <c r="AB57" s="263">
        <f>SUM(X57:AA57)</f>
        <v>35.5</v>
      </c>
      <c r="AC57" s="262">
        <f>IF(ISNA(MATCH(AC$2,Inputs!$K$4:$AJ$4,0)),NA(),IF(SUMPRODUCT((Inputs!$A$5:$A$200=$B57)*ISNUMBER(INDEX(Inputs!$K$5:$AJ$200,0,MATCH(AC$2,Inputs!$K$4:$AJ$4,0))))+SUMPRODUCT((Inputs!$C$5:$C$200=$B57)*ISNUMBER(INDEX(Inputs!$K$5:$AJ$200,0,MATCH(AC$2,Inputs!$K$4:$AJ$4,0))))+SUMPRODUCT((Inputs!$E$5:$E$200=$B57)*ISNUMBER(INDEX(Inputs!$K$5:$AJ$200,0,MATCH(AC$2,Inputs!$K$4:$AJ$4,0))))=0,NA(),SUMPRODUCT((Inputs!$A$5:$A$200=$B57)*Inputs!$B$5:$B$200*(((Inputs!$G$5:$G$200="moeda")+(Inputs!$G$5:$G$200="acoes"))*Inputs!$B$1+((Inputs!$G$5:$G$200&lt;&gt;"moeda")*(Inputs!$G$5:$G$200&lt;&gt;"acoes")))*INDEX(Inputs!$K$5:$AJ$200,0,MATCH(AC$2,Inputs!$K$4:$AJ$4,0)))+SUMPRODUCT((Inputs!$C$5:$C$200=$B57)*Inputs!$D$5:$D$200*(((Inputs!$G$5:$G$200="moeda")+(Inputs!$G$5:$G$200="acoes"))*Inputs!$B$1+((Inputs!$G$5:$G$200&lt;&gt;"moeda")*(Inputs!$G$5:$G$200&lt;&gt;"acoes")))*INDEX(Inputs!$K$5:$AJ$200,0,MATCH(AC$2,Inputs!$K$4:$AJ$4,0)))+SUMPRODUCT((Inputs!$E$5:$E$200=$B57)*Inputs!$F$5:$F$200*(((Inputs!$G$5:$G$200="moeda")+(Inputs!$G$5:$G$200="acoes"))*Inputs!$B$1+((Inputs!$G$5:$G$200&lt;&gt;"moeda")*(Inputs!$G$5:$G$200&lt;&gt;"acoes")))*INDEX(Inputs!$K$5:$AJ$200,0,MATCH(AC$2,Inputs!$K$4:$AJ$4,0)))))</f>
        <v>11.5</v>
      </c>
      <c r="AD57" s="262">
        <f>IF(ISNA(MATCH(AD$2,Inputs!$K$4:$AJ$4,0)),NA(),IF(SUMPRODUCT((Inputs!$A$5:$A$200=$B57)*ISNUMBER(INDEX(Inputs!$K$5:$AJ$200,0,MATCH(AD$2,Inputs!$K$4:$AJ$4,0))))+SUMPRODUCT((Inputs!$C$5:$C$200=$B57)*ISNUMBER(INDEX(Inputs!$K$5:$AJ$200,0,MATCH(AD$2,Inputs!$K$4:$AJ$4,0))))+SUMPRODUCT((Inputs!$E$5:$E$200=$B57)*ISNUMBER(INDEX(Inputs!$K$5:$AJ$200,0,MATCH(AD$2,Inputs!$K$4:$AJ$4,0))))=0,NA(),SUMPRODUCT((Inputs!$A$5:$A$200=$B57)*Inputs!$B$5:$B$200*(((Inputs!$G$5:$G$200="moeda")+(Inputs!$G$5:$G$200="acoes"))*Inputs!$B$1+((Inputs!$G$5:$G$200&lt;&gt;"moeda")*(Inputs!$G$5:$G$200&lt;&gt;"acoes")))*INDEX(Inputs!$K$5:$AJ$200,0,MATCH(AD$2,Inputs!$K$4:$AJ$4,0)))+SUMPRODUCT((Inputs!$C$5:$C$200=$B57)*Inputs!$D$5:$D$200*(((Inputs!$G$5:$G$200="moeda")+(Inputs!$G$5:$G$200="acoes"))*Inputs!$B$1+((Inputs!$G$5:$G$200&lt;&gt;"moeda")*(Inputs!$G$5:$G$200&lt;&gt;"acoes")))*INDEX(Inputs!$K$5:$AJ$200,0,MATCH(AD$2,Inputs!$K$4:$AJ$4,0)))+SUMPRODUCT((Inputs!$E$5:$E$200=$B57)*Inputs!$F$5:$F$200*(((Inputs!$G$5:$G$200="moeda")+(Inputs!$G$5:$G$200="acoes"))*Inputs!$B$1+((Inputs!$G$5:$G$200&lt;&gt;"moeda")*(Inputs!$G$5:$G$200&lt;&gt;"acoes")))*INDEX(Inputs!$K$5:$AJ$200,0,MATCH(AD$2,Inputs!$K$4:$AJ$4,0)))))</f>
        <v>9.2</v>
      </c>
      <c r="AE57" s="262" t="e">
        <f>IF(ISNA(MATCH(AE$2,Inputs!$K$4:$AJ$4,0)),NA(),IF(SUMPRODUCT((Inputs!$A$5:$A$200=$B57)*ISNUMBER(INDEX(Inputs!$K$5:$AJ$200,0,MATCH(AE$2,Inputs!$K$4:$AJ$4,0))))+SUMPRODUCT((Inputs!$C$5:$C$200=$B57)*ISNUMBER(INDEX(Inputs!$K$5:$AJ$200,0,MATCH(AE$2,Inputs!$K$4:$AJ$4,0))))+SUMPRODUCT((Inputs!$E$5:$E$200=$B57)*ISNUMBER(INDEX(Inputs!$K$5:$AJ$200,0,MATCH(AE$2,Inputs!$K$4:$AJ$4,0))))=0,NA(),SUMPRODUCT((Inputs!$A$5:$A$200=$B57)*Inputs!$B$5:$B$200*(((Inputs!$G$5:$G$200="moeda")+(Inputs!$G$5:$G$200="acoes"))*Inputs!$B$1+((Inputs!$G$5:$G$200&lt;&gt;"moeda")*(Inputs!$G$5:$G$200&lt;&gt;"acoes")))*INDEX(Inputs!$K$5:$AJ$200,0,MATCH(AE$2,Inputs!$K$4:$AJ$4,0)))+SUMPRODUCT((Inputs!$C$5:$C$200=$B57)*Inputs!$D$5:$D$200*(((Inputs!$G$5:$G$200="moeda")+(Inputs!$G$5:$G$200="acoes"))*Inputs!$B$1+((Inputs!$G$5:$G$200&lt;&gt;"moeda")*(Inputs!$G$5:$G$200&lt;&gt;"acoes")))*INDEX(Inputs!$K$5:$AJ$200,0,MATCH(AE$2,Inputs!$K$4:$AJ$4,0)))+SUMPRODUCT((Inputs!$E$5:$E$200=$B57)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7" s="262" t="e">
        <f>IF(ISNA(MATCH(AF$2,Inputs!$K$4:$AJ$4,0)),NA(),IF(SUMPRODUCT((Inputs!$A$5:$A$200=$B57)*ISNUMBER(INDEX(Inputs!$K$5:$AJ$200,0,MATCH(AF$2,Inputs!$K$4:$AJ$4,0))))+SUMPRODUCT((Inputs!$C$5:$C$200=$B57)*ISNUMBER(INDEX(Inputs!$K$5:$AJ$200,0,MATCH(AF$2,Inputs!$K$4:$AJ$4,0))))+SUMPRODUCT((Inputs!$E$5:$E$200=$B57)*ISNUMBER(INDEX(Inputs!$K$5:$AJ$200,0,MATCH(AF$2,Inputs!$K$4:$AJ$4,0))))=0,NA(),SUMPRODUCT((Inputs!$A$5:$A$200=$B57)*Inputs!$B$5:$B$200*(((Inputs!$G$5:$G$200="moeda")+(Inputs!$G$5:$G$200="acoes"))*Inputs!$B$1+((Inputs!$G$5:$G$200&lt;&gt;"moeda")*(Inputs!$G$5:$G$200&lt;&gt;"acoes")))*INDEX(Inputs!$K$5:$AJ$200,0,MATCH(AF$2,Inputs!$K$4:$AJ$4,0)))+SUMPRODUCT((Inputs!$C$5:$C$200=$B57)*Inputs!$D$5:$D$200*(((Inputs!$G$5:$G$200="moeda")+(Inputs!$G$5:$G$200="acoes"))*Inputs!$B$1+((Inputs!$G$5:$G$200&lt;&gt;"moeda")*(Inputs!$G$5:$G$200&lt;&gt;"acoes")))*INDEX(Inputs!$K$5:$AJ$200,0,MATCH(AF$2,Inputs!$K$4:$AJ$4,0)))+SUMPRODUCT((Inputs!$E$5:$E$200=$B57)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7" s="263" t="e">
        <f>SUM(AC57:AF57)</f>
        <v>#N/A</v>
      </c>
      <c r="AH57" s="262">
        <f>IF(ISNA(MATCH(AH$2,Inputs!$K$4:$AJ$4,0)),NA(),IF(SUMPRODUCT((Inputs!$A$5:$A$200=$B57)*ISNUMBER(INDEX(Inputs!$K$5:$AJ$200,0,MATCH(AH$2,Inputs!$K$4:$AJ$4,0))))+SUMPRODUCT((Inputs!$C$5:$C$200=$B57)*ISNUMBER(INDEX(Inputs!$K$5:$AJ$200,0,MATCH(AH$2,Inputs!$K$4:$AJ$4,0))))+SUMPRODUCT((Inputs!$E$5:$E$200=$B57)*ISNUMBER(INDEX(Inputs!$K$5:$AJ$200,0,MATCH(AH$2,Inputs!$K$4:$AJ$4,0))))=0,NA(),SUMPRODUCT((Inputs!$A$5:$A$200=$B57)*Inputs!$B$5:$B$200*(((Inputs!$G$5:$G$200="moeda")+(Inputs!$G$5:$G$200="acoes"))*Inputs!$B$1+((Inputs!$G$5:$G$200&lt;&gt;"moeda")*(Inputs!$G$5:$G$200&lt;&gt;"acoes")))*INDEX(Inputs!$K$5:$AJ$200,0,MATCH(AH$2,Inputs!$K$4:$AJ$4,0)))+SUMPRODUCT((Inputs!$C$5:$C$200=$B57)*Inputs!$D$5:$D$200*(((Inputs!$G$5:$G$200="moeda")+(Inputs!$G$5:$G$200="acoes"))*Inputs!$B$1+((Inputs!$G$5:$G$200&lt;&gt;"moeda")*(Inputs!$G$5:$G$200&lt;&gt;"acoes")))*INDEX(Inputs!$K$5:$AJ$200,0,MATCH(AH$2,Inputs!$K$4:$AJ$4,0)))+SUMPRODUCT((Inputs!$E$5:$E$200=$B57)*Inputs!$F$5:$F$200*(((Inputs!$G$5:$G$200="moeda")+(Inputs!$G$5:$G$200="acoes"))*Inputs!$B$1+((Inputs!$G$5:$G$200&lt;&gt;"moeda")*(Inputs!$G$5:$G$200&lt;&gt;"acoes")))*INDEX(Inputs!$K$5:$AJ$200,0,MATCH(AH$2,Inputs!$K$4:$AJ$4,0)))))</f>
        <v>1.4</v>
      </c>
      <c r="AI57" s="262">
        <f>IF(ISNA(MATCH(AI$2,Inputs!$K$4:$AJ$4,0)),NA(),IF(SUMPRODUCT((Inputs!$A$5:$A$200=$B57)*ISNUMBER(INDEX(Inputs!$K$5:$AJ$200,0,MATCH(AI$2,Inputs!$K$4:$AJ$4,0))))+SUMPRODUCT((Inputs!$C$5:$C$200=$B57)*ISNUMBER(INDEX(Inputs!$K$5:$AJ$200,0,MATCH(AI$2,Inputs!$K$4:$AJ$4,0))))+SUMPRODUCT((Inputs!$E$5:$E$200=$B57)*ISNUMBER(INDEX(Inputs!$K$5:$AJ$200,0,MATCH(AI$2,Inputs!$K$4:$AJ$4,0))))=0,NA(),SUMPRODUCT((Inputs!$A$5:$A$200=$B57)*Inputs!$B$5:$B$200*(((Inputs!$G$5:$G$200="moeda")+(Inputs!$G$5:$G$200="acoes"))*Inputs!$B$1+((Inputs!$G$5:$G$200&lt;&gt;"moeda")*(Inputs!$G$5:$G$200&lt;&gt;"acoes")))*INDEX(Inputs!$K$5:$AJ$200,0,MATCH(AI$2,Inputs!$K$4:$AJ$4,0)))+SUMPRODUCT((Inputs!$C$5:$C$200=$B57)*Inputs!$D$5:$D$200*(((Inputs!$G$5:$G$200="moeda")+(Inputs!$G$5:$G$200="acoes"))*Inputs!$B$1+((Inputs!$G$5:$G$200&lt;&gt;"moeda")*(Inputs!$G$5:$G$200&lt;&gt;"acoes")))*INDEX(Inputs!$K$5:$AJ$200,0,MATCH(AI$2,Inputs!$K$4:$AJ$4,0)))+SUMPRODUCT((Inputs!$E$5:$E$200=$B57)*Inputs!$F$5:$F$200*(((Inputs!$G$5:$G$200="moeda")+(Inputs!$G$5:$G$200="acoes"))*Inputs!$B$1+((Inputs!$G$5:$G$200&lt;&gt;"moeda")*(Inputs!$G$5:$G$200&lt;&gt;"acoes")))*INDEX(Inputs!$K$5:$AJ$200,0,MATCH(AI$2,Inputs!$K$4:$AJ$4,0)))))</f>
        <v>8.725</v>
      </c>
      <c r="AJ57" s="262">
        <f>IF(ISNA(MATCH(AJ$2,Inputs!$K$4:$AJ$4,0)),NA(),IF(SUMPRODUCT((Inputs!$A$5:$A$200=$B57)*ISNUMBER(INDEX(Inputs!$K$5:$AJ$200,0,MATCH(AJ$2,Inputs!$K$4:$AJ$4,0))))+SUMPRODUCT((Inputs!$C$5:$C$200=$B57)*ISNUMBER(INDEX(Inputs!$K$5:$AJ$200,0,MATCH(AJ$2,Inputs!$K$4:$AJ$4,0))))+SUMPRODUCT((Inputs!$E$5:$E$200=$B57)*ISNUMBER(INDEX(Inputs!$K$5:$AJ$200,0,MATCH(AJ$2,Inputs!$K$4:$AJ$4,0))))=0,NA(),SUMPRODUCT((Inputs!$A$5:$A$200=$B57)*Inputs!$B$5:$B$200*(((Inputs!$G$5:$G$200="moeda")+(Inputs!$G$5:$G$200="acoes"))*Inputs!$B$1+((Inputs!$G$5:$G$200&lt;&gt;"moeda")*(Inputs!$G$5:$G$200&lt;&gt;"acoes")))*INDEX(Inputs!$K$5:$AJ$200,0,MATCH(AJ$2,Inputs!$K$4:$AJ$4,0)))+SUMPRODUCT((Inputs!$C$5:$C$200=$B57)*Inputs!$D$5:$D$200*(((Inputs!$G$5:$G$200="moeda")+(Inputs!$G$5:$G$200="acoes"))*Inputs!$B$1+((Inputs!$G$5:$G$200&lt;&gt;"moeda")*(Inputs!$G$5:$G$200&lt;&gt;"acoes")))*INDEX(Inputs!$K$5:$AJ$200,0,MATCH(AJ$2,Inputs!$K$4:$AJ$4,0)))+SUMPRODUCT((Inputs!$E$5:$E$200=$B57)*Inputs!$F$5:$F$200*(((Inputs!$G$5:$G$200="moeda")+(Inputs!$G$5:$G$200="acoes"))*Inputs!$B$1+((Inputs!$G$5:$G$200&lt;&gt;"moeda")*(Inputs!$G$5:$G$200&lt;&gt;"acoes")))*INDEX(Inputs!$K$5:$AJ$200,0,MATCH(AJ$2,Inputs!$K$4:$AJ$4,0)))))</f>
        <v>8.443</v>
      </c>
      <c r="AK57" s="262" t="e">
        <f>IF(ISNA(MATCH(AK$2,Inputs!$K$4:$AJ$4,0)),NA(),IF(SUMPRODUCT((Inputs!$A$5:$A$200=$B57)*ISNUMBER(INDEX(Inputs!$K$5:$AJ$200,0,MATCH(AK$2,Inputs!$K$4:$AJ$4,0))))+SUMPRODUCT((Inputs!$C$5:$C$200=$B57)*ISNUMBER(INDEX(Inputs!$K$5:$AJ$200,0,MATCH(AK$2,Inputs!$K$4:$AJ$4,0))))+SUMPRODUCT((Inputs!$E$5:$E$200=$B57)*ISNUMBER(INDEX(Inputs!$K$5:$AJ$200,0,MATCH(AK$2,Inputs!$K$4:$AJ$4,0))))=0,NA(),SUMPRODUCT((Inputs!$A$5:$A$200=$B57)*Inputs!$B$5:$B$200*(((Inputs!$G$5:$G$200="moeda")+(Inputs!$G$5:$G$200="acoes"))*Inputs!$B$1+((Inputs!$G$5:$G$200&lt;&gt;"moeda")*(Inputs!$G$5:$G$200&lt;&gt;"acoes")))*INDEX(Inputs!$K$5:$AJ$200,0,MATCH(AK$2,Inputs!$K$4:$AJ$4,0)))+SUMPRODUCT((Inputs!$C$5:$C$200=$B57)*Inputs!$D$5:$D$200*(((Inputs!$G$5:$G$200="moeda")+(Inputs!$G$5:$G$200="acoes"))*Inputs!$B$1+((Inputs!$G$5:$G$200&lt;&gt;"moeda")*(Inputs!$G$5:$G$200&lt;&gt;"acoes")))*INDEX(Inputs!$K$5:$AJ$200,0,MATCH(AK$2,Inputs!$K$4:$AJ$4,0)))+SUMPRODUCT((Inputs!$E$5:$E$200=$B57)*Inputs!$F$5:$F$200*(((Inputs!$G$5:$G$200="moeda")+(Inputs!$G$5:$G$200="acoes"))*Inputs!$B$1+((Inputs!$G$5:$G$200&lt;&gt;"moeda")*(Inputs!$G$5:$G$200&lt;&gt;"acoes")))*INDEX(Inputs!$K$5:$AJ$200,0,MATCH(AK$2,Inputs!$K$4:$AJ$4,0)))))</f>
        <v>#N/A</v>
      </c>
      <c r="AL57" s="263" t="e">
        <f>SUM(AH57:AK57)</f>
        <v>#N/A</v>
      </c>
    </row>
    <row r="58">
      <c r="B58" s="46" t="n">
        <v>50</v>
      </c>
      <c r="C58" s="29" t="inlineStr">
        <is>
          <t>Volume de residuos recebidos nos ecoparques (mil t; Orizon legado)</t>
        </is>
      </c>
      <c r="D58" s="262">
        <f>IF(ISNA(MATCH(D$2,Inputs!$K$4:$AJ$4,0)),NA(),IF(SUMPRODUCT((Inputs!$A$5:$A$200=$B58)*ISNUMBER(INDEX(Inputs!$K$5:$AJ$200,0,MATCH(D$2,Inputs!$K$4:$AJ$4,0))))+SUMPRODUCT((Inputs!$C$5:$C$200=$B58)*ISNUMBER(INDEX(Inputs!$K$5:$AJ$200,0,MATCH(D$2,Inputs!$K$4:$AJ$4,0))))+SUMPRODUCT((Inputs!$E$5:$E$200=$B58)*ISNUMBER(INDEX(Inputs!$K$5:$AJ$200,0,MATCH(D$2,Inputs!$K$4:$AJ$4,0))))=0,NA(),SUMPRODUCT((Inputs!$A$5:$A$200=$B58)*Inputs!$B$5:$B$200*(((Inputs!$G$5:$G$200="moeda")+(Inputs!$G$5:$G$200="acoes"))*Inputs!$B$1+((Inputs!$G$5:$G$200&lt;&gt;"moeda")*(Inputs!$G$5:$G$200&lt;&gt;"acoes")))*INDEX(Inputs!$K$5:$AJ$200,0,MATCH(D$2,Inputs!$K$4:$AJ$4,0)))+SUMPRODUCT((Inputs!$C$5:$C$200=$B58)*Inputs!$D$5:$D$200*(((Inputs!$G$5:$G$200="moeda")+(Inputs!$G$5:$G$200="acoes"))*Inputs!$B$1+((Inputs!$G$5:$G$200&lt;&gt;"moeda")*(Inputs!$G$5:$G$200&lt;&gt;"acoes")))*INDEX(Inputs!$K$5:$AJ$200,0,MATCH(D$2,Inputs!$K$4:$AJ$4,0)))+SUMPRODUCT((Inputs!$E$5:$E$200=$B58)*Inputs!$F$5:$F$200*(((Inputs!$G$5:$G$200="moeda")+(Inputs!$G$5:$G$200="acoes"))*Inputs!$B$1+((Inputs!$G$5:$G$200&lt;&gt;"moeda")*(Inputs!$G$5:$G$200&lt;&gt;"acoes")))*INDEX(Inputs!$K$5:$AJ$200,0,MATCH(D$2,Inputs!$K$4:$AJ$4,0)))))</f>
        <v>1194.034</v>
      </c>
      <c r="E58" s="262">
        <f>IF(ISNA(MATCH(E$2,Inputs!$K$4:$AJ$4,0)),NA(),IF(SUMPRODUCT((Inputs!$A$5:$A$200=$B58)*ISNUMBER(INDEX(Inputs!$K$5:$AJ$200,0,MATCH(E$2,Inputs!$K$4:$AJ$4,0))))+SUMPRODUCT((Inputs!$C$5:$C$200=$B58)*ISNUMBER(INDEX(Inputs!$K$5:$AJ$200,0,MATCH(E$2,Inputs!$K$4:$AJ$4,0))))+SUMPRODUCT((Inputs!$E$5:$E$200=$B58)*ISNUMBER(INDEX(Inputs!$K$5:$AJ$200,0,MATCH(E$2,Inputs!$K$4:$AJ$4,0))))=0,NA(),SUMPRODUCT((Inputs!$A$5:$A$200=$B58)*Inputs!$B$5:$B$200*(((Inputs!$G$5:$G$200="moeda")+(Inputs!$G$5:$G$200="acoes"))*Inputs!$B$1+((Inputs!$G$5:$G$200&lt;&gt;"moeda")*(Inputs!$G$5:$G$200&lt;&gt;"acoes")))*INDEX(Inputs!$K$5:$AJ$200,0,MATCH(E$2,Inputs!$K$4:$AJ$4,0)))+SUMPRODUCT((Inputs!$C$5:$C$200=$B58)*Inputs!$D$5:$D$200*(((Inputs!$G$5:$G$200="moeda")+(Inputs!$G$5:$G$200="acoes"))*Inputs!$B$1+((Inputs!$G$5:$G$200&lt;&gt;"moeda")*(Inputs!$G$5:$G$200&lt;&gt;"acoes")))*INDEX(Inputs!$K$5:$AJ$200,0,MATCH(E$2,Inputs!$K$4:$AJ$4,0)))+SUMPRODUCT((Inputs!$E$5:$E$200=$B58)*Inputs!$F$5:$F$200*(((Inputs!$G$5:$G$200="moeda")+(Inputs!$G$5:$G$200="acoes"))*Inputs!$B$1+((Inputs!$G$5:$G$200&lt;&gt;"moeda")*(Inputs!$G$5:$G$200&lt;&gt;"acoes")))*INDEX(Inputs!$K$5:$AJ$200,0,MATCH(E$2,Inputs!$K$4:$AJ$4,0)))))</f>
        <v>1173.4</v>
      </c>
      <c r="F58" s="262">
        <f>IF(ISNA(MATCH(F$2,Inputs!$K$4:$AJ$4,0)),NA(),IF(SUMPRODUCT((Inputs!$A$5:$A$200=$B58)*ISNUMBER(INDEX(Inputs!$K$5:$AJ$200,0,MATCH(F$2,Inputs!$K$4:$AJ$4,0))))+SUMPRODUCT((Inputs!$C$5:$C$200=$B58)*ISNUMBER(INDEX(Inputs!$K$5:$AJ$200,0,MATCH(F$2,Inputs!$K$4:$AJ$4,0))))+SUMPRODUCT((Inputs!$E$5:$E$200=$B58)*ISNUMBER(INDEX(Inputs!$K$5:$AJ$200,0,MATCH(F$2,Inputs!$K$4:$AJ$4,0))))=0,NA(),SUMPRODUCT((Inputs!$A$5:$A$200=$B58)*Inputs!$B$5:$B$200*(((Inputs!$G$5:$G$200="moeda")+(Inputs!$G$5:$G$200="acoes"))*Inputs!$B$1+((Inputs!$G$5:$G$200&lt;&gt;"moeda")*(Inputs!$G$5:$G$200&lt;&gt;"acoes")))*INDEX(Inputs!$K$5:$AJ$200,0,MATCH(F$2,Inputs!$K$4:$AJ$4,0)))+SUMPRODUCT((Inputs!$C$5:$C$200=$B58)*Inputs!$D$5:$D$200*(((Inputs!$G$5:$G$200="moeda")+(Inputs!$G$5:$G$200="acoes"))*Inputs!$B$1+((Inputs!$G$5:$G$200&lt;&gt;"moeda")*(Inputs!$G$5:$G$200&lt;&gt;"acoes")))*INDEX(Inputs!$K$5:$AJ$200,0,MATCH(F$2,Inputs!$K$4:$AJ$4,0)))+SUMPRODUCT((Inputs!$E$5:$E$200=$B58)*Inputs!$F$5:$F$200*(((Inputs!$G$5:$G$200="moeda")+(Inputs!$G$5:$G$200="acoes"))*Inputs!$B$1+((Inputs!$G$5:$G$200&lt;&gt;"moeda")*(Inputs!$G$5:$G$200&lt;&gt;"acoes")))*INDEX(Inputs!$K$5:$AJ$200,0,MATCH(F$2,Inputs!$K$4:$AJ$4,0)))))</f>
        <v>1195.2</v>
      </c>
      <c r="G58" s="262">
        <f>IF(ISNA(MATCH(G$2,Inputs!$K$4:$AJ$4,0)),NA(),IF(SUMPRODUCT((Inputs!$A$5:$A$200=$B58)*ISNUMBER(INDEX(Inputs!$K$5:$AJ$200,0,MATCH(G$2,Inputs!$K$4:$AJ$4,0))))+SUMPRODUCT((Inputs!$C$5:$C$200=$B58)*ISNUMBER(INDEX(Inputs!$K$5:$AJ$200,0,MATCH(G$2,Inputs!$K$4:$AJ$4,0))))+SUMPRODUCT((Inputs!$E$5:$E$200=$B58)*ISNUMBER(INDEX(Inputs!$K$5:$AJ$200,0,MATCH(G$2,Inputs!$K$4:$AJ$4,0))))=0,NA(),SUMPRODUCT((Inputs!$A$5:$A$200=$B58)*Inputs!$B$5:$B$200*(((Inputs!$G$5:$G$200="moeda")+(Inputs!$G$5:$G$200="acoes"))*Inputs!$B$1+((Inputs!$G$5:$G$200&lt;&gt;"moeda")*(Inputs!$G$5:$G$200&lt;&gt;"acoes")))*INDEX(Inputs!$K$5:$AJ$200,0,MATCH(G$2,Inputs!$K$4:$AJ$4,0)))+SUMPRODUCT((Inputs!$C$5:$C$200=$B58)*Inputs!$D$5:$D$200*(((Inputs!$G$5:$G$200="moeda")+(Inputs!$G$5:$G$200="acoes"))*Inputs!$B$1+((Inputs!$G$5:$G$200&lt;&gt;"moeda")*(Inputs!$G$5:$G$200&lt;&gt;"acoes")))*INDEX(Inputs!$K$5:$AJ$200,0,MATCH(G$2,Inputs!$K$4:$AJ$4,0)))+SUMPRODUCT((Inputs!$E$5:$E$200=$B58)*Inputs!$F$5:$F$200*(((Inputs!$G$5:$G$200="moeda")+(Inputs!$G$5:$G$200="acoes"))*Inputs!$B$1+((Inputs!$G$5:$G$200&lt;&gt;"moeda")*(Inputs!$G$5:$G$200&lt;&gt;"acoes")))*INDEX(Inputs!$K$5:$AJ$200,0,MATCH(G$2,Inputs!$K$4:$AJ$4,0)))))</f>
        <v>1221.7</v>
      </c>
      <c r="H58" s="263">
        <f>SUM(D58:G58)</f>
        <v>4784.334</v>
      </c>
      <c r="I58" s="262">
        <f>IF(ISNA(MATCH(I$2,Inputs!$K$4:$AJ$4,0)),NA(),IF(SUMPRODUCT((Inputs!$A$5:$A$200=$B58)*ISNUMBER(INDEX(Inputs!$K$5:$AJ$200,0,MATCH(I$2,Inputs!$K$4:$AJ$4,0))))+SUMPRODUCT((Inputs!$C$5:$C$200=$B58)*ISNUMBER(INDEX(Inputs!$K$5:$AJ$200,0,MATCH(I$2,Inputs!$K$4:$AJ$4,0))))+SUMPRODUCT((Inputs!$E$5:$E$200=$B58)*ISNUMBER(INDEX(Inputs!$K$5:$AJ$200,0,MATCH(I$2,Inputs!$K$4:$AJ$4,0))))=0,NA(),SUMPRODUCT((Inputs!$A$5:$A$200=$B58)*Inputs!$B$5:$B$200*(((Inputs!$G$5:$G$200="moeda")+(Inputs!$G$5:$G$200="acoes"))*Inputs!$B$1+((Inputs!$G$5:$G$200&lt;&gt;"moeda")*(Inputs!$G$5:$G$200&lt;&gt;"acoes")))*INDEX(Inputs!$K$5:$AJ$200,0,MATCH(I$2,Inputs!$K$4:$AJ$4,0)))+SUMPRODUCT((Inputs!$C$5:$C$200=$B58)*Inputs!$D$5:$D$200*(((Inputs!$G$5:$G$200="moeda")+(Inputs!$G$5:$G$200="acoes"))*Inputs!$B$1+((Inputs!$G$5:$G$200&lt;&gt;"moeda")*(Inputs!$G$5:$G$200&lt;&gt;"acoes")))*INDEX(Inputs!$K$5:$AJ$200,0,MATCH(I$2,Inputs!$K$4:$AJ$4,0)))+SUMPRODUCT((Inputs!$E$5:$E$200=$B58)*Inputs!$F$5:$F$200*(((Inputs!$G$5:$G$200="moeda")+(Inputs!$G$5:$G$200="acoes"))*Inputs!$B$1+((Inputs!$G$5:$G$200&lt;&gt;"moeda")*(Inputs!$G$5:$G$200&lt;&gt;"acoes")))*INDEX(Inputs!$K$5:$AJ$200,0,MATCH(I$2,Inputs!$K$4:$AJ$4,0)))))</f>
        <v>1245</v>
      </c>
      <c r="J58" s="262">
        <f>IF(ISNA(MATCH(J$2,Inputs!$K$4:$AJ$4,0)),NA(),IF(SUMPRODUCT((Inputs!$A$5:$A$200=$B58)*ISNUMBER(INDEX(Inputs!$K$5:$AJ$200,0,MATCH(J$2,Inputs!$K$4:$AJ$4,0))))+SUMPRODUCT((Inputs!$C$5:$C$200=$B58)*ISNUMBER(INDEX(Inputs!$K$5:$AJ$200,0,MATCH(J$2,Inputs!$K$4:$AJ$4,0))))+SUMPRODUCT((Inputs!$E$5:$E$200=$B58)*ISNUMBER(INDEX(Inputs!$K$5:$AJ$200,0,MATCH(J$2,Inputs!$K$4:$AJ$4,0))))=0,NA(),SUMPRODUCT((Inputs!$A$5:$A$200=$B58)*Inputs!$B$5:$B$200*(((Inputs!$G$5:$G$200="moeda")+(Inputs!$G$5:$G$200="acoes"))*Inputs!$B$1+((Inputs!$G$5:$G$200&lt;&gt;"moeda")*(Inputs!$G$5:$G$200&lt;&gt;"acoes")))*INDEX(Inputs!$K$5:$AJ$200,0,MATCH(J$2,Inputs!$K$4:$AJ$4,0)))+SUMPRODUCT((Inputs!$C$5:$C$200=$B58)*Inputs!$D$5:$D$200*(((Inputs!$G$5:$G$200="moeda")+(Inputs!$G$5:$G$200="acoes"))*Inputs!$B$1+((Inputs!$G$5:$G$200&lt;&gt;"moeda")*(Inputs!$G$5:$G$200&lt;&gt;"acoes")))*INDEX(Inputs!$K$5:$AJ$200,0,MATCH(J$2,Inputs!$K$4:$AJ$4,0)))+SUMPRODUCT((Inputs!$E$5:$E$200=$B58)*Inputs!$F$5:$F$200*(((Inputs!$G$5:$G$200="moeda")+(Inputs!$G$5:$G$200="acoes"))*Inputs!$B$1+((Inputs!$G$5:$G$200&lt;&gt;"moeda")*(Inputs!$G$5:$G$200&lt;&gt;"acoes")))*INDEX(Inputs!$K$5:$AJ$200,0,MATCH(J$2,Inputs!$K$4:$AJ$4,0)))))</f>
        <v>2064</v>
      </c>
      <c r="K58" s="262">
        <f>IF(ISNA(MATCH(K$2,Inputs!$K$4:$AJ$4,0)),NA(),IF(SUMPRODUCT((Inputs!$A$5:$A$200=$B58)*ISNUMBER(INDEX(Inputs!$K$5:$AJ$200,0,MATCH(K$2,Inputs!$K$4:$AJ$4,0))))+SUMPRODUCT((Inputs!$C$5:$C$200=$B58)*ISNUMBER(INDEX(Inputs!$K$5:$AJ$200,0,MATCH(K$2,Inputs!$K$4:$AJ$4,0))))+SUMPRODUCT((Inputs!$E$5:$E$200=$B58)*ISNUMBER(INDEX(Inputs!$K$5:$AJ$200,0,MATCH(K$2,Inputs!$K$4:$AJ$4,0))))=0,NA(),SUMPRODUCT((Inputs!$A$5:$A$200=$B58)*Inputs!$B$5:$B$200*(((Inputs!$G$5:$G$200="moeda")+(Inputs!$G$5:$G$200="acoes"))*Inputs!$B$1+((Inputs!$G$5:$G$200&lt;&gt;"moeda")*(Inputs!$G$5:$G$200&lt;&gt;"acoes")))*INDEX(Inputs!$K$5:$AJ$200,0,MATCH(K$2,Inputs!$K$4:$AJ$4,0)))+SUMPRODUCT((Inputs!$C$5:$C$200=$B58)*Inputs!$D$5:$D$200*(((Inputs!$G$5:$G$200="moeda")+(Inputs!$G$5:$G$200="acoes"))*Inputs!$B$1+((Inputs!$G$5:$G$200&lt;&gt;"moeda")*(Inputs!$G$5:$G$200&lt;&gt;"acoes")))*INDEX(Inputs!$K$5:$AJ$200,0,MATCH(K$2,Inputs!$K$4:$AJ$4,0)))+SUMPRODUCT((Inputs!$E$5:$E$200=$B58)*Inputs!$F$5:$F$200*(((Inputs!$G$5:$G$200="moeda")+(Inputs!$G$5:$G$200="acoes"))*Inputs!$B$1+((Inputs!$G$5:$G$200&lt;&gt;"moeda")*(Inputs!$G$5:$G$200&lt;&gt;"acoes")))*INDEX(Inputs!$K$5:$AJ$200,0,MATCH(K$2,Inputs!$K$4:$AJ$4,0)))))</f>
        <v>2012.136</v>
      </c>
      <c r="L58" s="262">
        <f>IF(ISNA(MATCH(L$2,Inputs!$K$4:$AJ$4,0)),NA(),IF(SUMPRODUCT((Inputs!$A$5:$A$200=$B58)*ISNUMBER(INDEX(Inputs!$K$5:$AJ$200,0,MATCH(L$2,Inputs!$K$4:$AJ$4,0))))+SUMPRODUCT((Inputs!$C$5:$C$200=$B58)*ISNUMBER(INDEX(Inputs!$K$5:$AJ$200,0,MATCH(L$2,Inputs!$K$4:$AJ$4,0))))+SUMPRODUCT((Inputs!$E$5:$E$200=$B58)*ISNUMBER(INDEX(Inputs!$K$5:$AJ$200,0,MATCH(L$2,Inputs!$K$4:$AJ$4,0))))=0,NA(),SUMPRODUCT((Inputs!$A$5:$A$200=$B58)*Inputs!$B$5:$B$200*(((Inputs!$G$5:$G$200="moeda")+(Inputs!$G$5:$G$200="acoes"))*Inputs!$B$1+((Inputs!$G$5:$G$200&lt;&gt;"moeda")*(Inputs!$G$5:$G$200&lt;&gt;"acoes")))*INDEX(Inputs!$K$5:$AJ$200,0,MATCH(L$2,Inputs!$K$4:$AJ$4,0)))+SUMPRODUCT((Inputs!$C$5:$C$200=$B58)*Inputs!$D$5:$D$200*(((Inputs!$G$5:$G$200="moeda")+(Inputs!$G$5:$G$200="acoes"))*Inputs!$B$1+((Inputs!$G$5:$G$200&lt;&gt;"moeda")*(Inputs!$G$5:$G$200&lt;&gt;"acoes")))*INDEX(Inputs!$K$5:$AJ$200,0,MATCH(L$2,Inputs!$K$4:$AJ$4,0)))+SUMPRODUCT((Inputs!$E$5:$E$200=$B58)*Inputs!$F$5:$F$200*(((Inputs!$G$5:$G$200="moeda")+(Inputs!$G$5:$G$200="acoes"))*Inputs!$B$1+((Inputs!$G$5:$G$200&lt;&gt;"moeda")*(Inputs!$G$5:$G$200&lt;&gt;"acoes")))*INDEX(Inputs!$K$5:$AJ$200,0,MATCH(L$2,Inputs!$K$4:$AJ$4,0)))))</f>
        <v>2174.6</v>
      </c>
      <c r="M58" s="263">
        <f>SUM(I58:L58)</f>
        <v>7495.736</v>
      </c>
      <c r="N58" s="262">
        <f>IF(ISNA(MATCH(N$2,Inputs!$K$4:$AJ$4,0)),NA(),IF(SUMPRODUCT((Inputs!$A$5:$A$200=$B58)*ISNUMBER(INDEX(Inputs!$K$5:$AJ$200,0,MATCH(N$2,Inputs!$K$4:$AJ$4,0))))+SUMPRODUCT((Inputs!$C$5:$C$200=$B58)*ISNUMBER(INDEX(Inputs!$K$5:$AJ$200,0,MATCH(N$2,Inputs!$K$4:$AJ$4,0))))+SUMPRODUCT((Inputs!$E$5:$E$200=$B58)*ISNUMBER(INDEX(Inputs!$K$5:$AJ$200,0,MATCH(N$2,Inputs!$K$4:$AJ$4,0))))=0,NA(),SUMPRODUCT((Inputs!$A$5:$A$200=$B58)*Inputs!$B$5:$B$200*(((Inputs!$G$5:$G$200="moeda")+(Inputs!$G$5:$G$200="acoes"))*Inputs!$B$1+((Inputs!$G$5:$G$200&lt;&gt;"moeda")*(Inputs!$G$5:$G$200&lt;&gt;"acoes")))*INDEX(Inputs!$K$5:$AJ$200,0,MATCH(N$2,Inputs!$K$4:$AJ$4,0)))+SUMPRODUCT((Inputs!$C$5:$C$200=$B58)*Inputs!$D$5:$D$200*(((Inputs!$G$5:$G$200="moeda")+(Inputs!$G$5:$G$200="acoes"))*Inputs!$B$1+((Inputs!$G$5:$G$200&lt;&gt;"moeda")*(Inputs!$G$5:$G$200&lt;&gt;"acoes")))*INDEX(Inputs!$K$5:$AJ$200,0,MATCH(N$2,Inputs!$K$4:$AJ$4,0)))+SUMPRODUCT((Inputs!$E$5:$E$200=$B58)*Inputs!$F$5:$F$200*(((Inputs!$G$5:$G$200="moeda")+(Inputs!$G$5:$G$200="acoes"))*Inputs!$B$1+((Inputs!$G$5:$G$200&lt;&gt;"moeda")*(Inputs!$G$5:$G$200&lt;&gt;"acoes")))*INDEX(Inputs!$K$5:$AJ$200,0,MATCH(N$2,Inputs!$K$4:$AJ$4,0)))))</f>
        <v>2109.4</v>
      </c>
      <c r="O58" s="262">
        <f>IF(ISNA(MATCH(O$2,Inputs!$K$4:$AJ$4,0)),NA(),IF(SUMPRODUCT((Inputs!$A$5:$A$200=$B58)*ISNUMBER(INDEX(Inputs!$K$5:$AJ$200,0,MATCH(O$2,Inputs!$K$4:$AJ$4,0))))+SUMPRODUCT((Inputs!$C$5:$C$200=$B58)*ISNUMBER(INDEX(Inputs!$K$5:$AJ$200,0,MATCH(O$2,Inputs!$K$4:$AJ$4,0))))+SUMPRODUCT((Inputs!$E$5:$E$200=$B58)*ISNUMBER(INDEX(Inputs!$K$5:$AJ$200,0,MATCH(O$2,Inputs!$K$4:$AJ$4,0))))=0,NA(),SUMPRODUCT((Inputs!$A$5:$A$200=$B58)*Inputs!$B$5:$B$200*(((Inputs!$G$5:$G$200="moeda")+(Inputs!$G$5:$G$200="acoes"))*Inputs!$B$1+((Inputs!$G$5:$G$200&lt;&gt;"moeda")*(Inputs!$G$5:$G$200&lt;&gt;"acoes")))*INDEX(Inputs!$K$5:$AJ$200,0,MATCH(O$2,Inputs!$K$4:$AJ$4,0)))+SUMPRODUCT((Inputs!$C$5:$C$200=$B58)*Inputs!$D$5:$D$200*(((Inputs!$G$5:$G$200="moeda")+(Inputs!$G$5:$G$200="acoes"))*Inputs!$B$1+((Inputs!$G$5:$G$200&lt;&gt;"moeda")*(Inputs!$G$5:$G$200&lt;&gt;"acoes")))*INDEX(Inputs!$K$5:$AJ$200,0,MATCH(O$2,Inputs!$K$4:$AJ$4,0)))+SUMPRODUCT((Inputs!$E$5:$E$200=$B58)*Inputs!$F$5:$F$200*(((Inputs!$G$5:$G$200="moeda")+(Inputs!$G$5:$G$200="acoes"))*Inputs!$B$1+((Inputs!$G$5:$G$200&lt;&gt;"moeda")*(Inputs!$G$5:$G$200&lt;&gt;"acoes")))*INDEX(Inputs!$K$5:$AJ$200,0,MATCH(O$2,Inputs!$K$4:$AJ$4,0)))))</f>
        <v>2038.6</v>
      </c>
      <c r="P58" s="262">
        <f>IF(ISNA(MATCH(P$2,Inputs!$K$4:$AJ$4,0)),NA(),IF(SUMPRODUCT((Inputs!$A$5:$A$200=$B58)*ISNUMBER(INDEX(Inputs!$K$5:$AJ$200,0,MATCH(P$2,Inputs!$K$4:$AJ$4,0))))+SUMPRODUCT((Inputs!$C$5:$C$200=$B58)*ISNUMBER(INDEX(Inputs!$K$5:$AJ$200,0,MATCH(P$2,Inputs!$K$4:$AJ$4,0))))+SUMPRODUCT((Inputs!$E$5:$E$200=$B58)*ISNUMBER(INDEX(Inputs!$K$5:$AJ$200,0,MATCH(P$2,Inputs!$K$4:$AJ$4,0))))=0,NA(),SUMPRODUCT((Inputs!$A$5:$A$200=$B58)*Inputs!$B$5:$B$200*(((Inputs!$G$5:$G$200="moeda")+(Inputs!$G$5:$G$200="acoes"))*Inputs!$B$1+((Inputs!$G$5:$G$200&lt;&gt;"moeda")*(Inputs!$G$5:$G$200&lt;&gt;"acoes")))*INDEX(Inputs!$K$5:$AJ$200,0,MATCH(P$2,Inputs!$K$4:$AJ$4,0)))+SUMPRODUCT((Inputs!$C$5:$C$200=$B58)*Inputs!$D$5:$D$200*(((Inputs!$G$5:$G$200="moeda")+(Inputs!$G$5:$G$200="acoes"))*Inputs!$B$1+((Inputs!$G$5:$G$200&lt;&gt;"moeda")*(Inputs!$G$5:$G$200&lt;&gt;"acoes")))*INDEX(Inputs!$K$5:$AJ$200,0,MATCH(P$2,Inputs!$K$4:$AJ$4,0)))+SUMPRODUCT((Inputs!$E$5:$E$200=$B58)*Inputs!$F$5:$F$200*(((Inputs!$G$5:$G$200="moeda")+(Inputs!$G$5:$G$200="acoes"))*Inputs!$B$1+((Inputs!$G$5:$G$200&lt;&gt;"moeda")*(Inputs!$G$5:$G$200&lt;&gt;"acoes")))*INDEX(Inputs!$K$5:$AJ$200,0,MATCH(P$2,Inputs!$K$4:$AJ$4,0)))))</f>
        <v>2060.4</v>
      </c>
      <c r="Q58" s="262">
        <f>IF(ISNA(MATCH(Q$2,Inputs!$K$4:$AJ$4,0)),NA(),IF(SUMPRODUCT((Inputs!$A$5:$A$200=$B58)*ISNUMBER(INDEX(Inputs!$K$5:$AJ$200,0,MATCH(Q$2,Inputs!$K$4:$AJ$4,0))))+SUMPRODUCT((Inputs!$C$5:$C$200=$B58)*ISNUMBER(INDEX(Inputs!$K$5:$AJ$200,0,MATCH(Q$2,Inputs!$K$4:$AJ$4,0))))+SUMPRODUCT((Inputs!$E$5:$E$200=$B58)*ISNUMBER(INDEX(Inputs!$K$5:$AJ$200,0,MATCH(Q$2,Inputs!$K$4:$AJ$4,0))))=0,NA(),SUMPRODUCT((Inputs!$A$5:$A$200=$B58)*Inputs!$B$5:$B$200*(((Inputs!$G$5:$G$200="moeda")+(Inputs!$G$5:$G$200="acoes"))*Inputs!$B$1+((Inputs!$G$5:$G$200&lt;&gt;"moeda")*(Inputs!$G$5:$G$200&lt;&gt;"acoes")))*INDEX(Inputs!$K$5:$AJ$200,0,MATCH(Q$2,Inputs!$K$4:$AJ$4,0)))+SUMPRODUCT((Inputs!$C$5:$C$200=$B58)*Inputs!$D$5:$D$200*(((Inputs!$G$5:$G$200="moeda")+(Inputs!$G$5:$G$200="acoes"))*Inputs!$B$1+((Inputs!$G$5:$G$200&lt;&gt;"moeda")*(Inputs!$G$5:$G$200&lt;&gt;"acoes")))*INDEX(Inputs!$K$5:$AJ$200,0,MATCH(Q$2,Inputs!$K$4:$AJ$4,0)))+SUMPRODUCT((Inputs!$E$5:$E$200=$B58)*Inputs!$F$5:$F$200*(((Inputs!$G$5:$G$200="moeda")+(Inputs!$G$5:$G$200="acoes"))*Inputs!$B$1+((Inputs!$G$5:$G$200&lt;&gt;"moeda")*(Inputs!$G$5:$G$200&lt;&gt;"acoes")))*INDEX(Inputs!$K$5:$AJ$200,0,MATCH(Q$2,Inputs!$K$4:$AJ$4,0)))))</f>
        <v>2129.9</v>
      </c>
      <c r="R58" s="263">
        <f>SUM(N58:Q58)</f>
        <v>8338.3</v>
      </c>
      <c r="S58" s="262">
        <f>IF(ISNA(MATCH(S$2,Inputs!$K$4:$AJ$4,0)),NA(),IF(SUMPRODUCT((Inputs!$A$5:$A$200=$B58)*ISNUMBER(INDEX(Inputs!$K$5:$AJ$200,0,MATCH(S$2,Inputs!$K$4:$AJ$4,0))))+SUMPRODUCT((Inputs!$C$5:$C$200=$B58)*ISNUMBER(INDEX(Inputs!$K$5:$AJ$200,0,MATCH(S$2,Inputs!$K$4:$AJ$4,0))))+SUMPRODUCT((Inputs!$E$5:$E$200=$B58)*ISNUMBER(INDEX(Inputs!$K$5:$AJ$200,0,MATCH(S$2,Inputs!$K$4:$AJ$4,0))))=0,NA(),SUMPRODUCT((Inputs!$A$5:$A$200=$B58)*Inputs!$B$5:$B$200*(((Inputs!$G$5:$G$200="moeda")+(Inputs!$G$5:$G$200="acoes"))*Inputs!$B$1+((Inputs!$G$5:$G$200&lt;&gt;"moeda")*(Inputs!$G$5:$G$200&lt;&gt;"acoes")))*INDEX(Inputs!$K$5:$AJ$200,0,MATCH(S$2,Inputs!$K$4:$AJ$4,0)))+SUMPRODUCT((Inputs!$C$5:$C$200=$B58)*Inputs!$D$5:$D$200*(((Inputs!$G$5:$G$200="moeda")+(Inputs!$G$5:$G$200="acoes"))*Inputs!$B$1+((Inputs!$G$5:$G$200&lt;&gt;"moeda")*(Inputs!$G$5:$G$200&lt;&gt;"acoes")))*INDEX(Inputs!$K$5:$AJ$200,0,MATCH(S$2,Inputs!$K$4:$AJ$4,0)))+SUMPRODUCT((Inputs!$E$5:$E$200=$B58)*Inputs!$F$5:$F$200*(((Inputs!$G$5:$G$200="moeda")+(Inputs!$G$5:$G$200="acoes"))*Inputs!$B$1+((Inputs!$G$5:$G$200&lt;&gt;"moeda")*(Inputs!$G$5:$G$200&lt;&gt;"acoes")))*INDEX(Inputs!$K$5:$AJ$200,0,MATCH(S$2,Inputs!$K$4:$AJ$4,0)))))</f>
        <v>2203.7</v>
      </c>
      <c r="T58" s="262">
        <f>IF(ISNA(MATCH(T$2,Inputs!$K$4:$AJ$4,0)),NA(),IF(SUMPRODUCT((Inputs!$A$5:$A$200=$B58)*ISNUMBER(INDEX(Inputs!$K$5:$AJ$200,0,MATCH(T$2,Inputs!$K$4:$AJ$4,0))))+SUMPRODUCT((Inputs!$C$5:$C$200=$B58)*ISNUMBER(INDEX(Inputs!$K$5:$AJ$200,0,MATCH(T$2,Inputs!$K$4:$AJ$4,0))))+SUMPRODUCT((Inputs!$E$5:$E$200=$B58)*ISNUMBER(INDEX(Inputs!$K$5:$AJ$200,0,MATCH(T$2,Inputs!$K$4:$AJ$4,0))))=0,NA(),SUMPRODUCT((Inputs!$A$5:$A$200=$B58)*Inputs!$B$5:$B$200*(((Inputs!$G$5:$G$200="moeda")+(Inputs!$G$5:$G$200="acoes"))*Inputs!$B$1+((Inputs!$G$5:$G$200&lt;&gt;"moeda")*(Inputs!$G$5:$G$200&lt;&gt;"acoes")))*INDEX(Inputs!$K$5:$AJ$200,0,MATCH(T$2,Inputs!$K$4:$AJ$4,0)))+SUMPRODUCT((Inputs!$C$5:$C$200=$B58)*Inputs!$D$5:$D$200*(((Inputs!$G$5:$G$200="moeda")+(Inputs!$G$5:$G$200="acoes"))*Inputs!$B$1+((Inputs!$G$5:$G$200&lt;&gt;"moeda")*(Inputs!$G$5:$G$200&lt;&gt;"acoes")))*INDEX(Inputs!$K$5:$AJ$200,0,MATCH(T$2,Inputs!$K$4:$AJ$4,0)))+SUMPRODUCT((Inputs!$E$5:$E$200=$B58)*Inputs!$F$5:$F$200*(((Inputs!$G$5:$G$200="moeda")+(Inputs!$G$5:$G$200="acoes"))*Inputs!$B$1+((Inputs!$G$5:$G$200&lt;&gt;"moeda")*(Inputs!$G$5:$G$200&lt;&gt;"acoes")))*INDEX(Inputs!$K$5:$AJ$200,0,MATCH(T$2,Inputs!$K$4:$AJ$4,0)))))</f>
        <v>2162.3</v>
      </c>
      <c r="U58" s="262">
        <f>IF(ISNA(MATCH(U$2,Inputs!$K$4:$AJ$4,0)),NA(),IF(SUMPRODUCT((Inputs!$A$5:$A$200=$B58)*ISNUMBER(INDEX(Inputs!$K$5:$AJ$200,0,MATCH(U$2,Inputs!$K$4:$AJ$4,0))))+SUMPRODUCT((Inputs!$C$5:$C$200=$B58)*ISNUMBER(INDEX(Inputs!$K$5:$AJ$200,0,MATCH(U$2,Inputs!$K$4:$AJ$4,0))))+SUMPRODUCT((Inputs!$E$5:$E$200=$B58)*ISNUMBER(INDEX(Inputs!$K$5:$AJ$200,0,MATCH(U$2,Inputs!$K$4:$AJ$4,0))))=0,NA(),SUMPRODUCT((Inputs!$A$5:$A$200=$B58)*Inputs!$B$5:$B$200*(((Inputs!$G$5:$G$200="moeda")+(Inputs!$G$5:$G$200="acoes"))*Inputs!$B$1+((Inputs!$G$5:$G$200&lt;&gt;"moeda")*(Inputs!$G$5:$G$200&lt;&gt;"acoes")))*INDEX(Inputs!$K$5:$AJ$200,0,MATCH(U$2,Inputs!$K$4:$AJ$4,0)))+SUMPRODUCT((Inputs!$C$5:$C$200=$B58)*Inputs!$D$5:$D$200*(((Inputs!$G$5:$G$200="moeda")+(Inputs!$G$5:$G$200="acoes"))*Inputs!$B$1+((Inputs!$G$5:$G$200&lt;&gt;"moeda")*(Inputs!$G$5:$G$200&lt;&gt;"acoes")))*INDEX(Inputs!$K$5:$AJ$200,0,MATCH(U$2,Inputs!$K$4:$AJ$4,0)))+SUMPRODUCT((Inputs!$E$5:$E$200=$B58)*Inputs!$F$5:$F$200*(((Inputs!$G$5:$G$200="moeda")+(Inputs!$G$5:$G$200="acoes"))*Inputs!$B$1+((Inputs!$G$5:$G$200&lt;&gt;"moeda")*(Inputs!$G$5:$G$200&lt;&gt;"acoes")))*INDEX(Inputs!$K$5:$AJ$200,0,MATCH(U$2,Inputs!$K$4:$AJ$4,0)))))</f>
        <v>2161.3</v>
      </c>
      <c r="V58" s="262">
        <f>IF(ISNA(MATCH(V$2,Inputs!$K$4:$AJ$4,0)),NA(),IF(SUMPRODUCT((Inputs!$A$5:$A$200=$B58)*ISNUMBER(INDEX(Inputs!$K$5:$AJ$200,0,MATCH(V$2,Inputs!$K$4:$AJ$4,0))))+SUMPRODUCT((Inputs!$C$5:$C$200=$B58)*ISNUMBER(INDEX(Inputs!$K$5:$AJ$200,0,MATCH(V$2,Inputs!$K$4:$AJ$4,0))))+SUMPRODUCT((Inputs!$E$5:$E$200=$B58)*ISNUMBER(INDEX(Inputs!$K$5:$AJ$200,0,MATCH(V$2,Inputs!$K$4:$AJ$4,0))))=0,NA(),SUMPRODUCT((Inputs!$A$5:$A$200=$B58)*Inputs!$B$5:$B$200*(((Inputs!$G$5:$G$200="moeda")+(Inputs!$G$5:$G$200="acoes"))*Inputs!$B$1+((Inputs!$G$5:$G$200&lt;&gt;"moeda")*(Inputs!$G$5:$G$200&lt;&gt;"acoes")))*INDEX(Inputs!$K$5:$AJ$200,0,MATCH(V$2,Inputs!$K$4:$AJ$4,0)))+SUMPRODUCT((Inputs!$C$5:$C$200=$B58)*Inputs!$D$5:$D$200*(((Inputs!$G$5:$G$200="moeda")+(Inputs!$G$5:$G$200="acoes"))*Inputs!$B$1+((Inputs!$G$5:$G$200&lt;&gt;"moeda")*(Inputs!$G$5:$G$200&lt;&gt;"acoes")))*INDEX(Inputs!$K$5:$AJ$200,0,MATCH(V$2,Inputs!$K$4:$AJ$4,0)))+SUMPRODUCT((Inputs!$E$5:$E$200=$B58)*Inputs!$F$5:$F$200*(((Inputs!$G$5:$G$200="moeda")+(Inputs!$G$5:$G$200="acoes"))*Inputs!$B$1+((Inputs!$G$5:$G$200&lt;&gt;"moeda")*(Inputs!$G$5:$G$200&lt;&gt;"acoes")))*INDEX(Inputs!$K$5:$AJ$200,0,MATCH(V$2,Inputs!$K$4:$AJ$4,0)))))</f>
        <v>2148.8</v>
      </c>
      <c r="W58" s="263">
        <f>SUM(S58:V58)</f>
        <v>8676.1</v>
      </c>
      <c r="X58" s="262">
        <f>IF(ISNA(MATCH(X$2,Inputs!$K$4:$AJ$4,0)),NA(),IF(SUMPRODUCT((Inputs!$A$5:$A$200=$B58)*ISNUMBER(INDEX(Inputs!$K$5:$AJ$200,0,MATCH(X$2,Inputs!$K$4:$AJ$4,0))))+SUMPRODUCT((Inputs!$C$5:$C$200=$B58)*ISNUMBER(INDEX(Inputs!$K$5:$AJ$200,0,MATCH(X$2,Inputs!$K$4:$AJ$4,0))))+SUMPRODUCT((Inputs!$E$5:$E$200=$B58)*ISNUMBER(INDEX(Inputs!$K$5:$AJ$200,0,MATCH(X$2,Inputs!$K$4:$AJ$4,0))))=0,NA(),SUMPRODUCT((Inputs!$A$5:$A$200=$B58)*Inputs!$B$5:$B$200*(((Inputs!$G$5:$G$200="moeda")+(Inputs!$G$5:$G$200="acoes"))*Inputs!$B$1+((Inputs!$G$5:$G$200&lt;&gt;"moeda")*(Inputs!$G$5:$G$200&lt;&gt;"acoes")))*INDEX(Inputs!$K$5:$AJ$200,0,MATCH(X$2,Inputs!$K$4:$AJ$4,0)))+SUMPRODUCT((Inputs!$C$5:$C$200=$B58)*Inputs!$D$5:$D$200*(((Inputs!$G$5:$G$200="moeda")+(Inputs!$G$5:$G$200="acoes"))*Inputs!$B$1+((Inputs!$G$5:$G$200&lt;&gt;"moeda")*(Inputs!$G$5:$G$200&lt;&gt;"acoes")))*INDEX(Inputs!$K$5:$AJ$200,0,MATCH(X$2,Inputs!$K$4:$AJ$4,0)))+SUMPRODUCT((Inputs!$E$5:$E$200=$B58)*Inputs!$F$5:$F$200*(((Inputs!$G$5:$G$200="moeda")+(Inputs!$G$5:$G$200="acoes"))*Inputs!$B$1+((Inputs!$G$5:$G$200&lt;&gt;"moeda")*(Inputs!$G$5:$G$200&lt;&gt;"acoes")))*INDEX(Inputs!$K$5:$AJ$200,0,MATCH(X$2,Inputs!$K$4:$AJ$4,0)))))</f>
        <v>2175.8</v>
      </c>
      <c r="Y58" s="262">
        <f>IF(ISNA(MATCH(Y$2,Inputs!$K$4:$AJ$4,0)),NA(),IF(SUMPRODUCT((Inputs!$A$5:$A$200=$B58)*ISNUMBER(INDEX(Inputs!$K$5:$AJ$200,0,MATCH(Y$2,Inputs!$K$4:$AJ$4,0))))+SUMPRODUCT((Inputs!$C$5:$C$200=$B58)*ISNUMBER(INDEX(Inputs!$K$5:$AJ$200,0,MATCH(Y$2,Inputs!$K$4:$AJ$4,0))))+SUMPRODUCT((Inputs!$E$5:$E$200=$B58)*ISNUMBER(INDEX(Inputs!$K$5:$AJ$200,0,MATCH(Y$2,Inputs!$K$4:$AJ$4,0))))=0,NA(),SUMPRODUCT((Inputs!$A$5:$A$200=$B58)*Inputs!$B$5:$B$200*(((Inputs!$G$5:$G$200="moeda")+(Inputs!$G$5:$G$200="acoes"))*Inputs!$B$1+((Inputs!$G$5:$G$200&lt;&gt;"moeda")*(Inputs!$G$5:$G$200&lt;&gt;"acoes")))*INDEX(Inputs!$K$5:$AJ$200,0,MATCH(Y$2,Inputs!$K$4:$AJ$4,0)))+SUMPRODUCT((Inputs!$C$5:$C$200=$B58)*Inputs!$D$5:$D$200*(((Inputs!$G$5:$G$200="moeda")+(Inputs!$G$5:$G$200="acoes"))*Inputs!$B$1+((Inputs!$G$5:$G$200&lt;&gt;"moeda")*(Inputs!$G$5:$G$200&lt;&gt;"acoes")))*INDEX(Inputs!$K$5:$AJ$200,0,MATCH(Y$2,Inputs!$K$4:$AJ$4,0)))+SUMPRODUCT((Inputs!$E$5:$E$200=$B58)*Inputs!$F$5:$F$200*(((Inputs!$G$5:$G$200="moeda")+(Inputs!$G$5:$G$200="acoes"))*Inputs!$B$1+((Inputs!$G$5:$G$200&lt;&gt;"moeda")*(Inputs!$G$5:$G$200&lt;&gt;"acoes")))*INDEX(Inputs!$K$5:$AJ$200,0,MATCH(Y$2,Inputs!$K$4:$AJ$4,0)))))</f>
        <v>2213.5</v>
      </c>
      <c r="Z58" s="262">
        <f>IF(ISNA(MATCH(Z$2,Inputs!$K$4:$AJ$4,0)),NA(),IF(SUMPRODUCT((Inputs!$A$5:$A$200=$B58)*ISNUMBER(INDEX(Inputs!$K$5:$AJ$200,0,MATCH(Z$2,Inputs!$K$4:$AJ$4,0))))+SUMPRODUCT((Inputs!$C$5:$C$200=$B58)*ISNUMBER(INDEX(Inputs!$K$5:$AJ$200,0,MATCH(Z$2,Inputs!$K$4:$AJ$4,0))))+SUMPRODUCT((Inputs!$E$5:$E$200=$B58)*ISNUMBER(INDEX(Inputs!$K$5:$AJ$200,0,MATCH(Z$2,Inputs!$K$4:$AJ$4,0))))=0,NA(),SUMPRODUCT((Inputs!$A$5:$A$200=$B58)*Inputs!$B$5:$B$200*(((Inputs!$G$5:$G$200="moeda")+(Inputs!$G$5:$G$200="acoes"))*Inputs!$B$1+((Inputs!$G$5:$G$200&lt;&gt;"moeda")*(Inputs!$G$5:$G$200&lt;&gt;"acoes")))*INDEX(Inputs!$K$5:$AJ$200,0,MATCH(Z$2,Inputs!$K$4:$AJ$4,0)))+SUMPRODUCT((Inputs!$C$5:$C$200=$B58)*Inputs!$D$5:$D$200*(((Inputs!$G$5:$G$200="moeda")+(Inputs!$G$5:$G$200="acoes"))*Inputs!$B$1+((Inputs!$G$5:$G$200&lt;&gt;"moeda")*(Inputs!$G$5:$G$200&lt;&gt;"acoes")))*INDEX(Inputs!$K$5:$AJ$200,0,MATCH(Z$2,Inputs!$K$4:$AJ$4,0)))+SUMPRODUCT((Inputs!$E$5:$E$200=$B58)*Inputs!$F$5:$F$200*(((Inputs!$G$5:$G$200="moeda")+(Inputs!$G$5:$G$200="acoes"))*Inputs!$B$1+((Inputs!$G$5:$G$200&lt;&gt;"moeda")*(Inputs!$G$5:$G$200&lt;&gt;"acoes")))*INDEX(Inputs!$K$5:$AJ$200,0,MATCH(Z$2,Inputs!$K$4:$AJ$4,0)))))</f>
        <v>2226.9</v>
      </c>
      <c r="AA58" s="262">
        <f>IF(ISNA(MATCH(AA$2,Inputs!$K$4:$AJ$4,0)),NA(),IF(SUMPRODUCT((Inputs!$A$5:$A$200=$B58)*ISNUMBER(INDEX(Inputs!$K$5:$AJ$200,0,MATCH(AA$2,Inputs!$K$4:$AJ$4,0))))+SUMPRODUCT((Inputs!$C$5:$C$200=$B58)*ISNUMBER(INDEX(Inputs!$K$5:$AJ$200,0,MATCH(AA$2,Inputs!$K$4:$AJ$4,0))))+SUMPRODUCT((Inputs!$E$5:$E$200=$B58)*ISNUMBER(INDEX(Inputs!$K$5:$AJ$200,0,MATCH(AA$2,Inputs!$K$4:$AJ$4,0))))=0,NA(),SUMPRODUCT((Inputs!$A$5:$A$200=$B58)*Inputs!$B$5:$B$200*(((Inputs!$G$5:$G$200="moeda")+(Inputs!$G$5:$G$200="acoes"))*Inputs!$B$1+((Inputs!$G$5:$G$200&lt;&gt;"moeda")*(Inputs!$G$5:$G$200&lt;&gt;"acoes")))*INDEX(Inputs!$K$5:$AJ$200,0,MATCH(AA$2,Inputs!$K$4:$AJ$4,0)))+SUMPRODUCT((Inputs!$C$5:$C$200=$B58)*Inputs!$D$5:$D$200*(((Inputs!$G$5:$G$200="moeda")+(Inputs!$G$5:$G$200="acoes"))*Inputs!$B$1+((Inputs!$G$5:$G$200&lt;&gt;"moeda")*(Inputs!$G$5:$G$200&lt;&gt;"acoes")))*INDEX(Inputs!$K$5:$AJ$200,0,MATCH(AA$2,Inputs!$K$4:$AJ$4,0)))+SUMPRODUCT((Inputs!$E$5:$E$200=$B58)*Inputs!$F$5:$F$200*(((Inputs!$G$5:$G$200="moeda")+(Inputs!$G$5:$G$200="acoes"))*Inputs!$B$1+((Inputs!$G$5:$G$200&lt;&gt;"moeda")*(Inputs!$G$5:$G$200&lt;&gt;"acoes")))*INDEX(Inputs!$K$5:$AJ$200,0,MATCH(AA$2,Inputs!$K$4:$AJ$4,0)))))</f>
        <v>2249.5</v>
      </c>
      <c r="AB58" s="263">
        <f>SUM(X58:AA58)</f>
        <v>8865.7</v>
      </c>
      <c r="AC58" s="262">
        <f>IF(ISNA(MATCH(AC$2,Inputs!$K$4:$AJ$4,0)),NA(),IF(SUMPRODUCT((Inputs!$A$5:$A$200=$B58)*ISNUMBER(INDEX(Inputs!$K$5:$AJ$200,0,MATCH(AC$2,Inputs!$K$4:$AJ$4,0))))+SUMPRODUCT((Inputs!$C$5:$C$200=$B58)*ISNUMBER(INDEX(Inputs!$K$5:$AJ$200,0,MATCH(AC$2,Inputs!$K$4:$AJ$4,0))))+SUMPRODUCT((Inputs!$E$5:$E$200=$B58)*ISNUMBER(INDEX(Inputs!$K$5:$AJ$200,0,MATCH(AC$2,Inputs!$K$4:$AJ$4,0))))=0,NA(),SUMPRODUCT((Inputs!$A$5:$A$200=$B58)*Inputs!$B$5:$B$200*(((Inputs!$G$5:$G$200="moeda")+(Inputs!$G$5:$G$200="acoes"))*Inputs!$B$1+((Inputs!$G$5:$G$200&lt;&gt;"moeda")*(Inputs!$G$5:$G$200&lt;&gt;"acoes")))*INDEX(Inputs!$K$5:$AJ$200,0,MATCH(AC$2,Inputs!$K$4:$AJ$4,0)))+SUMPRODUCT((Inputs!$C$5:$C$200=$B58)*Inputs!$D$5:$D$200*(((Inputs!$G$5:$G$200="moeda")+(Inputs!$G$5:$G$200="acoes"))*Inputs!$B$1+((Inputs!$G$5:$G$200&lt;&gt;"moeda")*(Inputs!$G$5:$G$200&lt;&gt;"acoes")))*INDEX(Inputs!$K$5:$AJ$200,0,MATCH(AC$2,Inputs!$K$4:$AJ$4,0)))+SUMPRODUCT((Inputs!$E$5:$E$200=$B58)*Inputs!$F$5:$F$200*(((Inputs!$G$5:$G$200="moeda")+(Inputs!$G$5:$G$200="acoes"))*Inputs!$B$1+((Inputs!$G$5:$G$200&lt;&gt;"moeda")*(Inputs!$G$5:$G$200&lt;&gt;"acoes")))*INDEX(Inputs!$K$5:$AJ$200,0,MATCH(AC$2,Inputs!$K$4:$AJ$4,0)))))</f>
        <v>2306</v>
      </c>
      <c r="AD58" s="262">
        <f>IF(ISNA(MATCH(AD$2,Inputs!$K$4:$AJ$4,0)),NA(),IF(SUMPRODUCT((Inputs!$A$5:$A$200=$B58)*ISNUMBER(INDEX(Inputs!$K$5:$AJ$200,0,MATCH(AD$2,Inputs!$K$4:$AJ$4,0))))+SUMPRODUCT((Inputs!$C$5:$C$200=$B58)*ISNUMBER(INDEX(Inputs!$K$5:$AJ$200,0,MATCH(AD$2,Inputs!$K$4:$AJ$4,0))))+SUMPRODUCT((Inputs!$E$5:$E$200=$B58)*ISNUMBER(INDEX(Inputs!$K$5:$AJ$200,0,MATCH(AD$2,Inputs!$K$4:$AJ$4,0))))=0,NA(),SUMPRODUCT((Inputs!$A$5:$A$200=$B58)*Inputs!$B$5:$B$200*(((Inputs!$G$5:$G$200="moeda")+(Inputs!$G$5:$G$200="acoes"))*Inputs!$B$1+((Inputs!$G$5:$G$200&lt;&gt;"moeda")*(Inputs!$G$5:$G$200&lt;&gt;"acoes")))*INDEX(Inputs!$K$5:$AJ$200,0,MATCH(AD$2,Inputs!$K$4:$AJ$4,0)))+SUMPRODUCT((Inputs!$C$5:$C$200=$B58)*Inputs!$D$5:$D$200*(((Inputs!$G$5:$G$200="moeda")+(Inputs!$G$5:$G$200="acoes"))*Inputs!$B$1+((Inputs!$G$5:$G$200&lt;&gt;"moeda")*(Inputs!$G$5:$G$200&lt;&gt;"acoes")))*INDEX(Inputs!$K$5:$AJ$200,0,MATCH(AD$2,Inputs!$K$4:$AJ$4,0)))+SUMPRODUCT((Inputs!$E$5:$E$200=$B58)*Inputs!$F$5:$F$200*(((Inputs!$G$5:$G$200="moeda")+(Inputs!$G$5:$G$200="acoes"))*Inputs!$B$1+((Inputs!$G$5:$G$200&lt;&gt;"moeda")*(Inputs!$G$5:$G$200&lt;&gt;"acoes")))*INDEX(Inputs!$K$5:$AJ$200,0,MATCH(AD$2,Inputs!$K$4:$AJ$4,0)))))</f>
        <v>2449.4</v>
      </c>
      <c r="AE58" s="262" t="e">
        <f>IF(ISNA(MATCH(AE$2,Inputs!$K$4:$AJ$4,0)),NA(),IF(SUMPRODUCT((Inputs!$A$5:$A$200=$B58)*ISNUMBER(INDEX(Inputs!$K$5:$AJ$200,0,MATCH(AE$2,Inputs!$K$4:$AJ$4,0))))+SUMPRODUCT((Inputs!$C$5:$C$200=$B58)*ISNUMBER(INDEX(Inputs!$K$5:$AJ$200,0,MATCH(AE$2,Inputs!$K$4:$AJ$4,0))))+SUMPRODUCT((Inputs!$E$5:$E$200=$B58)*ISNUMBER(INDEX(Inputs!$K$5:$AJ$200,0,MATCH(AE$2,Inputs!$K$4:$AJ$4,0))))=0,NA(),SUMPRODUCT((Inputs!$A$5:$A$200=$B58)*Inputs!$B$5:$B$200*(((Inputs!$G$5:$G$200="moeda")+(Inputs!$G$5:$G$200="acoes"))*Inputs!$B$1+((Inputs!$G$5:$G$200&lt;&gt;"moeda")*(Inputs!$G$5:$G$200&lt;&gt;"acoes")))*INDEX(Inputs!$K$5:$AJ$200,0,MATCH(AE$2,Inputs!$K$4:$AJ$4,0)))+SUMPRODUCT((Inputs!$C$5:$C$200=$B58)*Inputs!$D$5:$D$200*(((Inputs!$G$5:$G$200="moeda")+(Inputs!$G$5:$G$200="acoes"))*Inputs!$B$1+((Inputs!$G$5:$G$200&lt;&gt;"moeda")*(Inputs!$G$5:$G$200&lt;&gt;"acoes")))*INDEX(Inputs!$K$5:$AJ$200,0,MATCH(AE$2,Inputs!$K$4:$AJ$4,0)))+SUMPRODUCT((Inputs!$E$5:$E$200=$B58)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8" s="262" t="e">
        <f>IF(ISNA(MATCH(AF$2,Inputs!$K$4:$AJ$4,0)),NA(),IF(SUMPRODUCT((Inputs!$A$5:$A$200=$B58)*ISNUMBER(INDEX(Inputs!$K$5:$AJ$200,0,MATCH(AF$2,Inputs!$K$4:$AJ$4,0))))+SUMPRODUCT((Inputs!$C$5:$C$200=$B58)*ISNUMBER(INDEX(Inputs!$K$5:$AJ$200,0,MATCH(AF$2,Inputs!$K$4:$AJ$4,0))))+SUMPRODUCT((Inputs!$E$5:$E$200=$B58)*ISNUMBER(INDEX(Inputs!$K$5:$AJ$200,0,MATCH(AF$2,Inputs!$K$4:$AJ$4,0))))=0,NA(),SUMPRODUCT((Inputs!$A$5:$A$200=$B58)*Inputs!$B$5:$B$200*(((Inputs!$G$5:$G$200="moeda")+(Inputs!$G$5:$G$200="acoes"))*Inputs!$B$1+((Inputs!$G$5:$G$200&lt;&gt;"moeda")*(Inputs!$G$5:$G$200&lt;&gt;"acoes")))*INDEX(Inputs!$K$5:$AJ$200,0,MATCH(AF$2,Inputs!$K$4:$AJ$4,0)))+SUMPRODUCT((Inputs!$C$5:$C$200=$B58)*Inputs!$D$5:$D$200*(((Inputs!$G$5:$G$200="moeda")+(Inputs!$G$5:$G$200="acoes"))*Inputs!$B$1+((Inputs!$G$5:$G$200&lt;&gt;"moeda")*(Inputs!$G$5:$G$200&lt;&gt;"acoes")))*INDEX(Inputs!$K$5:$AJ$200,0,MATCH(AF$2,Inputs!$K$4:$AJ$4,0)))+SUMPRODUCT((Inputs!$E$5:$E$200=$B58)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8" s="263" t="e">
        <f>SUM(AC58:AF58)</f>
        <v>#N/A</v>
      </c>
      <c r="AH58" s="262">
        <f>IF(ISNA(MATCH(AH$2,Inputs!$K$4:$AJ$4,0)),NA(),IF(SUMPRODUCT((Inputs!$A$5:$A$200=$B58)*ISNUMBER(INDEX(Inputs!$K$5:$AJ$200,0,MATCH(AH$2,Inputs!$K$4:$AJ$4,0))))+SUMPRODUCT((Inputs!$C$5:$C$200=$B58)*ISNUMBER(INDEX(Inputs!$K$5:$AJ$200,0,MATCH(AH$2,Inputs!$K$4:$AJ$4,0))))+SUMPRODUCT((Inputs!$E$5:$E$200=$B58)*ISNUMBER(INDEX(Inputs!$K$5:$AJ$200,0,MATCH(AH$2,Inputs!$K$4:$AJ$4,0))))=0,NA(),SUMPRODUCT((Inputs!$A$5:$A$200=$B58)*Inputs!$B$5:$B$200*(((Inputs!$G$5:$G$200="moeda")+(Inputs!$G$5:$G$200="acoes"))*Inputs!$B$1+((Inputs!$G$5:$G$200&lt;&gt;"moeda")*(Inputs!$G$5:$G$200&lt;&gt;"acoes")))*INDEX(Inputs!$K$5:$AJ$200,0,MATCH(AH$2,Inputs!$K$4:$AJ$4,0)))+SUMPRODUCT((Inputs!$C$5:$C$200=$B58)*Inputs!$D$5:$D$200*(((Inputs!$G$5:$G$200="moeda")+(Inputs!$G$5:$G$200="acoes"))*Inputs!$B$1+((Inputs!$G$5:$G$200&lt;&gt;"moeda")*(Inputs!$G$5:$G$200&lt;&gt;"acoes")))*INDEX(Inputs!$K$5:$AJ$200,0,MATCH(AH$2,Inputs!$K$4:$AJ$4,0)))+SUMPRODUCT((Inputs!$E$5:$E$200=$B58)*Inputs!$F$5:$F$200*(((Inputs!$G$5:$G$200="moeda")+(Inputs!$G$5:$G$200="acoes"))*Inputs!$B$1+((Inputs!$G$5:$G$200&lt;&gt;"moeda")*(Inputs!$G$5:$G$200&lt;&gt;"acoes")))*INDEX(Inputs!$K$5:$AJ$200,0,MATCH(AH$2,Inputs!$K$4:$AJ$4,0)))))</f>
        <v>1265.178</v>
      </c>
      <c r="AI58" s="262">
        <f>IF(ISNA(MATCH(AI$2,Inputs!$K$4:$AJ$4,0)),NA(),IF(SUMPRODUCT((Inputs!$A$5:$A$200=$B58)*ISNUMBER(INDEX(Inputs!$K$5:$AJ$200,0,MATCH(AI$2,Inputs!$K$4:$AJ$4,0))))+SUMPRODUCT((Inputs!$C$5:$C$200=$B58)*ISNUMBER(INDEX(Inputs!$K$5:$AJ$200,0,MATCH(AI$2,Inputs!$K$4:$AJ$4,0))))+SUMPRODUCT((Inputs!$E$5:$E$200=$B58)*ISNUMBER(INDEX(Inputs!$K$5:$AJ$200,0,MATCH(AI$2,Inputs!$K$4:$AJ$4,0))))=0,NA(),SUMPRODUCT((Inputs!$A$5:$A$200=$B58)*Inputs!$B$5:$B$200*(((Inputs!$G$5:$G$200="moeda")+(Inputs!$G$5:$G$200="acoes"))*Inputs!$B$1+((Inputs!$G$5:$G$200&lt;&gt;"moeda")*(Inputs!$G$5:$G$200&lt;&gt;"acoes")))*INDEX(Inputs!$K$5:$AJ$200,0,MATCH(AI$2,Inputs!$K$4:$AJ$4,0)))+SUMPRODUCT((Inputs!$C$5:$C$200=$B58)*Inputs!$D$5:$D$200*(((Inputs!$G$5:$G$200="moeda")+(Inputs!$G$5:$G$200="acoes"))*Inputs!$B$1+((Inputs!$G$5:$G$200&lt;&gt;"moeda")*(Inputs!$G$5:$G$200&lt;&gt;"acoes")))*INDEX(Inputs!$K$5:$AJ$200,0,MATCH(AI$2,Inputs!$K$4:$AJ$4,0)))+SUMPRODUCT((Inputs!$E$5:$E$200=$B58)*Inputs!$F$5:$F$200*(((Inputs!$G$5:$G$200="moeda")+(Inputs!$G$5:$G$200="acoes"))*Inputs!$B$1+((Inputs!$G$5:$G$200&lt;&gt;"moeda")*(Inputs!$G$5:$G$200&lt;&gt;"acoes")))*INDEX(Inputs!$K$5:$AJ$200,0,MATCH(AI$2,Inputs!$K$4:$AJ$4,0)))))</f>
        <v>1148.1</v>
      </c>
      <c r="AJ58" s="262">
        <f>IF(ISNA(MATCH(AJ$2,Inputs!$K$4:$AJ$4,0)),NA(),IF(SUMPRODUCT((Inputs!$A$5:$A$200=$B58)*ISNUMBER(INDEX(Inputs!$K$5:$AJ$200,0,MATCH(AJ$2,Inputs!$K$4:$AJ$4,0))))+SUMPRODUCT((Inputs!$C$5:$C$200=$B58)*ISNUMBER(INDEX(Inputs!$K$5:$AJ$200,0,MATCH(AJ$2,Inputs!$K$4:$AJ$4,0))))+SUMPRODUCT((Inputs!$E$5:$E$200=$B58)*ISNUMBER(INDEX(Inputs!$K$5:$AJ$200,0,MATCH(AJ$2,Inputs!$K$4:$AJ$4,0))))=0,NA(),SUMPRODUCT((Inputs!$A$5:$A$200=$B58)*Inputs!$B$5:$B$200*(((Inputs!$G$5:$G$200="moeda")+(Inputs!$G$5:$G$200="acoes"))*Inputs!$B$1+((Inputs!$G$5:$G$200&lt;&gt;"moeda")*(Inputs!$G$5:$G$200&lt;&gt;"acoes")))*INDEX(Inputs!$K$5:$AJ$200,0,MATCH(AJ$2,Inputs!$K$4:$AJ$4,0)))+SUMPRODUCT((Inputs!$C$5:$C$200=$B58)*Inputs!$D$5:$D$200*(((Inputs!$G$5:$G$200="moeda")+(Inputs!$G$5:$G$200="acoes"))*Inputs!$B$1+((Inputs!$G$5:$G$200&lt;&gt;"moeda")*(Inputs!$G$5:$G$200&lt;&gt;"acoes")))*INDEX(Inputs!$K$5:$AJ$200,0,MATCH(AJ$2,Inputs!$K$4:$AJ$4,0)))+SUMPRODUCT((Inputs!$E$5:$E$200=$B58)*Inputs!$F$5:$F$200*(((Inputs!$G$5:$G$200="moeda")+(Inputs!$G$5:$G$200="acoes"))*Inputs!$B$1+((Inputs!$G$5:$G$200&lt;&gt;"moeda")*(Inputs!$G$5:$G$200&lt;&gt;"acoes")))*INDEX(Inputs!$K$5:$AJ$200,0,MATCH(AJ$2,Inputs!$K$4:$AJ$4,0)))))</f>
        <v>1217.4</v>
      </c>
      <c r="AK58" s="262">
        <f>IF(ISNA(MATCH(AK$2,Inputs!$K$4:$AJ$4,0)),NA(),IF(SUMPRODUCT((Inputs!$A$5:$A$200=$B58)*ISNUMBER(INDEX(Inputs!$K$5:$AJ$200,0,MATCH(AK$2,Inputs!$K$4:$AJ$4,0))))+SUMPRODUCT((Inputs!$C$5:$C$200=$B58)*ISNUMBER(INDEX(Inputs!$K$5:$AJ$200,0,MATCH(AK$2,Inputs!$K$4:$AJ$4,0))))+SUMPRODUCT((Inputs!$E$5:$E$200=$B58)*ISNUMBER(INDEX(Inputs!$K$5:$AJ$200,0,MATCH(AK$2,Inputs!$K$4:$AJ$4,0))))=0,NA(),SUMPRODUCT((Inputs!$A$5:$A$200=$B58)*Inputs!$B$5:$B$200*(((Inputs!$G$5:$G$200="moeda")+(Inputs!$G$5:$G$200="acoes"))*Inputs!$B$1+((Inputs!$G$5:$G$200&lt;&gt;"moeda")*(Inputs!$G$5:$G$200&lt;&gt;"acoes")))*INDEX(Inputs!$K$5:$AJ$200,0,MATCH(AK$2,Inputs!$K$4:$AJ$4,0)))+SUMPRODUCT((Inputs!$C$5:$C$200=$B58)*Inputs!$D$5:$D$200*(((Inputs!$G$5:$G$200="moeda")+(Inputs!$G$5:$G$200="acoes"))*Inputs!$B$1+((Inputs!$G$5:$G$200&lt;&gt;"moeda")*(Inputs!$G$5:$G$200&lt;&gt;"acoes")))*INDEX(Inputs!$K$5:$AJ$200,0,MATCH(AK$2,Inputs!$K$4:$AJ$4,0)))+SUMPRODUCT((Inputs!$E$5:$E$200=$B58)*Inputs!$F$5:$F$200*(((Inputs!$G$5:$G$200="moeda")+(Inputs!$G$5:$G$200="acoes"))*Inputs!$B$1+((Inputs!$G$5:$G$200&lt;&gt;"moeda")*(Inputs!$G$5:$G$200&lt;&gt;"acoes")))*INDEX(Inputs!$K$5:$AJ$200,0,MATCH(AK$2,Inputs!$K$4:$AJ$4,0)))))</f>
        <v>1181.2134</v>
      </c>
      <c r="AL58" s="263">
        <f>SUM(AH58:AK58)</f>
        <v>4811.8914</v>
      </c>
    </row>
    <row r="59">
      <c r="B59" s="46" t="n">
        <v>51</v>
      </c>
      <c r="C59" s="29" t="inlineStr">
        <is>
          <t>Volume recebido nas unidades de beneficiamento (mil t)</t>
        </is>
      </c>
      <c r="D59" s="262">
        <f>IF(ISNA(MATCH(D$2,Inputs!$K$4:$AJ$4,0)),NA(),IF(SUMPRODUCT((Inputs!$A$5:$A$200=$B59)*ISNUMBER(INDEX(Inputs!$K$5:$AJ$200,0,MATCH(D$2,Inputs!$K$4:$AJ$4,0))))+SUMPRODUCT((Inputs!$C$5:$C$200=$B59)*ISNUMBER(INDEX(Inputs!$K$5:$AJ$200,0,MATCH(D$2,Inputs!$K$4:$AJ$4,0))))+SUMPRODUCT((Inputs!$E$5:$E$200=$B59)*ISNUMBER(INDEX(Inputs!$K$5:$AJ$200,0,MATCH(D$2,Inputs!$K$4:$AJ$4,0))))=0,NA(),SUMPRODUCT((Inputs!$A$5:$A$200=$B59)*Inputs!$B$5:$B$200*(((Inputs!$G$5:$G$200="moeda")+(Inputs!$G$5:$G$200="acoes"))*Inputs!$B$1+((Inputs!$G$5:$G$200&lt;&gt;"moeda")*(Inputs!$G$5:$G$200&lt;&gt;"acoes")))*INDEX(Inputs!$K$5:$AJ$200,0,MATCH(D$2,Inputs!$K$4:$AJ$4,0)))+SUMPRODUCT((Inputs!$C$5:$C$200=$B59)*Inputs!$D$5:$D$200*(((Inputs!$G$5:$G$200="moeda")+(Inputs!$G$5:$G$200="acoes"))*Inputs!$B$1+((Inputs!$G$5:$G$200&lt;&gt;"moeda")*(Inputs!$G$5:$G$200&lt;&gt;"acoes")))*INDEX(Inputs!$K$5:$AJ$200,0,MATCH(D$2,Inputs!$K$4:$AJ$4,0)))+SUMPRODUCT((Inputs!$E$5:$E$200=$B59)*Inputs!$F$5:$F$200*(((Inputs!$G$5:$G$200="moeda")+(Inputs!$G$5:$G$200="acoes"))*Inputs!$B$1+((Inputs!$G$5:$G$200&lt;&gt;"moeda")*(Inputs!$G$5:$G$200&lt;&gt;"acoes")))*INDEX(Inputs!$K$5:$AJ$200,0,MATCH(D$2,Inputs!$K$4:$AJ$4,0)))))</f>
        <v>4.726</v>
      </c>
      <c r="E59" s="262">
        <f>IF(ISNA(MATCH(E$2,Inputs!$K$4:$AJ$4,0)),NA(),IF(SUMPRODUCT((Inputs!$A$5:$A$200=$B59)*ISNUMBER(INDEX(Inputs!$K$5:$AJ$200,0,MATCH(E$2,Inputs!$K$4:$AJ$4,0))))+SUMPRODUCT((Inputs!$C$5:$C$200=$B59)*ISNUMBER(INDEX(Inputs!$K$5:$AJ$200,0,MATCH(E$2,Inputs!$K$4:$AJ$4,0))))+SUMPRODUCT((Inputs!$E$5:$E$200=$B59)*ISNUMBER(INDEX(Inputs!$K$5:$AJ$200,0,MATCH(E$2,Inputs!$K$4:$AJ$4,0))))=0,NA(),SUMPRODUCT((Inputs!$A$5:$A$200=$B59)*Inputs!$B$5:$B$200*(((Inputs!$G$5:$G$200="moeda")+(Inputs!$G$5:$G$200="acoes"))*Inputs!$B$1+((Inputs!$G$5:$G$200&lt;&gt;"moeda")*(Inputs!$G$5:$G$200&lt;&gt;"acoes")))*INDEX(Inputs!$K$5:$AJ$200,0,MATCH(E$2,Inputs!$K$4:$AJ$4,0)))+SUMPRODUCT((Inputs!$C$5:$C$200=$B59)*Inputs!$D$5:$D$200*(((Inputs!$G$5:$G$200="moeda")+(Inputs!$G$5:$G$200="acoes"))*Inputs!$B$1+((Inputs!$G$5:$G$200&lt;&gt;"moeda")*(Inputs!$G$5:$G$200&lt;&gt;"acoes")))*INDEX(Inputs!$K$5:$AJ$200,0,MATCH(E$2,Inputs!$K$4:$AJ$4,0)))+SUMPRODUCT((Inputs!$E$5:$E$200=$B59)*Inputs!$F$5:$F$200*(((Inputs!$G$5:$G$200="moeda")+(Inputs!$G$5:$G$200="acoes"))*Inputs!$B$1+((Inputs!$G$5:$G$200&lt;&gt;"moeda")*(Inputs!$G$5:$G$200&lt;&gt;"acoes")))*INDEX(Inputs!$K$5:$AJ$200,0,MATCH(E$2,Inputs!$K$4:$AJ$4,0)))))</f>
        <v>4.1</v>
      </c>
      <c r="F59" s="262">
        <f>IF(ISNA(MATCH(F$2,Inputs!$K$4:$AJ$4,0)),NA(),IF(SUMPRODUCT((Inputs!$A$5:$A$200=$B59)*ISNUMBER(INDEX(Inputs!$K$5:$AJ$200,0,MATCH(F$2,Inputs!$K$4:$AJ$4,0))))+SUMPRODUCT((Inputs!$C$5:$C$200=$B59)*ISNUMBER(INDEX(Inputs!$K$5:$AJ$200,0,MATCH(F$2,Inputs!$K$4:$AJ$4,0))))+SUMPRODUCT((Inputs!$E$5:$E$200=$B59)*ISNUMBER(INDEX(Inputs!$K$5:$AJ$200,0,MATCH(F$2,Inputs!$K$4:$AJ$4,0))))=0,NA(),SUMPRODUCT((Inputs!$A$5:$A$200=$B59)*Inputs!$B$5:$B$200*(((Inputs!$G$5:$G$200="moeda")+(Inputs!$G$5:$G$200="acoes"))*Inputs!$B$1+((Inputs!$G$5:$G$200&lt;&gt;"moeda")*(Inputs!$G$5:$G$200&lt;&gt;"acoes")))*INDEX(Inputs!$K$5:$AJ$200,0,MATCH(F$2,Inputs!$K$4:$AJ$4,0)))+SUMPRODUCT((Inputs!$C$5:$C$200=$B59)*Inputs!$D$5:$D$200*(((Inputs!$G$5:$G$200="moeda")+(Inputs!$G$5:$G$200="acoes"))*Inputs!$B$1+((Inputs!$G$5:$G$200&lt;&gt;"moeda")*(Inputs!$G$5:$G$200&lt;&gt;"acoes")))*INDEX(Inputs!$K$5:$AJ$200,0,MATCH(F$2,Inputs!$K$4:$AJ$4,0)))+SUMPRODUCT((Inputs!$E$5:$E$200=$B59)*Inputs!$F$5:$F$200*(((Inputs!$G$5:$G$200="moeda")+(Inputs!$G$5:$G$200="acoes"))*Inputs!$B$1+((Inputs!$G$5:$G$200&lt;&gt;"moeda")*(Inputs!$G$5:$G$200&lt;&gt;"acoes")))*INDEX(Inputs!$K$5:$AJ$200,0,MATCH(F$2,Inputs!$K$4:$AJ$4,0)))))</f>
        <v>4.2</v>
      </c>
      <c r="G59" s="262">
        <f>IF(ISNA(MATCH(G$2,Inputs!$K$4:$AJ$4,0)),NA(),IF(SUMPRODUCT((Inputs!$A$5:$A$200=$B59)*ISNUMBER(INDEX(Inputs!$K$5:$AJ$200,0,MATCH(G$2,Inputs!$K$4:$AJ$4,0))))+SUMPRODUCT((Inputs!$C$5:$C$200=$B59)*ISNUMBER(INDEX(Inputs!$K$5:$AJ$200,0,MATCH(G$2,Inputs!$K$4:$AJ$4,0))))+SUMPRODUCT((Inputs!$E$5:$E$200=$B59)*ISNUMBER(INDEX(Inputs!$K$5:$AJ$200,0,MATCH(G$2,Inputs!$K$4:$AJ$4,0))))=0,NA(),SUMPRODUCT((Inputs!$A$5:$A$200=$B59)*Inputs!$B$5:$B$200*(((Inputs!$G$5:$G$200="moeda")+(Inputs!$G$5:$G$200="acoes"))*Inputs!$B$1+((Inputs!$G$5:$G$200&lt;&gt;"moeda")*(Inputs!$G$5:$G$200&lt;&gt;"acoes")))*INDEX(Inputs!$K$5:$AJ$200,0,MATCH(G$2,Inputs!$K$4:$AJ$4,0)))+SUMPRODUCT((Inputs!$C$5:$C$200=$B59)*Inputs!$D$5:$D$200*(((Inputs!$G$5:$G$200="moeda")+(Inputs!$G$5:$G$200="acoes"))*Inputs!$B$1+((Inputs!$G$5:$G$200&lt;&gt;"moeda")*(Inputs!$G$5:$G$200&lt;&gt;"acoes")))*INDEX(Inputs!$K$5:$AJ$200,0,MATCH(G$2,Inputs!$K$4:$AJ$4,0)))+SUMPRODUCT((Inputs!$E$5:$E$200=$B59)*Inputs!$F$5:$F$200*(((Inputs!$G$5:$G$200="moeda")+(Inputs!$G$5:$G$200="acoes"))*Inputs!$B$1+((Inputs!$G$5:$G$200&lt;&gt;"moeda")*(Inputs!$G$5:$G$200&lt;&gt;"acoes")))*INDEX(Inputs!$K$5:$AJ$200,0,MATCH(G$2,Inputs!$K$4:$AJ$4,0)))))</f>
        <v>6.6</v>
      </c>
      <c r="H59" s="263">
        <f>SUM(D59:G59)</f>
        <v>19.626</v>
      </c>
      <c r="I59" s="262">
        <f>IF(ISNA(MATCH(I$2,Inputs!$K$4:$AJ$4,0)),NA(),IF(SUMPRODUCT((Inputs!$A$5:$A$200=$B59)*ISNUMBER(INDEX(Inputs!$K$5:$AJ$200,0,MATCH(I$2,Inputs!$K$4:$AJ$4,0))))+SUMPRODUCT((Inputs!$C$5:$C$200=$B59)*ISNUMBER(INDEX(Inputs!$K$5:$AJ$200,0,MATCH(I$2,Inputs!$K$4:$AJ$4,0))))+SUMPRODUCT((Inputs!$E$5:$E$200=$B59)*ISNUMBER(INDEX(Inputs!$K$5:$AJ$200,0,MATCH(I$2,Inputs!$K$4:$AJ$4,0))))=0,NA(),SUMPRODUCT((Inputs!$A$5:$A$200=$B59)*Inputs!$B$5:$B$200*(((Inputs!$G$5:$G$200="moeda")+(Inputs!$G$5:$G$200="acoes"))*Inputs!$B$1+((Inputs!$G$5:$G$200&lt;&gt;"moeda")*(Inputs!$G$5:$G$200&lt;&gt;"acoes")))*INDEX(Inputs!$K$5:$AJ$200,0,MATCH(I$2,Inputs!$K$4:$AJ$4,0)))+SUMPRODUCT((Inputs!$C$5:$C$200=$B59)*Inputs!$D$5:$D$200*(((Inputs!$G$5:$G$200="moeda")+(Inputs!$G$5:$G$200="acoes"))*Inputs!$B$1+((Inputs!$G$5:$G$200&lt;&gt;"moeda")*(Inputs!$G$5:$G$200&lt;&gt;"acoes")))*INDEX(Inputs!$K$5:$AJ$200,0,MATCH(I$2,Inputs!$K$4:$AJ$4,0)))+SUMPRODUCT((Inputs!$E$5:$E$200=$B59)*Inputs!$F$5:$F$200*(((Inputs!$G$5:$G$200="moeda")+(Inputs!$G$5:$G$200="acoes"))*Inputs!$B$1+((Inputs!$G$5:$G$200&lt;&gt;"moeda")*(Inputs!$G$5:$G$200&lt;&gt;"acoes")))*INDEX(Inputs!$K$5:$AJ$200,0,MATCH(I$2,Inputs!$K$4:$AJ$4,0)))))</f>
        <v>24.2</v>
      </c>
      <c r="J59" s="262">
        <f>IF(ISNA(MATCH(J$2,Inputs!$K$4:$AJ$4,0)),NA(),IF(SUMPRODUCT((Inputs!$A$5:$A$200=$B59)*ISNUMBER(INDEX(Inputs!$K$5:$AJ$200,0,MATCH(J$2,Inputs!$K$4:$AJ$4,0))))+SUMPRODUCT((Inputs!$C$5:$C$200=$B59)*ISNUMBER(INDEX(Inputs!$K$5:$AJ$200,0,MATCH(J$2,Inputs!$K$4:$AJ$4,0))))+SUMPRODUCT((Inputs!$E$5:$E$200=$B59)*ISNUMBER(INDEX(Inputs!$K$5:$AJ$200,0,MATCH(J$2,Inputs!$K$4:$AJ$4,0))))=0,NA(),SUMPRODUCT((Inputs!$A$5:$A$200=$B59)*Inputs!$B$5:$B$200*(((Inputs!$G$5:$G$200="moeda")+(Inputs!$G$5:$G$200="acoes"))*Inputs!$B$1+((Inputs!$G$5:$G$200&lt;&gt;"moeda")*(Inputs!$G$5:$G$200&lt;&gt;"acoes")))*INDEX(Inputs!$K$5:$AJ$200,0,MATCH(J$2,Inputs!$K$4:$AJ$4,0)))+SUMPRODUCT((Inputs!$C$5:$C$200=$B59)*Inputs!$D$5:$D$200*(((Inputs!$G$5:$G$200="moeda")+(Inputs!$G$5:$G$200="acoes"))*Inputs!$B$1+((Inputs!$G$5:$G$200&lt;&gt;"moeda")*(Inputs!$G$5:$G$200&lt;&gt;"acoes")))*INDEX(Inputs!$K$5:$AJ$200,0,MATCH(J$2,Inputs!$K$4:$AJ$4,0)))+SUMPRODUCT((Inputs!$E$5:$E$200=$B59)*Inputs!$F$5:$F$200*(((Inputs!$G$5:$G$200="moeda")+(Inputs!$G$5:$G$200="acoes"))*Inputs!$B$1+((Inputs!$G$5:$G$200&lt;&gt;"moeda")*(Inputs!$G$5:$G$200&lt;&gt;"acoes")))*INDEX(Inputs!$K$5:$AJ$200,0,MATCH(J$2,Inputs!$K$4:$AJ$4,0)))))</f>
        <v>24.4</v>
      </c>
      <c r="K59" s="262">
        <f>IF(ISNA(MATCH(K$2,Inputs!$K$4:$AJ$4,0)),NA(),IF(SUMPRODUCT((Inputs!$A$5:$A$200=$B59)*ISNUMBER(INDEX(Inputs!$K$5:$AJ$200,0,MATCH(K$2,Inputs!$K$4:$AJ$4,0))))+SUMPRODUCT((Inputs!$C$5:$C$200=$B59)*ISNUMBER(INDEX(Inputs!$K$5:$AJ$200,0,MATCH(K$2,Inputs!$K$4:$AJ$4,0))))+SUMPRODUCT((Inputs!$E$5:$E$200=$B59)*ISNUMBER(INDEX(Inputs!$K$5:$AJ$200,0,MATCH(K$2,Inputs!$K$4:$AJ$4,0))))=0,NA(),SUMPRODUCT((Inputs!$A$5:$A$200=$B59)*Inputs!$B$5:$B$200*(((Inputs!$G$5:$G$200="moeda")+(Inputs!$G$5:$G$200="acoes"))*Inputs!$B$1+((Inputs!$G$5:$G$200&lt;&gt;"moeda")*(Inputs!$G$5:$G$200&lt;&gt;"acoes")))*INDEX(Inputs!$K$5:$AJ$200,0,MATCH(K$2,Inputs!$K$4:$AJ$4,0)))+SUMPRODUCT((Inputs!$C$5:$C$200=$B59)*Inputs!$D$5:$D$200*(((Inputs!$G$5:$G$200="moeda")+(Inputs!$G$5:$G$200="acoes"))*Inputs!$B$1+((Inputs!$G$5:$G$200&lt;&gt;"moeda")*(Inputs!$G$5:$G$200&lt;&gt;"acoes")))*INDEX(Inputs!$K$5:$AJ$200,0,MATCH(K$2,Inputs!$K$4:$AJ$4,0)))+SUMPRODUCT((Inputs!$E$5:$E$200=$B59)*Inputs!$F$5:$F$200*(((Inputs!$G$5:$G$200="moeda")+(Inputs!$G$5:$G$200="acoes"))*Inputs!$B$1+((Inputs!$G$5:$G$200&lt;&gt;"moeda")*(Inputs!$G$5:$G$200&lt;&gt;"acoes")))*INDEX(Inputs!$K$5:$AJ$200,0,MATCH(K$2,Inputs!$K$4:$AJ$4,0)))))</f>
        <v>23.662</v>
      </c>
      <c r="L59" s="262">
        <f>IF(ISNA(MATCH(L$2,Inputs!$K$4:$AJ$4,0)),NA(),IF(SUMPRODUCT((Inputs!$A$5:$A$200=$B59)*ISNUMBER(INDEX(Inputs!$K$5:$AJ$200,0,MATCH(L$2,Inputs!$K$4:$AJ$4,0))))+SUMPRODUCT((Inputs!$C$5:$C$200=$B59)*ISNUMBER(INDEX(Inputs!$K$5:$AJ$200,0,MATCH(L$2,Inputs!$K$4:$AJ$4,0))))+SUMPRODUCT((Inputs!$E$5:$E$200=$B59)*ISNUMBER(INDEX(Inputs!$K$5:$AJ$200,0,MATCH(L$2,Inputs!$K$4:$AJ$4,0))))=0,NA(),SUMPRODUCT((Inputs!$A$5:$A$200=$B59)*Inputs!$B$5:$B$200*(((Inputs!$G$5:$G$200="moeda")+(Inputs!$G$5:$G$200="acoes"))*Inputs!$B$1+((Inputs!$G$5:$G$200&lt;&gt;"moeda")*(Inputs!$G$5:$G$200&lt;&gt;"acoes")))*INDEX(Inputs!$K$5:$AJ$200,0,MATCH(L$2,Inputs!$K$4:$AJ$4,0)))+SUMPRODUCT((Inputs!$C$5:$C$200=$B59)*Inputs!$D$5:$D$200*(((Inputs!$G$5:$G$200="moeda")+(Inputs!$G$5:$G$200="acoes"))*Inputs!$B$1+((Inputs!$G$5:$G$200&lt;&gt;"moeda")*(Inputs!$G$5:$G$200&lt;&gt;"acoes")))*INDEX(Inputs!$K$5:$AJ$200,0,MATCH(L$2,Inputs!$K$4:$AJ$4,0)))+SUMPRODUCT((Inputs!$E$5:$E$200=$B59)*Inputs!$F$5:$F$200*(((Inputs!$G$5:$G$200="moeda")+(Inputs!$G$5:$G$200="acoes"))*Inputs!$B$1+((Inputs!$G$5:$G$200&lt;&gt;"moeda")*(Inputs!$G$5:$G$200&lt;&gt;"acoes")))*INDEX(Inputs!$K$5:$AJ$200,0,MATCH(L$2,Inputs!$K$4:$AJ$4,0)))))</f>
        <v>23.9</v>
      </c>
      <c r="M59" s="263">
        <f>SUM(I59:L59)</f>
        <v>96.162</v>
      </c>
      <c r="N59" s="262">
        <f>IF(ISNA(MATCH(N$2,Inputs!$K$4:$AJ$4,0)),NA(),IF(SUMPRODUCT((Inputs!$A$5:$A$200=$B59)*ISNUMBER(INDEX(Inputs!$K$5:$AJ$200,0,MATCH(N$2,Inputs!$K$4:$AJ$4,0))))+SUMPRODUCT((Inputs!$C$5:$C$200=$B59)*ISNUMBER(INDEX(Inputs!$K$5:$AJ$200,0,MATCH(N$2,Inputs!$K$4:$AJ$4,0))))+SUMPRODUCT((Inputs!$E$5:$E$200=$B59)*ISNUMBER(INDEX(Inputs!$K$5:$AJ$200,0,MATCH(N$2,Inputs!$K$4:$AJ$4,0))))=0,NA(),SUMPRODUCT((Inputs!$A$5:$A$200=$B59)*Inputs!$B$5:$B$200*(((Inputs!$G$5:$G$200="moeda")+(Inputs!$G$5:$G$200="acoes"))*Inputs!$B$1+((Inputs!$G$5:$G$200&lt;&gt;"moeda")*(Inputs!$G$5:$G$200&lt;&gt;"acoes")))*INDEX(Inputs!$K$5:$AJ$200,0,MATCH(N$2,Inputs!$K$4:$AJ$4,0)))+SUMPRODUCT((Inputs!$C$5:$C$200=$B59)*Inputs!$D$5:$D$200*(((Inputs!$G$5:$G$200="moeda")+(Inputs!$G$5:$G$200="acoes"))*Inputs!$B$1+((Inputs!$G$5:$G$200&lt;&gt;"moeda")*(Inputs!$G$5:$G$200&lt;&gt;"acoes")))*INDEX(Inputs!$K$5:$AJ$200,0,MATCH(N$2,Inputs!$K$4:$AJ$4,0)))+SUMPRODUCT((Inputs!$E$5:$E$200=$B59)*Inputs!$F$5:$F$200*(((Inputs!$G$5:$G$200="moeda")+(Inputs!$G$5:$G$200="acoes"))*Inputs!$B$1+((Inputs!$G$5:$G$200&lt;&gt;"moeda")*(Inputs!$G$5:$G$200&lt;&gt;"acoes")))*INDEX(Inputs!$K$5:$AJ$200,0,MATCH(N$2,Inputs!$K$4:$AJ$4,0)))))</f>
        <v>27.9</v>
      </c>
      <c r="O59" s="262">
        <f>IF(ISNA(MATCH(O$2,Inputs!$K$4:$AJ$4,0)),NA(),IF(SUMPRODUCT((Inputs!$A$5:$A$200=$B59)*ISNUMBER(INDEX(Inputs!$K$5:$AJ$200,0,MATCH(O$2,Inputs!$K$4:$AJ$4,0))))+SUMPRODUCT((Inputs!$C$5:$C$200=$B59)*ISNUMBER(INDEX(Inputs!$K$5:$AJ$200,0,MATCH(O$2,Inputs!$K$4:$AJ$4,0))))+SUMPRODUCT((Inputs!$E$5:$E$200=$B59)*ISNUMBER(INDEX(Inputs!$K$5:$AJ$200,0,MATCH(O$2,Inputs!$K$4:$AJ$4,0))))=0,NA(),SUMPRODUCT((Inputs!$A$5:$A$200=$B59)*Inputs!$B$5:$B$200*(((Inputs!$G$5:$G$200="moeda")+(Inputs!$G$5:$G$200="acoes"))*Inputs!$B$1+((Inputs!$G$5:$G$200&lt;&gt;"moeda")*(Inputs!$G$5:$G$200&lt;&gt;"acoes")))*INDEX(Inputs!$K$5:$AJ$200,0,MATCH(O$2,Inputs!$K$4:$AJ$4,0)))+SUMPRODUCT((Inputs!$C$5:$C$200=$B59)*Inputs!$D$5:$D$200*(((Inputs!$G$5:$G$200="moeda")+(Inputs!$G$5:$G$200="acoes"))*Inputs!$B$1+((Inputs!$G$5:$G$200&lt;&gt;"moeda")*(Inputs!$G$5:$G$200&lt;&gt;"acoes")))*INDEX(Inputs!$K$5:$AJ$200,0,MATCH(O$2,Inputs!$K$4:$AJ$4,0)))+SUMPRODUCT((Inputs!$E$5:$E$200=$B59)*Inputs!$F$5:$F$200*(((Inputs!$G$5:$G$200="moeda")+(Inputs!$G$5:$G$200="acoes"))*Inputs!$B$1+((Inputs!$G$5:$G$200&lt;&gt;"moeda")*(Inputs!$G$5:$G$200&lt;&gt;"acoes")))*INDEX(Inputs!$K$5:$AJ$200,0,MATCH(O$2,Inputs!$K$4:$AJ$4,0)))))</f>
        <v>28.5</v>
      </c>
      <c r="P59" s="262">
        <f>IF(ISNA(MATCH(P$2,Inputs!$K$4:$AJ$4,0)),NA(),IF(SUMPRODUCT((Inputs!$A$5:$A$200=$B59)*ISNUMBER(INDEX(Inputs!$K$5:$AJ$200,0,MATCH(P$2,Inputs!$K$4:$AJ$4,0))))+SUMPRODUCT((Inputs!$C$5:$C$200=$B59)*ISNUMBER(INDEX(Inputs!$K$5:$AJ$200,0,MATCH(P$2,Inputs!$K$4:$AJ$4,0))))+SUMPRODUCT((Inputs!$E$5:$E$200=$B59)*ISNUMBER(INDEX(Inputs!$K$5:$AJ$200,0,MATCH(P$2,Inputs!$K$4:$AJ$4,0))))=0,NA(),SUMPRODUCT((Inputs!$A$5:$A$200=$B59)*Inputs!$B$5:$B$200*(((Inputs!$G$5:$G$200="moeda")+(Inputs!$G$5:$G$200="acoes"))*Inputs!$B$1+((Inputs!$G$5:$G$200&lt;&gt;"moeda")*(Inputs!$G$5:$G$200&lt;&gt;"acoes")))*INDEX(Inputs!$K$5:$AJ$200,0,MATCH(P$2,Inputs!$K$4:$AJ$4,0)))+SUMPRODUCT((Inputs!$C$5:$C$200=$B59)*Inputs!$D$5:$D$200*(((Inputs!$G$5:$G$200="moeda")+(Inputs!$G$5:$G$200="acoes"))*Inputs!$B$1+((Inputs!$G$5:$G$200&lt;&gt;"moeda")*(Inputs!$G$5:$G$200&lt;&gt;"acoes")))*INDEX(Inputs!$K$5:$AJ$200,0,MATCH(P$2,Inputs!$K$4:$AJ$4,0)))+SUMPRODUCT((Inputs!$E$5:$E$200=$B59)*Inputs!$F$5:$F$200*(((Inputs!$G$5:$G$200="moeda")+(Inputs!$G$5:$G$200="acoes"))*Inputs!$B$1+((Inputs!$G$5:$G$200&lt;&gt;"moeda")*(Inputs!$G$5:$G$200&lt;&gt;"acoes")))*INDEX(Inputs!$K$5:$AJ$200,0,MATCH(P$2,Inputs!$K$4:$AJ$4,0)))))</f>
        <v>28.6</v>
      </c>
      <c r="Q59" s="262">
        <f>IF(ISNA(MATCH(Q$2,Inputs!$K$4:$AJ$4,0)),NA(),IF(SUMPRODUCT((Inputs!$A$5:$A$200=$B59)*ISNUMBER(INDEX(Inputs!$K$5:$AJ$200,0,MATCH(Q$2,Inputs!$K$4:$AJ$4,0))))+SUMPRODUCT((Inputs!$C$5:$C$200=$B59)*ISNUMBER(INDEX(Inputs!$K$5:$AJ$200,0,MATCH(Q$2,Inputs!$K$4:$AJ$4,0))))+SUMPRODUCT((Inputs!$E$5:$E$200=$B59)*ISNUMBER(INDEX(Inputs!$K$5:$AJ$200,0,MATCH(Q$2,Inputs!$K$4:$AJ$4,0))))=0,NA(),SUMPRODUCT((Inputs!$A$5:$A$200=$B59)*Inputs!$B$5:$B$200*(((Inputs!$G$5:$G$200="moeda")+(Inputs!$G$5:$G$200="acoes"))*Inputs!$B$1+((Inputs!$G$5:$G$200&lt;&gt;"moeda")*(Inputs!$G$5:$G$200&lt;&gt;"acoes")))*INDEX(Inputs!$K$5:$AJ$200,0,MATCH(Q$2,Inputs!$K$4:$AJ$4,0)))+SUMPRODUCT((Inputs!$C$5:$C$200=$B59)*Inputs!$D$5:$D$200*(((Inputs!$G$5:$G$200="moeda")+(Inputs!$G$5:$G$200="acoes"))*Inputs!$B$1+((Inputs!$G$5:$G$200&lt;&gt;"moeda")*(Inputs!$G$5:$G$200&lt;&gt;"acoes")))*INDEX(Inputs!$K$5:$AJ$200,0,MATCH(Q$2,Inputs!$K$4:$AJ$4,0)))+SUMPRODUCT((Inputs!$E$5:$E$200=$B59)*Inputs!$F$5:$F$200*(((Inputs!$G$5:$G$200="moeda")+(Inputs!$G$5:$G$200="acoes"))*Inputs!$B$1+((Inputs!$G$5:$G$200&lt;&gt;"moeda")*(Inputs!$G$5:$G$200&lt;&gt;"acoes")))*INDEX(Inputs!$K$5:$AJ$200,0,MATCH(Q$2,Inputs!$K$4:$AJ$4,0)))))</f>
        <v>27.1</v>
      </c>
      <c r="R59" s="263">
        <f>SUM(N59:Q59)</f>
        <v>112.1</v>
      </c>
      <c r="S59" s="262">
        <f>IF(ISNA(MATCH(S$2,Inputs!$K$4:$AJ$4,0)),NA(),IF(SUMPRODUCT((Inputs!$A$5:$A$200=$B59)*ISNUMBER(INDEX(Inputs!$K$5:$AJ$200,0,MATCH(S$2,Inputs!$K$4:$AJ$4,0))))+SUMPRODUCT((Inputs!$C$5:$C$200=$B59)*ISNUMBER(INDEX(Inputs!$K$5:$AJ$200,0,MATCH(S$2,Inputs!$K$4:$AJ$4,0))))+SUMPRODUCT((Inputs!$E$5:$E$200=$B59)*ISNUMBER(INDEX(Inputs!$K$5:$AJ$200,0,MATCH(S$2,Inputs!$K$4:$AJ$4,0))))=0,NA(),SUMPRODUCT((Inputs!$A$5:$A$200=$B59)*Inputs!$B$5:$B$200*(((Inputs!$G$5:$G$200="moeda")+(Inputs!$G$5:$G$200="acoes"))*Inputs!$B$1+((Inputs!$G$5:$G$200&lt;&gt;"moeda")*(Inputs!$G$5:$G$200&lt;&gt;"acoes")))*INDEX(Inputs!$K$5:$AJ$200,0,MATCH(S$2,Inputs!$K$4:$AJ$4,0)))+SUMPRODUCT((Inputs!$C$5:$C$200=$B59)*Inputs!$D$5:$D$200*(((Inputs!$G$5:$G$200="moeda")+(Inputs!$G$5:$G$200="acoes"))*Inputs!$B$1+((Inputs!$G$5:$G$200&lt;&gt;"moeda")*(Inputs!$G$5:$G$200&lt;&gt;"acoes")))*INDEX(Inputs!$K$5:$AJ$200,0,MATCH(S$2,Inputs!$K$4:$AJ$4,0)))+SUMPRODUCT((Inputs!$E$5:$E$200=$B59)*Inputs!$F$5:$F$200*(((Inputs!$G$5:$G$200="moeda")+(Inputs!$G$5:$G$200="acoes"))*Inputs!$B$1+((Inputs!$G$5:$G$200&lt;&gt;"moeda")*(Inputs!$G$5:$G$200&lt;&gt;"acoes")))*INDEX(Inputs!$K$5:$AJ$200,0,MATCH(S$2,Inputs!$K$4:$AJ$4,0)))))</f>
        <v>25.7</v>
      </c>
      <c r="T59" s="262">
        <f>IF(ISNA(MATCH(T$2,Inputs!$K$4:$AJ$4,0)),NA(),IF(SUMPRODUCT((Inputs!$A$5:$A$200=$B59)*ISNUMBER(INDEX(Inputs!$K$5:$AJ$200,0,MATCH(T$2,Inputs!$K$4:$AJ$4,0))))+SUMPRODUCT((Inputs!$C$5:$C$200=$B59)*ISNUMBER(INDEX(Inputs!$K$5:$AJ$200,0,MATCH(T$2,Inputs!$K$4:$AJ$4,0))))+SUMPRODUCT((Inputs!$E$5:$E$200=$B59)*ISNUMBER(INDEX(Inputs!$K$5:$AJ$200,0,MATCH(T$2,Inputs!$K$4:$AJ$4,0))))=0,NA(),SUMPRODUCT((Inputs!$A$5:$A$200=$B59)*Inputs!$B$5:$B$200*(((Inputs!$G$5:$G$200="moeda")+(Inputs!$G$5:$G$200="acoes"))*Inputs!$B$1+((Inputs!$G$5:$G$200&lt;&gt;"moeda")*(Inputs!$G$5:$G$200&lt;&gt;"acoes")))*INDEX(Inputs!$K$5:$AJ$200,0,MATCH(T$2,Inputs!$K$4:$AJ$4,0)))+SUMPRODUCT((Inputs!$C$5:$C$200=$B59)*Inputs!$D$5:$D$200*(((Inputs!$G$5:$G$200="moeda")+(Inputs!$G$5:$G$200="acoes"))*Inputs!$B$1+((Inputs!$G$5:$G$200&lt;&gt;"moeda")*(Inputs!$G$5:$G$200&lt;&gt;"acoes")))*INDEX(Inputs!$K$5:$AJ$200,0,MATCH(T$2,Inputs!$K$4:$AJ$4,0)))+SUMPRODUCT((Inputs!$E$5:$E$200=$B59)*Inputs!$F$5:$F$200*(((Inputs!$G$5:$G$200="moeda")+(Inputs!$G$5:$G$200="acoes"))*Inputs!$B$1+((Inputs!$G$5:$G$200&lt;&gt;"moeda")*(Inputs!$G$5:$G$200&lt;&gt;"acoes")))*INDEX(Inputs!$K$5:$AJ$200,0,MATCH(T$2,Inputs!$K$4:$AJ$4,0)))))</f>
        <v>31</v>
      </c>
      <c r="U59" s="262">
        <f>IF(ISNA(MATCH(U$2,Inputs!$K$4:$AJ$4,0)),NA(),IF(SUMPRODUCT((Inputs!$A$5:$A$200=$B59)*ISNUMBER(INDEX(Inputs!$K$5:$AJ$200,0,MATCH(U$2,Inputs!$K$4:$AJ$4,0))))+SUMPRODUCT((Inputs!$C$5:$C$200=$B59)*ISNUMBER(INDEX(Inputs!$K$5:$AJ$200,0,MATCH(U$2,Inputs!$K$4:$AJ$4,0))))+SUMPRODUCT((Inputs!$E$5:$E$200=$B59)*ISNUMBER(INDEX(Inputs!$K$5:$AJ$200,0,MATCH(U$2,Inputs!$K$4:$AJ$4,0))))=0,NA(),SUMPRODUCT((Inputs!$A$5:$A$200=$B59)*Inputs!$B$5:$B$200*(((Inputs!$G$5:$G$200="moeda")+(Inputs!$G$5:$G$200="acoes"))*Inputs!$B$1+((Inputs!$G$5:$G$200&lt;&gt;"moeda")*(Inputs!$G$5:$G$200&lt;&gt;"acoes")))*INDEX(Inputs!$K$5:$AJ$200,0,MATCH(U$2,Inputs!$K$4:$AJ$4,0)))+SUMPRODUCT((Inputs!$C$5:$C$200=$B59)*Inputs!$D$5:$D$200*(((Inputs!$G$5:$G$200="moeda")+(Inputs!$G$5:$G$200="acoes"))*Inputs!$B$1+((Inputs!$G$5:$G$200&lt;&gt;"moeda")*(Inputs!$G$5:$G$200&lt;&gt;"acoes")))*INDEX(Inputs!$K$5:$AJ$200,0,MATCH(U$2,Inputs!$K$4:$AJ$4,0)))+SUMPRODUCT((Inputs!$E$5:$E$200=$B59)*Inputs!$F$5:$F$200*(((Inputs!$G$5:$G$200="moeda")+(Inputs!$G$5:$G$200="acoes"))*Inputs!$B$1+((Inputs!$G$5:$G$200&lt;&gt;"moeda")*(Inputs!$G$5:$G$200&lt;&gt;"acoes")))*INDEX(Inputs!$K$5:$AJ$200,0,MATCH(U$2,Inputs!$K$4:$AJ$4,0)))))</f>
        <v>36.7</v>
      </c>
      <c r="V59" s="262">
        <f>IF(ISNA(MATCH(V$2,Inputs!$K$4:$AJ$4,0)),NA(),IF(SUMPRODUCT((Inputs!$A$5:$A$200=$B59)*ISNUMBER(INDEX(Inputs!$K$5:$AJ$200,0,MATCH(V$2,Inputs!$K$4:$AJ$4,0))))+SUMPRODUCT((Inputs!$C$5:$C$200=$B59)*ISNUMBER(INDEX(Inputs!$K$5:$AJ$200,0,MATCH(V$2,Inputs!$K$4:$AJ$4,0))))+SUMPRODUCT((Inputs!$E$5:$E$200=$B59)*ISNUMBER(INDEX(Inputs!$K$5:$AJ$200,0,MATCH(V$2,Inputs!$K$4:$AJ$4,0))))=0,NA(),SUMPRODUCT((Inputs!$A$5:$A$200=$B59)*Inputs!$B$5:$B$200*(((Inputs!$G$5:$G$200="moeda")+(Inputs!$G$5:$G$200="acoes"))*Inputs!$B$1+((Inputs!$G$5:$G$200&lt;&gt;"moeda")*(Inputs!$G$5:$G$200&lt;&gt;"acoes")))*INDEX(Inputs!$K$5:$AJ$200,0,MATCH(V$2,Inputs!$K$4:$AJ$4,0)))+SUMPRODUCT((Inputs!$C$5:$C$200=$B59)*Inputs!$D$5:$D$200*(((Inputs!$G$5:$G$200="moeda")+(Inputs!$G$5:$G$200="acoes"))*Inputs!$B$1+((Inputs!$G$5:$G$200&lt;&gt;"moeda")*(Inputs!$G$5:$G$200&lt;&gt;"acoes")))*INDEX(Inputs!$K$5:$AJ$200,0,MATCH(V$2,Inputs!$K$4:$AJ$4,0)))+SUMPRODUCT((Inputs!$E$5:$E$200=$B59)*Inputs!$F$5:$F$200*(((Inputs!$G$5:$G$200="moeda")+(Inputs!$G$5:$G$200="acoes"))*Inputs!$B$1+((Inputs!$G$5:$G$200&lt;&gt;"moeda")*(Inputs!$G$5:$G$200&lt;&gt;"acoes")))*INDEX(Inputs!$K$5:$AJ$200,0,MATCH(V$2,Inputs!$K$4:$AJ$4,0)))))</f>
        <v>35.7</v>
      </c>
      <c r="W59" s="263">
        <f>SUM(S59:V59)</f>
        <v>129.1</v>
      </c>
      <c r="X59" s="262">
        <f>IF(ISNA(MATCH(X$2,Inputs!$K$4:$AJ$4,0)),NA(),IF(SUMPRODUCT((Inputs!$A$5:$A$200=$B59)*ISNUMBER(INDEX(Inputs!$K$5:$AJ$200,0,MATCH(X$2,Inputs!$K$4:$AJ$4,0))))+SUMPRODUCT((Inputs!$C$5:$C$200=$B59)*ISNUMBER(INDEX(Inputs!$K$5:$AJ$200,0,MATCH(X$2,Inputs!$K$4:$AJ$4,0))))+SUMPRODUCT((Inputs!$E$5:$E$200=$B59)*ISNUMBER(INDEX(Inputs!$K$5:$AJ$200,0,MATCH(X$2,Inputs!$K$4:$AJ$4,0))))=0,NA(),SUMPRODUCT((Inputs!$A$5:$A$200=$B59)*Inputs!$B$5:$B$200*(((Inputs!$G$5:$G$200="moeda")+(Inputs!$G$5:$G$200="acoes"))*Inputs!$B$1+((Inputs!$G$5:$G$200&lt;&gt;"moeda")*(Inputs!$G$5:$G$200&lt;&gt;"acoes")))*INDEX(Inputs!$K$5:$AJ$200,0,MATCH(X$2,Inputs!$K$4:$AJ$4,0)))+SUMPRODUCT((Inputs!$C$5:$C$200=$B59)*Inputs!$D$5:$D$200*(((Inputs!$G$5:$G$200="moeda")+(Inputs!$G$5:$G$200="acoes"))*Inputs!$B$1+((Inputs!$G$5:$G$200&lt;&gt;"moeda")*(Inputs!$G$5:$G$200&lt;&gt;"acoes")))*INDEX(Inputs!$K$5:$AJ$200,0,MATCH(X$2,Inputs!$K$4:$AJ$4,0)))+SUMPRODUCT((Inputs!$E$5:$E$200=$B59)*Inputs!$F$5:$F$200*(((Inputs!$G$5:$G$200="moeda")+(Inputs!$G$5:$G$200="acoes"))*Inputs!$B$1+((Inputs!$G$5:$G$200&lt;&gt;"moeda")*(Inputs!$G$5:$G$200&lt;&gt;"acoes")))*INDEX(Inputs!$K$5:$AJ$200,0,MATCH(X$2,Inputs!$K$4:$AJ$4,0)))))</f>
        <v>35.4</v>
      </c>
      <c r="Y59" s="262">
        <f>IF(ISNA(MATCH(Y$2,Inputs!$K$4:$AJ$4,0)),NA(),IF(SUMPRODUCT((Inputs!$A$5:$A$200=$B59)*ISNUMBER(INDEX(Inputs!$K$5:$AJ$200,0,MATCH(Y$2,Inputs!$K$4:$AJ$4,0))))+SUMPRODUCT((Inputs!$C$5:$C$200=$B59)*ISNUMBER(INDEX(Inputs!$K$5:$AJ$200,0,MATCH(Y$2,Inputs!$K$4:$AJ$4,0))))+SUMPRODUCT((Inputs!$E$5:$E$200=$B59)*ISNUMBER(INDEX(Inputs!$K$5:$AJ$200,0,MATCH(Y$2,Inputs!$K$4:$AJ$4,0))))=0,NA(),SUMPRODUCT((Inputs!$A$5:$A$200=$B59)*Inputs!$B$5:$B$200*(((Inputs!$G$5:$G$200="moeda")+(Inputs!$G$5:$G$200="acoes"))*Inputs!$B$1+((Inputs!$G$5:$G$200&lt;&gt;"moeda")*(Inputs!$G$5:$G$200&lt;&gt;"acoes")))*INDEX(Inputs!$K$5:$AJ$200,0,MATCH(Y$2,Inputs!$K$4:$AJ$4,0)))+SUMPRODUCT((Inputs!$C$5:$C$200=$B59)*Inputs!$D$5:$D$200*(((Inputs!$G$5:$G$200="moeda")+(Inputs!$G$5:$G$200="acoes"))*Inputs!$B$1+((Inputs!$G$5:$G$200&lt;&gt;"moeda")*(Inputs!$G$5:$G$200&lt;&gt;"acoes")))*INDEX(Inputs!$K$5:$AJ$200,0,MATCH(Y$2,Inputs!$K$4:$AJ$4,0)))+SUMPRODUCT((Inputs!$E$5:$E$200=$B59)*Inputs!$F$5:$F$200*(((Inputs!$G$5:$G$200="moeda")+(Inputs!$G$5:$G$200="acoes"))*Inputs!$B$1+((Inputs!$G$5:$G$200&lt;&gt;"moeda")*(Inputs!$G$5:$G$200&lt;&gt;"acoes")))*INDEX(Inputs!$K$5:$AJ$200,0,MATCH(Y$2,Inputs!$K$4:$AJ$4,0)))))</f>
        <v>33.9</v>
      </c>
      <c r="Z59" s="262">
        <f>IF(ISNA(MATCH(Z$2,Inputs!$K$4:$AJ$4,0)),NA(),IF(SUMPRODUCT((Inputs!$A$5:$A$200=$B59)*ISNUMBER(INDEX(Inputs!$K$5:$AJ$200,0,MATCH(Z$2,Inputs!$K$4:$AJ$4,0))))+SUMPRODUCT((Inputs!$C$5:$C$200=$B59)*ISNUMBER(INDEX(Inputs!$K$5:$AJ$200,0,MATCH(Z$2,Inputs!$K$4:$AJ$4,0))))+SUMPRODUCT((Inputs!$E$5:$E$200=$B59)*ISNUMBER(INDEX(Inputs!$K$5:$AJ$200,0,MATCH(Z$2,Inputs!$K$4:$AJ$4,0))))=0,NA(),SUMPRODUCT((Inputs!$A$5:$A$200=$B59)*Inputs!$B$5:$B$200*(((Inputs!$G$5:$G$200="moeda")+(Inputs!$G$5:$G$200="acoes"))*Inputs!$B$1+((Inputs!$G$5:$G$200&lt;&gt;"moeda")*(Inputs!$G$5:$G$200&lt;&gt;"acoes")))*INDEX(Inputs!$K$5:$AJ$200,0,MATCH(Z$2,Inputs!$K$4:$AJ$4,0)))+SUMPRODUCT((Inputs!$C$5:$C$200=$B59)*Inputs!$D$5:$D$200*(((Inputs!$G$5:$G$200="moeda")+(Inputs!$G$5:$G$200="acoes"))*Inputs!$B$1+((Inputs!$G$5:$G$200&lt;&gt;"moeda")*(Inputs!$G$5:$G$200&lt;&gt;"acoes")))*INDEX(Inputs!$K$5:$AJ$200,0,MATCH(Z$2,Inputs!$K$4:$AJ$4,0)))+SUMPRODUCT((Inputs!$E$5:$E$200=$B59)*Inputs!$F$5:$F$200*(((Inputs!$G$5:$G$200="moeda")+(Inputs!$G$5:$G$200="acoes"))*Inputs!$B$1+((Inputs!$G$5:$G$200&lt;&gt;"moeda")*(Inputs!$G$5:$G$200&lt;&gt;"acoes")))*INDEX(Inputs!$K$5:$AJ$200,0,MATCH(Z$2,Inputs!$K$4:$AJ$4,0)))))</f>
        <v>33.1</v>
      </c>
      <c r="AA59" s="262">
        <f>IF(ISNA(MATCH(AA$2,Inputs!$K$4:$AJ$4,0)),NA(),IF(SUMPRODUCT((Inputs!$A$5:$A$200=$B59)*ISNUMBER(INDEX(Inputs!$K$5:$AJ$200,0,MATCH(AA$2,Inputs!$K$4:$AJ$4,0))))+SUMPRODUCT((Inputs!$C$5:$C$200=$B59)*ISNUMBER(INDEX(Inputs!$K$5:$AJ$200,0,MATCH(AA$2,Inputs!$K$4:$AJ$4,0))))+SUMPRODUCT((Inputs!$E$5:$E$200=$B59)*ISNUMBER(INDEX(Inputs!$K$5:$AJ$200,0,MATCH(AA$2,Inputs!$K$4:$AJ$4,0))))=0,NA(),SUMPRODUCT((Inputs!$A$5:$A$200=$B59)*Inputs!$B$5:$B$200*(((Inputs!$G$5:$G$200="moeda")+(Inputs!$G$5:$G$200="acoes"))*Inputs!$B$1+((Inputs!$G$5:$G$200&lt;&gt;"moeda")*(Inputs!$G$5:$G$200&lt;&gt;"acoes")))*INDEX(Inputs!$K$5:$AJ$200,0,MATCH(AA$2,Inputs!$K$4:$AJ$4,0)))+SUMPRODUCT((Inputs!$C$5:$C$200=$B59)*Inputs!$D$5:$D$200*(((Inputs!$G$5:$G$200="moeda")+(Inputs!$G$5:$G$200="acoes"))*Inputs!$B$1+((Inputs!$G$5:$G$200&lt;&gt;"moeda")*(Inputs!$G$5:$G$200&lt;&gt;"acoes")))*INDEX(Inputs!$K$5:$AJ$200,0,MATCH(AA$2,Inputs!$K$4:$AJ$4,0)))+SUMPRODUCT((Inputs!$E$5:$E$200=$B59)*Inputs!$F$5:$F$200*(((Inputs!$G$5:$G$200="moeda")+(Inputs!$G$5:$G$200="acoes"))*Inputs!$B$1+((Inputs!$G$5:$G$200&lt;&gt;"moeda")*(Inputs!$G$5:$G$200&lt;&gt;"acoes")))*INDEX(Inputs!$K$5:$AJ$200,0,MATCH(AA$2,Inputs!$K$4:$AJ$4,0)))))</f>
        <v>27.7</v>
      </c>
      <c r="AB59" s="263">
        <f>SUM(X59:AA59)</f>
        <v>130.1</v>
      </c>
      <c r="AC59" s="262">
        <f>IF(ISNA(MATCH(AC$2,Inputs!$K$4:$AJ$4,0)),NA(),IF(SUMPRODUCT((Inputs!$A$5:$A$200=$B59)*ISNUMBER(INDEX(Inputs!$K$5:$AJ$200,0,MATCH(AC$2,Inputs!$K$4:$AJ$4,0))))+SUMPRODUCT((Inputs!$C$5:$C$200=$B59)*ISNUMBER(INDEX(Inputs!$K$5:$AJ$200,0,MATCH(AC$2,Inputs!$K$4:$AJ$4,0))))+SUMPRODUCT((Inputs!$E$5:$E$200=$B59)*ISNUMBER(INDEX(Inputs!$K$5:$AJ$200,0,MATCH(AC$2,Inputs!$K$4:$AJ$4,0))))=0,NA(),SUMPRODUCT((Inputs!$A$5:$A$200=$B59)*Inputs!$B$5:$B$200*(((Inputs!$G$5:$G$200="moeda")+(Inputs!$G$5:$G$200="acoes"))*Inputs!$B$1+((Inputs!$G$5:$G$200&lt;&gt;"moeda")*(Inputs!$G$5:$G$200&lt;&gt;"acoes")))*INDEX(Inputs!$K$5:$AJ$200,0,MATCH(AC$2,Inputs!$K$4:$AJ$4,0)))+SUMPRODUCT((Inputs!$C$5:$C$200=$B59)*Inputs!$D$5:$D$200*(((Inputs!$G$5:$G$200="moeda")+(Inputs!$G$5:$G$200="acoes"))*Inputs!$B$1+((Inputs!$G$5:$G$200&lt;&gt;"moeda")*(Inputs!$G$5:$G$200&lt;&gt;"acoes")))*INDEX(Inputs!$K$5:$AJ$200,0,MATCH(AC$2,Inputs!$K$4:$AJ$4,0)))+SUMPRODUCT((Inputs!$E$5:$E$200=$B59)*Inputs!$F$5:$F$200*(((Inputs!$G$5:$G$200="moeda")+(Inputs!$G$5:$G$200="acoes"))*Inputs!$B$1+((Inputs!$G$5:$G$200&lt;&gt;"moeda")*(Inputs!$G$5:$G$200&lt;&gt;"acoes")))*INDEX(Inputs!$K$5:$AJ$200,0,MATCH(AC$2,Inputs!$K$4:$AJ$4,0)))))</f>
        <v>29</v>
      </c>
      <c r="AD59" s="262">
        <f>IF(ISNA(MATCH(AD$2,Inputs!$K$4:$AJ$4,0)),NA(),IF(SUMPRODUCT((Inputs!$A$5:$A$200=$B59)*ISNUMBER(INDEX(Inputs!$K$5:$AJ$200,0,MATCH(AD$2,Inputs!$K$4:$AJ$4,0))))+SUMPRODUCT((Inputs!$C$5:$C$200=$B59)*ISNUMBER(INDEX(Inputs!$K$5:$AJ$200,0,MATCH(AD$2,Inputs!$K$4:$AJ$4,0))))+SUMPRODUCT((Inputs!$E$5:$E$200=$B59)*ISNUMBER(INDEX(Inputs!$K$5:$AJ$200,0,MATCH(AD$2,Inputs!$K$4:$AJ$4,0))))=0,NA(),SUMPRODUCT((Inputs!$A$5:$A$200=$B59)*Inputs!$B$5:$B$200*(((Inputs!$G$5:$G$200="moeda")+(Inputs!$G$5:$G$200="acoes"))*Inputs!$B$1+((Inputs!$G$5:$G$200&lt;&gt;"moeda")*(Inputs!$G$5:$G$200&lt;&gt;"acoes")))*INDEX(Inputs!$K$5:$AJ$200,0,MATCH(AD$2,Inputs!$K$4:$AJ$4,0)))+SUMPRODUCT((Inputs!$C$5:$C$200=$B59)*Inputs!$D$5:$D$200*(((Inputs!$G$5:$G$200="moeda")+(Inputs!$G$5:$G$200="acoes"))*Inputs!$B$1+((Inputs!$G$5:$G$200&lt;&gt;"moeda")*(Inputs!$G$5:$G$200&lt;&gt;"acoes")))*INDEX(Inputs!$K$5:$AJ$200,0,MATCH(AD$2,Inputs!$K$4:$AJ$4,0)))+SUMPRODUCT((Inputs!$E$5:$E$200=$B59)*Inputs!$F$5:$F$200*(((Inputs!$G$5:$G$200="moeda")+(Inputs!$G$5:$G$200="acoes"))*Inputs!$B$1+((Inputs!$G$5:$G$200&lt;&gt;"moeda")*(Inputs!$G$5:$G$200&lt;&gt;"acoes")))*INDEX(Inputs!$K$5:$AJ$200,0,MATCH(AD$2,Inputs!$K$4:$AJ$4,0)))))</f>
        <v>34.2</v>
      </c>
      <c r="AE59" s="262" t="e">
        <f>IF(ISNA(MATCH(AE$2,Inputs!$K$4:$AJ$4,0)),NA(),IF(SUMPRODUCT((Inputs!$A$5:$A$200=$B59)*ISNUMBER(INDEX(Inputs!$K$5:$AJ$200,0,MATCH(AE$2,Inputs!$K$4:$AJ$4,0))))+SUMPRODUCT((Inputs!$C$5:$C$200=$B59)*ISNUMBER(INDEX(Inputs!$K$5:$AJ$200,0,MATCH(AE$2,Inputs!$K$4:$AJ$4,0))))+SUMPRODUCT((Inputs!$E$5:$E$200=$B59)*ISNUMBER(INDEX(Inputs!$K$5:$AJ$200,0,MATCH(AE$2,Inputs!$K$4:$AJ$4,0))))=0,NA(),SUMPRODUCT((Inputs!$A$5:$A$200=$B59)*Inputs!$B$5:$B$200*(((Inputs!$G$5:$G$200="moeda")+(Inputs!$G$5:$G$200="acoes"))*Inputs!$B$1+((Inputs!$G$5:$G$200&lt;&gt;"moeda")*(Inputs!$G$5:$G$200&lt;&gt;"acoes")))*INDEX(Inputs!$K$5:$AJ$200,0,MATCH(AE$2,Inputs!$K$4:$AJ$4,0)))+SUMPRODUCT((Inputs!$C$5:$C$200=$B59)*Inputs!$D$5:$D$200*(((Inputs!$G$5:$G$200="moeda")+(Inputs!$G$5:$G$200="acoes"))*Inputs!$B$1+((Inputs!$G$5:$G$200&lt;&gt;"moeda")*(Inputs!$G$5:$G$200&lt;&gt;"acoes")))*INDEX(Inputs!$K$5:$AJ$200,0,MATCH(AE$2,Inputs!$K$4:$AJ$4,0)))+SUMPRODUCT((Inputs!$E$5:$E$200=$B59)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59" s="262" t="e">
        <f>IF(ISNA(MATCH(AF$2,Inputs!$K$4:$AJ$4,0)),NA(),IF(SUMPRODUCT((Inputs!$A$5:$A$200=$B59)*ISNUMBER(INDEX(Inputs!$K$5:$AJ$200,0,MATCH(AF$2,Inputs!$K$4:$AJ$4,0))))+SUMPRODUCT((Inputs!$C$5:$C$200=$B59)*ISNUMBER(INDEX(Inputs!$K$5:$AJ$200,0,MATCH(AF$2,Inputs!$K$4:$AJ$4,0))))+SUMPRODUCT((Inputs!$E$5:$E$200=$B59)*ISNUMBER(INDEX(Inputs!$K$5:$AJ$200,0,MATCH(AF$2,Inputs!$K$4:$AJ$4,0))))=0,NA(),SUMPRODUCT((Inputs!$A$5:$A$200=$B59)*Inputs!$B$5:$B$200*(((Inputs!$G$5:$G$200="moeda")+(Inputs!$G$5:$G$200="acoes"))*Inputs!$B$1+((Inputs!$G$5:$G$200&lt;&gt;"moeda")*(Inputs!$G$5:$G$200&lt;&gt;"acoes")))*INDEX(Inputs!$K$5:$AJ$200,0,MATCH(AF$2,Inputs!$K$4:$AJ$4,0)))+SUMPRODUCT((Inputs!$C$5:$C$200=$B59)*Inputs!$D$5:$D$200*(((Inputs!$G$5:$G$200="moeda")+(Inputs!$G$5:$G$200="acoes"))*Inputs!$B$1+((Inputs!$G$5:$G$200&lt;&gt;"moeda")*(Inputs!$G$5:$G$200&lt;&gt;"acoes")))*INDEX(Inputs!$K$5:$AJ$200,0,MATCH(AF$2,Inputs!$K$4:$AJ$4,0)))+SUMPRODUCT((Inputs!$E$5:$E$200=$B59)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59" s="263" t="e">
        <f>SUM(AC59:AF59)</f>
        <v>#N/A</v>
      </c>
      <c r="AH59" s="262">
        <f>IF(ISNA(MATCH(AH$2,Inputs!$K$4:$AJ$4,0)),NA(),IF(SUMPRODUCT((Inputs!$A$5:$A$200=$B59)*ISNUMBER(INDEX(Inputs!$K$5:$AJ$200,0,MATCH(AH$2,Inputs!$K$4:$AJ$4,0))))+SUMPRODUCT((Inputs!$C$5:$C$200=$B59)*ISNUMBER(INDEX(Inputs!$K$5:$AJ$200,0,MATCH(AH$2,Inputs!$K$4:$AJ$4,0))))+SUMPRODUCT((Inputs!$E$5:$E$200=$B59)*ISNUMBER(INDEX(Inputs!$K$5:$AJ$200,0,MATCH(AH$2,Inputs!$K$4:$AJ$4,0))))=0,NA(),SUMPRODUCT((Inputs!$A$5:$A$200=$B59)*Inputs!$B$5:$B$200*(((Inputs!$G$5:$G$200="moeda")+(Inputs!$G$5:$G$200="acoes"))*Inputs!$B$1+((Inputs!$G$5:$G$200&lt;&gt;"moeda")*(Inputs!$G$5:$G$200&lt;&gt;"acoes")))*INDEX(Inputs!$K$5:$AJ$200,0,MATCH(AH$2,Inputs!$K$4:$AJ$4,0)))+SUMPRODUCT((Inputs!$C$5:$C$200=$B59)*Inputs!$D$5:$D$200*(((Inputs!$G$5:$G$200="moeda")+(Inputs!$G$5:$G$200="acoes"))*Inputs!$B$1+((Inputs!$G$5:$G$200&lt;&gt;"moeda")*(Inputs!$G$5:$G$200&lt;&gt;"acoes")))*INDEX(Inputs!$K$5:$AJ$200,0,MATCH(AH$2,Inputs!$K$4:$AJ$4,0)))+SUMPRODUCT((Inputs!$E$5:$E$200=$B59)*Inputs!$F$5:$F$200*(((Inputs!$G$5:$G$200="moeda")+(Inputs!$G$5:$G$200="acoes"))*Inputs!$B$1+((Inputs!$G$5:$G$200&lt;&gt;"moeda")*(Inputs!$G$5:$G$200&lt;&gt;"acoes")))*INDEX(Inputs!$K$5:$AJ$200,0,MATCH(AH$2,Inputs!$K$4:$AJ$4,0)))))</f>
        <v>13.543</v>
      </c>
      <c r="AI59" s="262">
        <f>IF(ISNA(MATCH(AI$2,Inputs!$K$4:$AJ$4,0)),NA(),IF(SUMPRODUCT((Inputs!$A$5:$A$200=$B59)*ISNUMBER(INDEX(Inputs!$K$5:$AJ$200,0,MATCH(AI$2,Inputs!$K$4:$AJ$4,0))))+SUMPRODUCT((Inputs!$C$5:$C$200=$B59)*ISNUMBER(INDEX(Inputs!$K$5:$AJ$200,0,MATCH(AI$2,Inputs!$K$4:$AJ$4,0))))+SUMPRODUCT((Inputs!$E$5:$E$200=$B59)*ISNUMBER(INDEX(Inputs!$K$5:$AJ$200,0,MATCH(AI$2,Inputs!$K$4:$AJ$4,0))))=0,NA(),SUMPRODUCT((Inputs!$A$5:$A$200=$B59)*Inputs!$B$5:$B$200*(((Inputs!$G$5:$G$200="moeda")+(Inputs!$G$5:$G$200="acoes"))*Inputs!$B$1+((Inputs!$G$5:$G$200&lt;&gt;"moeda")*(Inputs!$G$5:$G$200&lt;&gt;"acoes")))*INDEX(Inputs!$K$5:$AJ$200,0,MATCH(AI$2,Inputs!$K$4:$AJ$4,0)))+SUMPRODUCT((Inputs!$C$5:$C$200=$B59)*Inputs!$D$5:$D$200*(((Inputs!$G$5:$G$200="moeda")+(Inputs!$G$5:$G$200="acoes"))*Inputs!$B$1+((Inputs!$G$5:$G$200&lt;&gt;"moeda")*(Inputs!$G$5:$G$200&lt;&gt;"acoes")))*INDEX(Inputs!$K$5:$AJ$200,0,MATCH(AI$2,Inputs!$K$4:$AJ$4,0)))+SUMPRODUCT((Inputs!$E$5:$E$200=$B59)*Inputs!$F$5:$F$200*(((Inputs!$G$5:$G$200="moeda")+(Inputs!$G$5:$G$200="acoes"))*Inputs!$B$1+((Inputs!$G$5:$G$200&lt;&gt;"moeda")*(Inputs!$G$5:$G$200&lt;&gt;"acoes")))*INDEX(Inputs!$K$5:$AJ$200,0,MATCH(AI$2,Inputs!$K$4:$AJ$4,0)))))</f>
        <v>5.4</v>
      </c>
      <c r="AJ59" s="262">
        <f>IF(ISNA(MATCH(AJ$2,Inputs!$K$4:$AJ$4,0)),NA(),IF(SUMPRODUCT((Inputs!$A$5:$A$200=$B59)*ISNUMBER(INDEX(Inputs!$K$5:$AJ$200,0,MATCH(AJ$2,Inputs!$K$4:$AJ$4,0))))+SUMPRODUCT((Inputs!$C$5:$C$200=$B59)*ISNUMBER(INDEX(Inputs!$K$5:$AJ$200,0,MATCH(AJ$2,Inputs!$K$4:$AJ$4,0))))+SUMPRODUCT((Inputs!$E$5:$E$200=$B59)*ISNUMBER(INDEX(Inputs!$K$5:$AJ$200,0,MATCH(AJ$2,Inputs!$K$4:$AJ$4,0))))=0,NA(),SUMPRODUCT((Inputs!$A$5:$A$200=$B59)*Inputs!$B$5:$B$200*(((Inputs!$G$5:$G$200="moeda")+(Inputs!$G$5:$G$200="acoes"))*Inputs!$B$1+((Inputs!$G$5:$G$200&lt;&gt;"moeda")*(Inputs!$G$5:$G$200&lt;&gt;"acoes")))*INDEX(Inputs!$K$5:$AJ$200,0,MATCH(AJ$2,Inputs!$K$4:$AJ$4,0)))+SUMPRODUCT((Inputs!$C$5:$C$200=$B59)*Inputs!$D$5:$D$200*(((Inputs!$G$5:$G$200="moeda")+(Inputs!$G$5:$G$200="acoes"))*Inputs!$B$1+((Inputs!$G$5:$G$200&lt;&gt;"moeda")*(Inputs!$G$5:$G$200&lt;&gt;"acoes")))*INDEX(Inputs!$K$5:$AJ$200,0,MATCH(AJ$2,Inputs!$K$4:$AJ$4,0)))+SUMPRODUCT((Inputs!$E$5:$E$200=$B59)*Inputs!$F$5:$F$200*(((Inputs!$G$5:$G$200="moeda")+(Inputs!$G$5:$G$200="acoes"))*Inputs!$B$1+((Inputs!$G$5:$G$200&lt;&gt;"moeda")*(Inputs!$G$5:$G$200&lt;&gt;"acoes")))*INDEX(Inputs!$K$5:$AJ$200,0,MATCH(AJ$2,Inputs!$K$4:$AJ$4,0)))))</f>
        <v>5</v>
      </c>
      <c r="AK59" s="262">
        <f>IF(ISNA(MATCH(AK$2,Inputs!$K$4:$AJ$4,0)),NA(),IF(SUMPRODUCT((Inputs!$A$5:$A$200=$B59)*ISNUMBER(INDEX(Inputs!$K$5:$AJ$200,0,MATCH(AK$2,Inputs!$K$4:$AJ$4,0))))+SUMPRODUCT((Inputs!$C$5:$C$200=$B59)*ISNUMBER(INDEX(Inputs!$K$5:$AJ$200,0,MATCH(AK$2,Inputs!$K$4:$AJ$4,0))))+SUMPRODUCT((Inputs!$E$5:$E$200=$B59)*ISNUMBER(INDEX(Inputs!$K$5:$AJ$200,0,MATCH(AK$2,Inputs!$K$4:$AJ$4,0))))=0,NA(),SUMPRODUCT((Inputs!$A$5:$A$200=$B59)*Inputs!$B$5:$B$200*(((Inputs!$G$5:$G$200="moeda")+(Inputs!$G$5:$G$200="acoes"))*Inputs!$B$1+((Inputs!$G$5:$G$200&lt;&gt;"moeda")*(Inputs!$G$5:$G$200&lt;&gt;"acoes")))*INDEX(Inputs!$K$5:$AJ$200,0,MATCH(AK$2,Inputs!$K$4:$AJ$4,0)))+SUMPRODUCT((Inputs!$C$5:$C$200=$B59)*Inputs!$D$5:$D$200*(((Inputs!$G$5:$G$200="moeda")+(Inputs!$G$5:$G$200="acoes"))*Inputs!$B$1+((Inputs!$G$5:$G$200&lt;&gt;"moeda")*(Inputs!$G$5:$G$200&lt;&gt;"acoes")))*INDEX(Inputs!$K$5:$AJ$200,0,MATCH(AK$2,Inputs!$K$4:$AJ$4,0)))+SUMPRODUCT((Inputs!$E$5:$E$200=$B59)*Inputs!$F$5:$F$200*(((Inputs!$G$5:$G$200="moeda")+(Inputs!$G$5:$G$200="acoes"))*Inputs!$B$1+((Inputs!$G$5:$G$200&lt;&gt;"moeda")*(Inputs!$G$5:$G$200&lt;&gt;"acoes")))*INDEX(Inputs!$K$5:$AJ$200,0,MATCH(AK$2,Inputs!$K$4:$AJ$4,0)))))</f>
        <v>5.1</v>
      </c>
      <c r="AL59" s="263">
        <f>SUM(AH59:AK59)</f>
        <v>29.043</v>
      </c>
    </row>
    <row r="60">
      <c r="B60" s="46" t="n">
        <v>52</v>
      </c>
      <c r="C60" s="29" t="inlineStr">
        <is>
          <t>Biogas captado - media do trimestre (Nm3/h)</t>
        </is>
      </c>
      <c r="D60" s="264">
        <f>IF(ISNA(MATCH(D$2,Inputs!$K$4:$AJ$4,0)),NA(),IF(SUMPRODUCT((Inputs!$A$5:$A$200=$B60)*ISNUMBER(INDEX(Inputs!$K$5:$AJ$200,0,MATCH(D$2,Inputs!$K$4:$AJ$4,0))))+SUMPRODUCT((Inputs!$C$5:$C$200=$B60)*ISNUMBER(INDEX(Inputs!$K$5:$AJ$200,0,MATCH(D$2,Inputs!$K$4:$AJ$4,0))))+SUMPRODUCT((Inputs!$E$5:$E$200=$B60)*ISNUMBER(INDEX(Inputs!$K$5:$AJ$200,0,MATCH(D$2,Inputs!$K$4:$AJ$4,0))))=0,NA(),SUMPRODUCT((Inputs!$A$5:$A$200=$B60)*Inputs!$B$5:$B$200*(((Inputs!$G$5:$G$200="moeda")+(Inputs!$G$5:$G$200="acoes"))*Inputs!$B$1+((Inputs!$G$5:$G$200&lt;&gt;"moeda")*(Inputs!$G$5:$G$200&lt;&gt;"acoes")))*INDEX(Inputs!$K$5:$AJ$200,0,MATCH(D$2,Inputs!$K$4:$AJ$4,0)))+SUMPRODUCT((Inputs!$C$5:$C$200=$B60)*Inputs!$D$5:$D$200*(((Inputs!$G$5:$G$200="moeda")+(Inputs!$G$5:$G$200="acoes"))*Inputs!$B$1+((Inputs!$G$5:$G$200&lt;&gt;"moeda")*(Inputs!$G$5:$G$200&lt;&gt;"acoes")))*INDEX(Inputs!$K$5:$AJ$200,0,MATCH(D$2,Inputs!$K$4:$AJ$4,0)))+SUMPRODUCT((Inputs!$E$5:$E$200=$B60)*Inputs!$F$5:$F$200*(((Inputs!$G$5:$G$200="moeda")+(Inputs!$G$5:$G$200="acoes"))*Inputs!$B$1+((Inputs!$G$5:$G$200&lt;&gt;"moeda")*(Inputs!$G$5:$G$200&lt;&gt;"acoes")))*INDEX(Inputs!$K$5:$AJ$200,0,MATCH(D$2,Inputs!$K$4:$AJ$4,0)))))</f>
        <v>30616</v>
      </c>
      <c r="E60" s="264">
        <f>IF(ISNA(MATCH(E$2,Inputs!$K$4:$AJ$4,0)),NA(),IF(SUMPRODUCT((Inputs!$A$5:$A$200=$B60)*ISNUMBER(INDEX(Inputs!$K$5:$AJ$200,0,MATCH(E$2,Inputs!$K$4:$AJ$4,0))))+SUMPRODUCT((Inputs!$C$5:$C$200=$B60)*ISNUMBER(INDEX(Inputs!$K$5:$AJ$200,0,MATCH(E$2,Inputs!$K$4:$AJ$4,0))))+SUMPRODUCT((Inputs!$E$5:$E$200=$B60)*ISNUMBER(INDEX(Inputs!$K$5:$AJ$200,0,MATCH(E$2,Inputs!$K$4:$AJ$4,0))))=0,NA(),SUMPRODUCT((Inputs!$A$5:$A$200=$B60)*Inputs!$B$5:$B$200*(((Inputs!$G$5:$G$200="moeda")+(Inputs!$G$5:$G$200="acoes"))*Inputs!$B$1+((Inputs!$G$5:$G$200&lt;&gt;"moeda")*(Inputs!$G$5:$G$200&lt;&gt;"acoes")))*INDEX(Inputs!$K$5:$AJ$200,0,MATCH(E$2,Inputs!$K$4:$AJ$4,0)))+SUMPRODUCT((Inputs!$C$5:$C$200=$B60)*Inputs!$D$5:$D$200*(((Inputs!$G$5:$G$200="moeda")+(Inputs!$G$5:$G$200="acoes"))*Inputs!$B$1+((Inputs!$G$5:$G$200&lt;&gt;"moeda")*(Inputs!$G$5:$G$200&lt;&gt;"acoes")))*INDEX(Inputs!$K$5:$AJ$200,0,MATCH(E$2,Inputs!$K$4:$AJ$4,0)))+SUMPRODUCT((Inputs!$E$5:$E$200=$B60)*Inputs!$F$5:$F$200*(((Inputs!$G$5:$G$200="moeda")+(Inputs!$G$5:$G$200="acoes"))*Inputs!$B$1+((Inputs!$G$5:$G$200&lt;&gt;"moeda")*(Inputs!$G$5:$G$200&lt;&gt;"acoes")))*INDEX(Inputs!$K$5:$AJ$200,0,MATCH(E$2,Inputs!$K$4:$AJ$4,0)))))</f>
        <v>20900</v>
      </c>
      <c r="F60" s="264">
        <f>IF(ISNA(MATCH(F$2,Inputs!$K$4:$AJ$4,0)),NA(),IF(SUMPRODUCT((Inputs!$A$5:$A$200=$B60)*ISNUMBER(INDEX(Inputs!$K$5:$AJ$200,0,MATCH(F$2,Inputs!$K$4:$AJ$4,0))))+SUMPRODUCT((Inputs!$C$5:$C$200=$B60)*ISNUMBER(INDEX(Inputs!$K$5:$AJ$200,0,MATCH(F$2,Inputs!$K$4:$AJ$4,0))))+SUMPRODUCT((Inputs!$E$5:$E$200=$B60)*ISNUMBER(INDEX(Inputs!$K$5:$AJ$200,0,MATCH(F$2,Inputs!$K$4:$AJ$4,0))))=0,NA(),SUMPRODUCT((Inputs!$A$5:$A$200=$B60)*Inputs!$B$5:$B$200*(((Inputs!$G$5:$G$200="moeda")+(Inputs!$G$5:$G$200="acoes"))*Inputs!$B$1+((Inputs!$G$5:$G$200&lt;&gt;"moeda")*(Inputs!$G$5:$G$200&lt;&gt;"acoes")))*INDEX(Inputs!$K$5:$AJ$200,0,MATCH(F$2,Inputs!$K$4:$AJ$4,0)))+SUMPRODUCT((Inputs!$C$5:$C$200=$B60)*Inputs!$D$5:$D$200*(((Inputs!$G$5:$G$200="moeda")+(Inputs!$G$5:$G$200="acoes"))*Inputs!$B$1+((Inputs!$G$5:$G$200&lt;&gt;"moeda")*(Inputs!$G$5:$G$200&lt;&gt;"acoes")))*INDEX(Inputs!$K$5:$AJ$200,0,MATCH(F$2,Inputs!$K$4:$AJ$4,0)))+SUMPRODUCT((Inputs!$E$5:$E$200=$B60)*Inputs!$F$5:$F$200*(((Inputs!$G$5:$G$200="moeda")+(Inputs!$G$5:$G$200="acoes"))*Inputs!$B$1+((Inputs!$G$5:$G$200&lt;&gt;"moeda")*(Inputs!$G$5:$G$200&lt;&gt;"acoes")))*INDEX(Inputs!$K$5:$AJ$200,0,MATCH(F$2,Inputs!$K$4:$AJ$4,0)))))</f>
        <v>19000</v>
      </c>
      <c r="G60" s="264">
        <f>IF(ISNA(MATCH(G$2,Inputs!$K$4:$AJ$4,0)),NA(),IF(SUMPRODUCT((Inputs!$A$5:$A$200=$B60)*ISNUMBER(INDEX(Inputs!$K$5:$AJ$200,0,MATCH(G$2,Inputs!$K$4:$AJ$4,0))))+SUMPRODUCT((Inputs!$C$5:$C$200=$B60)*ISNUMBER(INDEX(Inputs!$K$5:$AJ$200,0,MATCH(G$2,Inputs!$K$4:$AJ$4,0))))+SUMPRODUCT((Inputs!$E$5:$E$200=$B60)*ISNUMBER(INDEX(Inputs!$K$5:$AJ$200,0,MATCH(G$2,Inputs!$K$4:$AJ$4,0))))=0,NA(),SUMPRODUCT((Inputs!$A$5:$A$200=$B60)*Inputs!$B$5:$B$200*(((Inputs!$G$5:$G$200="moeda")+(Inputs!$G$5:$G$200="acoes"))*Inputs!$B$1+((Inputs!$G$5:$G$200&lt;&gt;"moeda")*(Inputs!$G$5:$G$200&lt;&gt;"acoes")))*INDEX(Inputs!$K$5:$AJ$200,0,MATCH(G$2,Inputs!$K$4:$AJ$4,0)))+SUMPRODUCT((Inputs!$C$5:$C$200=$B60)*Inputs!$D$5:$D$200*(((Inputs!$G$5:$G$200="moeda")+(Inputs!$G$5:$G$200="acoes"))*Inputs!$B$1+((Inputs!$G$5:$G$200&lt;&gt;"moeda")*(Inputs!$G$5:$G$200&lt;&gt;"acoes")))*INDEX(Inputs!$K$5:$AJ$200,0,MATCH(G$2,Inputs!$K$4:$AJ$4,0)))+SUMPRODUCT((Inputs!$E$5:$E$200=$B60)*Inputs!$F$5:$F$200*(((Inputs!$G$5:$G$200="moeda")+(Inputs!$G$5:$G$200="acoes"))*Inputs!$B$1+((Inputs!$G$5:$G$200&lt;&gt;"moeda")*(Inputs!$G$5:$G$200&lt;&gt;"acoes")))*INDEX(Inputs!$K$5:$AJ$200,0,MATCH(G$2,Inputs!$K$4:$AJ$4,0)))))</f>
        <v>18700</v>
      </c>
      <c r="H60" s="265" t="n"/>
      <c r="I60" s="264">
        <f>IF(ISNA(MATCH(I$2,Inputs!$K$4:$AJ$4,0)),NA(),IF(SUMPRODUCT((Inputs!$A$5:$A$200=$B60)*ISNUMBER(INDEX(Inputs!$K$5:$AJ$200,0,MATCH(I$2,Inputs!$K$4:$AJ$4,0))))+SUMPRODUCT((Inputs!$C$5:$C$200=$B60)*ISNUMBER(INDEX(Inputs!$K$5:$AJ$200,0,MATCH(I$2,Inputs!$K$4:$AJ$4,0))))+SUMPRODUCT((Inputs!$E$5:$E$200=$B60)*ISNUMBER(INDEX(Inputs!$K$5:$AJ$200,0,MATCH(I$2,Inputs!$K$4:$AJ$4,0))))=0,NA(),SUMPRODUCT((Inputs!$A$5:$A$200=$B60)*Inputs!$B$5:$B$200*(((Inputs!$G$5:$G$200="moeda")+(Inputs!$G$5:$G$200="acoes"))*Inputs!$B$1+((Inputs!$G$5:$G$200&lt;&gt;"moeda")*(Inputs!$G$5:$G$200&lt;&gt;"acoes")))*INDEX(Inputs!$K$5:$AJ$200,0,MATCH(I$2,Inputs!$K$4:$AJ$4,0)))+SUMPRODUCT((Inputs!$C$5:$C$200=$B60)*Inputs!$D$5:$D$200*(((Inputs!$G$5:$G$200="moeda")+(Inputs!$G$5:$G$200="acoes"))*Inputs!$B$1+((Inputs!$G$5:$G$200&lt;&gt;"moeda")*(Inputs!$G$5:$G$200&lt;&gt;"acoes")))*INDEX(Inputs!$K$5:$AJ$200,0,MATCH(I$2,Inputs!$K$4:$AJ$4,0)))+SUMPRODUCT((Inputs!$E$5:$E$200=$B60)*Inputs!$F$5:$F$200*(((Inputs!$G$5:$G$200="moeda")+(Inputs!$G$5:$G$200="acoes"))*Inputs!$B$1+((Inputs!$G$5:$G$200&lt;&gt;"moeda")*(Inputs!$G$5:$G$200&lt;&gt;"acoes")))*INDEX(Inputs!$K$5:$AJ$200,0,MATCH(I$2,Inputs!$K$4:$AJ$4,0)))))</f>
        <v>32696</v>
      </c>
      <c r="J60" s="264">
        <f>IF(ISNA(MATCH(J$2,Inputs!$K$4:$AJ$4,0)),NA(),IF(SUMPRODUCT((Inputs!$A$5:$A$200=$B60)*ISNUMBER(INDEX(Inputs!$K$5:$AJ$200,0,MATCH(J$2,Inputs!$K$4:$AJ$4,0))))+SUMPRODUCT((Inputs!$C$5:$C$200=$B60)*ISNUMBER(INDEX(Inputs!$K$5:$AJ$200,0,MATCH(J$2,Inputs!$K$4:$AJ$4,0))))+SUMPRODUCT((Inputs!$E$5:$E$200=$B60)*ISNUMBER(INDEX(Inputs!$K$5:$AJ$200,0,MATCH(J$2,Inputs!$K$4:$AJ$4,0))))=0,NA(),SUMPRODUCT((Inputs!$A$5:$A$200=$B60)*Inputs!$B$5:$B$200*(((Inputs!$G$5:$G$200="moeda")+(Inputs!$G$5:$G$200="acoes"))*Inputs!$B$1+((Inputs!$G$5:$G$200&lt;&gt;"moeda")*(Inputs!$G$5:$G$200&lt;&gt;"acoes")))*INDEX(Inputs!$K$5:$AJ$200,0,MATCH(J$2,Inputs!$K$4:$AJ$4,0)))+SUMPRODUCT((Inputs!$C$5:$C$200=$B60)*Inputs!$D$5:$D$200*(((Inputs!$G$5:$G$200="moeda")+(Inputs!$G$5:$G$200="acoes"))*Inputs!$B$1+((Inputs!$G$5:$G$200&lt;&gt;"moeda")*(Inputs!$G$5:$G$200&lt;&gt;"acoes")))*INDEX(Inputs!$K$5:$AJ$200,0,MATCH(J$2,Inputs!$K$4:$AJ$4,0)))+SUMPRODUCT((Inputs!$E$5:$E$200=$B60)*Inputs!$F$5:$F$200*(((Inputs!$G$5:$G$200="moeda")+(Inputs!$G$5:$G$200="acoes"))*Inputs!$B$1+((Inputs!$G$5:$G$200&lt;&gt;"moeda")*(Inputs!$G$5:$G$200&lt;&gt;"acoes")))*INDEX(Inputs!$K$5:$AJ$200,0,MATCH(J$2,Inputs!$K$4:$AJ$4,0)))))</f>
        <v>36000</v>
      </c>
      <c r="K60" s="264">
        <f>IF(ISNA(MATCH(K$2,Inputs!$K$4:$AJ$4,0)),NA(),IF(SUMPRODUCT((Inputs!$A$5:$A$200=$B60)*ISNUMBER(INDEX(Inputs!$K$5:$AJ$200,0,MATCH(K$2,Inputs!$K$4:$AJ$4,0))))+SUMPRODUCT((Inputs!$C$5:$C$200=$B60)*ISNUMBER(INDEX(Inputs!$K$5:$AJ$200,0,MATCH(K$2,Inputs!$K$4:$AJ$4,0))))+SUMPRODUCT((Inputs!$E$5:$E$200=$B60)*ISNUMBER(INDEX(Inputs!$K$5:$AJ$200,0,MATCH(K$2,Inputs!$K$4:$AJ$4,0))))=0,NA(),SUMPRODUCT((Inputs!$A$5:$A$200=$B60)*Inputs!$B$5:$B$200*(((Inputs!$G$5:$G$200="moeda")+(Inputs!$G$5:$G$200="acoes"))*Inputs!$B$1+((Inputs!$G$5:$G$200&lt;&gt;"moeda")*(Inputs!$G$5:$G$200&lt;&gt;"acoes")))*INDEX(Inputs!$K$5:$AJ$200,0,MATCH(K$2,Inputs!$K$4:$AJ$4,0)))+SUMPRODUCT((Inputs!$C$5:$C$200=$B60)*Inputs!$D$5:$D$200*(((Inputs!$G$5:$G$200="moeda")+(Inputs!$G$5:$G$200="acoes"))*Inputs!$B$1+((Inputs!$G$5:$G$200&lt;&gt;"moeda")*(Inputs!$G$5:$G$200&lt;&gt;"acoes")))*INDEX(Inputs!$K$5:$AJ$200,0,MATCH(K$2,Inputs!$K$4:$AJ$4,0)))+SUMPRODUCT((Inputs!$E$5:$E$200=$B60)*Inputs!$F$5:$F$200*(((Inputs!$G$5:$G$200="moeda")+(Inputs!$G$5:$G$200="acoes"))*Inputs!$B$1+((Inputs!$G$5:$G$200&lt;&gt;"moeda")*(Inputs!$G$5:$G$200&lt;&gt;"acoes")))*INDEX(Inputs!$K$5:$AJ$200,0,MATCH(K$2,Inputs!$K$4:$AJ$4,0)))))</f>
        <v>43882</v>
      </c>
      <c r="L60" s="264">
        <f>IF(ISNA(MATCH(L$2,Inputs!$K$4:$AJ$4,0)),NA(),IF(SUMPRODUCT((Inputs!$A$5:$A$200=$B60)*ISNUMBER(INDEX(Inputs!$K$5:$AJ$200,0,MATCH(L$2,Inputs!$K$4:$AJ$4,0))))+SUMPRODUCT((Inputs!$C$5:$C$200=$B60)*ISNUMBER(INDEX(Inputs!$K$5:$AJ$200,0,MATCH(L$2,Inputs!$K$4:$AJ$4,0))))+SUMPRODUCT((Inputs!$E$5:$E$200=$B60)*ISNUMBER(INDEX(Inputs!$K$5:$AJ$200,0,MATCH(L$2,Inputs!$K$4:$AJ$4,0))))=0,NA(),SUMPRODUCT((Inputs!$A$5:$A$200=$B60)*Inputs!$B$5:$B$200*(((Inputs!$G$5:$G$200="moeda")+(Inputs!$G$5:$G$200="acoes"))*Inputs!$B$1+((Inputs!$G$5:$G$200&lt;&gt;"moeda")*(Inputs!$G$5:$G$200&lt;&gt;"acoes")))*INDEX(Inputs!$K$5:$AJ$200,0,MATCH(L$2,Inputs!$K$4:$AJ$4,0)))+SUMPRODUCT((Inputs!$C$5:$C$200=$B60)*Inputs!$D$5:$D$200*(((Inputs!$G$5:$G$200="moeda")+(Inputs!$G$5:$G$200="acoes"))*Inputs!$B$1+((Inputs!$G$5:$G$200&lt;&gt;"moeda")*(Inputs!$G$5:$G$200&lt;&gt;"acoes")))*INDEX(Inputs!$K$5:$AJ$200,0,MATCH(L$2,Inputs!$K$4:$AJ$4,0)))+SUMPRODUCT((Inputs!$E$5:$E$200=$B60)*Inputs!$F$5:$F$200*(((Inputs!$G$5:$G$200="moeda")+(Inputs!$G$5:$G$200="acoes"))*Inputs!$B$1+((Inputs!$G$5:$G$200&lt;&gt;"moeda")*(Inputs!$G$5:$G$200&lt;&gt;"acoes")))*INDEX(Inputs!$K$5:$AJ$200,0,MATCH(L$2,Inputs!$K$4:$AJ$4,0)))))</f>
        <v>49106</v>
      </c>
      <c r="M60" s="265" t="n"/>
      <c r="N60" s="264">
        <f>IF(ISNA(MATCH(N$2,Inputs!$K$4:$AJ$4,0)),NA(),IF(SUMPRODUCT((Inputs!$A$5:$A$200=$B60)*ISNUMBER(INDEX(Inputs!$K$5:$AJ$200,0,MATCH(N$2,Inputs!$K$4:$AJ$4,0))))+SUMPRODUCT((Inputs!$C$5:$C$200=$B60)*ISNUMBER(INDEX(Inputs!$K$5:$AJ$200,0,MATCH(N$2,Inputs!$K$4:$AJ$4,0))))+SUMPRODUCT((Inputs!$E$5:$E$200=$B60)*ISNUMBER(INDEX(Inputs!$K$5:$AJ$200,0,MATCH(N$2,Inputs!$K$4:$AJ$4,0))))=0,NA(),SUMPRODUCT((Inputs!$A$5:$A$200=$B60)*Inputs!$B$5:$B$200*(((Inputs!$G$5:$G$200="moeda")+(Inputs!$G$5:$G$200="acoes"))*Inputs!$B$1+((Inputs!$G$5:$G$200&lt;&gt;"moeda")*(Inputs!$G$5:$G$200&lt;&gt;"acoes")))*INDEX(Inputs!$K$5:$AJ$200,0,MATCH(N$2,Inputs!$K$4:$AJ$4,0)))+SUMPRODUCT((Inputs!$C$5:$C$200=$B60)*Inputs!$D$5:$D$200*(((Inputs!$G$5:$G$200="moeda")+(Inputs!$G$5:$G$200="acoes"))*Inputs!$B$1+((Inputs!$G$5:$G$200&lt;&gt;"moeda")*(Inputs!$G$5:$G$200&lt;&gt;"acoes")))*INDEX(Inputs!$K$5:$AJ$200,0,MATCH(N$2,Inputs!$K$4:$AJ$4,0)))+SUMPRODUCT((Inputs!$E$5:$E$200=$B60)*Inputs!$F$5:$F$200*(((Inputs!$G$5:$G$200="moeda")+(Inputs!$G$5:$G$200="acoes"))*Inputs!$B$1+((Inputs!$G$5:$G$200&lt;&gt;"moeda")*(Inputs!$G$5:$G$200&lt;&gt;"acoes")))*INDEX(Inputs!$K$5:$AJ$200,0,MATCH(N$2,Inputs!$K$4:$AJ$4,0)))))</f>
        <v>52061</v>
      </c>
      <c r="O60" s="264">
        <f>IF(ISNA(MATCH(O$2,Inputs!$K$4:$AJ$4,0)),NA(),IF(SUMPRODUCT((Inputs!$A$5:$A$200=$B60)*ISNUMBER(INDEX(Inputs!$K$5:$AJ$200,0,MATCH(O$2,Inputs!$K$4:$AJ$4,0))))+SUMPRODUCT((Inputs!$C$5:$C$200=$B60)*ISNUMBER(INDEX(Inputs!$K$5:$AJ$200,0,MATCH(O$2,Inputs!$K$4:$AJ$4,0))))+SUMPRODUCT((Inputs!$E$5:$E$200=$B60)*ISNUMBER(INDEX(Inputs!$K$5:$AJ$200,0,MATCH(O$2,Inputs!$K$4:$AJ$4,0))))=0,NA(),SUMPRODUCT((Inputs!$A$5:$A$200=$B60)*Inputs!$B$5:$B$200*(((Inputs!$G$5:$G$200="moeda")+(Inputs!$G$5:$G$200="acoes"))*Inputs!$B$1+((Inputs!$G$5:$G$200&lt;&gt;"moeda")*(Inputs!$G$5:$G$200&lt;&gt;"acoes")))*INDEX(Inputs!$K$5:$AJ$200,0,MATCH(O$2,Inputs!$K$4:$AJ$4,0)))+SUMPRODUCT((Inputs!$C$5:$C$200=$B60)*Inputs!$D$5:$D$200*(((Inputs!$G$5:$G$200="moeda")+(Inputs!$G$5:$G$200="acoes"))*Inputs!$B$1+((Inputs!$G$5:$G$200&lt;&gt;"moeda")*(Inputs!$G$5:$G$200&lt;&gt;"acoes")))*INDEX(Inputs!$K$5:$AJ$200,0,MATCH(O$2,Inputs!$K$4:$AJ$4,0)))+SUMPRODUCT((Inputs!$E$5:$E$200=$B60)*Inputs!$F$5:$F$200*(((Inputs!$G$5:$G$200="moeda")+(Inputs!$G$5:$G$200="acoes"))*Inputs!$B$1+((Inputs!$G$5:$G$200&lt;&gt;"moeda")*(Inputs!$G$5:$G$200&lt;&gt;"acoes")))*INDEX(Inputs!$K$5:$AJ$200,0,MATCH(O$2,Inputs!$K$4:$AJ$4,0)))))</f>
        <v>55224</v>
      </c>
      <c r="P60" s="264">
        <f>IF(ISNA(MATCH(P$2,Inputs!$K$4:$AJ$4,0)),NA(),IF(SUMPRODUCT((Inputs!$A$5:$A$200=$B60)*ISNUMBER(INDEX(Inputs!$K$5:$AJ$200,0,MATCH(P$2,Inputs!$K$4:$AJ$4,0))))+SUMPRODUCT((Inputs!$C$5:$C$200=$B60)*ISNUMBER(INDEX(Inputs!$K$5:$AJ$200,0,MATCH(P$2,Inputs!$K$4:$AJ$4,0))))+SUMPRODUCT((Inputs!$E$5:$E$200=$B60)*ISNUMBER(INDEX(Inputs!$K$5:$AJ$200,0,MATCH(P$2,Inputs!$K$4:$AJ$4,0))))=0,NA(),SUMPRODUCT((Inputs!$A$5:$A$200=$B60)*Inputs!$B$5:$B$200*(((Inputs!$G$5:$G$200="moeda")+(Inputs!$G$5:$G$200="acoes"))*Inputs!$B$1+((Inputs!$G$5:$G$200&lt;&gt;"moeda")*(Inputs!$G$5:$G$200&lt;&gt;"acoes")))*INDEX(Inputs!$K$5:$AJ$200,0,MATCH(P$2,Inputs!$K$4:$AJ$4,0)))+SUMPRODUCT((Inputs!$C$5:$C$200=$B60)*Inputs!$D$5:$D$200*(((Inputs!$G$5:$G$200="moeda")+(Inputs!$G$5:$G$200="acoes"))*Inputs!$B$1+((Inputs!$G$5:$G$200&lt;&gt;"moeda")*(Inputs!$G$5:$G$200&lt;&gt;"acoes")))*INDEX(Inputs!$K$5:$AJ$200,0,MATCH(P$2,Inputs!$K$4:$AJ$4,0)))+SUMPRODUCT((Inputs!$E$5:$E$200=$B60)*Inputs!$F$5:$F$200*(((Inputs!$G$5:$G$200="moeda")+(Inputs!$G$5:$G$200="acoes"))*Inputs!$B$1+((Inputs!$G$5:$G$200&lt;&gt;"moeda")*(Inputs!$G$5:$G$200&lt;&gt;"acoes")))*INDEX(Inputs!$K$5:$AJ$200,0,MATCH(P$2,Inputs!$K$4:$AJ$4,0)))))</f>
        <v>53763</v>
      </c>
      <c r="Q60" s="264">
        <f>IF(ISNA(MATCH(Q$2,Inputs!$K$4:$AJ$4,0)),NA(),IF(SUMPRODUCT((Inputs!$A$5:$A$200=$B60)*ISNUMBER(INDEX(Inputs!$K$5:$AJ$200,0,MATCH(Q$2,Inputs!$K$4:$AJ$4,0))))+SUMPRODUCT((Inputs!$C$5:$C$200=$B60)*ISNUMBER(INDEX(Inputs!$K$5:$AJ$200,0,MATCH(Q$2,Inputs!$K$4:$AJ$4,0))))+SUMPRODUCT((Inputs!$E$5:$E$200=$B60)*ISNUMBER(INDEX(Inputs!$K$5:$AJ$200,0,MATCH(Q$2,Inputs!$K$4:$AJ$4,0))))=0,NA(),SUMPRODUCT((Inputs!$A$5:$A$200=$B60)*Inputs!$B$5:$B$200*(((Inputs!$G$5:$G$200="moeda")+(Inputs!$G$5:$G$200="acoes"))*Inputs!$B$1+((Inputs!$G$5:$G$200&lt;&gt;"moeda")*(Inputs!$G$5:$G$200&lt;&gt;"acoes")))*INDEX(Inputs!$K$5:$AJ$200,0,MATCH(Q$2,Inputs!$K$4:$AJ$4,0)))+SUMPRODUCT((Inputs!$C$5:$C$200=$B60)*Inputs!$D$5:$D$200*(((Inputs!$G$5:$G$200="moeda")+(Inputs!$G$5:$G$200="acoes"))*Inputs!$B$1+((Inputs!$G$5:$G$200&lt;&gt;"moeda")*(Inputs!$G$5:$G$200&lt;&gt;"acoes")))*INDEX(Inputs!$K$5:$AJ$200,0,MATCH(Q$2,Inputs!$K$4:$AJ$4,0)))+SUMPRODUCT((Inputs!$E$5:$E$200=$B60)*Inputs!$F$5:$F$200*(((Inputs!$G$5:$G$200="moeda")+(Inputs!$G$5:$G$200="acoes"))*Inputs!$B$1+((Inputs!$G$5:$G$200&lt;&gt;"moeda")*(Inputs!$G$5:$G$200&lt;&gt;"acoes")))*INDEX(Inputs!$K$5:$AJ$200,0,MATCH(Q$2,Inputs!$K$4:$AJ$4,0)))))</f>
        <v>56103</v>
      </c>
      <c r="R60" s="265" t="n"/>
      <c r="S60" s="264">
        <f>IF(ISNA(MATCH(S$2,Inputs!$K$4:$AJ$4,0)),NA(),IF(SUMPRODUCT((Inputs!$A$5:$A$200=$B60)*ISNUMBER(INDEX(Inputs!$K$5:$AJ$200,0,MATCH(S$2,Inputs!$K$4:$AJ$4,0))))+SUMPRODUCT((Inputs!$C$5:$C$200=$B60)*ISNUMBER(INDEX(Inputs!$K$5:$AJ$200,0,MATCH(S$2,Inputs!$K$4:$AJ$4,0))))+SUMPRODUCT((Inputs!$E$5:$E$200=$B60)*ISNUMBER(INDEX(Inputs!$K$5:$AJ$200,0,MATCH(S$2,Inputs!$K$4:$AJ$4,0))))=0,NA(),SUMPRODUCT((Inputs!$A$5:$A$200=$B60)*Inputs!$B$5:$B$200*(((Inputs!$G$5:$G$200="moeda")+(Inputs!$G$5:$G$200="acoes"))*Inputs!$B$1+((Inputs!$G$5:$G$200&lt;&gt;"moeda")*(Inputs!$G$5:$G$200&lt;&gt;"acoes")))*INDEX(Inputs!$K$5:$AJ$200,0,MATCH(S$2,Inputs!$K$4:$AJ$4,0)))+SUMPRODUCT((Inputs!$C$5:$C$200=$B60)*Inputs!$D$5:$D$200*(((Inputs!$G$5:$G$200="moeda")+(Inputs!$G$5:$G$200="acoes"))*Inputs!$B$1+((Inputs!$G$5:$G$200&lt;&gt;"moeda")*(Inputs!$G$5:$G$200&lt;&gt;"acoes")))*INDEX(Inputs!$K$5:$AJ$200,0,MATCH(S$2,Inputs!$K$4:$AJ$4,0)))+SUMPRODUCT((Inputs!$E$5:$E$200=$B60)*Inputs!$F$5:$F$200*(((Inputs!$G$5:$G$200="moeda")+(Inputs!$G$5:$G$200="acoes"))*Inputs!$B$1+((Inputs!$G$5:$G$200&lt;&gt;"moeda")*(Inputs!$G$5:$G$200&lt;&gt;"acoes")))*INDEX(Inputs!$K$5:$AJ$200,0,MATCH(S$2,Inputs!$K$4:$AJ$4,0)))))</f>
        <v>60167</v>
      </c>
      <c r="T60" s="264">
        <f>IF(ISNA(MATCH(T$2,Inputs!$K$4:$AJ$4,0)),NA(),IF(SUMPRODUCT((Inputs!$A$5:$A$200=$B60)*ISNUMBER(INDEX(Inputs!$K$5:$AJ$200,0,MATCH(T$2,Inputs!$K$4:$AJ$4,0))))+SUMPRODUCT((Inputs!$C$5:$C$200=$B60)*ISNUMBER(INDEX(Inputs!$K$5:$AJ$200,0,MATCH(T$2,Inputs!$K$4:$AJ$4,0))))+SUMPRODUCT((Inputs!$E$5:$E$200=$B60)*ISNUMBER(INDEX(Inputs!$K$5:$AJ$200,0,MATCH(T$2,Inputs!$K$4:$AJ$4,0))))=0,NA(),SUMPRODUCT((Inputs!$A$5:$A$200=$B60)*Inputs!$B$5:$B$200*(((Inputs!$G$5:$G$200="moeda")+(Inputs!$G$5:$G$200="acoes"))*Inputs!$B$1+((Inputs!$G$5:$G$200&lt;&gt;"moeda")*(Inputs!$G$5:$G$200&lt;&gt;"acoes")))*INDEX(Inputs!$K$5:$AJ$200,0,MATCH(T$2,Inputs!$K$4:$AJ$4,0)))+SUMPRODUCT((Inputs!$C$5:$C$200=$B60)*Inputs!$D$5:$D$200*(((Inputs!$G$5:$G$200="moeda")+(Inputs!$G$5:$G$200="acoes"))*Inputs!$B$1+((Inputs!$G$5:$G$200&lt;&gt;"moeda")*(Inputs!$G$5:$G$200&lt;&gt;"acoes")))*INDEX(Inputs!$K$5:$AJ$200,0,MATCH(T$2,Inputs!$K$4:$AJ$4,0)))+SUMPRODUCT((Inputs!$E$5:$E$200=$B60)*Inputs!$F$5:$F$200*(((Inputs!$G$5:$G$200="moeda")+(Inputs!$G$5:$G$200="acoes"))*Inputs!$B$1+((Inputs!$G$5:$G$200&lt;&gt;"moeda")*(Inputs!$G$5:$G$200&lt;&gt;"acoes")))*INDEX(Inputs!$K$5:$AJ$200,0,MATCH(T$2,Inputs!$K$4:$AJ$4,0)))))</f>
        <v>62599</v>
      </c>
      <c r="U60" s="264">
        <f>IF(ISNA(MATCH(U$2,Inputs!$K$4:$AJ$4,0)),NA(),IF(SUMPRODUCT((Inputs!$A$5:$A$200=$B60)*ISNUMBER(INDEX(Inputs!$K$5:$AJ$200,0,MATCH(U$2,Inputs!$K$4:$AJ$4,0))))+SUMPRODUCT((Inputs!$C$5:$C$200=$B60)*ISNUMBER(INDEX(Inputs!$K$5:$AJ$200,0,MATCH(U$2,Inputs!$K$4:$AJ$4,0))))+SUMPRODUCT((Inputs!$E$5:$E$200=$B60)*ISNUMBER(INDEX(Inputs!$K$5:$AJ$200,0,MATCH(U$2,Inputs!$K$4:$AJ$4,0))))=0,NA(),SUMPRODUCT((Inputs!$A$5:$A$200=$B60)*Inputs!$B$5:$B$200*(((Inputs!$G$5:$G$200="moeda")+(Inputs!$G$5:$G$200="acoes"))*Inputs!$B$1+((Inputs!$G$5:$G$200&lt;&gt;"moeda")*(Inputs!$G$5:$G$200&lt;&gt;"acoes")))*INDEX(Inputs!$K$5:$AJ$200,0,MATCH(U$2,Inputs!$K$4:$AJ$4,0)))+SUMPRODUCT((Inputs!$C$5:$C$200=$B60)*Inputs!$D$5:$D$200*(((Inputs!$G$5:$G$200="moeda")+(Inputs!$G$5:$G$200="acoes"))*Inputs!$B$1+((Inputs!$G$5:$G$200&lt;&gt;"moeda")*(Inputs!$G$5:$G$200&lt;&gt;"acoes")))*INDEX(Inputs!$K$5:$AJ$200,0,MATCH(U$2,Inputs!$K$4:$AJ$4,0)))+SUMPRODUCT((Inputs!$E$5:$E$200=$B60)*Inputs!$F$5:$F$200*(((Inputs!$G$5:$G$200="moeda")+(Inputs!$G$5:$G$200="acoes"))*Inputs!$B$1+((Inputs!$G$5:$G$200&lt;&gt;"moeda")*(Inputs!$G$5:$G$200&lt;&gt;"acoes")))*INDEX(Inputs!$K$5:$AJ$200,0,MATCH(U$2,Inputs!$K$4:$AJ$4,0)))))</f>
        <v>62271</v>
      </c>
      <c r="V60" s="264">
        <f>IF(ISNA(MATCH(V$2,Inputs!$K$4:$AJ$4,0)),NA(),IF(SUMPRODUCT((Inputs!$A$5:$A$200=$B60)*ISNUMBER(INDEX(Inputs!$K$5:$AJ$200,0,MATCH(V$2,Inputs!$K$4:$AJ$4,0))))+SUMPRODUCT((Inputs!$C$5:$C$200=$B60)*ISNUMBER(INDEX(Inputs!$K$5:$AJ$200,0,MATCH(V$2,Inputs!$K$4:$AJ$4,0))))+SUMPRODUCT((Inputs!$E$5:$E$200=$B60)*ISNUMBER(INDEX(Inputs!$K$5:$AJ$200,0,MATCH(V$2,Inputs!$K$4:$AJ$4,0))))=0,NA(),SUMPRODUCT((Inputs!$A$5:$A$200=$B60)*Inputs!$B$5:$B$200*(((Inputs!$G$5:$G$200="moeda")+(Inputs!$G$5:$G$200="acoes"))*Inputs!$B$1+((Inputs!$G$5:$G$200&lt;&gt;"moeda")*(Inputs!$G$5:$G$200&lt;&gt;"acoes")))*INDEX(Inputs!$K$5:$AJ$200,0,MATCH(V$2,Inputs!$K$4:$AJ$4,0)))+SUMPRODUCT((Inputs!$C$5:$C$200=$B60)*Inputs!$D$5:$D$200*(((Inputs!$G$5:$G$200="moeda")+(Inputs!$G$5:$G$200="acoes"))*Inputs!$B$1+((Inputs!$G$5:$G$200&lt;&gt;"moeda")*(Inputs!$G$5:$G$200&lt;&gt;"acoes")))*INDEX(Inputs!$K$5:$AJ$200,0,MATCH(V$2,Inputs!$K$4:$AJ$4,0)))+SUMPRODUCT((Inputs!$E$5:$E$200=$B60)*Inputs!$F$5:$F$200*(((Inputs!$G$5:$G$200="moeda")+(Inputs!$G$5:$G$200="acoes"))*Inputs!$B$1+((Inputs!$G$5:$G$200&lt;&gt;"moeda")*(Inputs!$G$5:$G$200&lt;&gt;"acoes")))*INDEX(Inputs!$K$5:$AJ$200,0,MATCH(V$2,Inputs!$K$4:$AJ$4,0)))))</f>
        <v>62102</v>
      </c>
      <c r="W60" s="265" t="n"/>
      <c r="X60" s="264">
        <f>IF(ISNA(MATCH(X$2,Inputs!$K$4:$AJ$4,0)),NA(),IF(SUMPRODUCT((Inputs!$A$5:$A$200=$B60)*ISNUMBER(INDEX(Inputs!$K$5:$AJ$200,0,MATCH(X$2,Inputs!$K$4:$AJ$4,0))))+SUMPRODUCT((Inputs!$C$5:$C$200=$B60)*ISNUMBER(INDEX(Inputs!$K$5:$AJ$200,0,MATCH(X$2,Inputs!$K$4:$AJ$4,0))))+SUMPRODUCT((Inputs!$E$5:$E$200=$B60)*ISNUMBER(INDEX(Inputs!$K$5:$AJ$200,0,MATCH(X$2,Inputs!$K$4:$AJ$4,0))))=0,NA(),SUMPRODUCT((Inputs!$A$5:$A$200=$B60)*Inputs!$B$5:$B$200*(((Inputs!$G$5:$G$200="moeda")+(Inputs!$G$5:$G$200="acoes"))*Inputs!$B$1+((Inputs!$G$5:$G$200&lt;&gt;"moeda")*(Inputs!$G$5:$G$200&lt;&gt;"acoes")))*INDEX(Inputs!$K$5:$AJ$200,0,MATCH(X$2,Inputs!$K$4:$AJ$4,0)))+SUMPRODUCT((Inputs!$C$5:$C$200=$B60)*Inputs!$D$5:$D$200*(((Inputs!$G$5:$G$200="moeda")+(Inputs!$G$5:$G$200="acoes"))*Inputs!$B$1+((Inputs!$G$5:$G$200&lt;&gt;"moeda")*(Inputs!$G$5:$G$200&lt;&gt;"acoes")))*INDEX(Inputs!$K$5:$AJ$200,0,MATCH(X$2,Inputs!$K$4:$AJ$4,0)))+SUMPRODUCT((Inputs!$E$5:$E$200=$B60)*Inputs!$F$5:$F$200*(((Inputs!$G$5:$G$200="moeda")+(Inputs!$G$5:$G$200="acoes"))*Inputs!$B$1+((Inputs!$G$5:$G$200&lt;&gt;"moeda")*(Inputs!$G$5:$G$200&lt;&gt;"acoes")))*INDEX(Inputs!$K$5:$AJ$200,0,MATCH(X$2,Inputs!$K$4:$AJ$4,0)))))</f>
        <v>60678</v>
      </c>
      <c r="Y60" s="264">
        <f>IF(ISNA(MATCH(Y$2,Inputs!$K$4:$AJ$4,0)),NA(),IF(SUMPRODUCT((Inputs!$A$5:$A$200=$B60)*ISNUMBER(INDEX(Inputs!$K$5:$AJ$200,0,MATCH(Y$2,Inputs!$K$4:$AJ$4,0))))+SUMPRODUCT((Inputs!$C$5:$C$200=$B60)*ISNUMBER(INDEX(Inputs!$K$5:$AJ$200,0,MATCH(Y$2,Inputs!$K$4:$AJ$4,0))))+SUMPRODUCT((Inputs!$E$5:$E$200=$B60)*ISNUMBER(INDEX(Inputs!$K$5:$AJ$200,0,MATCH(Y$2,Inputs!$K$4:$AJ$4,0))))=0,NA(),SUMPRODUCT((Inputs!$A$5:$A$200=$B60)*Inputs!$B$5:$B$200*(((Inputs!$G$5:$G$200="moeda")+(Inputs!$G$5:$G$200="acoes"))*Inputs!$B$1+((Inputs!$G$5:$G$200&lt;&gt;"moeda")*(Inputs!$G$5:$G$200&lt;&gt;"acoes")))*INDEX(Inputs!$K$5:$AJ$200,0,MATCH(Y$2,Inputs!$K$4:$AJ$4,0)))+SUMPRODUCT((Inputs!$C$5:$C$200=$B60)*Inputs!$D$5:$D$200*(((Inputs!$G$5:$G$200="moeda")+(Inputs!$G$5:$G$200="acoes"))*Inputs!$B$1+((Inputs!$G$5:$G$200&lt;&gt;"moeda")*(Inputs!$G$5:$G$200&lt;&gt;"acoes")))*INDEX(Inputs!$K$5:$AJ$200,0,MATCH(Y$2,Inputs!$K$4:$AJ$4,0)))+SUMPRODUCT((Inputs!$E$5:$E$200=$B60)*Inputs!$F$5:$F$200*(((Inputs!$G$5:$G$200="moeda")+(Inputs!$G$5:$G$200="acoes"))*Inputs!$B$1+((Inputs!$G$5:$G$200&lt;&gt;"moeda")*(Inputs!$G$5:$G$200&lt;&gt;"acoes")))*INDEX(Inputs!$K$5:$AJ$200,0,MATCH(Y$2,Inputs!$K$4:$AJ$4,0)))))</f>
        <v>59779.3</v>
      </c>
      <c r="Z60" s="264">
        <f>IF(ISNA(MATCH(Z$2,Inputs!$K$4:$AJ$4,0)),NA(),IF(SUMPRODUCT((Inputs!$A$5:$A$200=$B60)*ISNUMBER(INDEX(Inputs!$K$5:$AJ$200,0,MATCH(Z$2,Inputs!$K$4:$AJ$4,0))))+SUMPRODUCT((Inputs!$C$5:$C$200=$B60)*ISNUMBER(INDEX(Inputs!$K$5:$AJ$200,0,MATCH(Z$2,Inputs!$K$4:$AJ$4,0))))+SUMPRODUCT((Inputs!$E$5:$E$200=$B60)*ISNUMBER(INDEX(Inputs!$K$5:$AJ$200,0,MATCH(Z$2,Inputs!$K$4:$AJ$4,0))))=0,NA(),SUMPRODUCT((Inputs!$A$5:$A$200=$B60)*Inputs!$B$5:$B$200*(((Inputs!$G$5:$G$200="moeda")+(Inputs!$G$5:$G$200="acoes"))*Inputs!$B$1+((Inputs!$G$5:$G$200&lt;&gt;"moeda")*(Inputs!$G$5:$G$200&lt;&gt;"acoes")))*INDEX(Inputs!$K$5:$AJ$200,0,MATCH(Z$2,Inputs!$K$4:$AJ$4,0)))+SUMPRODUCT((Inputs!$C$5:$C$200=$B60)*Inputs!$D$5:$D$200*(((Inputs!$G$5:$G$200="moeda")+(Inputs!$G$5:$G$200="acoes"))*Inputs!$B$1+((Inputs!$G$5:$G$200&lt;&gt;"moeda")*(Inputs!$G$5:$G$200&lt;&gt;"acoes")))*INDEX(Inputs!$K$5:$AJ$200,0,MATCH(Z$2,Inputs!$K$4:$AJ$4,0)))+SUMPRODUCT((Inputs!$E$5:$E$200=$B60)*Inputs!$F$5:$F$200*(((Inputs!$G$5:$G$200="moeda")+(Inputs!$G$5:$G$200="acoes"))*Inputs!$B$1+((Inputs!$G$5:$G$200&lt;&gt;"moeda")*(Inputs!$G$5:$G$200&lt;&gt;"acoes")))*INDEX(Inputs!$K$5:$AJ$200,0,MATCH(Z$2,Inputs!$K$4:$AJ$4,0)))))</f>
        <v>57361</v>
      </c>
      <c r="AA60" s="264">
        <f>IF(ISNA(MATCH(AA$2,Inputs!$K$4:$AJ$4,0)),NA(),IF(SUMPRODUCT((Inputs!$A$5:$A$200=$B60)*ISNUMBER(INDEX(Inputs!$K$5:$AJ$200,0,MATCH(AA$2,Inputs!$K$4:$AJ$4,0))))+SUMPRODUCT((Inputs!$C$5:$C$200=$B60)*ISNUMBER(INDEX(Inputs!$K$5:$AJ$200,0,MATCH(AA$2,Inputs!$K$4:$AJ$4,0))))+SUMPRODUCT((Inputs!$E$5:$E$200=$B60)*ISNUMBER(INDEX(Inputs!$K$5:$AJ$200,0,MATCH(AA$2,Inputs!$K$4:$AJ$4,0))))=0,NA(),SUMPRODUCT((Inputs!$A$5:$A$200=$B60)*Inputs!$B$5:$B$200*(((Inputs!$G$5:$G$200="moeda")+(Inputs!$G$5:$G$200="acoes"))*Inputs!$B$1+((Inputs!$G$5:$G$200&lt;&gt;"moeda")*(Inputs!$G$5:$G$200&lt;&gt;"acoes")))*INDEX(Inputs!$K$5:$AJ$200,0,MATCH(AA$2,Inputs!$K$4:$AJ$4,0)))+SUMPRODUCT((Inputs!$C$5:$C$200=$B60)*Inputs!$D$5:$D$200*(((Inputs!$G$5:$G$200="moeda")+(Inputs!$G$5:$G$200="acoes"))*Inputs!$B$1+((Inputs!$G$5:$G$200&lt;&gt;"moeda")*(Inputs!$G$5:$G$200&lt;&gt;"acoes")))*INDEX(Inputs!$K$5:$AJ$200,0,MATCH(AA$2,Inputs!$K$4:$AJ$4,0)))+SUMPRODUCT((Inputs!$E$5:$E$200=$B60)*Inputs!$F$5:$F$200*(((Inputs!$G$5:$G$200="moeda")+(Inputs!$G$5:$G$200="acoes"))*Inputs!$B$1+((Inputs!$G$5:$G$200&lt;&gt;"moeda")*(Inputs!$G$5:$G$200&lt;&gt;"acoes")))*INDEX(Inputs!$K$5:$AJ$200,0,MATCH(AA$2,Inputs!$K$4:$AJ$4,0)))))</f>
        <v>58971</v>
      </c>
      <c r="AB60" s="265" t="n"/>
      <c r="AC60" s="264">
        <f>IF(ISNA(MATCH(AC$2,Inputs!$K$4:$AJ$4,0)),NA(),IF(SUMPRODUCT((Inputs!$A$5:$A$200=$B60)*ISNUMBER(INDEX(Inputs!$K$5:$AJ$200,0,MATCH(AC$2,Inputs!$K$4:$AJ$4,0))))+SUMPRODUCT((Inputs!$C$5:$C$200=$B60)*ISNUMBER(INDEX(Inputs!$K$5:$AJ$200,0,MATCH(AC$2,Inputs!$K$4:$AJ$4,0))))+SUMPRODUCT((Inputs!$E$5:$E$200=$B60)*ISNUMBER(INDEX(Inputs!$K$5:$AJ$200,0,MATCH(AC$2,Inputs!$K$4:$AJ$4,0))))=0,NA(),SUMPRODUCT((Inputs!$A$5:$A$200=$B60)*Inputs!$B$5:$B$200*(((Inputs!$G$5:$G$200="moeda")+(Inputs!$G$5:$G$200="acoes"))*Inputs!$B$1+((Inputs!$G$5:$G$200&lt;&gt;"moeda")*(Inputs!$G$5:$G$200&lt;&gt;"acoes")))*INDEX(Inputs!$K$5:$AJ$200,0,MATCH(AC$2,Inputs!$K$4:$AJ$4,0)))+SUMPRODUCT((Inputs!$C$5:$C$200=$B60)*Inputs!$D$5:$D$200*(((Inputs!$G$5:$G$200="moeda")+(Inputs!$G$5:$G$200="acoes"))*Inputs!$B$1+((Inputs!$G$5:$G$200&lt;&gt;"moeda")*(Inputs!$G$5:$G$200&lt;&gt;"acoes")))*INDEX(Inputs!$K$5:$AJ$200,0,MATCH(AC$2,Inputs!$K$4:$AJ$4,0)))+SUMPRODUCT((Inputs!$E$5:$E$200=$B60)*Inputs!$F$5:$F$200*(((Inputs!$G$5:$G$200="moeda")+(Inputs!$G$5:$G$200="acoes"))*Inputs!$B$1+((Inputs!$G$5:$G$200&lt;&gt;"moeda")*(Inputs!$G$5:$G$200&lt;&gt;"acoes")))*INDEX(Inputs!$K$5:$AJ$200,0,MATCH(AC$2,Inputs!$K$4:$AJ$4,0)))))</f>
        <v>52521</v>
      </c>
      <c r="AD60" s="264">
        <f>IF(ISNA(MATCH(AD$2,Inputs!$K$4:$AJ$4,0)),NA(),IF(SUMPRODUCT((Inputs!$A$5:$A$200=$B60)*ISNUMBER(INDEX(Inputs!$K$5:$AJ$200,0,MATCH(AD$2,Inputs!$K$4:$AJ$4,0))))+SUMPRODUCT((Inputs!$C$5:$C$200=$B60)*ISNUMBER(INDEX(Inputs!$K$5:$AJ$200,0,MATCH(AD$2,Inputs!$K$4:$AJ$4,0))))+SUMPRODUCT((Inputs!$E$5:$E$200=$B60)*ISNUMBER(INDEX(Inputs!$K$5:$AJ$200,0,MATCH(AD$2,Inputs!$K$4:$AJ$4,0))))=0,NA(),SUMPRODUCT((Inputs!$A$5:$A$200=$B60)*Inputs!$B$5:$B$200*(((Inputs!$G$5:$G$200="moeda")+(Inputs!$G$5:$G$200="acoes"))*Inputs!$B$1+((Inputs!$G$5:$G$200&lt;&gt;"moeda")*(Inputs!$G$5:$G$200&lt;&gt;"acoes")))*INDEX(Inputs!$K$5:$AJ$200,0,MATCH(AD$2,Inputs!$K$4:$AJ$4,0)))+SUMPRODUCT((Inputs!$C$5:$C$200=$B60)*Inputs!$D$5:$D$200*(((Inputs!$G$5:$G$200="moeda")+(Inputs!$G$5:$G$200="acoes"))*Inputs!$B$1+((Inputs!$G$5:$G$200&lt;&gt;"moeda")*(Inputs!$G$5:$G$200&lt;&gt;"acoes")))*INDEX(Inputs!$K$5:$AJ$200,0,MATCH(AD$2,Inputs!$K$4:$AJ$4,0)))+SUMPRODUCT((Inputs!$E$5:$E$200=$B60)*Inputs!$F$5:$F$200*(((Inputs!$G$5:$G$200="moeda")+(Inputs!$G$5:$G$200="acoes"))*Inputs!$B$1+((Inputs!$G$5:$G$200&lt;&gt;"moeda")*(Inputs!$G$5:$G$200&lt;&gt;"acoes")))*INDEX(Inputs!$K$5:$AJ$200,0,MATCH(AD$2,Inputs!$K$4:$AJ$4,0)))))</f>
        <v>55200</v>
      </c>
      <c r="AE60" s="264" t="e">
        <f>IF(ISNA(MATCH(AE$2,Inputs!$K$4:$AJ$4,0)),NA(),IF(SUMPRODUCT((Inputs!$A$5:$A$200=$B60)*ISNUMBER(INDEX(Inputs!$K$5:$AJ$200,0,MATCH(AE$2,Inputs!$K$4:$AJ$4,0))))+SUMPRODUCT((Inputs!$C$5:$C$200=$B60)*ISNUMBER(INDEX(Inputs!$K$5:$AJ$200,0,MATCH(AE$2,Inputs!$K$4:$AJ$4,0))))+SUMPRODUCT((Inputs!$E$5:$E$200=$B60)*ISNUMBER(INDEX(Inputs!$K$5:$AJ$200,0,MATCH(AE$2,Inputs!$K$4:$AJ$4,0))))=0,NA(),SUMPRODUCT((Inputs!$A$5:$A$200=$B60)*Inputs!$B$5:$B$200*(((Inputs!$G$5:$G$200="moeda")+(Inputs!$G$5:$G$200="acoes"))*Inputs!$B$1+((Inputs!$G$5:$G$200&lt;&gt;"moeda")*(Inputs!$G$5:$G$200&lt;&gt;"acoes")))*INDEX(Inputs!$K$5:$AJ$200,0,MATCH(AE$2,Inputs!$K$4:$AJ$4,0)))+SUMPRODUCT((Inputs!$C$5:$C$200=$B60)*Inputs!$D$5:$D$200*(((Inputs!$G$5:$G$200="moeda")+(Inputs!$G$5:$G$200="acoes"))*Inputs!$B$1+((Inputs!$G$5:$G$200&lt;&gt;"moeda")*(Inputs!$G$5:$G$200&lt;&gt;"acoes")))*INDEX(Inputs!$K$5:$AJ$200,0,MATCH(AE$2,Inputs!$K$4:$AJ$4,0)))+SUMPRODUCT((Inputs!$E$5:$E$200=$B60)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60" s="264" t="e">
        <f>IF(ISNA(MATCH(AF$2,Inputs!$K$4:$AJ$4,0)),NA(),IF(SUMPRODUCT((Inputs!$A$5:$A$200=$B60)*ISNUMBER(INDEX(Inputs!$K$5:$AJ$200,0,MATCH(AF$2,Inputs!$K$4:$AJ$4,0))))+SUMPRODUCT((Inputs!$C$5:$C$200=$B60)*ISNUMBER(INDEX(Inputs!$K$5:$AJ$200,0,MATCH(AF$2,Inputs!$K$4:$AJ$4,0))))+SUMPRODUCT((Inputs!$E$5:$E$200=$B60)*ISNUMBER(INDEX(Inputs!$K$5:$AJ$200,0,MATCH(AF$2,Inputs!$K$4:$AJ$4,0))))=0,NA(),SUMPRODUCT((Inputs!$A$5:$A$200=$B60)*Inputs!$B$5:$B$200*(((Inputs!$G$5:$G$200="moeda")+(Inputs!$G$5:$G$200="acoes"))*Inputs!$B$1+((Inputs!$G$5:$G$200&lt;&gt;"moeda")*(Inputs!$G$5:$G$200&lt;&gt;"acoes")))*INDEX(Inputs!$K$5:$AJ$200,0,MATCH(AF$2,Inputs!$K$4:$AJ$4,0)))+SUMPRODUCT((Inputs!$C$5:$C$200=$B60)*Inputs!$D$5:$D$200*(((Inputs!$G$5:$G$200="moeda")+(Inputs!$G$5:$G$200="acoes"))*Inputs!$B$1+((Inputs!$G$5:$G$200&lt;&gt;"moeda")*(Inputs!$G$5:$G$200&lt;&gt;"acoes")))*INDEX(Inputs!$K$5:$AJ$200,0,MATCH(AF$2,Inputs!$K$4:$AJ$4,0)))+SUMPRODUCT((Inputs!$E$5:$E$200=$B60)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60" s="265" t="n"/>
      <c r="AH60" s="264">
        <f>IF(ISNA(MATCH(AH$2,Inputs!$K$4:$AJ$4,0)),NA(),IF(SUMPRODUCT((Inputs!$A$5:$A$200=$B60)*ISNUMBER(INDEX(Inputs!$K$5:$AJ$200,0,MATCH(AH$2,Inputs!$K$4:$AJ$4,0))))+SUMPRODUCT((Inputs!$C$5:$C$200=$B60)*ISNUMBER(INDEX(Inputs!$K$5:$AJ$200,0,MATCH(AH$2,Inputs!$K$4:$AJ$4,0))))+SUMPRODUCT((Inputs!$E$5:$E$200=$B60)*ISNUMBER(INDEX(Inputs!$K$5:$AJ$200,0,MATCH(AH$2,Inputs!$K$4:$AJ$4,0))))=0,NA(),SUMPRODUCT((Inputs!$A$5:$A$200=$B60)*Inputs!$B$5:$B$200*(((Inputs!$G$5:$G$200="moeda")+(Inputs!$G$5:$G$200="acoes"))*Inputs!$B$1+((Inputs!$G$5:$G$200&lt;&gt;"moeda")*(Inputs!$G$5:$G$200&lt;&gt;"acoes")))*INDEX(Inputs!$K$5:$AJ$200,0,MATCH(AH$2,Inputs!$K$4:$AJ$4,0)))+SUMPRODUCT((Inputs!$C$5:$C$200=$B60)*Inputs!$D$5:$D$200*(((Inputs!$G$5:$G$200="moeda")+(Inputs!$G$5:$G$200="acoes"))*Inputs!$B$1+((Inputs!$G$5:$G$200&lt;&gt;"moeda")*(Inputs!$G$5:$G$200&lt;&gt;"acoes")))*INDEX(Inputs!$K$5:$AJ$200,0,MATCH(AH$2,Inputs!$K$4:$AJ$4,0)))+SUMPRODUCT((Inputs!$E$5:$E$200=$B60)*Inputs!$F$5:$F$200*(((Inputs!$G$5:$G$200="moeda")+(Inputs!$G$5:$G$200="acoes"))*Inputs!$B$1+((Inputs!$G$5:$G$200&lt;&gt;"moeda")*(Inputs!$G$5:$G$200&lt;&gt;"acoes")))*INDEX(Inputs!$K$5:$AJ$200,0,MATCH(AH$2,Inputs!$K$4:$AJ$4,0)))))</f>
        <v>26345</v>
      </c>
      <c r="AI60" s="264">
        <f>IF(ISNA(MATCH(AI$2,Inputs!$K$4:$AJ$4,0)),NA(),IF(SUMPRODUCT((Inputs!$A$5:$A$200=$B60)*ISNUMBER(INDEX(Inputs!$K$5:$AJ$200,0,MATCH(AI$2,Inputs!$K$4:$AJ$4,0))))+SUMPRODUCT((Inputs!$C$5:$C$200=$B60)*ISNUMBER(INDEX(Inputs!$K$5:$AJ$200,0,MATCH(AI$2,Inputs!$K$4:$AJ$4,0))))+SUMPRODUCT((Inputs!$E$5:$E$200=$B60)*ISNUMBER(INDEX(Inputs!$K$5:$AJ$200,0,MATCH(AI$2,Inputs!$K$4:$AJ$4,0))))=0,NA(),SUMPRODUCT((Inputs!$A$5:$A$200=$B60)*Inputs!$B$5:$B$200*(((Inputs!$G$5:$G$200="moeda")+(Inputs!$G$5:$G$200="acoes"))*Inputs!$B$1+((Inputs!$G$5:$G$200&lt;&gt;"moeda")*(Inputs!$G$5:$G$200&lt;&gt;"acoes")))*INDEX(Inputs!$K$5:$AJ$200,0,MATCH(AI$2,Inputs!$K$4:$AJ$4,0)))+SUMPRODUCT((Inputs!$C$5:$C$200=$B60)*Inputs!$D$5:$D$200*(((Inputs!$G$5:$G$200="moeda")+(Inputs!$G$5:$G$200="acoes"))*Inputs!$B$1+((Inputs!$G$5:$G$200&lt;&gt;"moeda")*(Inputs!$G$5:$G$200&lt;&gt;"acoes")))*INDEX(Inputs!$K$5:$AJ$200,0,MATCH(AI$2,Inputs!$K$4:$AJ$4,0)))+SUMPRODUCT((Inputs!$E$5:$E$200=$B60)*Inputs!$F$5:$F$200*(((Inputs!$G$5:$G$200="moeda")+(Inputs!$G$5:$G$200="acoes"))*Inputs!$B$1+((Inputs!$G$5:$G$200&lt;&gt;"moeda")*(Inputs!$G$5:$G$200&lt;&gt;"acoes")))*INDEX(Inputs!$K$5:$AJ$200,0,MATCH(AI$2,Inputs!$K$4:$AJ$4,0)))))</f>
        <v>19800</v>
      </c>
      <c r="AJ60" s="264">
        <f>IF(ISNA(MATCH(AJ$2,Inputs!$K$4:$AJ$4,0)),NA(),IF(SUMPRODUCT((Inputs!$A$5:$A$200=$B60)*ISNUMBER(INDEX(Inputs!$K$5:$AJ$200,0,MATCH(AJ$2,Inputs!$K$4:$AJ$4,0))))+SUMPRODUCT((Inputs!$C$5:$C$200=$B60)*ISNUMBER(INDEX(Inputs!$K$5:$AJ$200,0,MATCH(AJ$2,Inputs!$K$4:$AJ$4,0))))+SUMPRODUCT((Inputs!$E$5:$E$200=$B60)*ISNUMBER(INDEX(Inputs!$K$5:$AJ$200,0,MATCH(AJ$2,Inputs!$K$4:$AJ$4,0))))=0,NA(),SUMPRODUCT((Inputs!$A$5:$A$200=$B60)*Inputs!$B$5:$B$200*(((Inputs!$G$5:$G$200="moeda")+(Inputs!$G$5:$G$200="acoes"))*Inputs!$B$1+((Inputs!$G$5:$G$200&lt;&gt;"moeda")*(Inputs!$G$5:$G$200&lt;&gt;"acoes")))*INDEX(Inputs!$K$5:$AJ$200,0,MATCH(AJ$2,Inputs!$K$4:$AJ$4,0)))+SUMPRODUCT((Inputs!$C$5:$C$200=$B60)*Inputs!$D$5:$D$200*(((Inputs!$G$5:$G$200="moeda")+(Inputs!$G$5:$G$200="acoes"))*Inputs!$B$1+((Inputs!$G$5:$G$200&lt;&gt;"moeda")*(Inputs!$G$5:$G$200&lt;&gt;"acoes")))*INDEX(Inputs!$K$5:$AJ$200,0,MATCH(AJ$2,Inputs!$K$4:$AJ$4,0)))+SUMPRODUCT((Inputs!$E$5:$E$200=$B60)*Inputs!$F$5:$F$200*(((Inputs!$G$5:$G$200="moeda")+(Inputs!$G$5:$G$200="acoes"))*Inputs!$B$1+((Inputs!$G$5:$G$200&lt;&gt;"moeda")*(Inputs!$G$5:$G$200&lt;&gt;"acoes")))*INDEX(Inputs!$K$5:$AJ$200,0,MATCH(AJ$2,Inputs!$K$4:$AJ$4,0)))))</f>
        <v>19700</v>
      </c>
      <c r="AK60" s="264">
        <f>IF(ISNA(MATCH(AK$2,Inputs!$K$4:$AJ$4,0)),NA(),IF(SUMPRODUCT((Inputs!$A$5:$A$200=$B60)*ISNUMBER(INDEX(Inputs!$K$5:$AJ$200,0,MATCH(AK$2,Inputs!$K$4:$AJ$4,0))))+SUMPRODUCT((Inputs!$C$5:$C$200=$B60)*ISNUMBER(INDEX(Inputs!$K$5:$AJ$200,0,MATCH(AK$2,Inputs!$K$4:$AJ$4,0))))+SUMPRODUCT((Inputs!$E$5:$E$200=$B60)*ISNUMBER(INDEX(Inputs!$K$5:$AJ$200,0,MATCH(AK$2,Inputs!$K$4:$AJ$4,0))))=0,NA(),SUMPRODUCT((Inputs!$A$5:$A$200=$B60)*Inputs!$B$5:$B$200*(((Inputs!$G$5:$G$200="moeda")+(Inputs!$G$5:$G$200="acoes"))*Inputs!$B$1+((Inputs!$G$5:$G$200&lt;&gt;"moeda")*(Inputs!$G$5:$G$200&lt;&gt;"acoes")))*INDEX(Inputs!$K$5:$AJ$200,0,MATCH(AK$2,Inputs!$K$4:$AJ$4,0)))+SUMPRODUCT((Inputs!$C$5:$C$200=$B60)*Inputs!$D$5:$D$200*(((Inputs!$G$5:$G$200="moeda")+(Inputs!$G$5:$G$200="acoes"))*Inputs!$B$1+((Inputs!$G$5:$G$200&lt;&gt;"moeda")*(Inputs!$G$5:$G$200&lt;&gt;"acoes")))*INDEX(Inputs!$K$5:$AJ$200,0,MATCH(AK$2,Inputs!$K$4:$AJ$4,0)))+SUMPRODUCT((Inputs!$E$5:$E$200=$B60)*Inputs!$F$5:$F$200*(((Inputs!$G$5:$G$200="moeda")+(Inputs!$G$5:$G$200="acoes"))*Inputs!$B$1+((Inputs!$G$5:$G$200&lt;&gt;"moeda")*(Inputs!$G$5:$G$200&lt;&gt;"acoes")))*INDEX(Inputs!$K$5:$AJ$200,0,MATCH(AK$2,Inputs!$K$4:$AJ$4,0)))))</f>
        <v>31802</v>
      </c>
      <c r="AL60" s="265" t="n"/>
    </row>
    <row r="61">
      <c r="B61" s="46" t="n">
        <v>53</v>
      </c>
      <c r="C61" s="29" t="inlineStr">
        <is>
          <t>Energia eletrica gerada (MWh no trimestre)</t>
        </is>
      </c>
      <c r="D61" s="264">
        <f>IF(ISNA(MATCH(D$2,Inputs!$K$4:$AJ$4,0)),NA(),IF(SUMPRODUCT((Inputs!$A$5:$A$200=$B61)*ISNUMBER(INDEX(Inputs!$K$5:$AJ$200,0,MATCH(D$2,Inputs!$K$4:$AJ$4,0))))+SUMPRODUCT((Inputs!$C$5:$C$200=$B61)*ISNUMBER(INDEX(Inputs!$K$5:$AJ$200,0,MATCH(D$2,Inputs!$K$4:$AJ$4,0))))+SUMPRODUCT((Inputs!$E$5:$E$200=$B61)*ISNUMBER(INDEX(Inputs!$K$5:$AJ$200,0,MATCH(D$2,Inputs!$K$4:$AJ$4,0))))=0,NA(),SUMPRODUCT((Inputs!$A$5:$A$200=$B61)*Inputs!$B$5:$B$200*(((Inputs!$G$5:$G$200="moeda")+(Inputs!$G$5:$G$200="acoes"))*Inputs!$B$1+((Inputs!$G$5:$G$200&lt;&gt;"moeda")*(Inputs!$G$5:$G$200&lt;&gt;"acoes")))*INDEX(Inputs!$K$5:$AJ$200,0,MATCH(D$2,Inputs!$K$4:$AJ$4,0)))+SUMPRODUCT((Inputs!$C$5:$C$200=$B61)*Inputs!$D$5:$D$200*(((Inputs!$G$5:$G$200="moeda")+(Inputs!$G$5:$G$200="acoes"))*Inputs!$B$1+((Inputs!$G$5:$G$200&lt;&gt;"moeda")*(Inputs!$G$5:$G$200&lt;&gt;"acoes")))*INDEX(Inputs!$K$5:$AJ$200,0,MATCH(D$2,Inputs!$K$4:$AJ$4,0)))+SUMPRODUCT((Inputs!$E$5:$E$200=$B61)*Inputs!$F$5:$F$200*(((Inputs!$G$5:$G$200="moeda")+(Inputs!$G$5:$G$200="acoes"))*Inputs!$B$1+((Inputs!$G$5:$G$200&lt;&gt;"moeda")*(Inputs!$G$5:$G$200&lt;&gt;"acoes")))*INDEX(Inputs!$K$5:$AJ$200,0,MATCH(D$2,Inputs!$K$4:$AJ$4,0)))))</f>
        <v>36479</v>
      </c>
      <c r="E61" s="264">
        <f>IF(ISNA(MATCH(E$2,Inputs!$K$4:$AJ$4,0)),NA(),IF(SUMPRODUCT((Inputs!$A$5:$A$200=$B61)*ISNUMBER(INDEX(Inputs!$K$5:$AJ$200,0,MATCH(E$2,Inputs!$K$4:$AJ$4,0))))+SUMPRODUCT((Inputs!$C$5:$C$200=$B61)*ISNUMBER(INDEX(Inputs!$K$5:$AJ$200,0,MATCH(E$2,Inputs!$K$4:$AJ$4,0))))+SUMPRODUCT((Inputs!$E$5:$E$200=$B61)*ISNUMBER(INDEX(Inputs!$K$5:$AJ$200,0,MATCH(E$2,Inputs!$K$4:$AJ$4,0))))=0,NA(),SUMPRODUCT((Inputs!$A$5:$A$200=$B61)*Inputs!$B$5:$B$200*(((Inputs!$G$5:$G$200="moeda")+(Inputs!$G$5:$G$200="acoes"))*Inputs!$B$1+((Inputs!$G$5:$G$200&lt;&gt;"moeda")*(Inputs!$G$5:$G$200&lt;&gt;"acoes")))*INDEX(Inputs!$K$5:$AJ$200,0,MATCH(E$2,Inputs!$K$4:$AJ$4,0)))+SUMPRODUCT((Inputs!$C$5:$C$200=$B61)*Inputs!$D$5:$D$200*(((Inputs!$G$5:$G$200="moeda")+(Inputs!$G$5:$G$200="acoes"))*Inputs!$B$1+((Inputs!$G$5:$G$200&lt;&gt;"moeda")*(Inputs!$G$5:$G$200&lt;&gt;"acoes")))*INDEX(Inputs!$K$5:$AJ$200,0,MATCH(E$2,Inputs!$K$4:$AJ$4,0)))+SUMPRODUCT((Inputs!$E$5:$E$200=$B61)*Inputs!$F$5:$F$200*(((Inputs!$G$5:$G$200="moeda")+(Inputs!$G$5:$G$200="acoes"))*Inputs!$B$1+((Inputs!$G$5:$G$200&lt;&gt;"moeda")*(Inputs!$G$5:$G$200&lt;&gt;"acoes")))*INDEX(Inputs!$K$5:$AJ$200,0,MATCH(E$2,Inputs!$K$4:$AJ$4,0)))))</f>
        <v>37000</v>
      </c>
      <c r="F61" s="264">
        <f>IF(ISNA(MATCH(F$2,Inputs!$K$4:$AJ$4,0)),NA(),IF(SUMPRODUCT((Inputs!$A$5:$A$200=$B61)*ISNUMBER(INDEX(Inputs!$K$5:$AJ$200,0,MATCH(F$2,Inputs!$K$4:$AJ$4,0))))+SUMPRODUCT((Inputs!$C$5:$C$200=$B61)*ISNUMBER(INDEX(Inputs!$K$5:$AJ$200,0,MATCH(F$2,Inputs!$K$4:$AJ$4,0))))+SUMPRODUCT((Inputs!$E$5:$E$200=$B61)*ISNUMBER(INDEX(Inputs!$K$5:$AJ$200,0,MATCH(F$2,Inputs!$K$4:$AJ$4,0))))=0,NA(),SUMPRODUCT((Inputs!$A$5:$A$200=$B61)*Inputs!$B$5:$B$200*(((Inputs!$G$5:$G$200="moeda")+(Inputs!$G$5:$G$200="acoes"))*Inputs!$B$1+((Inputs!$G$5:$G$200&lt;&gt;"moeda")*(Inputs!$G$5:$G$200&lt;&gt;"acoes")))*INDEX(Inputs!$K$5:$AJ$200,0,MATCH(F$2,Inputs!$K$4:$AJ$4,0)))+SUMPRODUCT((Inputs!$C$5:$C$200=$B61)*Inputs!$D$5:$D$200*(((Inputs!$G$5:$G$200="moeda")+(Inputs!$G$5:$G$200="acoes"))*Inputs!$B$1+((Inputs!$G$5:$G$200&lt;&gt;"moeda")*(Inputs!$G$5:$G$200&lt;&gt;"acoes")))*INDEX(Inputs!$K$5:$AJ$200,0,MATCH(F$2,Inputs!$K$4:$AJ$4,0)))+SUMPRODUCT((Inputs!$E$5:$E$200=$B61)*Inputs!$F$5:$F$200*(((Inputs!$G$5:$G$200="moeda")+(Inputs!$G$5:$G$200="acoes"))*Inputs!$B$1+((Inputs!$G$5:$G$200&lt;&gt;"moeda")*(Inputs!$G$5:$G$200&lt;&gt;"acoes")))*INDEX(Inputs!$K$5:$AJ$200,0,MATCH(F$2,Inputs!$K$4:$AJ$4,0)))))</f>
        <v>47500</v>
      </c>
      <c r="G61" s="264">
        <f>IF(ISNA(MATCH(G$2,Inputs!$K$4:$AJ$4,0)),NA(),IF(SUMPRODUCT((Inputs!$A$5:$A$200=$B61)*ISNUMBER(INDEX(Inputs!$K$5:$AJ$200,0,MATCH(G$2,Inputs!$K$4:$AJ$4,0))))+SUMPRODUCT((Inputs!$C$5:$C$200=$B61)*ISNUMBER(INDEX(Inputs!$K$5:$AJ$200,0,MATCH(G$2,Inputs!$K$4:$AJ$4,0))))+SUMPRODUCT((Inputs!$E$5:$E$200=$B61)*ISNUMBER(INDEX(Inputs!$K$5:$AJ$200,0,MATCH(G$2,Inputs!$K$4:$AJ$4,0))))=0,NA(),SUMPRODUCT((Inputs!$A$5:$A$200=$B61)*Inputs!$B$5:$B$200*(((Inputs!$G$5:$G$200="moeda")+(Inputs!$G$5:$G$200="acoes"))*Inputs!$B$1+((Inputs!$G$5:$G$200&lt;&gt;"moeda")*(Inputs!$G$5:$G$200&lt;&gt;"acoes")))*INDEX(Inputs!$K$5:$AJ$200,0,MATCH(G$2,Inputs!$K$4:$AJ$4,0)))+SUMPRODUCT((Inputs!$C$5:$C$200=$B61)*Inputs!$D$5:$D$200*(((Inputs!$G$5:$G$200="moeda")+(Inputs!$G$5:$G$200="acoes"))*Inputs!$B$1+((Inputs!$G$5:$G$200&lt;&gt;"moeda")*(Inputs!$G$5:$G$200&lt;&gt;"acoes")))*INDEX(Inputs!$K$5:$AJ$200,0,MATCH(G$2,Inputs!$K$4:$AJ$4,0)))+SUMPRODUCT((Inputs!$E$5:$E$200=$B61)*Inputs!$F$5:$F$200*(((Inputs!$G$5:$G$200="moeda")+(Inputs!$G$5:$G$200="acoes"))*Inputs!$B$1+((Inputs!$G$5:$G$200&lt;&gt;"moeda")*(Inputs!$G$5:$G$200&lt;&gt;"acoes")))*INDEX(Inputs!$K$5:$AJ$200,0,MATCH(G$2,Inputs!$K$4:$AJ$4,0)))))</f>
        <v>54100</v>
      </c>
      <c r="H61" s="265">
        <f>SUM(D61:G61)</f>
        <v>175079</v>
      </c>
      <c r="I61" s="264">
        <f>IF(ISNA(MATCH(I$2,Inputs!$K$4:$AJ$4,0)),NA(),IF(SUMPRODUCT((Inputs!$A$5:$A$200=$B61)*ISNUMBER(INDEX(Inputs!$K$5:$AJ$200,0,MATCH(I$2,Inputs!$K$4:$AJ$4,0))))+SUMPRODUCT((Inputs!$C$5:$C$200=$B61)*ISNUMBER(INDEX(Inputs!$K$5:$AJ$200,0,MATCH(I$2,Inputs!$K$4:$AJ$4,0))))+SUMPRODUCT((Inputs!$E$5:$E$200=$B61)*ISNUMBER(INDEX(Inputs!$K$5:$AJ$200,0,MATCH(I$2,Inputs!$K$4:$AJ$4,0))))=0,NA(),SUMPRODUCT((Inputs!$A$5:$A$200=$B61)*Inputs!$B$5:$B$200*(((Inputs!$G$5:$G$200="moeda")+(Inputs!$G$5:$G$200="acoes"))*Inputs!$B$1+((Inputs!$G$5:$G$200&lt;&gt;"moeda")*(Inputs!$G$5:$G$200&lt;&gt;"acoes")))*INDEX(Inputs!$K$5:$AJ$200,0,MATCH(I$2,Inputs!$K$4:$AJ$4,0)))+SUMPRODUCT((Inputs!$C$5:$C$200=$B61)*Inputs!$D$5:$D$200*(((Inputs!$G$5:$G$200="moeda")+(Inputs!$G$5:$G$200="acoes"))*Inputs!$B$1+((Inputs!$G$5:$G$200&lt;&gt;"moeda")*(Inputs!$G$5:$G$200&lt;&gt;"acoes")))*INDEX(Inputs!$K$5:$AJ$200,0,MATCH(I$2,Inputs!$K$4:$AJ$4,0)))+SUMPRODUCT((Inputs!$E$5:$E$200=$B61)*Inputs!$F$5:$F$200*(((Inputs!$G$5:$G$200="moeda")+(Inputs!$G$5:$G$200="acoes"))*Inputs!$B$1+((Inputs!$G$5:$G$200&lt;&gt;"moeda")*(Inputs!$G$5:$G$200&lt;&gt;"acoes")))*INDEX(Inputs!$K$5:$AJ$200,0,MATCH(I$2,Inputs!$K$4:$AJ$4,0)))))</f>
        <v>41334</v>
      </c>
      <c r="J61" s="264">
        <f>IF(ISNA(MATCH(J$2,Inputs!$K$4:$AJ$4,0)),NA(),IF(SUMPRODUCT((Inputs!$A$5:$A$200=$B61)*ISNUMBER(INDEX(Inputs!$K$5:$AJ$200,0,MATCH(J$2,Inputs!$K$4:$AJ$4,0))))+SUMPRODUCT((Inputs!$C$5:$C$200=$B61)*ISNUMBER(INDEX(Inputs!$K$5:$AJ$200,0,MATCH(J$2,Inputs!$K$4:$AJ$4,0))))+SUMPRODUCT((Inputs!$E$5:$E$200=$B61)*ISNUMBER(INDEX(Inputs!$K$5:$AJ$200,0,MATCH(J$2,Inputs!$K$4:$AJ$4,0))))=0,NA(),SUMPRODUCT((Inputs!$A$5:$A$200=$B61)*Inputs!$B$5:$B$200*(((Inputs!$G$5:$G$200="moeda")+(Inputs!$G$5:$G$200="acoes"))*Inputs!$B$1+((Inputs!$G$5:$G$200&lt;&gt;"moeda")*(Inputs!$G$5:$G$200&lt;&gt;"acoes")))*INDEX(Inputs!$K$5:$AJ$200,0,MATCH(J$2,Inputs!$K$4:$AJ$4,0)))+SUMPRODUCT((Inputs!$C$5:$C$200=$B61)*Inputs!$D$5:$D$200*(((Inputs!$G$5:$G$200="moeda")+(Inputs!$G$5:$G$200="acoes"))*Inputs!$B$1+((Inputs!$G$5:$G$200&lt;&gt;"moeda")*(Inputs!$G$5:$G$200&lt;&gt;"acoes")))*INDEX(Inputs!$K$5:$AJ$200,0,MATCH(J$2,Inputs!$K$4:$AJ$4,0)))+SUMPRODUCT((Inputs!$E$5:$E$200=$B61)*Inputs!$F$5:$F$200*(((Inputs!$G$5:$G$200="moeda")+(Inputs!$G$5:$G$200="acoes"))*Inputs!$B$1+((Inputs!$G$5:$G$200&lt;&gt;"moeda")*(Inputs!$G$5:$G$200&lt;&gt;"acoes")))*INDEX(Inputs!$K$5:$AJ$200,0,MATCH(J$2,Inputs!$K$4:$AJ$4,0)))))</f>
        <v>57000</v>
      </c>
      <c r="K61" s="264">
        <f>IF(ISNA(MATCH(K$2,Inputs!$K$4:$AJ$4,0)),NA(),IF(SUMPRODUCT((Inputs!$A$5:$A$200=$B61)*ISNUMBER(INDEX(Inputs!$K$5:$AJ$200,0,MATCH(K$2,Inputs!$K$4:$AJ$4,0))))+SUMPRODUCT((Inputs!$C$5:$C$200=$B61)*ISNUMBER(INDEX(Inputs!$K$5:$AJ$200,0,MATCH(K$2,Inputs!$K$4:$AJ$4,0))))+SUMPRODUCT((Inputs!$E$5:$E$200=$B61)*ISNUMBER(INDEX(Inputs!$K$5:$AJ$200,0,MATCH(K$2,Inputs!$K$4:$AJ$4,0))))=0,NA(),SUMPRODUCT((Inputs!$A$5:$A$200=$B61)*Inputs!$B$5:$B$200*(((Inputs!$G$5:$G$200="moeda")+(Inputs!$G$5:$G$200="acoes"))*Inputs!$B$1+((Inputs!$G$5:$G$200&lt;&gt;"moeda")*(Inputs!$G$5:$G$200&lt;&gt;"acoes")))*INDEX(Inputs!$K$5:$AJ$200,0,MATCH(K$2,Inputs!$K$4:$AJ$4,0)))+SUMPRODUCT((Inputs!$C$5:$C$200=$B61)*Inputs!$D$5:$D$200*(((Inputs!$G$5:$G$200="moeda")+(Inputs!$G$5:$G$200="acoes"))*Inputs!$B$1+((Inputs!$G$5:$G$200&lt;&gt;"moeda")*(Inputs!$G$5:$G$200&lt;&gt;"acoes")))*INDEX(Inputs!$K$5:$AJ$200,0,MATCH(K$2,Inputs!$K$4:$AJ$4,0)))+SUMPRODUCT((Inputs!$E$5:$E$200=$B61)*Inputs!$F$5:$F$200*(((Inputs!$G$5:$G$200="moeda")+(Inputs!$G$5:$G$200="acoes"))*Inputs!$B$1+((Inputs!$G$5:$G$200&lt;&gt;"moeda")*(Inputs!$G$5:$G$200&lt;&gt;"acoes")))*INDEX(Inputs!$K$5:$AJ$200,0,MATCH(K$2,Inputs!$K$4:$AJ$4,0)))))</f>
        <v>91063</v>
      </c>
      <c r="L61" s="264">
        <f>IF(ISNA(MATCH(L$2,Inputs!$K$4:$AJ$4,0)),NA(),IF(SUMPRODUCT((Inputs!$A$5:$A$200=$B61)*ISNUMBER(INDEX(Inputs!$K$5:$AJ$200,0,MATCH(L$2,Inputs!$K$4:$AJ$4,0))))+SUMPRODUCT((Inputs!$C$5:$C$200=$B61)*ISNUMBER(INDEX(Inputs!$K$5:$AJ$200,0,MATCH(L$2,Inputs!$K$4:$AJ$4,0))))+SUMPRODUCT((Inputs!$E$5:$E$200=$B61)*ISNUMBER(INDEX(Inputs!$K$5:$AJ$200,0,MATCH(L$2,Inputs!$K$4:$AJ$4,0))))=0,NA(),SUMPRODUCT((Inputs!$A$5:$A$200=$B61)*Inputs!$B$5:$B$200*(((Inputs!$G$5:$G$200="moeda")+(Inputs!$G$5:$G$200="acoes"))*Inputs!$B$1+((Inputs!$G$5:$G$200&lt;&gt;"moeda")*(Inputs!$G$5:$G$200&lt;&gt;"acoes")))*INDEX(Inputs!$K$5:$AJ$200,0,MATCH(L$2,Inputs!$K$4:$AJ$4,0)))+SUMPRODUCT((Inputs!$C$5:$C$200=$B61)*Inputs!$D$5:$D$200*(((Inputs!$G$5:$G$200="moeda")+(Inputs!$G$5:$G$200="acoes"))*Inputs!$B$1+((Inputs!$G$5:$G$200&lt;&gt;"moeda")*(Inputs!$G$5:$G$200&lt;&gt;"acoes")))*INDEX(Inputs!$K$5:$AJ$200,0,MATCH(L$2,Inputs!$K$4:$AJ$4,0)))+SUMPRODUCT((Inputs!$E$5:$E$200=$B61)*Inputs!$F$5:$F$200*(((Inputs!$G$5:$G$200="moeda")+(Inputs!$G$5:$G$200="acoes"))*Inputs!$B$1+((Inputs!$G$5:$G$200&lt;&gt;"moeda")*(Inputs!$G$5:$G$200&lt;&gt;"acoes")))*INDEX(Inputs!$K$5:$AJ$200,0,MATCH(L$2,Inputs!$K$4:$AJ$4,0)))))</f>
        <v>100343</v>
      </c>
      <c r="M61" s="265">
        <f>SUM(I61:L61)</f>
        <v>289740</v>
      </c>
      <c r="N61" s="264">
        <f>IF(ISNA(MATCH(N$2,Inputs!$K$4:$AJ$4,0)),NA(),IF(SUMPRODUCT((Inputs!$A$5:$A$200=$B61)*ISNUMBER(INDEX(Inputs!$K$5:$AJ$200,0,MATCH(N$2,Inputs!$K$4:$AJ$4,0))))+SUMPRODUCT((Inputs!$C$5:$C$200=$B61)*ISNUMBER(INDEX(Inputs!$K$5:$AJ$200,0,MATCH(N$2,Inputs!$K$4:$AJ$4,0))))+SUMPRODUCT((Inputs!$E$5:$E$200=$B61)*ISNUMBER(INDEX(Inputs!$K$5:$AJ$200,0,MATCH(N$2,Inputs!$K$4:$AJ$4,0))))=0,NA(),SUMPRODUCT((Inputs!$A$5:$A$200=$B61)*Inputs!$B$5:$B$200*(((Inputs!$G$5:$G$200="moeda")+(Inputs!$G$5:$G$200="acoes"))*Inputs!$B$1+((Inputs!$G$5:$G$200&lt;&gt;"moeda")*(Inputs!$G$5:$G$200&lt;&gt;"acoes")))*INDEX(Inputs!$K$5:$AJ$200,0,MATCH(N$2,Inputs!$K$4:$AJ$4,0)))+SUMPRODUCT((Inputs!$C$5:$C$200=$B61)*Inputs!$D$5:$D$200*(((Inputs!$G$5:$G$200="moeda")+(Inputs!$G$5:$G$200="acoes"))*Inputs!$B$1+((Inputs!$G$5:$G$200&lt;&gt;"moeda")*(Inputs!$G$5:$G$200&lt;&gt;"acoes")))*INDEX(Inputs!$K$5:$AJ$200,0,MATCH(N$2,Inputs!$K$4:$AJ$4,0)))+SUMPRODUCT((Inputs!$E$5:$E$200=$B61)*Inputs!$F$5:$F$200*(((Inputs!$G$5:$G$200="moeda")+(Inputs!$G$5:$G$200="acoes"))*Inputs!$B$1+((Inputs!$G$5:$G$200&lt;&gt;"moeda")*(Inputs!$G$5:$G$200&lt;&gt;"acoes")))*INDEX(Inputs!$K$5:$AJ$200,0,MATCH(N$2,Inputs!$K$4:$AJ$4,0)))))</f>
        <v>94524</v>
      </c>
      <c r="O61" s="264">
        <f>IF(ISNA(MATCH(O$2,Inputs!$K$4:$AJ$4,0)),NA(),IF(SUMPRODUCT((Inputs!$A$5:$A$200=$B61)*ISNUMBER(INDEX(Inputs!$K$5:$AJ$200,0,MATCH(O$2,Inputs!$K$4:$AJ$4,0))))+SUMPRODUCT((Inputs!$C$5:$C$200=$B61)*ISNUMBER(INDEX(Inputs!$K$5:$AJ$200,0,MATCH(O$2,Inputs!$K$4:$AJ$4,0))))+SUMPRODUCT((Inputs!$E$5:$E$200=$B61)*ISNUMBER(INDEX(Inputs!$K$5:$AJ$200,0,MATCH(O$2,Inputs!$K$4:$AJ$4,0))))=0,NA(),SUMPRODUCT((Inputs!$A$5:$A$200=$B61)*Inputs!$B$5:$B$200*(((Inputs!$G$5:$G$200="moeda")+(Inputs!$G$5:$G$200="acoes"))*Inputs!$B$1+((Inputs!$G$5:$G$200&lt;&gt;"moeda")*(Inputs!$G$5:$G$200&lt;&gt;"acoes")))*INDEX(Inputs!$K$5:$AJ$200,0,MATCH(O$2,Inputs!$K$4:$AJ$4,0)))+SUMPRODUCT((Inputs!$C$5:$C$200=$B61)*Inputs!$D$5:$D$200*(((Inputs!$G$5:$G$200="moeda")+(Inputs!$G$5:$G$200="acoes"))*Inputs!$B$1+((Inputs!$G$5:$G$200&lt;&gt;"moeda")*(Inputs!$G$5:$G$200&lt;&gt;"acoes")))*INDEX(Inputs!$K$5:$AJ$200,0,MATCH(O$2,Inputs!$K$4:$AJ$4,0)))+SUMPRODUCT((Inputs!$E$5:$E$200=$B61)*Inputs!$F$5:$F$200*(((Inputs!$G$5:$G$200="moeda")+(Inputs!$G$5:$G$200="acoes"))*Inputs!$B$1+((Inputs!$G$5:$G$200&lt;&gt;"moeda")*(Inputs!$G$5:$G$200&lt;&gt;"acoes")))*INDEX(Inputs!$K$5:$AJ$200,0,MATCH(O$2,Inputs!$K$4:$AJ$4,0)))))</f>
        <v>100744</v>
      </c>
      <c r="P61" s="264">
        <f>IF(ISNA(MATCH(P$2,Inputs!$K$4:$AJ$4,0)),NA(),IF(SUMPRODUCT((Inputs!$A$5:$A$200=$B61)*ISNUMBER(INDEX(Inputs!$K$5:$AJ$200,0,MATCH(P$2,Inputs!$K$4:$AJ$4,0))))+SUMPRODUCT((Inputs!$C$5:$C$200=$B61)*ISNUMBER(INDEX(Inputs!$K$5:$AJ$200,0,MATCH(P$2,Inputs!$K$4:$AJ$4,0))))+SUMPRODUCT((Inputs!$E$5:$E$200=$B61)*ISNUMBER(INDEX(Inputs!$K$5:$AJ$200,0,MATCH(P$2,Inputs!$K$4:$AJ$4,0))))=0,NA(),SUMPRODUCT((Inputs!$A$5:$A$200=$B61)*Inputs!$B$5:$B$200*(((Inputs!$G$5:$G$200="moeda")+(Inputs!$G$5:$G$200="acoes"))*Inputs!$B$1+((Inputs!$G$5:$G$200&lt;&gt;"moeda")*(Inputs!$G$5:$G$200&lt;&gt;"acoes")))*INDEX(Inputs!$K$5:$AJ$200,0,MATCH(P$2,Inputs!$K$4:$AJ$4,0)))+SUMPRODUCT((Inputs!$C$5:$C$200=$B61)*Inputs!$D$5:$D$200*(((Inputs!$G$5:$G$200="moeda")+(Inputs!$G$5:$G$200="acoes"))*Inputs!$B$1+((Inputs!$G$5:$G$200&lt;&gt;"moeda")*(Inputs!$G$5:$G$200&lt;&gt;"acoes")))*INDEX(Inputs!$K$5:$AJ$200,0,MATCH(P$2,Inputs!$K$4:$AJ$4,0)))+SUMPRODUCT((Inputs!$E$5:$E$200=$B61)*Inputs!$F$5:$F$200*(((Inputs!$G$5:$G$200="moeda")+(Inputs!$G$5:$G$200="acoes"))*Inputs!$B$1+((Inputs!$G$5:$G$200&lt;&gt;"moeda")*(Inputs!$G$5:$G$200&lt;&gt;"acoes")))*INDEX(Inputs!$K$5:$AJ$200,0,MATCH(P$2,Inputs!$K$4:$AJ$4,0)))))</f>
        <v>99428</v>
      </c>
      <c r="Q61" s="264">
        <f>IF(ISNA(MATCH(Q$2,Inputs!$K$4:$AJ$4,0)),NA(),IF(SUMPRODUCT((Inputs!$A$5:$A$200=$B61)*ISNUMBER(INDEX(Inputs!$K$5:$AJ$200,0,MATCH(Q$2,Inputs!$K$4:$AJ$4,0))))+SUMPRODUCT((Inputs!$C$5:$C$200=$B61)*ISNUMBER(INDEX(Inputs!$K$5:$AJ$200,0,MATCH(Q$2,Inputs!$K$4:$AJ$4,0))))+SUMPRODUCT((Inputs!$E$5:$E$200=$B61)*ISNUMBER(INDEX(Inputs!$K$5:$AJ$200,0,MATCH(Q$2,Inputs!$K$4:$AJ$4,0))))=0,NA(),SUMPRODUCT((Inputs!$A$5:$A$200=$B61)*Inputs!$B$5:$B$200*(((Inputs!$G$5:$G$200="moeda")+(Inputs!$G$5:$G$200="acoes"))*Inputs!$B$1+((Inputs!$G$5:$G$200&lt;&gt;"moeda")*(Inputs!$G$5:$G$200&lt;&gt;"acoes")))*INDEX(Inputs!$K$5:$AJ$200,0,MATCH(Q$2,Inputs!$K$4:$AJ$4,0)))+SUMPRODUCT((Inputs!$C$5:$C$200=$B61)*Inputs!$D$5:$D$200*(((Inputs!$G$5:$G$200="moeda")+(Inputs!$G$5:$G$200="acoes"))*Inputs!$B$1+((Inputs!$G$5:$G$200&lt;&gt;"moeda")*(Inputs!$G$5:$G$200&lt;&gt;"acoes")))*INDEX(Inputs!$K$5:$AJ$200,0,MATCH(Q$2,Inputs!$K$4:$AJ$4,0)))+SUMPRODUCT((Inputs!$E$5:$E$200=$B61)*Inputs!$F$5:$F$200*(((Inputs!$G$5:$G$200="moeda")+(Inputs!$G$5:$G$200="acoes"))*Inputs!$B$1+((Inputs!$G$5:$G$200&lt;&gt;"moeda")*(Inputs!$G$5:$G$200&lt;&gt;"acoes")))*INDEX(Inputs!$K$5:$AJ$200,0,MATCH(Q$2,Inputs!$K$4:$AJ$4,0)))))</f>
        <v>103742</v>
      </c>
      <c r="R61" s="265">
        <f>SUM(N61:Q61)</f>
        <v>398438</v>
      </c>
      <c r="S61" s="264">
        <f>IF(ISNA(MATCH(S$2,Inputs!$K$4:$AJ$4,0)),NA(),IF(SUMPRODUCT((Inputs!$A$5:$A$200=$B61)*ISNUMBER(INDEX(Inputs!$K$5:$AJ$200,0,MATCH(S$2,Inputs!$K$4:$AJ$4,0))))+SUMPRODUCT((Inputs!$C$5:$C$200=$B61)*ISNUMBER(INDEX(Inputs!$K$5:$AJ$200,0,MATCH(S$2,Inputs!$K$4:$AJ$4,0))))+SUMPRODUCT((Inputs!$E$5:$E$200=$B61)*ISNUMBER(INDEX(Inputs!$K$5:$AJ$200,0,MATCH(S$2,Inputs!$K$4:$AJ$4,0))))=0,NA(),SUMPRODUCT((Inputs!$A$5:$A$200=$B61)*Inputs!$B$5:$B$200*(((Inputs!$G$5:$G$200="moeda")+(Inputs!$G$5:$G$200="acoes"))*Inputs!$B$1+((Inputs!$G$5:$G$200&lt;&gt;"moeda")*(Inputs!$G$5:$G$200&lt;&gt;"acoes")))*INDEX(Inputs!$K$5:$AJ$200,0,MATCH(S$2,Inputs!$K$4:$AJ$4,0)))+SUMPRODUCT((Inputs!$C$5:$C$200=$B61)*Inputs!$D$5:$D$200*(((Inputs!$G$5:$G$200="moeda")+(Inputs!$G$5:$G$200="acoes"))*Inputs!$B$1+((Inputs!$G$5:$G$200&lt;&gt;"moeda")*(Inputs!$G$5:$G$200&lt;&gt;"acoes")))*INDEX(Inputs!$K$5:$AJ$200,0,MATCH(S$2,Inputs!$K$4:$AJ$4,0)))+SUMPRODUCT((Inputs!$E$5:$E$200=$B61)*Inputs!$F$5:$F$200*(((Inputs!$G$5:$G$200="moeda")+(Inputs!$G$5:$G$200="acoes"))*Inputs!$B$1+((Inputs!$G$5:$G$200&lt;&gt;"moeda")*(Inputs!$G$5:$G$200&lt;&gt;"acoes")))*INDEX(Inputs!$K$5:$AJ$200,0,MATCH(S$2,Inputs!$K$4:$AJ$4,0)))))</f>
        <v>109152</v>
      </c>
      <c r="T61" s="264">
        <f>IF(ISNA(MATCH(T$2,Inputs!$K$4:$AJ$4,0)),NA(),IF(SUMPRODUCT((Inputs!$A$5:$A$200=$B61)*ISNUMBER(INDEX(Inputs!$K$5:$AJ$200,0,MATCH(T$2,Inputs!$K$4:$AJ$4,0))))+SUMPRODUCT((Inputs!$C$5:$C$200=$B61)*ISNUMBER(INDEX(Inputs!$K$5:$AJ$200,0,MATCH(T$2,Inputs!$K$4:$AJ$4,0))))+SUMPRODUCT((Inputs!$E$5:$E$200=$B61)*ISNUMBER(INDEX(Inputs!$K$5:$AJ$200,0,MATCH(T$2,Inputs!$K$4:$AJ$4,0))))=0,NA(),SUMPRODUCT((Inputs!$A$5:$A$200=$B61)*Inputs!$B$5:$B$200*(((Inputs!$G$5:$G$200="moeda")+(Inputs!$G$5:$G$200="acoes"))*Inputs!$B$1+((Inputs!$G$5:$G$200&lt;&gt;"moeda")*(Inputs!$G$5:$G$200&lt;&gt;"acoes")))*INDEX(Inputs!$K$5:$AJ$200,0,MATCH(T$2,Inputs!$K$4:$AJ$4,0)))+SUMPRODUCT((Inputs!$C$5:$C$200=$B61)*Inputs!$D$5:$D$200*(((Inputs!$G$5:$G$200="moeda")+(Inputs!$G$5:$G$200="acoes"))*Inputs!$B$1+((Inputs!$G$5:$G$200&lt;&gt;"moeda")*(Inputs!$G$5:$G$200&lt;&gt;"acoes")))*INDEX(Inputs!$K$5:$AJ$200,0,MATCH(T$2,Inputs!$K$4:$AJ$4,0)))+SUMPRODUCT((Inputs!$E$5:$E$200=$B61)*Inputs!$F$5:$F$200*(((Inputs!$G$5:$G$200="moeda")+(Inputs!$G$5:$G$200="acoes"))*Inputs!$B$1+((Inputs!$G$5:$G$200&lt;&gt;"moeda")*(Inputs!$G$5:$G$200&lt;&gt;"acoes")))*INDEX(Inputs!$K$5:$AJ$200,0,MATCH(T$2,Inputs!$K$4:$AJ$4,0)))))</f>
        <v>96313</v>
      </c>
      <c r="U61" s="264">
        <f>IF(ISNA(MATCH(U$2,Inputs!$K$4:$AJ$4,0)),NA(),IF(SUMPRODUCT((Inputs!$A$5:$A$200=$B61)*ISNUMBER(INDEX(Inputs!$K$5:$AJ$200,0,MATCH(U$2,Inputs!$K$4:$AJ$4,0))))+SUMPRODUCT((Inputs!$C$5:$C$200=$B61)*ISNUMBER(INDEX(Inputs!$K$5:$AJ$200,0,MATCH(U$2,Inputs!$K$4:$AJ$4,0))))+SUMPRODUCT((Inputs!$E$5:$E$200=$B61)*ISNUMBER(INDEX(Inputs!$K$5:$AJ$200,0,MATCH(U$2,Inputs!$K$4:$AJ$4,0))))=0,NA(),SUMPRODUCT((Inputs!$A$5:$A$200=$B61)*Inputs!$B$5:$B$200*(((Inputs!$G$5:$G$200="moeda")+(Inputs!$G$5:$G$200="acoes"))*Inputs!$B$1+((Inputs!$G$5:$G$200&lt;&gt;"moeda")*(Inputs!$G$5:$G$200&lt;&gt;"acoes")))*INDEX(Inputs!$K$5:$AJ$200,0,MATCH(U$2,Inputs!$K$4:$AJ$4,0)))+SUMPRODUCT((Inputs!$C$5:$C$200=$B61)*Inputs!$D$5:$D$200*(((Inputs!$G$5:$G$200="moeda")+(Inputs!$G$5:$G$200="acoes"))*Inputs!$B$1+((Inputs!$G$5:$G$200&lt;&gt;"moeda")*(Inputs!$G$5:$G$200&lt;&gt;"acoes")))*INDEX(Inputs!$K$5:$AJ$200,0,MATCH(U$2,Inputs!$K$4:$AJ$4,0)))+SUMPRODUCT((Inputs!$E$5:$E$200=$B61)*Inputs!$F$5:$F$200*(((Inputs!$G$5:$G$200="moeda")+(Inputs!$G$5:$G$200="acoes"))*Inputs!$B$1+((Inputs!$G$5:$G$200&lt;&gt;"moeda")*(Inputs!$G$5:$G$200&lt;&gt;"acoes")))*INDEX(Inputs!$K$5:$AJ$200,0,MATCH(U$2,Inputs!$K$4:$AJ$4,0)))))</f>
        <v>94214</v>
      </c>
      <c r="V61" s="264">
        <f>IF(ISNA(MATCH(V$2,Inputs!$K$4:$AJ$4,0)),NA(),IF(SUMPRODUCT((Inputs!$A$5:$A$200=$B61)*ISNUMBER(INDEX(Inputs!$K$5:$AJ$200,0,MATCH(V$2,Inputs!$K$4:$AJ$4,0))))+SUMPRODUCT((Inputs!$C$5:$C$200=$B61)*ISNUMBER(INDEX(Inputs!$K$5:$AJ$200,0,MATCH(V$2,Inputs!$K$4:$AJ$4,0))))+SUMPRODUCT((Inputs!$E$5:$E$200=$B61)*ISNUMBER(INDEX(Inputs!$K$5:$AJ$200,0,MATCH(V$2,Inputs!$K$4:$AJ$4,0))))=0,NA(),SUMPRODUCT((Inputs!$A$5:$A$200=$B61)*Inputs!$B$5:$B$200*(((Inputs!$G$5:$G$200="moeda")+(Inputs!$G$5:$G$200="acoes"))*Inputs!$B$1+((Inputs!$G$5:$G$200&lt;&gt;"moeda")*(Inputs!$G$5:$G$200&lt;&gt;"acoes")))*INDEX(Inputs!$K$5:$AJ$200,0,MATCH(V$2,Inputs!$K$4:$AJ$4,0)))+SUMPRODUCT((Inputs!$C$5:$C$200=$B61)*Inputs!$D$5:$D$200*(((Inputs!$G$5:$G$200="moeda")+(Inputs!$G$5:$G$200="acoes"))*Inputs!$B$1+((Inputs!$G$5:$G$200&lt;&gt;"moeda")*(Inputs!$G$5:$G$200&lt;&gt;"acoes")))*INDEX(Inputs!$K$5:$AJ$200,0,MATCH(V$2,Inputs!$K$4:$AJ$4,0)))+SUMPRODUCT((Inputs!$E$5:$E$200=$B61)*Inputs!$F$5:$F$200*(((Inputs!$G$5:$G$200="moeda")+(Inputs!$G$5:$G$200="acoes"))*Inputs!$B$1+((Inputs!$G$5:$G$200&lt;&gt;"moeda")*(Inputs!$G$5:$G$200&lt;&gt;"acoes")))*INDEX(Inputs!$K$5:$AJ$200,0,MATCH(V$2,Inputs!$K$4:$AJ$4,0)))))</f>
        <v>96129</v>
      </c>
      <c r="W61" s="265">
        <f>SUM(S61:V61)</f>
        <v>395808</v>
      </c>
      <c r="X61" s="264">
        <f>IF(ISNA(MATCH(X$2,Inputs!$K$4:$AJ$4,0)),NA(),IF(SUMPRODUCT((Inputs!$A$5:$A$200=$B61)*ISNUMBER(INDEX(Inputs!$K$5:$AJ$200,0,MATCH(X$2,Inputs!$K$4:$AJ$4,0))))+SUMPRODUCT((Inputs!$C$5:$C$200=$B61)*ISNUMBER(INDEX(Inputs!$K$5:$AJ$200,0,MATCH(X$2,Inputs!$K$4:$AJ$4,0))))+SUMPRODUCT((Inputs!$E$5:$E$200=$B61)*ISNUMBER(INDEX(Inputs!$K$5:$AJ$200,0,MATCH(X$2,Inputs!$K$4:$AJ$4,0))))=0,NA(),SUMPRODUCT((Inputs!$A$5:$A$200=$B61)*Inputs!$B$5:$B$200*(((Inputs!$G$5:$G$200="moeda")+(Inputs!$G$5:$G$200="acoes"))*Inputs!$B$1+((Inputs!$G$5:$G$200&lt;&gt;"moeda")*(Inputs!$G$5:$G$200&lt;&gt;"acoes")))*INDEX(Inputs!$K$5:$AJ$200,0,MATCH(X$2,Inputs!$K$4:$AJ$4,0)))+SUMPRODUCT((Inputs!$C$5:$C$200=$B61)*Inputs!$D$5:$D$200*(((Inputs!$G$5:$G$200="moeda")+(Inputs!$G$5:$G$200="acoes"))*Inputs!$B$1+((Inputs!$G$5:$G$200&lt;&gt;"moeda")*(Inputs!$G$5:$G$200&lt;&gt;"acoes")))*INDEX(Inputs!$K$5:$AJ$200,0,MATCH(X$2,Inputs!$K$4:$AJ$4,0)))+SUMPRODUCT((Inputs!$E$5:$E$200=$B61)*Inputs!$F$5:$F$200*(((Inputs!$G$5:$G$200="moeda")+(Inputs!$G$5:$G$200="acoes"))*Inputs!$B$1+((Inputs!$G$5:$G$200&lt;&gt;"moeda")*(Inputs!$G$5:$G$200&lt;&gt;"acoes")))*INDEX(Inputs!$K$5:$AJ$200,0,MATCH(X$2,Inputs!$K$4:$AJ$4,0)))))</f>
        <v>83591</v>
      </c>
      <c r="Y61" s="264">
        <f>IF(ISNA(MATCH(Y$2,Inputs!$K$4:$AJ$4,0)),NA(),IF(SUMPRODUCT((Inputs!$A$5:$A$200=$B61)*ISNUMBER(INDEX(Inputs!$K$5:$AJ$200,0,MATCH(Y$2,Inputs!$K$4:$AJ$4,0))))+SUMPRODUCT((Inputs!$C$5:$C$200=$B61)*ISNUMBER(INDEX(Inputs!$K$5:$AJ$200,0,MATCH(Y$2,Inputs!$K$4:$AJ$4,0))))+SUMPRODUCT((Inputs!$E$5:$E$200=$B61)*ISNUMBER(INDEX(Inputs!$K$5:$AJ$200,0,MATCH(Y$2,Inputs!$K$4:$AJ$4,0))))=0,NA(),SUMPRODUCT((Inputs!$A$5:$A$200=$B61)*Inputs!$B$5:$B$200*(((Inputs!$G$5:$G$200="moeda")+(Inputs!$G$5:$G$200="acoes"))*Inputs!$B$1+((Inputs!$G$5:$G$200&lt;&gt;"moeda")*(Inputs!$G$5:$G$200&lt;&gt;"acoes")))*INDEX(Inputs!$K$5:$AJ$200,0,MATCH(Y$2,Inputs!$K$4:$AJ$4,0)))+SUMPRODUCT((Inputs!$C$5:$C$200=$B61)*Inputs!$D$5:$D$200*(((Inputs!$G$5:$G$200="moeda")+(Inputs!$G$5:$G$200="acoes"))*Inputs!$B$1+((Inputs!$G$5:$G$200&lt;&gt;"moeda")*(Inputs!$G$5:$G$200&lt;&gt;"acoes")))*INDEX(Inputs!$K$5:$AJ$200,0,MATCH(Y$2,Inputs!$K$4:$AJ$4,0)))+SUMPRODUCT((Inputs!$E$5:$E$200=$B61)*Inputs!$F$5:$F$200*(((Inputs!$G$5:$G$200="moeda")+(Inputs!$G$5:$G$200="acoes"))*Inputs!$B$1+((Inputs!$G$5:$G$200&lt;&gt;"moeda")*(Inputs!$G$5:$G$200&lt;&gt;"acoes")))*INDEX(Inputs!$K$5:$AJ$200,0,MATCH(Y$2,Inputs!$K$4:$AJ$4,0)))))</f>
        <v>79398</v>
      </c>
      <c r="Z61" s="264">
        <f>IF(ISNA(MATCH(Z$2,Inputs!$K$4:$AJ$4,0)),NA(),IF(SUMPRODUCT((Inputs!$A$5:$A$200=$B61)*ISNUMBER(INDEX(Inputs!$K$5:$AJ$200,0,MATCH(Z$2,Inputs!$K$4:$AJ$4,0))))+SUMPRODUCT((Inputs!$C$5:$C$200=$B61)*ISNUMBER(INDEX(Inputs!$K$5:$AJ$200,0,MATCH(Z$2,Inputs!$K$4:$AJ$4,0))))+SUMPRODUCT((Inputs!$E$5:$E$200=$B61)*ISNUMBER(INDEX(Inputs!$K$5:$AJ$200,0,MATCH(Z$2,Inputs!$K$4:$AJ$4,0))))=0,NA(),SUMPRODUCT((Inputs!$A$5:$A$200=$B61)*Inputs!$B$5:$B$200*(((Inputs!$G$5:$G$200="moeda")+(Inputs!$G$5:$G$200="acoes"))*Inputs!$B$1+((Inputs!$G$5:$G$200&lt;&gt;"moeda")*(Inputs!$G$5:$G$200&lt;&gt;"acoes")))*INDEX(Inputs!$K$5:$AJ$200,0,MATCH(Z$2,Inputs!$K$4:$AJ$4,0)))+SUMPRODUCT((Inputs!$C$5:$C$200=$B61)*Inputs!$D$5:$D$200*(((Inputs!$G$5:$G$200="moeda")+(Inputs!$G$5:$G$200="acoes"))*Inputs!$B$1+((Inputs!$G$5:$G$200&lt;&gt;"moeda")*(Inputs!$G$5:$G$200&lt;&gt;"acoes")))*INDEX(Inputs!$K$5:$AJ$200,0,MATCH(Z$2,Inputs!$K$4:$AJ$4,0)))+SUMPRODUCT((Inputs!$E$5:$E$200=$B61)*Inputs!$F$5:$F$200*(((Inputs!$G$5:$G$200="moeda")+(Inputs!$G$5:$G$200="acoes"))*Inputs!$B$1+((Inputs!$G$5:$G$200&lt;&gt;"moeda")*(Inputs!$G$5:$G$200&lt;&gt;"acoes")))*INDEX(Inputs!$K$5:$AJ$200,0,MATCH(Z$2,Inputs!$K$4:$AJ$4,0)))))</f>
        <v>79269</v>
      </c>
      <c r="AA61" s="264">
        <f>IF(ISNA(MATCH(AA$2,Inputs!$K$4:$AJ$4,0)),NA(),IF(SUMPRODUCT((Inputs!$A$5:$A$200=$B61)*ISNUMBER(INDEX(Inputs!$K$5:$AJ$200,0,MATCH(AA$2,Inputs!$K$4:$AJ$4,0))))+SUMPRODUCT((Inputs!$C$5:$C$200=$B61)*ISNUMBER(INDEX(Inputs!$K$5:$AJ$200,0,MATCH(AA$2,Inputs!$K$4:$AJ$4,0))))+SUMPRODUCT((Inputs!$E$5:$E$200=$B61)*ISNUMBER(INDEX(Inputs!$K$5:$AJ$200,0,MATCH(AA$2,Inputs!$K$4:$AJ$4,0))))=0,NA(),SUMPRODUCT((Inputs!$A$5:$A$200=$B61)*Inputs!$B$5:$B$200*(((Inputs!$G$5:$G$200="moeda")+(Inputs!$G$5:$G$200="acoes"))*Inputs!$B$1+((Inputs!$G$5:$G$200&lt;&gt;"moeda")*(Inputs!$G$5:$G$200&lt;&gt;"acoes")))*INDEX(Inputs!$K$5:$AJ$200,0,MATCH(AA$2,Inputs!$K$4:$AJ$4,0)))+SUMPRODUCT((Inputs!$C$5:$C$200=$B61)*Inputs!$D$5:$D$200*(((Inputs!$G$5:$G$200="moeda")+(Inputs!$G$5:$G$200="acoes"))*Inputs!$B$1+((Inputs!$G$5:$G$200&lt;&gt;"moeda")*(Inputs!$G$5:$G$200&lt;&gt;"acoes")))*INDEX(Inputs!$K$5:$AJ$200,0,MATCH(AA$2,Inputs!$K$4:$AJ$4,0)))+SUMPRODUCT((Inputs!$E$5:$E$200=$B61)*Inputs!$F$5:$F$200*(((Inputs!$G$5:$G$200="moeda")+(Inputs!$G$5:$G$200="acoes"))*Inputs!$B$1+((Inputs!$G$5:$G$200&lt;&gt;"moeda")*(Inputs!$G$5:$G$200&lt;&gt;"acoes")))*INDEX(Inputs!$K$5:$AJ$200,0,MATCH(AA$2,Inputs!$K$4:$AJ$4,0)))))</f>
        <v>64259</v>
      </c>
      <c r="AB61" s="265">
        <f>SUM(X61:AA61)</f>
        <v>306517</v>
      </c>
      <c r="AC61" s="264">
        <f>IF(ISNA(MATCH(AC$2,Inputs!$K$4:$AJ$4,0)),NA(),IF(SUMPRODUCT((Inputs!$A$5:$A$200=$B61)*ISNUMBER(INDEX(Inputs!$K$5:$AJ$200,0,MATCH(AC$2,Inputs!$K$4:$AJ$4,0))))+SUMPRODUCT((Inputs!$C$5:$C$200=$B61)*ISNUMBER(INDEX(Inputs!$K$5:$AJ$200,0,MATCH(AC$2,Inputs!$K$4:$AJ$4,0))))+SUMPRODUCT((Inputs!$E$5:$E$200=$B61)*ISNUMBER(INDEX(Inputs!$K$5:$AJ$200,0,MATCH(AC$2,Inputs!$K$4:$AJ$4,0))))=0,NA(),SUMPRODUCT((Inputs!$A$5:$A$200=$B61)*Inputs!$B$5:$B$200*(((Inputs!$G$5:$G$200="moeda")+(Inputs!$G$5:$G$200="acoes"))*Inputs!$B$1+((Inputs!$G$5:$G$200&lt;&gt;"moeda")*(Inputs!$G$5:$G$200&lt;&gt;"acoes")))*INDEX(Inputs!$K$5:$AJ$200,0,MATCH(AC$2,Inputs!$K$4:$AJ$4,0)))+SUMPRODUCT((Inputs!$C$5:$C$200=$B61)*Inputs!$D$5:$D$200*(((Inputs!$G$5:$G$200="moeda")+(Inputs!$G$5:$G$200="acoes"))*Inputs!$B$1+((Inputs!$G$5:$G$200&lt;&gt;"moeda")*(Inputs!$G$5:$G$200&lt;&gt;"acoes")))*INDEX(Inputs!$K$5:$AJ$200,0,MATCH(AC$2,Inputs!$K$4:$AJ$4,0)))+SUMPRODUCT((Inputs!$E$5:$E$200=$B61)*Inputs!$F$5:$F$200*(((Inputs!$G$5:$G$200="moeda")+(Inputs!$G$5:$G$200="acoes"))*Inputs!$B$1+((Inputs!$G$5:$G$200&lt;&gt;"moeda")*(Inputs!$G$5:$G$200&lt;&gt;"acoes")))*INDEX(Inputs!$K$5:$AJ$200,0,MATCH(AC$2,Inputs!$K$4:$AJ$4,0)))))</f>
        <v>23608</v>
      </c>
      <c r="AD61" s="264">
        <f>IF(ISNA(MATCH(AD$2,Inputs!$K$4:$AJ$4,0)),NA(),IF(SUMPRODUCT((Inputs!$A$5:$A$200=$B61)*ISNUMBER(INDEX(Inputs!$K$5:$AJ$200,0,MATCH(AD$2,Inputs!$K$4:$AJ$4,0))))+SUMPRODUCT((Inputs!$C$5:$C$200=$B61)*ISNUMBER(INDEX(Inputs!$K$5:$AJ$200,0,MATCH(AD$2,Inputs!$K$4:$AJ$4,0))))+SUMPRODUCT((Inputs!$E$5:$E$200=$B61)*ISNUMBER(INDEX(Inputs!$K$5:$AJ$200,0,MATCH(AD$2,Inputs!$K$4:$AJ$4,0))))=0,NA(),SUMPRODUCT((Inputs!$A$5:$A$200=$B61)*Inputs!$B$5:$B$200*(((Inputs!$G$5:$G$200="moeda")+(Inputs!$G$5:$G$200="acoes"))*Inputs!$B$1+((Inputs!$G$5:$G$200&lt;&gt;"moeda")*(Inputs!$G$5:$G$200&lt;&gt;"acoes")))*INDEX(Inputs!$K$5:$AJ$200,0,MATCH(AD$2,Inputs!$K$4:$AJ$4,0)))+SUMPRODUCT((Inputs!$C$5:$C$200=$B61)*Inputs!$D$5:$D$200*(((Inputs!$G$5:$G$200="moeda")+(Inputs!$G$5:$G$200="acoes"))*Inputs!$B$1+((Inputs!$G$5:$G$200&lt;&gt;"moeda")*(Inputs!$G$5:$G$200&lt;&gt;"acoes")))*INDEX(Inputs!$K$5:$AJ$200,0,MATCH(AD$2,Inputs!$K$4:$AJ$4,0)))+SUMPRODUCT((Inputs!$E$5:$E$200=$B61)*Inputs!$F$5:$F$200*(((Inputs!$G$5:$G$200="moeda")+(Inputs!$G$5:$G$200="acoes"))*Inputs!$B$1+((Inputs!$G$5:$G$200&lt;&gt;"moeda")*(Inputs!$G$5:$G$200&lt;&gt;"acoes")))*INDEX(Inputs!$K$5:$AJ$200,0,MATCH(AD$2,Inputs!$K$4:$AJ$4,0)))))</f>
        <v>21465</v>
      </c>
      <c r="AE61" s="264" t="e">
        <f>IF(ISNA(MATCH(AE$2,Inputs!$K$4:$AJ$4,0)),NA(),IF(SUMPRODUCT((Inputs!$A$5:$A$200=$B61)*ISNUMBER(INDEX(Inputs!$K$5:$AJ$200,0,MATCH(AE$2,Inputs!$K$4:$AJ$4,0))))+SUMPRODUCT((Inputs!$C$5:$C$200=$B61)*ISNUMBER(INDEX(Inputs!$K$5:$AJ$200,0,MATCH(AE$2,Inputs!$K$4:$AJ$4,0))))+SUMPRODUCT((Inputs!$E$5:$E$200=$B61)*ISNUMBER(INDEX(Inputs!$K$5:$AJ$200,0,MATCH(AE$2,Inputs!$K$4:$AJ$4,0))))=0,NA(),SUMPRODUCT((Inputs!$A$5:$A$200=$B61)*Inputs!$B$5:$B$200*(((Inputs!$G$5:$G$200="moeda")+(Inputs!$G$5:$G$200="acoes"))*Inputs!$B$1+((Inputs!$G$5:$G$200&lt;&gt;"moeda")*(Inputs!$G$5:$G$200&lt;&gt;"acoes")))*INDEX(Inputs!$K$5:$AJ$200,0,MATCH(AE$2,Inputs!$K$4:$AJ$4,0)))+SUMPRODUCT((Inputs!$C$5:$C$200=$B61)*Inputs!$D$5:$D$200*(((Inputs!$G$5:$G$200="moeda")+(Inputs!$G$5:$G$200="acoes"))*Inputs!$B$1+((Inputs!$G$5:$G$200&lt;&gt;"moeda")*(Inputs!$G$5:$G$200&lt;&gt;"acoes")))*INDEX(Inputs!$K$5:$AJ$200,0,MATCH(AE$2,Inputs!$K$4:$AJ$4,0)))+SUMPRODUCT((Inputs!$E$5:$E$200=$B61)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61" s="264" t="e">
        <f>IF(ISNA(MATCH(AF$2,Inputs!$K$4:$AJ$4,0)),NA(),IF(SUMPRODUCT((Inputs!$A$5:$A$200=$B61)*ISNUMBER(INDEX(Inputs!$K$5:$AJ$200,0,MATCH(AF$2,Inputs!$K$4:$AJ$4,0))))+SUMPRODUCT((Inputs!$C$5:$C$200=$B61)*ISNUMBER(INDEX(Inputs!$K$5:$AJ$200,0,MATCH(AF$2,Inputs!$K$4:$AJ$4,0))))+SUMPRODUCT((Inputs!$E$5:$E$200=$B61)*ISNUMBER(INDEX(Inputs!$K$5:$AJ$200,0,MATCH(AF$2,Inputs!$K$4:$AJ$4,0))))=0,NA(),SUMPRODUCT((Inputs!$A$5:$A$200=$B61)*Inputs!$B$5:$B$200*(((Inputs!$G$5:$G$200="moeda")+(Inputs!$G$5:$G$200="acoes"))*Inputs!$B$1+((Inputs!$G$5:$G$200&lt;&gt;"moeda")*(Inputs!$G$5:$G$200&lt;&gt;"acoes")))*INDEX(Inputs!$K$5:$AJ$200,0,MATCH(AF$2,Inputs!$K$4:$AJ$4,0)))+SUMPRODUCT((Inputs!$C$5:$C$200=$B61)*Inputs!$D$5:$D$200*(((Inputs!$G$5:$G$200="moeda")+(Inputs!$G$5:$G$200="acoes"))*Inputs!$B$1+((Inputs!$G$5:$G$200&lt;&gt;"moeda")*(Inputs!$G$5:$G$200&lt;&gt;"acoes")))*INDEX(Inputs!$K$5:$AJ$200,0,MATCH(AF$2,Inputs!$K$4:$AJ$4,0)))+SUMPRODUCT((Inputs!$E$5:$E$200=$B61)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61" s="265" t="e">
        <f>SUM(AC61:AF61)</f>
        <v>#N/A</v>
      </c>
      <c r="AH61" s="264" t="e">
        <f>IF(ISNA(MATCH(AH$2,Inputs!$K$4:$AJ$4,0)),NA(),IF(SUMPRODUCT((Inputs!$A$5:$A$200=$B61)*ISNUMBER(INDEX(Inputs!$K$5:$AJ$200,0,MATCH(AH$2,Inputs!$K$4:$AJ$4,0))))+SUMPRODUCT((Inputs!$C$5:$C$200=$B61)*ISNUMBER(INDEX(Inputs!$K$5:$AJ$200,0,MATCH(AH$2,Inputs!$K$4:$AJ$4,0))))+SUMPRODUCT((Inputs!$E$5:$E$200=$B61)*ISNUMBER(INDEX(Inputs!$K$5:$AJ$200,0,MATCH(AH$2,Inputs!$K$4:$AJ$4,0))))=0,NA(),SUMPRODUCT((Inputs!$A$5:$A$200=$B61)*Inputs!$B$5:$B$200*(((Inputs!$G$5:$G$200="moeda")+(Inputs!$G$5:$G$200="acoes"))*Inputs!$B$1+((Inputs!$G$5:$G$200&lt;&gt;"moeda")*(Inputs!$G$5:$G$200&lt;&gt;"acoes")))*INDEX(Inputs!$K$5:$AJ$200,0,MATCH(AH$2,Inputs!$K$4:$AJ$4,0)))+SUMPRODUCT((Inputs!$C$5:$C$200=$B61)*Inputs!$D$5:$D$200*(((Inputs!$G$5:$G$200="moeda")+(Inputs!$G$5:$G$200="acoes"))*Inputs!$B$1+((Inputs!$G$5:$G$200&lt;&gt;"moeda")*(Inputs!$G$5:$G$200&lt;&gt;"acoes")))*INDEX(Inputs!$K$5:$AJ$200,0,MATCH(AH$2,Inputs!$K$4:$AJ$4,0)))+SUMPRODUCT((Inputs!$E$5:$E$200=$B61)*Inputs!$F$5:$F$200*(((Inputs!$G$5:$G$200="moeda")+(Inputs!$G$5:$G$200="acoes"))*Inputs!$B$1+((Inputs!$G$5:$G$200&lt;&gt;"moeda")*(Inputs!$G$5:$G$200&lt;&gt;"acoes")))*INDEX(Inputs!$K$5:$AJ$200,0,MATCH(AH$2,Inputs!$K$4:$AJ$4,0)))))</f>
        <v>#N/A</v>
      </c>
      <c r="AI61" s="264">
        <f>IF(ISNA(MATCH(AI$2,Inputs!$K$4:$AJ$4,0)),NA(),IF(SUMPRODUCT((Inputs!$A$5:$A$200=$B61)*ISNUMBER(INDEX(Inputs!$K$5:$AJ$200,0,MATCH(AI$2,Inputs!$K$4:$AJ$4,0))))+SUMPRODUCT((Inputs!$C$5:$C$200=$B61)*ISNUMBER(INDEX(Inputs!$K$5:$AJ$200,0,MATCH(AI$2,Inputs!$K$4:$AJ$4,0))))+SUMPRODUCT((Inputs!$E$5:$E$200=$B61)*ISNUMBER(INDEX(Inputs!$K$5:$AJ$200,0,MATCH(AI$2,Inputs!$K$4:$AJ$4,0))))=0,NA(),SUMPRODUCT((Inputs!$A$5:$A$200=$B61)*Inputs!$B$5:$B$200*(((Inputs!$G$5:$G$200="moeda")+(Inputs!$G$5:$G$200="acoes"))*Inputs!$B$1+((Inputs!$G$5:$G$200&lt;&gt;"moeda")*(Inputs!$G$5:$G$200&lt;&gt;"acoes")))*INDEX(Inputs!$K$5:$AJ$200,0,MATCH(AI$2,Inputs!$K$4:$AJ$4,0)))+SUMPRODUCT((Inputs!$C$5:$C$200=$B61)*Inputs!$D$5:$D$200*(((Inputs!$G$5:$G$200="moeda")+(Inputs!$G$5:$G$200="acoes"))*Inputs!$B$1+((Inputs!$G$5:$G$200&lt;&gt;"moeda")*(Inputs!$G$5:$G$200&lt;&gt;"acoes")))*INDEX(Inputs!$K$5:$AJ$200,0,MATCH(AI$2,Inputs!$K$4:$AJ$4,0)))+SUMPRODUCT((Inputs!$E$5:$E$200=$B61)*Inputs!$F$5:$F$200*(((Inputs!$G$5:$G$200="moeda")+(Inputs!$G$5:$G$200="acoes"))*Inputs!$B$1+((Inputs!$G$5:$G$200&lt;&gt;"moeda")*(Inputs!$G$5:$G$200&lt;&gt;"acoes")))*INDEX(Inputs!$K$5:$AJ$200,0,MATCH(AI$2,Inputs!$K$4:$AJ$4,0)))))</f>
        <v>30900</v>
      </c>
      <c r="AJ61" s="264">
        <f>IF(ISNA(MATCH(AJ$2,Inputs!$K$4:$AJ$4,0)),NA(),IF(SUMPRODUCT((Inputs!$A$5:$A$200=$B61)*ISNUMBER(INDEX(Inputs!$K$5:$AJ$200,0,MATCH(AJ$2,Inputs!$K$4:$AJ$4,0))))+SUMPRODUCT((Inputs!$C$5:$C$200=$B61)*ISNUMBER(INDEX(Inputs!$K$5:$AJ$200,0,MATCH(AJ$2,Inputs!$K$4:$AJ$4,0))))+SUMPRODUCT((Inputs!$E$5:$E$200=$B61)*ISNUMBER(INDEX(Inputs!$K$5:$AJ$200,0,MATCH(AJ$2,Inputs!$K$4:$AJ$4,0))))=0,NA(),SUMPRODUCT((Inputs!$A$5:$A$200=$B61)*Inputs!$B$5:$B$200*(((Inputs!$G$5:$G$200="moeda")+(Inputs!$G$5:$G$200="acoes"))*Inputs!$B$1+((Inputs!$G$5:$G$200&lt;&gt;"moeda")*(Inputs!$G$5:$G$200&lt;&gt;"acoes")))*INDEX(Inputs!$K$5:$AJ$200,0,MATCH(AJ$2,Inputs!$K$4:$AJ$4,0)))+SUMPRODUCT((Inputs!$C$5:$C$200=$B61)*Inputs!$D$5:$D$200*(((Inputs!$G$5:$G$200="moeda")+(Inputs!$G$5:$G$200="acoes"))*Inputs!$B$1+((Inputs!$G$5:$G$200&lt;&gt;"moeda")*(Inputs!$G$5:$G$200&lt;&gt;"acoes")))*INDEX(Inputs!$K$5:$AJ$200,0,MATCH(AJ$2,Inputs!$K$4:$AJ$4,0)))+SUMPRODUCT((Inputs!$E$5:$E$200=$B61)*Inputs!$F$5:$F$200*(((Inputs!$G$5:$G$200="moeda")+(Inputs!$G$5:$G$200="acoes"))*Inputs!$B$1+((Inputs!$G$5:$G$200&lt;&gt;"moeda")*(Inputs!$G$5:$G$200&lt;&gt;"acoes")))*INDEX(Inputs!$K$5:$AJ$200,0,MATCH(AJ$2,Inputs!$K$4:$AJ$4,0)))))</f>
        <v>32000</v>
      </c>
      <c r="AK61" s="264">
        <f>IF(ISNA(MATCH(AK$2,Inputs!$K$4:$AJ$4,0)),NA(),IF(SUMPRODUCT((Inputs!$A$5:$A$200=$B61)*ISNUMBER(INDEX(Inputs!$K$5:$AJ$200,0,MATCH(AK$2,Inputs!$K$4:$AJ$4,0))))+SUMPRODUCT((Inputs!$C$5:$C$200=$B61)*ISNUMBER(INDEX(Inputs!$K$5:$AJ$200,0,MATCH(AK$2,Inputs!$K$4:$AJ$4,0))))+SUMPRODUCT((Inputs!$E$5:$E$200=$B61)*ISNUMBER(INDEX(Inputs!$K$5:$AJ$200,0,MATCH(AK$2,Inputs!$K$4:$AJ$4,0))))=0,NA(),SUMPRODUCT((Inputs!$A$5:$A$200=$B61)*Inputs!$B$5:$B$200*(((Inputs!$G$5:$G$200="moeda")+(Inputs!$G$5:$G$200="acoes"))*Inputs!$B$1+((Inputs!$G$5:$G$200&lt;&gt;"moeda")*(Inputs!$G$5:$G$200&lt;&gt;"acoes")))*INDEX(Inputs!$K$5:$AJ$200,0,MATCH(AK$2,Inputs!$K$4:$AJ$4,0)))+SUMPRODUCT((Inputs!$C$5:$C$200=$B61)*Inputs!$D$5:$D$200*(((Inputs!$G$5:$G$200="moeda")+(Inputs!$G$5:$G$200="acoes"))*Inputs!$B$1+((Inputs!$G$5:$G$200&lt;&gt;"moeda")*(Inputs!$G$5:$G$200&lt;&gt;"acoes")))*INDEX(Inputs!$K$5:$AJ$200,0,MATCH(AK$2,Inputs!$K$4:$AJ$4,0)))+SUMPRODUCT((Inputs!$E$5:$E$200=$B61)*Inputs!$F$5:$F$200*(((Inputs!$G$5:$G$200="moeda")+(Inputs!$G$5:$G$200="acoes"))*Inputs!$B$1+((Inputs!$G$5:$G$200&lt;&gt;"moeda")*(Inputs!$G$5:$G$200&lt;&gt;"acoes")))*INDEX(Inputs!$K$5:$AJ$200,0,MATCH(AK$2,Inputs!$K$4:$AJ$4,0)))))</f>
        <v>35200</v>
      </c>
      <c r="AL61" s="265" t="e">
        <f>SUM(AH61:AK61)</f>
        <v>#N/A</v>
      </c>
    </row>
    <row r="62">
      <c r="B62" s="46" t="n">
        <v>54</v>
      </c>
      <c r="C62" s="29" t="inlineStr">
        <is>
          <t>Creditos de carbono gerados (tCO2e no trimestre)</t>
        </is>
      </c>
      <c r="D62" s="264">
        <f>IF(ISNA(MATCH(D$2,Inputs!$K$4:$AJ$4,0)),NA(),IF(SUMPRODUCT((Inputs!$A$5:$A$200=$B62)*ISNUMBER(INDEX(Inputs!$K$5:$AJ$200,0,MATCH(D$2,Inputs!$K$4:$AJ$4,0))))+SUMPRODUCT((Inputs!$C$5:$C$200=$B62)*ISNUMBER(INDEX(Inputs!$K$5:$AJ$200,0,MATCH(D$2,Inputs!$K$4:$AJ$4,0))))+SUMPRODUCT((Inputs!$E$5:$E$200=$B62)*ISNUMBER(INDEX(Inputs!$K$5:$AJ$200,0,MATCH(D$2,Inputs!$K$4:$AJ$4,0))))=0,NA(),SUMPRODUCT((Inputs!$A$5:$A$200=$B62)*Inputs!$B$5:$B$200*(((Inputs!$G$5:$G$200="moeda")+(Inputs!$G$5:$G$200="acoes"))*Inputs!$B$1+((Inputs!$G$5:$G$200&lt;&gt;"moeda")*(Inputs!$G$5:$G$200&lt;&gt;"acoes")))*INDEX(Inputs!$K$5:$AJ$200,0,MATCH(D$2,Inputs!$K$4:$AJ$4,0)))+SUMPRODUCT((Inputs!$C$5:$C$200=$B62)*Inputs!$D$5:$D$200*(((Inputs!$G$5:$G$200="moeda")+(Inputs!$G$5:$G$200="acoes"))*Inputs!$B$1+((Inputs!$G$5:$G$200&lt;&gt;"moeda")*(Inputs!$G$5:$G$200&lt;&gt;"acoes")))*INDEX(Inputs!$K$5:$AJ$200,0,MATCH(D$2,Inputs!$K$4:$AJ$4,0)))+SUMPRODUCT((Inputs!$E$5:$E$200=$B62)*Inputs!$F$5:$F$200*(((Inputs!$G$5:$G$200="moeda")+(Inputs!$G$5:$G$200="acoes"))*Inputs!$B$1+((Inputs!$G$5:$G$200&lt;&gt;"moeda")*(Inputs!$G$5:$G$200&lt;&gt;"acoes")))*INDEX(Inputs!$K$5:$AJ$200,0,MATCH(D$2,Inputs!$K$4:$AJ$4,0)))))</f>
        <v>407316</v>
      </c>
      <c r="E62" s="264">
        <f>IF(ISNA(MATCH(E$2,Inputs!$K$4:$AJ$4,0)),NA(),IF(SUMPRODUCT((Inputs!$A$5:$A$200=$B62)*ISNUMBER(INDEX(Inputs!$K$5:$AJ$200,0,MATCH(E$2,Inputs!$K$4:$AJ$4,0))))+SUMPRODUCT((Inputs!$C$5:$C$200=$B62)*ISNUMBER(INDEX(Inputs!$K$5:$AJ$200,0,MATCH(E$2,Inputs!$K$4:$AJ$4,0))))+SUMPRODUCT((Inputs!$E$5:$E$200=$B62)*ISNUMBER(INDEX(Inputs!$K$5:$AJ$200,0,MATCH(E$2,Inputs!$K$4:$AJ$4,0))))=0,NA(),SUMPRODUCT((Inputs!$A$5:$A$200=$B62)*Inputs!$B$5:$B$200*(((Inputs!$G$5:$G$200="moeda")+(Inputs!$G$5:$G$200="acoes"))*Inputs!$B$1+((Inputs!$G$5:$G$200&lt;&gt;"moeda")*(Inputs!$G$5:$G$200&lt;&gt;"acoes")))*INDEX(Inputs!$K$5:$AJ$200,0,MATCH(E$2,Inputs!$K$4:$AJ$4,0)))+SUMPRODUCT((Inputs!$C$5:$C$200=$B62)*Inputs!$D$5:$D$200*(((Inputs!$G$5:$G$200="moeda")+(Inputs!$G$5:$G$200="acoes"))*Inputs!$B$1+((Inputs!$G$5:$G$200&lt;&gt;"moeda")*(Inputs!$G$5:$G$200&lt;&gt;"acoes")))*INDEX(Inputs!$K$5:$AJ$200,0,MATCH(E$2,Inputs!$K$4:$AJ$4,0)))+SUMPRODUCT((Inputs!$E$5:$E$200=$B62)*Inputs!$F$5:$F$200*(((Inputs!$G$5:$G$200="moeda")+(Inputs!$G$5:$G$200="acoes"))*Inputs!$B$1+((Inputs!$G$5:$G$200&lt;&gt;"moeda")*(Inputs!$G$5:$G$200&lt;&gt;"acoes")))*INDEX(Inputs!$K$5:$AJ$200,0,MATCH(E$2,Inputs!$K$4:$AJ$4,0)))))</f>
        <v>379700</v>
      </c>
      <c r="F62" s="264">
        <f>IF(ISNA(MATCH(F$2,Inputs!$K$4:$AJ$4,0)),NA(),IF(SUMPRODUCT((Inputs!$A$5:$A$200=$B62)*ISNUMBER(INDEX(Inputs!$K$5:$AJ$200,0,MATCH(F$2,Inputs!$K$4:$AJ$4,0))))+SUMPRODUCT((Inputs!$C$5:$C$200=$B62)*ISNUMBER(INDEX(Inputs!$K$5:$AJ$200,0,MATCH(F$2,Inputs!$K$4:$AJ$4,0))))+SUMPRODUCT((Inputs!$E$5:$E$200=$B62)*ISNUMBER(INDEX(Inputs!$K$5:$AJ$200,0,MATCH(F$2,Inputs!$K$4:$AJ$4,0))))=0,NA(),SUMPRODUCT((Inputs!$A$5:$A$200=$B62)*Inputs!$B$5:$B$200*(((Inputs!$G$5:$G$200="moeda")+(Inputs!$G$5:$G$200="acoes"))*Inputs!$B$1+((Inputs!$G$5:$G$200&lt;&gt;"moeda")*(Inputs!$G$5:$G$200&lt;&gt;"acoes")))*INDEX(Inputs!$K$5:$AJ$200,0,MATCH(F$2,Inputs!$K$4:$AJ$4,0)))+SUMPRODUCT((Inputs!$C$5:$C$200=$B62)*Inputs!$D$5:$D$200*(((Inputs!$G$5:$G$200="moeda")+(Inputs!$G$5:$G$200="acoes"))*Inputs!$B$1+((Inputs!$G$5:$G$200&lt;&gt;"moeda")*(Inputs!$G$5:$G$200&lt;&gt;"acoes")))*INDEX(Inputs!$K$5:$AJ$200,0,MATCH(F$2,Inputs!$K$4:$AJ$4,0)))+SUMPRODUCT((Inputs!$E$5:$E$200=$B62)*Inputs!$F$5:$F$200*(((Inputs!$G$5:$G$200="moeda")+(Inputs!$G$5:$G$200="acoes"))*Inputs!$B$1+((Inputs!$G$5:$G$200&lt;&gt;"moeda")*(Inputs!$G$5:$G$200&lt;&gt;"acoes")))*INDEX(Inputs!$K$5:$AJ$200,0,MATCH(F$2,Inputs!$K$4:$AJ$4,0)))))</f>
        <v>367300</v>
      </c>
      <c r="G62" s="264">
        <f>IF(ISNA(MATCH(G$2,Inputs!$K$4:$AJ$4,0)),NA(),IF(SUMPRODUCT((Inputs!$A$5:$A$200=$B62)*ISNUMBER(INDEX(Inputs!$K$5:$AJ$200,0,MATCH(G$2,Inputs!$K$4:$AJ$4,0))))+SUMPRODUCT((Inputs!$C$5:$C$200=$B62)*ISNUMBER(INDEX(Inputs!$K$5:$AJ$200,0,MATCH(G$2,Inputs!$K$4:$AJ$4,0))))+SUMPRODUCT((Inputs!$E$5:$E$200=$B62)*ISNUMBER(INDEX(Inputs!$K$5:$AJ$200,0,MATCH(G$2,Inputs!$K$4:$AJ$4,0))))=0,NA(),SUMPRODUCT((Inputs!$A$5:$A$200=$B62)*Inputs!$B$5:$B$200*(((Inputs!$G$5:$G$200="moeda")+(Inputs!$G$5:$G$200="acoes"))*Inputs!$B$1+((Inputs!$G$5:$G$200&lt;&gt;"moeda")*(Inputs!$G$5:$G$200&lt;&gt;"acoes")))*INDEX(Inputs!$K$5:$AJ$200,0,MATCH(G$2,Inputs!$K$4:$AJ$4,0)))+SUMPRODUCT((Inputs!$C$5:$C$200=$B62)*Inputs!$D$5:$D$200*(((Inputs!$G$5:$G$200="moeda")+(Inputs!$G$5:$G$200="acoes"))*Inputs!$B$1+((Inputs!$G$5:$G$200&lt;&gt;"moeda")*(Inputs!$G$5:$G$200&lt;&gt;"acoes")))*INDEX(Inputs!$K$5:$AJ$200,0,MATCH(G$2,Inputs!$K$4:$AJ$4,0)))+SUMPRODUCT((Inputs!$E$5:$E$200=$B62)*Inputs!$F$5:$F$200*(((Inputs!$G$5:$G$200="moeda")+(Inputs!$G$5:$G$200="acoes"))*Inputs!$B$1+((Inputs!$G$5:$G$200&lt;&gt;"moeda")*(Inputs!$G$5:$G$200&lt;&gt;"acoes")))*INDEX(Inputs!$K$5:$AJ$200,0,MATCH(G$2,Inputs!$K$4:$AJ$4,0)))))</f>
        <v>455700</v>
      </c>
      <c r="H62" s="265">
        <f>SUM(D62:G62)</f>
        <v>1610016</v>
      </c>
      <c r="I62" s="264">
        <f>IF(ISNA(MATCH(I$2,Inputs!$K$4:$AJ$4,0)),NA(),IF(SUMPRODUCT((Inputs!$A$5:$A$200=$B62)*ISNUMBER(INDEX(Inputs!$K$5:$AJ$200,0,MATCH(I$2,Inputs!$K$4:$AJ$4,0))))+SUMPRODUCT((Inputs!$C$5:$C$200=$B62)*ISNUMBER(INDEX(Inputs!$K$5:$AJ$200,0,MATCH(I$2,Inputs!$K$4:$AJ$4,0))))+SUMPRODUCT((Inputs!$E$5:$E$200=$B62)*ISNUMBER(INDEX(Inputs!$K$5:$AJ$200,0,MATCH(I$2,Inputs!$K$4:$AJ$4,0))))=0,NA(),SUMPRODUCT((Inputs!$A$5:$A$200=$B62)*Inputs!$B$5:$B$200*(((Inputs!$G$5:$G$200="moeda")+(Inputs!$G$5:$G$200="acoes"))*Inputs!$B$1+((Inputs!$G$5:$G$200&lt;&gt;"moeda")*(Inputs!$G$5:$G$200&lt;&gt;"acoes")))*INDEX(Inputs!$K$5:$AJ$200,0,MATCH(I$2,Inputs!$K$4:$AJ$4,0)))+SUMPRODUCT((Inputs!$C$5:$C$200=$B62)*Inputs!$D$5:$D$200*(((Inputs!$G$5:$G$200="moeda")+(Inputs!$G$5:$G$200="acoes"))*Inputs!$B$1+((Inputs!$G$5:$G$200&lt;&gt;"moeda")*(Inputs!$G$5:$G$200&lt;&gt;"acoes")))*INDEX(Inputs!$K$5:$AJ$200,0,MATCH(I$2,Inputs!$K$4:$AJ$4,0)))+SUMPRODUCT((Inputs!$E$5:$E$200=$B62)*Inputs!$F$5:$F$200*(((Inputs!$G$5:$G$200="moeda")+(Inputs!$G$5:$G$200="acoes"))*Inputs!$B$1+((Inputs!$G$5:$G$200&lt;&gt;"moeda")*(Inputs!$G$5:$G$200&lt;&gt;"acoes")))*INDEX(Inputs!$K$5:$AJ$200,0,MATCH(I$2,Inputs!$K$4:$AJ$4,0)))))</f>
        <v>483524</v>
      </c>
      <c r="J62" s="264">
        <f>IF(ISNA(MATCH(J$2,Inputs!$K$4:$AJ$4,0)),NA(),IF(SUMPRODUCT((Inputs!$A$5:$A$200=$B62)*ISNUMBER(INDEX(Inputs!$K$5:$AJ$200,0,MATCH(J$2,Inputs!$K$4:$AJ$4,0))))+SUMPRODUCT((Inputs!$C$5:$C$200=$B62)*ISNUMBER(INDEX(Inputs!$K$5:$AJ$200,0,MATCH(J$2,Inputs!$K$4:$AJ$4,0))))+SUMPRODUCT((Inputs!$E$5:$E$200=$B62)*ISNUMBER(INDEX(Inputs!$K$5:$AJ$200,0,MATCH(J$2,Inputs!$K$4:$AJ$4,0))))=0,NA(),SUMPRODUCT((Inputs!$A$5:$A$200=$B62)*Inputs!$B$5:$B$200*(((Inputs!$G$5:$G$200="moeda")+(Inputs!$G$5:$G$200="acoes"))*Inputs!$B$1+((Inputs!$G$5:$G$200&lt;&gt;"moeda")*(Inputs!$G$5:$G$200&lt;&gt;"acoes")))*INDEX(Inputs!$K$5:$AJ$200,0,MATCH(J$2,Inputs!$K$4:$AJ$4,0)))+SUMPRODUCT((Inputs!$C$5:$C$200=$B62)*Inputs!$D$5:$D$200*(((Inputs!$G$5:$G$200="moeda")+(Inputs!$G$5:$G$200="acoes"))*Inputs!$B$1+((Inputs!$G$5:$G$200&lt;&gt;"moeda")*(Inputs!$G$5:$G$200&lt;&gt;"acoes")))*INDEX(Inputs!$K$5:$AJ$200,0,MATCH(J$2,Inputs!$K$4:$AJ$4,0)))+SUMPRODUCT((Inputs!$E$5:$E$200=$B62)*Inputs!$F$5:$F$200*(((Inputs!$G$5:$G$200="moeda")+(Inputs!$G$5:$G$200="acoes"))*Inputs!$B$1+((Inputs!$G$5:$G$200&lt;&gt;"moeda")*(Inputs!$G$5:$G$200&lt;&gt;"acoes")))*INDEX(Inputs!$K$5:$AJ$200,0,MATCH(J$2,Inputs!$K$4:$AJ$4,0)))))</f>
        <v>473000</v>
      </c>
      <c r="K62" s="264">
        <f>IF(ISNA(MATCH(K$2,Inputs!$K$4:$AJ$4,0)),NA(),IF(SUMPRODUCT((Inputs!$A$5:$A$200=$B62)*ISNUMBER(INDEX(Inputs!$K$5:$AJ$200,0,MATCH(K$2,Inputs!$K$4:$AJ$4,0))))+SUMPRODUCT((Inputs!$C$5:$C$200=$B62)*ISNUMBER(INDEX(Inputs!$K$5:$AJ$200,0,MATCH(K$2,Inputs!$K$4:$AJ$4,0))))+SUMPRODUCT((Inputs!$E$5:$E$200=$B62)*ISNUMBER(INDEX(Inputs!$K$5:$AJ$200,0,MATCH(K$2,Inputs!$K$4:$AJ$4,0))))=0,NA(),SUMPRODUCT((Inputs!$A$5:$A$200=$B62)*Inputs!$B$5:$B$200*(((Inputs!$G$5:$G$200="moeda")+(Inputs!$G$5:$G$200="acoes"))*Inputs!$B$1+((Inputs!$G$5:$G$200&lt;&gt;"moeda")*(Inputs!$G$5:$G$200&lt;&gt;"acoes")))*INDEX(Inputs!$K$5:$AJ$200,0,MATCH(K$2,Inputs!$K$4:$AJ$4,0)))+SUMPRODUCT((Inputs!$C$5:$C$200=$B62)*Inputs!$D$5:$D$200*(((Inputs!$G$5:$G$200="moeda")+(Inputs!$G$5:$G$200="acoes"))*Inputs!$B$1+((Inputs!$G$5:$G$200&lt;&gt;"moeda")*(Inputs!$G$5:$G$200&lt;&gt;"acoes")))*INDEX(Inputs!$K$5:$AJ$200,0,MATCH(K$2,Inputs!$K$4:$AJ$4,0)))+SUMPRODUCT((Inputs!$E$5:$E$200=$B62)*Inputs!$F$5:$F$200*(((Inputs!$G$5:$G$200="moeda")+(Inputs!$G$5:$G$200="acoes"))*Inputs!$B$1+((Inputs!$G$5:$G$200&lt;&gt;"moeda")*(Inputs!$G$5:$G$200&lt;&gt;"acoes")))*INDEX(Inputs!$K$5:$AJ$200,0,MATCH(K$2,Inputs!$K$4:$AJ$4,0)))))</f>
        <v>437472</v>
      </c>
      <c r="L62" s="264">
        <f>IF(ISNA(MATCH(L$2,Inputs!$K$4:$AJ$4,0)),NA(),IF(SUMPRODUCT((Inputs!$A$5:$A$200=$B62)*ISNUMBER(INDEX(Inputs!$K$5:$AJ$200,0,MATCH(L$2,Inputs!$K$4:$AJ$4,0))))+SUMPRODUCT((Inputs!$C$5:$C$200=$B62)*ISNUMBER(INDEX(Inputs!$K$5:$AJ$200,0,MATCH(L$2,Inputs!$K$4:$AJ$4,0))))+SUMPRODUCT((Inputs!$E$5:$E$200=$B62)*ISNUMBER(INDEX(Inputs!$K$5:$AJ$200,0,MATCH(L$2,Inputs!$K$4:$AJ$4,0))))=0,NA(),SUMPRODUCT((Inputs!$A$5:$A$200=$B62)*Inputs!$B$5:$B$200*(((Inputs!$G$5:$G$200="moeda")+(Inputs!$G$5:$G$200="acoes"))*Inputs!$B$1+((Inputs!$G$5:$G$200&lt;&gt;"moeda")*(Inputs!$G$5:$G$200&lt;&gt;"acoes")))*INDEX(Inputs!$K$5:$AJ$200,0,MATCH(L$2,Inputs!$K$4:$AJ$4,0)))+SUMPRODUCT((Inputs!$C$5:$C$200=$B62)*Inputs!$D$5:$D$200*(((Inputs!$G$5:$G$200="moeda")+(Inputs!$G$5:$G$200="acoes"))*Inputs!$B$1+((Inputs!$G$5:$G$200&lt;&gt;"moeda")*(Inputs!$G$5:$G$200&lt;&gt;"acoes")))*INDEX(Inputs!$K$5:$AJ$200,0,MATCH(L$2,Inputs!$K$4:$AJ$4,0)))+SUMPRODUCT((Inputs!$E$5:$E$200=$B62)*Inputs!$F$5:$F$200*(((Inputs!$G$5:$G$200="moeda")+(Inputs!$G$5:$G$200="acoes"))*Inputs!$B$1+((Inputs!$G$5:$G$200&lt;&gt;"moeda")*(Inputs!$G$5:$G$200&lt;&gt;"acoes")))*INDEX(Inputs!$K$5:$AJ$200,0,MATCH(L$2,Inputs!$K$4:$AJ$4,0)))))</f>
        <v>654701</v>
      </c>
      <c r="M62" s="265">
        <f>SUM(I62:L62)</f>
        <v>2048697</v>
      </c>
      <c r="N62" s="264">
        <f>IF(ISNA(MATCH(N$2,Inputs!$K$4:$AJ$4,0)),NA(),IF(SUMPRODUCT((Inputs!$A$5:$A$200=$B62)*ISNUMBER(INDEX(Inputs!$K$5:$AJ$200,0,MATCH(N$2,Inputs!$K$4:$AJ$4,0))))+SUMPRODUCT((Inputs!$C$5:$C$200=$B62)*ISNUMBER(INDEX(Inputs!$K$5:$AJ$200,0,MATCH(N$2,Inputs!$K$4:$AJ$4,0))))+SUMPRODUCT((Inputs!$E$5:$E$200=$B62)*ISNUMBER(INDEX(Inputs!$K$5:$AJ$200,0,MATCH(N$2,Inputs!$K$4:$AJ$4,0))))=0,NA(),SUMPRODUCT((Inputs!$A$5:$A$200=$B62)*Inputs!$B$5:$B$200*(((Inputs!$G$5:$G$200="moeda")+(Inputs!$G$5:$G$200="acoes"))*Inputs!$B$1+((Inputs!$G$5:$G$200&lt;&gt;"moeda")*(Inputs!$G$5:$G$200&lt;&gt;"acoes")))*INDEX(Inputs!$K$5:$AJ$200,0,MATCH(N$2,Inputs!$K$4:$AJ$4,0)))+SUMPRODUCT((Inputs!$C$5:$C$200=$B62)*Inputs!$D$5:$D$200*(((Inputs!$G$5:$G$200="moeda")+(Inputs!$G$5:$G$200="acoes"))*Inputs!$B$1+((Inputs!$G$5:$G$200&lt;&gt;"moeda")*(Inputs!$G$5:$G$200&lt;&gt;"acoes")))*INDEX(Inputs!$K$5:$AJ$200,0,MATCH(N$2,Inputs!$K$4:$AJ$4,0)))+SUMPRODUCT((Inputs!$E$5:$E$200=$B62)*Inputs!$F$5:$F$200*(((Inputs!$G$5:$G$200="moeda")+(Inputs!$G$5:$G$200="acoes"))*Inputs!$B$1+((Inputs!$G$5:$G$200&lt;&gt;"moeda")*(Inputs!$G$5:$G$200&lt;&gt;"acoes")))*INDEX(Inputs!$K$5:$AJ$200,0,MATCH(N$2,Inputs!$K$4:$AJ$4,0)))))</f>
        <v>743652</v>
      </c>
      <c r="O62" s="264">
        <f>IF(ISNA(MATCH(O$2,Inputs!$K$4:$AJ$4,0)),NA(),IF(SUMPRODUCT((Inputs!$A$5:$A$200=$B62)*ISNUMBER(INDEX(Inputs!$K$5:$AJ$200,0,MATCH(O$2,Inputs!$K$4:$AJ$4,0))))+SUMPRODUCT((Inputs!$C$5:$C$200=$B62)*ISNUMBER(INDEX(Inputs!$K$5:$AJ$200,0,MATCH(O$2,Inputs!$K$4:$AJ$4,0))))+SUMPRODUCT((Inputs!$E$5:$E$200=$B62)*ISNUMBER(INDEX(Inputs!$K$5:$AJ$200,0,MATCH(O$2,Inputs!$K$4:$AJ$4,0))))=0,NA(),SUMPRODUCT((Inputs!$A$5:$A$200=$B62)*Inputs!$B$5:$B$200*(((Inputs!$G$5:$G$200="moeda")+(Inputs!$G$5:$G$200="acoes"))*Inputs!$B$1+((Inputs!$G$5:$G$200&lt;&gt;"moeda")*(Inputs!$G$5:$G$200&lt;&gt;"acoes")))*INDEX(Inputs!$K$5:$AJ$200,0,MATCH(O$2,Inputs!$K$4:$AJ$4,0)))+SUMPRODUCT((Inputs!$C$5:$C$200=$B62)*Inputs!$D$5:$D$200*(((Inputs!$G$5:$G$200="moeda")+(Inputs!$G$5:$G$200="acoes"))*Inputs!$B$1+((Inputs!$G$5:$G$200&lt;&gt;"moeda")*(Inputs!$G$5:$G$200&lt;&gt;"acoes")))*INDEX(Inputs!$K$5:$AJ$200,0,MATCH(O$2,Inputs!$K$4:$AJ$4,0)))+SUMPRODUCT((Inputs!$E$5:$E$200=$B62)*Inputs!$F$5:$F$200*(((Inputs!$G$5:$G$200="moeda")+(Inputs!$G$5:$G$200="acoes"))*Inputs!$B$1+((Inputs!$G$5:$G$200&lt;&gt;"moeda")*(Inputs!$G$5:$G$200&lt;&gt;"acoes")))*INDEX(Inputs!$K$5:$AJ$200,0,MATCH(O$2,Inputs!$K$4:$AJ$4,0)))))</f>
        <v>702923</v>
      </c>
      <c r="P62" s="264">
        <f>IF(ISNA(MATCH(P$2,Inputs!$K$4:$AJ$4,0)),NA(),IF(SUMPRODUCT((Inputs!$A$5:$A$200=$B62)*ISNUMBER(INDEX(Inputs!$K$5:$AJ$200,0,MATCH(P$2,Inputs!$K$4:$AJ$4,0))))+SUMPRODUCT((Inputs!$C$5:$C$200=$B62)*ISNUMBER(INDEX(Inputs!$K$5:$AJ$200,0,MATCH(P$2,Inputs!$K$4:$AJ$4,0))))+SUMPRODUCT((Inputs!$E$5:$E$200=$B62)*ISNUMBER(INDEX(Inputs!$K$5:$AJ$200,0,MATCH(P$2,Inputs!$K$4:$AJ$4,0))))=0,NA(),SUMPRODUCT((Inputs!$A$5:$A$200=$B62)*Inputs!$B$5:$B$200*(((Inputs!$G$5:$G$200="moeda")+(Inputs!$G$5:$G$200="acoes"))*Inputs!$B$1+((Inputs!$G$5:$G$200&lt;&gt;"moeda")*(Inputs!$G$5:$G$200&lt;&gt;"acoes")))*INDEX(Inputs!$K$5:$AJ$200,0,MATCH(P$2,Inputs!$K$4:$AJ$4,0)))+SUMPRODUCT((Inputs!$C$5:$C$200=$B62)*Inputs!$D$5:$D$200*(((Inputs!$G$5:$G$200="moeda")+(Inputs!$G$5:$G$200="acoes"))*Inputs!$B$1+((Inputs!$G$5:$G$200&lt;&gt;"moeda")*(Inputs!$G$5:$G$200&lt;&gt;"acoes")))*INDEX(Inputs!$K$5:$AJ$200,0,MATCH(P$2,Inputs!$K$4:$AJ$4,0)))+SUMPRODUCT((Inputs!$E$5:$E$200=$B62)*Inputs!$F$5:$F$200*(((Inputs!$G$5:$G$200="moeda")+(Inputs!$G$5:$G$200="acoes"))*Inputs!$B$1+((Inputs!$G$5:$G$200&lt;&gt;"moeda")*(Inputs!$G$5:$G$200&lt;&gt;"acoes")))*INDEX(Inputs!$K$5:$AJ$200,0,MATCH(P$2,Inputs!$K$4:$AJ$4,0)))))</f>
        <v>752302</v>
      </c>
      <c r="Q62" s="264">
        <f>IF(ISNA(MATCH(Q$2,Inputs!$K$4:$AJ$4,0)),NA(),IF(SUMPRODUCT((Inputs!$A$5:$A$200=$B62)*ISNUMBER(INDEX(Inputs!$K$5:$AJ$200,0,MATCH(Q$2,Inputs!$K$4:$AJ$4,0))))+SUMPRODUCT((Inputs!$C$5:$C$200=$B62)*ISNUMBER(INDEX(Inputs!$K$5:$AJ$200,0,MATCH(Q$2,Inputs!$K$4:$AJ$4,0))))+SUMPRODUCT((Inputs!$E$5:$E$200=$B62)*ISNUMBER(INDEX(Inputs!$K$5:$AJ$200,0,MATCH(Q$2,Inputs!$K$4:$AJ$4,0))))=0,NA(),SUMPRODUCT((Inputs!$A$5:$A$200=$B62)*Inputs!$B$5:$B$200*(((Inputs!$G$5:$G$200="moeda")+(Inputs!$G$5:$G$200="acoes"))*Inputs!$B$1+((Inputs!$G$5:$G$200&lt;&gt;"moeda")*(Inputs!$G$5:$G$200&lt;&gt;"acoes")))*INDEX(Inputs!$K$5:$AJ$200,0,MATCH(Q$2,Inputs!$K$4:$AJ$4,0)))+SUMPRODUCT((Inputs!$C$5:$C$200=$B62)*Inputs!$D$5:$D$200*(((Inputs!$G$5:$G$200="moeda")+(Inputs!$G$5:$G$200="acoes"))*Inputs!$B$1+((Inputs!$G$5:$G$200&lt;&gt;"moeda")*(Inputs!$G$5:$G$200&lt;&gt;"acoes")))*INDEX(Inputs!$K$5:$AJ$200,0,MATCH(Q$2,Inputs!$K$4:$AJ$4,0)))+SUMPRODUCT((Inputs!$E$5:$E$200=$B62)*Inputs!$F$5:$F$200*(((Inputs!$G$5:$G$200="moeda")+(Inputs!$G$5:$G$200="acoes"))*Inputs!$B$1+((Inputs!$G$5:$G$200&lt;&gt;"moeda")*(Inputs!$G$5:$G$200&lt;&gt;"acoes")))*INDEX(Inputs!$K$5:$AJ$200,0,MATCH(Q$2,Inputs!$K$4:$AJ$4,0)))))</f>
        <v>793097</v>
      </c>
      <c r="R62" s="265">
        <f>SUM(N62:Q62)</f>
        <v>2991974</v>
      </c>
      <c r="S62" s="264">
        <f>IF(ISNA(MATCH(S$2,Inputs!$K$4:$AJ$4,0)),NA(),IF(SUMPRODUCT((Inputs!$A$5:$A$200=$B62)*ISNUMBER(INDEX(Inputs!$K$5:$AJ$200,0,MATCH(S$2,Inputs!$K$4:$AJ$4,0))))+SUMPRODUCT((Inputs!$C$5:$C$200=$B62)*ISNUMBER(INDEX(Inputs!$K$5:$AJ$200,0,MATCH(S$2,Inputs!$K$4:$AJ$4,0))))+SUMPRODUCT((Inputs!$E$5:$E$200=$B62)*ISNUMBER(INDEX(Inputs!$K$5:$AJ$200,0,MATCH(S$2,Inputs!$K$4:$AJ$4,0))))=0,NA(),SUMPRODUCT((Inputs!$A$5:$A$200=$B62)*Inputs!$B$5:$B$200*(((Inputs!$G$5:$G$200="moeda")+(Inputs!$G$5:$G$200="acoes"))*Inputs!$B$1+((Inputs!$G$5:$G$200&lt;&gt;"moeda")*(Inputs!$G$5:$G$200&lt;&gt;"acoes")))*INDEX(Inputs!$K$5:$AJ$200,0,MATCH(S$2,Inputs!$K$4:$AJ$4,0)))+SUMPRODUCT((Inputs!$C$5:$C$200=$B62)*Inputs!$D$5:$D$200*(((Inputs!$G$5:$G$200="moeda")+(Inputs!$G$5:$G$200="acoes"))*Inputs!$B$1+((Inputs!$G$5:$G$200&lt;&gt;"moeda")*(Inputs!$G$5:$G$200&lt;&gt;"acoes")))*INDEX(Inputs!$K$5:$AJ$200,0,MATCH(S$2,Inputs!$K$4:$AJ$4,0)))+SUMPRODUCT((Inputs!$E$5:$E$200=$B62)*Inputs!$F$5:$F$200*(((Inputs!$G$5:$G$200="moeda")+(Inputs!$G$5:$G$200="acoes"))*Inputs!$B$1+((Inputs!$G$5:$G$200&lt;&gt;"moeda")*(Inputs!$G$5:$G$200&lt;&gt;"acoes")))*INDEX(Inputs!$K$5:$AJ$200,0,MATCH(S$2,Inputs!$K$4:$AJ$4,0)))))</f>
        <v>843664</v>
      </c>
      <c r="T62" s="264">
        <f>IF(ISNA(MATCH(T$2,Inputs!$K$4:$AJ$4,0)),NA(),IF(SUMPRODUCT((Inputs!$A$5:$A$200=$B62)*ISNUMBER(INDEX(Inputs!$K$5:$AJ$200,0,MATCH(T$2,Inputs!$K$4:$AJ$4,0))))+SUMPRODUCT((Inputs!$C$5:$C$200=$B62)*ISNUMBER(INDEX(Inputs!$K$5:$AJ$200,0,MATCH(T$2,Inputs!$K$4:$AJ$4,0))))+SUMPRODUCT((Inputs!$E$5:$E$200=$B62)*ISNUMBER(INDEX(Inputs!$K$5:$AJ$200,0,MATCH(T$2,Inputs!$K$4:$AJ$4,0))))=0,NA(),SUMPRODUCT((Inputs!$A$5:$A$200=$B62)*Inputs!$B$5:$B$200*(((Inputs!$G$5:$G$200="moeda")+(Inputs!$G$5:$G$200="acoes"))*Inputs!$B$1+((Inputs!$G$5:$G$200&lt;&gt;"moeda")*(Inputs!$G$5:$G$200&lt;&gt;"acoes")))*INDEX(Inputs!$K$5:$AJ$200,0,MATCH(T$2,Inputs!$K$4:$AJ$4,0)))+SUMPRODUCT((Inputs!$C$5:$C$200=$B62)*Inputs!$D$5:$D$200*(((Inputs!$G$5:$G$200="moeda")+(Inputs!$G$5:$G$200="acoes"))*Inputs!$B$1+((Inputs!$G$5:$G$200&lt;&gt;"moeda")*(Inputs!$G$5:$G$200&lt;&gt;"acoes")))*INDEX(Inputs!$K$5:$AJ$200,0,MATCH(T$2,Inputs!$K$4:$AJ$4,0)))+SUMPRODUCT((Inputs!$E$5:$E$200=$B62)*Inputs!$F$5:$F$200*(((Inputs!$G$5:$G$200="moeda")+(Inputs!$G$5:$G$200="acoes"))*Inputs!$B$1+((Inputs!$G$5:$G$200&lt;&gt;"moeda")*(Inputs!$G$5:$G$200&lt;&gt;"acoes")))*INDEX(Inputs!$K$5:$AJ$200,0,MATCH(T$2,Inputs!$K$4:$AJ$4,0)))))</f>
        <v>873852</v>
      </c>
      <c r="U62" s="264">
        <f>IF(ISNA(MATCH(U$2,Inputs!$K$4:$AJ$4,0)),NA(),IF(SUMPRODUCT((Inputs!$A$5:$A$200=$B62)*ISNUMBER(INDEX(Inputs!$K$5:$AJ$200,0,MATCH(U$2,Inputs!$K$4:$AJ$4,0))))+SUMPRODUCT((Inputs!$C$5:$C$200=$B62)*ISNUMBER(INDEX(Inputs!$K$5:$AJ$200,0,MATCH(U$2,Inputs!$K$4:$AJ$4,0))))+SUMPRODUCT((Inputs!$E$5:$E$200=$B62)*ISNUMBER(INDEX(Inputs!$K$5:$AJ$200,0,MATCH(U$2,Inputs!$K$4:$AJ$4,0))))=0,NA(),SUMPRODUCT((Inputs!$A$5:$A$200=$B62)*Inputs!$B$5:$B$200*(((Inputs!$G$5:$G$200="moeda")+(Inputs!$G$5:$G$200="acoes"))*Inputs!$B$1+((Inputs!$G$5:$G$200&lt;&gt;"moeda")*(Inputs!$G$5:$G$200&lt;&gt;"acoes")))*INDEX(Inputs!$K$5:$AJ$200,0,MATCH(U$2,Inputs!$K$4:$AJ$4,0)))+SUMPRODUCT((Inputs!$C$5:$C$200=$B62)*Inputs!$D$5:$D$200*(((Inputs!$G$5:$G$200="moeda")+(Inputs!$G$5:$G$200="acoes"))*Inputs!$B$1+((Inputs!$G$5:$G$200&lt;&gt;"moeda")*(Inputs!$G$5:$G$200&lt;&gt;"acoes")))*INDEX(Inputs!$K$5:$AJ$200,0,MATCH(U$2,Inputs!$K$4:$AJ$4,0)))+SUMPRODUCT((Inputs!$E$5:$E$200=$B62)*Inputs!$F$5:$F$200*(((Inputs!$G$5:$G$200="moeda")+(Inputs!$G$5:$G$200="acoes"))*Inputs!$B$1+((Inputs!$G$5:$G$200&lt;&gt;"moeda")*(Inputs!$G$5:$G$200&lt;&gt;"acoes")))*INDEX(Inputs!$K$5:$AJ$200,0,MATCH(U$2,Inputs!$K$4:$AJ$4,0)))))</f>
        <v>872269</v>
      </c>
      <c r="V62" s="264">
        <f>IF(ISNA(MATCH(V$2,Inputs!$K$4:$AJ$4,0)),NA(),IF(SUMPRODUCT((Inputs!$A$5:$A$200=$B62)*ISNUMBER(INDEX(Inputs!$K$5:$AJ$200,0,MATCH(V$2,Inputs!$K$4:$AJ$4,0))))+SUMPRODUCT((Inputs!$C$5:$C$200=$B62)*ISNUMBER(INDEX(Inputs!$K$5:$AJ$200,0,MATCH(V$2,Inputs!$K$4:$AJ$4,0))))+SUMPRODUCT((Inputs!$E$5:$E$200=$B62)*ISNUMBER(INDEX(Inputs!$K$5:$AJ$200,0,MATCH(V$2,Inputs!$K$4:$AJ$4,0))))=0,NA(),SUMPRODUCT((Inputs!$A$5:$A$200=$B62)*Inputs!$B$5:$B$200*(((Inputs!$G$5:$G$200="moeda")+(Inputs!$G$5:$G$200="acoes"))*Inputs!$B$1+((Inputs!$G$5:$G$200&lt;&gt;"moeda")*(Inputs!$G$5:$G$200&lt;&gt;"acoes")))*INDEX(Inputs!$K$5:$AJ$200,0,MATCH(V$2,Inputs!$K$4:$AJ$4,0)))+SUMPRODUCT((Inputs!$C$5:$C$200=$B62)*Inputs!$D$5:$D$200*(((Inputs!$G$5:$G$200="moeda")+(Inputs!$G$5:$G$200="acoes"))*Inputs!$B$1+((Inputs!$G$5:$G$200&lt;&gt;"moeda")*(Inputs!$G$5:$G$200&lt;&gt;"acoes")))*INDEX(Inputs!$K$5:$AJ$200,0,MATCH(V$2,Inputs!$K$4:$AJ$4,0)))+SUMPRODUCT((Inputs!$E$5:$E$200=$B62)*Inputs!$F$5:$F$200*(((Inputs!$G$5:$G$200="moeda")+(Inputs!$G$5:$G$200="acoes"))*Inputs!$B$1+((Inputs!$G$5:$G$200&lt;&gt;"moeda")*(Inputs!$G$5:$G$200&lt;&gt;"acoes")))*INDEX(Inputs!$K$5:$AJ$200,0,MATCH(V$2,Inputs!$K$4:$AJ$4,0)))))</f>
        <v>871843</v>
      </c>
      <c r="W62" s="265">
        <f>SUM(S62:V62)</f>
        <v>3461628</v>
      </c>
      <c r="X62" s="264">
        <f>IF(ISNA(MATCH(X$2,Inputs!$K$4:$AJ$4,0)),NA(),IF(SUMPRODUCT((Inputs!$A$5:$A$200=$B62)*ISNUMBER(INDEX(Inputs!$K$5:$AJ$200,0,MATCH(X$2,Inputs!$K$4:$AJ$4,0))))+SUMPRODUCT((Inputs!$C$5:$C$200=$B62)*ISNUMBER(INDEX(Inputs!$K$5:$AJ$200,0,MATCH(X$2,Inputs!$K$4:$AJ$4,0))))+SUMPRODUCT((Inputs!$E$5:$E$200=$B62)*ISNUMBER(INDEX(Inputs!$K$5:$AJ$200,0,MATCH(X$2,Inputs!$K$4:$AJ$4,0))))=0,NA(),SUMPRODUCT((Inputs!$A$5:$A$200=$B62)*Inputs!$B$5:$B$200*(((Inputs!$G$5:$G$200="moeda")+(Inputs!$G$5:$G$200="acoes"))*Inputs!$B$1+((Inputs!$G$5:$G$200&lt;&gt;"moeda")*(Inputs!$G$5:$G$200&lt;&gt;"acoes")))*INDEX(Inputs!$K$5:$AJ$200,0,MATCH(X$2,Inputs!$K$4:$AJ$4,0)))+SUMPRODUCT((Inputs!$C$5:$C$200=$B62)*Inputs!$D$5:$D$200*(((Inputs!$G$5:$G$200="moeda")+(Inputs!$G$5:$G$200="acoes"))*Inputs!$B$1+((Inputs!$G$5:$G$200&lt;&gt;"moeda")*(Inputs!$G$5:$G$200&lt;&gt;"acoes")))*INDEX(Inputs!$K$5:$AJ$200,0,MATCH(X$2,Inputs!$K$4:$AJ$4,0)))+SUMPRODUCT((Inputs!$E$5:$E$200=$B62)*Inputs!$F$5:$F$200*(((Inputs!$G$5:$G$200="moeda")+(Inputs!$G$5:$G$200="acoes"))*Inputs!$B$1+((Inputs!$G$5:$G$200&lt;&gt;"moeda")*(Inputs!$G$5:$G$200&lt;&gt;"acoes")))*INDEX(Inputs!$K$5:$AJ$200,0,MATCH(X$2,Inputs!$K$4:$AJ$4,0)))))</f>
        <v>888674</v>
      </c>
      <c r="Y62" s="264">
        <f>IF(ISNA(MATCH(Y$2,Inputs!$K$4:$AJ$4,0)),NA(),IF(SUMPRODUCT((Inputs!$A$5:$A$200=$B62)*ISNUMBER(INDEX(Inputs!$K$5:$AJ$200,0,MATCH(Y$2,Inputs!$K$4:$AJ$4,0))))+SUMPRODUCT((Inputs!$C$5:$C$200=$B62)*ISNUMBER(INDEX(Inputs!$K$5:$AJ$200,0,MATCH(Y$2,Inputs!$K$4:$AJ$4,0))))+SUMPRODUCT((Inputs!$E$5:$E$200=$B62)*ISNUMBER(INDEX(Inputs!$K$5:$AJ$200,0,MATCH(Y$2,Inputs!$K$4:$AJ$4,0))))=0,NA(),SUMPRODUCT((Inputs!$A$5:$A$200=$B62)*Inputs!$B$5:$B$200*(((Inputs!$G$5:$G$200="moeda")+(Inputs!$G$5:$G$200="acoes"))*Inputs!$B$1+((Inputs!$G$5:$G$200&lt;&gt;"moeda")*(Inputs!$G$5:$G$200&lt;&gt;"acoes")))*INDEX(Inputs!$K$5:$AJ$200,0,MATCH(Y$2,Inputs!$K$4:$AJ$4,0)))+SUMPRODUCT((Inputs!$C$5:$C$200=$B62)*Inputs!$D$5:$D$200*(((Inputs!$G$5:$G$200="moeda")+(Inputs!$G$5:$G$200="acoes"))*Inputs!$B$1+((Inputs!$G$5:$G$200&lt;&gt;"moeda")*(Inputs!$G$5:$G$200&lt;&gt;"acoes")))*INDEX(Inputs!$K$5:$AJ$200,0,MATCH(Y$2,Inputs!$K$4:$AJ$4,0)))+SUMPRODUCT((Inputs!$E$5:$E$200=$B62)*Inputs!$F$5:$F$200*(((Inputs!$G$5:$G$200="moeda")+(Inputs!$G$5:$G$200="acoes"))*Inputs!$B$1+((Inputs!$G$5:$G$200&lt;&gt;"moeda")*(Inputs!$G$5:$G$200&lt;&gt;"acoes")))*INDEX(Inputs!$K$5:$AJ$200,0,MATCH(Y$2,Inputs!$K$4:$AJ$4,0)))))</f>
        <v>864369</v>
      </c>
      <c r="Z62" s="264">
        <f>IF(ISNA(MATCH(Z$2,Inputs!$K$4:$AJ$4,0)),NA(),IF(SUMPRODUCT((Inputs!$A$5:$A$200=$B62)*ISNUMBER(INDEX(Inputs!$K$5:$AJ$200,0,MATCH(Z$2,Inputs!$K$4:$AJ$4,0))))+SUMPRODUCT((Inputs!$C$5:$C$200=$B62)*ISNUMBER(INDEX(Inputs!$K$5:$AJ$200,0,MATCH(Z$2,Inputs!$K$4:$AJ$4,0))))+SUMPRODUCT((Inputs!$E$5:$E$200=$B62)*ISNUMBER(INDEX(Inputs!$K$5:$AJ$200,0,MATCH(Z$2,Inputs!$K$4:$AJ$4,0))))=0,NA(),SUMPRODUCT((Inputs!$A$5:$A$200=$B62)*Inputs!$B$5:$B$200*(((Inputs!$G$5:$G$200="moeda")+(Inputs!$G$5:$G$200="acoes"))*Inputs!$B$1+((Inputs!$G$5:$G$200&lt;&gt;"moeda")*(Inputs!$G$5:$G$200&lt;&gt;"acoes")))*INDEX(Inputs!$K$5:$AJ$200,0,MATCH(Z$2,Inputs!$K$4:$AJ$4,0)))+SUMPRODUCT((Inputs!$C$5:$C$200=$B62)*Inputs!$D$5:$D$200*(((Inputs!$G$5:$G$200="moeda")+(Inputs!$G$5:$G$200="acoes"))*Inputs!$B$1+((Inputs!$G$5:$G$200&lt;&gt;"moeda")*(Inputs!$G$5:$G$200&lt;&gt;"acoes")))*INDEX(Inputs!$K$5:$AJ$200,0,MATCH(Z$2,Inputs!$K$4:$AJ$4,0)))+SUMPRODUCT((Inputs!$E$5:$E$200=$B62)*Inputs!$F$5:$F$200*(((Inputs!$G$5:$G$200="moeda")+(Inputs!$G$5:$G$200="acoes"))*Inputs!$B$1+((Inputs!$G$5:$G$200&lt;&gt;"moeda")*(Inputs!$G$5:$G$200&lt;&gt;"acoes")))*INDEX(Inputs!$K$5:$AJ$200,0,MATCH(Z$2,Inputs!$K$4:$AJ$4,0)))))</f>
        <v>819192</v>
      </c>
      <c r="AA62" s="264">
        <f>IF(ISNA(MATCH(AA$2,Inputs!$K$4:$AJ$4,0)),NA(),IF(SUMPRODUCT((Inputs!$A$5:$A$200=$B62)*ISNUMBER(INDEX(Inputs!$K$5:$AJ$200,0,MATCH(AA$2,Inputs!$K$4:$AJ$4,0))))+SUMPRODUCT((Inputs!$C$5:$C$200=$B62)*ISNUMBER(INDEX(Inputs!$K$5:$AJ$200,0,MATCH(AA$2,Inputs!$K$4:$AJ$4,0))))+SUMPRODUCT((Inputs!$E$5:$E$200=$B62)*ISNUMBER(INDEX(Inputs!$K$5:$AJ$200,0,MATCH(AA$2,Inputs!$K$4:$AJ$4,0))))=0,NA(),SUMPRODUCT((Inputs!$A$5:$A$200=$B62)*Inputs!$B$5:$B$200*(((Inputs!$G$5:$G$200="moeda")+(Inputs!$G$5:$G$200="acoes"))*Inputs!$B$1+((Inputs!$G$5:$G$200&lt;&gt;"moeda")*(Inputs!$G$5:$G$200&lt;&gt;"acoes")))*INDEX(Inputs!$K$5:$AJ$200,0,MATCH(AA$2,Inputs!$K$4:$AJ$4,0)))+SUMPRODUCT((Inputs!$C$5:$C$200=$B62)*Inputs!$D$5:$D$200*(((Inputs!$G$5:$G$200="moeda")+(Inputs!$G$5:$G$200="acoes"))*Inputs!$B$1+((Inputs!$G$5:$G$200&lt;&gt;"moeda")*(Inputs!$G$5:$G$200&lt;&gt;"acoes")))*INDEX(Inputs!$K$5:$AJ$200,0,MATCH(AA$2,Inputs!$K$4:$AJ$4,0)))+SUMPRODUCT((Inputs!$E$5:$E$200=$B62)*Inputs!$F$5:$F$200*(((Inputs!$G$5:$G$200="moeda")+(Inputs!$G$5:$G$200="acoes"))*Inputs!$B$1+((Inputs!$G$5:$G$200&lt;&gt;"moeda")*(Inputs!$G$5:$G$200&lt;&gt;"acoes")))*INDEX(Inputs!$K$5:$AJ$200,0,MATCH(AA$2,Inputs!$K$4:$AJ$4,0)))))</f>
        <v>670490</v>
      </c>
      <c r="AB62" s="265">
        <f>SUM(X62:AA62)</f>
        <v>3242725</v>
      </c>
      <c r="AC62" s="264">
        <f>IF(ISNA(MATCH(AC$2,Inputs!$K$4:$AJ$4,0)),NA(),IF(SUMPRODUCT((Inputs!$A$5:$A$200=$B62)*ISNUMBER(INDEX(Inputs!$K$5:$AJ$200,0,MATCH(AC$2,Inputs!$K$4:$AJ$4,0))))+SUMPRODUCT((Inputs!$C$5:$C$200=$B62)*ISNUMBER(INDEX(Inputs!$K$5:$AJ$200,0,MATCH(AC$2,Inputs!$K$4:$AJ$4,0))))+SUMPRODUCT((Inputs!$E$5:$E$200=$B62)*ISNUMBER(INDEX(Inputs!$K$5:$AJ$200,0,MATCH(AC$2,Inputs!$K$4:$AJ$4,0))))=0,NA(),SUMPRODUCT((Inputs!$A$5:$A$200=$B62)*Inputs!$B$5:$B$200*(((Inputs!$G$5:$G$200="moeda")+(Inputs!$G$5:$G$200="acoes"))*Inputs!$B$1+((Inputs!$G$5:$G$200&lt;&gt;"moeda")*(Inputs!$G$5:$G$200&lt;&gt;"acoes")))*INDEX(Inputs!$K$5:$AJ$200,0,MATCH(AC$2,Inputs!$K$4:$AJ$4,0)))+SUMPRODUCT((Inputs!$C$5:$C$200=$B62)*Inputs!$D$5:$D$200*(((Inputs!$G$5:$G$200="moeda")+(Inputs!$G$5:$G$200="acoes"))*Inputs!$B$1+((Inputs!$G$5:$G$200&lt;&gt;"moeda")*(Inputs!$G$5:$G$200&lt;&gt;"acoes")))*INDEX(Inputs!$K$5:$AJ$200,0,MATCH(AC$2,Inputs!$K$4:$AJ$4,0)))+SUMPRODUCT((Inputs!$E$5:$E$200=$B62)*Inputs!$F$5:$F$200*(((Inputs!$G$5:$G$200="moeda")+(Inputs!$G$5:$G$200="acoes"))*Inputs!$B$1+((Inputs!$G$5:$G$200&lt;&gt;"moeda")*(Inputs!$G$5:$G$200&lt;&gt;"acoes")))*INDEX(Inputs!$K$5:$AJ$200,0,MATCH(AC$2,Inputs!$K$4:$AJ$4,0)))))</f>
        <v>554709</v>
      </c>
      <c r="AD62" s="264">
        <f>IF(ISNA(MATCH(AD$2,Inputs!$K$4:$AJ$4,0)),NA(),IF(SUMPRODUCT((Inputs!$A$5:$A$200=$B62)*ISNUMBER(INDEX(Inputs!$K$5:$AJ$200,0,MATCH(AD$2,Inputs!$K$4:$AJ$4,0))))+SUMPRODUCT((Inputs!$C$5:$C$200=$B62)*ISNUMBER(INDEX(Inputs!$K$5:$AJ$200,0,MATCH(AD$2,Inputs!$K$4:$AJ$4,0))))+SUMPRODUCT((Inputs!$E$5:$E$200=$B62)*ISNUMBER(INDEX(Inputs!$K$5:$AJ$200,0,MATCH(AD$2,Inputs!$K$4:$AJ$4,0))))=0,NA(),SUMPRODUCT((Inputs!$A$5:$A$200=$B62)*Inputs!$B$5:$B$200*(((Inputs!$G$5:$G$200="moeda")+(Inputs!$G$5:$G$200="acoes"))*Inputs!$B$1+((Inputs!$G$5:$G$200&lt;&gt;"moeda")*(Inputs!$G$5:$G$200&lt;&gt;"acoes")))*INDEX(Inputs!$K$5:$AJ$200,0,MATCH(AD$2,Inputs!$K$4:$AJ$4,0)))+SUMPRODUCT((Inputs!$C$5:$C$200=$B62)*Inputs!$D$5:$D$200*(((Inputs!$G$5:$G$200="moeda")+(Inputs!$G$5:$G$200="acoes"))*Inputs!$B$1+((Inputs!$G$5:$G$200&lt;&gt;"moeda")*(Inputs!$G$5:$G$200&lt;&gt;"acoes")))*INDEX(Inputs!$K$5:$AJ$200,0,MATCH(AD$2,Inputs!$K$4:$AJ$4,0)))+SUMPRODUCT((Inputs!$E$5:$E$200=$B62)*Inputs!$F$5:$F$200*(((Inputs!$G$5:$G$200="moeda")+(Inputs!$G$5:$G$200="acoes"))*Inputs!$B$1+((Inputs!$G$5:$G$200&lt;&gt;"moeda")*(Inputs!$G$5:$G$200&lt;&gt;"acoes")))*INDEX(Inputs!$K$5:$AJ$200,0,MATCH(AD$2,Inputs!$K$4:$AJ$4,0)))))</f>
        <v>644500</v>
      </c>
      <c r="AE62" s="264" t="e">
        <f>IF(ISNA(MATCH(AE$2,Inputs!$K$4:$AJ$4,0)),NA(),IF(SUMPRODUCT((Inputs!$A$5:$A$200=$B62)*ISNUMBER(INDEX(Inputs!$K$5:$AJ$200,0,MATCH(AE$2,Inputs!$K$4:$AJ$4,0))))+SUMPRODUCT((Inputs!$C$5:$C$200=$B62)*ISNUMBER(INDEX(Inputs!$K$5:$AJ$200,0,MATCH(AE$2,Inputs!$K$4:$AJ$4,0))))+SUMPRODUCT((Inputs!$E$5:$E$200=$B62)*ISNUMBER(INDEX(Inputs!$K$5:$AJ$200,0,MATCH(AE$2,Inputs!$K$4:$AJ$4,0))))=0,NA(),SUMPRODUCT((Inputs!$A$5:$A$200=$B62)*Inputs!$B$5:$B$200*(((Inputs!$G$5:$G$200="moeda")+(Inputs!$G$5:$G$200="acoes"))*Inputs!$B$1+((Inputs!$G$5:$G$200&lt;&gt;"moeda")*(Inputs!$G$5:$G$200&lt;&gt;"acoes")))*INDEX(Inputs!$K$5:$AJ$200,0,MATCH(AE$2,Inputs!$K$4:$AJ$4,0)))+SUMPRODUCT((Inputs!$C$5:$C$200=$B62)*Inputs!$D$5:$D$200*(((Inputs!$G$5:$G$200="moeda")+(Inputs!$G$5:$G$200="acoes"))*Inputs!$B$1+((Inputs!$G$5:$G$200&lt;&gt;"moeda")*(Inputs!$G$5:$G$200&lt;&gt;"acoes")))*INDEX(Inputs!$K$5:$AJ$200,0,MATCH(AE$2,Inputs!$K$4:$AJ$4,0)))+SUMPRODUCT((Inputs!$E$5:$E$200=$B62)*Inputs!$F$5:$F$200*(((Inputs!$G$5:$G$200="moeda")+(Inputs!$G$5:$G$200="acoes"))*Inputs!$B$1+((Inputs!$G$5:$G$200&lt;&gt;"moeda")*(Inputs!$G$5:$G$200&lt;&gt;"acoes")))*INDEX(Inputs!$K$5:$AJ$200,0,MATCH(AE$2,Inputs!$K$4:$AJ$4,0)))))</f>
        <v>#N/A</v>
      </c>
      <c r="AF62" s="264" t="e">
        <f>IF(ISNA(MATCH(AF$2,Inputs!$K$4:$AJ$4,0)),NA(),IF(SUMPRODUCT((Inputs!$A$5:$A$200=$B62)*ISNUMBER(INDEX(Inputs!$K$5:$AJ$200,0,MATCH(AF$2,Inputs!$K$4:$AJ$4,0))))+SUMPRODUCT((Inputs!$C$5:$C$200=$B62)*ISNUMBER(INDEX(Inputs!$K$5:$AJ$200,0,MATCH(AF$2,Inputs!$K$4:$AJ$4,0))))+SUMPRODUCT((Inputs!$E$5:$E$200=$B62)*ISNUMBER(INDEX(Inputs!$K$5:$AJ$200,0,MATCH(AF$2,Inputs!$K$4:$AJ$4,0))))=0,NA(),SUMPRODUCT((Inputs!$A$5:$A$200=$B62)*Inputs!$B$5:$B$200*(((Inputs!$G$5:$G$200="moeda")+(Inputs!$G$5:$G$200="acoes"))*Inputs!$B$1+((Inputs!$G$5:$G$200&lt;&gt;"moeda")*(Inputs!$G$5:$G$200&lt;&gt;"acoes")))*INDEX(Inputs!$K$5:$AJ$200,0,MATCH(AF$2,Inputs!$K$4:$AJ$4,0)))+SUMPRODUCT((Inputs!$C$5:$C$200=$B62)*Inputs!$D$5:$D$200*(((Inputs!$G$5:$G$200="moeda")+(Inputs!$G$5:$G$200="acoes"))*Inputs!$B$1+((Inputs!$G$5:$G$200&lt;&gt;"moeda")*(Inputs!$G$5:$G$200&lt;&gt;"acoes")))*INDEX(Inputs!$K$5:$AJ$200,0,MATCH(AF$2,Inputs!$K$4:$AJ$4,0)))+SUMPRODUCT((Inputs!$E$5:$E$200=$B62)*Inputs!$F$5:$F$200*(((Inputs!$G$5:$G$200="moeda")+(Inputs!$G$5:$G$200="acoes"))*Inputs!$B$1+((Inputs!$G$5:$G$200&lt;&gt;"moeda")*(Inputs!$G$5:$G$200&lt;&gt;"acoes")))*INDEX(Inputs!$K$5:$AJ$200,0,MATCH(AF$2,Inputs!$K$4:$AJ$4,0)))))</f>
        <v>#N/A</v>
      </c>
      <c r="AG62" s="265" t="e">
        <f>SUM(AC62:AF62)</f>
        <v>#N/A</v>
      </c>
      <c r="AH62" s="264">
        <f>IF(ISNA(MATCH(AH$2,Inputs!$K$4:$AJ$4,0)),NA(),IF(SUMPRODUCT((Inputs!$A$5:$A$200=$B62)*ISNUMBER(INDEX(Inputs!$K$5:$AJ$200,0,MATCH(AH$2,Inputs!$K$4:$AJ$4,0))))+SUMPRODUCT((Inputs!$C$5:$C$200=$B62)*ISNUMBER(INDEX(Inputs!$K$5:$AJ$200,0,MATCH(AH$2,Inputs!$K$4:$AJ$4,0))))+SUMPRODUCT((Inputs!$E$5:$E$200=$B62)*ISNUMBER(INDEX(Inputs!$K$5:$AJ$200,0,MATCH(AH$2,Inputs!$K$4:$AJ$4,0))))=0,NA(),SUMPRODUCT((Inputs!$A$5:$A$200=$B62)*Inputs!$B$5:$B$200*(((Inputs!$G$5:$G$200="moeda")+(Inputs!$G$5:$G$200="acoes"))*Inputs!$B$1+((Inputs!$G$5:$G$200&lt;&gt;"moeda")*(Inputs!$G$5:$G$200&lt;&gt;"acoes")))*INDEX(Inputs!$K$5:$AJ$200,0,MATCH(AH$2,Inputs!$K$4:$AJ$4,0)))+SUMPRODUCT((Inputs!$C$5:$C$200=$B62)*Inputs!$D$5:$D$200*(((Inputs!$G$5:$G$200="moeda")+(Inputs!$G$5:$G$200="acoes"))*Inputs!$B$1+((Inputs!$G$5:$G$200&lt;&gt;"moeda")*(Inputs!$G$5:$G$200&lt;&gt;"acoes")))*INDEX(Inputs!$K$5:$AJ$200,0,MATCH(AH$2,Inputs!$K$4:$AJ$4,0)))+SUMPRODUCT((Inputs!$E$5:$E$200=$B62)*Inputs!$F$5:$F$200*(((Inputs!$G$5:$G$200="moeda")+(Inputs!$G$5:$G$200="acoes"))*Inputs!$B$1+((Inputs!$G$5:$G$200&lt;&gt;"moeda")*(Inputs!$G$5:$G$200&lt;&gt;"acoes")))*INDEX(Inputs!$K$5:$AJ$200,0,MATCH(AH$2,Inputs!$K$4:$AJ$4,0)))))</f>
        <v>318471</v>
      </c>
      <c r="AI62" s="264">
        <f>IF(ISNA(MATCH(AI$2,Inputs!$K$4:$AJ$4,0)),NA(),IF(SUMPRODUCT((Inputs!$A$5:$A$200=$B62)*ISNUMBER(INDEX(Inputs!$K$5:$AJ$200,0,MATCH(AI$2,Inputs!$K$4:$AJ$4,0))))+SUMPRODUCT((Inputs!$C$5:$C$200=$B62)*ISNUMBER(INDEX(Inputs!$K$5:$AJ$200,0,MATCH(AI$2,Inputs!$K$4:$AJ$4,0))))+SUMPRODUCT((Inputs!$E$5:$E$200=$B62)*ISNUMBER(INDEX(Inputs!$K$5:$AJ$200,0,MATCH(AI$2,Inputs!$K$4:$AJ$4,0))))=0,NA(),SUMPRODUCT((Inputs!$A$5:$A$200=$B62)*Inputs!$B$5:$B$200*(((Inputs!$G$5:$G$200="moeda")+(Inputs!$G$5:$G$200="acoes"))*Inputs!$B$1+((Inputs!$G$5:$G$200&lt;&gt;"moeda")*(Inputs!$G$5:$G$200&lt;&gt;"acoes")))*INDEX(Inputs!$K$5:$AJ$200,0,MATCH(AI$2,Inputs!$K$4:$AJ$4,0)))+SUMPRODUCT((Inputs!$C$5:$C$200=$B62)*Inputs!$D$5:$D$200*(((Inputs!$G$5:$G$200="moeda")+(Inputs!$G$5:$G$200="acoes"))*Inputs!$B$1+((Inputs!$G$5:$G$200&lt;&gt;"moeda")*(Inputs!$G$5:$G$200&lt;&gt;"acoes")))*INDEX(Inputs!$K$5:$AJ$200,0,MATCH(AI$2,Inputs!$K$4:$AJ$4,0)))+SUMPRODUCT((Inputs!$E$5:$E$200=$B62)*Inputs!$F$5:$F$200*(((Inputs!$G$5:$G$200="moeda")+(Inputs!$G$5:$G$200="acoes"))*Inputs!$B$1+((Inputs!$G$5:$G$200&lt;&gt;"moeda")*(Inputs!$G$5:$G$200&lt;&gt;"acoes")))*INDEX(Inputs!$K$5:$AJ$200,0,MATCH(AI$2,Inputs!$K$4:$AJ$4,0)))))</f>
        <v>355800</v>
      </c>
      <c r="AJ62" s="264">
        <f>IF(ISNA(MATCH(AJ$2,Inputs!$K$4:$AJ$4,0)),NA(),IF(SUMPRODUCT((Inputs!$A$5:$A$200=$B62)*ISNUMBER(INDEX(Inputs!$K$5:$AJ$200,0,MATCH(AJ$2,Inputs!$K$4:$AJ$4,0))))+SUMPRODUCT((Inputs!$C$5:$C$200=$B62)*ISNUMBER(INDEX(Inputs!$K$5:$AJ$200,0,MATCH(AJ$2,Inputs!$K$4:$AJ$4,0))))+SUMPRODUCT((Inputs!$E$5:$E$200=$B62)*ISNUMBER(INDEX(Inputs!$K$5:$AJ$200,0,MATCH(AJ$2,Inputs!$K$4:$AJ$4,0))))=0,NA(),SUMPRODUCT((Inputs!$A$5:$A$200=$B62)*Inputs!$B$5:$B$200*(((Inputs!$G$5:$G$200="moeda")+(Inputs!$G$5:$G$200="acoes"))*Inputs!$B$1+((Inputs!$G$5:$G$200&lt;&gt;"moeda")*(Inputs!$G$5:$G$200&lt;&gt;"acoes")))*INDEX(Inputs!$K$5:$AJ$200,0,MATCH(AJ$2,Inputs!$K$4:$AJ$4,0)))+SUMPRODUCT((Inputs!$C$5:$C$200=$B62)*Inputs!$D$5:$D$200*(((Inputs!$G$5:$G$200="moeda")+(Inputs!$G$5:$G$200="acoes"))*Inputs!$B$1+((Inputs!$G$5:$G$200&lt;&gt;"moeda")*(Inputs!$G$5:$G$200&lt;&gt;"acoes")))*INDEX(Inputs!$K$5:$AJ$200,0,MATCH(AJ$2,Inputs!$K$4:$AJ$4,0)))+SUMPRODUCT((Inputs!$E$5:$E$200=$B62)*Inputs!$F$5:$F$200*(((Inputs!$G$5:$G$200="moeda")+(Inputs!$G$5:$G$200="acoes"))*Inputs!$B$1+((Inputs!$G$5:$G$200&lt;&gt;"moeda")*(Inputs!$G$5:$G$200&lt;&gt;"acoes")))*INDEX(Inputs!$K$5:$AJ$200,0,MATCH(AJ$2,Inputs!$K$4:$AJ$4,0)))))</f>
        <v>397300</v>
      </c>
      <c r="AK62" s="264">
        <f>IF(ISNA(MATCH(AK$2,Inputs!$K$4:$AJ$4,0)),NA(),IF(SUMPRODUCT((Inputs!$A$5:$A$200=$B62)*ISNUMBER(INDEX(Inputs!$K$5:$AJ$200,0,MATCH(AK$2,Inputs!$K$4:$AJ$4,0))))+SUMPRODUCT((Inputs!$C$5:$C$200=$B62)*ISNUMBER(INDEX(Inputs!$K$5:$AJ$200,0,MATCH(AK$2,Inputs!$K$4:$AJ$4,0))))+SUMPRODUCT((Inputs!$E$5:$E$200=$B62)*ISNUMBER(INDEX(Inputs!$K$5:$AJ$200,0,MATCH(AK$2,Inputs!$K$4:$AJ$4,0))))=0,NA(),SUMPRODUCT((Inputs!$A$5:$A$200=$B62)*Inputs!$B$5:$B$200*(((Inputs!$G$5:$G$200="moeda")+(Inputs!$G$5:$G$200="acoes"))*Inputs!$B$1+((Inputs!$G$5:$G$200&lt;&gt;"moeda")*(Inputs!$G$5:$G$200&lt;&gt;"acoes")))*INDEX(Inputs!$K$5:$AJ$200,0,MATCH(AK$2,Inputs!$K$4:$AJ$4,0)))+SUMPRODUCT((Inputs!$C$5:$C$200=$B62)*Inputs!$D$5:$D$200*(((Inputs!$G$5:$G$200="moeda")+(Inputs!$G$5:$G$200="acoes"))*Inputs!$B$1+((Inputs!$G$5:$G$200&lt;&gt;"moeda")*(Inputs!$G$5:$G$200&lt;&gt;"acoes")))*INDEX(Inputs!$K$5:$AJ$200,0,MATCH(AK$2,Inputs!$K$4:$AJ$4,0)))+SUMPRODUCT((Inputs!$E$5:$E$200=$B62)*Inputs!$F$5:$F$200*(((Inputs!$G$5:$G$200="moeda")+(Inputs!$G$5:$G$200="acoes"))*Inputs!$B$1+((Inputs!$G$5:$G$200&lt;&gt;"moeda")*(Inputs!$G$5:$G$200&lt;&gt;"acoes")))*INDEX(Inputs!$K$5:$AJ$200,0,MATCH(AK$2,Inputs!$K$4:$AJ$4,0)))))</f>
        <v>428255</v>
      </c>
      <c r="AL62" s="265">
        <f>SUM(AH62:AK62)</f>
        <v>1499826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4.42701431069281e-15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1.06581410364015e-14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2.30926389122033e-14</v>
      </c>
      <c r="U1" s="3">
        <f>SUM(U2,U3)</f>
        <v>1.70974345792274e-14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ABS(D197-D273)</f>
        <v>0</v>
      </c>
      <c r="E2" s="3">
        <f>ABS(E197-E273)</f>
        <v>0</v>
      </c>
      <c r="F2" s="3">
        <f>ABS(F197-F273)</f>
        <v>0</v>
      </c>
      <c r="G2" s="3">
        <f>ABS(G197-G273)</f>
        <v>0</v>
      </c>
      <c r="H2" s="3">
        <f>ABS(H197-H273)</f>
        <v>0</v>
      </c>
      <c r="I2" s="3">
        <f>ABS(I197-I273)</f>
        <v>0</v>
      </c>
      <c r="J2" s="3">
        <f>ABS(J197-J273)</f>
        <v>0</v>
      </c>
      <c r="K2" s="3">
        <f>ABS(K197-K273)</f>
        <v>0</v>
      </c>
      <c r="L2" s="3">
        <f>ABS(L197-L273)</f>
        <v>0</v>
      </c>
      <c r="M2" s="3">
        <f>ABS(M197-M273)</f>
        <v>0</v>
      </c>
      <c r="N2" s="3">
        <f>ABS(N197-N273)</f>
        <v>0</v>
      </c>
      <c r="O2" s="3">
        <f>ABS(O197-O273)</f>
        <v>0</v>
      </c>
      <c r="P2" s="3">
        <f>ABS(P197-P273)</f>
        <v>0</v>
      </c>
      <c r="Q2" s="3">
        <f>ABS(Q197-Q273)</f>
        <v>0</v>
      </c>
      <c r="R2" s="3">
        <f>ABS(R197-R273)</f>
        <v>0</v>
      </c>
      <c r="S2" s="3">
        <f>ABS(S197-S273)</f>
        <v>0</v>
      </c>
      <c r="T2" s="3">
        <f>ABS(T197-T273)</f>
        <v>0</v>
      </c>
      <c r="U2" s="3">
        <f>ABS(U197-U273)</f>
        <v>0</v>
      </c>
      <c r="V2" s="3">
        <f>ABS(V197-V273)</f>
        <v>0</v>
      </c>
      <c r="W2" s="3">
        <f>ABS(W197-W273)</f>
        <v>0</v>
      </c>
      <c r="X2" s="3">
        <f>ABS(X197-X273)</f>
        <v>0</v>
      </c>
      <c r="Y2" s="3">
        <f>ABS(Y197-Y273)</f>
        <v>0</v>
      </c>
      <c r="Z2" s="3">
        <f>ABS(Z197-Z273)</f>
        <v>0</v>
      </c>
      <c r="AA2" s="3">
        <f>ABS(AA197-AA273)</f>
        <v>0</v>
      </c>
      <c r="AB2" s="3">
        <f>ABS(AB197-AB273)</f>
        <v>0</v>
      </c>
      <c r="AC2" s="3">
        <f>ABS(AC197-AC273)</f>
        <v>0</v>
      </c>
      <c r="AD2" s="3">
        <f>ABS(AD197-AD273)</f>
        <v>0</v>
      </c>
      <c r="AE2" s="3">
        <f>ABS(AE197-AE273)</f>
        <v>0</v>
      </c>
      <c r="AF2" s="3">
        <f>ABS(AF197-AF273)</f>
        <v>0</v>
      </c>
      <c r="AG2" s="3">
        <f>ABS(AG197-AG273)</f>
        <v>0</v>
      </c>
      <c r="AH2" s="3">
        <f>ABS(AH197-AH273)</f>
        <v>0</v>
      </c>
      <c r="AI2" s="3">
        <f>ABS(AI197-AI273)</f>
        <v>0</v>
      </c>
      <c r="AJ2" s="3">
        <f>ABS(AJ197-AJ273)</f>
        <v>0</v>
      </c>
      <c r="AK2" s="3">
        <f>ABS(AK197-AK273)</f>
        <v>0</v>
      </c>
      <c r="AL2" s="3">
        <f>ABS(AL197-AL273)</f>
        <v>0</v>
      </c>
      <c r="AM2" s="3" t="e">
        <f>ABS(AM197-AM273)</f>
        <v>#DIV/0!</v>
      </c>
      <c r="AN2" s="3" t="e">
        <f>ABS(AN197-AN273)</f>
        <v>#DIV/0!</v>
      </c>
      <c r="AO2" s="3" t="e">
        <f>ABS(AO197-AO273)</f>
        <v>#DIV/0!</v>
      </c>
      <c r="AP2" s="3" t="e">
        <f>ABS(AP197-AP273)</f>
        <v>#DIV/0!</v>
      </c>
      <c r="AQ2" s="3" t="e">
        <f>ABS(AQ197-AQ273)</f>
        <v>#DIV/0!</v>
      </c>
      <c r="AR2" s="3" t="e">
        <f>ABS(AR197-AR273)</f>
        <v>#DIV/0!</v>
      </c>
      <c r="AS2" s="3" t="e">
        <f>ABS(AS197-AS273)</f>
        <v>#DIV/0!</v>
      </c>
      <c r="AT2" s="3" t="e">
        <f>ABS(AT197-AT273)</f>
        <v>#DIV/0!</v>
      </c>
      <c r="AU2" s="3" t="e">
        <f>ABS(AU197-AU273)</f>
        <v>#DIV/0!</v>
      </c>
      <c r="AV2" s="3" t="e">
        <f>ABS(AV197-AV273)</f>
        <v>#DIV/0!</v>
      </c>
      <c r="AW2" s="3" t="e">
        <f>ABS(AW197-AW273)</f>
        <v>#DIV/0!</v>
      </c>
      <c r="AX2" s="3" t="e">
        <f>ABS(AX197-AX273)</f>
        <v>#DIV/0!</v>
      </c>
      <c r="AY2" s="3" t="e">
        <f>ABS(AY197-AY273)</f>
        <v>#DIV/0!</v>
      </c>
      <c r="AZ2" s="3" t="e">
        <f>ABS(AZ197-AZ273)</f>
        <v>#DIV/0!</v>
      </c>
      <c r="BA2" s="3" t="e">
        <f>ABS(BA197-BA273)</f>
        <v>#DIV/0!</v>
      </c>
      <c r="BB2" s="3" t="e">
        <f>ABS(BB197-BB273)</f>
        <v>#DIV/0!</v>
      </c>
      <c r="BC2" s="3" t="e">
        <f>ABS(BC197-BC273)</f>
        <v>#DIV/0!</v>
      </c>
      <c r="BD2" s="3" t="e">
        <f>ABS(BD197-BD273)</f>
        <v>#DIV/0!</v>
      </c>
      <c r="BE2" s="3" t="e">
        <f>ABS(BE197-BE273)</f>
        <v>#DIV/0!</v>
      </c>
      <c r="BF2" s="3" t="e">
        <f>ABS(BF197-BF273)</f>
        <v>#DIV/0!</v>
      </c>
      <c r="BG2" s="3" t="e">
        <f>ABS(BG197-BG273)</f>
        <v>#DIV/0!</v>
      </c>
      <c r="BH2" s="3" t="e">
        <f>ABS(BH197-BH273)</f>
        <v>#DIV/0!</v>
      </c>
      <c r="BI2" s="3" t="e">
        <f>ABS(BI197-BI273)</f>
        <v>#DIV/0!</v>
      </c>
      <c r="BJ2" s="3" t="e">
        <f>ABS(BJ197-BJ273)</f>
        <v>#DIV/0!</v>
      </c>
      <c r="BK2" s="3" t="e">
        <f>ABS(BK197-BK273)</f>
        <v>#DIV/0!</v>
      </c>
      <c r="BL2" s="3" t="e">
        <f>ABS(BL197-BL273)</f>
        <v>#DIV/0!</v>
      </c>
      <c r="BM2" s="3" t="e">
        <f>ABS(BM197-BM273)</f>
        <v>#DIV/0!</v>
      </c>
      <c r="BN2" s="3" t="e">
        <f>ABS(BN197-BN273)</f>
        <v>#DIV/0!</v>
      </c>
      <c r="BO2" s="3" t="e">
        <f>ABS(BO197-BO273)</f>
        <v>#DIV/0!</v>
      </c>
      <c r="BP2" s="3" t="e">
        <f>ABS(BP197-BP273)</f>
        <v>#DIV/0!</v>
      </c>
      <c r="BQ2" s="3" t="e">
        <f>ABS(BQ197-BQ273)</f>
        <v>#DIV/0!</v>
      </c>
      <c r="BR2" s="3" t="e">
        <f>ABS(BR197-BR273)</f>
        <v>#DIV/0!</v>
      </c>
      <c r="BS2" s="3" t="e">
        <f>ABS(BS197-BS273)</f>
        <v>#DIV/0!</v>
      </c>
      <c r="BT2" s="3" t="e">
        <f>ABS(BT197-BT273)</f>
        <v>#DIV/0!</v>
      </c>
      <c r="BU2" s="3" t="e">
        <f>ABS(BU197-BU273)</f>
        <v>#DIV/0!</v>
      </c>
      <c r="BV2" s="3" t="e">
        <f>ABS(BV197-BV273)</f>
        <v>#DIV/0!</v>
      </c>
      <c r="BW2" s="3" t="e">
        <f>ABS(BW197-BW273)</f>
        <v>#DIV/0!</v>
      </c>
      <c r="BX2" s="3" t="e">
        <f>ABS(BX197-BX273)</f>
        <v>#DIV/0!</v>
      </c>
      <c r="BY2" s="3" t="e">
        <f>ABS(BY197-BY273)</f>
        <v>#DIV/0!</v>
      </c>
      <c r="BZ2" s="3" t="e">
        <f>ABS(BZ197-BZ273)</f>
        <v>#DIV/0!</v>
      </c>
      <c r="CA2" s="3" t="e">
        <f>ABS(CA197-CA273)</f>
        <v>#DIV/0!</v>
      </c>
      <c r="CB2" s="3" t="e">
        <f>ABS(CB197-CB273)</f>
        <v>#DIV/0!</v>
      </c>
      <c r="CC2" s="3" t="e">
        <f>ABS(CC197-CC273)</f>
        <v>#DIV/0!</v>
      </c>
      <c r="CD2" s="3" t="e">
        <f>ABS(CD197-CD273)</f>
        <v>#DIV/0!</v>
      </c>
      <c r="CE2" s="3" t="e">
        <f>ABS(CE197-CE273)</f>
        <v>#DIV/0!</v>
      </c>
      <c r="CF2" s="3" t="e">
        <f>ABS(CF197-CF273)</f>
        <v>#DIV/0!</v>
      </c>
      <c r="CG2" s="3" t="e">
        <f>ABS(CG197-CG273)</f>
        <v>#DIV/0!</v>
      </c>
      <c r="CH2" s="3" t="e">
        <f>ABS(CH197-CH273)</f>
        <v>#DIV/0!</v>
      </c>
      <c r="CI2" s="3" t="e">
        <f>ABS(CI197-CI273)</f>
        <v>#DIV/0!</v>
      </c>
      <c r="CJ2" s="3" t="e">
        <f>ABS(CJ197-CJ273)</f>
        <v>#DIV/0!</v>
      </c>
      <c r="CK2" s="3" t="e">
        <f>ABS(CK197-CK273)</f>
        <v>#DIV/0!</v>
      </c>
      <c r="CL2" s="3" t="e">
        <f>ABS(CL197-CL273)</f>
        <v>#DIV/0!</v>
      </c>
      <c r="CM2" s="3" t="e">
        <f>ABS(CM197-CM273)</f>
        <v>#DIV/0!</v>
      </c>
      <c r="CN2" s="3" t="e">
        <f>ABS(CN197-CN273)</f>
        <v>#DIV/0!</v>
      </c>
      <c r="CO2" s="3" t="e">
        <f>ABS(CO197-CO273)</f>
        <v>#DIV/0!</v>
      </c>
      <c r="CP2" s="3" t="e">
        <f>ABS(CP197-CP273)</f>
        <v>#DIV/0!</v>
      </c>
      <c r="CQ2" s="3" t="e">
        <f>ABS(CQ197-CQ273)</f>
        <v>#DIV/0!</v>
      </c>
      <c r="CR2" s="3" t="e">
        <f>ABS(CR197-CR273)</f>
        <v>#DIV/0!</v>
      </c>
      <c r="CS2" s="3" t="e">
        <f>ABS(CS197-CS273)</f>
        <v>#DIV/0!</v>
      </c>
      <c r="CT2" s="3" t="e">
        <f>ABS(CT197-CT273)</f>
        <v>#DIV/0!</v>
      </c>
      <c r="CU2" s="3" t="e">
        <f>ABS(CU197-CU273)</f>
        <v>#DIV/0!</v>
      </c>
      <c r="CV2" s="3" t="e">
        <f>ABS(CV197-CV273)</f>
        <v>#DIV/0!</v>
      </c>
      <c r="CW2" s="3" t="e">
        <f>ABS(CW197-CW273)</f>
        <v>#DIV/0!</v>
      </c>
      <c r="CX2" s="3" t="e">
        <f>ABS(CX197-CX273)</f>
        <v>#DIV/0!</v>
      </c>
      <c r="CY2" s="3" t="e">
        <f>ABS(CY197-CY273)</f>
        <v>#DIV/0!</v>
      </c>
    </row>
    <row r="3" outlineLevel="1">
      <c r="C3" s="5" t="inlineStr">
        <is>
          <t>IS</t>
        </is>
      </c>
      <c r="D3" s="3">
        <f>IF(COUNT(D4)=0,"",ABS(D137-D4))</f>
        <v>0</v>
      </c>
      <c r="E3" s="3">
        <f>IF(COUNT(E4)=0,"",ABS(E137-E4))</f>
        <v>0</v>
      </c>
      <c r="F3" s="3">
        <f>IF(COUNT(F4)=0,"",ABS(F137-F4))</f>
        <v>4.42701431069281e-15</v>
      </c>
      <c r="G3" s="3">
        <f>IF(COUNT(G4)=0,"",ABS(G137-G4))</f>
        <v>0</v>
      </c>
      <c r="H3" s="3">
        <f>IF(COUNT(H4)=0,"",ABS(H137-H4))</f>
        <v>0</v>
      </c>
      <c r="I3" s="3">
        <f>IF(COUNT(I4)=0,"",ABS(I137-I4))</f>
        <v>0</v>
      </c>
      <c r="J3" s="3">
        <f>IF(COUNT(J4)=0,"",ABS(J137-J4))</f>
        <v>0</v>
      </c>
      <c r="K3" s="3">
        <f>IF(COUNT(K4)=0,"",ABS(K137-K4))</f>
        <v>1.06581410364015e-14</v>
      </c>
      <c r="L3" s="3">
        <f>IF(COUNT(L4)=0,"",ABS(L137-L4))</f>
        <v>0</v>
      </c>
      <c r="M3" s="3">
        <f>IF(COUNT(M4)=0,"",ABS(M137-M4))</f>
        <v>0</v>
      </c>
      <c r="N3" s="3">
        <f>IF(COUNT(N4)=0,"",ABS(N137-N4))</f>
        <v>0</v>
      </c>
      <c r="O3" s="3">
        <f>IF(COUNT(O4)=0,"",ABS(O137-O4))</f>
        <v>0</v>
      </c>
      <c r="P3" s="3">
        <f>IF(COUNT(P4)=0,"",ABS(P137-P4))</f>
        <v>0</v>
      </c>
      <c r="Q3" s="3">
        <f>IF(COUNT(Q4)=0,"",ABS(Q137-Q4))</f>
        <v>0</v>
      </c>
      <c r="R3" s="3">
        <f>IF(COUNT(R4)=0,"",ABS(R137-R4))</f>
        <v>0</v>
      </c>
      <c r="S3" s="3">
        <f>IF(COUNT(S4)=0,"",ABS(S137-S4))</f>
        <v>0</v>
      </c>
      <c r="T3" s="3">
        <f>IF(COUNT(T4)=0,"",ABS(T137-T4))</f>
        <v>2.30926389122033e-14</v>
      </c>
      <c r="U3" s="3">
        <f>IF(COUNT(U4)=0,"",ABS(U137-U4))</f>
        <v>1.70974345792274e-14</v>
      </c>
      <c r="V3" s="3">
        <f>IF(COUNT(V4)=0,"",ABS(V137-V4))</f>
        <v>0</v>
      </c>
      <c r="W3" s="3">
        <f>IF(COUNT(W4)=0,"",ABS(W137-W4))</f>
        <v>0</v>
      </c>
      <c r="X3" s="3">
        <f>IF(COUNT(X4)=0,"",ABS(X137-X4))</f>
        <v>0</v>
      </c>
      <c r="Y3" s="3">
        <f>IF(COUNT(Y4)=0,"",ABS(Y137-Y4))</f>
        <v>0</v>
      </c>
      <c r="Z3" s="3">
        <f>IF(COUNT(Z4)=0,"",ABS(Z137-Z4))</f>
        <v>0</v>
      </c>
      <c r="AA3" s="3">
        <f>IF(COUNT(AA4)=0,"",ABS(AA137-AA4))</f>
        <v>0</v>
      </c>
      <c r="AB3" s="3">
        <f>IF(COUNT(AB4)=0,"",ABS(AB137-AB4))</f>
        <v>0</v>
      </c>
      <c r="AC3" s="3">
        <f>IF(COUNT(AC4)=0,"",ABS(AC137-AC4))</f>
        <v>0</v>
      </c>
      <c r="AD3" s="3">
        <f>IF(COUNT(AD4)=0,"",ABS(AD137-AD4))</f>
        <v>0</v>
      </c>
      <c r="AE3" s="3">
        <f>IF(COUNT(AE4)=0,"",ABS(AE137-AE4))</f>
        <v>0</v>
      </c>
      <c r="AF3" s="3">
        <f>IF(COUNT(AF4)=0,"",ABS(AF137-AF4))</f>
        <v>0</v>
      </c>
      <c r="AG3" s="3">
        <f>IF(COUNT(AG4)=0,"",ABS(AG137-AG4))</f>
        <v>0</v>
      </c>
      <c r="AH3" s="3">
        <f>IF(COUNT(AH4)=0,"",ABS(AH137-AH4))</f>
        <v>0</v>
      </c>
      <c r="AI3" s="3">
        <f>IF(COUNT(AI4)=0,"",ABS(AI137-AI4))</f>
        <v>0</v>
      </c>
      <c r="AJ3" s="3" t="str">
        <f>IF(COUNT(AJ4)=0,"",ABS(AJ137-AJ4))</f>
        <v/>
      </c>
      <c r="AK3" s="3" t="str">
        <f>IF(COUNT(AK4)=0,"",ABS(AK137-AK4))</f>
        <v/>
      </c>
      <c r="AL3" s="3" t="str">
        <f>IF(COUNT(AL4)=0,"",ABS(AL137-AL4))</f>
        <v/>
      </c>
      <c r="AM3" s="3" t="str">
        <f>IF(COUNT(AM4)=0,"",ABS(AM137-AM4))</f>
        <v/>
      </c>
      <c r="AN3" s="3" t="str">
        <f>IF(COUNT(AN4)=0,"",ABS(AN137-AN4))</f>
        <v/>
      </c>
      <c r="AO3" s="3" t="str">
        <f>IF(COUNT(AO4)=0,"",ABS(AO137-AO4))</f>
        <v/>
      </c>
      <c r="AP3" s="3" t="str">
        <f>IF(COUNT(AP4)=0,"",ABS(AP137-AP4))</f>
        <v/>
      </c>
      <c r="AQ3" s="3" t="str">
        <f>IF(COUNT(AQ4)=0,"",ABS(AQ137-AQ4))</f>
        <v/>
      </c>
      <c r="AR3" s="3" t="str">
        <f>IF(COUNT(AR4)=0,"",ABS(AR137-AR4))</f>
        <v/>
      </c>
      <c r="AS3" s="3" t="str">
        <f>IF(COUNT(AS4)=0,"",ABS(AS137-AS4))</f>
        <v/>
      </c>
      <c r="AT3" s="3" t="str">
        <f>IF(COUNT(AT4)=0,"",ABS(AT137-AT4))</f>
        <v/>
      </c>
      <c r="AU3" s="3" t="str">
        <f>IF(COUNT(AU4)=0,"",ABS(AU137-AU4))</f>
        <v/>
      </c>
      <c r="AV3" s="3" t="str">
        <f>IF(COUNT(AV4)=0,"",ABS(AV137-AV4))</f>
        <v/>
      </c>
      <c r="AW3" s="3" t="str">
        <f>IF(COUNT(AW4)=0,"",ABS(AW137-AW4))</f>
        <v/>
      </c>
      <c r="AX3" s="3" t="str">
        <f>IF(COUNT(AX4)=0,"",ABS(AX137-AX4))</f>
        <v/>
      </c>
      <c r="AY3" s="3" t="str">
        <f>IF(COUNT(AY4)=0,"",ABS(AY137-AY4))</f>
        <v/>
      </c>
      <c r="AZ3" s="3" t="str">
        <f>IF(COUNT(AZ4)=0,"",ABS(AZ137-AZ4))</f>
        <v/>
      </c>
      <c r="BA3" s="3" t="str">
        <f>IF(COUNT(BA4)=0,"",ABS(BA137-BA4))</f>
        <v/>
      </c>
      <c r="BB3" s="3" t="str">
        <f>IF(COUNT(BB4)=0,"",ABS(BB137-BB4))</f>
        <v/>
      </c>
      <c r="BC3" s="3" t="str">
        <f>IF(COUNT(BC4)=0,"",ABS(BC137-BC4))</f>
        <v/>
      </c>
      <c r="BD3" s="3" t="str">
        <f>IF(COUNT(BD4)=0,"",ABS(BD137-BD4))</f>
        <v/>
      </c>
      <c r="BE3" s="3" t="str">
        <f>IF(COUNT(BE4)=0,"",ABS(BE137-BE4))</f>
        <v/>
      </c>
      <c r="BF3" s="3" t="str">
        <f>IF(COUNT(BF4)=0,"",ABS(BF137-BF4))</f>
        <v/>
      </c>
      <c r="BG3" s="3" t="str">
        <f>IF(COUNT(BG4)=0,"",ABS(BG137-BG4))</f>
        <v/>
      </c>
      <c r="BH3" s="3" t="str">
        <f>IF(COUNT(BH4)=0,"",ABS(BH137-BH4))</f>
        <v/>
      </c>
      <c r="BI3" s="3" t="str">
        <f>IF(COUNT(BI4)=0,"",ABS(BI137-BI4))</f>
        <v/>
      </c>
      <c r="BJ3" s="3" t="str">
        <f>IF(COUNT(BJ4)=0,"",ABS(BJ137-BJ4))</f>
        <v/>
      </c>
      <c r="BK3" s="3" t="str">
        <f>IF(COUNT(BK4)=0,"",ABS(BK137-BK4))</f>
        <v/>
      </c>
      <c r="BL3" s="3" t="str">
        <f>IF(COUNT(BL4)=0,"",ABS(BL137-BL4))</f>
        <v/>
      </c>
      <c r="BM3" s="3" t="str">
        <f>IF(COUNT(BM4)=0,"",ABS(BM137-BM4))</f>
        <v/>
      </c>
      <c r="BN3" s="3" t="str">
        <f>IF(COUNT(BN4)=0,"",ABS(BN137-BN4))</f>
        <v/>
      </c>
      <c r="BO3" s="3" t="str">
        <f>IF(COUNT(BO4)=0,"",ABS(BO137-BO4))</f>
        <v/>
      </c>
      <c r="BP3" s="3" t="str">
        <f>IF(COUNT(BP4)=0,"",ABS(BP137-BP4))</f>
        <v/>
      </c>
      <c r="BQ3" s="3" t="str">
        <f>IF(COUNT(BQ4)=0,"",ABS(BQ137-BQ4))</f>
        <v/>
      </c>
      <c r="BR3" s="3" t="str">
        <f>IF(COUNT(BR4)=0,"",ABS(BR137-BR4))</f>
        <v/>
      </c>
      <c r="BS3" s="3" t="str">
        <f>IF(COUNT(BS4)=0,"",ABS(BS137-BS4))</f>
        <v/>
      </c>
      <c r="BT3" s="3" t="str">
        <f>IF(COUNT(BT4)=0,"",ABS(BT137-BT4))</f>
        <v/>
      </c>
      <c r="BU3" s="3" t="str">
        <f>IF(COUNT(BU4)=0,"",ABS(BU137-BU4))</f>
        <v/>
      </c>
      <c r="BV3" s="3" t="str">
        <f>IF(COUNT(BV4)=0,"",ABS(BV137-BV4))</f>
        <v/>
      </c>
      <c r="BW3" s="3" t="str">
        <f>IF(COUNT(BW4)=0,"",ABS(BW137-BW4))</f>
        <v/>
      </c>
      <c r="BX3" s="3" t="str">
        <f>IF(COUNT(BX4)=0,"",ABS(BX137-BX4))</f>
        <v/>
      </c>
      <c r="BY3" s="3" t="str">
        <f>IF(COUNT(BY4)=0,"",ABS(BY137-BY4))</f>
        <v/>
      </c>
      <c r="BZ3" s="3" t="str">
        <f>IF(COUNT(BZ4)=0,"",ABS(BZ137-BZ4))</f>
        <v/>
      </c>
      <c r="CA3" s="3" t="str">
        <f>IF(COUNT(CA4)=0,"",ABS(CA137-CA4))</f>
        <v/>
      </c>
      <c r="CB3" s="3" t="str">
        <f>IF(COUNT(CB4)=0,"",ABS(CB137-CB4))</f>
        <v/>
      </c>
      <c r="CC3" s="3" t="str">
        <f>IF(COUNT(CC4)=0,"",ABS(CC137-CC4))</f>
        <v/>
      </c>
      <c r="CD3" s="3" t="str">
        <f>IF(COUNT(CD4)=0,"",ABS(CD137-CD4))</f>
        <v/>
      </c>
      <c r="CE3" s="3" t="str">
        <f>IF(COUNT(CE4)=0,"",ABS(CE137-CE4))</f>
        <v/>
      </c>
      <c r="CF3" s="3" t="str">
        <f>IF(COUNT(CF4)=0,"",ABS(CF137-CF4))</f>
        <v/>
      </c>
      <c r="CG3" s="3" t="str">
        <f>IF(COUNT(CG4)=0,"",ABS(CG137-CG4))</f>
        <v/>
      </c>
      <c r="CH3" s="3" t="str">
        <f>IF(COUNT(CH4)=0,"",ABS(CH137-CH4))</f>
        <v/>
      </c>
      <c r="CI3" s="3" t="str">
        <f>IF(COUNT(CI4)=0,"",ABS(CI137-CI4))</f>
        <v/>
      </c>
      <c r="CJ3" s="3" t="str">
        <f>IF(COUNT(CJ4)=0,"",ABS(CJ137-CJ4))</f>
        <v/>
      </c>
      <c r="CK3" s="3" t="str">
        <f>IF(COUNT(CK4)=0,"",ABS(CK137-CK4))</f>
        <v/>
      </c>
      <c r="CL3" s="3" t="str">
        <f>IF(COUNT(CL4)=0,"",ABS(CL137-CL4))</f>
        <v/>
      </c>
      <c r="CM3" s="3" t="str">
        <f>IF(COUNT(CM4)=0,"",ABS(CM137-CM4))</f>
        <v/>
      </c>
      <c r="CN3" s="3" t="str">
        <f>IF(COUNT(CN4)=0,"",ABS(CN137-CN4))</f>
        <v/>
      </c>
      <c r="CO3" s="3" t="str">
        <f>IF(COUNT(CO4)=0,"",ABS(CO137-CO4))</f>
        <v/>
      </c>
      <c r="CP3" s="3" t="str">
        <f>IF(COUNT(CP4)=0,"",ABS(CP137-CP4))</f>
        <v/>
      </c>
      <c r="CQ3" s="3" t="str">
        <f>IF(COUNT(CQ4)=0,"",ABS(CQ137-CQ4))</f>
        <v/>
      </c>
      <c r="CR3" s="3" t="str">
        <f>IF(COUNT(CR4)=0,"",ABS(CR137-CR4))</f>
        <v/>
      </c>
      <c r="CS3" s="3" t="str">
        <f>IF(COUNT(CS4)=0,"",ABS(CS137-CS4))</f>
        <v/>
      </c>
      <c r="CT3" s="3" t="str">
        <f>IF(COUNT(CT4)=0,"",ABS(CT137-CT4))</f>
        <v/>
      </c>
      <c r="CU3" s="3" t="str">
        <f>IF(COUNT(CU4)=0,"",ABS(CU137-CU4))</f>
        <v/>
      </c>
      <c r="CV3" s="3" t="str">
        <f>IF(COUNT(CV4)=0,"",ABS(CV137-CV4))</f>
        <v/>
      </c>
      <c r="CW3" s="3" t="str">
        <f>IF(COUNT(CW4)=0,"",ABS(CW137-CW4))</f>
        <v/>
      </c>
      <c r="CX3" s="3" t="str">
        <f>IF(COUNT(CX4)=0,"",ABS(CX137-CX4))</f>
        <v/>
      </c>
      <c r="CY3" s="3" t="str">
        <f>IF(COUNT(CY4)=0,"",ABS(CY137-CY4))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-10.009</v>
      </c>
      <c r="E4" s="16">
        <f>INDEX('Inputs (2)'!$D$50:$AL$50,MATCH(E$7,'Inputs (2)'!$D$2:$AL$2,0))</f>
        <v>24.361</v>
      </c>
      <c r="F4" s="16">
        <f>INDEX('Inputs (2)'!$D$50:$AL$50,MATCH(F$7,'Inputs (2)'!$D$2:$AL$2,0))</f>
        <v>0.047</v>
      </c>
      <c r="G4" s="16">
        <f>INDEX('Inputs (2)'!$D$50:$AL$50,MATCH(G$7,'Inputs (2)'!$D$2:$AL$2,0))</f>
        <v>-10.854</v>
      </c>
      <c r="H4" s="16">
        <f>IF(COUNT(D4:G4)=4,SUM(D4:G4),"")</f>
        <v>3.545</v>
      </c>
      <c r="I4" s="16">
        <f>INDEX('Inputs (2)'!$D$50:$AL$50,MATCH(I$7,'Inputs (2)'!$D$2:$AL$2,0))</f>
        <v>-46.579</v>
      </c>
      <c r="J4" s="16">
        <f>INDEX('Inputs (2)'!$D$50:$AL$50,MATCH(J$7,'Inputs (2)'!$D$2:$AL$2,0))</f>
        <v>5.411</v>
      </c>
      <c r="K4" s="16">
        <f>INDEX('Inputs (2)'!$D$50:$AL$50,MATCH(K$7,'Inputs (2)'!$D$2:$AL$2,0))</f>
        <v>-2.208</v>
      </c>
      <c r="L4" s="16">
        <f>INDEX('Inputs (2)'!$D$50:$AL$50,MATCH(L$7,'Inputs (2)'!$D$2:$AL$2,0))</f>
        <v>-18.652</v>
      </c>
      <c r="M4" s="16">
        <f>IF(COUNT(I4:L4)=4,SUM(I4:L4),"")</f>
        <v>-62.028</v>
      </c>
      <c r="N4" s="16">
        <f>INDEX('Inputs (2)'!$D$50:$AL$50,MATCH(N$7,'Inputs (2)'!$D$2:$AL$2,0))</f>
        <v>-20.147</v>
      </c>
      <c r="O4" s="16">
        <f>INDEX('Inputs (2)'!$D$50:$AL$50,MATCH(O$7,'Inputs (2)'!$D$2:$AL$2,0))</f>
        <v>-11.97</v>
      </c>
      <c r="P4" s="16">
        <f>INDEX('Inputs (2)'!$D$50:$AL$50,MATCH(P$7,'Inputs (2)'!$D$2:$AL$2,0))</f>
        <v>-31.093</v>
      </c>
      <c r="Q4" s="16">
        <f>INDEX('Inputs (2)'!$D$50:$AL$50,MATCH(Q$7,'Inputs (2)'!$D$2:$AL$2,0))</f>
        <v>-85.796</v>
      </c>
      <c r="R4" s="16">
        <f>IF(COUNT(N4:Q4)=4,SUM(N4:Q4),"")</f>
        <v>-149.006</v>
      </c>
      <c r="S4" s="16">
        <f>INDEX('Inputs (2)'!$D$50:$AL$50,MATCH(S$7,'Inputs (2)'!$D$2:$AL$2,0))</f>
        <v>-45.073</v>
      </c>
      <c r="T4" s="16">
        <f>INDEX('Inputs (2)'!$D$50:$AL$50,MATCH(T$7,'Inputs (2)'!$D$2:$AL$2,0))</f>
        <v>-5.149</v>
      </c>
      <c r="U4" s="16">
        <f>INDEX('Inputs (2)'!$D$50:$AL$50,MATCH(U$7,'Inputs (2)'!$D$2:$AL$2,0))</f>
        <v>1.851</v>
      </c>
      <c r="V4" s="16">
        <f>INDEX('Inputs (2)'!$D$50:$AL$50,MATCH(V$7,'Inputs (2)'!$D$2:$AL$2,0))</f>
        <v>88.486</v>
      </c>
      <c r="W4" s="16">
        <f>IF(COUNT(S4:V4)=4,SUM(S4:V4),"")</f>
        <v>40.115</v>
      </c>
      <c r="X4" s="16">
        <f>INDEX('Inputs (2)'!$D$50:$AL$50,MATCH(X$7,'Inputs (2)'!$D$2:$AL$2,0))</f>
        <v>25.543</v>
      </c>
      <c r="Y4" s="16">
        <f>INDEX('Inputs (2)'!$D$50:$AL$50,MATCH(Y$7,'Inputs (2)'!$D$2:$AL$2,0))</f>
        <v>8.806</v>
      </c>
      <c r="Z4" s="16">
        <f>INDEX('Inputs (2)'!$D$50:$AL$50,MATCH(Z$7,'Inputs (2)'!$D$2:$AL$2,0))</f>
        <v>37.084</v>
      </c>
      <c r="AA4" s="16">
        <f>INDEX('Inputs (2)'!$D$50:$AL$50,MATCH(AA$7,'Inputs (2)'!$D$2:$AL$2,0))</f>
        <v>-10.536</v>
      </c>
      <c r="AB4" s="16">
        <f>IF(COUNT(X4:AA4)=4,SUM(X4:AA4),"")</f>
        <v>60.897</v>
      </c>
      <c r="AC4" s="16">
        <f>INDEX('Inputs (2)'!$D$50:$AL$50,MATCH(AC$7,'Inputs (2)'!$D$2:$AL$2,0))</f>
        <v>-6.322</v>
      </c>
      <c r="AD4" s="16">
        <f>INDEX('Inputs (2)'!$D$50:$AL$50,MATCH(AD$7,'Inputs (2)'!$D$2:$AL$2,0))</f>
        <v>23.846</v>
      </c>
      <c r="AE4" s="16">
        <f>INDEX('Inputs (2)'!$D$50:$AL$50,MATCH(AE$7,'Inputs (2)'!$D$2:$AL$2,0))</f>
        <v>23.288</v>
      </c>
      <c r="AF4" s="16">
        <f>INDEX('Inputs (2)'!$D$50:$AL$50,MATCH(AF$7,'Inputs (2)'!$D$2:$AL$2,0))</f>
        <v>19.33</v>
      </c>
      <c r="AG4" s="16">
        <f>IF(COUNT(AC4:AF4)=4,SUM(AC4:AF4),"")</f>
        <v>60.142</v>
      </c>
      <c r="AH4" s="6">
        <f>INDEX('Inputs (2)'!$D$50:$AL$50,MATCH(AH$7,'Inputs (2)'!$D$2:$AL$2,0))</f>
        <v>18.784</v>
      </c>
      <c r="AI4" s="6">
        <f>INDEX('Inputs (2)'!$D$50:$AL$50,MATCH(AI$7,'Inputs (2)'!$D$2:$AL$2,0))</f>
        <v>-11.147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91.509</v>
      </c>
      <c r="E15" s="15">
        <f>INDEX('Inputs (2)'!$D$4:$AL$4,MATCH(E$7,'Inputs (2)'!$D$2:$AL$2,0))</f>
        <v>99.836</v>
      </c>
      <c r="F15" s="15">
        <f>INDEX('Inputs (2)'!$D$4:$AL$4,MATCH(F$7,'Inputs (2)'!$D$2:$AL$2,0))</f>
        <v>97.605</v>
      </c>
      <c r="G15" s="15">
        <f>INDEX('Inputs (2)'!$D$4:$AL$4,MATCH(G$7,'Inputs (2)'!$D$2:$AL$2,0))</f>
        <v>103.018</v>
      </c>
      <c r="H15" s="16">
        <f>SUM(D15:G15)</f>
        <v>391.968</v>
      </c>
      <c r="I15" s="15">
        <f>INDEX('Inputs (2)'!$D$4:$AL$4,MATCH(I$7,'Inputs (2)'!$D$2:$AL$2,0))</f>
        <v>87.625</v>
      </c>
      <c r="J15" s="15">
        <f>INDEX('Inputs (2)'!$D$4:$AL$4,MATCH(J$7,'Inputs (2)'!$D$2:$AL$2,0))</f>
        <v>92.687</v>
      </c>
      <c r="K15" s="15">
        <f>INDEX('Inputs (2)'!$D$4:$AL$4,MATCH(K$7,'Inputs (2)'!$D$2:$AL$2,0))</f>
        <v>99.841</v>
      </c>
      <c r="L15" s="15">
        <f>INDEX('Inputs (2)'!$D$4:$AL$4,MATCH(L$7,'Inputs (2)'!$D$2:$AL$2,0))</f>
        <v>155.363</v>
      </c>
      <c r="M15" s="16">
        <f>SUM(I15:L15)</f>
        <v>435.516</v>
      </c>
      <c r="N15" s="15">
        <f>INDEX('Inputs (2)'!$D$4:$AL$4,MATCH(N$7,'Inputs (2)'!$D$2:$AL$2,0))</f>
        <v>99.226</v>
      </c>
      <c r="O15" s="15">
        <f>INDEX('Inputs (2)'!$D$4:$AL$4,MATCH(O$7,'Inputs (2)'!$D$2:$AL$2,0))</f>
        <v>150.612</v>
      </c>
      <c r="P15" s="15">
        <f>INDEX('Inputs (2)'!$D$4:$AL$4,MATCH(P$7,'Inputs (2)'!$D$2:$AL$2,0))</f>
        <v>197.177</v>
      </c>
      <c r="Q15" s="15">
        <f>INDEX('Inputs (2)'!$D$4:$AL$4,MATCH(Q$7,'Inputs (2)'!$D$2:$AL$2,0))</f>
        <v>179.209</v>
      </c>
      <c r="R15" s="16">
        <f>SUM(N15:Q15)</f>
        <v>626.224</v>
      </c>
      <c r="S15" s="15">
        <f>INDEX('Inputs (2)'!$D$4:$AL$4,MATCH(S$7,'Inputs (2)'!$D$2:$AL$2,0))</f>
        <v>188.845</v>
      </c>
      <c r="T15" s="15">
        <f>INDEX('Inputs (2)'!$D$4:$AL$4,MATCH(T$7,'Inputs (2)'!$D$2:$AL$2,0))</f>
        <v>196.245</v>
      </c>
      <c r="U15" s="15">
        <f>INDEX('Inputs (2)'!$D$4:$AL$4,MATCH(U$7,'Inputs (2)'!$D$2:$AL$2,0))</f>
        <v>192.599</v>
      </c>
      <c r="V15" s="15">
        <f>INDEX('Inputs (2)'!$D$4:$AL$4,MATCH(V$7,'Inputs (2)'!$D$2:$AL$2,0))</f>
        <v>198.587</v>
      </c>
      <c r="W15" s="16">
        <f>SUM(S15:V15)</f>
        <v>776.276</v>
      </c>
      <c r="X15" s="15">
        <f>INDEX('Inputs (2)'!$D$4:$AL$4,MATCH(X$7,'Inputs (2)'!$D$2:$AL$2,0))</f>
        <v>209.146</v>
      </c>
      <c r="Y15" s="15">
        <f>INDEX('Inputs (2)'!$D$4:$AL$4,MATCH(Y$7,'Inputs (2)'!$D$2:$AL$2,0))</f>
        <v>215.047</v>
      </c>
      <c r="Z15" s="15">
        <f>INDEX('Inputs (2)'!$D$4:$AL$4,MATCH(Z$7,'Inputs (2)'!$D$2:$AL$2,0))</f>
        <v>249.074</v>
      </c>
      <c r="AA15" s="15">
        <f>INDEX('Inputs (2)'!$D$4:$AL$4,MATCH(AA$7,'Inputs (2)'!$D$2:$AL$2,0))</f>
        <v>230.206</v>
      </c>
      <c r="AB15" s="16">
        <f>SUM(X15:AA15)</f>
        <v>903.473</v>
      </c>
      <c r="AC15" s="15">
        <f>INDEX('Inputs (2)'!$D$4:$AL$4,MATCH(AC$7,'Inputs (2)'!$D$2:$AL$2,0))</f>
        <v>240.8</v>
      </c>
      <c r="AD15" s="15">
        <f>INDEX('Inputs (2)'!$D$4:$AL$4,MATCH(AD$7,'Inputs (2)'!$D$2:$AL$2,0))</f>
        <v>264.181</v>
      </c>
      <c r="AE15" s="15">
        <f>INDEX('Inputs (2)'!$D$4:$AL$4,MATCH(AE$7,'Inputs (2)'!$D$2:$AL$2,0))</f>
        <v>281.05</v>
      </c>
      <c r="AF15" s="15">
        <f>INDEX('Inputs (2)'!$D$4:$AL$4,MATCH(AF$7,'Inputs (2)'!$D$2:$AL$2,0))</f>
        <v>264.309</v>
      </c>
      <c r="AG15" s="16">
        <f>SUM(AC15:AF15)</f>
        <v>1050.34</v>
      </c>
      <c r="AH15" s="16">
        <f>INDEX('Inputs (2)'!$D$4:$AL$4,MATCH(AH$7,'Inputs (2)'!$D$2:$AL$2,0))</f>
        <v>331.076</v>
      </c>
      <c r="AI15" s="16">
        <f>INDEX('Inputs (2)'!$D$4:$AL$4,MATCH(AI$7,'Inputs (2)'!$D$2:$AL$2,0))</f>
        <v>622.836</v>
      </c>
      <c r="AJ15" s="16">
        <f>AE15*(1+AJ16)</f>
        <v>281.05</v>
      </c>
      <c r="AK15" s="16">
        <f>AF15*(1+AK16)</f>
        <v>264.309</v>
      </c>
      <c r="AL15" s="16">
        <f>SUM(AH15:AK15)</f>
        <v>1499.271</v>
      </c>
      <c r="AM15" s="16">
        <f>AH15*(1+AM16)</f>
        <v>331.076</v>
      </c>
      <c r="AN15" s="16">
        <f>AI15*(1+AN16)</f>
        <v>622.836</v>
      </c>
      <c r="AO15" s="16">
        <f>AJ15*(1+AO16)</f>
        <v>281.05</v>
      </c>
      <c r="AP15" s="16">
        <f>AK15*(1+AP16)</f>
        <v>264.309</v>
      </c>
      <c r="AQ15" s="16">
        <f>SUM(AM15:AP15)</f>
        <v>1499.271</v>
      </c>
      <c r="AR15" s="16">
        <f>AM15*(1+AR16)</f>
        <v>331.076</v>
      </c>
      <c r="AS15" s="16">
        <f>AN15*(1+AS16)</f>
        <v>622.836</v>
      </c>
      <c r="AT15" s="16">
        <f>AO15*(1+AT16)</f>
        <v>281.05</v>
      </c>
      <c r="AU15" s="16">
        <f>AP15*(1+AU16)</f>
        <v>264.309</v>
      </c>
      <c r="AV15" s="16">
        <f>SUM(AR15:AU15)</f>
        <v>1499.271</v>
      </c>
      <c r="AW15" s="16">
        <f>AR15*(1+AW16)</f>
        <v>331.076</v>
      </c>
      <c r="AX15" s="16">
        <f>AS15*(1+AX16)</f>
        <v>622.836</v>
      </c>
      <c r="AY15" s="16">
        <f>AT15*(1+AY16)</f>
        <v>281.05</v>
      </c>
      <c r="AZ15" s="16">
        <f>AU15*(1+AZ16)</f>
        <v>264.309</v>
      </c>
      <c r="BA15" s="16">
        <f>SUM(AW15:AZ15)</f>
        <v>1499.271</v>
      </c>
      <c r="BB15" s="16">
        <f>AW15*(1+BB16)</f>
        <v>331.076</v>
      </c>
      <c r="BC15" s="16">
        <f>AX15*(1+BC16)</f>
        <v>622.836</v>
      </c>
      <c r="BD15" s="16">
        <f>AY15*(1+BD16)</f>
        <v>281.05</v>
      </c>
      <c r="BE15" s="16">
        <f>AZ15*(1+BE16)</f>
        <v>264.309</v>
      </c>
      <c r="BF15" s="16">
        <f>SUM(BB15:BE15)</f>
        <v>1499.271</v>
      </c>
      <c r="BG15" s="16">
        <f>BB15*(1+BG16)</f>
        <v>331.076</v>
      </c>
      <c r="BH15" s="16">
        <f>BC15*(1+BH16)</f>
        <v>622.836</v>
      </c>
      <c r="BI15" s="16">
        <f>BD15*(1+BI16)</f>
        <v>281.05</v>
      </c>
      <c r="BJ15" s="16">
        <f>BE15*(1+BJ16)</f>
        <v>264.309</v>
      </c>
      <c r="BK15" s="16">
        <f>SUM(BG15:BJ15)</f>
        <v>1499.271</v>
      </c>
      <c r="BL15" s="16">
        <f>BG15*(1+BL16)</f>
        <v>331.076</v>
      </c>
      <c r="BM15" s="16">
        <f>BH15*(1+BM16)</f>
        <v>622.836</v>
      </c>
      <c r="BN15" s="16">
        <f>BI15*(1+BN16)</f>
        <v>281.05</v>
      </c>
      <c r="BO15" s="16">
        <f>BJ15*(1+BO16)</f>
        <v>264.309</v>
      </c>
      <c r="BP15" s="16">
        <f>SUM(BL15:BO15)</f>
        <v>1499.271</v>
      </c>
      <c r="BQ15" s="16">
        <f>BL15*(1+BQ16)</f>
        <v>331.076</v>
      </c>
      <c r="BR15" s="16">
        <f>BM15*(1+BR16)</f>
        <v>622.836</v>
      </c>
      <c r="BS15" s="16">
        <f>BN15*(1+BS16)</f>
        <v>281.05</v>
      </c>
      <c r="BT15" s="16">
        <f>BO15*(1+BT16)</f>
        <v>264.309</v>
      </c>
      <c r="BU15" s="16">
        <f>SUM(BQ15:BT15)</f>
        <v>1499.271</v>
      </c>
      <c r="BV15" s="16">
        <f>BQ15*(1+BV16)</f>
        <v>331.076</v>
      </c>
      <c r="BW15" s="16">
        <f>BR15*(1+BW16)</f>
        <v>622.836</v>
      </c>
      <c r="BX15" s="16">
        <f>BS15*(1+BX16)</f>
        <v>281.05</v>
      </c>
      <c r="BY15" s="16">
        <f>BT15*(1+BY16)</f>
        <v>264.309</v>
      </c>
      <c r="BZ15" s="16">
        <f>SUM(BV15:BY15)</f>
        <v>1499.271</v>
      </c>
      <c r="CA15" s="16">
        <f>BV15*(1+CA16)</f>
        <v>331.076</v>
      </c>
      <c r="CB15" s="16">
        <f>BW15*(1+CB16)</f>
        <v>622.836</v>
      </c>
      <c r="CC15" s="16">
        <f>BX15*(1+CC16)</f>
        <v>281.05</v>
      </c>
      <c r="CD15" s="16">
        <f>BY15*(1+CD16)</f>
        <v>264.309</v>
      </c>
      <c r="CE15" s="16">
        <f>SUM(CA15:CD15)</f>
        <v>1499.271</v>
      </c>
      <c r="CF15" s="16">
        <f>CA15*(1+CF16)</f>
        <v>331.076</v>
      </c>
      <c r="CG15" s="16">
        <f>CB15*(1+CG16)</f>
        <v>622.836</v>
      </c>
      <c r="CH15" s="16">
        <f>CC15*(1+CH16)</f>
        <v>281.05</v>
      </c>
      <c r="CI15" s="16">
        <f>CD15*(1+CI16)</f>
        <v>264.309</v>
      </c>
      <c r="CJ15" s="16">
        <f>SUM(CF15:CI15)</f>
        <v>1499.271</v>
      </c>
      <c r="CK15" s="16">
        <f>CF15*(1+CK16)</f>
        <v>331.076</v>
      </c>
      <c r="CL15" s="16">
        <f>CG15*(1+CL16)</f>
        <v>622.836</v>
      </c>
      <c r="CM15" s="16">
        <f>CH15*(1+CM16)</f>
        <v>281.05</v>
      </c>
      <c r="CN15" s="16">
        <f>CI15*(1+CN16)</f>
        <v>264.309</v>
      </c>
      <c r="CO15" s="16">
        <f>SUM(CK15:CN15)</f>
        <v>1499.271</v>
      </c>
      <c r="CP15" s="16">
        <f>CK15*(1+CP16)</f>
        <v>331.076</v>
      </c>
      <c r="CQ15" s="16">
        <f>CL15*(1+CQ16)</f>
        <v>622.836</v>
      </c>
      <c r="CR15" s="16">
        <f>CM15*(1+CR16)</f>
        <v>281.05</v>
      </c>
      <c r="CS15" s="16">
        <f>CN15*(1+CS16)</f>
        <v>264.309</v>
      </c>
      <c r="CT15" s="16">
        <f>SUM(CP15:CS15)</f>
        <v>1499.271</v>
      </c>
      <c r="CU15" s="16">
        <f>CP15*(1+CU16)</f>
        <v>331.076</v>
      </c>
      <c r="CV15" s="16">
        <f>CQ15*(1+CV16)</f>
        <v>622.836</v>
      </c>
      <c r="CW15" s="16">
        <f>CR15*(1+CW16)</f>
        <v>281.05</v>
      </c>
      <c r="CX15" s="16">
        <f>CS15*(1+CX16)</f>
        <v>264.309</v>
      </c>
      <c r="CY15" s="16">
        <f>SUM(CU15:CX15)</f>
        <v>1499.271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0.132393723252496</v>
      </c>
      <c r="O16" s="47">
        <f>O15/J15-1</f>
        <v>0.62495279812703</v>
      </c>
      <c r="P16" s="47">
        <f>P15/K15-1</f>
        <v>0.974910107070242</v>
      </c>
      <c r="Q16" s="47">
        <f>Q15/L15-1</f>
        <v>0.153485707665274</v>
      </c>
      <c r="R16" s="47">
        <f>R15/M15-1</f>
        <v>0.437889767540113</v>
      </c>
      <c r="S16" s="47">
        <f>S15/N15-1</f>
        <v>0.90318061798319</v>
      </c>
      <c r="T16" s="47">
        <f>T15/O15-1</f>
        <v>0.302983825989961</v>
      </c>
      <c r="U16" s="47">
        <f>U15/P15-1</f>
        <v>-0.0232177180908523</v>
      </c>
      <c r="V16" s="47">
        <f>V15/Q15-1</f>
        <v>0.10813073004146</v>
      </c>
      <c r="W16" s="47">
        <f>W15/R15-1</f>
        <v>0.239613940059787</v>
      </c>
      <c r="X16" s="47">
        <f>X15/S15-1</f>
        <v>0.107500860494056</v>
      </c>
      <c r="Y16" s="47">
        <f>Y15/T15-1</f>
        <v>0.0958088104155519</v>
      </c>
      <c r="Z16" s="47">
        <f>Z15/U15-1</f>
        <v>0.293225821525553</v>
      </c>
      <c r="AA16" s="47">
        <f>AA15/V15-1</f>
        <v>0.15921988851234</v>
      </c>
      <c r="AB16" s="47">
        <f>AB15/W15-1</f>
        <v>0.163855381333443</v>
      </c>
      <c r="AC16" s="47">
        <f>AC15/X15-1</f>
        <v>0.151348818528683</v>
      </c>
      <c r="AD16" s="47">
        <f>AD15/Y15-1</f>
        <v>0.228480285704985</v>
      </c>
      <c r="AE16" s="47">
        <f>AE15/Z15-1</f>
        <v>0.128379517733686</v>
      </c>
      <c r="AF16" s="44">
        <f>AF15/AA15-1</f>
        <v>0.148141230028757</v>
      </c>
      <c r="AG16" s="47">
        <f>AG15/AB15-1</f>
        <v>0.162558261287277</v>
      </c>
      <c r="AH16" s="44">
        <f>AH15/AC15-1</f>
        <v>0.374900332225914</v>
      </c>
      <c r="AI16" s="44">
        <f>AI15/AD15-1</f>
        <v>1.35761088041911</v>
      </c>
      <c r="AJ16" s="44" t="n"/>
      <c r="AK16" s="44" t="n"/>
      <c r="AL16" s="22">
        <f>AL15/AG15-1</f>
        <v>0.427414932307634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dos segmentos, linha 23)</t>
        </is>
      </c>
      <c r="D17" s="15">
        <f>IF(COUNT(D24)=0,"",D24)</f>
        <v>0</v>
      </c>
      <c r="E17" s="15">
        <f>IF(COUNT(E24)=0,"",E24)</f>
        <v>0</v>
      </c>
      <c r="F17" s="15">
        <f>IF(COUNT(F24)=0,"",F24)</f>
        <v>0</v>
      </c>
      <c r="G17" s="15">
        <f>IF(COUNT(G24)=0,"",G24)</f>
        <v>0</v>
      </c>
      <c r="H17" s="16">
        <f>IF(COUNT(H24)=0,"",H24)</f>
        <v>0</v>
      </c>
      <c r="I17" s="15">
        <f>IF(COUNT(I24)=0,"",I24)</f>
        <v>0</v>
      </c>
      <c r="J17" s="15">
        <f>IF(COUNT(J24)=0,"",J24)</f>
        <v>0</v>
      </c>
      <c r="K17" s="15">
        <f>IF(COUNT(K24)=0,"",K24)</f>
        <v>0</v>
      </c>
      <c r="L17" s="15">
        <f>IF(COUNT(L24)=0,"",L24)</f>
        <v>0</v>
      </c>
      <c r="M17" s="16">
        <f>IF(COUNT(M24)=0,"",M24)</f>
        <v>0</v>
      </c>
      <c r="N17" s="15">
        <f>IF(COUNT(N24)=0,"",N24)</f>
        <v>0</v>
      </c>
      <c r="O17" s="15">
        <f>IF(COUNT(O24)=0,"",O24)</f>
        <v>0</v>
      </c>
      <c r="P17" s="15">
        <f>IF(COUNT(P24)=0,"",P24)</f>
        <v>0.001</v>
      </c>
      <c r="Q17" s="15">
        <f>IF(COUNT(Q24)=0,"",Q24)</f>
        <v>0</v>
      </c>
      <c r="R17" s="16">
        <f>IF(COUNT(R24)=0,"",R24)</f>
        <v>0.001</v>
      </c>
      <c r="S17" s="15">
        <f>IF(COUNT(S24)=0,"",S24)</f>
        <v>0</v>
      </c>
      <c r="T17" s="15">
        <f>IF(COUNT(T24)=0,"",T24)</f>
        <v>0</v>
      </c>
      <c r="U17" s="15">
        <f>IF(COUNT(U24)=0,"",U24)</f>
        <v>0</v>
      </c>
      <c r="V17" s="15">
        <f>IF(COUNT(V24)=0,"",V24)</f>
        <v>0</v>
      </c>
      <c r="W17" s="16">
        <f>IF(COUNT(W24)=0,"",W24)</f>
        <v>0</v>
      </c>
      <c r="X17" s="15">
        <f>IF(COUNT(X24)=0,"",X24)</f>
        <v>0</v>
      </c>
      <c r="Y17" s="15">
        <f>IF(COUNT(Y24)=0,"",Y24)</f>
        <v>0</v>
      </c>
      <c r="Z17" s="15">
        <f>IF(COUNT(Z24)=0,"",Z24)</f>
        <v>0.001</v>
      </c>
      <c r="AA17" s="15">
        <f>IF(COUNT(AA24)=0,"",AA24)</f>
        <v>0</v>
      </c>
      <c r="AB17" s="16">
        <f>IF(COUNT(AB24)=0,"",AB24)</f>
        <v>0.001</v>
      </c>
      <c r="AC17" s="15">
        <f>IF(COUNT(AC24)=0,"",AC24)</f>
        <v>0</v>
      </c>
      <c r="AD17" s="15">
        <f>IF(COUNT(AD24)=0,"",AD24)</f>
        <v>-0.001</v>
      </c>
      <c r="AE17" s="15">
        <f>IF(COUNT(AE24)=0,"",AE24)</f>
        <v>0</v>
      </c>
      <c r="AF17" s="15">
        <f>IF(COUNT(AF24)=0,"",AF24)</f>
        <v>0</v>
      </c>
      <c r="AG17" s="16">
        <f>IF(COUNT(AG24)=0,"",AG24)</f>
        <v>-0.001</v>
      </c>
      <c r="AH17" s="16">
        <f>IF(COUNT(AH24)=0,"",AH24)</f>
        <v>0</v>
      </c>
      <c r="AI17" s="16" t="str">
        <f>IF(COUNT(AI24)=0,"",AI24)</f>
        <v/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liquida por segmento - como a Cia divulga (releases; R$ milhoes; formato legado, ate 1T26)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Tratamento e destinacao final</t>
        </is>
      </c>
      <c r="D19" s="266">
        <f>IFERROR(INDEX('Inputs (2)'!$D$53:$AL$53,MATCH(D$7,'Inputs (2)'!$D$2:$AL$2,0)),"")</f>
        <v>58.929</v>
      </c>
      <c r="E19" s="266">
        <f>IFERROR(INDEX('Inputs (2)'!$D$53:$AL$53,MATCH(E$7,'Inputs (2)'!$D$2:$AL$2,0)),"")</f>
        <v>63.853</v>
      </c>
      <c r="F19" s="266">
        <f>IFERROR(INDEX('Inputs (2)'!$D$53:$AL$53,MATCH(F$7,'Inputs (2)'!$D$2:$AL$2,0)),"")</f>
        <v>64.216</v>
      </c>
      <c r="G19" s="266">
        <f>IFERROR(INDEX('Inputs (2)'!$D$53:$AL$53,MATCH(G$7,'Inputs (2)'!$D$2:$AL$2,0)),"")</f>
        <v>60.773</v>
      </c>
      <c r="H19" s="267">
        <f>IF(COUNT(D19:G19)=4,SUM(D19:G19),"")</f>
        <v>247.771</v>
      </c>
      <c r="I19" s="266">
        <f>IFERROR(INDEX('Inputs (2)'!$D$53:$AL$53,MATCH(I$7,'Inputs (2)'!$D$2:$AL$2,0)),"")</f>
        <v>62.245</v>
      </c>
      <c r="J19" s="266">
        <f>IFERROR(INDEX('Inputs (2)'!$D$53:$AL$53,MATCH(J$7,'Inputs (2)'!$D$2:$AL$2,0)),"")</f>
        <v>62.273</v>
      </c>
      <c r="K19" s="266">
        <f>IFERROR(INDEX('Inputs (2)'!$D$53:$AL$53,MATCH(K$7,'Inputs (2)'!$D$2:$AL$2,0)),"")</f>
        <v>63.828</v>
      </c>
      <c r="L19" s="266">
        <f>IFERROR(INDEX('Inputs (2)'!$D$53:$AL$53,MATCH(L$7,'Inputs (2)'!$D$2:$AL$2,0)),"")</f>
        <v>78.351</v>
      </c>
      <c r="M19" s="267">
        <f>IF(COUNT(I19:L19)=4,SUM(I19:L19),"")</f>
        <v>266.697</v>
      </c>
      <c r="N19" s="266">
        <f>IFERROR(INDEX('Inputs (2)'!$D$53:$AL$53,MATCH(N$7,'Inputs (2)'!$D$2:$AL$2,0)),"")</f>
        <v>75.119</v>
      </c>
      <c r="O19" s="266">
        <f>IFERROR(INDEX('Inputs (2)'!$D$53:$AL$53,MATCH(O$7,'Inputs (2)'!$D$2:$AL$2,0)),"")</f>
        <v>121.928</v>
      </c>
      <c r="P19" s="266">
        <f>IFERROR(INDEX('Inputs (2)'!$D$53:$AL$53,MATCH(P$7,'Inputs (2)'!$D$2:$AL$2,0)),"")</f>
        <v>154.009</v>
      </c>
      <c r="Q19" s="266">
        <f>IFERROR(INDEX('Inputs (2)'!$D$53:$AL$53,MATCH(Q$7,'Inputs (2)'!$D$2:$AL$2,0)),"")</f>
        <v>140.74</v>
      </c>
      <c r="R19" s="267">
        <f>IF(COUNT(N19:Q19)=4,SUM(N19:Q19),"")</f>
        <v>491.796</v>
      </c>
      <c r="S19" s="266">
        <f>IFERROR(INDEX('Inputs (2)'!$D$53:$AL$53,MATCH(S$7,'Inputs (2)'!$D$2:$AL$2,0)),"")</f>
        <v>136.507</v>
      </c>
      <c r="T19" s="266">
        <f>IFERROR(INDEX('Inputs (2)'!$D$53:$AL$53,MATCH(T$7,'Inputs (2)'!$D$2:$AL$2,0)),"")</f>
        <v>148.257</v>
      </c>
      <c r="U19" s="266">
        <f>IFERROR(INDEX('Inputs (2)'!$D$53:$AL$53,MATCH(U$7,'Inputs (2)'!$D$2:$AL$2,0)),"")</f>
        <v>145.237</v>
      </c>
      <c r="V19" s="266">
        <f>IFERROR(INDEX('Inputs (2)'!$D$53:$AL$53,MATCH(V$7,'Inputs (2)'!$D$2:$AL$2,0)),"")</f>
        <v>153.02</v>
      </c>
      <c r="W19" s="267">
        <f>IF(COUNT(S19:V19)=4,SUM(S19:V19),"")</f>
        <v>583.021</v>
      </c>
      <c r="X19" s="266">
        <f>IFERROR(INDEX('Inputs (2)'!$D$53:$AL$53,MATCH(X$7,'Inputs (2)'!$D$2:$AL$2,0)),"")</f>
        <v>162.45</v>
      </c>
      <c r="Y19" s="266">
        <f>IFERROR(INDEX('Inputs (2)'!$D$53:$AL$53,MATCH(Y$7,'Inputs (2)'!$D$2:$AL$2,0)),"")</f>
        <v>160.347</v>
      </c>
      <c r="Z19" s="266">
        <f>IFERROR(INDEX('Inputs (2)'!$D$53:$AL$53,MATCH(Z$7,'Inputs (2)'!$D$2:$AL$2,0)),"")</f>
        <v>163.478</v>
      </c>
      <c r="AA19" s="266">
        <f>IFERROR(INDEX('Inputs (2)'!$D$53:$AL$53,MATCH(AA$7,'Inputs (2)'!$D$2:$AL$2,0)),"")</f>
        <v>167.406</v>
      </c>
      <c r="AB19" s="267">
        <f>IF(COUNT(X19:AA19)=4,SUM(X19:AA19),"")</f>
        <v>653.681</v>
      </c>
      <c r="AC19" s="266">
        <f>IFERROR(INDEX('Inputs (2)'!$D$53:$AL$53,MATCH(AC$7,'Inputs (2)'!$D$2:$AL$2,0)),"")</f>
        <v>174.283</v>
      </c>
      <c r="AD19" s="266">
        <f>IFERROR(INDEX('Inputs (2)'!$D$53:$AL$53,MATCH(AD$7,'Inputs (2)'!$D$2:$AL$2,0)),"")</f>
        <v>178.679</v>
      </c>
      <c r="AE19" s="266">
        <f>IFERROR(INDEX('Inputs (2)'!$D$53:$AL$53,MATCH(AE$7,'Inputs (2)'!$D$2:$AL$2,0)),"")</f>
        <v>182.316</v>
      </c>
      <c r="AF19" s="266">
        <f>IFERROR(INDEX('Inputs (2)'!$D$53:$AL$53,MATCH(AF$7,'Inputs (2)'!$D$2:$AL$2,0)),"")</f>
        <v>181.543</v>
      </c>
      <c r="AG19" s="267">
        <f>IF(COUNT(AC19:AF19)=4,SUM(AC19:AF19),"")</f>
        <v>716.821</v>
      </c>
      <c r="AH19" s="267">
        <f>IFERROR(INDEX('Inputs (2)'!$D$53:$AL$53,MATCH(AH$7,'Inputs (2)'!$D$2:$AL$2,0)),"")</f>
        <v>202.995</v>
      </c>
      <c r="AI19" s="267" t="str">
        <f>IFERROR(INDEX('Inputs (2)'!$D$53:$AL$53,MATCH(AI$7,'Inputs (2)'!$D$2:$AL$2,0)),"")</f>
        <v/>
      </c>
    </row>
    <row r="20">
      <c r="C20" s="14" t="inlineStr">
        <is>
          <t xml:space="preserve">   Energia, biogas e credito de carbono</t>
        </is>
      </c>
      <c r="D20" s="266">
        <f>IFERROR(INDEX('Inputs (2)'!$D$54:$AL$54,MATCH(D$7,'Inputs (2)'!$D$2:$AL$2,0)),"")</f>
        <v>11.31</v>
      </c>
      <c r="E20" s="266">
        <f>IFERROR(INDEX('Inputs (2)'!$D$54:$AL$54,MATCH(E$7,'Inputs (2)'!$D$2:$AL$2,0)),"")</f>
        <v>18.03</v>
      </c>
      <c r="F20" s="266">
        <f>IFERROR(INDEX('Inputs (2)'!$D$54:$AL$54,MATCH(F$7,'Inputs (2)'!$D$2:$AL$2,0)),"")</f>
        <v>17.056</v>
      </c>
      <c r="G20" s="266">
        <f>IFERROR(INDEX('Inputs (2)'!$D$54:$AL$54,MATCH(G$7,'Inputs (2)'!$D$2:$AL$2,0)),"")</f>
        <v>24.028</v>
      </c>
      <c r="H20" s="267">
        <f>IF(COUNT(D20:G20)=4,SUM(D20:G20),"")</f>
        <v>70.424</v>
      </c>
      <c r="I20" s="266">
        <f>IFERROR(INDEX('Inputs (2)'!$D$54:$AL$54,MATCH(I$7,'Inputs (2)'!$D$2:$AL$2,0)),"")</f>
        <v>11.233</v>
      </c>
      <c r="J20" s="266">
        <f>IFERROR(INDEX('Inputs (2)'!$D$54:$AL$54,MATCH(J$7,'Inputs (2)'!$D$2:$AL$2,0)),"")</f>
        <v>12.297</v>
      </c>
      <c r="K20" s="266">
        <f>IFERROR(INDEX('Inputs (2)'!$D$54:$AL$54,MATCH(K$7,'Inputs (2)'!$D$2:$AL$2,0)),"")</f>
        <v>19.858</v>
      </c>
      <c r="L20" s="266">
        <f>IFERROR(INDEX('Inputs (2)'!$D$54:$AL$54,MATCH(L$7,'Inputs (2)'!$D$2:$AL$2,0)),"")</f>
        <v>60.088</v>
      </c>
      <c r="M20" s="267">
        <f>IF(COUNT(I20:L20)=4,SUM(I20:L20),"")</f>
        <v>103.476</v>
      </c>
      <c r="N20" s="266">
        <f>IFERROR(INDEX('Inputs (2)'!$D$54:$AL$54,MATCH(N$7,'Inputs (2)'!$D$2:$AL$2,0)),"")</f>
        <v>9.996</v>
      </c>
      <c r="O20" s="266">
        <f>IFERROR(INDEX('Inputs (2)'!$D$54:$AL$54,MATCH(O$7,'Inputs (2)'!$D$2:$AL$2,0)),"")</f>
        <v>10.498</v>
      </c>
      <c r="P20" s="266">
        <f>IFERROR(INDEX('Inputs (2)'!$D$54:$AL$54,MATCH(P$7,'Inputs (2)'!$D$2:$AL$2,0)),"")</f>
        <v>22.127</v>
      </c>
      <c r="Q20" s="266">
        <f>IFERROR(INDEX('Inputs (2)'!$D$54:$AL$54,MATCH(Q$7,'Inputs (2)'!$D$2:$AL$2,0)),"")</f>
        <v>17.087</v>
      </c>
      <c r="R20" s="267">
        <f>IF(COUNT(N20:Q20)=4,SUM(N20:Q20),"")</f>
        <v>59.708</v>
      </c>
      <c r="S20" s="266">
        <f>IFERROR(INDEX('Inputs (2)'!$D$54:$AL$54,MATCH(S$7,'Inputs (2)'!$D$2:$AL$2,0)),"")</f>
        <v>28.881</v>
      </c>
      <c r="T20" s="266">
        <f>IFERROR(INDEX('Inputs (2)'!$D$54:$AL$54,MATCH(T$7,'Inputs (2)'!$D$2:$AL$2,0)),"")</f>
        <v>27.481</v>
      </c>
      <c r="U20" s="266">
        <f>IFERROR(INDEX('Inputs (2)'!$D$54:$AL$54,MATCH(U$7,'Inputs (2)'!$D$2:$AL$2,0)),"")</f>
        <v>30.562</v>
      </c>
      <c r="V20" s="266">
        <f>IFERROR(INDEX('Inputs (2)'!$D$54:$AL$54,MATCH(V$7,'Inputs (2)'!$D$2:$AL$2,0)),"")</f>
        <v>29.824</v>
      </c>
      <c r="W20" s="267">
        <f>IF(COUNT(S20:V20)=4,SUM(S20:V20),"")</f>
        <v>116.748</v>
      </c>
      <c r="X20" s="266">
        <f>IFERROR(INDEX('Inputs (2)'!$D$54:$AL$54,MATCH(X$7,'Inputs (2)'!$D$2:$AL$2,0)),"")</f>
        <v>30.69</v>
      </c>
      <c r="Y20" s="266">
        <f>IFERROR(INDEX('Inputs (2)'!$D$54:$AL$54,MATCH(Y$7,'Inputs (2)'!$D$2:$AL$2,0)),"")</f>
        <v>33.98</v>
      </c>
      <c r="Z20" s="266">
        <f>IFERROR(INDEX('Inputs (2)'!$D$54:$AL$54,MATCH(Z$7,'Inputs (2)'!$D$2:$AL$2,0)),"")</f>
        <v>63.217</v>
      </c>
      <c r="AA20" s="266">
        <f>IFERROR(INDEX('Inputs (2)'!$D$54:$AL$54,MATCH(AA$7,'Inputs (2)'!$D$2:$AL$2,0)),"")</f>
        <v>41.805</v>
      </c>
      <c r="AB20" s="267">
        <f>IF(COUNT(X20:AA20)=4,SUM(X20:AA20),"")</f>
        <v>169.692</v>
      </c>
      <c r="AC20" s="266">
        <f>IFERROR(INDEX('Inputs (2)'!$D$54:$AL$54,MATCH(AC$7,'Inputs (2)'!$D$2:$AL$2,0)),"")</f>
        <v>47.138</v>
      </c>
      <c r="AD20" s="266">
        <f>IFERROR(INDEX('Inputs (2)'!$D$54:$AL$54,MATCH(AD$7,'Inputs (2)'!$D$2:$AL$2,0)),"")</f>
        <v>66.302</v>
      </c>
      <c r="AE20" s="266">
        <f>IFERROR(INDEX('Inputs (2)'!$D$54:$AL$54,MATCH(AE$7,'Inputs (2)'!$D$2:$AL$2,0)),"")</f>
        <v>77.08</v>
      </c>
      <c r="AF20" s="266">
        <f>IFERROR(INDEX('Inputs (2)'!$D$54:$AL$54,MATCH(AF$7,'Inputs (2)'!$D$2:$AL$2,0)),"")</f>
        <v>67.379</v>
      </c>
      <c r="AG20" s="267">
        <f>IF(COUNT(AC20:AF20)=4,SUM(AC20:AF20),"")</f>
        <v>257.899</v>
      </c>
      <c r="AH20" s="267">
        <f>IFERROR(INDEX('Inputs (2)'!$D$54:$AL$54,MATCH(AH$7,'Inputs (2)'!$D$2:$AL$2,0)),"")</f>
        <v>111.014</v>
      </c>
      <c r="AI20" s="267" t="str">
        <f>IFERROR(INDEX('Inputs (2)'!$D$54:$AL$54,MATCH(AI$7,'Inputs (2)'!$D$2:$AL$2,0)),"")</f>
        <v/>
      </c>
    </row>
    <row r="21">
      <c r="C21" s="14" t="inlineStr">
        <is>
          <t xml:space="preserve">   Beneficiamento de residuos / WtE</t>
        </is>
      </c>
      <c r="D21" s="266">
        <f>IFERROR(INDEX('Inputs (2)'!$D$55:$AL$55,MATCH(D$7,'Inputs (2)'!$D$2:$AL$2,0)),"")</f>
        <v>14.195</v>
      </c>
      <c r="E21" s="266">
        <f>IFERROR(INDEX('Inputs (2)'!$D$55:$AL$55,MATCH(E$7,'Inputs (2)'!$D$2:$AL$2,0)),"")</f>
        <v>11.847</v>
      </c>
      <c r="F21" s="266">
        <f>IFERROR(INDEX('Inputs (2)'!$D$55:$AL$55,MATCH(F$7,'Inputs (2)'!$D$2:$AL$2,0)),"")</f>
        <v>12.418</v>
      </c>
      <c r="G21" s="266">
        <f>IFERROR(INDEX('Inputs (2)'!$D$55:$AL$55,MATCH(G$7,'Inputs (2)'!$D$2:$AL$2,0)),"")</f>
        <v>12.494</v>
      </c>
      <c r="H21" s="267">
        <f>IF(COUNT(D21:G21)=4,SUM(D21:G21),"")</f>
        <v>50.954</v>
      </c>
      <c r="I21" s="266">
        <f>IFERROR(INDEX('Inputs (2)'!$D$55:$AL$55,MATCH(I$7,'Inputs (2)'!$D$2:$AL$2,0)),"")</f>
        <v>10.626</v>
      </c>
      <c r="J21" s="266">
        <f>IFERROR(INDEX('Inputs (2)'!$D$55:$AL$55,MATCH(J$7,'Inputs (2)'!$D$2:$AL$2,0)),"")</f>
        <v>12.903</v>
      </c>
      <c r="K21" s="266">
        <f>IFERROR(INDEX('Inputs (2)'!$D$55:$AL$55,MATCH(K$7,'Inputs (2)'!$D$2:$AL$2,0)),"")</f>
        <v>8.793</v>
      </c>
      <c r="L21" s="266">
        <f>IFERROR(INDEX('Inputs (2)'!$D$55:$AL$55,MATCH(L$7,'Inputs (2)'!$D$2:$AL$2,0)),"")</f>
        <v>6.835</v>
      </c>
      <c r="M21" s="267">
        <f>IF(COUNT(I21:L21)=4,SUM(I21:L21),"")</f>
        <v>39.157</v>
      </c>
      <c r="N21" s="266">
        <f>IFERROR(INDEX('Inputs (2)'!$D$55:$AL$55,MATCH(N$7,'Inputs (2)'!$D$2:$AL$2,0)),"")</f>
        <v>3.78</v>
      </c>
      <c r="O21" s="266">
        <f>IFERROR(INDEX('Inputs (2)'!$D$55:$AL$55,MATCH(O$7,'Inputs (2)'!$D$2:$AL$2,0)),"")</f>
        <v>6.677</v>
      </c>
      <c r="P21" s="266">
        <f>IFERROR(INDEX('Inputs (2)'!$D$55:$AL$55,MATCH(P$7,'Inputs (2)'!$D$2:$AL$2,0)),"")</f>
        <v>11.911</v>
      </c>
      <c r="Q21" s="266">
        <f>IFERROR(INDEX('Inputs (2)'!$D$55:$AL$55,MATCH(Q$7,'Inputs (2)'!$D$2:$AL$2,0)),"")</f>
        <v>8.966</v>
      </c>
      <c r="R21" s="267">
        <f>IF(COUNT(N21:Q21)=4,SUM(N21:Q21),"")</f>
        <v>31.334</v>
      </c>
      <c r="S21" s="266">
        <f>IFERROR(INDEX('Inputs (2)'!$D$55:$AL$55,MATCH(S$7,'Inputs (2)'!$D$2:$AL$2,0)),"")</f>
        <v>12.524</v>
      </c>
      <c r="T21" s="266">
        <f>IFERROR(INDEX('Inputs (2)'!$D$55:$AL$55,MATCH(T$7,'Inputs (2)'!$D$2:$AL$2,0)),"")</f>
        <v>13.42</v>
      </c>
      <c r="U21" s="266">
        <f>IFERROR(INDEX('Inputs (2)'!$D$55:$AL$55,MATCH(U$7,'Inputs (2)'!$D$2:$AL$2,0)),"")</f>
        <v>10.484</v>
      </c>
      <c r="V21" s="266">
        <f>IFERROR(INDEX('Inputs (2)'!$D$55:$AL$55,MATCH(V$7,'Inputs (2)'!$D$2:$AL$2,0)),"")</f>
        <v>8.945</v>
      </c>
      <c r="W21" s="267">
        <f>IF(COUNT(S21:V21)=4,SUM(S21:V21),"")</f>
        <v>45.373</v>
      </c>
      <c r="X21" s="266">
        <f>IFERROR(INDEX('Inputs (2)'!$D$55:$AL$55,MATCH(X$7,'Inputs (2)'!$D$2:$AL$2,0)),"")</f>
        <v>10.485</v>
      </c>
      <c r="Y21" s="266">
        <f>IFERROR(INDEX('Inputs (2)'!$D$55:$AL$55,MATCH(Y$7,'Inputs (2)'!$D$2:$AL$2,0)),"")</f>
        <v>13.901</v>
      </c>
      <c r="Z21" s="266">
        <f>IFERROR(INDEX('Inputs (2)'!$D$55:$AL$55,MATCH(Z$7,'Inputs (2)'!$D$2:$AL$2,0)),"")</f>
        <v>16.375</v>
      </c>
      <c r="AA21" s="266">
        <f>IFERROR(INDEX('Inputs (2)'!$D$55:$AL$55,MATCH(AA$7,'Inputs (2)'!$D$2:$AL$2,0)),"")</f>
        <v>16.41</v>
      </c>
      <c r="AB21" s="267">
        <f>IF(COUNT(X21:AA21)=4,SUM(X21:AA21),"")</f>
        <v>57.171</v>
      </c>
      <c r="AC21" s="266">
        <f>IFERROR(INDEX('Inputs (2)'!$D$55:$AL$55,MATCH(AC$7,'Inputs (2)'!$D$2:$AL$2,0)),"")</f>
        <v>17.104</v>
      </c>
      <c r="AD21" s="266">
        <f>IFERROR(INDEX('Inputs (2)'!$D$55:$AL$55,MATCH(AD$7,'Inputs (2)'!$D$2:$AL$2,0)),"")</f>
        <v>16.495</v>
      </c>
      <c r="AE21" s="266">
        <f>IFERROR(INDEX('Inputs (2)'!$D$55:$AL$55,MATCH(AE$7,'Inputs (2)'!$D$2:$AL$2,0)),"")</f>
        <v>17.292</v>
      </c>
      <c r="AF21" s="266">
        <f>IFERROR(INDEX('Inputs (2)'!$D$55:$AL$55,MATCH(AF$7,'Inputs (2)'!$D$2:$AL$2,0)),"")</f>
        <v>11.639</v>
      </c>
      <c r="AG21" s="267">
        <f>IF(COUNT(AC21:AF21)=4,SUM(AC21:AF21),"")</f>
        <v>62.53</v>
      </c>
      <c r="AH21" s="267">
        <f>IFERROR(INDEX('Inputs (2)'!$D$55:$AL$55,MATCH(AH$7,'Inputs (2)'!$D$2:$AL$2,0)),"")</f>
        <v>13.253</v>
      </c>
      <c r="AI21" s="267" t="str">
        <f>IFERROR(INDEX('Inputs (2)'!$D$55:$AL$55,MATCH(AI$7,'Inputs (2)'!$D$2:$AL$2,0)),"")</f>
        <v/>
      </c>
    </row>
    <row r="22">
      <c r="C22" s="14" t="inlineStr">
        <is>
          <t xml:space="preserve">   Engenharia ambiental</t>
        </is>
      </c>
      <c r="D22" s="266">
        <f>IFERROR(INDEX('Inputs (2)'!$D$56:$AL$56,MATCH(D$7,'Inputs (2)'!$D$2:$AL$2,0)),"")</f>
        <v>7.075</v>
      </c>
      <c r="E22" s="266">
        <f>IFERROR(INDEX('Inputs (2)'!$D$56:$AL$56,MATCH(E$7,'Inputs (2)'!$D$2:$AL$2,0)),"")</f>
        <v>6.106</v>
      </c>
      <c r="F22" s="266">
        <f>IFERROR(INDEX('Inputs (2)'!$D$56:$AL$56,MATCH(F$7,'Inputs (2)'!$D$2:$AL$2,0)),"")</f>
        <v>3.915</v>
      </c>
      <c r="G22" s="266">
        <f>IFERROR(INDEX('Inputs (2)'!$D$56:$AL$56,MATCH(G$7,'Inputs (2)'!$D$2:$AL$2,0)),"")</f>
        <v>5.723</v>
      </c>
      <c r="H22" s="267">
        <f>IF(COUNT(D22:G22)=4,SUM(D22:G22),"")</f>
        <v>22.819</v>
      </c>
      <c r="I22" s="266">
        <f>IFERROR(INDEX('Inputs (2)'!$D$56:$AL$56,MATCH(I$7,'Inputs (2)'!$D$2:$AL$2,0)),"")</f>
        <v>3.521</v>
      </c>
      <c r="J22" s="266">
        <f>IFERROR(INDEX('Inputs (2)'!$D$56:$AL$56,MATCH(J$7,'Inputs (2)'!$D$2:$AL$2,0)),"")</f>
        <v>5.214</v>
      </c>
      <c r="K22" s="266">
        <f>IFERROR(INDEX('Inputs (2)'!$D$56:$AL$56,MATCH(K$7,'Inputs (2)'!$D$2:$AL$2,0)),"")</f>
        <v>7.362</v>
      </c>
      <c r="L22" s="266">
        <f>IFERROR(INDEX('Inputs (2)'!$D$56:$AL$56,MATCH(L$7,'Inputs (2)'!$D$2:$AL$2,0)),"")</f>
        <v>10.089</v>
      </c>
      <c r="M22" s="267">
        <f>IF(COUNT(I22:L22)=4,SUM(I22:L22),"")</f>
        <v>26.186</v>
      </c>
      <c r="N22" s="266">
        <f>IFERROR(INDEX('Inputs (2)'!$D$56:$AL$56,MATCH(N$7,'Inputs (2)'!$D$2:$AL$2,0)),"")</f>
        <v>10.331</v>
      </c>
      <c r="O22" s="266">
        <f>IFERROR(INDEX('Inputs (2)'!$D$56:$AL$56,MATCH(O$7,'Inputs (2)'!$D$2:$AL$2,0)),"")</f>
        <v>11.509</v>
      </c>
      <c r="P22" s="266">
        <f>IFERROR(INDEX('Inputs (2)'!$D$56:$AL$56,MATCH(P$7,'Inputs (2)'!$D$2:$AL$2,0)),"")</f>
        <v>9.129</v>
      </c>
      <c r="Q22" s="266">
        <f>IFERROR(INDEX('Inputs (2)'!$D$56:$AL$56,MATCH(Q$7,'Inputs (2)'!$D$2:$AL$2,0)),"")</f>
        <v>12.416</v>
      </c>
      <c r="R22" s="267">
        <f>IF(COUNT(N22:Q22)=4,SUM(N22:Q22),"")</f>
        <v>43.385</v>
      </c>
      <c r="S22" s="266">
        <f>IFERROR(INDEX('Inputs (2)'!$D$56:$AL$56,MATCH(S$7,'Inputs (2)'!$D$2:$AL$2,0)),"")</f>
        <v>10.933</v>
      </c>
      <c r="T22" s="266">
        <f>IFERROR(INDEX('Inputs (2)'!$D$56:$AL$56,MATCH(T$7,'Inputs (2)'!$D$2:$AL$2,0)),"")</f>
        <v>7.087</v>
      </c>
      <c r="U22" s="266">
        <f>IFERROR(INDEX('Inputs (2)'!$D$56:$AL$56,MATCH(U$7,'Inputs (2)'!$D$2:$AL$2,0)),"")</f>
        <v>6.316</v>
      </c>
      <c r="V22" s="266">
        <f>IFERROR(INDEX('Inputs (2)'!$D$56:$AL$56,MATCH(V$7,'Inputs (2)'!$D$2:$AL$2,0)),"")</f>
        <v>6.798</v>
      </c>
      <c r="W22" s="267">
        <f>IF(COUNT(S22:V22)=4,SUM(S22:V22),"")</f>
        <v>31.134</v>
      </c>
      <c r="X22" s="266">
        <f>IFERROR(INDEX('Inputs (2)'!$D$56:$AL$56,MATCH(X$7,'Inputs (2)'!$D$2:$AL$2,0)),"")</f>
        <v>5.521</v>
      </c>
      <c r="Y22" s="266">
        <f>IFERROR(INDEX('Inputs (2)'!$D$56:$AL$56,MATCH(Y$7,'Inputs (2)'!$D$2:$AL$2,0)),"")</f>
        <v>6.819</v>
      </c>
      <c r="Z22" s="266">
        <f>IFERROR(INDEX('Inputs (2)'!$D$56:$AL$56,MATCH(Z$7,'Inputs (2)'!$D$2:$AL$2,0)),"")</f>
        <v>6.003</v>
      </c>
      <c r="AA22" s="266">
        <f>IFERROR(INDEX('Inputs (2)'!$D$56:$AL$56,MATCH(AA$7,'Inputs (2)'!$D$2:$AL$2,0)),"")</f>
        <v>4.585</v>
      </c>
      <c r="AB22" s="267">
        <f>IF(COUNT(X22:AA22)=4,SUM(X22:AA22),"")</f>
        <v>22.928</v>
      </c>
      <c r="AC22" s="266">
        <f>IFERROR(INDEX('Inputs (2)'!$D$56:$AL$56,MATCH(AC$7,'Inputs (2)'!$D$2:$AL$2,0)),"")</f>
        <v>2.275</v>
      </c>
      <c r="AD22" s="266">
        <f>IFERROR(INDEX('Inputs (2)'!$D$56:$AL$56,MATCH(AD$7,'Inputs (2)'!$D$2:$AL$2,0)),"")</f>
        <v>2.706</v>
      </c>
      <c r="AE22" s="266">
        <f>IFERROR(INDEX('Inputs (2)'!$D$56:$AL$56,MATCH(AE$7,'Inputs (2)'!$D$2:$AL$2,0)),"")</f>
        <v>4.362</v>
      </c>
      <c r="AF22" s="266">
        <f>IFERROR(INDEX('Inputs (2)'!$D$56:$AL$56,MATCH(AF$7,'Inputs (2)'!$D$2:$AL$2,0)),"")</f>
        <v>3.748</v>
      </c>
      <c r="AG22" s="267">
        <f>IF(COUNT(AC22:AF22)=4,SUM(AC22:AF22),"")</f>
        <v>13.091</v>
      </c>
      <c r="AH22" s="267">
        <f>IFERROR(INDEX('Inputs (2)'!$D$56:$AL$56,MATCH(AH$7,'Inputs (2)'!$D$2:$AL$2,0)),"")</f>
        <v>3.814</v>
      </c>
      <c r="AI22" s="267" t="str">
        <f>IFERROR(INDEX('Inputs (2)'!$D$56:$AL$56,MATCH(AI$7,'Inputs (2)'!$D$2:$AL$2,0)),"")</f>
        <v/>
      </c>
    </row>
    <row r="23">
      <c r="C23" s="268" t="inlineStr">
        <is>
          <t>Receita liquida (soma dos segmentos)</t>
        </is>
      </c>
      <c r="D23" s="266">
        <f>IF(COUNT(D19:D22)&lt;4,"",SUM(D19:D22))</f>
        <v>91.509</v>
      </c>
      <c r="E23" s="266">
        <f>IF(COUNT(E19:E22)&lt;4,"",SUM(E19:E22))</f>
        <v>99.836</v>
      </c>
      <c r="F23" s="266">
        <f>IF(COUNT(F19:F22)&lt;4,"",SUM(F19:F22))</f>
        <v>97.605</v>
      </c>
      <c r="G23" s="266">
        <f>IF(COUNT(G19:G22)&lt;4,"",SUM(G19:G22))</f>
        <v>103.018</v>
      </c>
      <c r="H23" s="267">
        <f>IF(COUNT(H19:H22)&lt;4,"",SUM(H19:H22))</f>
        <v>391.968</v>
      </c>
      <c r="I23" s="266">
        <f>IF(COUNT(I19:I22)&lt;4,"",SUM(I19:I22))</f>
        <v>87.625</v>
      </c>
      <c r="J23" s="266">
        <f>IF(COUNT(J19:J22)&lt;4,"",SUM(J19:J22))</f>
        <v>92.687</v>
      </c>
      <c r="K23" s="266">
        <f>IF(COUNT(K19:K22)&lt;4,"",SUM(K19:K22))</f>
        <v>99.841</v>
      </c>
      <c r="L23" s="266">
        <f>IF(COUNT(L19:L22)&lt;4,"",SUM(L19:L22))</f>
        <v>155.363</v>
      </c>
      <c r="M23" s="267">
        <f>IF(COUNT(M19:M22)&lt;4,"",SUM(M19:M22))</f>
        <v>435.516</v>
      </c>
      <c r="N23" s="266">
        <f>IF(COUNT(N19:N22)&lt;4,"",SUM(N19:N22))</f>
        <v>99.226</v>
      </c>
      <c r="O23" s="266">
        <f>IF(COUNT(O19:O22)&lt;4,"",SUM(O19:O22))</f>
        <v>150.612</v>
      </c>
      <c r="P23" s="266">
        <f>IF(COUNT(P19:P22)&lt;4,"",SUM(P19:P22))</f>
        <v>197.176</v>
      </c>
      <c r="Q23" s="266">
        <f>IF(COUNT(Q19:Q22)&lt;4,"",SUM(Q19:Q22))</f>
        <v>179.209</v>
      </c>
      <c r="R23" s="267">
        <f>IF(COUNT(R19:R22)&lt;4,"",SUM(R19:R22))</f>
        <v>626.223</v>
      </c>
      <c r="S23" s="266">
        <f>IF(COUNT(S19:S22)&lt;4,"",SUM(S19:S22))</f>
        <v>188.845</v>
      </c>
      <c r="T23" s="266">
        <f>IF(COUNT(T19:T22)&lt;4,"",SUM(T19:T22))</f>
        <v>196.245</v>
      </c>
      <c r="U23" s="266">
        <f>IF(COUNT(U19:U22)&lt;4,"",SUM(U19:U22))</f>
        <v>192.599</v>
      </c>
      <c r="V23" s="266">
        <f>IF(COUNT(V19:V22)&lt;4,"",SUM(V19:V22))</f>
        <v>198.587</v>
      </c>
      <c r="W23" s="267">
        <f>IF(COUNT(W19:W22)&lt;4,"",SUM(W19:W22))</f>
        <v>776.276</v>
      </c>
      <c r="X23" s="266">
        <f>IF(COUNT(X19:X22)&lt;4,"",SUM(X19:X22))</f>
        <v>209.146</v>
      </c>
      <c r="Y23" s="266">
        <f>IF(COUNT(Y19:Y22)&lt;4,"",SUM(Y19:Y22))</f>
        <v>215.047</v>
      </c>
      <c r="Z23" s="266">
        <f>IF(COUNT(Z19:Z22)&lt;4,"",SUM(Z19:Z22))</f>
        <v>249.073</v>
      </c>
      <c r="AA23" s="266">
        <f>IF(COUNT(AA19:AA22)&lt;4,"",SUM(AA19:AA22))</f>
        <v>230.206</v>
      </c>
      <c r="AB23" s="267">
        <f>IF(COUNT(AB19:AB22)&lt;4,"",SUM(AB19:AB22))</f>
        <v>903.472</v>
      </c>
      <c r="AC23" s="266">
        <f>IF(COUNT(AC19:AC22)&lt;4,"",SUM(AC19:AC22))</f>
        <v>240.8</v>
      </c>
      <c r="AD23" s="266">
        <f>IF(COUNT(AD19:AD22)&lt;4,"",SUM(AD19:AD22))</f>
        <v>264.182</v>
      </c>
      <c r="AE23" s="266">
        <f>IF(COUNT(AE19:AE22)&lt;4,"",SUM(AE19:AE22))</f>
        <v>281.05</v>
      </c>
      <c r="AF23" s="266">
        <f>IF(COUNT(AF19:AF22)&lt;4,"",SUM(AF19:AF22))</f>
        <v>264.309</v>
      </c>
      <c r="AG23" s="267">
        <f>IF(COUNT(AG19:AG22)&lt;4,"",SUM(AG19:AG22))</f>
        <v>1050.341</v>
      </c>
      <c r="AH23" s="267">
        <f>IF(COUNT(AH19:AH22)&lt;4,"",SUM(AH19:AH22))</f>
        <v>331.076</v>
      </c>
      <c r="AI23" s="267" t="str">
        <f>IF(COUNT(AI19:AI22)&lt;4,"",SUM(AI19:AI22))</f>
        <v/>
      </c>
    </row>
    <row r="24">
      <c r="C24" s="14" t="inlineStr">
        <is>
          <t>Check vs Net Revenues (linha 15; diferencas de R$ 1 mil = arredondamento)</t>
        </is>
      </c>
      <c r="D24" s="266">
        <f>IF(COUNT(D23)=0,"",ROUND(D15-D23,3))</f>
        <v>0</v>
      </c>
      <c r="E24" s="266">
        <f>IF(COUNT(E23)=0,"",ROUND(E15-E23,3))</f>
        <v>0</v>
      </c>
      <c r="F24" s="266">
        <f>IF(COUNT(F23)=0,"",ROUND(F15-F23,3))</f>
        <v>0</v>
      </c>
      <c r="G24" s="266">
        <f>IF(COUNT(G23)=0,"",ROUND(G15-G23,3))</f>
        <v>0</v>
      </c>
      <c r="H24" s="267">
        <f>IF(COUNT(H23)=0,"",ROUND(H15-H23,3))</f>
        <v>0</v>
      </c>
      <c r="I24" s="266">
        <f>IF(COUNT(I23)=0,"",ROUND(I15-I23,3))</f>
        <v>0</v>
      </c>
      <c r="J24" s="266">
        <f>IF(COUNT(J23)=0,"",ROUND(J15-J23,3))</f>
        <v>0</v>
      </c>
      <c r="K24" s="266">
        <f>IF(COUNT(K23)=0,"",ROUND(K15-K23,3))</f>
        <v>0</v>
      </c>
      <c r="L24" s="266">
        <f>IF(COUNT(L23)=0,"",ROUND(L15-L23,3))</f>
        <v>0</v>
      </c>
      <c r="M24" s="267">
        <f>IF(COUNT(M23)=0,"",ROUND(M15-M23,3))</f>
        <v>0</v>
      </c>
      <c r="N24" s="266">
        <f>IF(COUNT(N23)=0,"",ROUND(N15-N23,3))</f>
        <v>0</v>
      </c>
      <c r="O24" s="266">
        <f>IF(COUNT(O23)=0,"",ROUND(O15-O23,3))</f>
        <v>0</v>
      </c>
      <c r="P24" s="266">
        <f>IF(COUNT(P23)=0,"",ROUND(P15-P23,3))</f>
        <v>0.001</v>
      </c>
      <c r="Q24" s="266">
        <f>IF(COUNT(Q23)=0,"",ROUND(Q15-Q23,3))</f>
        <v>0</v>
      </c>
      <c r="R24" s="267">
        <f>IF(COUNT(R23)=0,"",ROUND(R15-R23,3))</f>
        <v>0.001</v>
      </c>
      <c r="S24" s="266">
        <f>IF(COUNT(S23)=0,"",ROUND(S15-S23,3))</f>
        <v>0</v>
      </c>
      <c r="T24" s="266">
        <f>IF(COUNT(T23)=0,"",ROUND(T15-T23,3))</f>
        <v>0</v>
      </c>
      <c r="U24" s="266">
        <f>IF(COUNT(U23)=0,"",ROUND(U15-U23,3))</f>
        <v>0</v>
      </c>
      <c r="V24" s="266">
        <f>IF(COUNT(V23)=0,"",ROUND(V15-V23,3))</f>
        <v>0</v>
      </c>
      <c r="W24" s="267">
        <f>IF(COUNT(W23)=0,"",ROUND(W15-W23,3))</f>
        <v>0</v>
      </c>
      <c r="X24" s="266">
        <f>IF(COUNT(X23)=0,"",ROUND(X15-X23,3))</f>
        <v>0</v>
      </c>
      <c r="Y24" s="266">
        <f>IF(COUNT(Y23)=0,"",ROUND(Y15-Y23,3))</f>
        <v>0</v>
      </c>
      <c r="Z24" s="266">
        <f>IF(COUNT(Z23)=0,"",ROUND(Z15-Z23,3))</f>
        <v>0.001</v>
      </c>
      <c r="AA24" s="266">
        <f>IF(COUNT(AA23)=0,"",ROUND(AA15-AA23,3))</f>
        <v>0</v>
      </c>
      <c r="AB24" s="267">
        <f>IF(COUNT(AB23)=0,"",ROUND(AB15-AB23,3))</f>
        <v>0.001</v>
      </c>
      <c r="AC24" s="266">
        <f>IF(COUNT(AC23)=0,"",ROUND(AC15-AC23,3))</f>
        <v>0</v>
      </c>
      <c r="AD24" s="266">
        <f>IF(COUNT(AD23)=0,"",ROUND(AD15-AD23,3))</f>
        <v>-0.001</v>
      </c>
      <c r="AE24" s="266">
        <f>IF(COUNT(AE23)=0,"",ROUND(AE15-AE23,3))</f>
        <v>0</v>
      </c>
      <c r="AF24" s="266">
        <f>IF(COUNT(AF23)=0,"",ROUND(AF15-AF23,3))</f>
        <v>0</v>
      </c>
      <c r="AG24" s="267">
        <f>IF(COUNT(AG23)=0,"",ROUND(AG15-AG23,3))</f>
        <v>-0.001</v>
      </c>
      <c r="AH24" s="267">
        <f>IF(COUNT(AH23)=0,"",ROUND(AH15-AH23,3))</f>
        <v>0</v>
      </c>
      <c r="AI24" s="267" t="str">
        <f>IF(COUNT(AI23)=0,"",ROUND(AI15-AI23,3))</f>
        <v/>
      </c>
    </row>
    <row r="25">
      <c r="C25" s="14" t="inlineStr">
        <is>
          <t xml:space="preserve">   dos quais: creditos de carbono (dentro de Energia)</t>
        </is>
      </c>
      <c r="D25" s="266">
        <f>IFERROR(INDEX('Inputs (2)'!$D$57:$AL$57,MATCH(D$7,'Inputs (2)'!$D$2:$AL$2,0)),"")</f>
        <v>1.4</v>
      </c>
      <c r="E25" s="266">
        <f>IFERROR(INDEX('Inputs (2)'!$D$57:$AL$57,MATCH(E$7,'Inputs (2)'!$D$2:$AL$2,0)),"")</f>
        <v>8.725</v>
      </c>
      <c r="F25" s="266">
        <f>IFERROR(INDEX('Inputs (2)'!$D$57:$AL$57,MATCH(F$7,'Inputs (2)'!$D$2:$AL$2,0)),"")</f>
        <v>8.443</v>
      </c>
      <c r="G25" s="266" t="str">
        <f>IFERROR(INDEX('Inputs (2)'!$D$57:$AL$57,MATCH(G$7,'Inputs (2)'!$D$2:$AL$2,0)),"")</f>
        <v/>
      </c>
      <c r="H25" s="267" t="str">
        <f>IF(COUNT(D25:G25)=4,SUM(D25:G25),"")</f>
        <v/>
      </c>
      <c r="I25" s="266">
        <f>IFERROR(INDEX('Inputs (2)'!$D$57:$AL$57,MATCH(I$7,'Inputs (2)'!$D$2:$AL$2,0)),"")</f>
        <v>0</v>
      </c>
      <c r="J25" s="266">
        <f>IFERROR(INDEX('Inputs (2)'!$D$57:$AL$57,MATCH(J$7,'Inputs (2)'!$D$2:$AL$2,0)),"")</f>
        <v>0</v>
      </c>
      <c r="K25" s="266">
        <f>IFERROR(INDEX('Inputs (2)'!$D$57:$AL$57,MATCH(K$7,'Inputs (2)'!$D$2:$AL$2,0)),"")</f>
        <v>1.687</v>
      </c>
      <c r="L25" s="266">
        <f>IFERROR(INDEX('Inputs (2)'!$D$57:$AL$57,MATCH(L$7,'Inputs (2)'!$D$2:$AL$2,0)),"")</f>
        <v>42.103</v>
      </c>
      <c r="M25" s="267">
        <f>IF(COUNT(I25:L25)=4,SUM(I25:L25),"")</f>
        <v>43.79</v>
      </c>
      <c r="N25" s="266">
        <f>IFERROR(INDEX('Inputs (2)'!$D$57:$AL$57,MATCH(N$7,'Inputs (2)'!$D$2:$AL$2,0)),"")</f>
        <v>0</v>
      </c>
      <c r="O25" s="266">
        <f>IFERROR(INDEX('Inputs (2)'!$D$57:$AL$57,MATCH(O$7,'Inputs (2)'!$D$2:$AL$2,0)),"")</f>
        <v>0</v>
      </c>
      <c r="P25" s="266">
        <f>IFERROR(INDEX('Inputs (2)'!$D$57:$AL$57,MATCH(P$7,'Inputs (2)'!$D$2:$AL$2,0)),"")</f>
        <v>0</v>
      </c>
      <c r="Q25" s="266">
        <f>IFERROR(INDEX('Inputs (2)'!$D$57:$AL$57,MATCH(Q$7,'Inputs (2)'!$D$2:$AL$2,0)),"")</f>
        <v>0</v>
      </c>
      <c r="R25" s="267">
        <f>IF(COUNT(N25:Q25)=4,SUM(N25:Q25),"")</f>
        <v>0</v>
      </c>
      <c r="S25" s="266">
        <f>IFERROR(INDEX('Inputs (2)'!$D$57:$AL$57,MATCH(S$7,'Inputs (2)'!$D$2:$AL$2,0)),"")</f>
        <v>0</v>
      </c>
      <c r="T25" s="266">
        <f>IFERROR(INDEX('Inputs (2)'!$D$57:$AL$57,MATCH(T$7,'Inputs (2)'!$D$2:$AL$2,0)),"")</f>
        <v>0</v>
      </c>
      <c r="U25" s="266">
        <f>IFERROR(INDEX('Inputs (2)'!$D$57:$AL$57,MATCH(U$7,'Inputs (2)'!$D$2:$AL$2,0)),"")</f>
        <v>0</v>
      </c>
      <c r="V25" s="266">
        <f>IFERROR(INDEX('Inputs (2)'!$D$57:$AL$57,MATCH(V$7,'Inputs (2)'!$D$2:$AL$2,0)),"")</f>
        <v>0</v>
      </c>
      <c r="W25" s="267">
        <f>IF(COUNT(S25:V25)=4,SUM(S25:V25),"")</f>
        <v>0</v>
      </c>
      <c r="X25" s="266" t="str">
        <f>IFERROR(INDEX('Inputs (2)'!$D$57:$AL$57,MATCH(X$7,'Inputs (2)'!$D$2:$AL$2,0)),"")</f>
        <v/>
      </c>
      <c r="Y25" s="266">
        <f>IFERROR(INDEX('Inputs (2)'!$D$57:$AL$57,MATCH(Y$7,'Inputs (2)'!$D$2:$AL$2,0)),"")</f>
        <v>0</v>
      </c>
      <c r="Z25" s="266">
        <f>IFERROR(INDEX('Inputs (2)'!$D$57:$AL$57,MATCH(Z$7,'Inputs (2)'!$D$2:$AL$2,0)),"")</f>
        <v>37.4</v>
      </c>
      <c r="AA25" s="266">
        <f>IFERROR(INDEX('Inputs (2)'!$D$57:$AL$57,MATCH(AA$7,'Inputs (2)'!$D$2:$AL$2,0)),"")</f>
        <v>0</v>
      </c>
      <c r="AB25" s="267" t="str">
        <f>IF(COUNT(X25:AA25)=4,SUM(X25:AA25),"")</f>
        <v/>
      </c>
      <c r="AC25" s="266">
        <f>IFERROR(INDEX('Inputs (2)'!$D$57:$AL$57,MATCH(AC$7,'Inputs (2)'!$D$2:$AL$2,0)),"")</f>
        <v>0</v>
      </c>
      <c r="AD25" s="266">
        <f>IFERROR(INDEX('Inputs (2)'!$D$57:$AL$57,MATCH(AD$7,'Inputs (2)'!$D$2:$AL$2,0)),"")</f>
        <v>5</v>
      </c>
      <c r="AE25" s="266">
        <f>IFERROR(INDEX('Inputs (2)'!$D$57:$AL$57,MATCH(AE$7,'Inputs (2)'!$D$2:$AL$2,0)),"")</f>
        <v>14</v>
      </c>
      <c r="AF25" s="266">
        <f>IFERROR(INDEX('Inputs (2)'!$D$57:$AL$57,MATCH(AF$7,'Inputs (2)'!$D$2:$AL$2,0)),"")</f>
        <v>16.5</v>
      </c>
      <c r="AG25" s="267">
        <f>IF(COUNT(AC25:AF25)=4,SUM(AC25:AF25),"")</f>
        <v>35.5</v>
      </c>
      <c r="AH25" s="267">
        <f>IFERROR(INDEX('Inputs (2)'!$D$57:$AL$57,MATCH(AH$7,'Inputs (2)'!$D$2:$AL$2,0)),"")</f>
        <v>11.5</v>
      </c>
      <c r="AI25" s="267">
        <f>IFERROR(INDEX('Inputs (2)'!$D$57:$AL$57,MATCH(AI$7,'Inputs (2)'!$D$2:$AL$2,0)),"")</f>
        <v>9.2</v>
      </c>
    </row>
    <row r="26">
      <c r="C26" s="14" t="inlineStr">
        <is>
          <t xml:space="preserve">   Energia e biogas ex-creditos de carbono</t>
        </is>
      </c>
      <c r="D26" s="266">
        <f>IF(COUNT(D20,D25)&lt;2,"",D20-D25)</f>
        <v>9.91</v>
      </c>
      <c r="E26" s="266">
        <f>IF(COUNT(E20,E25)&lt;2,"",E20-E25)</f>
        <v>9.305</v>
      </c>
      <c r="F26" s="266">
        <f>IF(COUNT(F20,F25)&lt;2,"",F20-F25)</f>
        <v>8.613</v>
      </c>
      <c r="G26" s="266" t="str">
        <f>IF(COUNT(G20,G25)&lt;2,"",G20-G25)</f>
        <v/>
      </c>
      <c r="H26" s="267" t="str">
        <f>IF(COUNT(H20,H25)&lt;2,"",H20-H25)</f>
        <v/>
      </c>
      <c r="I26" s="266">
        <f>IF(COUNT(I20,I25)&lt;2,"",I20-I25)</f>
        <v>11.233</v>
      </c>
      <c r="J26" s="266">
        <f>IF(COUNT(J20,J25)&lt;2,"",J20-J25)</f>
        <v>12.297</v>
      </c>
      <c r="K26" s="266">
        <f>IF(COUNT(K20,K25)&lt;2,"",K20-K25)</f>
        <v>18.171</v>
      </c>
      <c r="L26" s="266">
        <f>IF(COUNT(L20,L25)&lt;2,"",L20-L25)</f>
        <v>17.985</v>
      </c>
      <c r="M26" s="267">
        <f>IF(COUNT(M20,M25)&lt;2,"",M20-M25)</f>
        <v>59.686</v>
      </c>
      <c r="N26" s="266">
        <f>IF(COUNT(N20,N25)&lt;2,"",N20-N25)</f>
        <v>9.996</v>
      </c>
      <c r="O26" s="266">
        <f>IF(COUNT(O20,O25)&lt;2,"",O20-O25)</f>
        <v>10.498</v>
      </c>
      <c r="P26" s="266">
        <f>IF(COUNT(P20,P25)&lt;2,"",P20-P25)</f>
        <v>22.127</v>
      </c>
      <c r="Q26" s="266">
        <f>IF(COUNT(Q20,Q25)&lt;2,"",Q20-Q25)</f>
        <v>17.087</v>
      </c>
      <c r="R26" s="267">
        <f>IF(COUNT(R20,R25)&lt;2,"",R20-R25)</f>
        <v>59.708</v>
      </c>
      <c r="S26" s="266">
        <f>IF(COUNT(S20,S25)&lt;2,"",S20-S25)</f>
        <v>28.881</v>
      </c>
      <c r="T26" s="266">
        <f>IF(COUNT(T20,T25)&lt;2,"",T20-T25)</f>
        <v>27.481</v>
      </c>
      <c r="U26" s="266">
        <f>IF(COUNT(U20,U25)&lt;2,"",U20-U25)</f>
        <v>30.562</v>
      </c>
      <c r="V26" s="266">
        <f>IF(COUNT(V20,V25)&lt;2,"",V20-V25)</f>
        <v>29.824</v>
      </c>
      <c r="W26" s="267">
        <f>IF(COUNT(W20,W25)&lt;2,"",W20-W25)</f>
        <v>116.748</v>
      </c>
      <c r="X26" s="266" t="str">
        <f>IF(COUNT(X20,X25)&lt;2,"",X20-X25)</f>
        <v/>
      </c>
      <c r="Y26" s="266">
        <f>IF(COUNT(Y20,Y25)&lt;2,"",Y20-Y25)</f>
        <v>33.98</v>
      </c>
      <c r="Z26" s="266">
        <f>IF(COUNT(Z20,Z25)&lt;2,"",Z20-Z25)</f>
        <v>25.817</v>
      </c>
      <c r="AA26" s="266">
        <f>IF(COUNT(AA20,AA25)&lt;2,"",AA20-AA25)</f>
        <v>41.805</v>
      </c>
      <c r="AB26" s="267" t="str">
        <f>IF(COUNT(AB20,AB25)&lt;2,"",AB20-AB25)</f>
        <v/>
      </c>
      <c r="AC26" s="266">
        <f>IF(COUNT(AC20,AC25)&lt;2,"",AC20-AC25)</f>
        <v>47.138</v>
      </c>
      <c r="AD26" s="266">
        <f>IF(COUNT(AD20,AD25)&lt;2,"",AD20-AD25)</f>
        <v>61.302</v>
      </c>
      <c r="AE26" s="266">
        <f>IF(COUNT(AE20,AE25)&lt;2,"",AE20-AE25)</f>
        <v>63.08</v>
      </c>
      <c r="AF26" s="266">
        <f>IF(COUNT(AF20,AF25)&lt;2,"",AF20-AF25)</f>
        <v>50.879</v>
      </c>
      <c r="AG26" s="267">
        <f>IF(COUNT(AG20,AG25)&lt;2,"",AG20-AG25)</f>
        <v>222.399</v>
      </c>
      <c r="AH26" s="267">
        <f>IF(COUNT(AH20,AH25)&lt;2,"",AH20-AH25)</f>
        <v>99.514</v>
      </c>
      <c r="AI26" s="267" t="str">
        <f>IF(COUNT(AI20,AI25)&lt;2,"",AI20-AI25)</f>
        <v/>
      </c>
    </row>
    <row r="27">
      <c r="C27" s="14" t="inlineStr">
        <is>
          <t xml:space="preserve">   % YoY Tratamento e destinacao final</t>
        </is>
      </c>
      <c r="D27" s="269" t="str">
        <f>""</f>
        <v/>
      </c>
      <c r="E27" s="269" t="str">
        <f>""</f>
        <v/>
      </c>
      <c r="F27" s="269" t="str">
        <f>""</f>
        <v/>
      </c>
      <c r="G27" s="269" t="str">
        <f>""</f>
        <v/>
      </c>
      <c r="H27" s="270" t="str">
        <f>""</f>
        <v/>
      </c>
      <c r="I27" s="269">
        <f>IFERROR(I19/D19-1,"")</f>
        <v>0.0562711059071086</v>
      </c>
      <c r="J27" s="269">
        <f>IFERROR(J19/E19-1,"")</f>
        <v>-0.0247443346436346</v>
      </c>
      <c r="K27" s="269">
        <f>IFERROR(K19/F19-1,"")</f>
        <v>-0.00604210788588522</v>
      </c>
      <c r="L27" s="269">
        <f>IFERROR(L19/G19-1,"")</f>
        <v>0.289240287627729</v>
      </c>
      <c r="M27" s="270">
        <f>IFERROR(M19/H19-1,"")</f>
        <v>0.0763850490977556</v>
      </c>
      <c r="N27" s="269">
        <f>IFERROR(N19/I19-1,"")</f>
        <v>0.20682785765925</v>
      </c>
      <c r="O27" s="269">
        <f>IFERROR(O19/J19-1,"")</f>
        <v>0.957959308207409</v>
      </c>
      <c r="P27" s="269">
        <f>IFERROR(P19/K19-1,"")</f>
        <v>1.41287522717303</v>
      </c>
      <c r="Q27" s="269">
        <f>IFERROR(Q19/L19-1,"")</f>
        <v>0.796275733557964</v>
      </c>
      <c r="R27" s="270">
        <f>IFERROR(R19/M19-1,"")</f>
        <v>0.844025242128708</v>
      </c>
      <c r="S27" s="269">
        <f>IFERROR(S19/N19-1,"")</f>
        <v>0.817210026757545</v>
      </c>
      <c r="T27" s="269">
        <f>IFERROR(T19/O19-1,"")</f>
        <v>0.215938914769372</v>
      </c>
      <c r="U27" s="269">
        <f>IFERROR(U19/P19-1,"")</f>
        <v>-0.056957710263686</v>
      </c>
      <c r="V27" s="269">
        <f>IFERROR(V19/Q19-1,"")</f>
        <v>0.0872530908057412</v>
      </c>
      <c r="W27" s="270">
        <f>IFERROR(W19/R19-1,"")</f>
        <v>0.185493578638297</v>
      </c>
      <c r="X27" s="269">
        <f>IFERROR(X19/S19-1,"")</f>
        <v>0.190048861963123</v>
      </c>
      <c r="Y27" s="269">
        <f>IFERROR(Y19/T19-1,"")</f>
        <v>0.0815475829134544</v>
      </c>
      <c r="Z27" s="269">
        <f>IFERROR(Z19/U19-1,"")</f>
        <v>0.12559471759951</v>
      </c>
      <c r="AA27" s="269">
        <f>IFERROR(AA19/V19-1,"")</f>
        <v>0.0940138543981179</v>
      </c>
      <c r="AB27" s="270">
        <f>IFERROR(AB19/W19-1,"")</f>
        <v>0.1211963205442</v>
      </c>
      <c r="AC27" s="269">
        <f>IFERROR(AC19/X19-1,"")</f>
        <v>0.0728408741151123</v>
      </c>
      <c r="AD27" s="269">
        <f>IFERROR(AD19/Y19-1,"")</f>
        <v>0.114327053203365</v>
      </c>
      <c r="AE27" s="269">
        <f>IFERROR(AE19/Z19-1,"")</f>
        <v>0.115232630690368</v>
      </c>
      <c r="AF27" s="269">
        <f>IFERROR(AF19/AA19-1,"")</f>
        <v>0.0844473913718744</v>
      </c>
      <c r="AG27" s="270">
        <f>IFERROR(AG19/AB19-1,"")</f>
        <v>0.0965914566891191</v>
      </c>
      <c r="AH27" s="270">
        <f>IFERROR(AH19/AC19-1,"")</f>
        <v>0.164743549284784</v>
      </c>
      <c r="AI27" s="270" t="str">
        <f>IFERROR(AI19/AD19-1,"")</f>
        <v/>
      </c>
    </row>
    <row r="28">
      <c r="C28" s="14" t="inlineStr">
        <is>
          <t xml:space="preserve">   % YoY Energia, biogas e carbono</t>
        </is>
      </c>
      <c r="D28" s="269" t="str">
        <f>""</f>
        <v/>
      </c>
      <c r="E28" s="269" t="str">
        <f>""</f>
        <v/>
      </c>
      <c r="F28" s="269" t="str">
        <f>""</f>
        <v/>
      </c>
      <c r="G28" s="269" t="str">
        <f>""</f>
        <v/>
      </c>
      <c r="H28" s="270" t="str">
        <f>""</f>
        <v/>
      </c>
      <c r="I28" s="269">
        <f>IFERROR(I20/D20-1,"")</f>
        <v>-0.00680813439434125</v>
      </c>
      <c r="J28" s="269">
        <f>IFERROR(J20/E20-1,"")</f>
        <v>-0.317970049916805</v>
      </c>
      <c r="K28" s="269">
        <f>IFERROR(K20/F20-1,"")</f>
        <v>0.164282363977486</v>
      </c>
      <c r="L28" s="269">
        <f>IFERROR(L20/G20-1,"")</f>
        <v>1.50074912601964</v>
      </c>
      <c r="M28" s="270">
        <f>IFERROR(M20/H20-1,"")</f>
        <v>0.46932863796433</v>
      </c>
      <c r="N28" s="269">
        <f>IFERROR(N20/I20-1,"")</f>
        <v>-0.110121962076026</v>
      </c>
      <c r="O28" s="269">
        <f>IFERROR(O20/J20-1,"")</f>
        <v>-0.146295844514922</v>
      </c>
      <c r="P28" s="269">
        <f>IFERROR(P20/K20-1,"")</f>
        <v>0.11426125490986</v>
      </c>
      <c r="Q28" s="269">
        <f>IFERROR(Q20/L20-1,"")</f>
        <v>-0.715633737185461</v>
      </c>
      <c r="R28" s="270">
        <f>IFERROR(R20/M20-1,"")</f>
        <v>-0.422977308747922</v>
      </c>
      <c r="S28" s="269">
        <f>IFERROR(S20/N20-1,"")</f>
        <v>1.88925570228091</v>
      </c>
      <c r="T28" s="269">
        <f>IFERROR(T20/O20-1,"")</f>
        <v>1.61773671175462</v>
      </c>
      <c r="U28" s="269">
        <f>IFERROR(U20/P20-1,"")</f>
        <v>0.381208478329643</v>
      </c>
      <c r="V28" s="269">
        <f>IFERROR(V20/Q20-1,"")</f>
        <v>0.745420495113244</v>
      </c>
      <c r="W28" s="270">
        <f>IFERROR(W20/R20-1,"")</f>
        <v>0.955315870570108</v>
      </c>
      <c r="X28" s="269">
        <f>IFERROR(X20/S20-1,"")</f>
        <v>0.0626363353069492</v>
      </c>
      <c r="Y28" s="269">
        <f>IFERROR(Y20/T20-1,"")</f>
        <v>0.23649066627852</v>
      </c>
      <c r="Z28" s="269">
        <f>IFERROR(Z20/U20-1,"")</f>
        <v>1.06848373797526</v>
      </c>
      <c r="AA28" s="269">
        <f>IFERROR(AA20/V20-1,"")</f>
        <v>0.401723444206009</v>
      </c>
      <c r="AB28" s="270">
        <f>IFERROR(AB20/W20-1,"")</f>
        <v>0.453489567273101</v>
      </c>
      <c r="AC28" s="269">
        <f>IFERROR(AC20/X20-1,"")</f>
        <v>0.535940045617465</v>
      </c>
      <c r="AD28" s="269">
        <f>IFERROR(AD20/Y20-1,"")</f>
        <v>0.951206592113008</v>
      </c>
      <c r="AE28" s="269">
        <f>IFERROR(AE20/Z20-1,"")</f>
        <v>0.219292278975592</v>
      </c>
      <c r="AF28" s="269">
        <f>IFERROR(AF20/AA20-1,"")</f>
        <v>0.611745006578161</v>
      </c>
      <c r="AG28" s="270">
        <f>IFERROR(AG20/AB20-1,"")</f>
        <v>0.519806472903849</v>
      </c>
      <c r="AH28" s="270">
        <f>IFERROR(AH20/AC20-1,"")</f>
        <v>1.35508506937078</v>
      </c>
      <c r="AI28" s="270" t="str">
        <f>IFERROR(AI20/AD20-1,"")</f>
        <v/>
      </c>
    </row>
    <row r="29">
      <c r="C29" s="14" t="inlineStr">
        <is>
          <t xml:space="preserve">   % YoY receita liquida</t>
        </is>
      </c>
      <c r="D29" s="269" t="str">
        <f>""</f>
        <v/>
      </c>
      <c r="E29" s="269" t="str">
        <f>""</f>
        <v/>
      </c>
      <c r="F29" s="269" t="str">
        <f>""</f>
        <v/>
      </c>
      <c r="G29" s="269" t="str">
        <f>""</f>
        <v/>
      </c>
      <c r="H29" s="270" t="str">
        <f>""</f>
        <v/>
      </c>
      <c r="I29" s="269">
        <f>IFERROR(I23/D23-1,"")</f>
        <v>-0.0424439126206165</v>
      </c>
      <c r="J29" s="269">
        <f>IFERROR(J23/E23-1,"")</f>
        <v>-0.0716074361953604</v>
      </c>
      <c r="K29" s="269">
        <f>IFERROR(K23/F23-1,"")</f>
        <v>0.0229086624660619</v>
      </c>
      <c r="L29" s="269">
        <f>IFERROR(L23/G23-1,"")</f>
        <v>0.50811508668388</v>
      </c>
      <c r="M29" s="270">
        <f>IFERROR(M23/H23-1,"")</f>
        <v>0.111100906196424</v>
      </c>
      <c r="N29" s="269">
        <f>IFERROR(N23/I23-1,"")</f>
        <v>0.132393723252496</v>
      </c>
      <c r="O29" s="269">
        <f>IFERROR(O23/J23-1,"")</f>
        <v>0.62495279812703</v>
      </c>
      <c r="P29" s="269">
        <f>IFERROR(P23/K23-1,"")</f>
        <v>0.974900091144921</v>
      </c>
      <c r="Q29" s="269">
        <f>IFERROR(Q23/L23-1,"")</f>
        <v>0.153485707665274</v>
      </c>
      <c r="R29" s="270">
        <f>IFERROR(R23/M23-1,"")</f>
        <v>0.43788747141322</v>
      </c>
      <c r="S29" s="269">
        <f>IFERROR(S23/N23-1,"")</f>
        <v>0.90318061798319</v>
      </c>
      <c r="T29" s="269">
        <f>IFERROR(T23/O23-1,"")</f>
        <v>0.302983825989961</v>
      </c>
      <c r="U29" s="269">
        <f>IFERROR(U23/P23-1,"")</f>
        <v>-0.023212764230941</v>
      </c>
      <c r="V29" s="269">
        <f>IFERROR(V23/Q23-1,"")</f>
        <v>0.10813073004146</v>
      </c>
      <c r="W29" s="270">
        <f>IFERROR(W23/R23-1,"")</f>
        <v>0.239615919568588</v>
      </c>
      <c r="X29" s="269">
        <f>IFERROR(X23/S23-1,"")</f>
        <v>0.107500860494056</v>
      </c>
      <c r="Y29" s="269">
        <f>IFERROR(Y23/T23-1,"")</f>
        <v>0.0958088104155519</v>
      </c>
      <c r="Z29" s="269">
        <f>IFERROR(Z23/U23-1,"")</f>
        <v>0.293220629390599</v>
      </c>
      <c r="AA29" s="269">
        <f>IFERROR(AA23/V23-1,"")</f>
        <v>0.15921988851234</v>
      </c>
      <c r="AB29" s="270">
        <f>IFERROR(AB23/W23-1,"")</f>
        <v>0.163854093131824</v>
      </c>
      <c r="AC29" s="269">
        <f>IFERROR(AC23/X23-1,"")</f>
        <v>0.151348818528683</v>
      </c>
      <c r="AD29" s="269">
        <f>IFERROR(AD23/Y23-1,"")</f>
        <v>0.228484935851233</v>
      </c>
      <c r="AE29" s="269">
        <f>IFERROR(AE23/Z23-1,"")</f>
        <v>0.12838404805017</v>
      </c>
      <c r="AF29" s="269">
        <f>IFERROR(AF23/AA23-1,"")</f>
        <v>0.148141230028757</v>
      </c>
      <c r="AG29" s="270">
        <f>IFERROR(AG23/AB23-1,"")</f>
        <v>0.16256065489578</v>
      </c>
      <c r="AH29" s="270">
        <f>IFERROR(AH23/AC23-1,"")</f>
        <v>0.374900332225914</v>
      </c>
      <c r="AI29" s="270" t="str">
        <f>IFERROR(AI23/AD23-1,"")</f>
        <v/>
      </c>
    </row>
    <row r="30">
      <c r="C30" s="14" t="inlineStr">
        <is>
          <t xml:space="preserve">   % Tratamento e destinacao na receita</t>
        </is>
      </c>
      <c r="D30" s="269">
        <f>IFERROR(D19/D23,"")</f>
        <v>0.643969445628299</v>
      </c>
      <c r="E30" s="269">
        <f>IFERROR(E19/E23,"")</f>
        <v>0.639578909411435</v>
      </c>
      <c r="F30" s="269">
        <f>IFERROR(F19/F23,"")</f>
        <v>0.657917114901901</v>
      </c>
      <c r="G30" s="269">
        <f>IFERROR(G19/G23,"")</f>
        <v>0.589926032343862</v>
      </c>
      <c r="H30" s="270">
        <f>IFERROR(H19/H23,"")</f>
        <v>0.632120479222794</v>
      </c>
      <c r="I30" s="269">
        <f>IFERROR(I19/I23,"")</f>
        <v>0.710356633380885</v>
      </c>
      <c r="J30" s="269">
        <f>IFERROR(J19/J23,"")</f>
        <v>0.671863368109875</v>
      </c>
      <c r="K30" s="269">
        <f>IFERROR(K19/K23,"")</f>
        <v>0.639296481405435</v>
      </c>
      <c r="L30" s="269">
        <f>IFERROR(L19/L23,"")</f>
        <v>0.504309262823195</v>
      </c>
      <c r="M30" s="270">
        <f>IFERROR(M19/M23,"")</f>
        <v>0.612370154024192</v>
      </c>
      <c r="N30" s="269">
        <f>IFERROR(N19/N23,"")</f>
        <v>0.757049563622438</v>
      </c>
      <c r="O30" s="269">
        <f>IFERROR(O19/O23,"")</f>
        <v>0.809550367832576</v>
      </c>
      <c r="P30" s="269">
        <f>IFERROR(P19/P23,"")</f>
        <v>0.781073761512557</v>
      </c>
      <c r="Q30" s="269">
        <f>IFERROR(Q19/Q23,"")</f>
        <v>0.785340021985503</v>
      </c>
      <c r="R30" s="270">
        <f>IFERROR(R19/R23,"")</f>
        <v>0.78533685284635</v>
      </c>
      <c r="S30" s="269">
        <f>IFERROR(S19/S23,"")</f>
        <v>0.722852074452594</v>
      </c>
      <c r="T30" s="269">
        <f>IFERROR(T19/T23,"")</f>
        <v>0.755468929144692</v>
      </c>
      <c r="U30" s="269">
        <f>IFERROR(U19/U23,"")</f>
        <v>0.754090104309991</v>
      </c>
      <c r="V30" s="269">
        <f>IFERROR(V19/V23,"")</f>
        <v>0.770543892601228</v>
      </c>
      <c r="W30" s="270">
        <f>IFERROR(W19/W23,"")</f>
        <v>0.751048596117876</v>
      </c>
      <c r="X30" s="269">
        <f>IFERROR(X19/X23,"")</f>
        <v>0.776730131104587</v>
      </c>
      <c r="Y30" s="269">
        <f>IFERROR(Y19/Y23,"")</f>
        <v>0.745637000283659</v>
      </c>
      <c r="Z30" s="269">
        <f>IFERROR(Z19/Z23,"")</f>
        <v>0.656345729966717</v>
      </c>
      <c r="AA30" s="269">
        <f>IFERROR(AA19/AA23,"")</f>
        <v>0.727200854886493</v>
      </c>
      <c r="AB30" s="270">
        <f>IFERROR(AB19/AB23,"")</f>
        <v>0.723521038836843</v>
      </c>
      <c r="AC30" s="269">
        <f>IFERROR(AC19/AC23,"")</f>
        <v>0.723766611295681</v>
      </c>
      <c r="AD30" s="269">
        <f>IFERROR(AD19/AD23,"")</f>
        <v>0.676348123642035</v>
      </c>
      <c r="AE30" s="269">
        <f>IFERROR(AE19/AE23,"")</f>
        <v>0.648695961572674</v>
      </c>
      <c r="AF30" s="269">
        <f>IFERROR(AF19/AF23,"")</f>
        <v>0.686858941617576</v>
      </c>
      <c r="AG30" s="270">
        <f>IFERROR(AG19/AG23,"")</f>
        <v>0.682465028024232</v>
      </c>
      <c r="AH30" s="270">
        <f>IFERROR(AH19/AH23,"")</f>
        <v>0.613137164880571</v>
      </c>
      <c r="AI30" s="270" t="str">
        <f>IFERROR(AI19/AI23,"")</f>
        <v/>
      </c>
    </row>
    <row r="31"/>
    <row r="32">
      <c r="C32" s="12" t="inlineStr">
        <is>
          <t>Drivers operacionais - volume x preco e valorizacao do biogas (releases)</t>
        </is>
      </c>
      <c r="D32" s="12" t="str">
        <f>D7</f>
        <v>1Q20</v>
      </c>
      <c r="E32" s="12" t="str">
        <f>E7</f>
        <v>2Q20</v>
      </c>
      <c r="F32" s="12" t="str">
        <f>F7</f>
        <v>3Q20</v>
      </c>
      <c r="G32" s="12" t="str">
        <f>G7</f>
        <v>4Q20</v>
      </c>
      <c r="H32" s="12">
        <f>H7</f>
        <v>2020</v>
      </c>
      <c r="I32" s="12" t="str">
        <f>I7</f>
        <v>1Q21</v>
      </c>
      <c r="J32" s="12" t="str">
        <f>J7</f>
        <v>2Q21</v>
      </c>
      <c r="K32" s="12" t="str">
        <f>K7</f>
        <v>3Q21</v>
      </c>
      <c r="L32" s="12" t="str">
        <f>L7</f>
        <v>4Q21</v>
      </c>
      <c r="M32" s="12">
        <f>M7</f>
        <v>2021</v>
      </c>
      <c r="N32" s="12" t="str">
        <f>N7</f>
        <v>1Q22</v>
      </c>
      <c r="O32" s="12" t="str">
        <f>O7</f>
        <v>2Q22</v>
      </c>
      <c r="P32" s="12" t="str">
        <f>P7</f>
        <v>3Q22</v>
      </c>
      <c r="Q32" s="12" t="str">
        <f>Q7</f>
        <v>4Q22</v>
      </c>
      <c r="R32" s="12">
        <f>R7</f>
        <v>2022</v>
      </c>
      <c r="S32" s="12" t="str">
        <f>S7</f>
        <v>1Q23</v>
      </c>
      <c r="T32" s="12" t="str">
        <f>T7</f>
        <v>2Q23</v>
      </c>
      <c r="U32" s="12" t="str">
        <f>U7</f>
        <v>3Q23</v>
      </c>
      <c r="V32" s="12" t="str">
        <f>V7</f>
        <v>4Q23</v>
      </c>
      <c r="W32" s="12">
        <f>W7</f>
        <v>2023</v>
      </c>
      <c r="X32" s="12" t="str">
        <f>X7</f>
        <v>1Q24</v>
      </c>
      <c r="Y32" s="12" t="str">
        <f>Y7</f>
        <v>2Q24</v>
      </c>
      <c r="Z32" s="12" t="str">
        <f>Z7</f>
        <v>3Q24</v>
      </c>
      <c r="AA32" s="12" t="str">
        <f>AA7</f>
        <v>4Q24</v>
      </c>
      <c r="AB32" s="12">
        <f>AB7</f>
        <v>2024</v>
      </c>
      <c r="AC32" s="12" t="str">
        <f>AC7</f>
        <v>1Q25</v>
      </c>
      <c r="AD32" s="12" t="str">
        <f>AD7</f>
        <v>2Q25</v>
      </c>
      <c r="AE32" s="12" t="str">
        <f>AE7</f>
        <v>3Q25</v>
      </c>
      <c r="AF32" s="12" t="str">
        <f>AF7</f>
        <v>4Q25</v>
      </c>
      <c r="AG32" s="12">
        <f>AG7</f>
        <v>2025</v>
      </c>
      <c r="AH32" s="12" t="str">
        <f>AH7</f>
        <v>1Q26</v>
      </c>
      <c r="AI32" s="12" t="str">
        <f>AI7</f>
        <v>2Q26</v>
      </c>
    </row>
    <row r="33">
      <c r="C33" s="14" t="inlineStr">
        <is>
          <t>Volume recebido nos ecoparques (mil t)</t>
        </is>
      </c>
      <c r="D33" s="271">
        <f>IFERROR(INDEX('Inputs (2)'!$D$58:$AL$58,MATCH(D$7,'Inputs (2)'!$D$2:$AL$2,0)),"")</f>
        <v>1265.178</v>
      </c>
      <c r="E33" s="271">
        <f>IFERROR(INDEX('Inputs (2)'!$D$58:$AL$58,MATCH(E$7,'Inputs (2)'!$D$2:$AL$2,0)),"")</f>
        <v>1148.1</v>
      </c>
      <c r="F33" s="271">
        <f>IFERROR(INDEX('Inputs (2)'!$D$58:$AL$58,MATCH(F$7,'Inputs (2)'!$D$2:$AL$2,0)),"")</f>
        <v>1217.4</v>
      </c>
      <c r="G33" s="271">
        <f>IFERROR(INDEX('Inputs (2)'!$D$58:$AL$58,MATCH(G$7,'Inputs (2)'!$D$2:$AL$2,0)),"")</f>
        <v>1181.2134</v>
      </c>
      <c r="H33" s="272">
        <f>IF(COUNT(D33:G33)=4,SUM(D33:G33),"")</f>
        <v>4811.8914</v>
      </c>
      <c r="I33" s="271">
        <f>IFERROR(INDEX('Inputs (2)'!$D$58:$AL$58,MATCH(I$7,'Inputs (2)'!$D$2:$AL$2,0)),"")</f>
        <v>1194.034</v>
      </c>
      <c r="J33" s="271">
        <f>IFERROR(INDEX('Inputs (2)'!$D$58:$AL$58,MATCH(J$7,'Inputs (2)'!$D$2:$AL$2,0)),"")</f>
        <v>1173.4</v>
      </c>
      <c r="K33" s="271">
        <f>IFERROR(INDEX('Inputs (2)'!$D$58:$AL$58,MATCH(K$7,'Inputs (2)'!$D$2:$AL$2,0)),"")</f>
        <v>1195.2</v>
      </c>
      <c r="L33" s="271">
        <f>IFERROR(INDEX('Inputs (2)'!$D$58:$AL$58,MATCH(L$7,'Inputs (2)'!$D$2:$AL$2,0)),"")</f>
        <v>1221.7</v>
      </c>
      <c r="M33" s="272">
        <f>IF(COUNT(I33:L33)=4,SUM(I33:L33),"")</f>
        <v>4784.334</v>
      </c>
      <c r="N33" s="271">
        <f>IFERROR(INDEX('Inputs (2)'!$D$58:$AL$58,MATCH(N$7,'Inputs (2)'!$D$2:$AL$2,0)),"")</f>
        <v>1245</v>
      </c>
      <c r="O33" s="271">
        <f>IFERROR(INDEX('Inputs (2)'!$D$58:$AL$58,MATCH(O$7,'Inputs (2)'!$D$2:$AL$2,0)),"")</f>
        <v>2064</v>
      </c>
      <c r="P33" s="271">
        <f>IFERROR(INDEX('Inputs (2)'!$D$58:$AL$58,MATCH(P$7,'Inputs (2)'!$D$2:$AL$2,0)),"")</f>
        <v>2012.136</v>
      </c>
      <c r="Q33" s="271">
        <f>IFERROR(INDEX('Inputs (2)'!$D$58:$AL$58,MATCH(Q$7,'Inputs (2)'!$D$2:$AL$2,0)),"")</f>
        <v>2174.6</v>
      </c>
      <c r="R33" s="272">
        <f>IF(COUNT(N33:Q33)=4,SUM(N33:Q33),"")</f>
        <v>7495.736</v>
      </c>
      <c r="S33" s="271">
        <f>IFERROR(INDEX('Inputs (2)'!$D$58:$AL$58,MATCH(S$7,'Inputs (2)'!$D$2:$AL$2,0)),"")</f>
        <v>2109.4</v>
      </c>
      <c r="T33" s="271">
        <f>IFERROR(INDEX('Inputs (2)'!$D$58:$AL$58,MATCH(T$7,'Inputs (2)'!$D$2:$AL$2,0)),"")</f>
        <v>2038.6</v>
      </c>
      <c r="U33" s="271">
        <f>IFERROR(INDEX('Inputs (2)'!$D$58:$AL$58,MATCH(U$7,'Inputs (2)'!$D$2:$AL$2,0)),"")</f>
        <v>2060.4</v>
      </c>
      <c r="V33" s="271">
        <f>IFERROR(INDEX('Inputs (2)'!$D$58:$AL$58,MATCH(V$7,'Inputs (2)'!$D$2:$AL$2,0)),"")</f>
        <v>2129.9</v>
      </c>
      <c r="W33" s="272">
        <f>IF(COUNT(S33:V33)=4,SUM(S33:V33),"")</f>
        <v>8338.3</v>
      </c>
      <c r="X33" s="271">
        <f>IFERROR(INDEX('Inputs (2)'!$D$58:$AL$58,MATCH(X$7,'Inputs (2)'!$D$2:$AL$2,0)),"")</f>
        <v>2203.7</v>
      </c>
      <c r="Y33" s="271">
        <f>IFERROR(INDEX('Inputs (2)'!$D$58:$AL$58,MATCH(Y$7,'Inputs (2)'!$D$2:$AL$2,0)),"")</f>
        <v>2162.3</v>
      </c>
      <c r="Z33" s="271">
        <f>IFERROR(INDEX('Inputs (2)'!$D$58:$AL$58,MATCH(Z$7,'Inputs (2)'!$D$2:$AL$2,0)),"")</f>
        <v>2161.3</v>
      </c>
      <c r="AA33" s="271">
        <f>IFERROR(INDEX('Inputs (2)'!$D$58:$AL$58,MATCH(AA$7,'Inputs (2)'!$D$2:$AL$2,0)),"")</f>
        <v>2148.8</v>
      </c>
      <c r="AB33" s="272">
        <f>IF(COUNT(X33:AA33)=4,SUM(X33:AA33),"")</f>
        <v>8676.1</v>
      </c>
      <c r="AC33" s="271">
        <f>IFERROR(INDEX('Inputs (2)'!$D$58:$AL$58,MATCH(AC$7,'Inputs (2)'!$D$2:$AL$2,0)),"")</f>
        <v>2175.8</v>
      </c>
      <c r="AD33" s="271">
        <f>IFERROR(INDEX('Inputs (2)'!$D$58:$AL$58,MATCH(AD$7,'Inputs (2)'!$D$2:$AL$2,0)),"")</f>
        <v>2213.5</v>
      </c>
      <c r="AE33" s="271">
        <f>IFERROR(INDEX('Inputs (2)'!$D$58:$AL$58,MATCH(AE$7,'Inputs (2)'!$D$2:$AL$2,0)),"")</f>
        <v>2226.9</v>
      </c>
      <c r="AF33" s="271">
        <f>IFERROR(INDEX('Inputs (2)'!$D$58:$AL$58,MATCH(AF$7,'Inputs (2)'!$D$2:$AL$2,0)),"")</f>
        <v>2249.5</v>
      </c>
      <c r="AG33" s="272">
        <f>IF(COUNT(AC33:AF33)=4,SUM(AC33:AF33),"")</f>
        <v>8865.7</v>
      </c>
      <c r="AH33" s="272">
        <f>IFERROR(INDEX('Inputs (2)'!$D$58:$AL$58,MATCH(AH$7,'Inputs (2)'!$D$2:$AL$2,0)),"")</f>
        <v>2306</v>
      </c>
      <c r="AI33" s="272">
        <f>IFERROR(INDEX('Inputs (2)'!$D$58:$AL$58,MATCH(AI$7,'Inputs (2)'!$D$2:$AL$2,0)),"")</f>
        <v>2449.4</v>
      </c>
    </row>
    <row r="34">
      <c r="C34" s="14" t="inlineStr">
        <is>
          <t xml:space="preserve">   % YoY volume</t>
        </is>
      </c>
      <c r="D34" s="269" t="str">
        <f>""</f>
        <v/>
      </c>
      <c r="E34" s="269" t="str">
        <f>""</f>
        <v/>
      </c>
      <c r="F34" s="269" t="str">
        <f>""</f>
        <v/>
      </c>
      <c r="G34" s="269" t="str">
        <f>""</f>
        <v/>
      </c>
      <c r="H34" s="270" t="str">
        <f>""</f>
        <v/>
      </c>
      <c r="I34" s="269">
        <f>IFERROR(I33/D33-1,"")</f>
        <v>-0.0562324036617773</v>
      </c>
      <c r="J34" s="269">
        <f>IFERROR(J33/E33-1,"")</f>
        <v>0.0220364079783992</v>
      </c>
      <c r="K34" s="269">
        <f>IFERROR(K33/F33-1,"")</f>
        <v>-0.0182355840315427</v>
      </c>
      <c r="L34" s="269">
        <f>IFERROR(L33/G33-1,"")</f>
        <v>0.0342754323647192</v>
      </c>
      <c r="M34" s="270">
        <f>IFERROR(M33/H33-1,"")</f>
        <v>-0.00572693722888273</v>
      </c>
      <c r="N34" s="269">
        <f>IFERROR(N33/I33-1,"")</f>
        <v>0.0426838766735285</v>
      </c>
      <c r="O34" s="269">
        <f>IFERROR(O33/J33-1,"")</f>
        <v>0.758990966422362</v>
      </c>
      <c r="P34" s="269">
        <f>IFERROR(P33/K33-1,"")</f>
        <v>0.6835140562249</v>
      </c>
      <c r="Q34" s="269">
        <f>IFERROR(Q33/L33-1,"")</f>
        <v>0.779978718179586</v>
      </c>
      <c r="R34" s="270">
        <f>IFERROR(R33/M33-1,"")</f>
        <v>0.566725065599517</v>
      </c>
      <c r="S34" s="269">
        <f>IFERROR(S33/N33-1,"")</f>
        <v>0.69429718875502</v>
      </c>
      <c r="T34" s="269">
        <f>IFERROR(T33/O33-1,"")</f>
        <v>-0.0123062015503876</v>
      </c>
      <c r="U34" s="269">
        <f>IFERROR(U33/P33-1,"")</f>
        <v>0.0239864502200646</v>
      </c>
      <c r="V34" s="269">
        <f>IFERROR(V33/Q33-1,"")</f>
        <v>-0.0205555044605904</v>
      </c>
      <c r="W34" s="270">
        <f>IFERROR(W33/R33-1,"")</f>
        <v>0.11240577309553</v>
      </c>
      <c r="X34" s="269">
        <f>IFERROR(X33/S33-1,"")</f>
        <v>0.0447046553522328</v>
      </c>
      <c r="Y34" s="269">
        <f>IFERROR(Y33/T33-1,"")</f>
        <v>0.0606788972824488</v>
      </c>
      <c r="Z34" s="269">
        <f>IFERROR(Z33/U33-1,"")</f>
        <v>0.0489710735779461</v>
      </c>
      <c r="AA34" s="269">
        <f>IFERROR(AA33/V33-1,"")</f>
        <v>0.00887365604018964</v>
      </c>
      <c r="AB34" s="270">
        <f>IFERROR(AB33/W33-1,"")</f>
        <v>0.0405118549344592</v>
      </c>
      <c r="AC34" s="269">
        <f>IFERROR(AC33/X33-1,"")</f>
        <v>-0.0126605254798746</v>
      </c>
      <c r="AD34" s="269">
        <f>IFERROR(AD33/Y33-1,"")</f>
        <v>0.0236784904962308</v>
      </c>
      <c r="AE34" s="269">
        <f>IFERROR(AE33/Z33-1,"")</f>
        <v>0.0303521029010319</v>
      </c>
      <c r="AF34" s="269">
        <f>IFERROR(AF33/AA33-1,"")</f>
        <v>0.0468633655994042</v>
      </c>
      <c r="AG34" s="270">
        <f>IFERROR(AG33/AB33-1,"")</f>
        <v>0.0218531367780455</v>
      </c>
      <c r="AH34" s="270">
        <f>IFERROR(AH33/AC33-1,"")</f>
        <v>0.0598400588289365</v>
      </c>
      <c r="AI34" s="270">
        <f>IFERROR(AI33/AD33-1,"")</f>
        <v>0.106573300203298</v>
      </c>
    </row>
    <row r="35">
      <c r="C35" s="14" t="inlineStr">
        <is>
          <t>Preco medio implicito de destinacao (R$/t = receita de tratamento / volume)</t>
        </is>
      </c>
      <c r="D35" s="266">
        <f>IFERROR(D19/D33*1000,"")</f>
        <v>46.5776357160811</v>
      </c>
      <c r="E35" s="266">
        <f>IFERROR(E19/E33*1000,"")</f>
        <v>55.6162355195541</v>
      </c>
      <c r="F35" s="266">
        <f>IFERROR(F19/F33*1000,"")</f>
        <v>52.7484803679974</v>
      </c>
      <c r="G35" s="266">
        <f>IFERROR(G19/G33*1000,"")</f>
        <v>51.4496364501114</v>
      </c>
      <c r="H35" s="267">
        <f>IFERROR(H19/H33*1000,"")</f>
        <v>51.491394839044</v>
      </c>
      <c r="I35" s="266">
        <f>IFERROR(I19/I33*1000,"")</f>
        <v>52.1300063482279</v>
      </c>
      <c r="J35" s="266">
        <f>IFERROR(J19/J33*1000,"")</f>
        <v>53.0705641724902</v>
      </c>
      <c r="K35" s="266">
        <f>IFERROR(K19/K33*1000,"")</f>
        <v>53.4036144578313</v>
      </c>
      <c r="L35" s="266">
        <f>IFERROR(L19/L33*1000,"")</f>
        <v>64.1327658181223</v>
      </c>
      <c r="M35" s="267">
        <f>IFERROR(M19/M33*1000,"")</f>
        <v>55.7438088561543</v>
      </c>
      <c r="N35" s="266">
        <f>IFERROR(N19/N33*1000,"")</f>
        <v>60.336546184739</v>
      </c>
      <c r="O35" s="266">
        <f>IFERROR(O19/O33*1000,"")</f>
        <v>59.0736434108527</v>
      </c>
      <c r="P35" s="266">
        <f>IFERROR(P19/P33*1000,"")</f>
        <v>76.5400549465841</v>
      </c>
      <c r="Q35" s="266">
        <f>IFERROR(Q19/Q33*1000,"")</f>
        <v>64.7199484962752</v>
      </c>
      <c r="R35" s="267">
        <f>IFERROR(R19/R33*1000,"")</f>
        <v>65.610101529723</v>
      </c>
      <c r="S35" s="266">
        <f>IFERROR(S19/S33*1000,"")</f>
        <v>64.7136626528871</v>
      </c>
      <c r="T35" s="266">
        <f>IFERROR(T19/T33*1000,"")</f>
        <v>72.7249092514471</v>
      </c>
      <c r="U35" s="266">
        <f>IFERROR(U19/U33*1000,"")</f>
        <v>70.4897107357795</v>
      </c>
      <c r="V35" s="266">
        <f>IFERROR(V19/V33*1000,"")</f>
        <v>71.843748532795</v>
      </c>
      <c r="W35" s="267">
        <f>IFERROR(W19/W33*1000,"")</f>
        <v>69.9208471750837</v>
      </c>
      <c r="X35" s="266">
        <f>IFERROR(X19/X33*1000,"")</f>
        <v>73.7169306166901</v>
      </c>
      <c r="Y35" s="266">
        <f>IFERROR(Y19/Y33*1000,"")</f>
        <v>74.1557600702955</v>
      </c>
      <c r="Z35" s="266">
        <f>IFERROR(Z19/Z33*1000,"")</f>
        <v>75.6387359459584</v>
      </c>
      <c r="AA35" s="266">
        <f>IFERROR(AA19/AA33*1000,"")</f>
        <v>77.906738644825</v>
      </c>
      <c r="AB35" s="267">
        <f>IFERROR(AB19/AB33*1000,"")</f>
        <v>75.3427231129194</v>
      </c>
      <c r="AC35" s="266">
        <f>IFERROR(AC19/AC33*1000,"")</f>
        <v>80.1006526335141</v>
      </c>
      <c r="AD35" s="266">
        <f>IFERROR(AD19/AD33*1000,"")</f>
        <v>80.722385362548</v>
      </c>
      <c r="AE35" s="266">
        <f>IFERROR(AE19/AE33*1000,"")</f>
        <v>81.8698639364139</v>
      </c>
      <c r="AF35" s="266">
        <f>IFERROR(AF19/AF33*1000,"")</f>
        <v>80.7037119359858</v>
      </c>
      <c r="AG35" s="267">
        <f>IFERROR(AG19/AG33*1000,"")</f>
        <v>80.8532885164172</v>
      </c>
      <c r="AH35" s="267">
        <f>IFERROR(AH19/AH33*1000,"")</f>
        <v>88.0290546400694</v>
      </c>
      <c r="AI35" s="267" t="str">
        <f>IFERROR(AI19/AI33*1000,"")</f>
        <v/>
      </c>
    </row>
    <row r="36">
      <c r="C36" s="14" t="inlineStr">
        <is>
          <t xml:space="preserve">   % YoY preco medio</t>
        </is>
      </c>
      <c r="D36" s="269" t="str">
        <f>""</f>
        <v/>
      </c>
      <c r="E36" s="269" t="str">
        <f>""</f>
        <v/>
      </c>
      <c r="F36" s="269" t="str">
        <f>""</f>
        <v/>
      </c>
      <c r="G36" s="269" t="str">
        <f>""</f>
        <v/>
      </c>
      <c r="H36" s="270" t="str">
        <f>""</f>
        <v/>
      </c>
      <c r="I36" s="269">
        <f>IFERROR(I35/D35-1,"")</f>
        <v>0.119206794135966</v>
      </c>
      <c r="J36" s="269">
        <f>IFERROR(J35/E35-1,"")</f>
        <v>-0.0457720901690448</v>
      </c>
      <c r="K36" s="269">
        <f>IFERROR(K35/F35-1,"")</f>
        <v>0.0124199613953508</v>
      </c>
      <c r="L36" s="269">
        <f>IFERROR(L35/G35-1,"")</f>
        <v>0.246515432238461</v>
      </c>
      <c r="M36" s="270">
        <f>IFERROR(M35/H35-1,"")</f>
        <v>0.0825849451234109</v>
      </c>
      <c r="N36" s="269">
        <f>IFERROR(N35/I35-1,"")</f>
        <v>0.157424493327152</v>
      </c>
      <c r="O36" s="269">
        <f>IFERROR(O35/J35-1,"")</f>
        <v>0.113115044695046</v>
      </c>
      <c r="P36" s="269">
        <f>IFERROR(P35/K35-1,"")</f>
        <v>0.433237351509641</v>
      </c>
      <c r="Q36" s="269">
        <f>IFERROR(Q35/L35-1,"")</f>
        <v>0.0091557360837693</v>
      </c>
      <c r="R36" s="270">
        <f>IFERROR(R35/M35-1,"")</f>
        <v>0.176993515083056</v>
      </c>
      <c r="S36" s="269">
        <f>IFERROR(S35/N35-1,"")</f>
        <v>0.0725450285925586</v>
      </c>
      <c r="T36" s="269">
        <f>IFERROR(T35/O35-1,"")</f>
        <v>0.231088943433721</v>
      </c>
      <c r="U36" s="269">
        <f>IFERROR(U35/P35-1,"")</f>
        <v>-0.0790480777029374</v>
      </c>
      <c r="V36" s="269">
        <f>IFERROR(V35/Q35-1,"")</f>
        <v>0.110071163559869</v>
      </c>
      <c r="W36" s="270">
        <f>IFERROR(W35/R35-1,"")</f>
        <v>0.0657024687487755</v>
      </c>
      <c r="X36" s="269">
        <f>IFERROR(X35/S35-1,"")</f>
        <v>0.139124685494855</v>
      </c>
      <c r="Y36" s="269">
        <f>IFERROR(Y35/T35-1,"")</f>
        <v>0.0196748381479757</v>
      </c>
      <c r="Z36" s="269">
        <f>IFERROR(Z35/U35-1,"")</f>
        <v>0.0730464794993893</v>
      </c>
      <c r="AA36" s="269">
        <f>IFERROR(AA35/V35-1,"")</f>
        <v>0.084391338646012</v>
      </c>
      <c r="AB36" s="270">
        <f>IFERROR(AB35/W35-1,"")</f>
        <v>0.0775430527072882</v>
      </c>
      <c r="AC36" s="269">
        <f>IFERROR(AC35/X35-1,"")</f>
        <v>0.0865977729053555</v>
      </c>
      <c r="AD36" s="269">
        <f>IFERROR(AD35/Y35-1,"")</f>
        <v>0.088551789989445</v>
      </c>
      <c r="AE36" s="269">
        <f>IFERROR(AE35/Z35-1,"")</f>
        <v>0.0823801179716615</v>
      </c>
      <c r="AF36" s="269">
        <f>IFERROR(AF35/AA35-1,"")</f>
        <v>0.0359015579372677</v>
      </c>
      <c r="AG36" s="270">
        <f>IFERROR(AG35/AB35-1,"")</f>
        <v>0.0731399818830396</v>
      </c>
      <c r="AH36" s="270">
        <f>IFERROR(AH35/AC35-1,"")</f>
        <v>0.0989804919921216</v>
      </c>
      <c r="AI36" s="270" t="str">
        <f>IFERROR(AI35/AD35-1,"")</f>
        <v/>
      </c>
    </row>
    <row r="37">
      <c r="C37" s="14" t="inlineStr">
        <is>
          <t>Volume nas unidades de beneficiamento (mil t)</t>
        </is>
      </c>
      <c r="D37" s="266">
        <f>IFERROR(INDEX('Inputs (2)'!$D$59:$AL$59,MATCH(D$7,'Inputs (2)'!$D$2:$AL$2,0)),"")</f>
        <v>13.543</v>
      </c>
      <c r="E37" s="266">
        <f>IFERROR(INDEX('Inputs (2)'!$D$59:$AL$59,MATCH(E$7,'Inputs (2)'!$D$2:$AL$2,0)),"")</f>
        <v>5.4</v>
      </c>
      <c r="F37" s="266">
        <f>IFERROR(INDEX('Inputs (2)'!$D$59:$AL$59,MATCH(F$7,'Inputs (2)'!$D$2:$AL$2,0)),"")</f>
        <v>5</v>
      </c>
      <c r="G37" s="266">
        <f>IFERROR(INDEX('Inputs (2)'!$D$59:$AL$59,MATCH(G$7,'Inputs (2)'!$D$2:$AL$2,0)),"")</f>
        <v>5.1</v>
      </c>
      <c r="H37" s="267">
        <f>IF(COUNT(D37:G37)=4,SUM(D37:G37),"")</f>
        <v>29.043</v>
      </c>
      <c r="I37" s="266">
        <f>IFERROR(INDEX('Inputs (2)'!$D$59:$AL$59,MATCH(I$7,'Inputs (2)'!$D$2:$AL$2,0)),"")</f>
        <v>4.726</v>
      </c>
      <c r="J37" s="266">
        <f>IFERROR(INDEX('Inputs (2)'!$D$59:$AL$59,MATCH(J$7,'Inputs (2)'!$D$2:$AL$2,0)),"")</f>
        <v>4.1</v>
      </c>
      <c r="K37" s="266">
        <f>IFERROR(INDEX('Inputs (2)'!$D$59:$AL$59,MATCH(K$7,'Inputs (2)'!$D$2:$AL$2,0)),"")</f>
        <v>4.2</v>
      </c>
      <c r="L37" s="266">
        <f>IFERROR(INDEX('Inputs (2)'!$D$59:$AL$59,MATCH(L$7,'Inputs (2)'!$D$2:$AL$2,0)),"")</f>
        <v>6.6</v>
      </c>
      <c r="M37" s="267">
        <f>IF(COUNT(I37:L37)=4,SUM(I37:L37),"")</f>
        <v>19.626</v>
      </c>
      <c r="N37" s="266">
        <f>IFERROR(INDEX('Inputs (2)'!$D$59:$AL$59,MATCH(N$7,'Inputs (2)'!$D$2:$AL$2,0)),"")</f>
        <v>24.2</v>
      </c>
      <c r="O37" s="266">
        <f>IFERROR(INDEX('Inputs (2)'!$D$59:$AL$59,MATCH(O$7,'Inputs (2)'!$D$2:$AL$2,0)),"")</f>
        <v>24.4</v>
      </c>
      <c r="P37" s="266">
        <f>IFERROR(INDEX('Inputs (2)'!$D$59:$AL$59,MATCH(P$7,'Inputs (2)'!$D$2:$AL$2,0)),"")</f>
        <v>23.662</v>
      </c>
      <c r="Q37" s="266">
        <f>IFERROR(INDEX('Inputs (2)'!$D$59:$AL$59,MATCH(Q$7,'Inputs (2)'!$D$2:$AL$2,0)),"")</f>
        <v>23.9</v>
      </c>
      <c r="R37" s="267">
        <f>IF(COUNT(N37:Q37)=4,SUM(N37:Q37),"")</f>
        <v>96.162</v>
      </c>
      <c r="S37" s="266">
        <f>IFERROR(INDEX('Inputs (2)'!$D$59:$AL$59,MATCH(S$7,'Inputs (2)'!$D$2:$AL$2,0)),"")</f>
        <v>27.9</v>
      </c>
      <c r="T37" s="266">
        <f>IFERROR(INDEX('Inputs (2)'!$D$59:$AL$59,MATCH(T$7,'Inputs (2)'!$D$2:$AL$2,0)),"")</f>
        <v>28.5</v>
      </c>
      <c r="U37" s="266">
        <f>IFERROR(INDEX('Inputs (2)'!$D$59:$AL$59,MATCH(U$7,'Inputs (2)'!$D$2:$AL$2,0)),"")</f>
        <v>28.6</v>
      </c>
      <c r="V37" s="266">
        <f>IFERROR(INDEX('Inputs (2)'!$D$59:$AL$59,MATCH(V$7,'Inputs (2)'!$D$2:$AL$2,0)),"")</f>
        <v>27.1</v>
      </c>
      <c r="W37" s="267">
        <f>IF(COUNT(S37:V37)=4,SUM(S37:V37),"")</f>
        <v>112.1</v>
      </c>
      <c r="X37" s="266">
        <f>IFERROR(INDEX('Inputs (2)'!$D$59:$AL$59,MATCH(X$7,'Inputs (2)'!$D$2:$AL$2,0)),"")</f>
        <v>25.7</v>
      </c>
      <c r="Y37" s="266">
        <f>IFERROR(INDEX('Inputs (2)'!$D$59:$AL$59,MATCH(Y$7,'Inputs (2)'!$D$2:$AL$2,0)),"")</f>
        <v>31</v>
      </c>
      <c r="Z37" s="266">
        <f>IFERROR(INDEX('Inputs (2)'!$D$59:$AL$59,MATCH(Z$7,'Inputs (2)'!$D$2:$AL$2,0)),"")</f>
        <v>36.7</v>
      </c>
      <c r="AA37" s="266">
        <f>IFERROR(INDEX('Inputs (2)'!$D$59:$AL$59,MATCH(AA$7,'Inputs (2)'!$D$2:$AL$2,0)),"")</f>
        <v>35.7</v>
      </c>
      <c r="AB37" s="267">
        <f>IF(COUNT(X37:AA37)=4,SUM(X37:AA37),"")</f>
        <v>129.1</v>
      </c>
      <c r="AC37" s="266">
        <f>IFERROR(INDEX('Inputs (2)'!$D$59:$AL$59,MATCH(AC$7,'Inputs (2)'!$D$2:$AL$2,0)),"")</f>
        <v>35.4</v>
      </c>
      <c r="AD37" s="266">
        <f>IFERROR(INDEX('Inputs (2)'!$D$59:$AL$59,MATCH(AD$7,'Inputs (2)'!$D$2:$AL$2,0)),"")</f>
        <v>33.9</v>
      </c>
      <c r="AE37" s="266">
        <f>IFERROR(INDEX('Inputs (2)'!$D$59:$AL$59,MATCH(AE$7,'Inputs (2)'!$D$2:$AL$2,0)),"")</f>
        <v>33.1</v>
      </c>
      <c r="AF37" s="266">
        <f>IFERROR(INDEX('Inputs (2)'!$D$59:$AL$59,MATCH(AF$7,'Inputs (2)'!$D$2:$AL$2,0)),"")</f>
        <v>27.7</v>
      </c>
      <c r="AG37" s="267">
        <f>IF(COUNT(AC37:AF37)=4,SUM(AC37:AF37),"")</f>
        <v>130.1</v>
      </c>
      <c r="AH37" s="267">
        <f>IFERROR(INDEX('Inputs (2)'!$D$59:$AL$59,MATCH(AH$7,'Inputs (2)'!$D$2:$AL$2,0)),"")</f>
        <v>29</v>
      </c>
      <c r="AI37" s="267">
        <f>IFERROR(INDEX('Inputs (2)'!$D$59:$AL$59,MATCH(AI$7,'Inputs (2)'!$D$2:$AL$2,0)),"")</f>
        <v>34.2</v>
      </c>
    </row>
    <row r="38">
      <c r="C38" s="14" t="inlineStr">
        <is>
          <t>Biogas captado - media do trimestre (mil Nm3/h)</t>
        </is>
      </c>
      <c r="D38" s="266">
        <f>IFERROR(IFERROR(INDEX('Inputs (2)'!$D$60:$AL$60,MATCH(D$7,'Inputs (2)'!$D$2:$AL$2,0)),"")/1000,"")</f>
        <v>26.345</v>
      </c>
      <c r="E38" s="266">
        <f>IFERROR(IFERROR(INDEX('Inputs (2)'!$D$60:$AL$60,MATCH(E$7,'Inputs (2)'!$D$2:$AL$2,0)),"")/1000,"")</f>
        <v>19.8</v>
      </c>
      <c r="F38" s="266">
        <f>IFERROR(IFERROR(INDEX('Inputs (2)'!$D$60:$AL$60,MATCH(F$7,'Inputs (2)'!$D$2:$AL$2,0)),"")/1000,"")</f>
        <v>19.7</v>
      </c>
      <c r="G38" s="266">
        <f>IFERROR(IFERROR(INDEX('Inputs (2)'!$D$60:$AL$60,MATCH(G$7,'Inputs (2)'!$D$2:$AL$2,0)),"")/1000,"")</f>
        <v>31.802</v>
      </c>
      <c r="H38" s="267" t="n"/>
      <c r="I38" s="266">
        <f>IFERROR(IFERROR(INDEX('Inputs (2)'!$D$60:$AL$60,MATCH(I$7,'Inputs (2)'!$D$2:$AL$2,0)),"")/1000,"")</f>
        <v>30.616</v>
      </c>
      <c r="J38" s="266">
        <f>IFERROR(IFERROR(INDEX('Inputs (2)'!$D$60:$AL$60,MATCH(J$7,'Inputs (2)'!$D$2:$AL$2,0)),"")/1000,"")</f>
        <v>20.9</v>
      </c>
      <c r="K38" s="266">
        <f>IFERROR(IFERROR(INDEX('Inputs (2)'!$D$60:$AL$60,MATCH(K$7,'Inputs (2)'!$D$2:$AL$2,0)),"")/1000,"")</f>
        <v>19</v>
      </c>
      <c r="L38" s="266">
        <f>IFERROR(IFERROR(INDEX('Inputs (2)'!$D$60:$AL$60,MATCH(L$7,'Inputs (2)'!$D$2:$AL$2,0)),"")/1000,"")</f>
        <v>18.7</v>
      </c>
      <c r="M38" s="267" t="n"/>
      <c r="N38" s="266">
        <f>IFERROR(IFERROR(INDEX('Inputs (2)'!$D$60:$AL$60,MATCH(N$7,'Inputs (2)'!$D$2:$AL$2,0)),"")/1000,"")</f>
        <v>32.696</v>
      </c>
      <c r="O38" s="266">
        <f>IFERROR(IFERROR(INDEX('Inputs (2)'!$D$60:$AL$60,MATCH(O$7,'Inputs (2)'!$D$2:$AL$2,0)),"")/1000,"")</f>
        <v>36</v>
      </c>
      <c r="P38" s="266">
        <f>IFERROR(IFERROR(INDEX('Inputs (2)'!$D$60:$AL$60,MATCH(P$7,'Inputs (2)'!$D$2:$AL$2,0)),"")/1000,"")</f>
        <v>43.882</v>
      </c>
      <c r="Q38" s="266">
        <f>IFERROR(IFERROR(INDEX('Inputs (2)'!$D$60:$AL$60,MATCH(Q$7,'Inputs (2)'!$D$2:$AL$2,0)),"")/1000,"")</f>
        <v>49.106</v>
      </c>
      <c r="R38" s="267" t="n"/>
      <c r="S38" s="266">
        <f>IFERROR(IFERROR(INDEX('Inputs (2)'!$D$60:$AL$60,MATCH(S$7,'Inputs (2)'!$D$2:$AL$2,0)),"")/1000,"")</f>
        <v>52.061</v>
      </c>
      <c r="T38" s="266">
        <f>IFERROR(IFERROR(INDEX('Inputs (2)'!$D$60:$AL$60,MATCH(T$7,'Inputs (2)'!$D$2:$AL$2,0)),"")/1000,"")</f>
        <v>55.224</v>
      </c>
      <c r="U38" s="266">
        <f>IFERROR(IFERROR(INDEX('Inputs (2)'!$D$60:$AL$60,MATCH(U$7,'Inputs (2)'!$D$2:$AL$2,0)),"")/1000,"")</f>
        <v>53.763</v>
      </c>
      <c r="V38" s="266">
        <f>IFERROR(IFERROR(INDEX('Inputs (2)'!$D$60:$AL$60,MATCH(V$7,'Inputs (2)'!$D$2:$AL$2,0)),"")/1000,"")</f>
        <v>56.103</v>
      </c>
      <c r="W38" s="267" t="n"/>
      <c r="X38" s="266">
        <f>IFERROR(IFERROR(INDEX('Inputs (2)'!$D$60:$AL$60,MATCH(X$7,'Inputs (2)'!$D$2:$AL$2,0)),"")/1000,"")</f>
        <v>60.167</v>
      </c>
      <c r="Y38" s="266">
        <f>IFERROR(IFERROR(INDEX('Inputs (2)'!$D$60:$AL$60,MATCH(Y$7,'Inputs (2)'!$D$2:$AL$2,0)),"")/1000,"")</f>
        <v>62.599</v>
      </c>
      <c r="Z38" s="266">
        <f>IFERROR(IFERROR(INDEX('Inputs (2)'!$D$60:$AL$60,MATCH(Z$7,'Inputs (2)'!$D$2:$AL$2,0)),"")/1000,"")</f>
        <v>62.271</v>
      </c>
      <c r="AA38" s="266">
        <f>IFERROR(IFERROR(INDEX('Inputs (2)'!$D$60:$AL$60,MATCH(AA$7,'Inputs (2)'!$D$2:$AL$2,0)),"")/1000,"")</f>
        <v>62.102</v>
      </c>
      <c r="AB38" s="267" t="n"/>
      <c r="AC38" s="266">
        <f>IFERROR(IFERROR(INDEX('Inputs (2)'!$D$60:$AL$60,MATCH(AC$7,'Inputs (2)'!$D$2:$AL$2,0)),"")/1000,"")</f>
        <v>60.678</v>
      </c>
      <c r="AD38" s="266">
        <f>IFERROR(IFERROR(INDEX('Inputs (2)'!$D$60:$AL$60,MATCH(AD$7,'Inputs (2)'!$D$2:$AL$2,0)),"")/1000,"")</f>
        <v>59.7793</v>
      </c>
      <c r="AE38" s="266">
        <f>IFERROR(IFERROR(INDEX('Inputs (2)'!$D$60:$AL$60,MATCH(AE$7,'Inputs (2)'!$D$2:$AL$2,0)),"")/1000,"")</f>
        <v>57.361</v>
      </c>
      <c r="AF38" s="266">
        <f>IFERROR(IFERROR(INDEX('Inputs (2)'!$D$60:$AL$60,MATCH(AF$7,'Inputs (2)'!$D$2:$AL$2,0)),"")/1000,"")</f>
        <v>58.971</v>
      </c>
      <c r="AG38" s="267" t="n"/>
      <c r="AH38" s="267">
        <f>IFERROR(IFERROR(INDEX('Inputs (2)'!$D$60:$AL$60,MATCH(AH$7,'Inputs (2)'!$D$2:$AL$2,0)),"")/1000,"")</f>
        <v>52.521</v>
      </c>
      <c r="AI38" s="267">
        <f>IFERROR(IFERROR(INDEX('Inputs (2)'!$D$60:$AL$60,MATCH(AI$7,'Inputs (2)'!$D$2:$AL$2,0)),"")/1000,"")</f>
        <v>55.2</v>
      </c>
    </row>
    <row r="39">
      <c r="C39" s="14" t="inlineStr">
        <is>
          <t>Energia eletrica gerada (GWh)</t>
        </is>
      </c>
      <c r="D39" s="266" t="str">
        <f>IFERROR(IFERROR(INDEX('Inputs (2)'!$D$61:$AL$61,MATCH(D$7,'Inputs (2)'!$D$2:$AL$2,0)),"")/1000,"")</f>
        <v/>
      </c>
      <c r="E39" s="266">
        <f>IFERROR(IFERROR(INDEX('Inputs (2)'!$D$61:$AL$61,MATCH(E$7,'Inputs (2)'!$D$2:$AL$2,0)),"")/1000,"")</f>
        <v>30.9</v>
      </c>
      <c r="F39" s="266">
        <f>IFERROR(IFERROR(INDEX('Inputs (2)'!$D$61:$AL$61,MATCH(F$7,'Inputs (2)'!$D$2:$AL$2,0)),"")/1000,"")</f>
        <v>32</v>
      </c>
      <c r="G39" s="266">
        <f>IFERROR(IFERROR(INDEX('Inputs (2)'!$D$61:$AL$61,MATCH(G$7,'Inputs (2)'!$D$2:$AL$2,0)),"")/1000,"")</f>
        <v>35.2</v>
      </c>
      <c r="H39" s="267" t="str">
        <f>IF(COUNT(D39:G39)=4,SUM(D39:G39),"")</f>
        <v/>
      </c>
      <c r="I39" s="266">
        <f>IFERROR(IFERROR(INDEX('Inputs (2)'!$D$61:$AL$61,MATCH(I$7,'Inputs (2)'!$D$2:$AL$2,0)),"")/1000,"")</f>
        <v>36.479</v>
      </c>
      <c r="J39" s="266">
        <f>IFERROR(IFERROR(INDEX('Inputs (2)'!$D$61:$AL$61,MATCH(J$7,'Inputs (2)'!$D$2:$AL$2,0)),"")/1000,"")</f>
        <v>37</v>
      </c>
      <c r="K39" s="266">
        <f>IFERROR(IFERROR(INDEX('Inputs (2)'!$D$61:$AL$61,MATCH(K$7,'Inputs (2)'!$D$2:$AL$2,0)),"")/1000,"")</f>
        <v>47.5</v>
      </c>
      <c r="L39" s="266">
        <f>IFERROR(IFERROR(INDEX('Inputs (2)'!$D$61:$AL$61,MATCH(L$7,'Inputs (2)'!$D$2:$AL$2,0)),"")/1000,"")</f>
        <v>54.1</v>
      </c>
      <c r="M39" s="267">
        <f>IF(COUNT(I39:L39)=4,SUM(I39:L39),"")</f>
        <v>175.079</v>
      </c>
      <c r="N39" s="266">
        <f>IFERROR(IFERROR(INDEX('Inputs (2)'!$D$61:$AL$61,MATCH(N$7,'Inputs (2)'!$D$2:$AL$2,0)),"")/1000,"")</f>
        <v>41.334</v>
      </c>
      <c r="O39" s="266">
        <f>IFERROR(IFERROR(INDEX('Inputs (2)'!$D$61:$AL$61,MATCH(O$7,'Inputs (2)'!$D$2:$AL$2,0)),"")/1000,"")</f>
        <v>57</v>
      </c>
      <c r="P39" s="266">
        <f>IFERROR(IFERROR(INDEX('Inputs (2)'!$D$61:$AL$61,MATCH(P$7,'Inputs (2)'!$D$2:$AL$2,0)),"")/1000,"")</f>
        <v>91.063</v>
      </c>
      <c r="Q39" s="266">
        <f>IFERROR(IFERROR(INDEX('Inputs (2)'!$D$61:$AL$61,MATCH(Q$7,'Inputs (2)'!$D$2:$AL$2,0)),"")/1000,"")</f>
        <v>100.343</v>
      </c>
      <c r="R39" s="267">
        <f>IF(COUNT(N39:Q39)=4,SUM(N39:Q39),"")</f>
        <v>289.74</v>
      </c>
      <c r="S39" s="266">
        <f>IFERROR(IFERROR(INDEX('Inputs (2)'!$D$61:$AL$61,MATCH(S$7,'Inputs (2)'!$D$2:$AL$2,0)),"")/1000,"")</f>
        <v>94.524</v>
      </c>
      <c r="T39" s="266">
        <f>IFERROR(IFERROR(INDEX('Inputs (2)'!$D$61:$AL$61,MATCH(T$7,'Inputs (2)'!$D$2:$AL$2,0)),"")/1000,"")</f>
        <v>100.744</v>
      </c>
      <c r="U39" s="266">
        <f>IFERROR(IFERROR(INDEX('Inputs (2)'!$D$61:$AL$61,MATCH(U$7,'Inputs (2)'!$D$2:$AL$2,0)),"")/1000,"")</f>
        <v>99.428</v>
      </c>
      <c r="V39" s="266">
        <f>IFERROR(IFERROR(INDEX('Inputs (2)'!$D$61:$AL$61,MATCH(V$7,'Inputs (2)'!$D$2:$AL$2,0)),"")/1000,"")</f>
        <v>103.742</v>
      </c>
      <c r="W39" s="267">
        <f>IF(COUNT(S39:V39)=4,SUM(S39:V39),"")</f>
        <v>398.438</v>
      </c>
      <c r="X39" s="266">
        <f>IFERROR(IFERROR(INDEX('Inputs (2)'!$D$61:$AL$61,MATCH(X$7,'Inputs (2)'!$D$2:$AL$2,0)),"")/1000,"")</f>
        <v>109.152</v>
      </c>
      <c r="Y39" s="266">
        <f>IFERROR(IFERROR(INDEX('Inputs (2)'!$D$61:$AL$61,MATCH(Y$7,'Inputs (2)'!$D$2:$AL$2,0)),"")/1000,"")</f>
        <v>96.313</v>
      </c>
      <c r="Z39" s="266">
        <f>IFERROR(IFERROR(INDEX('Inputs (2)'!$D$61:$AL$61,MATCH(Z$7,'Inputs (2)'!$D$2:$AL$2,0)),"")/1000,"")</f>
        <v>94.214</v>
      </c>
      <c r="AA39" s="266">
        <f>IFERROR(IFERROR(INDEX('Inputs (2)'!$D$61:$AL$61,MATCH(AA$7,'Inputs (2)'!$D$2:$AL$2,0)),"")/1000,"")</f>
        <v>96.129</v>
      </c>
      <c r="AB39" s="267">
        <f>IF(COUNT(X39:AA39)=4,SUM(X39:AA39),"")</f>
        <v>395.808</v>
      </c>
      <c r="AC39" s="266">
        <f>IFERROR(IFERROR(INDEX('Inputs (2)'!$D$61:$AL$61,MATCH(AC$7,'Inputs (2)'!$D$2:$AL$2,0)),"")/1000,"")</f>
        <v>83.591</v>
      </c>
      <c r="AD39" s="266">
        <f>IFERROR(IFERROR(INDEX('Inputs (2)'!$D$61:$AL$61,MATCH(AD$7,'Inputs (2)'!$D$2:$AL$2,0)),"")/1000,"")</f>
        <v>79.398</v>
      </c>
      <c r="AE39" s="266">
        <f>IFERROR(IFERROR(INDEX('Inputs (2)'!$D$61:$AL$61,MATCH(AE$7,'Inputs (2)'!$D$2:$AL$2,0)),"")/1000,"")</f>
        <v>79.269</v>
      </c>
      <c r="AF39" s="266">
        <f>IFERROR(IFERROR(INDEX('Inputs (2)'!$D$61:$AL$61,MATCH(AF$7,'Inputs (2)'!$D$2:$AL$2,0)),"")/1000,"")</f>
        <v>64.259</v>
      </c>
      <c r="AG39" s="267">
        <f>IF(COUNT(AC39:AF39)=4,SUM(AC39:AF39),"")</f>
        <v>306.517</v>
      </c>
      <c r="AH39" s="267">
        <f>IFERROR(IFERROR(INDEX('Inputs (2)'!$D$61:$AL$61,MATCH(AH$7,'Inputs (2)'!$D$2:$AL$2,0)),"")/1000,"")</f>
        <v>23.608</v>
      </c>
      <c r="AI39" s="267">
        <f>IFERROR(IFERROR(INDEX('Inputs (2)'!$D$61:$AL$61,MATCH(AI$7,'Inputs (2)'!$D$2:$AL$2,0)),"")/1000,"")</f>
        <v>21.465</v>
      </c>
    </row>
    <row r="40">
      <c r="C40" s="14" t="inlineStr">
        <is>
          <t>Creditos de carbono gerados (mil tCO2e)</t>
        </is>
      </c>
      <c r="D40" s="266">
        <f>IFERROR(IFERROR(INDEX('Inputs (2)'!$D$62:$AL$62,MATCH(D$7,'Inputs (2)'!$D$2:$AL$2,0)),"")/1000,"")</f>
        <v>318.471</v>
      </c>
      <c r="E40" s="266">
        <f>IFERROR(IFERROR(INDEX('Inputs (2)'!$D$62:$AL$62,MATCH(E$7,'Inputs (2)'!$D$2:$AL$2,0)),"")/1000,"")</f>
        <v>355.8</v>
      </c>
      <c r="F40" s="266">
        <f>IFERROR(IFERROR(INDEX('Inputs (2)'!$D$62:$AL$62,MATCH(F$7,'Inputs (2)'!$D$2:$AL$2,0)),"")/1000,"")</f>
        <v>397.3</v>
      </c>
      <c r="G40" s="266">
        <f>IFERROR(IFERROR(INDEX('Inputs (2)'!$D$62:$AL$62,MATCH(G$7,'Inputs (2)'!$D$2:$AL$2,0)),"")/1000,"")</f>
        <v>428.255</v>
      </c>
      <c r="H40" s="267">
        <f>IF(COUNT(D40:G40)=4,SUM(D40:G40),"")</f>
        <v>1499.826</v>
      </c>
      <c r="I40" s="266">
        <f>IFERROR(IFERROR(INDEX('Inputs (2)'!$D$62:$AL$62,MATCH(I$7,'Inputs (2)'!$D$2:$AL$2,0)),"")/1000,"")</f>
        <v>407.316</v>
      </c>
      <c r="J40" s="266">
        <f>IFERROR(IFERROR(INDEX('Inputs (2)'!$D$62:$AL$62,MATCH(J$7,'Inputs (2)'!$D$2:$AL$2,0)),"")/1000,"")</f>
        <v>379.7</v>
      </c>
      <c r="K40" s="266">
        <f>IFERROR(IFERROR(INDEX('Inputs (2)'!$D$62:$AL$62,MATCH(K$7,'Inputs (2)'!$D$2:$AL$2,0)),"")/1000,"")</f>
        <v>367.3</v>
      </c>
      <c r="L40" s="266">
        <f>IFERROR(IFERROR(INDEX('Inputs (2)'!$D$62:$AL$62,MATCH(L$7,'Inputs (2)'!$D$2:$AL$2,0)),"")/1000,"")</f>
        <v>455.7</v>
      </c>
      <c r="M40" s="267">
        <f>IF(COUNT(I40:L40)=4,SUM(I40:L40),"")</f>
        <v>1610.016</v>
      </c>
      <c r="N40" s="266">
        <f>IFERROR(IFERROR(INDEX('Inputs (2)'!$D$62:$AL$62,MATCH(N$7,'Inputs (2)'!$D$2:$AL$2,0)),"")/1000,"")</f>
        <v>483.524</v>
      </c>
      <c r="O40" s="266">
        <f>IFERROR(IFERROR(INDEX('Inputs (2)'!$D$62:$AL$62,MATCH(O$7,'Inputs (2)'!$D$2:$AL$2,0)),"")/1000,"")</f>
        <v>473</v>
      </c>
      <c r="P40" s="266">
        <f>IFERROR(IFERROR(INDEX('Inputs (2)'!$D$62:$AL$62,MATCH(P$7,'Inputs (2)'!$D$2:$AL$2,0)),"")/1000,"")</f>
        <v>437.472</v>
      </c>
      <c r="Q40" s="266">
        <f>IFERROR(IFERROR(INDEX('Inputs (2)'!$D$62:$AL$62,MATCH(Q$7,'Inputs (2)'!$D$2:$AL$2,0)),"")/1000,"")</f>
        <v>654.701</v>
      </c>
      <c r="R40" s="267">
        <f>IF(COUNT(N40:Q40)=4,SUM(N40:Q40),"")</f>
        <v>2048.697</v>
      </c>
      <c r="S40" s="266">
        <f>IFERROR(IFERROR(INDEX('Inputs (2)'!$D$62:$AL$62,MATCH(S$7,'Inputs (2)'!$D$2:$AL$2,0)),"")/1000,"")</f>
        <v>743.652</v>
      </c>
      <c r="T40" s="266">
        <f>IFERROR(IFERROR(INDEX('Inputs (2)'!$D$62:$AL$62,MATCH(T$7,'Inputs (2)'!$D$2:$AL$2,0)),"")/1000,"")</f>
        <v>702.923</v>
      </c>
      <c r="U40" s="266">
        <f>IFERROR(IFERROR(INDEX('Inputs (2)'!$D$62:$AL$62,MATCH(U$7,'Inputs (2)'!$D$2:$AL$2,0)),"")/1000,"")</f>
        <v>752.302</v>
      </c>
      <c r="V40" s="266">
        <f>IFERROR(IFERROR(INDEX('Inputs (2)'!$D$62:$AL$62,MATCH(V$7,'Inputs (2)'!$D$2:$AL$2,0)),"")/1000,"")</f>
        <v>793.097</v>
      </c>
      <c r="W40" s="267">
        <f>IF(COUNT(S40:V40)=4,SUM(S40:V40),"")</f>
        <v>2991.974</v>
      </c>
      <c r="X40" s="266">
        <f>IFERROR(IFERROR(INDEX('Inputs (2)'!$D$62:$AL$62,MATCH(X$7,'Inputs (2)'!$D$2:$AL$2,0)),"")/1000,"")</f>
        <v>843.664</v>
      </c>
      <c r="Y40" s="266">
        <f>IFERROR(IFERROR(INDEX('Inputs (2)'!$D$62:$AL$62,MATCH(Y$7,'Inputs (2)'!$D$2:$AL$2,0)),"")/1000,"")</f>
        <v>873.852</v>
      </c>
      <c r="Z40" s="266">
        <f>IFERROR(IFERROR(INDEX('Inputs (2)'!$D$62:$AL$62,MATCH(Z$7,'Inputs (2)'!$D$2:$AL$2,0)),"")/1000,"")</f>
        <v>872.269</v>
      </c>
      <c r="AA40" s="266">
        <f>IFERROR(IFERROR(INDEX('Inputs (2)'!$D$62:$AL$62,MATCH(AA$7,'Inputs (2)'!$D$2:$AL$2,0)),"")/1000,"")</f>
        <v>871.843</v>
      </c>
      <c r="AB40" s="267">
        <f>IF(COUNT(X40:AA40)=4,SUM(X40:AA40),"")</f>
        <v>3461.628</v>
      </c>
      <c r="AC40" s="266">
        <f>IFERROR(IFERROR(INDEX('Inputs (2)'!$D$62:$AL$62,MATCH(AC$7,'Inputs (2)'!$D$2:$AL$2,0)),"")/1000,"")</f>
        <v>888.674</v>
      </c>
      <c r="AD40" s="266">
        <f>IFERROR(IFERROR(INDEX('Inputs (2)'!$D$62:$AL$62,MATCH(AD$7,'Inputs (2)'!$D$2:$AL$2,0)),"")/1000,"")</f>
        <v>864.369</v>
      </c>
      <c r="AE40" s="266">
        <f>IFERROR(IFERROR(INDEX('Inputs (2)'!$D$62:$AL$62,MATCH(AE$7,'Inputs (2)'!$D$2:$AL$2,0)),"")/1000,"")</f>
        <v>819.192</v>
      </c>
      <c r="AF40" s="266">
        <f>IFERROR(IFERROR(INDEX('Inputs (2)'!$D$62:$AL$62,MATCH(AF$7,'Inputs (2)'!$D$2:$AL$2,0)),"")/1000,"")</f>
        <v>670.49</v>
      </c>
      <c r="AG40" s="267">
        <f>IF(COUNT(AC40:AF40)=4,SUM(AC40:AF40),"")</f>
        <v>3242.725</v>
      </c>
      <c r="AH40" s="267">
        <f>IFERROR(IFERROR(INDEX('Inputs (2)'!$D$62:$AL$62,MATCH(AH$7,'Inputs (2)'!$D$2:$AL$2,0)),"")/1000,"")</f>
        <v>554.709</v>
      </c>
      <c r="AI40" s="267">
        <f>IFERROR(IFERROR(INDEX('Inputs (2)'!$D$62:$AL$62,MATCH(AI$7,'Inputs (2)'!$D$2:$AL$2,0)),"")/1000,"")</f>
        <v>644.5</v>
      </c>
    </row>
    <row r="41"/>
    <row r="42"/>
    <row r="43"/>
    <row r="44"/>
    <row r="45"/>
    <row r="46"/>
    <row r="47"/>
    <row r="48"/>
    <row r="49"/>
    <row r="50"/>
    <row r="51"/>
    <row r="52" hidden="1" outlineLevel="1" customFormat="1" s="23">
      <c r="A52" s="18" t="n"/>
      <c r="B52" s="19" t="n"/>
      <c r="C52" s="20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  <c r="AU52" s="21" t="n"/>
      <c r="AV52" s="21" t="n"/>
      <c r="AW52" s="21" t="n"/>
      <c r="AX52" s="21" t="n"/>
      <c r="AY52" s="21" t="n"/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  <c r="BL52" s="21" t="n"/>
      <c r="BM52" s="21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  <c r="CA52" s="21" t="n"/>
      <c r="CB52" s="21" t="n"/>
      <c r="CC52" s="21" t="n"/>
      <c r="CD52" s="21" t="n"/>
      <c r="CE52" s="21" t="n"/>
      <c r="CF52" s="21" t="n"/>
      <c r="CG52" s="21" t="n"/>
      <c r="CH52" s="21" t="n"/>
      <c r="CI52" s="21" t="n"/>
      <c r="CJ52" s="21" t="n"/>
      <c r="CK52" s="21" t="n"/>
      <c r="CL52" s="21" t="n"/>
      <c r="CM52" s="21" t="n"/>
      <c r="CN52" s="21" t="n"/>
      <c r="CO52" s="21" t="n"/>
      <c r="CP52" s="21" t="n"/>
      <c r="CQ52" s="21" t="n"/>
      <c r="CR52" s="21" t="n"/>
      <c r="CS52" s="21" t="n"/>
      <c r="CT52" s="21" t="n"/>
      <c r="CU52" s="21" t="n"/>
      <c r="CV52" s="21" t="n"/>
      <c r="CW52" s="21" t="n"/>
      <c r="CX52" s="21" t="n"/>
      <c r="CY52" s="21" t="n"/>
    </row>
    <row r="53" hidden="1" outlineLevel="1" customFormat="1" s="23">
      <c r="A53" s="18" t="n"/>
      <c r="B53" s="19" t="n"/>
      <c r="C53" s="20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  <c r="BL53" s="21" t="n"/>
      <c r="BM53" s="21" t="n"/>
      <c r="BN53" s="21" t="n"/>
      <c r="BO53" s="21" t="n"/>
      <c r="BP53" s="21" t="n"/>
      <c r="BQ53" s="21" t="n"/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  <c r="CA53" s="21" t="n"/>
      <c r="CB53" s="21" t="n"/>
      <c r="CC53" s="21" t="n"/>
      <c r="CD53" s="21" t="n"/>
      <c r="CE53" s="21" t="n"/>
      <c r="CF53" s="21" t="n"/>
      <c r="CG53" s="21" t="n"/>
      <c r="CH53" s="21" t="n"/>
      <c r="CI53" s="21" t="n"/>
      <c r="CJ53" s="21" t="n"/>
      <c r="CK53" s="21" t="n"/>
      <c r="CL53" s="21" t="n"/>
      <c r="CM53" s="21" t="n"/>
      <c r="CN53" s="21" t="n"/>
      <c r="CO53" s="21" t="n"/>
      <c r="CP53" s="21" t="n"/>
      <c r="CQ53" s="21" t="n"/>
      <c r="CR53" s="21" t="n"/>
      <c r="CS53" s="21" t="n"/>
      <c r="CT53" s="21" t="n"/>
      <c r="CU53" s="21" t="n"/>
      <c r="CV53" s="21" t="n"/>
      <c r="CW53" s="21" t="n"/>
      <c r="CX53" s="21" t="n"/>
      <c r="CY53" s="21" t="n"/>
    </row>
    <row r="54" collapsed="1">
      <c r="C54" s="24" t="inlineStr">
        <is>
          <t>COGS (cash)</t>
        </is>
      </c>
      <c r="D54" s="25">
        <f>INDEX('Inputs (2)'!$D$5:$AL$5,MATCH(D$7,'Inputs (2)'!$D$2:$AL$2,0))</f>
        <v>-45.811</v>
      </c>
      <c r="E54" s="25">
        <f>INDEX('Inputs (2)'!$D$5:$AL$5,MATCH(E$7,'Inputs (2)'!$D$2:$AL$2,0))</f>
        <v>-52.412</v>
      </c>
      <c r="F54" s="25">
        <f>INDEX('Inputs (2)'!$D$5:$AL$5,MATCH(F$7,'Inputs (2)'!$D$2:$AL$2,0))</f>
        <v>-50.711</v>
      </c>
      <c r="G54" s="25">
        <f>INDEX('Inputs (2)'!$D$5:$AL$5,MATCH(G$7,'Inputs (2)'!$D$2:$AL$2,0))</f>
        <v>-46.207</v>
      </c>
      <c r="H54" s="3">
        <f>SUM(D54:G54)</f>
        <v>-195.141</v>
      </c>
      <c r="I54" s="25">
        <f>INDEX('Inputs (2)'!$D$5:$AL$5,MATCH(I$7,'Inputs (2)'!$D$2:$AL$2,0))</f>
        <v>-48.705</v>
      </c>
      <c r="J54" s="25">
        <f>INDEX('Inputs (2)'!$D$5:$AL$5,MATCH(J$7,'Inputs (2)'!$D$2:$AL$2,0))</f>
        <v>-47.306</v>
      </c>
      <c r="K54" s="25">
        <f>INDEX('Inputs (2)'!$D$5:$AL$5,MATCH(K$7,'Inputs (2)'!$D$2:$AL$2,0))</f>
        <v>-48.248</v>
      </c>
      <c r="L54" s="25">
        <f>INDEX('Inputs (2)'!$D$5:$AL$5,MATCH(L$7,'Inputs (2)'!$D$2:$AL$2,0))</f>
        <v>-58.945</v>
      </c>
      <c r="M54" s="3">
        <f>SUM(I54:L54)</f>
        <v>-203.204</v>
      </c>
      <c r="N54" s="25">
        <f>INDEX('Inputs (2)'!$D$5:$AL$5,MATCH(N$7,'Inputs (2)'!$D$2:$AL$2,0))</f>
        <v>-49.525</v>
      </c>
      <c r="O54" s="25">
        <f>INDEX('Inputs (2)'!$D$5:$AL$5,MATCH(O$7,'Inputs (2)'!$D$2:$AL$2,0))</f>
        <v>-76.402</v>
      </c>
      <c r="P54" s="25">
        <f>INDEX('Inputs (2)'!$D$5:$AL$5,MATCH(P$7,'Inputs (2)'!$D$2:$AL$2,0))</f>
        <v>-90.519</v>
      </c>
      <c r="Q54" s="25">
        <f>INDEX('Inputs (2)'!$D$5:$AL$5,MATCH(Q$7,'Inputs (2)'!$D$2:$AL$2,0))</f>
        <v>-86.165</v>
      </c>
      <c r="R54" s="3">
        <f>SUM(N54:Q54)</f>
        <v>-302.611</v>
      </c>
      <c r="S54" s="25">
        <f>INDEX('Inputs (2)'!$D$5:$AL$5,MATCH(S$7,'Inputs (2)'!$D$2:$AL$2,0))</f>
        <v>-86.346</v>
      </c>
      <c r="T54" s="25">
        <f>INDEX('Inputs (2)'!$D$5:$AL$5,MATCH(T$7,'Inputs (2)'!$D$2:$AL$2,0))</f>
        <v>-94.069</v>
      </c>
      <c r="U54" s="25">
        <f>INDEX('Inputs (2)'!$D$5:$AL$5,MATCH(U$7,'Inputs (2)'!$D$2:$AL$2,0))</f>
        <v>-83.558</v>
      </c>
      <c r="V54" s="25">
        <f>INDEX('Inputs (2)'!$D$5:$AL$5,MATCH(V$7,'Inputs (2)'!$D$2:$AL$2,0))</f>
        <v>-98.966</v>
      </c>
      <c r="W54" s="3">
        <f>SUM(S54:V54)</f>
        <v>-362.939</v>
      </c>
      <c r="X54" s="25">
        <f>INDEX('Inputs (2)'!$D$5:$AL$5,MATCH(X$7,'Inputs (2)'!$D$2:$AL$2,0))</f>
        <v>-77.369</v>
      </c>
      <c r="Y54" s="25">
        <f>INDEX('Inputs (2)'!$D$5:$AL$5,MATCH(Y$7,'Inputs (2)'!$D$2:$AL$2,0))</f>
        <v>-88.846</v>
      </c>
      <c r="Z54" s="25">
        <f>INDEX('Inputs (2)'!$D$5:$AL$5,MATCH(Z$7,'Inputs (2)'!$D$2:$AL$2,0))</f>
        <v>-84.274</v>
      </c>
      <c r="AA54" s="25">
        <f>INDEX('Inputs (2)'!$D$5:$AL$5,MATCH(AA$7,'Inputs (2)'!$D$2:$AL$2,0))</f>
        <v>-83.47</v>
      </c>
      <c r="AB54" s="3">
        <f>SUM(X54:AA54)</f>
        <v>-333.959</v>
      </c>
      <c r="AC54" s="25">
        <f>INDEX('Inputs (2)'!$D$5:$AL$5,MATCH(AC$7,'Inputs (2)'!$D$2:$AL$2,0))</f>
        <v>-91.237</v>
      </c>
      <c r="AD54" s="25">
        <f>INDEX('Inputs (2)'!$D$5:$AL$5,MATCH(AD$7,'Inputs (2)'!$D$2:$AL$2,0))</f>
        <v>-97.161</v>
      </c>
      <c r="AE54" s="25">
        <f>INDEX('Inputs (2)'!$D$5:$AL$5,MATCH(AE$7,'Inputs (2)'!$D$2:$AL$2,0))</f>
        <v>-99.666</v>
      </c>
      <c r="AF54" s="25">
        <f>INDEX('Inputs (2)'!$D$5:$AL$5,MATCH(AF$7,'Inputs (2)'!$D$2:$AL$2,0))</f>
        <v>-95.835</v>
      </c>
      <c r="AG54" s="3">
        <f>SUM(AC54:AF54)</f>
        <v>-383.899</v>
      </c>
      <c r="AH54" s="3">
        <f>INDEX('Inputs (2)'!$D$5:$AL$5,MATCH(AH$7,'Inputs (2)'!$D$2:$AL$2,0))</f>
        <v>-146.967</v>
      </c>
      <c r="AI54" s="3">
        <f>INDEX('Inputs (2)'!$D$5:$AL$5,MATCH(AI$7,'Inputs (2)'!$D$2:$AL$2,0))</f>
        <v>-372.145</v>
      </c>
      <c r="AJ54" s="3">
        <f>(100%-AJ55)*-AJ15</f>
        <v>-281.05</v>
      </c>
      <c r="AK54" s="3">
        <f>(100%-AK55)*-AK15</f>
        <v>-264.309</v>
      </c>
      <c r="AL54" s="3">
        <f>SUM(AH54:AK54)</f>
        <v>-1064.471</v>
      </c>
      <c r="AM54" s="3">
        <f>(100%-AM55)*-AM15</f>
        <v>-331.076</v>
      </c>
      <c r="AN54" s="3">
        <f>(100%-AN55)*-AN15</f>
        <v>-622.836</v>
      </c>
      <c r="AO54" s="3">
        <f>(100%-AO55)*-AO15</f>
        <v>-281.05</v>
      </c>
      <c r="AP54" s="3">
        <f>(100%-AP55)*-AP15</f>
        <v>-264.309</v>
      </c>
      <c r="AQ54" s="3">
        <f>SUM(AM54:AP54)</f>
        <v>-1499.271</v>
      </c>
      <c r="AR54" s="3">
        <f>(100%-AR55)*-AR15</f>
        <v>-331.076</v>
      </c>
      <c r="AS54" s="3">
        <f>(100%-AS55)*-AS15</f>
        <v>-622.836</v>
      </c>
      <c r="AT54" s="3">
        <f>(100%-AT55)*-AT15</f>
        <v>-281.05</v>
      </c>
      <c r="AU54" s="3">
        <f>(100%-AU55)*-AU15</f>
        <v>-264.309</v>
      </c>
      <c r="AV54" s="3">
        <f>SUM(AR54:AU54)</f>
        <v>-1499.271</v>
      </c>
      <c r="AW54" s="3">
        <f>(100%-AW55)*-AW15</f>
        <v>-331.076</v>
      </c>
      <c r="AX54" s="3">
        <f>(100%-AX55)*-AX15</f>
        <v>-622.836</v>
      </c>
      <c r="AY54" s="3">
        <f>(100%-AY55)*-AY15</f>
        <v>-281.05</v>
      </c>
      <c r="AZ54" s="3">
        <f>(100%-AZ55)*-AZ15</f>
        <v>-264.309</v>
      </c>
      <c r="BA54" s="3">
        <f>SUM(AW54:AZ54)</f>
        <v>-1499.271</v>
      </c>
      <c r="BB54" s="3">
        <f>(100%-BB55)*-BB15</f>
        <v>-331.076</v>
      </c>
      <c r="BC54" s="3">
        <f>(100%-BC55)*-BC15</f>
        <v>-622.836</v>
      </c>
      <c r="BD54" s="3">
        <f>(100%-BD55)*-BD15</f>
        <v>-281.05</v>
      </c>
      <c r="BE54" s="3">
        <f>(100%-BE55)*-BE15</f>
        <v>-264.309</v>
      </c>
      <c r="BF54" s="3">
        <f>SUM(BB54:BE54)</f>
        <v>-1499.271</v>
      </c>
      <c r="BG54" s="3">
        <f>(100%-BG55)*-BG15</f>
        <v>-331.076</v>
      </c>
      <c r="BH54" s="3">
        <f>(100%-BH55)*-BH15</f>
        <v>-622.836</v>
      </c>
      <c r="BI54" s="3">
        <f>(100%-BI55)*-BI15</f>
        <v>-281.05</v>
      </c>
      <c r="BJ54" s="3">
        <f>(100%-BJ55)*-BJ15</f>
        <v>-264.309</v>
      </c>
      <c r="BK54" s="3">
        <f>SUM(BG54:BJ54)</f>
        <v>-1499.271</v>
      </c>
      <c r="BL54" s="3">
        <f>(100%-BL55)*-BL15</f>
        <v>-331.076</v>
      </c>
      <c r="BM54" s="3">
        <f>(100%-BM55)*-BM15</f>
        <v>-622.836</v>
      </c>
      <c r="BN54" s="3">
        <f>(100%-BN55)*-BN15</f>
        <v>-281.05</v>
      </c>
      <c r="BO54" s="3">
        <f>(100%-BO55)*-BO15</f>
        <v>-264.309</v>
      </c>
      <c r="BP54" s="3">
        <f>SUM(BL54:BO54)</f>
        <v>-1499.271</v>
      </c>
      <c r="BQ54" s="3">
        <f>(100%-BQ55)*-BQ15</f>
        <v>-331.076</v>
      </c>
      <c r="BR54" s="3">
        <f>(100%-BR55)*-BR15</f>
        <v>-622.836</v>
      </c>
      <c r="BS54" s="3">
        <f>(100%-BS55)*-BS15</f>
        <v>-281.05</v>
      </c>
      <c r="BT54" s="3">
        <f>(100%-BT55)*-BT15</f>
        <v>-264.309</v>
      </c>
      <c r="BU54" s="3">
        <f>SUM(BQ54:BT54)</f>
        <v>-1499.271</v>
      </c>
      <c r="BV54" s="3">
        <f>(100%-BV55)*-BV15</f>
        <v>-331.076</v>
      </c>
      <c r="BW54" s="3">
        <f>(100%-BW55)*-BW15</f>
        <v>-622.836</v>
      </c>
      <c r="BX54" s="3">
        <f>(100%-BX55)*-BX15</f>
        <v>-281.05</v>
      </c>
      <c r="BY54" s="3">
        <f>(100%-BY55)*-BY15</f>
        <v>-264.309</v>
      </c>
      <c r="BZ54" s="3">
        <f>SUM(BV54:BY54)</f>
        <v>-1499.271</v>
      </c>
      <c r="CA54" s="3">
        <f>(100%-CA55)*-CA15</f>
        <v>-331.076</v>
      </c>
      <c r="CB54" s="3">
        <f>(100%-CB55)*-CB15</f>
        <v>-622.836</v>
      </c>
      <c r="CC54" s="3">
        <f>(100%-CC55)*-CC15</f>
        <v>-281.05</v>
      </c>
      <c r="CD54" s="3">
        <f>(100%-CD55)*-CD15</f>
        <v>-264.309</v>
      </c>
      <c r="CE54" s="3">
        <f>SUM(CA54:CD54)</f>
        <v>-1499.271</v>
      </c>
      <c r="CF54" s="3">
        <f>(100%-CF55)*-CF15</f>
        <v>-331.076</v>
      </c>
      <c r="CG54" s="3">
        <f>(100%-CG55)*-CG15</f>
        <v>-622.836</v>
      </c>
      <c r="CH54" s="3">
        <f>(100%-CH55)*-CH15</f>
        <v>-281.05</v>
      </c>
      <c r="CI54" s="3">
        <f>(100%-CI55)*-CI15</f>
        <v>-264.309</v>
      </c>
      <c r="CJ54" s="3">
        <f>SUM(CF54:CI54)</f>
        <v>-1499.271</v>
      </c>
      <c r="CK54" s="3">
        <f>(100%-CK55)*-CK15</f>
        <v>-331.076</v>
      </c>
      <c r="CL54" s="3">
        <f>(100%-CL55)*-CL15</f>
        <v>-622.836</v>
      </c>
      <c r="CM54" s="3">
        <f>(100%-CM55)*-CM15</f>
        <v>-281.05</v>
      </c>
      <c r="CN54" s="3">
        <f>(100%-CN55)*-CN15</f>
        <v>-264.309</v>
      </c>
      <c r="CO54" s="3">
        <f>SUM(CK54:CN54)</f>
        <v>-1499.271</v>
      </c>
      <c r="CP54" s="3">
        <f>(100%-CP55)*-CP15</f>
        <v>-331.076</v>
      </c>
      <c r="CQ54" s="3">
        <f>(100%-CQ55)*-CQ15</f>
        <v>-622.836</v>
      </c>
      <c r="CR54" s="3">
        <f>(100%-CR55)*-CR15</f>
        <v>-281.05</v>
      </c>
      <c r="CS54" s="3">
        <f>(100%-CS55)*-CS15</f>
        <v>-264.309</v>
      </c>
      <c r="CT54" s="3">
        <f>SUM(CP54:CS54)</f>
        <v>-1499.271</v>
      </c>
      <c r="CU54" s="3">
        <f>(100%-CU55)*-CU15</f>
        <v>-331.076</v>
      </c>
      <c r="CV54" s="3">
        <f>(100%-CV55)*-CV15</f>
        <v>-622.836</v>
      </c>
      <c r="CW54" s="3">
        <f>(100%-CW55)*-CW15</f>
        <v>-281.05</v>
      </c>
      <c r="CX54" s="3">
        <f>(100%-CX55)*-CX15</f>
        <v>-264.309</v>
      </c>
      <c r="CY54" s="3">
        <f>SUM(CU54:CX54)</f>
        <v>-1499.271</v>
      </c>
    </row>
    <row r="55" hidden="1" outlineLevel="1" customFormat="1" s="1">
      <c r="C55" s="57" t="inlineStr">
        <is>
          <t>% Gross Margin</t>
        </is>
      </c>
      <c r="D55" s="54">
        <f>(D15+D54)/D$15</f>
        <v>0.49938257439159</v>
      </c>
      <c r="E55" s="54">
        <f>(E15+E54)/E$15</f>
        <v>0.475019031211186</v>
      </c>
      <c r="F55" s="54">
        <f>(F15+F54)/F$15</f>
        <v>0.480446698427335</v>
      </c>
      <c r="G55" s="54">
        <f>(G15+G54)/G$15</f>
        <v>0.551466733968821</v>
      </c>
      <c r="H55" s="54">
        <f>(H15+H54)/H$15</f>
        <v>0.502150685770267</v>
      </c>
      <c r="I55" s="54">
        <f>(I15+I54)/I$15</f>
        <v>0.44416547788873</v>
      </c>
      <c r="J55" s="54">
        <f>(J15+J54)/J$15</f>
        <v>0.48961558794653</v>
      </c>
      <c r="K55" s="54">
        <f>(K15+K54)/K$15</f>
        <v>0.516751635099809</v>
      </c>
      <c r="L55" s="54">
        <f>(L15+L54)/L$15</f>
        <v>0.620598211929481</v>
      </c>
      <c r="M55" s="54">
        <f>(M15+M54)/M$15</f>
        <v>0.533417830803002</v>
      </c>
      <c r="N55" s="54">
        <f>(N15+N54)/N$15</f>
        <v>0.500886864329914</v>
      </c>
      <c r="O55" s="54">
        <f>(O15+O54)/O$15</f>
        <v>0.49272302339787</v>
      </c>
      <c r="P55" s="54">
        <f>(P15+P54)/P$15</f>
        <v>0.540925158613834</v>
      </c>
      <c r="Q55" s="54">
        <f>(Q15+Q54)/Q$15</f>
        <v>0.519192674475054</v>
      </c>
      <c r="R55" s="54">
        <f>(R15+R54)/R$15</f>
        <v>0.516768760060298</v>
      </c>
      <c r="S55" s="54">
        <f>(S15+S54)/S$15</f>
        <v>0.542767878418809</v>
      </c>
      <c r="T55" s="54">
        <f>(T15+T54)/T$15</f>
        <v>0.52065530331983</v>
      </c>
      <c r="U55" s="54">
        <f>(U15+U54)/U$15</f>
        <v>0.566155587516031</v>
      </c>
      <c r="V55" s="54">
        <f>(V15+V54)/V$15</f>
        <v>0.501649151253607</v>
      </c>
      <c r="W55" s="54">
        <f>(W15+W54)/W$15</f>
        <v>0.532461392597478</v>
      </c>
      <c r="X55" s="54">
        <f>(X15+X54)/X$15</f>
        <v>0.630071815860691</v>
      </c>
      <c r="Y55" s="54">
        <f>(Y15+Y54)/Y$15</f>
        <v>0.5868531065302</v>
      </c>
      <c r="Z55" s="54">
        <f>(Z15+Z54)/Z$15</f>
        <v>0.661650754394277</v>
      </c>
      <c r="AA55" s="54">
        <f>(AA15+AA54)/AA$15</f>
        <v>0.63741170951235</v>
      </c>
      <c r="AB55" s="54">
        <f>(AB15+AB54)/AB$15</f>
        <v>0.630360840888438</v>
      </c>
      <c r="AC55" s="54">
        <f>(AC15+AC54)/AC$15</f>
        <v>0.621108803986711</v>
      </c>
      <c r="AD55" s="54">
        <f>(AD15+AD54)/AD$15</f>
        <v>0.632218062616161</v>
      </c>
      <c r="AE55" s="54">
        <f>(AE15+AE54)/AE$15</f>
        <v>0.645379825653798</v>
      </c>
      <c r="AF55" s="44">
        <f>(AF15+AF54)/AF$15</f>
        <v>0.637413027933215</v>
      </c>
      <c r="AG55" s="54">
        <f>(AG15+AG54)/AG$15</f>
        <v>0.634500257059619</v>
      </c>
      <c r="AH55" s="55">
        <f>(AH15+AH54)/AH$15</f>
        <v>0.556092860853701</v>
      </c>
      <c r="AI55" s="55">
        <f>(AI15+AI54)/AI$15</f>
        <v>0.402499213276047</v>
      </c>
      <c r="AJ55" s="55" t="n"/>
      <c r="AK55" s="55" t="n"/>
      <c r="AL55" s="54">
        <f>(AL15+AL54)/AL$15</f>
        <v>0.290007610365304</v>
      </c>
      <c r="AM55" s="55" t="n"/>
      <c r="AN55" s="55" t="n"/>
      <c r="AO55" s="55" t="n"/>
      <c r="AP55" s="55" t="n"/>
      <c r="AQ55" s="54">
        <f>(AQ15+AQ54)/AQ$15</f>
        <v>0</v>
      </c>
      <c r="AR55" s="55" t="n"/>
      <c r="AS55" s="55" t="n"/>
      <c r="AT55" s="55" t="n"/>
      <c r="AU55" s="55" t="n"/>
      <c r="AV55" s="54">
        <f>(AV15+AV54)/AV$15</f>
        <v>0</v>
      </c>
      <c r="AW55" s="55" t="n"/>
      <c r="AX55" s="55" t="n"/>
      <c r="AY55" s="55" t="n"/>
      <c r="AZ55" s="55" t="n"/>
      <c r="BA55" s="54">
        <f>(BA15+BA54)/BA$15</f>
        <v>0</v>
      </c>
      <c r="BB55" s="55" t="n"/>
      <c r="BC55" s="55" t="n"/>
      <c r="BD55" s="55" t="n"/>
      <c r="BE55" s="55" t="n"/>
      <c r="BF55" s="54">
        <f>(BF15+BF54)/BF$15</f>
        <v>0</v>
      </c>
      <c r="BG55" s="55" t="n"/>
      <c r="BH55" s="55" t="n"/>
      <c r="BI55" s="55" t="n"/>
      <c r="BJ55" s="55" t="n"/>
      <c r="BK55" s="54">
        <f>(BK15+BK54)/BK$15</f>
        <v>0</v>
      </c>
      <c r="BL55" s="55" t="n"/>
      <c r="BM55" s="55" t="n"/>
      <c r="BN55" s="55" t="n"/>
      <c r="BO55" s="55" t="n"/>
      <c r="BP55" s="54">
        <f>(BP15+BP54)/BP$15</f>
        <v>0</v>
      </c>
      <c r="BQ55" s="55" t="n"/>
      <c r="BR55" s="55" t="n"/>
      <c r="BS55" s="55" t="n"/>
      <c r="BT55" s="55" t="n"/>
      <c r="BU55" s="54">
        <f>(BU15+BU54)/BU$15</f>
        <v>0</v>
      </c>
      <c r="BV55" s="55" t="n"/>
      <c r="BW55" s="55" t="n"/>
      <c r="BX55" s="55" t="n"/>
      <c r="BY55" s="55" t="n"/>
      <c r="BZ55" s="54">
        <f>(BZ15+BZ54)/BZ$15</f>
        <v>0</v>
      </c>
      <c r="CA55" s="55" t="n"/>
      <c r="CB55" s="55" t="n"/>
      <c r="CC55" s="55" t="n"/>
      <c r="CD55" s="55" t="n"/>
      <c r="CE55" s="54">
        <f>(CE15+CE54)/CE$15</f>
        <v>0</v>
      </c>
      <c r="CF55" s="55" t="n"/>
      <c r="CG55" s="55" t="n"/>
      <c r="CH55" s="55" t="n"/>
      <c r="CI55" s="55" t="n"/>
      <c r="CJ55" s="54">
        <f>(CJ15+CJ54)/CJ$15</f>
        <v>0</v>
      </c>
      <c r="CK55" s="55" t="n"/>
      <c r="CL55" s="55" t="n"/>
      <c r="CM55" s="55" t="n"/>
      <c r="CN55" s="55" t="n"/>
      <c r="CO55" s="54">
        <f>(CO15+CO54)/CO$15</f>
        <v>0</v>
      </c>
      <c r="CP55" s="55" t="n"/>
      <c r="CQ55" s="55" t="n"/>
      <c r="CR55" s="55" t="n"/>
      <c r="CS55" s="55" t="n"/>
      <c r="CT55" s="54">
        <f>(CT15+CT54)/CT$15</f>
        <v>0</v>
      </c>
      <c r="CU55" s="55" t="n"/>
      <c r="CV55" s="55" t="n"/>
      <c r="CW55" s="55" t="n"/>
      <c r="CX55" s="55" t="n"/>
      <c r="CY55" s="54">
        <f>(CY15+CY54)/CY$15</f>
        <v>0</v>
      </c>
    </row>
    <row r="56" hidden="1" outlineLevel="1"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collapsed="1">
      <c r="C58" s="24" t="inlineStr">
        <is>
          <t>SG&amp;A and Other (cash)</t>
        </is>
      </c>
      <c r="D58" s="25">
        <f>INDEX('Inputs (2)'!$D$6:$AL$6,MATCH(D$7,'Inputs (2)'!$D$2:$AL$2,0))</f>
        <v>-13.125</v>
      </c>
      <c r="E58" s="25">
        <f>INDEX('Inputs (2)'!$D$6:$AL$6,MATCH(E$7,'Inputs (2)'!$D$2:$AL$2,0))</f>
        <v>-8.145</v>
      </c>
      <c r="F58" s="25">
        <f>INDEX('Inputs (2)'!$D$6:$AL$6,MATCH(F$7,'Inputs (2)'!$D$2:$AL$2,0))</f>
        <v>-13.963</v>
      </c>
      <c r="G58" s="25">
        <f>INDEX('Inputs (2)'!$D$6:$AL$6,MATCH(G$7,'Inputs (2)'!$D$2:$AL$2,0))</f>
        <v>-8.865</v>
      </c>
      <c r="H58" s="3">
        <f>SUM(D58:G58)</f>
        <v>-44.098</v>
      </c>
      <c r="I58" s="25">
        <f>INDEX('Inputs (2)'!$D$6:$AL$6,MATCH(I$7,'Inputs (2)'!$D$2:$AL$2,0))</f>
        <v>-52.253</v>
      </c>
      <c r="J58" s="25">
        <f>INDEX('Inputs (2)'!$D$6:$AL$6,MATCH(J$7,'Inputs (2)'!$D$2:$AL$2,0))</f>
        <v>-8.569</v>
      </c>
      <c r="K58" s="25">
        <f>INDEX('Inputs (2)'!$D$6:$AL$6,MATCH(K$7,'Inputs (2)'!$D$2:$AL$2,0))</f>
        <v>-18.866</v>
      </c>
      <c r="L58" s="25">
        <f>INDEX('Inputs (2)'!$D$6:$AL$6,MATCH(L$7,'Inputs (2)'!$D$2:$AL$2,0))</f>
        <v>-20.271</v>
      </c>
      <c r="M58" s="3">
        <f>SUM(I58:L58)</f>
        <v>-99.959</v>
      </c>
      <c r="N58" s="25">
        <f>INDEX('Inputs (2)'!$D$6:$AL$6,MATCH(N$7,'Inputs (2)'!$D$2:$AL$2,0))</f>
        <v>-22.12</v>
      </c>
      <c r="O58" s="25">
        <f>INDEX('Inputs (2)'!$D$6:$AL$6,MATCH(O$7,'Inputs (2)'!$D$2:$AL$2,0))</f>
        <v>-19.144</v>
      </c>
      <c r="P58" s="25">
        <f>INDEX('Inputs (2)'!$D$6:$AL$6,MATCH(P$7,'Inputs (2)'!$D$2:$AL$2,0))</f>
        <v>-46.061</v>
      </c>
      <c r="Q58" s="25">
        <f>INDEX('Inputs (2)'!$D$6:$AL$6,MATCH(Q$7,'Inputs (2)'!$D$2:$AL$2,0))</f>
        <v>-50.785</v>
      </c>
      <c r="R58" s="3">
        <f>SUM(N58:Q58)</f>
        <v>-138.11</v>
      </c>
      <c r="S58" s="25">
        <f>INDEX('Inputs (2)'!$D$6:$AL$6,MATCH(S$7,'Inputs (2)'!$D$2:$AL$2,0))</f>
        <v>-33.418</v>
      </c>
      <c r="T58" s="25">
        <f>INDEX('Inputs (2)'!$D$6:$AL$6,MATCH(T$7,'Inputs (2)'!$D$2:$AL$2,0))</f>
        <v>-25.614</v>
      </c>
      <c r="U58" s="25">
        <f>INDEX('Inputs (2)'!$D$6:$AL$6,MATCH(U$7,'Inputs (2)'!$D$2:$AL$2,0))</f>
        <v>-29.084</v>
      </c>
      <c r="V58" s="25">
        <f>INDEX('Inputs (2)'!$D$6:$AL$6,MATCH(V$7,'Inputs (2)'!$D$2:$AL$2,0))</f>
        <v>19.099</v>
      </c>
      <c r="W58" s="3">
        <f>SUM(S58:V58)</f>
        <v>-69.017</v>
      </c>
      <c r="X58" s="25">
        <f>INDEX('Inputs (2)'!$D$6:$AL$6,MATCH(X$7,'Inputs (2)'!$D$2:$AL$2,0))</f>
        <v>-30.227</v>
      </c>
      <c r="Y58" s="25">
        <f>INDEX('Inputs (2)'!$D$6:$AL$6,MATCH(Y$7,'Inputs (2)'!$D$2:$AL$2,0))</f>
        <v>-32.052</v>
      </c>
      <c r="Z58" s="25">
        <f>INDEX('Inputs (2)'!$D$6:$AL$6,MATCH(Z$7,'Inputs (2)'!$D$2:$AL$2,0))</f>
        <v>-39.082</v>
      </c>
      <c r="AA58" s="25">
        <f>INDEX('Inputs (2)'!$D$6:$AL$6,MATCH(AA$7,'Inputs (2)'!$D$2:$AL$2,0))</f>
        <v>-53.755</v>
      </c>
      <c r="AB58" s="3">
        <f>SUM(X58:AA58)</f>
        <v>-155.116</v>
      </c>
      <c r="AC58" s="25">
        <f>INDEX('Inputs (2)'!$D$6:$AL$6,MATCH(AC$7,'Inputs (2)'!$D$2:$AL$2,0))</f>
        <v>-45.378</v>
      </c>
      <c r="AD58" s="25">
        <f>INDEX('Inputs (2)'!$D$6:$AL$6,MATCH(AD$7,'Inputs (2)'!$D$2:$AL$2,0))</f>
        <v>-44.509</v>
      </c>
      <c r="AE58" s="25">
        <f>INDEX('Inputs (2)'!$D$6:$AL$6,MATCH(AE$7,'Inputs (2)'!$D$2:$AL$2,0))</f>
        <v>-53.315</v>
      </c>
      <c r="AF58" s="25">
        <f>INDEX('Inputs (2)'!$D$6:$AL$6,MATCH(AF$7,'Inputs (2)'!$D$2:$AL$2,0))</f>
        <v>-38.925</v>
      </c>
      <c r="AG58" s="3">
        <f>SUM(AC58:AF58)</f>
        <v>-182.127</v>
      </c>
      <c r="AH58" s="3">
        <f>INDEX('Inputs (2)'!$D$6:$AL$6,MATCH(AH$7,'Inputs (2)'!$D$2:$AL$2,0))</f>
        <v>-45.97</v>
      </c>
      <c r="AI58" s="3">
        <f>INDEX('Inputs (2)'!$D$6:$AL$6,MATCH(AI$7,'Inputs (2)'!$D$2:$AL$2,0))</f>
        <v>-96.043</v>
      </c>
      <c r="AJ58" s="3">
        <f>-AJ15*AJ59</f>
        <v>0</v>
      </c>
      <c r="AK58" s="3">
        <f>-AK15*AK59</f>
        <v>0</v>
      </c>
      <c r="AL58" s="3">
        <f>SUM(AH58:AK58)</f>
        <v>-142.013</v>
      </c>
      <c r="AM58" s="3">
        <f>-AM15*AM59</f>
        <v>0</v>
      </c>
      <c r="AN58" s="3">
        <f>-AN15*AN59</f>
        <v>0</v>
      </c>
      <c r="AO58" s="3">
        <f>-AO15*AO59</f>
        <v>0</v>
      </c>
      <c r="AP58" s="3">
        <f>-AP15*AP59</f>
        <v>0</v>
      </c>
      <c r="AQ58" s="3">
        <f>SUM(AM58:AP58)</f>
        <v>0</v>
      </c>
      <c r="AR58" s="3">
        <f>-AR15*AR59</f>
        <v>0</v>
      </c>
      <c r="AS58" s="3">
        <f>-AS15*AS59</f>
        <v>0</v>
      </c>
      <c r="AT58" s="3">
        <f>-AT15*AT59</f>
        <v>0</v>
      </c>
      <c r="AU58" s="3">
        <f>-AU15*AU59</f>
        <v>0</v>
      </c>
      <c r="AV58" s="3">
        <f>SUM(AR58:AU58)</f>
        <v>0</v>
      </c>
      <c r="AW58" s="3">
        <f>-AW15*AW59</f>
        <v>0</v>
      </c>
      <c r="AX58" s="3">
        <f>-AX15*AX59</f>
        <v>0</v>
      </c>
      <c r="AY58" s="3">
        <f>-AY15*AY59</f>
        <v>0</v>
      </c>
      <c r="AZ58" s="3">
        <f>-AZ15*AZ59</f>
        <v>0</v>
      </c>
      <c r="BA58" s="3">
        <f>SUM(AW58:AZ58)</f>
        <v>0</v>
      </c>
      <c r="BB58" s="3">
        <f>-BB15*BB59</f>
        <v>0</v>
      </c>
      <c r="BC58" s="3">
        <f>-BC15*BC59</f>
        <v>0</v>
      </c>
      <c r="BD58" s="3">
        <f>-BD15*BD59</f>
        <v>0</v>
      </c>
      <c r="BE58" s="3">
        <f>-BE15*BE59</f>
        <v>0</v>
      </c>
      <c r="BF58" s="3">
        <f>SUM(BB58:BE58)</f>
        <v>0</v>
      </c>
      <c r="BG58" s="3">
        <f>-BG15*BG59</f>
        <v>0</v>
      </c>
      <c r="BH58" s="3">
        <f>-BH15*BH59</f>
        <v>0</v>
      </c>
      <c r="BI58" s="3">
        <f>-BI15*BI59</f>
        <v>0</v>
      </c>
      <c r="BJ58" s="3">
        <f>-BJ15*BJ59</f>
        <v>0</v>
      </c>
      <c r="BK58" s="3">
        <f>SUM(BG58:BJ58)</f>
        <v>0</v>
      </c>
      <c r="BL58" s="3">
        <f>-BL15*BL59</f>
        <v>0</v>
      </c>
      <c r="BM58" s="3">
        <f>-BM15*BM59</f>
        <v>0</v>
      </c>
      <c r="BN58" s="3">
        <f>-BN15*BN59</f>
        <v>0</v>
      </c>
      <c r="BO58" s="3">
        <f>-BO15*BO59</f>
        <v>0</v>
      </c>
      <c r="BP58" s="3">
        <f>SUM(BL58:BO58)</f>
        <v>0</v>
      </c>
      <c r="BQ58" s="3">
        <f>-BQ15*BQ59</f>
        <v>0</v>
      </c>
      <c r="BR58" s="3">
        <f>-BR15*BR59</f>
        <v>0</v>
      </c>
      <c r="BS58" s="3">
        <f>-BS15*BS59</f>
        <v>0</v>
      </c>
      <c r="BT58" s="3">
        <f>-BT15*BT59</f>
        <v>0</v>
      </c>
      <c r="BU58" s="3">
        <f>SUM(BQ58:BT58)</f>
        <v>0</v>
      </c>
      <c r="BV58" s="3">
        <f>-BV15*BV59</f>
        <v>0</v>
      </c>
      <c r="BW58" s="3">
        <f>-BW15*BW59</f>
        <v>0</v>
      </c>
      <c r="BX58" s="3">
        <f>-BX15*BX59</f>
        <v>0</v>
      </c>
      <c r="BY58" s="3">
        <f>-BY15*BY59</f>
        <v>0</v>
      </c>
      <c r="BZ58" s="3">
        <f>SUM(BV58:BY58)</f>
        <v>0</v>
      </c>
      <c r="CA58" s="3">
        <f>-CA15*CA59</f>
        <v>0</v>
      </c>
      <c r="CB58" s="3">
        <f>-CB15*CB59</f>
        <v>0</v>
      </c>
      <c r="CC58" s="3">
        <f>-CC15*CC59</f>
        <v>0</v>
      </c>
      <c r="CD58" s="3">
        <f>-CD15*CD59</f>
        <v>0</v>
      </c>
      <c r="CE58" s="3">
        <f>SUM(CA58:CD58)</f>
        <v>0</v>
      </c>
      <c r="CF58" s="3">
        <f>-CF15*CF59</f>
        <v>0</v>
      </c>
      <c r="CG58" s="3">
        <f>-CG15*CG59</f>
        <v>0</v>
      </c>
      <c r="CH58" s="3">
        <f>-CH15*CH59</f>
        <v>0</v>
      </c>
      <c r="CI58" s="3">
        <f>-CI15*CI59</f>
        <v>0</v>
      </c>
      <c r="CJ58" s="3">
        <f>SUM(CF58:CI58)</f>
        <v>0</v>
      </c>
      <c r="CK58" s="3">
        <f>-CK15*CK59</f>
        <v>0</v>
      </c>
      <c r="CL58" s="3">
        <f>-CL15*CL59</f>
        <v>0</v>
      </c>
      <c r="CM58" s="3">
        <f>-CM15*CM59</f>
        <v>0</v>
      </c>
      <c r="CN58" s="3">
        <f>-CN15*CN59</f>
        <v>0</v>
      </c>
      <c r="CO58" s="3">
        <f>SUM(CK58:CN58)</f>
        <v>0</v>
      </c>
      <c r="CP58" s="3">
        <f>-CP15*CP59</f>
        <v>0</v>
      </c>
      <c r="CQ58" s="3">
        <f>-CQ15*CQ59</f>
        <v>0</v>
      </c>
      <c r="CR58" s="3">
        <f>-CR15*CR59</f>
        <v>0</v>
      </c>
      <c r="CS58" s="3">
        <f>-CS15*CS59</f>
        <v>0</v>
      </c>
      <c r="CT58" s="3">
        <f>SUM(CP58:CS58)</f>
        <v>0</v>
      </c>
      <c r="CU58" s="3">
        <f>-CU15*CU59</f>
        <v>0</v>
      </c>
      <c r="CV58" s="3">
        <f>-CV15*CV59</f>
        <v>0</v>
      </c>
      <c r="CW58" s="3">
        <f>-CW15*CW59</f>
        <v>0</v>
      </c>
      <c r="CX58" s="3">
        <f>-CX15*CX59</f>
        <v>0</v>
      </c>
      <c r="CY58" s="3">
        <f>SUM(CU58:CX58)</f>
        <v>0</v>
      </c>
    </row>
    <row r="59" hidden="1" outlineLevel="1">
      <c r="C59" s="33" t="inlineStr">
        <is>
          <t>% SG&amp;A and Other Margin</t>
        </is>
      </c>
      <c r="D59" s="56">
        <f>-(D58/D$15)</f>
        <v>0.14342851522801</v>
      </c>
      <c r="E59" s="56">
        <f>-(E58/E$15)</f>
        <v>0.0815837974277816</v>
      </c>
      <c r="F59" s="56">
        <f>-(F58/F$15)</f>
        <v>0.143056195891604</v>
      </c>
      <c r="G59" s="56">
        <f>-(G58/G$15)</f>
        <v>0.086052922790192</v>
      </c>
      <c r="H59" s="56">
        <f>-(H58/H$15)</f>
        <v>0.112504081965875</v>
      </c>
      <c r="I59" s="56">
        <f>-(I58/I$15)</f>
        <v>0.596325249643367</v>
      </c>
      <c r="J59" s="56">
        <f>-(J58/J$15)</f>
        <v>0.0924509370246097</v>
      </c>
      <c r="K59" s="56">
        <f>-(K58/K$15)</f>
        <v>0.188960447110906</v>
      </c>
      <c r="L59" s="56">
        <f>-(L58/L$15)</f>
        <v>0.130475080939477</v>
      </c>
      <c r="M59" s="56">
        <f>-(M58/M$15)</f>
        <v>0.229518548113043</v>
      </c>
      <c r="N59" s="56">
        <f>-(N58/N$15)</f>
        <v>0.222925442928265</v>
      </c>
      <c r="O59" s="56">
        <f>-(O58/O$15)</f>
        <v>0.127108065758373</v>
      </c>
      <c r="P59" s="56">
        <f>-(P58/P$15)</f>
        <v>0.233602296413882</v>
      </c>
      <c r="Q59" s="56">
        <f>-(Q58/Q$15)</f>
        <v>0.283384205034345</v>
      </c>
      <c r="R59" s="56">
        <f>-(R58/R$15)</f>
        <v>0.220544086461075</v>
      </c>
      <c r="S59" s="56">
        <f>-(S58/S$15)</f>
        <v>0.176959940692102</v>
      </c>
      <c r="T59" s="56">
        <f>-(T58/T$15)</f>
        <v>0.130520522815868</v>
      </c>
      <c r="U59" s="56">
        <f>-(U58/U$15)</f>
        <v>0.151008053001314</v>
      </c>
      <c r="V59" s="56">
        <f>-(V58/V$15)</f>
        <v>-0.0961744726492671</v>
      </c>
      <c r="W59" s="56">
        <f>-(W58/W$15)</f>
        <v>0.0889078111393371</v>
      </c>
      <c r="X59" s="56">
        <f>-(X58/X$15)</f>
        <v>0.144525833628183</v>
      </c>
      <c r="Y59" s="56">
        <f>-(Y58/Y$15)</f>
        <v>0.149046487512032</v>
      </c>
      <c r="Z59" s="56">
        <f>-(Z58/Z$15)</f>
        <v>0.156909191645856</v>
      </c>
      <c r="AA59" s="56">
        <f>-(AA58/AA$15)</f>
        <v>0.233508249133385</v>
      </c>
      <c r="AB59" s="56">
        <f>-(AB58/AB$15)</f>
        <v>0.171688583942188</v>
      </c>
      <c r="AC59" s="56">
        <f>-(AC58/AC$15)</f>
        <v>0.188446843853821</v>
      </c>
      <c r="AD59" s="56">
        <f>-(AD58/AD$15)</f>
        <v>0.168479186618266</v>
      </c>
      <c r="AE59" s="56">
        <f>-(AE58/AE$15)</f>
        <v>0.189699341754136</v>
      </c>
      <c r="AF59" s="44">
        <f>-(AF58/AF$15)</f>
        <v>0.147270808031509</v>
      </c>
      <c r="AG59" s="56">
        <f>-(AG58/AG$15)</f>
        <v>0.173398137745873</v>
      </c>
      <c r="AH59" s="45">
        <f>-(AH58/AH$15)</f>
        <v>0.13885029419227</v>
      </c>
      <c r="AI59" s="45">
        <f>-(AI58/AI$15)</f>
        <v>0.154202711468187</v>
      </c>
      <c r="AJ59" s="45" t="n"/>
      <c r="AK59" s="45" t="n"/>
      <c r="AL59" s="56">
        <f>-(AL58/AL$15)</f>
        <v>0.0947213679181416</v>
      </c>
      <c r="AM59" s="45" t="n"/>
      <c r="AN59" s="45" t="n"/>
      <c r="AO59" s="45" t="n"/>
      <c r="AP59" s="45" t="n"/>
      <c r="AQ59" s="56">
        <f>-(AQ58/AQ$15)</f>
        <v>0</v>
      </c>
      <c r="AR59" s="45" t="n"/>
      <c r="AS59" s="45" t="n"/>
      <c r="AT59" s="45" t="n"/>
      <c r="AU59" s="45" t="n"/>
      <c r="AV59" s="56">
        <f>-(AV58/AV$15)</f>
        <v>0</v>
      </c>
      <c r="AW59" s="45" t="n"/>
      <c r="AX59" s="45" t="n"/>
      <c r="AY59" s="45" t="n"/>
      <c r="AZ59" s="45" t="n"/>
      <c r="BA59" s="56">
        <f>-(BA58/BA$15)</f>
        <v>0</v>
      </c>
      <c r="BB59" s="45" t="n"/>
      <c r="BC59" s="45" t="n"/>
      <c r="BD59" s="45" t="n"/>
      <c r="BE59" s="45" t="n"/>
      <c r="BF59" s="56">
        <f>-(BF58/BF$15)</f>
        <v>0</v>
      </c>
      <c r="BG59" s="45" t="n"/>
      <c r="BH59" s="45" t="n"/>
      <c r="BI59" s="45" t="n"/>
      <c r="BJ59" s="45" t="n"/>
      <c r="BK59" s="56">
        <f>-(BK58/BK$15)</f>
        <v>0</v>
      </c>
      <c r="BL59" s="45" t="n"/>
      <c r="BM59" s="45" t="n"/>
      <c r="BN59" s="45" t="n"/>
      <c r="BO59" s="45" t="n"/>
      <c r="BP59" s="56">
        <f>-(BP58/BP$15)</f>
        <v>0</v>
      </c>
      <c r="BQ59" s="45" t="n"/>
      <c r="BR59" s="45" t="n"/>
      <c r="BS59" s="45" t="n"/>
      <c r="BT59" s="45" t="n"/>
      <c r="BU59" s="56">
        <f>-(BU58/BU$15)</f>
        <v>0</v>
      </c>
      <c r="BV59" s="45" t="n"/>
      <c r="BW59" s="45" t="n"/>
      <c r="BX59" s="45" t="n"/>
      <c r="BY59" s="45" t="n"/>
      <c r="BZ59" s="56">
        <f>-(BZ58/BZ$15)</f>
        <v>0</v>
      </c>
      <c r="CA59" s="45" t="n"/>
      <c r="CB59" s="45" t="n"/>
      <c r="CC59" s="45" t="n"/>
      <c r="CD59" s="45" t="n"/>
      <c r="CE59" s="56">
        <f>-(CE58/CE$15)</f>
        <v>0</v>
      </c>
      <c r="CF59" s="45" t="n"/>
      <c r="CG59" s="45" t="n"/>
      <c r="CH59" s="45" t="n"/>
      <c r="CI59" s="45" t="n"/>
      <c r="CJ59" s="56">
        <f>-(CJ58/CJ$15)</f>
        <v>0</v>
      </c>
      <c r="CK59" s="45" t="n"/>
      <c r="CL59" s="45" t="n"/>
      <c r="CM59" s="45" t="n"/>
      <c r="CN59" s="45" t="n"/>
      <c r="CO59" s="56">
        <f>-(CO58/CO$15)</f>
        <v>0</v>
      </c>
      <c r="CP59" s="45" t="n"/>
      <c r="CQ59" s="45" t="n"/>
      <c r="CR59" s="45" t="n"/>
      <c r="CS59" s="45" t="n"/>
      <c r="CT59" s="56">
        <f>-(CT58/CT$15)</f>
        <v>0</v>
      </c>
      <c r="CU59" s="45" t="n"/>
      <c r="CV59" s="45" t="n"/>
      <c r="CW59" s="45" t="n"/>
      <c r="CX59" s="45" t="n"/>
      <c r="CY59" s="56">
        <f>-(CY58/CY$15)</f>
        <v>0</v>
      </c>
    </row>
    <row r="60" hidden="1" outlineLevel="1"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Com Vendas</t>
        </is>
      </c>
      <c r="D61" s="6" t="n"/>
      <c r="E61" s="6" t="n"/>
      <c r="F61" s="6" t="n"/>
      <c r="G61" s="6" t="n"/>
      <c r="H61" s="32" t="n"/>
      <c r="I61" s="6" t="n"/>
      <c r="J61" s="6" t="n"/>
      <c r="K61" s="6" t="n"/>
      <c r="L61" s="6" t="n"/>
      <c r="M61" s="32" t="n"/>
      <c r="N61" s="6" t="n"/>
      <c r="O61" s="6" t="n"/>
      <c r="P61" s="6" t="n"/>
      <c r="Q61" s="6" t="n"/>
      <c r="R61" s="32" t="n"/>
      <c r="S61" s="6" t="n"/>
      <c r="T61" s="6" t="n"/>
      <c r="U61" s="6" t="n"/>
      <c r="V61" s="6" t="n"/>
      <c r="W61" s="32" t="n"/>
      <c r="X61" s="6" t="n"/>
      <c r="Y61" s="6" t="n"/>
      <c r="Z61" s="6" t="n"/>
      <c r="AA61" s="6" t="n"/>
      <c r="AB61" s="32" t="n"/>
      <c r="AC61" s="6" t="n"/>
      <c r="AD61" s="6" t="n"/>
      <c r="AE61" s="6" t="n"/>
      <c r="AF61" s="6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inlineStr">
        <is>
          <t>Gerais &amp; Administrativas</t>
        </is>
      </c>
      <c r="D62" s="6" t="n"/>
      <c r="E62" s="6" t="n"/>
      <c r="F62" s="6" t="n"/>
      <c r="G62" s="6" t="n"/>
      <c r="H62" s="32" t="n"/>
      <c r="I62" s="6" t="n"/>
      <c r="J62" s="6" t="n"/>
      <c r="K62" s="6" t="n"/>
      <c r="L62" s="6" t="n"/>
      <c r="M62" s="32" t="n"/>
      <c r="N62" s="6" t="n"/>
      <c r="O62" s="6" t="n"/>
      <c r="P62" s="6" t="n"/>
      <c r="Q62" s="6" t="n"/>
      <c r="R62" s="32" t="n"/>
      <c r="S62" s="6" t="n"/>
      <c r="T62" s="6" t="n"/>
      <c r="U62" s="6" t="n"/>
      <c r="V62" s="6" t="n"/>
      <c r="W62" s="32" t="n"/>
      <c r="X62" s="6" t="n"/>
      <c r="Y62" s="6" t="n"/>
      <c r="Z62" s="6" t="n"/>
      <c r="AA62" s="6" t="n"/>
      <c r="AB62" s="32" t="n"/>
      <c r="AC62" s="6" t="n"/>
      <c r="AD62" s="6" t="n"/>
      <c r="AE62" s="6" t="n"/>
      <c r="AF62" s="6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inlineStr">
        <is>
          <t>Outras Receitas (Despesas) Operacionais, Líquidas</t>
        </is>
      </c>
      <c r="D63" s="6" t="n"/>
      <c r="E63" s="6" t="n"/>
      <c r="F63" s="6" t="n"/>
      <c r="G63" s="6" t="n"/>
      <c r="H63" s="32" t="n"/>
      <c r="I63" s="6" t="n"/>
      <c r="J63" s="6" t="n"/>
      <c r="K63" s="6" t="n"/>
      <c r="L63" s="6" t="n"/>
      <c r="M63" s="32" t="n"/>
      <c r="N63" s="6" t="n"/>
      <c r="O63" s="6" t="n"/>
      <c r="P63" s="6" t="n"/>
      <c r="Q63" s="6" t="n"/>
      <c r="R63" s="32" t="n"/>
      <c r="S63" s="6" t="n"/>
      <c r="T63" s="6" t="n"/>
      <c r="U63" s="6" t="n"/>
      <c r="V63" s="6" t="n"/>
      <c r="W63" s="32" t="n"/>
      <c r="X63" s="6" t="n"/>
      <c r="Y63" s="6" t="n"/>
      <c r="Z63" s="6" t="n"/>
      <c r="AA63" s="6" t="n"/>
      <c r="AB63" s="32" t="n"/>
      <c r="AC63" s="6" t="n"/>
      <c r="AD63" s="6" t="n"/>
      <c r="AE63" s="6" t="n"/>
      <c r="AF63" s="6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hidden="1" outlineLevel="1">
      <c r="C65" s="32" t="inlineStr">
        <is>
          <t>Com Vendas (%)</t>
        </is>
      </c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J65" s="32" t="n"/>
      <c r="CK65" s="32" t="n"/>
      <c r="CL65" s="32" t="n"/>
      <c r="CM65" s="32" t="n"/>
      <c r="CN65" s="32" t="n"/>
      <c r="CO65" s="32" t="n"/>
      <c r="CP65" s="32" t="n"/>
      <c r="CQ65" s="32" t="n"/>
      <c r="CR65" s="32" t="n"/>
      <c r="CS65" s="32" t="n"/>
      <c r="CT65" s="32" t="n"/>
      <c r="CU65" s="32" t="n"/>
      <c r="CV65" s="32" t="n"/>
      <c r="CW65" s="32" t="n"/>
      <c r="CX65" s="32" t="n"/>
      <c r="CY65" s="32" t="n"/>
    </row>
    <row r="66" hidden="1" outlineLevel="1">
      <c r="C66" s="32" t="inlineStr">
        <is>
          <t>Gerais &amp; Administrativas (%)</t>
        </is>
      </c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2" t="n"/>
      <c r="CK66" s="32" t="n"/>
      <c r="CL66" s="32" t="n"/>
      <c r="CM66" s="32" t="n"/>
      <c r="CN66" s="32" t="n"/>
      <c r="CO66" s="32" t="n"/>
      <c r="CP66" s="32" t="n"/>
      <c r="CQ66" s="32" t="n"/>
      <c r="CR66" s="32" t="n"/>
      <c r="CS66" s="32" t="n"/>
      <c r="CT66" s="32" t="n"/>
      <c r="CU66" s="32" t="n"/>
      <c r="CV66" s="32" t="n"/>
      <c r="CW66" s="32" t="n"/>
      <c r="CX66" s="32" t="n"/>
      <c r="CY66" s="32" t="n"/>
    </row>
    <row r="67" hidden="1" outlineLevel="1">
      <c r="C67" s="32" t="inlineStr">
        <is>
          <t>Outras Receitas (Despesas) Operacionais, Líquidas (%)</t>
        </is>
      </c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2" t="n"/>
      <c r="CK67" s="32" t="n"/>
      <c r="CL67" s="32" t="n"/>
      <c r="CM67" s="32" t="n"/>
      <c r="CN67" s="32" t="n"/>
      <c r="CO67" s="32" t="n"/>
      <c r="CP67" s="32" t="n"/>
      <c r="CQ67" s="32" t="n"/>
      <c r="CR67" s="32" t="n"/>
      <c r="CS67" s="32" t="n"/>
      <c r="CT67" s="32" t="n"/>
      <c r="CU67" s="32" t="n"/>
      <c r="CV67" s="32" t="n"/>
      <c r="CW67" s="32" t="n"/>
      <c r="CX67" s="32" t="n"/>
      <c r="CY67" s="32" t="n"/>
    </row>
    <row r="68" hidden="1" outlineLevel="1"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  <c r="AV68" s="32" t="n"/>
      <c r="AW68" s="32" t="n"/>
      <c r="AX68" s="32" t="n"/>
      <c r="AY68" s="32" t="n"/>
      <c r="AZ68" s="32" t="n"/>
      <c r="BA68" s="32" t="n"/>
      <c r="BB68" s="32" t="n"/>
      <c r="BC68" s="32" t="n"/>
      <c r="BD68" s="32" t="n"/>
      <c r="BE68" s="32" t="n"/>
      <c r="BF68" s="32" t="n"/>
      <c r="BG68" s="32" t="n"/>
      <c r="BH68" s="32" t="n"/>
      <c r="BI68" s="32" t="n"/>
      <c r="BJ68" s="32" t="n"/>
      <c r="BK68" s="32" t="n"/>
      <c r="BL68" s="32" t="n"/>
      <c r="BM68" s="32" t="n"/>
      <c r="BN68" s="32" t="n"/>
      <c r="BO68" s="32" t="n"/>
      <c r="BP68" s="32" t="n"/>
      <c r="BQ68" s="32" t="n"/>
      <c r="BR68" s="32" t="n"/>
      <c r="BS68" s="32" t="n"/>
      <c r="BT68" s="32" t="n"/>
      <c r="BU68" s="32" t="n"/>
      <c r="BV68" s="32" t="n"/>
      <c r="BW68" s="32" t="n"/>
      <c r="BX68" s="32" t="n"/>
      <c r="BY68" s="32" t="n"/>
      <c r="BZ68" s="32" t="n"/>
      <c r="CA68" s="32" t="n"/>
      <c r="CB68" s="32" t="n"/>
      <c r="CC68" s="32" t="n"/>
      <c r="CD68" s="32" t="n"/>
      <c r="CE68" s="32" t="n"/>
      <c r="CF68" s="32" t="n"/>
      <c r="CG68" s="32" t="n"/>
      <c r="CH68" s="32" t="n"/>
      <c r="CI68" s="32" t="n"/>
      <c r="CJ68" s="32" t="n"/>
      <c r="CK68" s="32" t="n"/>
      <c r="CL68" s="32" t="n"/>
      <c r="CM68" s="32" t="n"/>
      <c r="CN68" s="32" t="n"/>
      <c r="CO68" s="32" t="n"/>
      <c r="CP68" s="32" t="n"/>
      <c r="CQ68" s="32" t="n"/>
      <c r="CR68" s="32" t="n"/>
      <c r="CS68" s="32" t="n"/>
      <c r="CT68" s="32" t="n"/>
      <c r="CU68" s="32" t="n"/>
      <c r="CV68" s="32" t="n"/>
      <c r="CW68" s="32" t="n"/>
      <c r="CX68" s="32" t="n"/>
      <c r="CY68" s="32" t="n"/>
    </row>
    <row r="69" collapsed="1" customFormat="1" s="17">
      <c r="A69" s="13" t="n"/>
      <c r="B69" s="1" t="n"/>
      <c r="C69" s="14" t="inlineStr">
        <is>
          <t>EBITDA</t>
        </is>
      </c>
      <c r="D69" s="16">
        <f>SUM(D15,D54,D58)</f>
        <v>32.573</v>
      </c>
      <c r="E69" s="16">
        <f>SUM(E15,E54,E58)</f>
        <v>39.279</v>
      </c>
      <c r="F69" s="16">
        <f>SUM(F15,F54,F58)</f>
        <v>32.931</v>
      </c>
      <c r="G69" s="16">
        <f>SUM(G15,G54,G58)</f>
        <v>47.946</v>
      </c>
      <c r="H69" s="16">
        <f>SUM(D69:G69)</f>
        <v>152.729</v>
      </c>
      <c r="I69" s="16">
        <f>SUM(I15,I54,I58)</f>
        <v>-13.333</v>
      </c>
      <c r="J69" s="16">
        <f>SUM(J15,J54,J58)</f>
        <v>36.812</v>
      </c>
      <c r="K69" s="16">
        <f>SUM(K15,K54,K58)</f>
        <v>32.727</v>
      </c>
      <c r="L69" s="16">
        <f>SUM(L15,L54,L58)</f>
        <v>76.147</v>
      </c>
      <c r="M69" s="16">
        <f>SUM(I69:L69)</f>
        <v>132.353</v>
      </c>
      <c r="N69" s="16">
        <f>SUM(N15,N54,N58)</f>
        <v>27.581</v>
      </c>
      <c r="O69" s="16">
        <f>SUM(O15,O54,O58)</f>
        <v>55.066</v>
      </c>
      <c r="P69" s="16">
        <f>SUM(P15,P54,P58)</f>
        <v>60.597</v>
      </c>
      <c r="Q69" s="16">
        <f>SUM(Q15,Q54,Q58)</f>
        <v>42.259</v>
      </c>
      <c r="R69" s="16">
        <f>SUM(N69:Q69)</f>
        <v>185.503</v>
      </c>
      <c r="S69" s="16">
        <f>SUM(S15,S54,S58)</f>
        <v>69.081</v>
      </c>
      <c r="T69" s="16">
        <f>SUM(T15,T54,T58)</f>
        <v>76.562</v>
      </c>
      <c r="U69" s="16">
        <f>SUM(U15,U54,U58)</f>
        <v>79.957</v>
      </c>
      <c r="V69" s="16">
        <f>SUM(V15,V54,V58)</f>
        <v>118.72</v>
      </c>
      <c r="W69" s="16">
        <f>SUM(S69:V69)</f>
        <v>344.32</v>
      </c>
      <c r="X69" s="16">
        <f>SUM(X15,X54,X58)</f>
        <v>101.55</v>
      </c>
      <c r="Y69" s="16">
        <f>SUM(Y15,Y54,Y58)</f>
        <v>94.149</v>
      </c>
      <c r="Z69" s="16">
        <f>SUM(Z15,Z54,Z58)</f>
        <v>125.718</v>
      </c>
      <c r="AA69" s="16">
        <f>SUM(AA15,AA54,AA58)</f>
        <v>92.981</v>
      </c>
      <c r="AB69" s="16">
        <f>SUM(X69:AA69)</f>
        <v>414.398</v>
      </c>
      <c r="AC69" s="16">
        <f>SUM(AC15,AC54,AC58)</f>
        <v>104.185</v>
      </c>
      <c r="AD69" s="16">
        <f>SUM(AD15,AD54,AD58)</f>
        <v>122.511</v>
      </c>
      <c r="AE69" s="16">
        <f>SUM(AE15,AE54,AE58)</f>
        <v>128.069</v>
      </c>
      <c r="AF69" s="16">
        <f>SUM(AF15,AF54,AF58)</f>
        <v>129.549</v>
      </c>
      <c r="AG69" s="16">
        <f>SUM(AC69:AF69)</f>
        <v>484.314</v>
      </c>
      <c r="AH69" s="16">
        <f>SUM(AH15,AH54,AH58)</f>
        <v>138.139</v>
      </c>
      <c r="AI69" s="16">
        <f>SUM(AI15,AI54,AI58)</f>
        <v>154.648</v>
      </c>
      <c r="AJ69" s="16">
        <f>SUM(AJ15,AJ54,AJ58)</f>
        <v>0</v>
      </c>
      <c r="AK69" s="16">
        <f>SUM(AK15,AK54,AK58)</f>
        <v>0</v>
      </c>
      <c r="AL69" s="16">
        <f>SUM(AH69:AK69)</f>
        <v>292.787</v>
      </c>
      <c r="AM69" s="16">
        <f>SUM(AM15,AM54,AM58)</f>
        <v>0</v>
      </c>
      <c r="AN69" s="16">
        <f>SUM(AN15,AN54,AN58)</f>
        <v>0</v>
      </c>
      <c r="AO69" s="16">
        <f>SUM(AO15,AO54,AO58)</f>
        <v>0</v>
      </c>
      <c r="AP69" s="16">
        <f>SUM(AP15,AP54,AP58)</f>
        <v>0</v>
      </c>
      <c r="AQ69" s="16">
        <f>SUM(AM69:AP69)</f>
        <v>0</v>
      </c>
      <c r="AR69" s="16">
        <f>SUM(AR15,AR54,AR58)</f>
        <v>0</v>
      </c>
      <c r="AS69" s="16">
        <f>SUM(AS15,AS54,AS58)</f>
        <v>0</v>
      </c>
      <c r="AT69" s="16">
        <f>SUM(AT15,AT54,AT58)</f>
        <v>0</v>
      </c>
      <c r="AU69" s="16">
        <f>SUM(AU15,AU54,AU58)</f>
        <v>0</v>
      </c>
      <c r="AV69" s="16">
        <f>SUM(AR69:AU69)</f>
        <v>0</v>
      </c>
      <c r="AW69" s="16">
        <f>SUM(AW15,AW54,AW58)</f>
        <v>0</v>
      </c>
      <c r="AX69" s="16">
        <f>SUM(AX15,AX54,AX58)</f>
        <v>0</v>
      </c>
      <c r="AY69" s="16">
        <f>SUM(AY15,AY54,AY58)</f>
        <v>0</v>
      </c>
      <c r="AZ69" s="16">
        <f>SUM(AZ15,AZ54,AZ58)</f>
        <v>0</v>
      </c>
      <c r="BA69" s="16">
        <f>SUM(AW69:AZ69)</f>
        <v>0</v>
      </c>
      <c r="BB69" s="16">
        <f>SUM(BB15,BB54,BB58)</f>
        <v>0</v>
      </c>
      <c r="BC69" s="16">
        <f>SUM(BC15,BC54,BC58)</f>
        <v>0</v>
      </c>
      <c r="BD69" s="16">
        <f>SUM(BD15,BD54,BD58)</f>
        <v>0</v>
      </c>
      <c r="BE69" s="16">
        <f>SUM(BE15,BE54,BE58)</f>
        <v>0</v>
      </c>
      <c r="BF69" s="16">
        <f>SUM(BB69:BE69)</f>
        <v>0</v>
      </c>
      <c r="BG69" s="16">
        <f>SUM(BG15,BG54,BG58)</f>
        <v>0</v>
      </c>
      <c r="BH69" s="16">
        <f>SUM(BH15,BH54,BH58)</f>
        <v>0</v>
      </c>
      <c r="BI69" s="16">
        <f>SUM(BI15,BI54,BI58)</f>
        <v>0</v>
      </c>
      <c r="BJ69" s="16">
        <f>SUM(BJ15,BJ54,BJ58)</f>
        <v>0</v>
      </c>
      <c r="BK69" s="16">
        <f>SUM(BG69:BJ69)</f>
        <v>0</v>
      </c>
      <c r="BL69" s="16">
        <f>SUM(BL15,BL54,BL58)</f>
        <v>0</v>
      </c>
      <c r="BM69" s="16">
        <f>SUM(BM15,BM54,BM58)</f>
        <v>0</v>
      </c>
      <c r="BN69" s="16">
        <f>SUM(BN15,BN54,BN58)</f>
        <v>0</v>
      </c>
      <c r="BO69" s="16">
        <f>SUM(BO15,BO54,BO58)</f>
        <v>0</v>
      </c>
      <c r="BP69" s="16">
        <f>SUM(BL69:BO69)</f>
        <v>0</v>
      </c>
      <c r="BQ69" s="16">
        <f>SUM(BQ15,BQ54,BQ58)</f>
        <v>0</v>
      </c>
      <c r="BR69" s="16">
        <f>SUM(BR15,BR54,BR58)</f>
        <v>0</v>
      </c>
      <c r="BS69" s="16">
        <f>SUM(BS15,BS54,BS58)</f>
        <v>0</v>
      </c>
      <c r="BT69" s="16">
        <f>SUM(BT15,BT54,BT58)</f>
        <v>0</v>
      </c>
      <c r="BU69" s="16">
        <f>SUM(BQ69:BT69)</f>
        <v>0</v>
      </c>
      <c r="BV69" s="16">
        <f>SUM(BV15,BV54,BV58)</f>
        <v>0</v>
      </c>
      <c r="BW69" s="16">
        <f>SUM(BW15,BW54,BW58)</f>
        <v>0</v>
      </c>
      <c r="BX69" s="16">
        <f>SUM(BX15,BX54,BX58)</f>
        <v>0</v>
      </c>
      <c r="BY69" s="16">
        <f>SUM(BY15,BY54,BY58)</f>
        <v>0</v>
      </c>
      <c r="BZ69" s="16">
        <f>SUM(BV69:BY69)</f>
        <v>0</v>
      </c>
      <c r="CA69" s="16">
        <f>SUM(CA15,CA54,CA58)</f>
        <v>0</v>
      </c>
      <c r="CB69" s="16">
        <f>SUM(CB15,CB54,CB58)</f>
        <v>0</v>
      </c>
      <c r="CC69" s="16">
        <f>SUM(CC15,CC54,CC58)</f>
        <v>0</v>
      </c>
      <c r="CD69" s="16">
        <f>SUM(CD15,CD54,CD58)</f>
        <v>0</v>
      </c>
      <c r="CE69" s="16">
        <f>SUM(CA69:CD69)</f>
        <v>0</v>
      </c>
      <c r="CF69" s="16">
        <f>SUM(CF15,CF54,CF58)</f>
        <v>0</v>
      </c>
      <c r="CG69" s="16">
        <f>SUM(CG15,CG54,CG58)</f>
        <v>0</v>
      </c>
      <c r="CH69" s="16">
        <f>SUM(CH15,CH54,CH58)</f>
        <v>0</v>
      </c>
      <c r="CI69" s="16">
        <f>SUM(CI15,CI54,CI58)</f>
        <v>0</v>
      </c>
      <c r="CJ69" s="16">
        <f>SUM(CF69:CI69)</f>
        <v>0</v>
      </c>
      <c r="CK69" s="16">
        <f>SUM(CK15,CK54,CK58)</f>
        <v>0</v>
      </c>
      <c r="CL69" s="16">
        <f>SUM(CL15,CL54,CL58)</f>
        <v>0</v>
      </c>
      <c r="CM69" s="16">
        <f>SUM(CM15,CM54,CM58)</f>
        <v>0</v>
      </c>
      <c r="CN69" s="16">
        <f>SUM(CN15,CN54,CN58)</f>
        <v>0</v>
      </c>
      <c r="CO69" s="16">
        <f>SUM(CK69:CN69)</f>
        <v>0</v>
      </c>
      <c r="CP69" s="16">
        <f>SUM(CP15,CP54,CP58)</f>
        <v>0</v>
      </c>
      <c r="CQ69" s="16">
        <f>SUM(CQ15,CQ54,CQ58)</f>
        <v>0</v>
      </c>
      <c r="CR69" s="16">
        <f>SUM(CR15,CR54,CR58)</f>
        <v>0</v>
      </c>
      <c r="CS69" s="16">
        <f>SUM(CS15,CS54,CS58)</f>
        <v>0</v>
      </c>
      <c r="CT69" s="16">
        <f>SUM(CP69:CS69)</f>
        <v>0</v>
      </c>
      <c r="CU69" s="16">
        <f>SUM(CU15,CU54,CU58)</f>
        <v>0</v>
      </c>
      <c r="CV69" s="16">
        <f>SUM(CV15,CV54,CV58)</f>
        <v>0</v>
      </c>
      <c r="CW69" s="16">
        <f>SUM(CW15,CW54,CW58)</f>
        <v>0</v>
      </c>
      <c r="CX69" s="16">
        <f>SUM(CX15,CX54,CX58)</f>
        <v>0</v>
      </c>
      <c r="CY69" s="16">
        <f>SUM(CU69:CX69)</f>
        <v>0</v>
      </c>
    </row>
    <row r="70" ht="13.5" customHeight="1">
      <c r="C70" s="24" t="inlineStr">
        <is>
          <t>D&amp;A</t>
        </is>
      </c>
      <c r="D70" s="25">
        <f>INDEX('Inputs (2)'!$D$7:$AL$7,MATCH(D$7,'Inputs (2)'!$D$2:$AL$2,0))</f>
        <v>-12.083</v>
      </c>
      <c r="E70" s="25">
        <f>INDEX('Inputs (2)'!$D$7:$AL$7,MATCH(E$7,'Inputs (2)'!$D$2:$AL$2,0))</f>
        <v>-14.679</v>
      </c>
      <c r="F70" s="25">
        <f>INDEX('Inputs (2)'!$D$7:$AL$7,MATCH(F$7,'Inputs (2)'!$D$2:$AL$2,0))</f>
        <v>-10.102</v>
      </c>
      <c r="G70" s="25">
        <f>INDEX('Inputs (2)'!$D$7:$AL$7,MATCH(G$7,'Inputs (2)'!$D$2:$AL$2,0))</f>
        <v>-13.165</v>
      </c>
      <c r="H70" s="3">
        <f>SUM(D70:G70)</f>
        <v>-50.029</v>
      </c>
      <c r="I70" s="25">
        <f>INDEX('Inputs (2)'!$D$7:$AL$7,MATCH(I$7,'Inputs (2)'!$D$2:$AL$2,0))</f>
        <v>-10.679</v>
      </c>
      <c r="J70" s="25">
        <f>INDEX('Inputs (2)'!$D$7:$AL$7,MATCH(J$7,'Inputs (2)'!$D$2:$AL$2,0))</f>
        <v>-11.878</v>
      </c>
      <c r="K70" s="25">
        <f>INDEX('Inputs (2)'!$D$7:$AL$7,MATCH(K$7,'Inputs (2)'!$D$2:$AL$2,0))</f>
        <v>-13.134</v>
      </c>
      <c r="L70" s="25">
        <f>INDEX('Inputs (2)'!$D$7:$AL$7,MATCH(L$7,'Inputs (2)'!$D$2:$AL$2,0))</f>
        <v>-17.704</v>
      </c>
      <c r="M70" s="3">
        <f>SUM(I70:L70)</f>
        <v>-53.395</v>
      </c>
      <c r="N70" s="25">
        <f>INDEX('Inputs (2)'!$D$7:$AL$7,MATCH(N$7,'Inputs (2)'!$D$2:$AL$2,0))</f>
        <v>-15.688</v>
      </c>
      <c r="O70" s="25">
        <f>INDEX('Inputs (2)'!$D$7:$AL$7,MATCH(O$7,'Inputs (2)'!$D$2:$AL$2,0))</f>
        <v>-30.096</v>
      </c>
      <c r="P70" s="25">
        <f>INDEX('Inputs (2)'!$D$7:$AL$7,MATCH(P$7,'Inputs (2)'!$D$2:$AL$2,0))</f>
        <v>-48.076</v>
      </c>
      <c r="Q70" s="25">
        <f>INDEX('Inputs (2)'!$D$7:$AL$7,MATCH(Q$7,'Inputs (2)'!$D$2:$AL$2,0))</f>
        <v>-41.858</v>
      </c>
      <c r="R70" s="3">
        <f>SUM(N70:Q70)</f>
        <v>-135.718</v>
      </c>
      <c r="S70" s="25">
        <f>INDEX('Inputs (2)'!$D$7:$AL$7,MATCH(S$7,'Inputs (2)'!$D$2:$AL$2,0))</f>
        <v>-60.225</v>
      </c>
      <c r="T70" s="25">
        <f>INDEX('Inputs (2)'!$D$7:$AL$7,MATCH(T$7,'Inputs (2)'!$D$2:$AL$2,0))</f>
        <v>-35.636</v>
      </c>
      <c r="U70" s="25">
        <f>INDEX('Inputs (2)'!$D$7:$AL$7,MATCH(U$7,'Inputs (2)'!$D$2:$AL$2,0))</f>
        <v>-37.234</v>
      </c>
      <c r="V70" s="25">
        <f>INDEX('Inputs (2)'!$D$7:$AL$7,MATCH(V$7,'Inputs (2)'!$D$2:$AL$2,0))</f>
        <v>-32.565</v>
      </c>
      <c r="W70" s="3">
        <f>SUM(S70:V70)</f>
        <v>-165.66</v>
      </c>
      <c r="X70" s="25">
        <f>INDEX('Inputs (2)'!$D$7:$AL$7,MATCH(X$7,'Inputs (2)'!$D$2:$AL$2,0))</f>
        <v>-35.203</v>
      </c>
      <c r="Y70" s="25">
        <f>INDEX('Inputs (2)'!$D$7:$AL$7,MATCH(Y$7,'Inputs (2)'!$D$2:$AL$2,0))</f>
        <v>-32.275</v>
      </c>
      <c r="Z70" s="25">
        <f>INDEX('Inputs (2)'!$D$7:$AL$7,MATCH(Z$7,'Inputs (2)'!$D$2:$AL$2,0))</f>
        <v>-39.87</v>
      </c>
      <c r="AA70" s="25">
        <f>INDEX('Inputs (2)'!$D$7:$AL$7,MATCH(AA$7,'Inputs (2)'!$D$2:$AL$2,0))</f>
        <v>-48.619</v>
      </c>
      <c r="AB70" s="3">
        <f>SUM(X70:AA70)</f>
        <v>-155.967</v>
      </c>
      <c r="AC70" s="25">
        <f>INDEX('Inputs (2)'!$D$7:$AL$7,MATCH(AC$7,'Inputs (2)'!$D$2:$AL$2,0))</f>
        <v>-48.663</v>
      </c>
      <c r="AD70" s="25">
        <f>INDEX('Inputs (2)'!$D$7:$AL$7,MATCH(AD$7,'Inputs (2)'!$D$2:$AL$2,0))</f>
        <v>-42.936</v>
      </c>
      <c r="AE70" s="25">
        <f>INDEX('Inputs (2)'!$D$7:$AL$7,MATCH(AE$7,'Inputs (2)'!$D$2:$AL$2,0))</f>
        <v>-44.612</v>
      </c>
      <c r="AF70" s="25">
        <f>INDEX('Inputs (2)'!$D$7:$AL$7,MATCH(AF$7,'Inputs (2)'!$D$2:$AL$2,0))</f>
        <v>-44.967</v>
      </c>
      <c r="AG70" s="3">
        <f>SUM(AC70:AF70)</f>
        <v>-181.178</v>
      </c>
      <c r="AH70" s="3">
        <f>INDEX('Inputs (2)'!$D$7:$AL$7,MATCH(AH$7,'Inputs (2)'!$D$2:$AL$2,0))</f>
        <v>-51.389</v>
      </c>
      <c r="AI70" s="3">
        <f>INDEX('Inputs (2)'!$D$7:$AL$7,MATCH(AI$7,'Inputs (2)'!$D$2:$AL$2,0))</f>
        <v>-57.892</v>
      </c>
      <c r="AJ70" s="3">
        <f>-AJ71*AJ15</f>
        <v>0</v>
      </c>
      <c r="AK70" s="3">
        <f>-AK71*AK15</f>
        <v>0</v>
      </c>
      <c r="AL70" s="3">
        <f>SUM(AH70:AK70)</f>
        <v>-109.281</v>
      </c>
      <c r="AM70" s="3">
        <f>-AM71*AM15</f>
        <v>0</v>
      </c>
      <c r="AN70" s="3">
        <f>-AN71*AN15</f>
        <v>0</v>
      </c>
      <c r="AO70" s="3">
        <f>-AO71*AO15</f>
        <v>0</v>
      </c>
      <c r="AP70" s="3">
        <f>-AP71*AP15</f>
        <v>0</v>
      </c>
      <c r="AQ70" s="3">
        <f>SUM(AM70:AP70)</f>
        <v>0</v>
      </c>
      <c r="AR70" s="3">
        <f>-AR71*AR15</f>
        <v>0</v>
      </c>
      <c r="AS70" s="3">
        <f>-AS71*AS15</f>
        <v>0</v>
      </c>
      <c r="AT70" s="3">
        <f>-AT71*AT15</f>
        <v>0</v>
      </c>
      <c r="AU70" s="3">
        <f>-AU71*AU15</f>
        <v>0</v>
      </c>
      <c r="AV70" s="3">
        <f>SUM(AR70:AU70)</f>
        <v>0</v>
      </c>
      <c r="AW70" s="3">
        <f>-AW71*AW15</f>
        <v>0</v>
      </c>
      <c r="AX70" s="3">
        <f>-AX71*AX15</f>
        <v>0</v>
      </c>
      <c r="AY70" s="3">
        <f>-AY71*AY15</f>
        <v>0</v>
      </c>
      <c r="AZ70" s="3">
        <f>-AZ71*AZ15</f>
        <v>0</v>
      </c>
      <c r="BA70" s="3">
        <f>SUM(AW70:AZ70)</f>
        <v>0</v>
      </c>
      <c r="BB70" s="3">
        <f>-BB71*BB15</f>
        <v>0</v>
      </c>
      <c r="BC70" s="3">
        <f>-BC71*BC15</f>
        <v>0</v>
      </c>
      <c r="BD70" s="3">
        <f>-BD71*BD15</f>
        <v>0</v>
      </c>
      <c r="BE70" s="3">
        <f>-BE71*BE15</f>
        <v>0</v>
      </c>
      <c r="BF70" s="3">
        <f>SUM(BB70:BE70)</f>
        <v>0</v>
      </c>
      <c r="BG70" s="3">
        <f>-BG71*BG15</f>
        <v>0</v>
      </c>
      <c r="BH70" s="3">
        <f>-BH71*BH15</f>
        <v>0</v>
      </c>
      <c r="BI70" s="3">
        <f>-BI71*BI15</f>
        <v>0</v>
      </c>
      <c r="BJ70" s="3">
        <f>-BJ71*BJ15</f>
        <v>0</v>
      </c>
      <c r="BK70" s="3">
        <f>SUM(BG70:BJ70)</f>
        <v>0</v>
      </c>
      <c r="BL70" s="3">
        <f>-BL71*BL15</f>
        <v>0</v>
      </c>
      <c r="BM70" s="3">
        <f>-BM71*BM15</f>
        <v>0</v>
      </c>
      <c r="BN70" s="3">
        <f>-BN71*BN15</f>
        <v>0</v>
      </c>
      <c r="BO70" s="3">
        <f>-BO71*BO15</f>
        <v>0</v>
      </c>
      <c r="BP70" s="3">
        <f>SUM(BL70:BO70)</f>
        <v>0</v>
      </c>
      <c r="BQ70" s="3">
        <f>-BQ71*BQ15</f>
        <v>0</v>
      </c>
      <c r="BR70" s="3">
        <f>-BR71*BR15</f>
        <v>0</v>
      </c>
      <c r="BS70" s="3">
        <f>-BS71*BS15</f>
        <v>0</v>
      </c>
      <c r="BT70" s="3">
        <f>-BT71*BT15</f>
        <v>0</v>
      </c>
      <c r="BU70" s="3">
        <f>SUM(BQ70:BT70)</f>
        <v>0</v>
      </c>
      <c r="BV70" s="3">
        <f>-BV71*BV15</f>
        <v>0</v>
      </c>
      <c r="BW70" s="3">
        <f>-BW71*BW15</f>
        <v>0</v>
      </c>
      <c r="BX70" s="3">
        <f>-BX71*BX15</f>
        <v>0</v>
      </c>
      <c r="BY70" s="3">
        <f>-BY71*BY15</f>
        <v>0</v>
      </c>
      <c r="BZ70" s="3">
        <f>SUM(BV70:BY70)</f>
        <v>0</v>
      </c>
      <c r="CA70" s="3">
        <f>-CA71*CA15</f>
        <v>0</v>
      </c>
      <c r="CB70" s="3">
        <f>-CB71*CB15</f>
        <v>0</v>
      </c>
      <c r="CC70" s="3">
        <f>-CC71*CC15</f>
        <v>0</v>
      </c>
      <c r="CD70" s="3">
        <f>-CD71*CD15</f>
        <v>0</v>
      </c>
      <c r="CE70" s="3">
        <f>SUM(CA70:CD70)</f>
        <v>0</v>
      </c>
      <c r="CF70" s="3">
        <f>-CF71*CF15</f>
        <v>0</v>
      </c>
      <c r="CG70" s="3">
        <f>-CG71*CG15</f>
        <v>0</v>
      </c>
      <c r="CH70" s="3">
        <f>-CH71*CH15</f>
        <v>0</v>
      </c>
      <c r="CI70" s="3">
        <f>-CI71*CI15</f>
        <v>0</v>
      </c>
      <c r="CJ70" s="3">
        <f>SUM(CF70:CI70)</f>
        <v>0</v>
      </c>
      <c r="CK70" s="3">
        <f>-CK71*CK15</f>
        <v>0</v>
      </c>
      <c r="CL70" s="3">
        <f>-CL71*CL15</f>
        <v>0</v>
      </c>
      <c r="CM70" s="3">
        <f>-CM71*CM15</f>
        <v>0</v>
      </c>
      <c r="CN70" s="3">
        <f>-CN71*CN15</f>
        <v>0</v>
      </c>
      <c r="CO70" s="3">
        <f>SUM(CK70:CN70)</f>
        <v>0</v>
      </c>
      <c r="CP70" s="3">
        <f>-CP71*CP15</f>
        <v>0</v>
      </c>
      <c r="CQ70" s="3">
        <f>-CQ71*CQ15</f>
        <v>0</v>
      </c>
      <c r="CR70" s="3">
        <f>-CR71*CR15</f>
        <v>0</v>
      </c>
      <c r="CS70" s="3">
        <f>-CS71*CS15</f>
        <v>0</v>
      </c>
      <c r="CT70" s="3">
        <f>SUM(CP70:CS70)</f>
        <v>0</v>
      </c>
      <c r="CU70" s="3">
        <f>-CU71*CU15</f>
        <v>0</v>
      </c>
      <c r="CV70" s="3">
        <f>-CV71*CV15</f>
        <v>0</v>
      </c>
      <c r="CW70" s="3">
        <f>-CW71*CW15</f>
        <v>0</v>
      </c>
      <c r="CX70" s="3">
        <f>-CX71*CX15</f>
        <v>0</v>
      </c>
      <c r="CY70" s="3">
        <f>SUM(CU70:CX70)</f>
        <v>0</v>
      </c>
    </row>
    <row r="71" hidden="1" outlineLevel="1" customFormat="1" s="247">
      <c r="A71" s="48" t="n"/>
      <c r="B71" s="48" t="n"/>
      <c r="C71" s="246" t="inlineStr">
        <is>
          <t>% of Revenue</t>
        </is>
      </c>
      <c r="D71" s="48">
        <f>-D70/D15</f>
        <v>0.132041657104766</v>
      </c>
      <c r="E71" s="48">
        <f>-E70/E15</f>
        <v>0.14703113105493</v>
      </c>
      <c r="F71" s="48">
        <f>-F70/F15</f>
        <v>0.103498796168229</v>
      </c>
      <c r="G71" s="48">
        <f>-G70/G15</f>
        <v>0.127793201188142</v>
      </c>
      <c r="H71" s="48" t="n"/>
      <c r="I71" s="48">
        <f>-I70/I15</f>
        <v>0.121871611982882</v>
      </c>
      <c r="J71" s="48">
        <f>-J70/J15</f>
        <v>0.128151736489475</v>
      </c>
      <c r="K71" s="48">
        <f>-K70/K15</f>
        <v>0.131549163169439</v>
      </c>
      <c r="L71" s="48">
        <f>-L70/L15</f>
        <v>0.113952485469513</v>
      </c>
      <c r="M71" s="48" t="n"/>
      <c r="N71" s="48">
        <f>-N70/N15</f>
        <v>0.158103722814585</v>
      </c>
      <c r="O71" s="48">
        <f>-O70/O15</f>
        <v>0.199824715162138</v>
      </c>
      <c r="P71" s="48">
        <f>-P70/P15</f>
        <v>0.243821541051948</v>
      </c>
      <c r="Q71" s="48">
        <f>-Q70/Q15</f>
        <v>0.233570858606432</v>
      </c>
      <c r="R71" s="48" t="n"/>
      <c r="S71" s="48">
        <f>-S70/S15</f>
        <v>0.318912335513252</v>
      </c>
      <c r="T71" s="48">
        <f>-T70/T15</f>
        <v>0.181589339855793</v>
      </c>
      <c r="U71" s="48">
        <f>-U70/U15</f>
        <v>0.193323952876183</v>
      </c>
      <c r="V71" s="48">
        <f>-V70/V15</f>
        <v>0.163983543736498</v>
      </c>
      <c r="W71" s="48" t="n"/>
      <c r="X71" s="48">
        <f>-X70/X15</f>
        <v>0.168317825825022</v>
      </c>
      <c r="Y71" s="48">
        <f>-Y70/Y15</f>
        <v>0.150083470125135</v>
      </c>
      <c r="Z71" s="48">
        <f>-Z70/Z15</f>
        <v>0.160072910058858</v>
      </c>
      <c r="AA71" s="48">
        <f>-AA70/AA15</f>
        <v>0.211197796755949</v>
      </c>
      <c r="AB71" s="48" t="n"/>
      <c r="AC71" s="48">
        <f>-AC70/AC15</f>
        <v>0.202088870431894</v>
      </c>
      <c r="AD71" s="48">
        <f>-AD70/AD15</f>
        <v>0.162524935555547</v>
      </c>
      <c r="AE71" s="48">
        <f>-AE70/AE15</f>
        <v>0.158733321473048</v>
      </c>
      <c r="AF71" s="218">
        <f>-AF70/AF15</f>
        <v>0.170130415536361</v>
      </c>
      <c r="AG71" s="48" t="n"/>
      <c r="AH71" s="218">
        <f>-AH70/AH15</f>
        <v>0.15521813722529</v>
      </c>
      <c r="AI71" s="218">
        <f>-AI70/AI15</f>
        <v>0.092949026710081</v>
      </c>
      <c r="AJ71" s="218" t="n"/>
      <c r="AK71" s="218" t="n"/>
      <c r="AL71" s="48" t="n"/>
      <c r="AM71" s="218" t="n"/>
      <c r="AN71" s="218" t="n"/>
      <c r="AO71" s="218" t="n"/>
      <c r="AP71" s="218" t="n"/>
      <c r="AQ71" s="48" t="n"/>
      <c r="AR71" s="218" t="n"/>
      <c r="AS71" s="218" t="n"/>
      <c r="AT71" s="218" t="n"/>
      <c r="AU71" s="218" t="n"/>
      <c r="AV71" s="48" t="n"/>
      <c r="AW71" s="218" t="n"/>
      <c r="AX71" s="218" t="n"/>
      <c r="AY71" s="218" t="n"/>
      <c r="AZ71" s="218" t="n"/>
      <c r="BA71" s="48" t="n"/>
      <c r="BB71" s="218" t="n"/>
      <c r="BC71" s="218" t="n"/>
      <c r="BD71" s="218" t="n"/>
      <c r="BE71" s="218" t="n"/>
      <c r="BF71" s="48" t="n"/>
      <c r="BG71" s="218" t="n"/>
      <c r="BH71" s="218" t="n"/>
      <c r="BI71" s="218" t="n"/>
      <c r="BJ71" s="218" t="n"/>
      <c r="BK71" s="48" t="n"/>
      <c r="BL71" s="218" t="n"/>
      <c r="BM71" s="218" t="n"/>
      <c r="BN71" s="218" t="n"/>
      <c r="BO71" s="218" t="n"/>
      <c r="BP71" s="48" t="n"/>
      <c r="BQ71" s="218" t="n"/>
      <c r="BR71" s="218" t="n"/>
      <c r="BS71" s="218" t="n"/>
      <c r="BT71" s="218" t="n"/>
      <c r="BU71" s="48" t="n"/>
      <c r="BV71" s="218" t="n"/>
      <c r="BW71" s="218" t="n"/>
      <c r="BX71" s="218" t="n"/>
      <c r="BY71" s="218" t="n"/>
      <c r="BZ71" s="48" t="n"/>
      <c r="CA71" s="218" t="n"/>
      <c r="CB71" s="218" t="n"/>
      <c r="CC71" s="218" t="n"/>
      <c r="CD71" s="218" t="n"/>
      <c r="CE71" s="48" t="n"/>
      <c r="CF71" s="218" t="n"/>
      <c r="CG71" s="218" t="n"/>
      <c r="CH71" s="218" t="n"/>
      <c r="CI71" s="218" t="n"/>
      <c r="CJ71" s="48" t="n"/>
      <c r="CK71" s="218" t="n"/>
      <c r="CL71" s="218" t="n"/>
      <c r="CM71" s="218" t="n"/>
      <c r="CN71" s="218" t="n"/>
      <c r="CO71" s="48" t="n"/>
      <c r="CP71" s="218" t="n"/>
      <c r="CQ71" s="218" t="n"/>
      <c r="CR71" s="218" t="n"/>
      <c r="CS71" s="218" t="n"/>
      <c r="CT71" s="48" t="n"/>
      <c r="CU71" s="218" t="n"/>
      <c r="CV71" s="218" t="n"/>
      <c r="CW71" s="218" t="n"/>
      <c r="CX71" s="218" t="n"/>
      <c r="CY71" s="48" t="n"/>
    </row>
    <row r="72" hidden="1" outlineLevel="1">
      <c r="C72" s="32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collapsed="1" customFormat="1" s="17">
      <c r="A73" s="13" t="n"/>
      <c r="B73" s="1" t="n"/>
      <c r="C73" s="14" t="inlineStr">
        <is>
          <t>Operating Profit - EBIT</t>
        </is>
      </c>
      <c r="D73" s="16">
        <f>SUM(D69,D70)</f>
        <v>20.49</v>
      </c>
      <c r="E73" s="16">
        <f>SUM(E69,E70)</f>
        <v>24.6</v>
      </c>
      <c r="F73" s="16">
        <f>SUM(F69,F70)</f>
        <v>22.829</v>
      </c>
      <c r="G73" s="16">
        <f>SUM(G69,G70)</f>
        <v>34.781</v>
      </c>
      <c r="H73" s="16">
        <f>SUM(D73:G73)</f>
        <v>102.7</v>
      </c>
      <c r="I73" s="16">
        <f>SUM(I69,I70)</f>
        <v>-24.012</v>
      </c>
      <c r="J73" s="16">
        <f>SUM(J69,J70)</f>
        <v>24.934</v>
      </c>
      <c r="K73" s="16">
        <f>SUM(K69,K70)</f>
        <v>19.593</v>
      </c>
      <c r="L73" s="16">
        <f>SUM(L69,L70)</f>
        <v>58.443</v>
      </c>
      <c r="M73" s="16">
        <f>SUM(I73:L73)</f>
        <v>78.958</v>
      </c>
      <c r="N73" s="16">
        <f>SUM(N69,N70)</f>
        <v>11.893</v>
      </c>
      <c r="O73" s="16">
        <f>SUM(O69,O70)</f>
        <v>24.97</v>
      </c>
      <c r="P73" s="16">
        <f>SUM(P69,P70)</f>
        <v>12.521</v>
      </c>
      <c r="Q73" s="16">
        <f>SUM(Q69,Q70)</f>
        <v>0.40100000000001</v>
      </c>
      <c r="R73" s="16">
        <f>SUM(N73:Q73)</f>
        <v>49.785</v>
      </c>
      <c r="S73" s="16">
        <f>SUM(S69,S70)</f>
        <v>8.85599999999999</v>
      </c>
      <c r="T73" s="16">
        <f>SUM(T69,T70)</f>
        <v>40.926</v>
      </c>
      <c r="U73" s="16">
        <f>SUM(U69,U70)</f>
        <v>42.723</v>
      </c>
      <c r="V73" s="16">
        <f>SUM(V69,V70)</f>
        <v>86.155</v>
      </c>
      <c r="W73" s="16">
        <f>SUM(S73:V73)</f>
        <v>178.66</v>
      </c>
      <c r="X73" s="16">
        <f>SUM(X69,X70)</f>
        <v>66.347</v>
      </c>
      <c r="Y73" s="16">
        <f>SUM(Y69,Y70)</f>
        <v>61.874</v>
      </c>
      <c r="Z73" s="16">
        <f>SUM(Z69,Z70)</f>
        <v>85.848</v>
      </c>
      <c r="AA73" s="16">
        <f>SUM(AA69,AA70)</f>
        <v>44.362</v>
      </c>
      <c r="AB73" s="16">
        <f>SUM(X73:AA73)</f>
        <v>258.431</v>
      </c>
      <c r="AC73" s="16">
        <f>SUM(AC69,AC70)</f>
        <v>55.522</v>
      </c>
      <c r="AD73" s="16">
        <f>SUM(AD69,AD70)</f>
        <v>79.575</v>
      </c>
      <c r="AE73" s="16">
        <f>SUM(AE69,AE70)</f>
        <v>83.457</v>
      </c>
      <c r="AF73" s="16">
        <f>SUM(AF69,AF70)</f>
        <v>84.582</v>
      </c>
      <c r="AG73" s="16">
        <f>SUM(AC73:AF73)</f>
        <v>303.136</v>
      </c>
      <c r="AH73" s="16">
        <f>SUM(AH69,AH70)</f>
        <v>86.75</v>
      </c>
      <c r="AI73" s="16">
        <f>SUM(AI69,AI70)</f>
        <v>96.756</v>
      </c>
      <c r="AJ73" s="16">
        <f>SUM(AJ69,AJ70)</f>
        <v>0</v>
      </c>
      <c r="AK73" s="16">
        <f>SUM(AK69,AK70)</f>
        <v>0</v>
      </c>
      <c r="AL73" s="16">
        <f>SUM(AL69,AL70)</f>
        <v>183.506</v>
      </c>
      <c r="AM73" s="16">
        <f>SUM(AM69,AM70)</f>
        <v>0</v>
      </c>
      <c r="AN73" s="16">
        <f>SUM(AN69,AN70)</f>
        <v>0</v>
      </c>
      <c r="AO73" s="16">
        <f>SUM(AO69,AO70)</f>
        <v>0</v>
      </c>
      <c r="AP73" s="16">
        <f>SUM(AP69,AP70)</f>
        <v>0</v>
      </c>
      <c r="AQ73" s="16">
        <f>SUM(AQ69,AQ70)</f>
        <v>0</v>
      </c>
      <c r="AR73" s="16">
        <f>SUM(AR69,AR70)</f>
        <v>0</v>
      </c>
      <c r="AS73" s="16">
        <f>SUM(AS69,AS70)</f>
        <v>0</v>
      </c>
      <c r="AT73" s="16">
        <f>SUM(AT69,AT70)</f>
        <v>0</v>
      </c>
      <c r="AU73" s="16">
        <f>SUM(AU69,AU70)</f>
        <v>0</v>
      </c>
      <c r="AV73" s="16">
        <f>SUM(AV69,AV70)</f>
        <v>0</v>
      </c>
      <c r="AW73" s="16">
        <f>SUM(AW69,AW70)</f>
        <v>0</v>
      </c>
      <c r="AX73" s="16">
        <f>SUM(AX69,AX70)</f>
        <v>0</v>
      </c>
      <c r="AY73" s="16">
        <f>SUM(AY69,AY70)</f>
        <v>0</v>
      </c>
      <c r="AZ73" s="16">
        <f>SUM(AZ69,AZ70)</f>
        <v>0</v>
      </c>
      <c r="BA73" s="16">
        <f>SUM(BA69,BA70)</f>
        <v>0</v>
      </c>
      <c r="BB73" s="16">
        <f>SUM(BB69,BB70)</f>
        <v>0</v>
      </c>
      <c r="BC73" s="16">
        <f>SUM(BC69,BC70)</f>
        <v>0</v>
      </c>
      <c r="BD73" s="16">
        <f>SUM(BD69,BD70)</f>
        <v>0</v>
      </c>
      <c r="BE73" s="16">
        <f>SUM(BE69,BE70)</f>
        <v>0</v>
      </c>
      <c r="BF73" s="16">
        <f>SUM(BF69,BF70)</f>
        <v>0</v>
      </c>
      <c r="BG73" s="16">
        <f>SUM(BG69,BG70)</f>
        <v>0</v>
      </c>
      <c r="BH73" s="16">
        <f>SUM(BH69,BH70)</f>
        <v>0</v>
      </c>
      <c r="BI73" s="16">
        <f>SUM(BI69,BI70)</f>
        <v>0</v>
      </c>
      <c r="BJ73" s="16">
        <f>SUM(BJ69,BJ70)</f>
        <v>0</v>
      </c>
      <c r="BK73" s="16">
        <f>SUM(BK69,BK70)</f>
        <v>0</v>
      </c>
      <c r="BL73" s="16">
        <f>SUM(BL69,BL70)</f>
        <v>0</v>
      </c>
      <c r="BM73" s="16">
        <f>SUM(BM69,BM70)</f>
        <v>0</v>
      </c>
      <c r="BN73" s="16">
        <f>SUM(BN69,BN70)</f>
        <v>0</v>
      </c>
      <c r="BO73" s="16">
        <f>SUM(BO69,BO70)</f>
        <v>0</v>
      </c>
      <c r="BP73" s="16">
        <f>SUM(BP69,BP70)</f>
        <v>0</v>
      </c>
      <c r="BQ73" s="16">
        <f>SUM(BQ69,BQ70)</f>
        <v>0</v>
      </c>
      <c r="BR73" s="16">
        <f>SUM(BR69,BR70)</f>
        <v>0</v>
      </c>
      <c r="BS73" s="16">
        <f>SUM(BS69,BS70)</f>
        <v>0</v>
      </c>
      <c r="BT73" s="16">
        <f>SUM(BT69,BT70)</f>
        <v>0</v>
      </c>
      <c r="BU73" s="16">
        <f>SUM(BU69,BU70)</f>
        <v>0</v>
      </c>
      <c r="BV73" s="16">
        <f>SUM(BV69,BV70)</f>
        <v>0</v>
      </c>
      <c r="BW73" s="16">
        <f>SUM(BW69,BW70)</f>
        <v>0</v>
      </c>
      <c r="BX73" s="16">
        <f>SUM(BX69,BX70)</f>
        <v>0</v>
      </c>
      <c r="BY73" s="16">
        <f>SUM(BY69,BY70)</f>
        <v>0</v>
      </c>
      <c r="BZ73" s="16">
        <f>SUM(BZ69,BZ70)</f>
        <v>0</v>
      </c>
      <c r="CA73" s="16">
        <f>SUM(CA69,CA70)</f>
        <v>0</v>
      </c>
      <c r="CB73" s="16">
        <f>SUM(CB69,CB70)</f>
        <v>0</v>
      </c>
      <c r="CC73" s="16">
        <f>SUM(CC69,CC70)</f>
        <v>0</v>
      </c>
      <c r="CD73" s="16">
        <f>SUM(CD69,CD70)</f>
        <v>0</v>
      </c>
      <c r="CE73" s="16">
        <f>SUM(CE69,CE70)</f>
        <v>0</v>
      </c>
      <c r="CF73" s="16">
        <f>SUM(CF69,CF70)</f>
        <v>0</v>
      </c>
      <c r="CG73" s="16">
        <f>SUM(CG69,CG70)</f>
        <v>0</v>
      </c>
      <c r="CH73" s="16">
        <f>SUM(CH69,CH70)</f>
        <v>0</v>
      </c>
      <c r="CI73" s="16">
        <f>SUM(CI69,CI70)</f>
        <v>0</v>
      </c>
      <c r="CJ73" s="16">
        <f>SUM(CJ69,CJ70)</f>
        <v>0</v>
      </c>
      <c r="CK73" s="16">
        <f>SUM(CK69,CK70)</f>
        <v>0</v>
      </c>
      <c r="CL73" s="16">
        <f>SUM(CL69,CL70)</f>
        <v>0</v>
      </c>
      <c r="CM73" s="16">
        <f>SUM(CM69,CM70)</f>
        <v>0</v>
      </c>
      <c r="CN73" s="16">
        <f>SUM(CN69,CN70)</f>
        <v>0</v>
      </c>
      <c r="CO73" s="16">
        <f>SUM(CO69,CO70)</f>
        <v>0</v>
      </c>
      <c r="CP73" s="16">
        <f>SUM(CP69,CP70)</f>
        <v>0</v>
      </c>
      <c r="CQ73" s="16">
        <f>SUM(CQ69,CQ70)</f>
        <v>0</v>
      </c>
      <c r="CR73" s="16">
        <f>SUM(CR69,CR70)</f>
        <v>0</v>
      </c>
      <c r="CS73" s="16">
        <f>SUM(CS69,CS70)</f>
        <v>0</v>
      </c>
      <c r="CT73" s="16">
        <f>SUM(CT69,CT70)</f>
        <v>0</v>
      </c>
      <c r="CU73" s="16">
        <f>SUM(CU69,CU70)</f>
        <v>0</v>
      </c>
      <c r="CV73" s="16">
        <f>SUM(CV69,CV70)</f>
        <v>0</v>
      </c>
      <c r="CW73" s="16">
        <f>SUM(CW69,CW70)</f>
        <v>0</v>
      </c>
      <c r="CX73" s="16">
        <f>SUM(CX69,CX70)</f>
        <v>0</v>
      </c>
      <c r="CY73" s="16">
        <f>SUM(CY69,CY70)</f>
        <v>0</v>
      </c>
    </row>
    <row r="74">
      <c r="C74" s="26" t="inlineStr">
        <is>
          <t>Interest Expense</t>
        </is>
      </c>
      <c r="D74" s="25">
        <f>INDEX('Inputs (2)'!$D$8:$AL$8,MATCH(D$7,'Inputs (2)'!$D$2:$AL$2,0))</f>
        <v>-26.802</v>
      </c>
      <c r="E74" s="25">
        <f>INDEX('Inputs (2)'!$D$8:$AL$8,MATCH(E$7,'Inputs (2)'!$D$2:$AL$2,0))</f>
        <v>-19.843</v>
      </c>
      <c r="F74" s="25">
        <f>INDEX('Inputs (2)'!$D$8:$AL$8,MATCH(F$7,'Inputs (2)'!$D$2:$AL$2,0))</f>
        <v>-20.802</v>
      </c>
      <c r="G74" s="25">
        <f>INDEX('Inputs (2)'!$D$8:$AL$8,MATCH(G$7,'Inputs (2)'!$D$2:$AL$2,0))</f>
        <v>-14.884</v>
      </c>
      <c r="H74" s="3">
        <f>SUM(D74:G74)</f>
        <v>-82.331</v>
      </c>
      <c r="I74" s="25">
        <f>INDEX('Inputs (2)'!$D$8:$AL$8,MATCH(I$7,'Inputs (2)'!$D$2:$AL$2,0))</f>
        <v>-24.167</v>
      </c>
      <c r="J74" s="25">
        <f>INDEX('Inputs (2)'!$D$8:$AL$8,MATCH(J$7,'Inputs (2)'!$D$2:$AL$2,0))</f>
        <v>-22.467</v>
      </c>
      <c r="K74" s="25">
        <f>INDEX('Inputs (2)'!$D$8:$AL$8,MATCH(K$7,'Inputs (2)'!$D$2:$AL$2,0))</f>
        <v>-23.898</v>
      </c>
      <c r="L74" s="25">
        <f>INDEX('Inputs (2)'!$D$8:$AL$8,MATCH(L$7,'Inputs (2)'!$D$2:$AL$2,0))</f>
        <v>-55.165</v>
      </c>
      <c r="M74" s="3">
        <f>SUM(I74:L74)</f>
        <v>-125.697</v>
      </c>
      <c r="N74" s="25">
        <f>INDEX('Inputs (2)'!$D$8:$AL$8,MATCH(N$7,'Inputs (2)'!$D$2:$AL$2,0))</f>
        <v>-41.349</v>
      </c>
      <c r="O74" s="25">
        <f>INDEX('Inputs (2)'!$D$8:$AL$8,MATCH(O$7,'Inputs (2)'!$D$2:$AL$2,0))</f>
        <v>-69.039</v>
      </c>
      <c r="P74" s="25">
        <f>INDEX('Inputs (2)'!$D$8:$AL$8,MATCH(P$7,'Inputs (2)'!$D$2:$AL$2,0))</f>
        <v>-37.467</v>
      </c>
      <c r="Q74" s="25">
        <f>INDEX('Inputs (2)'!$D$8:$AL$8,MATCH(Q$7,'Inputs (2)'!$D$2:$AL$2,0))</f>
        <v>-83.725</v>
      </c>
      <c r="R74" s="3">
        <f>SUM(N74:Q74)</f>
        <v>-231.58</v>
      </c>
      <c r="S74" s="25">
        <f>INDEX('Inputs (2)'!$D$8:$AL$8,MATCH(S$7,'Inputs (2)'!$D$2:$AL$2,0))</f>
        <v>-52.374</v>
      </c>
      <c r="T74" s="25">
        <f>INDEX('Inputs (2)'!$D$8:$AL$8,MATCH(T$7,'Inputs (2)'!$D$2:$AL$2,0))</f>
        <v>-45.602</v>
      </c>
      <c r="U74" s="25">
        <f>INDEX('Inputs (2)'!$D$8:$AL$8,MATCH(U$7,'Inputs (2)'!$D$2:$AL$2,0))</f>
        <v>-45.529</v>
      </c>
      <c r="V74" s="25">
        <f>INDEX('Inputs (2)'!$D$8:$AL$8,MATCH(V$7,'Inputs (2)'!$D$2:$AL$2,0))</f>
        <v>-55.686</v>
      </c>
      <c r="W74" s="3">
        <f>SUM(S74:V74)</f>
        <v>-199.191</v>
      </c>
      <c r="X74" s="25">
        <f>INDEX('Inputs (2)'!$D$8:$AL$8,MATCH(X$7,'Inputs (2)'!$D$2:$AL$2,0))</f>
        <v>-46.582</v>
      </c>
      <c r="Y74" s="25">
        <f>INDEX('Inputs (2)'!$D$8:$AL$8,MATCH(Y$7,'Inputs (2)'!$D$2:$AL$2,0))</f>
        <v>-48.709</v>
      </c>
      <c r="Z74" s="25">
        <f>INDEX('Inputs (2)'!$D$8:$AL$8,MATCH(Z$7,'Inputs (2)'!$D$2:$AL$2,0))</f>
        <v>-56.076</v>
      </c>
      <c r="AA74" s="25">
        <f>INDEX('Inputs (2)'!$D$8:$AL$8,MATCH(AA$7,'Inputs (2)'!$D$2:$AL$2,0))</f>
        <v>-78.046</v>
      </c>
      <c r="AB74" s="3">
        <f>SUM(X74:AA74)</f>
        <v>-229.413</v>
      </c>
      <c r="AC74" s="25">
        <f>INDEX('Inputs (2)'!$D$8:$AL$8,MATCH(AC$7,'Inputs (2)'!$D$2:$AL$2,0))</f>
        <v>-74.07</v>
      </c>
      <c r="AD74" s="25">
        <f>INDEX('Inputs (2)'!$D$8:$AL$8,MATCH(AD$7,'Inputs (2)'!$D$2:$AL$2,0))</f>
        <v>-73.588</v>
      </c>
      <c r="AE74" s="25">
        <f>INDEX('Inputs (2)'!$D$8:$AL$8,MATCH(AE$7,'Inputs (2)'!$D$2:$AL$2,0))</f>
        <v>-89.868</v>
      </c>
      <c r="AF74" s="25">
        <f>INDEX('Inputs (2)'!$D$8:$AL$8,MATCH(AF$7,'Inputs (2)'!$D$2:$AL$2,0))</f>
        <v>-87.635</v>
      </c>
      <c r="AG74" s="3">
        <f>SUM(AC74:AF74)</f>
        <v>-325.161</v>
      </c>
      <c r="AH74" s="3">
        <f>INDEX('Inputs (2)'!$D$8:$AL$8,MATCH(AH$7,'Inputs (2)'!$D$2:$AL$2,0))</f>
        <v>-77.362</v>
      </c>
      <c r="AI74" s="3">
        <f>INDEX('Inputs (2)'!$D$8:$AL$8,MATCH(AI$7,'Inputs (2)'!$D$2:$AL$2,0))</f>
        <v>-88.947</v>
      </c>
      <c r="AJ74" s="3" t="n"/>
      <c r="AK74" s="3" t="n"/>
      <c r="AL74" s="3">
        <f>SUM(AH74:AK74)</f>
        <v>-166.309</v>
      </c>
      <c r="AM74" s="3" t="n"/>
      <c r="AN74" s="3" t="n"/>
      <c r="AO74" s="3" t="n"/>
      <c r="AP74" s="3" t="n"/>
      <c r="AQ74" s="3">
        <f>SUM(AM74:AP74)</f>
        <v>0</v>
      </c>
      <c r="AR74" s="3" t="n"/>
      <c r="AS74" s="3" t="n"/>
      <c r="AT74" s="3" t="n"/>
      <c r="AU74" s="3" t="n"/>
      <c r="AV74" s="3">
        <f>SUM(AR74:AU74)</f>
        <v>0</v>
      </c>
      <c r="AW74" s="3" t="n"/>
      <c r="AX74" s="3" t="n"/>
      <c r="AY74" s="3" t="n"/>
      <c r="AZ74" s="3" t="n"/>
      <c r="BA74" s="3">
        <f>SUM(AW74:AZ74)</f>
        <v>0</v>
      </c>
      <c r="BB74" s="3" t="n"/>
      <c r="BC74" s="3" t="n"/>
      <c r="BD74" s="3" t="n"/>
      <c r="BE74" s="3" t="n"/>
      <c r="BF74" s="3">
        <f>SUM(BB74:BE74)</f>
        <v>0</v>
      </c>
      <c r="BG74" s="3" t="n"/>
      <c r="BH74" s="3" t="n"/>
      <c r="BI74" s="3" t="n"/>
      <c r="BJ74" s="3" t="n"/>
      <c r="BK74" s="3">
        <f>SUM(BG74:BJ74)</f>
        <v>0</v>
      </c>
      <c r="BL74" s="3" t="n"/>
      <c r="BM74" s="3" t="n"/>
      <c r="BN74" s="3" t="n"/>
      <c r="BO74" s="3" t="n"/>
      <c r="BP74" s="3">
        <f>SUM(BL74:BO74)</f>
        <v>0</v>
      </c>
      <c r="BQ74" s="3" t="n"/>
      <c r="BR74" s="3" t="n"/>
      <c r="BS74" s="3" t="n"/>
      <c r="BT74" s="3" t="n"/>
      <c r="BU74" s="3">
        <f>SUM(BQ74:BT74)</f>
        <v>0</v>
      </c>
      <c r="BV74" s="3" t="n"/>
      <c r="BW74" s="3" t="n"/>
      <c r="BX74" s="3" t="n"/>
      <c r="BY74" s="3" t="n"/>
      <c r="BZ74" s="3">
        <f>SUM(BV74:BY74)</f>
        <v>0</v>
      </c>
      <c r="CA74" s="3" t="n"/>
      <c r="CB74" s="3" t="n"/>
      <c r="CC74" s="3" t="n"/>
      <c r="CD74" s="3" t="n"/>
      <c r="CE74" s="3">
        <f>SUM(CA74:CD74)</f>
        <v>0</v>
      </c>
      <c r="CF74" s="3" t="n"/>
      <c r="CG74" s="3" t="n"/>
      <c r="CH74" s="3" t="n"/>
      <c r="CI74" s="3" t="n"/>
      <c r="CJ74" s="3">
        <f>SUM(CF74:CI74)</f>
        <v>0</v>
      </c>
      <c r="CK74" s="3" t="n"/>
      <c r="CL74" s="3" t="n"/>
      <c r="CM74" s="3" t="n"/>
      <c r="CN74" s="3" t="n"/>
      <c r="CO74" s="3">
        <f>SUM(CK74:CN74)</f>
        <v>0</v>
      </c>
      <c r="CP74" s="3" t="n"/>
      <c r="CQ74" s="3" t="n"/>
      <c r="CR74" s="3" t="n"/>
      <c r="CS74" s="3" t="n"/>
      <c r="CT74" s="3">
        <f>SUM(CP74:CS74)</f>
        <v>0</v>
      </c>
      <c r="CU74" s="3" t="n"/>
      <c r="CV74" s="3" t="n"/>
      <c r="CW74" s="3" t="n"/>
      <c r="CX74" s="3" t="n"/>
      <c r="CY74" s="3">
        <f>SUM(CU74:CX74)</f>
        <v>0</v>
      </c>
    </row>
    <row r="75" hidden="1" outlineLevel="1">
      <c r="C75" s="32" t="inlineStr">
        <is>
          <t>% of Debt</t>
        </is>
      </c>
      <c r="D75" s="48">
        <f>IFERROR(-D74/SUM(D212+D217),0)</f>
        <v>0.0597488062276795</v>
      </c>
      <c r="E75" s="48">
        <f>IFERROR(-E74/SUM(E212+E217),0)</f>
        <v>0.0615817666081149</v>
      </c>
      <c r="F75" s="48">
        <f>IFERROR(-F74/SUM(F212+F217),0)</f>
        <v>0.0642620155326129</v>
      </c>
      <c r="G75" s="48">
        <f>IFERROR(-G74/SUM(G212+G217),0)</f>
        <v>0.0457043892672681</v>
      </c>
      <c r="H75" s="3" t="n"/>
      <c r="I75" s="48">
        <f>IFERROR(-I74/SUM(I212+I217),0)</f>
        <v>0.0732746335813519</v>
      </c>
      <c r="J75" s="48">
        <f>IFERROR(-J74/SUM(J212+J217),0)</f>
        <v>0.0797542092203491</v>
      </c>
      <c r="K75" s="48">
        <f>IFERROR(-K74/SUM(K212+K217),0)</f>
        <v>0.090304150181946</v>
      </c>
      <c r="L75" s="48">
        <f>IFERROR(-L74/SUM(L212+L217),0)</f>
        <v>0.0991683984209277</v>
      </c>
      <c r="M75" s="3" t="n"/>
      <c r="N75" s="48">
        <f>IFERROR(-N74/SUM(N212+N217),0)</f>
        <v>0.0730368337104492</v>
      </c>
      <c r="O75" s="48">
        <f>IFERROR(-O74/SUM(O212+O217),0)</f>
        <v>0.117304339847692</v>
      </c>
      <c r="P75" s="48">
        <f>IFERROR(-P74/SUM(P212+P217),0)</f>
        <v>0.0614490138997089</v>
      </c>
      <c r="Q75" s="48">
        <f>IFERROR(-Q74/SUM(Q212+Q217),0)</f>
        <v>0.0824751712548047</v>
      </c>
      <c r="R75" s="3" t="n"/>
      <c r="S75" s="48">
        <f>IFERROR(-S74/SUM(S212+S217),0)</f>
        <v>0.0514217716329019</v>
      </c>
      <c r="T75" s="48">
        <f>IFERROR(-T74/SUM(T212+T217),0)</f>
        <v>0.0452607340651488</v>
      </c>
      <c r="U75" s="48">
        <f>IFERROR(-U74/SUM(U212+U217),0)</f>
        <v>0.0397751992298136</v>
      </c>
      <c r="V75" s="48">
        <f>IFERROR(-V74/SUM(V212+V217),0)</f>
        <v>0.0494815570438311</v>
      </c>
      <c r="W75" s="3" t="n"/>
      <c r="X75" s="48">
        <f>IFERROR(-X74/SUM(X212+X217),0)</f>
        <v>0.0411301566110489</v>
      </c>
      <c r="Y75" s="48">
        <f>IFERROR(-Y74/SUM(Y212+Y217),0)</f>
        <v>0.03827121499263</v>
      </c>
      <c r="Z75" s="48">
        <f>IFERROR(-Z74/SUM(Z212+Z217),0)</f>
        <v>0.0296024604313357</v>
      </c>
      <c r="AA75" s="48">
        <f>IFERROR(-AA74/SUM(AA212+AA217),0)</f>
        <v>0.0417962210638045</v>
      </c>
      <c r="AB75" s="3" t="n"/>
      <c r="AC75" s="48">
        <f>IFERROR(-AC74/SUM(AC212+AC217),0)</f>
        <v>0.0383923420572635</v>
      </c>
      <c r="AD75" s="48">
        <f>IFERROR(-AD74/SUM(AD212+AD217),0)</f>
        <v>0.0386851832089441</v>
      </c>
      <c r="AE75" s="48">
        <f>IFERROR(-AE74/SUM(AE212+AE217),0)</f>
        <v>0.042657578332297</v>
      </c>
      <c r="AF75" s="231">
        <f>IFERROR(-AF74/SUM(AF212+AF217),0)</f>
        <v>0.0412902867115339</v>
      </c>
      <c r="AG75" s="3" t="n"/>
      <c r="AH75" s="6">
        <f>IFERROR(-AH74/SUM(AH212+AH217),0)</f>
        <v>0.0345282987709654</v>
      </c>
      <c r="AI75" s="6">
        <f>IFERROR(-AI74/SUM(AI212+AI217),0)</f>
        <v>0.0234968260383728</v>
      </c>
      <c r="AJ75" s="6" t="n"/>
      <c r="AK75" s="6" t="n"/>
      <c r="AL75" s="3" t="n"/>
      <c r="AM75" s="6" t="n"/>
      <c r="AN75" s="6" t="n"/>
      <c r="AO75" s="6" t="n"/>
      <c r="AP75" s="6" t="n"/>
      <c r="AQ75" s="3" t="n"/>
      <c r="AR75" s="6" t="n"/>
      <c r="AS75" s="6" t="n"/>
      <c r="AT75" s="6" t="n"/>
      <c r="AU75" s="6" t="n"/>
      <c r="AV75" s="3" t="n"/>
      <c r="AW75" s="6" t="n"/>
      <c r="AX75" s="6" t="n"/>
      <c r="AY75" s="6" t="n"/>
      <c r="AZ75" s="6" t="n"/>
      <c r="BA75" s="3" t="n"/>
      <c r="BB75" s="6" t="n"/>
      <c r="BC75" s="6" t="n"/>
      <c r="BD75" s="6" t="n"/>
      <c r="BE75" s="6" t="n"/>
      <c r="BF75" s="3" t="n"/>
      <c r="BG75" s="6" t="n"/>
      <c r="BH75" s="6" t="n"/>
      <c r="BI75" s="6" t="n"/>
      <c r="BJ75" s="6" t="n"/>
      <c r="BK75" s="3" t="n"/>
      <c r="BL75" s="6" t="n"/>
      <c r="BM75" s="6" t="n"/>
      <c r="BN75" s="6" t="n"/>
      <c r="BO75" s="6" t="n"/>
      <c r="BP75" s="3" t="n"/>
      <c r="BQ75" s="6" t="n"/>
      <c r="BR75" s="6" t="n"/>
      <c r="BS75" s="6" t="n"/>
      <c r="BT75" s="6" t="n"/>
      <c r="BU75" s="3" t="n"/>
      <c r="BV75" s="6" t="n"/>
      <c r="BW75" s="6" t="n"/>
      <c r="BX75" s="6" t="n"/>
      <c r="BY75" s="6" t="n"/>
      <c r="BZ75" s="3" t="n"/>
      <c r="CA75" s="6" t="n"/>
      <c r="CB75" s="6" t="n"/>
      <c r="CC75" s="6" t="n"/>
      <c r="CD75" s="6" t="n"/>
      <c r="CE75" s="3" t="n"/>
      <c r="CF75" s="6" t="n"/>
      <c r="CG75" s="6" t="n"/>
      <c r="CH75" s="6" t="n"/>
      <c r="CI75" s="6" t="n"/>
      <c r="CJ75" s="3" t="n"/>
      <c r="CK75" s="6" t="n"/>
      <c r="CL75" s="6" t="n"/>
      <c r="CM75" s="6" t="n"/>
      <c r="CN75" s="6" t="n"/>
      <c r="CO75" s="3" t="n"/>
      <c r="CP75" s="6" t="n"/>
      <c r="CQ75" s="6" t="n"/>
      <c r="CR75" s="6" t="n"/>
      <c r="CS75" s="6" t="n"/>
      <c r="CT75" s="3" t="n"/>
      <c r="CU75" s="6" t="n"/>
      <c r="CV75" s="6" t="n"/>
      <c r="CW75" s="6" t="n"/>
      <c r="CX75" s="6" t="n"/>
      <c r="CY75" s="3" t="n"/>
    </row>
    <row r="76" hidden="1" outlineLevel="1">
      <c r="C76" s="32" t="inlineStr">
        <is>
          <t>%CDI</t>
        </is>
      </c>
      <c r="D76" s="6" t="n"/>
      <c r="E76" s="6" t="n"/>
      <c r="F76" s="6" t="n"/>
      <c r="G76" s="6" t="n"/>
      <c r="H76" s="3" t="n"/>
      <c r="I76" s="6" t="n"/>
      <c r="J76" s="6" t="n"/>
      <c r="K76" s="6" t="n"/>
      <c r="L76" s="6" t="n"/>
      <c r="M76" s="3" t="n"/>
      <c r="N76" s="6" t="n"/>
      <c r="O76" s="6" t="n"/>
      <c r="P76" s="6" t="n"/>
      <c r="Q76" s="6" t="n"/>
      <c r="R76" s="3" t="n"/>
      <c r="S76" s="6" t="n"/>
      <c r="T76" s="6" t="n"/>
      <c r="U76" s="6" t="n"/>
      <c r="V76" s="6" t="n"/>
      <c r="W76" s="3" t="n"/>
      <c r="X76" s="6" t="n"/>
      <c r="Y76" s="6" t="n"/>
      <c r="Z76" s="6" t="n"/>
      <c r="AA76" s="6" t="n"/>
      <c r="AB76" s="3" t="n"/>
      <c r="AC76" s="6" t="n"/>
      <c r="AD76" s="6" t="n"/>
      <c r="AE76" s="6" t="n"/>
      <c r="AF76" s="6" t="n"/>
      <c r="AG76" s="3" t="n"/>
      <c r="AH76" s="6" t="n"/>
      <c r="AI76" s="6" t="n"/>
      <c r="AJ76" s="6" t="n"/>
      <c r="AK76" s="6" t="n"/>
      <c r="AL76" s="3" t="n"/>
      <c r="AM76" s="6" t="n"/>
      <c r="AN76" s="6" t="n"/>
      <c r="AO76" s="6" t="n"/>
      <c r="AP76" s="6" t="n"/>
      <c r="AQ76" s="3" t="n"/>
      <c r="AR76" s="6" t="n"/>
      <c r="AS76" s="6" t="n"/>
      <c r="AT76" s="6" t="n"/>
      <c r="AU76" s="6" t="n"/>
      <c r="AV76" s="3" t="n"/>
      <c r="AW76" s="6" t="n"/>
      <c r="AX76" s="6" t="n"/>
      <c r="AY76" s="6" t="n"/>
      <c r="AZ76" s="6" t="n"/>
      <c r="BA76" s="3" t="n"/>
      <c r="BB76" s="6" t="n"/>
      <c r="BC76" s="6" t="n"/>
      <c r="BD76" s="6" t="n"/>
      <c r="BE76" s="6" t="n"/>
      <c r="BF76" s="3" t="n"/>
      <c r="BG76" s="6" t="n"/>
      <c r="BH76" s="6" t="n"/>
      <c r="BI76" s="6" t="n"/>
      <c r="BJ76" s="6" t="n"/>
      <c r="BK76" s="3" t="n"/>
      <c r="BL76" s="6" t="n"/>
      <c r="BM76" s="6" t="n"/>
      <c r="BN76" s="6" t="n"/>
      <c r="BO76" s="6" t="n"/>
      <c r="BP76" s="3" t="n"/>
      <c r="BQ76" s="6" t="n"/>
      <c r="BR76" s="6" t="n"/>
      <c r="BS76" s="6" t="n"/>
      <c r="BT76" s="6" t="n"/>
      <c r="BU76" s="3" t="n"/>
      <c r="BV76" s="6" t="n"/>
      <c r="BW76" s="6" t="n"/>
      <c r="BX76" s="6" t="n"/>
      <c r="BY76" s="6" t="n"/>
      <c r="BZ76" s="3" t="n"/>
      <c r="CA76" s="6" t="n"/>
      <c r="CB76" s="6" t="n"/>
      <c r="CC76" s="6" t="n"/>
      <c r="CD76" s="6" t="n"/>
      <c r="CE76" s="3" t="n"/>
      <c r="CF76" s="6" t="n"/>
      <c r="CG76" s="6" t="n"/>
      <c r="CH76" s="6" t="n"/>
      <c r="CI76" s="6" t="n"/>
      <c r="CJ76" s="3" t="n"/>
      <c r="CK76" s="6" t="n"/>
      <c r="CL76" s="6" t="n"/>
      <c r="CM76" s="6" t="n"/>
      <c r="CN76" s="6" t="n"/>
      <c r="CO76" s="3" t="n"/>
      <c r="CP76" s="6" t="n"/>
      <c r="CQ76" s="6" t="n"/>
      <c r="CR76" s="6" t="n"/>
      <c r="CS76" s="6" t="n"/>
      <c r="CT76" s="3" t="n"/>
      <c r="CU76" s="6" t="n"/>
      <c r="CV76" s="6" t="n"/>
      <c r="CW76" s="6" t="n"/>
      <c r="CX76" s="6" t="n"/>
      <c r="CY76" s="3" t="n"/>
    </row>
    <row r="77" hidden="1" outlineLevel="1">
      <c r="C77" s="3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RECEITA FINANCEIRA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DESPESA FINANCEIRA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OUTROS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Cash and equivalents (inc. investment securities)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Interest on cash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Average interest rate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% CDI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Current portion of long-term debt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Short term debt (Revolving credit facility)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Long term debt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Convertible debt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Total debt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Interest expense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Average interest rate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Stake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PRE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CDI+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Spread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PRE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CDI+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Rendimentos de aplicações financeiras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RECEITAS FINANCEIRAS - Variação cambial ativa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Atualização de contas a pagar por aquisição de empresas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RECEITAS FINANCEIRAS - Resultado positivo com instrumentos derivativos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RECEITAS FINANCEIRAS - Descontos obtidos de fornecedores por antecipação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RECEITAS FINANCEIRAS - Atualização monetária sobre Exclusão ICMS da base de PIS/COFINS (nota explicativa nº 7)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RECEITAS FINANCEIRAS - Outras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Encargos sobre empréstimos, financiamentos e debêntures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Variação cambial passiva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Resultado negativo com instrumentos derivativos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Juros sobre arrendamento - IFRS16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DESPESAS FINANCEIRAS - Despesas bancárias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DESPESAS FINANCEIRAS - Despesas com obtenção de empréstimos e financiamentos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DESPESAS FINANCEIRAS - Atualização de contas a pagar por aquisição de empresas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DESPESAS FINANCEIRAS - Outras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inlineStr">
        <is>
          <t>CHECK [EX IFRS-16]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collapsed="1">
      <c r="C123" s="26" t="inlineStr">
        <is>
          <t>Nonoperating Income / (Loss)</t>
        </is>
      </c>
      <c r="D123" s="25">
        <f>INDEX('Inputs (2)'!$D$9:$AL$9,MATCH(D$7,'Inputs (2)'!$D$2:$AL$2,0))</f>
        <v>0.708</v>
      </c>
      <c r="E123" s="25">
        <f>INDEX('Inputs (2)'!$D$9:$AL$9,MATCH(E$7,'Inputs (2)'!$D$2:$AL$2,0))</f>
        <v>25.852</v>
      </c>
      <c r="F123" s="25">
        <f>INDEX('Inputs (2)'!$D$9:$AL$9,MATCH(F$7,'Inputs (2)'!$D$2:$AL$2,0))</f>
        <v>3.182</v>
      </c>
      <c r="G123" s="25">
        <f>INDEX('Inputs (2)'!$D$9:$AL$9,MATCH(G$7,'Inputs (2)'!$D$2:$AL$2,0))</f>
        <v>-3.268</v>
      </c>
      <c r="H123" s="3">
        <f>SUM(D123:G123)</f>
        <v>26.474</v>
      </c>
      <c r="I123" s="25">
        <f>INDEX('Inputs (2)'!$D$9:$AL$9,MATCH(I$7,'Inputs (2)'!$D$2:$AL$2,0))</f>
        <v>4.747</v>
      </c>
      <c r="J123" s="25">
        <f>INDEX('Inputs (2)'!$D$9:$AL$9,MATCH(J$7,'Inputs (2)'!$D$2:$AL$2,0))</f>
        <v>8.841</v>
      </c>
      <c r="K123" s="25">
        <f>INDEX('Inputs (2)'!$D$9:$AL$9,MATCH(K$7,'Inputs (2)'!$D$2:$AL$2,0))</f>
        <v>9.664</v>
      </c>
      <c r="L123" s="25">
        <f>INDEX('Inputs (2)'!$D$9:$AL$9,MATCH(L$7,'Inputs (2)'!$D$2:$AL$2,0))</f>
        <v>3.268</v>
      </c>
      <c r="M123" s="3">
        <f>SUM(I123:L123)</f>
        <v>26.52</v>
      </c>
      <c r="N123" s="25">
        <f>INDEX('Inputs (2)'!$D$9:$AL$9,MATCH(N$7,'Inputs (2)'!$D$2:$AL$2,0))</f>
        <v>14.314</v>
      </c>
      <c r="O123" s="25">
        <f>INDEX('Inputs (2)'!$D$9:$AL$9,MATCH(O$7,'Inputs (2)'!$D$2:$AL$2,0))</f>
        <v>58.345</v>
      </c>
      <c r="P123" s="25">
        <f>INDEX('Inputs (2)'!$D$9:$AL$9,MATCH(P$7,'Inputs (2)'!$D$2:$AL$2,0))</f>
        <v>0.531</v>
      </c>
      <c r="Q123" s="25">
        <f>INDEX('Inputs (2)'!$D$9:$AL$9,MATCH(Q$7,'Inputs (2)'!$D$2:$AL$2,0))</f>
        <v>4.031</v>
      </c>
      <c r="R123" s="3">
        <f>SUM(N123:Q123)</f>
        <v>77.221</v>
      </c>
      <c r="S123" s="25">
        <f>INDEX('Inputs (2)'!$D$9:$AL$9,MATCH(S$7,'Inputs (2)'!$D$2:$AL$2,0))</f>
        <v>4.578</v>
      </c>
      <c r="T123" s="25">
        <f>INDEX('Inputs (2)'!$D$9:$AL$9,MATCH(T$7,'Inputs (2)'!$D$2:$AL$2,0))</f>
        <v>8.653</v>
      </c>
      <c r="U123" s="25">
        <f>INDEX('Inputs (2)'!$D$9:$AL$9,MATCH(U$7,'Inputs (2)'!$D$2:$AL$2,0))</f>
        <v>11.044</v>
      </c>
      <c r="V123" s="25">
        <f>INDEX('Inputs (2)'!$D$9:$AL$9,MATCH(V$7,'Inputs (2)'!$D$2:$AL$2,0))</f>
        <v>56.112</v>
      </c>
      <c r="W123" s="3">
        <f>SUM(S123:V123)</f>
        <v>80.387</v>
      </c>
      <c r="X123" s="25">
        <f>INDEX('Inputs (2)'!$D$9:$AL$9,MATCH(X$7,'Inputs (2)'!$D$2:$AL$2,0))</f>
        <v>7.702</v>
      </c>
      <c r="Y123" s="25">
        <f>INDEX('Inputs (2)'!$D$9:$AL$9,MATCH(Y$7,'Inputs (2)'!$D$2:$AL$2,0))</f>
        <v>12.609</v>
      </c>
      <c r="Z123" s="25">
        <f>INDEX('Inputs (2)'!$D$9:$AL$9,MATCH(Z$7,'Inputs (2)'!$D$2:$AL$2,0))</f>
        <v>9.343</v>
      </c>
      <c r="AA123" s="25">
        <f>INDEX('Inputs (2)'!$D$9:$AL$9,MATCH(AA$7,'Inputs (2)'!$D$2:$AL$2,0))</f>
        <v>28.989</v>
      </c>
      <c r="AB123" s="3">
        <f>SUM(X123:AA123)</f>
        <v>58.643</v>
      </c>
      <c r="AC123" s="25">
        <f>INDEX('Inputs (2)'!$D$9:$AL$9,MATCH(AC$7,'Inputs (2)'!$D$2:$AL$2,0))</f>
        <v>18.835</v>
      </c>
      <c r="AD123" s="25">
        <f>INDEX('Inputs (2)'!$D$9:$AL$9,MATCH(AD$7,'Inputs (2)'!$D$2:$AL$2,0))</f>
        <v>24.933</v>
      </c>
      <c r="AE123" s="25">
        <f>INDEX('Inputs (2)'!$D$9:$AL$9,MATCH(AE$7,'Inputs (2)'!$D$2:$AL$2,0))</f>
        <v>36.113</v>
      </c>
      <c r="AF123" s="25">
        <f>INDEX('Inputs (2)'!$D$9:$AL$9,MATCH(AF$7,'Inputs (2)'!$D$2:$AL$2,0))</f>
        <v>32.198</v>
      </c>
      <c r="AG123" s="3">
        <f>SUM(AC123:AF123)</f>
        <v>112.079</v>
      </c>
      <c r="AH123" s="3">
        <f>INDEX('Inputs (2)'!$D$9:$AL$9,MATCH(AH$7,'Inputs (2)'!$D$2:$AL$2,0))</f>
        <v>25.952</v>
      </c>
      <c r="AI123" s="3">
        <f>INDEX('Inputs (2)'!$D$9:$AL$9,MATCH(AI$7,'Inputs (2)'!$D$2:$AL$2,0))</f>
        <v>35.17</v>
      </c>
      <c r="AJ123" s="3">
        <f>AH123</f>
        <v>25.952</v>
      </c>
      <c r="AK123" s="3">
        <f>AI123</f>
        <v>35.17</v>
      </c>
      <c r="AL123" s="3">
        <f>SUM(AH123:AK123)</f>
        <v>122.244</v>
      </c>
      <c r="AM123" s="3">
        <f>AK123</f>
        <v>35.17</v>
      </c>
      <c r="AN123" s="3">
        <f>AL123</f>
        <v>122.244</v>
      </c>
      <c r="AO123" s="3">
        <f>AM123</f>
        <v>35.17</v>
      </c>
      <c r="AP123" s="3">
        <f>AN123</f>
        <v>122.244</v>
      </c>
      <c r="AQ123" s="3">
        <f>SUM(AM123:AP123)</f>
        <v>314.828</v>
      </c>
      <c r="AR123" s="3">
        <f>AP123</f>
        <v>122.244</v>
      </c>
      <c r="AS123" s="3">
        <f>AQ123</f>
        <v>314.828</v>
      </c>
      <c r="AT123" s="3">
        <f>AR123</f>
        <v>122.244</v>
      </c>
      <c r="AU123" s="3">
        <f>AS123</f>
        <v>314.828</v>
      </c>
      <c r="AV123" s="3">
        <f>SUM(AR123:AU123)</f>
        <v>874.144</v>
      </c>
      <c r="AW123" s="3">
        <f>AU123</f>
        <v>314.828</v>
      </c>
      <c r="AX123" s="3">
        <f>AV123</f>
        <v>874.144</v>
      </c>
      <c r="AY123" s="3">
        <f>AW123</f>
        <v>314.828</v>
      </c>
      <c r="AZ123" s="3">
        <f>AX123</f>
        <v>874.144</v>
      </c>
      <c r="BA123" s="3">
        <f>SUM(AW123:AZ123)</f>
        <v>2377.944</v>
      </c>
      <c r="BB123" s="3">
        <f>AZ123</f>
        <v>874.144</v>
      </c>
      <c r="BC123" s="3">
        <f>BA123</f>
        <v>2377.944</v>
      </c>
      <c r="BD123" s="3">
        <f>BB123</f>
        <v>874.144</v>
      </c>
      <c r="BE123" s="3">
        <f>BC123</f>
        <v>2377.944</v>
      </c>
      <c r="BF123" s="3">
        <f>SUM(BB123:BE123)</f>
        <v>6504.176</v>
      </c>
      <c r="BG123" s="3">
        <f>BE123</f>
        <v>2377.944</v>
      </c>
      <c r="BH123" s="3">
        <f>BF123</f>
        <v>6504.176</v>
      </c>
      <c r="BI123" s="3">
        <f>BG123</f>
        <v>2377.944</v>
      </c>
      <c r="BJ123" s="3">
        <f>BH123</f>
        <v>6504.176</v>
      </c>
      <c r="BK123" s="3">
        <f>SUM(BG123:BJ123)</f>
        <v>17764.24</v>
      </c>
      <c r="BL123" s="3">
        <f>BJ123</f>
        <v>6504.176</v>
      </c>
      <c r="BM123" s="3">
        <f>BK123</f>
        <v>17764.24</v>
      </c>
      <c r="BN123" s="3">
        <f>BL123</f>
        <v>6504.176</v>
      </c>
      <c r="BO123" s="3">
        <f>BM123</f>
        <v>17764.24</v>
      </c>
      <c r="BP123" s="3">
        <f>SUM(BL123:BO123)</f>
        <v>48536.832</v>
      </c>
      <c r="BQ123" s="3">
        <f>BO123</f>
        <v>17764.24</v>
      </c>
      <c r="BR123" s="3">
        <f>BP123</f>
        <v>48536.832</v>
      </c>
      <c r="BS123" s="3">
        <f>BQ123</f>
        <v>17764.24</v>
      </c>
      <c r="BT123" s="3">
        <f>BR123</f>
        <v>48536.832</v>
      </c>
      <c r="BU123" s="3">
        <f>SUM(BQ123:BT123)</f>
        <v>132602.144</v>
      </c>
      <c r="BV123" s="3">
        <f>BT123</f>
        <v>48536.832</v>
      </c>
      <c r="BW123" s="3">
        <f>BU123</f>
        <v>132602.144</v>
      </c>
      <c r="BX123" s="3">
        <f>BV123</f>
        <v>48536.832</v>
      </c>
      <c r="BY123" s="3">
        <f>BW123</f>
        <v>132602.144</v>
      </c>
      <c r="BZ123" s="3">
        <f>SUM(BV123:BY123)</f>
        <v>362277.952</v>
      </c>
      <c r="CA123" s="3">
        <f>BY123</f>
        <v>132602.144</v>
      </c>
      <c r="CB123" s="3">
        <f>BZ123</f>
        <v>362277.952</v>
      </c>
      <c r="CC123" s="3">
        <f>CA123</f>
        <v>132602.144</v>
      </c>
      <c r="CD123" s="3">
        <f>CB123</f>
        <v>362277.952</v>
      </c>
      <c r="CE123" s="3">
        <f>SUM(CA123:CD123)</f>
        <v>989760.192</v>
      </c>
      <c r="CF123" s="3">
        <f>CD123</f>
        <v>362277.952</v>
      </c>
      <c r="CG123" s="3">
        <f>CE123</f>
        <v>989760.192</v>
      </c>
      <c r="CH123" s="3">
        <f>CF123</f>
        <v>362277.952</v>
      </c>
      <c r="CI123" s="3">
        <f>CG123</f>
        <v>989760.192</v>
      </c>
      <c r="CJ123" s="3">
        <f>SUM(CF123:CI123)</f>
        <v>2704076.288</v>
      </c>
      <c r="CK123" s="3">
        <f>CI123</f>
        <v>989760.192</v>
      </c>
      <c r="CL123" s="3">
        <f>CJ123</f>
        <v>2704076.288</v>
      </c>
      <c r="CM123" s="3">
        <f>CK123</f>
        <v>989760.192</v>
      </c>
      <c r="CN123" s="3">
        <f>CL123</f>
        <v>2704076.288</v>
      </c>
      <c r="CO123" s="3">
        <f>SUM(CK123:CN123)</f>
        <v>7387672.96</v>
      </c>
      <c r="CP123" s="3">
        <f>CN123</f>
        <v>2704076.288</v>
      </c>
      <c r="CQ123" s="3">
        <f>CO123</f>
        <v>7387672.96</v>
      </c>
      <c r="CR123" s="3">
        <f>CP123</f>
        <v>2704076.288</v>
      </c>
      <c r="CS123" s="3">
        <f>CQ123</f>
        <v>7387672.96</v>
      </c>
      <c r="CT123" s="3">
        <f>SUM(CP123:CS123)</f>
        <v>20183498.496</v>
      </c>
      <c r="CU123" s="3">
        <f>CS123</f>
        <v>7387672.96</v>
      </c>
      <c r="CV123" s="3">
        <f>CT123</f>
        <v>20183498.496</v>
      </c>
      <c r="CW123" s="3">
        <f>CU123</f>
        <v>7387672.96</v>
      </c>
      <c r="CX123" s="3">
        <f>CV123</f>
        <v>20183498.496</v>
      </c>
      <c r="CY123" s="3">
        <f>SUM(CU123:CX123)</f>
        <v>55142342.912</v>
      </c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2" t="inlineStr">
        <is>
          <t>Resultado Não Recorrente</t>
        </is>
      </c>
      <c r="D125" s="6" t="n"/>
      <c r="E125" s="6" t="n"/>
      <c r="F125" s="6" t="n"/>
      <c r="G125" s="6" t="n"/>
      <c r="H125" s="3" t="n"/>
      <c r="I125" s="6" t="n"/>
      <c r="J125" s="6" t="n"/>
      <c r="K125" s="6" t="n"/>
      <c r="L125" s="6" t="n"/>
      <c r="M125" s="3" t="n"/>
      <c r="N125" s="6" t="n"/>
      <c r="O125" s="6" t="n"/>
      <c r="P125" s="6" t="n"/>
      <c r="Q125" s="6" t="n"/>
      <c r="R125" s="3" t="n"/>
      <c r="S125" s="6" t="n"/>
      <c r="T125" s="6" t="n"/>
      <c r="U125" s="6" t="n"/>
      <c r="V125" s="6" t="n"/>
      <c r="W125" s="3" t="n"/>
      <c r="X125" s="6" t="n"/>
      <c r="Y125" s="6" t="n"/>
      <c r="Z125" s="6" t="n"/>
      <c r="AA125" s="6" t="n"/>
      <c r="AB125" s="3" t="n"/>
      <c r="AC125" s="6" t="n"/>
      <c r="AD125" s="6" t="n"/>
      <c r="AE125" s="6" t="n"/>
      <c r="AF125" s="6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2" t="inlineStr">
        <is>
          <t>Plano de Opção de Compra de Ações</t>
        </is>
      </c>
      <c r="D126" s="6" t="n"/>
      <c r="E126" s="6" t="n"/>
      <c r="F126" s="6" t="n"/>
      <c r="G126" s="6" t="n"/>
      <c r="H126" s="3" t="n"/>
      <c r="I126" s="6" t="n"/>
      <c r="J126" s="6" t="n"/>
      <c r="K126" s="6" t="n"/>
      <c r="L126" s="6" t="n"/>
      <c r="M126" s="3" t="n"/>
      <c r="N126" s="6" t="n"/>
      <c r="O126" s="6" t="n"/>
      <c r="P126" s="6" t="n"/>
      <c r="Q126" s="6" t="n"/>
      <c r="R126" s="3" t="n"/>
      <c r="S126" s="6" t="n"/>
      <c r="T126" s="6" t="n"/>
      <c r="U126" s="6" t="n"/>
      <c r="V126" s="6" t="n"/>
      <c r="W126" s="3" t="n"/>
      <c r="X126" s="6" t="n"/>
      <c r="Y126" s="6" t="n"/>
      <c r="Z126" s="6" t="n"/>
      <c r="AA126" s="6" t="n"/>
      <c r="AB126" s="3" t="n"/>
      <c r="AC126" s="6" t="n"/>
      <c r="AD126" s="6" t="n"/>
      <c r="AE126" s="6" t="n"/>
      <c r="AF126" s="6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2" t="inlineStr">
        <is>
          <t>Baixa Imobilizado</t>
        </is>
      </c>
      <c r="D127" s="6" t="n"/>
      <c r="E127" s="6" t="n"/>
      <c r="F127" s="6" t="n"/>
      <c r="G127" s="6" t="n"/>
      <c r="H127" s="3" t="n"/>
      <c r="I127" s="6" t="n"/>
      <c r="J127" s="6" t="n"/>
      <c r="K127" s="6" t="n"/>
      <c r="L127" s="6" t="n"/>
      <c r="M127" s="3" t="n"/>
      <c r="N127" s="6" t="n"/>
      <c r="O127" s="6" t="n"/>
      <c r="P127" s="6" t="n"/>
      <c r="Q127" s="6" t="n"/>
      <c r="R127" s="3" t="n"/>
      <c r="S127" s="6" t="n"/>
      <c r="T127" s="6" t="n"/>
      <c r="U127" s="6" t="n"/>
      <c r="V127" s="6" t="n"/>
      <c r="W127" s="3" t="n"/>
      <c r="X127" s="6" t="n"/>
      <c r="Y127" s="6" t="n"/>
      <c r="Z127" s="6" t="n"/>
      <c r="AA127" s="6" t="n"/>
      <c r="AB127" s="3" t="n"/>
      <c r="AC127" s="6" t="n"/>
      <c r="AD127" s="6" t="n"/>
      <c r="AE127" s="6" t="n"/>
      <c r="AF127" s="6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collapsed="1" customFormat="1" s="17">
      <c r="A130" s="13" t="n"/>
      <c r="B130" s="1" t="n"/>
      <c r="C130" s="14" t="inlineStr">
        <is>
          <t>Pretax Income - EBT</t>
        </is>
      </c>
      <c r="D130" s="16">
        <f>SUM(D73,D74,D123)</f>
        <v>-5.604</v>
      </c>
      <c r="E130" s="16">
        <f>SUM(E73,E74,E123)</f>
        <v>30.609</v>
      </c>
      <c r="F130" s="16">
        <f>SUM(F73,F74,F123)</f>
        <v>5.20900000000001</v>
      </c>
      <c r="G130" s="16">
        <f>SUM(G73,G74,G123)</f>
        <v>16.629</v>
      </c>
      <c r="H130" s="16">
        <f>SUM(D130:G130)</f>
        <v>46.843</v>
      </c>
      <c r="I130" s="16">
        <f>SUM(I73,I74,I123)</f>
        <v>-43.432</v>
      </c>
      <c r="J130" s="16">
        <f>SUM(J73,J74,J123)</f>
        <v>11.308</v>
      </c>
      <c r="K130" s="16">
        <f>SUM(K73,K74,K123)</f>
        <v>5.35900000000001</v>
      </c>
      <c r="L130" s="16">
        <f>SUM(L73,L74,L123)</f>
        <v>6.54599999999999</v>
      </c>
      <c r="M130" s="16">
        <f>SUM(I130:L130)</f>
        <v>-20.219</v>
      </c>
      <c r="N130" s="16">
        <f>SUM(N73,N74,N123)</f>
        <v>-15.142</v>
      </c>
      <c r="O130" s="16">
        <f>SUM(O73,O74,O123)</f>
        <v>14.276</v>
      </c>
      <c r="P130" s="16">
        <f>SUM(P73,P74,P123)</f>
        <v>-24.415</v>
      </c>
      <c r="Q130" s="16">
        <f>SUM(Q73,Q74,Q123)</f>
        <v>-79.293</v>
      </c>
      <c r="R130" s="16">
        <f>SUM(N130:Q130)</f>
        <v>-104.574</v>
      </c>
      <c r="S130" s="16">
        <f>SUM(S73,S74,S123)</f>
        <v>-38.94</v>
      </c>
      <c r="T130" s="16">
        <f>SUM(T73,T74,T123)</f>
        <v>3.97699999999998</v>
      </c>
      <c r="U130" s="16">
        <f>SUM(U73,U74,U123)</f>
        <v>8.23800000000002</v>
      </c>
      <c r="V130" s="16">
        <f>SUM(V73,V74,V123)</f>
        <v>86.581</v>
      </c>
      <c r="W130" s="16">
        <f>SUM(S130:V130)</f>
        <v>59.856</v>
      </c>
      <c r="X130" s="16">
        <f>SUM(X73,X74,X123)</f>
        <v>27.467</v>
      </c>
      <c r="Y130" s="16">
        <f>SUM(Y73,Y74,Y123)</f>
        <v>25.774</v>
      </c>
      <c r="Z130" s="16">
        <f>SUM(Z73,Z74,Z123)</f>
        <v>39.115</v>
      </c>
      <c r="AA130" s="16">
        <f>SUM(AA73,AA74,AA123)</f>
        <v>-4.69499999999998</v>
      </c>
      <c r="AB130" s="16">
        <f>SUM(X130:AA130)</f>
        <v>87.661</v>
      </c>
      <c r="AC130" s="16">
        <f>SUM(AC73,AC74,AC123)</f>
        <v>0.287000000000006</v>
      </c>
      <c r="AD130" s="16">
        <f>SUM(AD73,AD74,AD123)</f>
        <v>30.92</v>
      </c>
      <c r="AE130" s="16">
        <f>SUM(AE73,AE74,AE123)</f>
        <v>29.702</v>
      </c>
      <c r="AF130" s="16">
        <f>SUM(AF73,AF74,AF123)</f>
        <v>29.145</v>
      </c>
      <c r="AG130" s="16">
        <f>SUM(AC130:AF130)</f>
        <v>90.054</v>
      </c>
      <c r="AH130" s="16">
        <f>SUM(AH73,AH74,AH123)</f>
        <v>35.34</v>
      </c>
      <c r="AI130" s="16">
        <f>SUM(AI73,AI74,AI123)</f>
        <v>42.979</v>
      </c>
      <c r="AJ130" s="16">
        <f>SUM(AJ73,AJ74,AJ123)</f>
        <v>25.952</v>
      </c>
      <c r="AK130" s="16">
        <f>SUM(AK73,AK74,AK123)</f>
        <v>35.17</v>
      </c>
      <c r="AL130" s="16">
        <f>SUM(AH130:AK130)</f>
        <v>139.441</v>
      </c>
      <c r="AM130" s="16">
        <f>SUM(AM73,AM74,AM123)</f>
        <v>35.17</v>
      </c>
      <c r="AN130" s="16">
        <f>SUM(AN73,AN74,AN123)</f>
        <v>122.244</v>
      </c>
      <c r="AO130" s="16">
        <f>SUM(AO73,AO74,AO123)</f>
        <v>35.17</v>
      </c>
      <c r="AP130" s="16">
        <f>SUM(AP73,AP74,AP123)</f>
        <v>122.244</v>
      </c>
      <c r="AQ130" s="16">
        <f>SUM(AM130:AP130)</f>
        <v>314.828</v>
      </c>
      <c r="AR130" s="16">
        <f>SUM(AR73,AR74,AR123)</f>
        <v>122.244</v>
      </c>
      <c r="AS130" s="16">
        <f>SUM(AS73,AS74,AS123)</f>
        <v>314.828</v>
      </c>
      <c r="AT130" s="16">
        <f>SUM(AT73,AT74,AT123)</f>
        <v>122.244</v>
      </c>
      <c r="AU130" s="16">
        <f>SUM(AU73,AU74,AU123)</f>
        <v>314.828</v>
      </c>
      <c r="AV130" s="16">
        <f>SUM(AR130:AU130)</f>
        <v>874.144</v>
      </c>
      <c r="AW130" s="16">
        <f>SUM(AW73,AW74,AW123)</f>
        <v>314.828</v>
      </c>
      <c r="AX130" s="16">
        <f>SUM(AX73,AX74,AX123)</f>
        <v>874.144</v>
      </c>
      <c r="AY130" s="16">
        <f>SUM(AY73,AY74,AY123)</f>
        <v>314.828</v>
      </c>
      <c r="AZ130" s="16">
        <f>SUM(AZ73,AZ74,AZ123)</f>
        <v>874.144</v>
      </c>
      <c r="BA130" s="16">
        <f>SUM(AW130:AZ130)</f>
        <v>2377.944</v>
      </c>
      <c r="BB130" s="16">
        <f>SUM(BB73,BB74,BB123)</f>
        <v>874.144</v>
      </c>
      <c r="BC130" s="16">
        <f>SUM(BC73,BC74,BC123)</f>
        <v>2377.944</v>
      </c>
      <c r="BD130" s="16">
        <f>SUM(BD73,BD74,BD123)</f>
        <v>874.144</v>
      </c>
      <c r="BE130" s="16">
        <f>SUM(BE73,BE74,BE123)</f>
        <v>2377.944</v>
      </c>
      <c r="BF130" s="16">
        <f>SUM(BB130:BE130)</f>
        <v>6504.176</v>
      </c>
      <c r="BG130" s="16">
        <f>SUM(BG73,BG74,BG123)</f>
        <v>2377.944</v>
      </c>
      <c r="BH130" s="16">
        <f>SUM(BH73,BH74,BH123)</f>
        <v>6504.176</v>
      </c>
      <c r="BI130" s="16">
        <f>SUM(BI73,BI74,BI123)</f>
        <v>2377.944</v>
      </c>
      <c r="BJ130" s="16">
        <f>SUM(BJ73,BJ74,BJ123)</f>
        <v>6504.176</v>
      </c>
      <c r="BK130" s="16">
        <f>SUM(BG130:BJ130)</f>
        <v>17764.24</v>
      </c>
      <c r="BL130" s="16">
        <f>SUM(BL73,BL74,BL123)</f>
        <v>6504.176</v>
      </c>
      <c r="BM130" s="16">
        <f>SUM(BM73,BM74,BM123)</f>
        <v>17764.24</v>
      </c>
      <c r="BN130" s="16">
        <f>SUM(BN73,BN74,BN123)</f>
        <v>6504.176</v>
      </c>
      <c r="BO130" s="16">
        <f>SUM(BO73,BO74,BO123)</f>
        <v>17764.24</v>
      </c>
      <c r="BP130" s="16">
        <f>SUM(BL130:BO130)</f>
        <v>48536.832</v>
      </c>
      <c r="BQ130" s="16">
        <f>SUM(BQ73,BQ74,BQ123)</f>
        <v>17764.24</v>
      </c>
      <c r="BR130" s="16">
        <f>SUM(BR73,BR74,BR123)</f>
        <v>48536.832</v>
      </c>
      <c r="BS130" s="16">
        <f>SUM(BS73,BS74,BS123)</f>
        <v>17764.24</v>
      </c>
      <c r="BT130" s="16">
        <f>SUM(BT73,BT74,BT123)</f>
        <v>48536.832</v>
      </c>
      <c r="BU130" s="16">
        <f>SUM(BQ130:BT130)</f>
        <v>132602.144</v>
      </c>
      <c r="BV130" s="16">
        <f>SUM(BV73,BV74,BV123)</f>
        <v>48536.832</v>
      </c>
      <c r="BW130" s="16">
        <f>SUM(BW73,BW74,BW123)</f>
        <v>132602.144</v>
      </c>
      <c r="BX130" s="16">
        <f>SUM(BX73,BX74,BX123)</f>
        <v>48536.832</v>
      </c>
      <c r="BY130" s="16">
        <f>SUM(BY73,BY74,BY123)</f>
        <v>132602.144</v>
      </c>
      <c r="BZ130" s="16">
        <f>SUM(BV130:BY130)</f>
        <v>362277.952</v>
      </c>
      <c r="CA130" s="16">
        <f>SUM(CA73,CA74,CA123)</f>
        <v>132602.144</v>
      </c>
      <c r="CB130" s="16">
        <f>SUM(CB73,CB74,CB123)</f>
        <v>362277.952</v>
      </c>
      <c r="CC130" s="16">
        <f>SUM(CC73,CC74,CC123)</f>
        <v>132602.144</v>
      </c>
      <c r="CD130" s="16">
        <f>SUM(CD73,CD74,CD123)</f>
        <v>362277.952</v>
      </c>
      <c r="CE130" s="16">
        <f>SUM(CA130:CD130)</f>
        <v>989760.192</v>
      </c>
      <c r="CF130" s="16">
        <f>SUM(CF73,CF74,CF123)</f>
        <v>362277.952</v>
      </c>
      <c r="CG130" s="16">
        <f>SUM(CG73,CG74,CG123)</f>
        <v>989760.192</v>
      </c>
      <c r="CH130" s="16">
        <f>SUM(CH73,CH74,CH123)</f>
        <v>362277.952</v>
      </c>
      <c r="CI130" s="16">
        <f>SUM(CI73,CI74,CI123)</f>
        <v>989760.192</v>
      </c>
      <c r="CJ130" s="16">
        <f>SUM(CF130:CI130)</f>
        <v>2704076.288</v>
      </c>
      <c r="CK130" s="16">
        <f>SUM(CK73,CK74,CK123)</f>
        <v>989760.192</v>
      </c>
      <c r="CL130" s="16">
        <f>SUM(CL73,CL74,CL123)</f>
        <v>2704076.288</v>
      </c>
      <c r="CM130" s="16">
        <f>SUM(CM73,CM74,CM123)</f>
        <v>989760.192</v>
      </c>
      <c r="CN130" s="16">
        <f>SUM(CN73,CN74,CN123)</f>
        <v>2704076.288</v>
      </c>
      <c r="CO130" s="16">
        <f>SUM(CK130:CN130)</f>
        <v>7387672.96</v>
      </c>
      <c r="CP130" s="16">
        <f>SUM(CP73,CP74,CP123)</f>
        <v>2704076.288</v>
      </c>
      <c r="CQ130" s="16">
        <f>SUM(CQ73,CQ74,CQ123)</f>
        <v>7387672.96</v>
      </c>
      <c r="CR130" s="16">
        <f>SUM(CR73,CR74,CR123)</f>
        <v>2704076.288</v>
      </c>
      <c r="CS130" s="16">
        <f>SUM(CS73,CS74,CS123)</f>
        <v>7387672.96</v>
      </c>
      <c r="CT130" s="16">
        <f>SUM(CP130:CS130)</f>
        <v>20183498.496</v>
      </c>
      <c r="CU130" s="16">
        <f>SUM(CU73,CU74,CU123)</f>
        <v>7387672.96</v>
      </c>
      <c r="CV130" s="16">
        <f>SUM(CV73,CV74,CV123)</f>
        <v>20183498.496</v>
      </c>
      <c r="CW130" s="16">
        <f>SUM(CW73,CW74,CW123)</f>
        <v>7387672.96</v>
      </c>
      <c r="CX130" s="16">
        <f>SUM(CX73,CX74,CX123)</f>
        <v>20183498.496</v>
      </c>
      <c r="CY130" s="16">
        <f>SUM(CU130:CX130)</f>
        <v>55142342.912</v>
      </c>
    </row>
    <row r="131">
      <c r="C131" s="26" t="inlineStr">
        <is>
          <t>Taxes</t>
        </is>
      </c>
      <c r="D131" s="25">
        <f>INDEX('Inputs (2)'!$D$10:$AL$10,MATCH(D$7,'Inputs (2)'!$D$2:$AL$2,0))</f>
        <v>-3.524</v>
      </c>
      <c r="E131" s="25">
        <f>INDEX('Inputs (2)'!$D$10:$AL$10,MATCH(E$7,'Inputs (2)'!$D$2:$AL$2,0))</f>
        <v>-5.593</v>
      </c>
      <c r="F131" s="25">
        <f>INDEX('Inputs (2)'!$D$10:$AL$10,MATCH(F$7,'Inputs (2)'!$D$2:$AL$2,0))</f>
        <v>-4.35</v>
      </c>
      <c r="G131" s="25">
        <f>INDEX('Inputs (2)'!$D$10:$AL$10,MATCH(G$7,'Inputs (2)'!$D$2:$AL$2,0))</f>
        <v>-10.344</v>
      </c>
      <c r="H131" s="3">
        <f>SUM(D131:G131)</f>
        <v>-23.811</v>
      </c>
      <c r="I131" s="25">
        <f>INDEX('Inputs (2)'!$D$10:$AL$10,MATCH(I$7,'Inputs (2)'!$D$2:$AL$2,0))</f>
        <v>-2.195</v>
      </c>
      <c r="J131" s="25">
        <f>INDEX('Inputs (2)'!$D$10:$AL$10,MATCH(J$7,'Inputs (2)'!$D$2:$AL$2,0))</f>
        <v>-4.937</v>
      </c>
      <c r="K131" s="25">
        <f>INDEX('Inputs (2)'!$D$10:$AL$10,MATCH(K$7,'Inputs (2)'!$D$2:$AL$2,0))</f>
        <v>-6.923</v>
      </c>
      <c r="L131" s="25">
        <f>INDEX('Inputs (2)'!$D$10:$AL$10,MATCH(L$7,'Inputs (2)'!$D$2:$AL$2,0))</f>
        <v>-21.959</v>
      </c>
      <c r="M131" s="3">
        <f>SUM(I131:L131)</f>
        <v>-36.014</v>
      </c>
      <c r="N131" s="25">
        <f>INDEX('Inputs (2)'!$D$10:$AL$10,MATCH(N$7,'Inputs (2)'!$D$2:$AL$2,0))</f>
        <v>-4.231</v>
      </c>
      <c r="O131" s="25">
        <f>INDEX('Inputs (2)'!$D$10:$AL$10,MATCH(O$7,'Inputs (2)'!$D$2:$AL$2,0))</f>
        <v>-18.959</v>
      </c>
      <c r="P131" s="25">
        <f>INDEX('Inputs (2)'!$D$10:$AL$10,MATCH(P$7,'Inputs (2)'!$D$2:$AL$2,0))</f>
        <v>-14.78</v>
      </c>
      <c r="Q131" s="25">
        <f>INDEX('Inputs (2)'!$D$10:$AL$10,MATCH(Q$7,'Inputs (2)'!$D$2:$AL$2,0))</f>
        <v>-8.64</v>
      </c>
      <c r="R131" s="3">
        <f>SUM(N131:Q131)</f>
        <v>-46.61</v>
      </c>
      <c r="S131" s="25">
        <f>INDEX('Inputs (2)'!$D$10:$AL$10,MATCH(S$7,'Inputs (2)'!$D$2:$AL$2,0))</f>
        <v>-7.213</v>
      </c>
      <c r="T131" s="25">
        <f>INDEX('Inputs (2)'!$D$10:$AL$10,MATCH(T$7,'Inputs (2)'!$D$2:$AL$2,0))</f>
        <v>-9.89</v>
      </c>
      <c r="U131" s="25">
        <f>INDEX('Inputs (2)'!$D$10:$AL$10,MATCH(U$7,'Inputs (2)'!$D$2:$AL$2,0))</f>
        <v>-6.123</v>
      </c>
      <c r="V131" s="25">
        <f>INDEX('Inputs (2)'!$D$10:$AL$10,MATCH(V$7,'Inputs (2)'!$D$2:$AL$2,0))</f>
        <v>2.477</v>
      </c>
      <c r="W131" s="3">
        <f>SUM(S131:V131)</f>
        <v>-20.749</v>
      </c>
      <c r="X131" s="25">
        <f>INDEX('Inputs (2)'!$D$10:$AL$10,MATCH(X$7,'Inputs (2)'!$D$2:$AL$2,0))</f>
        <v>-1.743</v>
      </c>
      <c r="Y131" s="25">
        <f>INDEX('Inputs (2)'!$D$10:$AL$10,MATCH(Y$7,'Inputs (2)'!$D$2:$AL$2,0))</f>
        <v>-16.947</v>
      </c>
      <c r="Z131" s="25">
        <f>INDEX('Inputs (2)'!$D$10:$AL$10,MATCH(Z$7,'Inputs (2)'!$D$2:$AL$2,0))</f>
        <v>-3.096</v>
      </c>
      <c r="AA131" s="25">
        <f>INDEX('Inputs (2)'!$D$10:$AL$10,MATCH(AA$7,'Inputs (2)'!$D$2:$AL$2,0))</f>
        <v>-6.086</v>
      </c>
      <c r="AB131" s="3">
        <f>SUM(X131:AA131)</f>
        <v>-27.872</v>
      </c>
      <c r="AC131" s="25">
        <f>INDEX('Inputs (2)'!$D$10:$AL$10,MATCH(AC$7,'Inputs (2)'!$D$2:$AL$2,0))</f>
        <v>-8.023</v>
      </c>
      <c r="AD131" s="25">
        <f>INDEX('Inputs (2)'!$D$10:$AL$10,MATCH(AD$7,'Inputs (2)'!$D$2:$AL$2,0))</f>
        <v>-5.741</v>
      </c>
      <c r="AE131" s="25">
        <f>INDEX('Inputs (2)'!$D$10:$AL$10,MATCH(AE$7,'Inputs (2)'!$D$2:$AL$2,0))</f>
        <v>-3.384</v>
      </c>
      <c r="AF131" s="25">
        <f>INDEX('Inputs (2)'!$D$10:$AL$10,MATCH(AF$7,'Inputs (2)'!$D$2:$AL$2,0))</f>
        <v>-5.759</v>
      </c>
      <c r="AG131" s="3">
        <f>SUM(AC131:AF131)</f>
        <v>-22.907</v>
      </c>
      <c r="AH131" s="3">
        <f>INDEX('Inputs (2)'!$D$10:$AL$10,MATCH(AH$7,'Inputs (2)'!$D$2:$AL$2,0))</f>
        <v>-12.257</v>
      </c>
      <c r="AI131" s="3">
        <f>INDEX('Inputs (2)'!$D$10:$AL$10,MATCH(AI$7,'Inputs (2)'!$D$2:$AL$2,0))</f>
        <v>-32.25</v>
      </c>
      <c r="AJ131" s="3">
        <f>AJ132*-AJ130</f>
        <v>0</v>
      </c>
      <c r="AK131" s="3">
        <f>AK132*-AK130</f>
        <v>0</v>
      </c>
      <c r="AL131" s="3">
        <f>SUM(AH131:AK131)</f>
        <v>-44.507</v>
      </c>
      <c r="AM131" s="3">
        <f>AM132*-AM130</f>
        <v>0</v>
      </c>
      <c r="AN131" s="3">
        <f>AN132*-AN130</f>
        <v>0</v>
      </c>
      <c r="AO131" s="3">
        <f>AO132*-AO130</f>
        <v>0</v>
      </c>
      <c r="AP131" s="3">
        <f>AP132*-AP130</f>
        <v>0</v>
      </c>
      <c r="AQ131" s="3">
        <f>SUM(AM131:AP131)</f>
        <v>0</v>
      </c>
      <c r="AR131" s="3">
        <f>AR132*-AR130</f>
        <v>0</v>
      </c>
      <c r="AS131" s="3">
        <f>AS132*-AS130</f>
        <v>0</v>
      </c>
      <c r="AT131" s="3">
        <f>AT132*-AT130</f>
        <v>0</v>
      </c>
      <c r="AU131" s="3">
        <f>AU132*-AU130</f>
        <v>0</v>
      </c>
      <c r="AV131" s="3">
        <f>SUM(AR131:AU131)</f>
        <v>0</v>
      </c>
      <c r="AW131" s="3">
        <f>AW132*-AW130</f>
        <v>0</v>
      </c>
      <c r="AX131" s="3">
        <f>AX132*-AX130</f>
        <v>0</v>
      </c>
      <c r="AY131" s="3">
        <f>AY132*-AY130</f>
        <v>0</v>
      </c>
      <c r="AZ131" s="3">
        <f>AZ132*-AZ130</f>
        <v>0</v>
      </c>
      <c r="BA131" s="3">
        <f>SUM(AW131:AZ131)</f>
        <v>0</v>
      </c>
      <c r="BB131" s="3">
        <f>BB132*-BB130</f>
        <v>0</v>
      </c>
      <c r="BC131" s="3">
        <f>BC132*-BC130</f>
        <v>0</v>
      </c>
      <c r="BD131" s="3">
        <f>BD132*-BD130</f>
        <v>0</v>
      </c>
      <c r="BE131" s="3">
        <f>BE132*-BE130</f>
        <v>0</v>
      </c>
      <c r="BF131" s="3">
        <f>SUM(BB131:BE131)</f>
        <v>0</v>
      </c>
      <c r="BG131" s="3">
        <f>BG132*-BG130</f>
        <v>0</v>
      </c>
      <c r="BH131" s="3">
        <f>BH132*-BH130</f>
        <v>0</v>
      </c>
      <c r="BI131" s="3">
        <f>BI132*-BI130</f>
        <v>0</v>
      </c>
      <c r="BJ131" s="3">
        <f>BJ132*-BJ130</f>
        <v>0</v>
      </c>
      <c r="BK131" s="3">
        <f>SUM(BG131:BJ131)</f>
        <v>0</v>
      </c>
      <c r="BL131" s="3">
        <f>BL132*-BL130</f>
        <v>0</v>
      </c>
      <c r="BM131" s="3">
        <f>BM132*-BM130</f>
        <v>0</v>
      </c>
      <c r="BN131" s="3">
        <f>BN132*-BN130</f>
        <v>0</v>
      </c>
      <c r="BO131" s="3">
        <f>BO132*-BO130</f>
        <v>0</v>
      </c>
      <c r="BP131" s="3">
        <f>SUM(BL131:BO131)</f>
        <v>0</v>
      </c>
      <c r="BQ131" s="3">
        <f>BQ132*-BQ130</f>
        <v>0</v>
      </c>
      <c r="BR131" s="3">
        <f>BR132*-BR130</f>
        <v>0</v>
      </c>
      <c r="BS131" s="3">
        <f>BS132*-BS130</f>
        <v>0</v>
      </c>
      <c r="BT131" s="3">
        <f>BT132*-BT130</f>
        <v>0</v>
      </c>
      <c r="BU131" s="3">
        <f>SUM(BQ131:BT131)</f>
        <v>0</v>
      </c>
      <c r="BV131" s="3">
        <f>BV132*-BV130</f>
        <v>0</v>
      </c>
      <c r="BW131" s="3">
        <f>BW132*-BW130</f>
        <v>0</v>
      </c>
      <c r="BX131" s="3">
        <f>BX132*-BX130</f>
        <v>0</v>
      </c>
      <c r="BY131" s="3">
        <f>BY132*-BY130</f>
        <v>0</v>
      </c>
      <c r="BZ131" s="3">
        <f>SUM(BV131:BY131)</f>
        <v>0</v>
      </c>
      <c r="CA131" s="3">
        <f>CA132*-CA130</f>
        <v>0</v>
      </c>
      <c r="CB131" s="3">
        <f>CB132*-CB130</f>
        <v>0</v>
      </c>
      <c r="CC131" s="3">
        <f>CC132*-CC130</f>
        <v>0</v>
      </c>
      <c r="CD131" s="3">
        <f>CD132*-CD130</f>
        <v>0</v>
      </c>
      <c r="CE131" s="3">
        <f>SUM(CA131:CD131)</f>
        <v>0</v>
      </c>
      <c r="CF131" s="3">
        <f>CF132*-CF130</f>
        <v>0</v>
      </c>
      <c r="CG131" s="3">
        <f>CG132*-CG130</f>
        <v>0</v>
      </c>
      <c r="CH131" s="3">
        <f>CH132*-CH130</f>
        <v>0</v>
      </c>
      <c r="CI131" s="3">
        <f>CI132*-CI130</f>
        <v>0</v>
      </c>
      <c r="CJ131" s="3">
        <f>SUM(CF131:CI131)</f>
        <v>0</v>
      </c>
      <c r="CK131" s="3">
        <f>CK132*-CK130</f>
        <v>0</v>
      </c>
      <c r="CL131" s="3">
        <f>CL132*-CL130</f>
        <v>0</v>
      </c>
      <c r="CM131" s="3">
        <f>CM132*-CM130</f>
        <v>0</v>
      </c>
      <c r="CN131" s="3">
        <f>CN132*-CN130</f>
        <v>0</v>
      </c>
      <c r="CO131" s="3">
        <f>SUM(CK131:CN131)</f>
        <v>0</v>
      </c>
      <c r="CP131" s="3">
        <f>CP132*-CP130</f>
        <v>0</v>
      </c>
      <c r="CQ131" s="3">
        <f>CQ132*-CQ130</f>
        <v>0</v>
      </c>
      <c r="CR131" s="3">
        <f>CR132*-CR130</f>
        <v>0</v>
      </c>
      <c r="CS131" s="3">
        <f>CS132*-CS130</f>
        <v>0</v>
      </c>
      <c r="CT131" s="3">
        <f>SUM(CP131:CS131)</f>
        <v>0</v>
      </c>
      <c r="CU131" s="3">
        <f>CU132*-CU130</f>
        <v>0</v>
      </c>
      <c r="CV131" s="3">
        <f>CV132*-CV130</f>
        <v>0</v>
      </c>
      <c r="CW131" s="3">
        <f>CW132*-CW130</f>
        <v>0</v>
      </c>
      <c r="CX131" s="3">
        <f>CX132*-CX130</f>
        <v>0</v>
      </c>
      <c r="CY131" s="3">
        <f>SUM(CU131:CX131)</f>
        <v>0</v>
      </c>
    </row>
    <row r="132" hidden="1" outlineLevel="1">
      <c r="C132" s="34" t="inlineStr">
        <is>
          <t>% ETR</t>
        </is>
      </c>
      <c r="D132" s="48">
        <f>-D131/D130</f>
        <v>-0.628836545324768</v>
      </c>
      <c r="E132" s="48">
        <f>-E131/E130</f>
        <v>0.182724035414421</v>
      </c>
      <c r="F132" s="48">
        <f>-F131/F130</f>
        <v>0.835093108082165</v>
      </c>
      <c r="G132" s="48">
        <f>-G131/G130</f>
        <v>0.622045823561249</v>
      </c>
      <c r="H132" s="48">
        <f>-H131/H130</f>
        <v>0.508315009713298</v>
      </c>
      <c r="I132" s="48">
        <f>-I131/I130</f>
        <v>-0.050538773254743</v>
      </c>
      <c r="J132" s="48">
        <f>-J131/J130</f>
        <v>0.436593562079944</v>
      </c>
      <c r="K132" s="48">
        <f>-K131/K130</f>
        <v>1.29184549356223</v>
      </c>
      <c r="L132" s="48">
        <f>-L131/L130</f>
        <v>3.35456767491598</v>
      </c>
      <c r="M132" s="48">
        <f>-M131/M130</f>
        <v>-1.78119590484198</v>
      </c>
      <c r="N132" s="48">
        <f>-N131/N130</f>
        <v>-0.279421476687359</v>
      </c>
      <c r="O132" s="48">
        <f>-O131/O130</f>
        <v>1.32803306248249</v>
      </c>
      <c r="P132" s="48">
        <f>-P131/P130</f>
        <v>-0.605365553962728</v>
      </c>
      <c r="Q132" s="48">
        <f>-Q131/Q130</f>
        <v>-0.108962960160418</v>
      </c>
      <c r="R132" s="48">
        <f>-R131/R130</f>
        <v>-0.445713083558054</v>
      </c>
      <c r="S132" s="48">
        <f>-S131/S130</f>
        <v>-0.185233692860811</v>
      </c>
      <c r="T132" s="48">
        <f>-T131/T130</f>
        <v>2.48679909479509</v>
      </c>
      <c r="U132" s="48">
        <f>-U131/U130</f>
        <v>0.743262927895119</v>
      </c>
      <c r="V132" s="48">
        <f>-V131/V130</f>
        <v>-0.0286090481745418</v>
      </c>
      <c r="W132" s="48">
        <f>-W131/W130</f>
        <v>0.346648623362737</v>
      </c>
      <c r="X132" s="48">
        <f>-X131/X130</f>
        <v>0.0634579677431099</v>
      </c>
      <c r="Y132" s="48">
        <f>-Y131/Y130</f>
        <v>0.65752308527974</v>
      </c>
      <c r="Z132" s="48">
        <f>-Z131/Z130</f>
        <v>0.0791512207592995</v>
      </c>
      <c r="AA132" s="48">
        <f>-AA131/AA130</f>
        <v>-1.29627263045794</v>
      </c>
      <c r="AB132" s="48">
        <f>-AB131/AB130</f>
        <v>0.317952110972953</v>
      </c>
      <c r="AC132" s="48">
        <f>-AC131/AC130</f>
        <v>27.954703832752</v>
      </c>
      <c r="AD132" s="48">
        <f>-AD131/AD130</f>
        <v>0.185672703751617</v>
      </c>
      <c r="AE132" s="48">
        <f>-AE131/AE130</f>
        <v>0.113931721769578</v>
      </c>
      <c r="AF132" s="44">
        <f>-AF131/AF130</f>
        <v>0.197598215817464</v>
      </c>
      <c r="AG132" s="48">
        <f>-AG131/AG130</f>
        <v>0.254369600461945</v>
      </c>
      <c r="AH132" s="44">
        <f>-AH131/AH130</f>
        <v>0.346830786644029</v>
      </c>
      <c r="AI132" s="44">
        <f>-AI131/AI130</f>
        <v>0.750366458037647</v>
      </c>
      <c r="AJ132" s="44" t="n"/>
      <c r="AK132" s="44" t="n"/>
      <c r="AL132" s="48">
        <f>-AL131/AL130</f>
        <v>0.319181589346032</v>
      </c>
      <c r="AM132" s="44" t="n"/>
      <c r="AN132" s="44" t="n"/>
      <c r="AO132" s="44" t="n"/>
      <c r="AP132" s="44" t="n"/>
      <c r="AQ132" s="48">
        <f>-AQ131/AQ130</f>
        <v>0</v>
      </c>
      <c r="AR132" s="44" t="n"/>
      <c r="AS132" s="44" t="n"/>
      <c r="AT132" s="44" t="n"/>
      <c r="AU132" s="44" t="n"/>
      <c r="AV132" s="48">
        <f>-AV131/AV130</f>
        <v>0</v>
      </c>
      <c r="AW132" s="44" t="n"/>
      <c r="AX132" s="44" t="n"/>
      <c r="AY132" s="44" t="n"/>
      <c r="AZ132" s="44" t="n"/>
      <c r="BA132" s="48">
        <f>-BA131/BA130</f>
        <v>0</v>
      </c>
      <c r="BB132" s="44" t="n"/>
      <c r="BC132" s="44" t="n"/>
      <c r="BD132" s="44" t="n"/>
      <c r="BE132" s="44" t="n"/>
      <c r="BF132" s="48">
        <f>-BF131/BF130</f>
        <v>0</v>
      </c>
      <c r="BG132" s="44" t="n"/>
      <c r="BH132" s="44" t="n"/>
      <c r="BI132" s="44" t="n"/>
      <c r="BJ132" s="44" t="n"/>
      <c r="BK132" s="48">
        <f>-BK131/BK130</f>
        <v>0</v>
      </c>
      <c r="BL132" s="44" t="n"/>
      <c r="BM132" s="44" t="n"/>
      <c r="BN132" s="44" t="n"/>
      <c r="BO132" s="44" t="n"/>
      <c r="BP132" s="48">
        <f>-BP131/BP130</f>
        <v>0</v>
      </c>
      <c r="BQ132" s="44" t="n"/>
      <c r="BR132" s="44" t="n"/>
      <c r="BS132" s="44" t="n"/>
      <c r="BT132" s="44" t="n"/>
      <c r="BU132" s="48">
        <f>-BU131/BU130</f>
        <v>0</v>
      </c>
      <c r="BV132" s="44" t="n"/>
      <c r="BW132" s="44" t="n"/>
      <c r="BX132" s="44" t="n"/>
      <c r="BY132" s="44" t="n"/>
      <c r="BZ132" s="48">
        <f>-BZ131/BZ130</f>
        <v>0</v>
      </c>
      <c r="CA132" s="44" t="n"/>
      <c r="CB132" s="44" t="n"/>
      <c r="CC132" s="44" t="n"/>
      <c r="CD132" s="44" t="n"/>
      <c r="CE132" s="48">
        <f>-CE131/CE130</f>
        <v>0</v>
      </c>
      <c r="CF132" s="44" t="n"/>
      <c r="CG132" s="44" t="n"/>
      <c r="CH132" s="44" t="n"/>
      <c r="CI132" s="44" t="n"/>
      <c r="CJ132" s="48">
        <f>-CJ131/CJ130</f>
        <v>0</v>
      </c>
      <c r="CK132" s="44" t="n"/>
      <c r="CL132" s="44" t="n"/>
      <c r="CM132" s="44" t="n"/>
      <c r="CN132" s="44" t="n"/>
      <c r="CO132" s="48">
        <f>-CO131/CO130</f>
        <v>0</v>
      </c>
      <c r="CP132" s="44" t="n"/>
      <c r="CQ132" s="44" t="n"/>
      <c r="CR132" s="44" t="n"/>
      <c r="CS132" s="44" t="n"/>
      <c r="CT132" s="48">
        <f>-CT131/CT130</f>
        <v>0</v>
      </c>
      <c r="CU132" s="44" t="n"/>
      <c r="CV132" s="44" t="n"/>
      <c r="CW132" s="44" t="n"/>
      <c r="CX132" s="44" t="n"/>
      <c r="CY132" s="48">
        <f>-CY131/CY130</f>
        <v>0</v>
      </c>
    </row>
    <row r="133" hidden="1" outlineLevel="1">
      <c r="C133" s="3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collapsed="1">
      <c r="C135" s="26" t="inlineStr">
        <is>
          <t>Equity in Income of Affiliates, after tax (enter as +)</t>
        </is>
      </c>
      <c r="D135" s="25">
        <f>INDEX('Inputs (2)'!$D$11:$AL$11,MATCH(D$7,'Inputs (2)'!$D$2:$AL$2,0))</f>
        <v>-0.035</v>
      </c>
      <c r="E135" s="25">
        <f>INDEX('Inputs (2)'!$D$11:$AL$11,MATCH(E$7,'Inputs (2)'!$D$2:$AL$2,0))</f>
        <v>0.007</v>
      </c>
      <c r="F135" s="25">
        <f>INDEX('Inputs (2)'!$D$11:$AL$11,MATCH(F$7,'Inputs (2)'!$D$2:$AL$2,0))</f>
        <v>0.456</v>
      </c>
      <c r="G135" s="25">
        <f>INDEX('Inputs (2)'!$D$11:$AL$11,MATCH(G$7,'Inputs (2)'!$D$2:$AL$2,0))</f>
        <v>0.15</v>
      </c>
      <c r="H135" s="3">
        <f>SUM(D135:G135)</f>
        <v>0.578</v>
      </c>
      <c r="I135" s="25">
        <f>INDEX('Inputs (2)'!$D$11:$AL$11,MATCH(I$7,'Inputs (2)'!$D$2:$AL$2,0))</f>
        <v>0.102</v>
      </c>
      <c r="J135" s="25">
        <f>INDEX('Inputs (2)'!$D$11:$AL$11,MATCH(J$7,'Inputs (2)'!$D$2:$AL$2,0))</f>
        <v>0.028</v>
      </c>
      <c r="K135" s="25">
        <f>INDEX('Inputs (2)'!$D$11:$AL$11,MATCH(K$7,'Inputs (2)'!$D$2:$AL$2,0))</f>
        <v>0.215</v>
      </c>
      <c r="L135" s="25">
        <f>INDEX('Inputs (2)'!$D$11:$AL$11,MATCH(L$7,'Inputs (2)'!$D$2:$AL$2,0))</f>
        <v>0.379</v>
      </c>
      <c r="M135" s="3">
        <f>SUM(I135:L135)</f>
        <v>0.724</v>
      </c>
      <c r="N135" s="25">
        <f>INDEX('Inputs (2)'!$D$11:$AL$11,MATCH(N$7,'Inputs (2)'!$D$2:$AL$2,0))</f>
        <v>-0.001</v>
      </c>
      <c r="O135" s="25">
        <f>INDEX('Inputs (2)'!$D$11:$AL$11,MATCH(O$7,'Inputs (2)'!$D$2:$AL$2,0))</f>
        <v>-5.637</v>
      </c>
      <c r="P135" s="25">
        <f>INDEX('Inputs (2)'!$D$11:$AL$11,MATCH(P$7,'Inputs (2)'!$D$2:$AL$2,0))</f>
        <v>9.569</v>
      </c>
      <c r="Q135" s="25">
        <f>INDEX('Inputs (2)'!$D$11:$AL$11,MATCH(Q$7,'Inputs (2)'!$D$2:$AL$2,0))</f>
        <v>3.789</v>
      </c>
      <c r="R135" s="3">
        <f>SUM(N135:Q135)</f>
        <v>7.72</v>
      </c>
      <c r="S135" s="25">
        <f>INDEX('Inputs (2)'!$D$11:$AL$11,MATCH(S$7,'Inputs (2)'!$D$2:$AL$2,0))</f>
        <v>2.973</v>
      </c>
      <c r="T135" s="25">
        <f>INDEX('Inputs (2)'!$D$11:$AL$11,MATCH(T$7,'Inputs (2)'!$D$2:$AL$2,0))</f>
        <v>3.062</v>
      </c>
      <c r="U135" s="25">
        <f>INDEX('Inputs (2)'!$D$11:$AL$11,MATCH(U$7,'Inputs (2)'!$D$2:$AL$2,0))</f>
        <v>1.779</v>
      </c>
      <c r="V135" s="25">
        <f>INDEX('Inputs (2)'!$D$11:$AL$11,MATCH(V$7,'Inputs (2)'!$D$2:$AL$2,0))</f>
        <v>3.246</v>
      </c>
      <c r="W135" s="3">
        <f>SUM(S135:V135)</f>
        <v>11.06</v>
      </c>
      <c r="X135" s="25">
        <f>INDEX('Inputs (2)'!$D$11:$AL$11,MATCH(X$7,'Inputs (2)'!$D$2:$AL$2,0))</f>
        <v>4.47</v>
      </c>
      <c r="Y135" s="25">
        <f>INDEX('Inputs (2)'!$D$11:$AL$11,MATCH(Y$7,'Inputs (2)'!$D$2:$AL$2,0))</f>
        <v>2.332</v>
      </c>
      <c r="Z135" s="25">
        <f>INDEX('Inputs (2)'!$D$11:$AL$11,MATCH(Z$7,'Inputs (2)'!$D$2:$AL$2,0))</f>
        <v>5.237</v>
      </c>
      <c r="AA135" s="25">
        <f>INDEX('Inputs (2)'!$D$11:$AL$11,MATCH(AA$7,'Inputs (2)'!$D$2:$AL$2,0))</f>
        <v>2.648</v>
      </c>
      <c r="AB135" s="3">
        <f>SUM(X135:AA135)</f>
        <v>14.687</v>
      </c>
      <c r="AC135" s="25">
        <f>INDEX('Inputs (2)'!$D$11:$AL$11,MATCH(AC$7,'Inputs (2)'!$D$2:$AL$2,0))</f>
        <v>4.179</v>
      </c>
      <c r="AD135" s="25">
        <f>INDEX('Inputs (2)'!$D$11:$AL$11,MATCH(AD$7,'Inputs (2)'!$D$2:$AL$2,0))</f>
        <v>1.578</v>
      </c>
      <c r="AE135" s="25">
        <f>INDEX('Inputs (2)'!$D$11:$AL$11,MATCH(AE$7,'Inputs (2)'!$D$2:$AL$2,0))</f>
        <v>1.024</v>
      </c>
      <c r="AF135" s="25">
        <f>INDEX('Inputs (2)'!$D$11:$AL$11,MATCH(AF$7,'Inputs (2)'!$D$2:$AL$2,0))</f>
        <v>0.034</v>
      </c>
      <c r="AG135" s="3">
        <f>SUM(AC135:AF135)</f>
        <v>6.815</v>
      </c>
      <c r="AH135" s="3">
        <f>INDEX('Inputs (2)'!$D$11:$AL$11,MATCH(AH$7,'Inputs (2)'!$D$2:$AL$2,0))</f>
        <v>-0.461</v>
      </c>
      <c r="AI135" s="3">
        <f>INDEX('Inputs (2)'!$D$11:$AL$11,MATCH(AI$7,'Inputs (2)'!$D$2:$AL$2,0))</f>
        <v>-4.378</v>
      </c>
      <c r="AJ135" s="3">
        <f>AE135*(1+AJ163)</f>
        <v>1.024</v>
      </c>
      <c r="AK135" s="3">
        <f>AF135*(1+AK163)</f>
        <v>0.034</v>
      </c>
      <c r="AL135" s="3">
        <f>SUM(AH135:AK135)</f>
        <v>-3.781</v>
      </c>
      <c r="AM135" s="3">
        <f>AH135*(1+AM163)</f>
        <v>-0.461</v>
      </c>
      <c r="AN135" s="3">
        <f>AI135*(1+AN163)</f>
        <v>-4.378</v>
      </c>
      <c r="AO135" s="3">
        <f>AJ135*(1+AO163)</f>
        <v>1.024</v>
      </c>
      <c r="AP135" s="3">
        <f>AK135*(1+AP163)</f>
        <v>0.034</v>
      </c>
      <c r="AQ135" s="3">
        <f>SUM(AM135:AP135)</f>
        <v>-3.781</v>
      </c>
      <c r="AR135" s="3">
        <f>AM135*(1+AR163)</f>
        <v>-0.461</v>
      </c>
      <c r="AS135" s="3">
        <f>AN135*(1+AS163)</f>
        <v>-4.378</v>
      </c>
      <c r="AT135" s="3">
        <f>AO135*(1+AT163)</f>
        <v>1.024</v>
      </c>
      <c r="AU135" s="3">
        <f>AP135*(1+AU163)</f>
        <v>0.034</v>
      </c>
      <c r="AV135" s="3">
        <f>SUM(AR135:AU135)</f>
        <v>-3.781</v>
      </c>
      <c r="AW135" s="3">
        <f>AR135*(1+AW163)</f>
        <v>-0.461</v>
      </c>
      <c r="AX135" s="3">
        <f>AS135*(1+AX163)</f>
        <v>-4.378</v>
      </c>
      <c r="AY135" s="3">
        <f>AT135*(1+AY163)</f>
        <v>1.024</v>
      </c>
      <c r="AZ135" s="3">
        <f>AU135*(1+AZ163)</f>
        <v>0.034</v>
      </c>
      <c r="BA135" s="3">
        <f>SUM(AW135:AZ135)</f>
        <v>-3.781</v>
      </c>
      <c r="BB135" s="3">
        <f>AW135*(1+BB163)</f>
        <v>-0.461</v>
      </c>
      <c r="BC135" s="3">
        <f>AX135*(1+BC163)</f>
        <v>-4.378</v>
      </c>
      <c r="BD135" s="3">
        <f>AY135*(1+BD163)</f>
        <v>1.024</v>
      </c>
      <c r="BE135" s="3">
        <f>AZ135*(1+BE163)</f>
        <v>0.034</v>
      </c>
      <c r="BF135" s="3">
        <f>SUM(BB135:BE135)</f>
        <v>-3.781</v>
      </c>
      <c r="BG135" s="3">
        <f>BB135*(1+BG163)</f>
        <v>-0.461</v>
      </c>
      <c r="BH135" s="3">
        <f>BC135*(1+BH163)</f>
        <v>-4.378</v>
      </c>
      <c r="BI135" s="3">
        <f>BD135*(1+BI163)</f>
        <v>1.024</v>
      </c>
      <c r="BJ135" s="3">
        <f>BE135*(1+BJ163)</f>
        <v>0.034</v>
      </c>
      <c r="BK135" s="3">
        <f>SUM(BG135:BJ135)</f>
        <v>-3.781</v>
      </c>
      <c r="BL135" s="3">
        <f>BG135*(1+BL163)</f>
        <v>-0.461</v>
      </c>
      <c r="BM135" s="3">
        <f>BH135*(1+BM163)</f>
        <v>-4.378</v>
      </c>
      <c r="BN135" s="3">
        <f>BI135*(1+BN163)</f>
        <v>1.024</v>
      </c>
      <c r="BO135" s="3">
        <f>BJ135*(1+BO163)</f>
        <v>0.034</v>
      </c>
      <c r="BP135" s="3">
        <f>SUM(BL135:BO135)</f>
        <v>-3.781</v>
      </c>
      <c r="BQ135" s="3">
        <f>BL135*(1+BQ163)</f>
        <v>-0.461</v>
      </c>
      <c r="BR135" s="3">
        <f>BM135*(1+BR163)</f>
        <v>-4.378</v>
      </c>
      <c r="BS135" s="3">
        <f>BN135*(1+BS163)</f>
        <v>1.024</v>
      </c>
      <c r="BT135" s="3">
        <f>BO135*(1+BT163)</f>
        <v>0.034</v>
      </c>
      <c r="BU135" s="3">
        <f>SUM(BQ135:BT135)</f>
        <v>-3.781</v>
      </c>
      <c r="BV135" s="3">
        <f>BQ135*(1+BV163)</f>
        <v>-0.461</v>
      </c>
      <c r="BW135" s="3">
        <f>BR135*(1+BW163)</f>
        <v>-4.378</v>
      </c>
      <c r="BX135" s="3">
        <f>BS135*(1+BX163)</f>
        <v>1.024</v>
      </c>
      <c r="BY135" s="3">
        <f>BT135*(1+BY163)</f>
        <v>0.034</v>
      </c>
      <c r="BZ135" s="3">
        <f>SUM(BV135:BY135)</f>
        <v>-3.781</v>
      </c>
      <c r="CA135" s="3">
        <f>BV135*(1+CA163)</f>
        <v>-0.461</v>
      </c>
      <c r="CB135" s="3">
        <f>BW135*(1+CB163)</f>
        <v>-4.378</v>
      </c>
      <c r="CC135" s="3">
        <f>BX135*(1+CC163)</f>
        <v>1.024</v>
      </c>
      <c r="CD135" s="3">
        <f>BY135*(1+CD163)</f>
        <v>0.034</v>
      </c>
      <c r="CE135" s="3">
        <f>SUM(CA135:CD135)</f>
        <v>-3.781</v>
      </c>
      <c r="CF135" s="3">
        <f>CA135*(1+CF163)</f>
        <v>-0.461</v>
      </c>
      <c r="CG135" s="3">
        <f>CB135*(1+CG163)</f>
        <v>-4.378</v>
      </c>
      <c r="CH135" s="3">
        <f>CC135*(1+CH163)</f>
        <v>1.024</v>
      </c>
      <c r="CI135" s="3">
        <f>CD135*(1+CI163)</f>
        <v>0.034</v>
      </c>
      <c r="CJ135" s="3">
        <f>SUM(CF135:CI135)</f>
        <v>-3.781</v>
      </c>
      <c r="CK135" s="3">
        <f>CF135*(1+CK163)</f>
        <v>-0.461</v>
      </c>
      <c r="CL135" s="3">
        <f>CG135*(1+CL163)</f>
        <v>-4.378</v>
      </c>
      <c r="CM135" s="3">
        <f>CH135*(1+CM163)</f>
        <v>1.024</v>
      </c>
      <c r="CN135" s="3">
        <f>CI135*(1+CN163)</f>
        <v>0.034</v>
      </c>
      <c r="CO135" s="3">
        <f>SUM(CK135:CN135)</f>
        <v>-3.781</v>
      </c>
      <c r="CP135" s="3">
        <f>CK135*(1+CP163)</f>
        <v>-0.461</v>
      </c>
      <c r="CQ135" s="3">
        <f>CL135*(1+CQ163)</f>
        <v>-4.378</v>
      </c>
      <c r="CR135" s="3">
        <f>CM135*(1+CR163)</f>
        <v>1.024</v>
      </c>
      <c r="CS135" s="3">
        <f>CN135*(1+CS163)</f>
        <v>0.034</v>
      </c>
      <c r="CT135" s="3">
        <f>SUM(CP135:CS135)</f>
        <v>-3.781</v>
      </c>
      <c r="CU135" s="3">
        <f>CP135*(1+CU163)</f>
        <v>-0.461</v>
      </c>
      <c r="CV135" s="3">
        <f>CQ135*(1+CV163)</f>
        <v>-4.378</v>
      </c>
      <c r="CW135" s="3">
        <f>CR135*(1+CW163)</f>
        <v>1.024</v>
      </c>
      <c r="CX135" s="3">
        <f>CS135*(1+CX163)</f>
        <v>0.034</v>
      </c>
      <c r="CY135" s="3">
        <f>SUM(CU135:CX135)</f>
        <v>-3.781</v>
      </c>
    </row>
    <row r="136">
      <c r="C136" s="26" t="inlineStr">
        <is>
          <t>Minority Interest Expense, after tax (enter as - )</t>
        </is>
      </c>
      <c r="D136" s="25">
        <f>INDEX('Inputs (2)'!$D$12:$AL$12,MATCH(D$7,'Inputs (2)'!$D$2:$AL$2,0))</f>
        <v>-0.846</v>
      </c>
      <c r="E136" s="25">
        <f>INDEX('Inputs (2)'!$D$12:$AL$12,MATCH(E$7,'Inputs (2)'!$D$2:$AL$2,0))</f>
        <v>-0.662</v>
      </c>
      <c r="F136" s="25">
        <f>INDEX('Inputs (2)'!$D$12:$AL$12,MATCH(F$7,'Inputs (2)'!$D$2:$AL$2,0))</f>
        <v>-1.268</v>
      </c>
      <c r="G136" s="25">
        <f>INDEX('Inputs (2)'!$D$12:$AL$12,MATCH(G$7,'Inputs (2)'!$D$2:$AL$2,0))</f>
        <v>-17.289</v>
      </c>
      <c r="H136" s="3">
        <f>SUM(D136:G136)</f>
        <v>-20.065</v>
      </c>
      <c r="I136" s="25">
        <f>INDEX('Inputs (2)'!$D$12:$AL$12,MATCH(I$7,'Inputs (2)'!$D$2:$AL$2,0))</f>
        <v>-1.054</v>
      </c>
      <c r="J136" s="25">
        <f>INDEX('Inputs (2)'!$D$12:$AL$12,MATCH(J$7,'Inputs (2)'!$D$2:$AL$2,0))</f>
        <v>-0.988</v>
      </c>
      <c r="K136" s="25">
        <f>INDEX('Inputs (2)'!$D$12:$AL$12,MATCH(K$7,'Inputs (2)'!$D$2:$AL$2,0))</f>
        <v>-0.859</v>
      </c>
      <c r="L136" s="25">
        <f>INDEX('Inputs (2)'!$D$12:$AL$12,MATCH(L$7,'Inputs (2)'!$D$2:$AL$2,0))</f>
        <v>-3.618</v>
      </c>
      <c r="M136" s="3">
        <f>SUM(I136:L136)</f>
        <v>-6.519</v>
      </c>
      <c r="N136" s="25">
        <f>INDEX('Inputs (2)'!$D$12:$AL$12,MATCH(N$7,'Inputs (2)'!$D$2:$AL$2,0))</f>
        <v>-0.773</v>
      </c>
      <c r="O136" s="25">
        <f>INDEX('Inputs (2)'!$D$12:$AL$12,MATCH(O$7,'Inputs (2)'!$D$2:$AL$2,0))</f>
        <v>-1.65</v>
      </c>
      <c r="P136" s="25">
        <f>INDEX('Inputs (2)'!$D$12:$AL$12,MATCH(P$7,'Inputs (2)'!$D$2:$AL$2,0))</f>
        <v>-1.467</v>
      </c>
      <c r="Q136" s="25">
        <f>INDEX('Inputs (2)'!$D$12:$AL$12,MATCH(Q$7,'Inputs (2)'!$D$2:$AL$2,0))</f>
        <v>-1.652</v>
      </c>
      <c r="R136" s="3">
        <f>SUM(N136:Q136)</f>
        <v>-5.542</v>
      </c>
      <c r="S136" s="25">
        <f>INDEX('Inputs (2)'!$D$12:$AL$12,MATCH(S$7,'Inputs (2)'!$D$2:$AL$2,0))</f>
        <v>-1.893</v>
      </c>
      <c r="T136" s="25">
        <f>INDEX('Inputs (2)'!$D$12:$AL$12,MATCH(T$7,'Inputs (2)'!$D$2:$AL$2,0))</f>
        <v>-2.298</v>
      </c>
      <c r="U136" s="25">
        <f>INDEX('Inputs (2)'!$D$12:$AL$12,MATCH(U$7,'Inputs (2)'!$D$2:$AL$2,0))</f>
        <v>-2.043</v>
      </c>
      <c r="V136" s="25">
        <f>INDEX('Inputs (2)'!$D$12:$AL$12,MATCH(V$7,'Inputs (2)'!$D$2:$AL$2,0))</f>
        <v>-3.818</v>
      </c>
      <c r="W136" s="3">
        <f>SUM(S136:V136)</f>
        <v>-10.052</v>
      </c>
      <c r="X136" s="25">
        <f>INDEX('Inputs (2)'!$D$12:$AL$12,MATCH(X$7,'Inputs (2)'!$D$2:$AL$2,0))</f>
        <v>-4.651</v>
      </c>
      <c r="Y136" s="25">
        <f>INDEX('Inputs (2)'!$D$12:$AL$12,MATCH(Y$7,'Inputs (2)'!$D$2:$AL$2,0))</f>
        <v>-2.353</v>
      </c>
      <c r="Z136" s="25">
        <f>INDEX('Inputs (2)'!$D$12:$AL$12,MATCH(Z$7,'Inputs (2)'!$D$2:$AL$2,0))</f>
        <v>-4.172</v>
      </c>
      <c r="AA136" s="25">
        <f>INDEX('Inputs (2)'!$D$12:$AL$12,MATCH(AA$7,'Inputs (2)'!$D$2:$AL$2,0))</f>
        <v>-2.403</v>
      </c>
      <c r="AB136" s="3">
        <f>SUM(X136:AA136)</f>
        <v>-13.579</v>
      </c>
      <c r="AC136" s="25">
        <f>INDEX('Inputs (2)'!$D$12:$AL$12,MATCH(AC$7,'Inputs (2)'!$D$2:$AL$2,0))</f>
        <v>-2.765</v>
      </c>
      <c r="AD136" s="25">
        <f>INDEX('Inputs (2)'!$D$12:$AL$12,MATCH(AD$7,'Inputs (2)'!$D$2:$AL$2,0))</f>
        <v>-2.911</v>
      </c>
      <c r="AE136" s="25">
        <f>INDEX('Inputs (2)'!$D$12:$AL$12,MATCH(AE$7,'Inputs (2)'!$D$2:$AL$2,0))</f>
        <v>-4.054</v>
      </c>
      <c r="AF136" s="25">
        <f>INDEX('Inputs (2)'!$D$12:$AL$12,MATCH(AF$7,'Inputs (2)'!$D$2:$AL$2,0))</f>
        <v>-4.09</v>
      </c>
      <c r="AG136" s="3">
        <f>SUM(AC136:AF136)</f>
        <v>-13.82</v>
      </c>
      <c r="AH136" s="3">
        <f>INDEX('Inputs (2)'!$D$12:$AL$12,MATCH(AH$7,'Inputs (2)'!$D$2:$AL$2,0))</f>
        <v>-3.838</v>
      </c>
      <c r="AI136" s="3">
        <f>INDEX('Inputs (2)'!$D$12:$AL$12,MATCH(AI$7,'Inputs (2)'!$D$2:$AL$2,0))</f>
        <v>-17.498</v>
      </c>
      <c r="AJ136" s="3">
        <f>AE136*(1+AJ250)</f>
        <v>-4.054</v>
      </c>
      <c r="AK136" s="3">
        <f>AF136*(1+AK250)</f>
        <v>-4.09</v>
      </c>
      <c r="AL136" s="3">
        <f>SUM(AH136:AK136)</f>
        <v>-29.48</v>
      </c>
      <c r="AM136" s="3">
        <f>AH136*(1+AM250)</f>
        <v>-3.838</v>
      </c>
      <c r="AN136" s="3">
        <f>AI136*(1+AN250)</f>
        <v>-17.498</v>
      </c>
      <c r="AO136" s="3">
        <f>AJ136*(1+AO250)</f>
        <v>-4.054</v>
      </c>
      <c r="AP136" s="3">
        <f>AK136*(1+AP250)</f>
        <v>-4.09</v>
      </c>
      <c r="AQ136" s="3">
        <f>SUM(AM136:AP136)</f>
        <v>-29.48</v>
      </c>
      <c r="AR136" s="3">
        <f>AM136*(1+AR250)</f>
        <v>-3.838</v>
      </c>
      <c r="AS136" s="3">
        <f>AN136*(1+AS250)</f>
        <v>-17.498</v>
      </c>
      <c r="AT136" s="3">
        <f>AO136*(1+AT250)</f>
        <v>-4.054</v>
      </c>
      <c r="AU136" s="3">
        <f>AP136*(1+AU250)</f>
        <v>-4.09</v>
      </c>
      <c r="AV136" s="3">
        <f>SUM(AR136:AU136)</f>
        <v>-29.48</v>
      </c>
      <c r="AW136" s="3">
        <f>AR136*(1+AW250)</f>
        <v>-3.838</v>
      </c>
      <c r="AX136" s="3">
        <f>AS136*(1+AX250)</f>
        <v>-17.498</v>
      </c>
      <c r="AY136" s="3">
        <f>AT136*(1+AY250)</f>
        <v>-4.054</v>
      </c>
      <c r="AZ136" s="3">
        <f>AU136*(1+AZ250)</f>
        <v>-4.09</v>
      </c>
      <c r="BA136" s="3">
        <f>SUM(AW136:AZ136)</f>
        <v>-29.48</v>
      </c>
      <c r="BB136" s="3">
        <f>AW136*(1+BB250)</f>
        <v>-3.838</v>
      </c>
      <c r="BC136" s="3">
        <f>AX136*(1+BC250)</f>
        <v>-17.498</v>
      </c>
      <c r="BD136" s="3">
        <f>AY136*(1+BD250)</f>
        <v>-4.054</v>
      </c>
      <c r="BE136" s="3">
        <f>AZ136*(1+BE250)</f>
        <v>-4.09</v>
      </c>
      <c r="BF136" s="3">
        <f>SUM(BB136:BE136)</f>
        <v>-29.48</v>
      </c>
      <c r="BG136" s="3">
        <f>BB136*(1+BG250)</f>
        <v>-3.838</v>
      </c>
      <c r="BH136" s="3">
        <f>BC136*(1+BH250)</f>
        <v>-17.498</v>
      </c>
      <c r="BI136" s="3">
        <f>BD136*(1+BI250)</f>
        <v>-4.054</v>
      </c>
      <c r="BJ136" s="3">
        <f>BE136*(1+BJ250)</f>
        <v>-4.09</v>
      </c>
      <c r="BK136" s="3">
        <f>SUM(BG136:BJ136)</f>
        <v>-29.48</v>
      </c>
      <c r="BL136" s="3">
        <f>BG136*(1+BL250)</f>
        <v>-3.838</v>
      </c>
      <c r="BM136" s="3">
        <f>BH136*(1+BM250)</f>
        <v>-17.498</v>
      </c>
      <c r="BN136" s="3">
        <f>BI136*(1+BN250)</f>
        <v>-4.054</v>
      </c>
      <c r="BO136" s="3">
        <f>BJ136*(1+BO250)</f>
        <v>-4.09</v>
      </c>
      <c r="BP136" s="3">
        <f>SUM(BL136:BO136)</f>
        <v>-29.48</v>
      </c>
      <c r="BQ136" s="3">
        <f>BL136*(1+BQ250)</f>
        <v>-3.838</v>
      </c>
      <c r="BR136" s="3">
        <f>BM136*(1+BR250)</f>
        <v>-17.498</v>
      </c>
      <c r="BS136" s="3">
        <f>BN136*(1+BS250)</f>
        <v>-4.054</v>
      </c>
      <c r="BT136" s="3">
        <f>BO136*(1+BT250)</f>
        <v>-4.09</v>
      </c>
      <c r="BU136" s="3">
        <f>SUM(BQ136:BT136)</f>
        <v>-29.48</v>
      </c>
      <c r="BV136" s="3">
        <f>BQ136*(1+BV250)</f>
        <v>-3.838</v>
      </c>
      <c r="BW136" s="3">
        <f>BR136*(1+BW250)</f>
        <v>-17.498</v>
      </c>
      <c r="BX136" s="3">
        <f>BS136*(1+BX250)</f>
        <v>-4.054</v>
      </c>
      <c r="BY136" s="3">
        <f>BT136*(1+BY250)</f>
        <v>-4.09</v>
      </c>
      <c r="BZ136" s="3">
        <f>SUM(BV136:BY136)</f>
        <v>-29.48</v>
      </c>
      <c r="CA136" s="3">
        <f>BV136*(1+CA250)</f>
        <v>-3.838</v>
      </c>
      <c r="CB136" s="3">
        <f>BW136*(1+CB250)</f>
        <v>-17.498</v>
      </c>
      <c r="CC136" s="3">
        <f>BX136*(1+CC250)</f>
        <v>-4.054</v>
      </c>
      <c r="CD136" s="3">
        <f>BY136*(1+CD250)</f>
        <v>-4.09</v>
      </c>
      <c r="CE136" s="3">
        <f>SUM(CA136:CD136)</f>
        <v>-29.48</v>
      </c>
      <c r="CF136" s="3">
        <f>CA136*(1+CF250)</f>
        <v>-3.838</v>
      </c>
      <c r="CG136" s="3">
        <f>CB136*(1+CG250)</f>
        <v>-17.498</v>
      </c>
      <c r="CH136" s="3">
        <f>CC136*(1+CH250)</f>
        <v>-4.054</v>
      </c>
      <c r="CI136" s="3">
        <f>CD136*(1+CI250)</f>
        <v>-4.09</v>
      </c>
      <c r="CJ136" s="3">
        <f>SUM(CF136:CI136)</f>
        <v>-29.48</v>
      </c>
      <c r="CK136" s="3">
        <f>CF136*(1+CK250)</f>
        <v>-3.838</v>
      </c>
      <c r="CL136" s="3">
        <f>CG136*(1+CL250)</f>
        <v>-17.498</v>
      </c>
      <c r="CM136" s="3">
        <f>CH136*(1+CM250)</f>
        <v>-4.054</v>
      </c>
      <c r="CN136" s="3">
        <f>CI136*(1+CN250)</f>
        <v>-4.09</v>
      </c>
      <c r="CO136" s="3">
        <f>SUM(CK136:CN136)</f>
        <v>-29.48</v>
      </c>
      <c r="CP136" s="3">
        <f>CK136*(1+CP250)</f>
        <v>-3.838</v>
      </c>
      <c r="CQ136" s="3">
        <f>CL136*(1+CQ250)</f>
        <v>-17.498</v>
      </c>
      <c r="CR136" s="3">
        <f>CM136*(1+CR250)</f>
        <v>-4.054</v>
      </c>
      <c r="CS136" s="3">
        <f>CN136*(1+CS250)</f>
        <v>-4.09</v>
      </c>
      <c r="CT136" s="3">
        <f>SUM(CP136:CS136)</f>
        <v>-29.48</v>
      </c>
      <c r="CU136" s="3">
        <f>CP136*(1+CU250)</f>
        <v>-3.838</v>
      </c>
      <c r="CV136" s="3">
        <f>CQ136*(1+CV250)</f>
        <v>-17.498</v>
      </c>
      <c r="CW136" s="3">
        <f>CR136*(1+CW250)</f>
        <v>-4.054</v>
      </c>
      <c r="CX136" s="3">
        <f>CS136*(1+CX250)</f>
        <v>-4.09</v>
      </c>
      <c r="CY136" s="3">
        <f>SUM(CU136:CX136)</f>
        <v>-29.48</v>
      </c>
    </row>
    <row r="137" customFormat="1" s="17">
      <c r="A137" s="13" t="n"/>
      <c r="B137" s="1" t="n"/>
      <c r="C137" s="14" t="inlineStr">
        <is>
          <t>Net Income</t>
        </is>
      </c>
      <c r="D137" s="16">
        <f>SUM(D130,D131,D135,D136)</f>
        <v>-10.009</v>
      </c>
      <c r="E137" s="16">
        <f>SUM(E130,E131,E135,E136)</f>
        <v>24.361</v>
      </c>
      <c r="F137" s="16">
        <f>SUM(F130,F131,F135,F136)</f>
        <v>0.0470000000000044</v>
      </c>
      <c r="G137" s="16">
        <f>SUM(G130,G131,G135,G136)</f>
        <v>-10.854</v>
      </c>
      <c r="H137" s="16">
        <f>SUM(D137:G137)</f>
        <v>3.545</v>
      </c>
      <c r="I137" s="16">
        <f>SUM(I130,I131,I135,I136)</f>
        <v>-46.579</v>
      </c>
      <c r="J137" s="16">
        <f>SUM(J130,J131,J135,J136)</f>
        <v>5.411</v>
      </c>
      <c r="K137" s="16">
        <f>SUM(K130,K131,K135,K136)</f>
        <v>-2.20799999999999</v>
      </c>
      <c r="L137" s="16">
        <f>SUM(L130,L131,L135,L136)</f>
        <v>-18.652</v>
      </c>
      <c r="M137" s="16">
        <f>SUM(I137:L137)</f>
        <v>-62.028</v>
      </c>
      <c r="N137" s="16">
        <f>SUM(N130,N131,N135,N136)</f>
        <v>-20.147</v>
      </c>
      <c r="O137" s="16">
        <f>SUM(O130,O131,O135,O136)</f>
        <v>-11.97</v>
      </c>
      <c r="P137" s="16">
        <f>SUM(P130,P131,P135,P136)</f>
        <v>-31.093</v>
      </c>
      <c r="Q137" s="16">
        <f>SUM(Q130,Q131,Q135,Q136)</f>
        <v>-85.796</v>
      </c>
      <c r="R137" s="16">
        <f>SUM(N137:Q137)</f>
        <v>-149.006</v>
      </c>
      <c r="S137" s="16">
        <f>SUM(S130,S131,S135,S136)</f>
        <v>-45.073</v>
      </c>
      <c r="T137" s="16">
        <f>SUM(T130,T131,T135,T136)</f>
        <v>-5.14900000000002</v>
      </c>
      <c r="U137" s="16">
        <f>SUM(U130,U131,U135,U136)</f>
        <v>1.85100000000002</v>
      </c>
      <c r="V137" s="16">
        <f>SUM(V130,V131,V135,V136)</f>
        <v>88.486</v>
      </c>
      <c r="W137" s="16">
        <f>SUM(S137:V137)</f>
        <v>40.115</v>
      </c>
      <c r="X137" s="16">
        <f>SUM(X130,X131,X135,X136)</f>
        <v>25.543</v>
      </c>
      <c r="Y137" s="16">
        <f>SUM(Y130,Y131,Y135,Y136)</f>
        <v>8.80599999999999</v>
      </c>
      <c r="Z137" s="16">
        <f>SUM(Z130,Z131,Z135,Z136)</f>
        <v>37.084</v>
      </c>
      <c r="AA137" s="16">
        <f>SUM(AA130,AA131,AA135,AA136)</f>
        <v>-10.536</v>
      </c>
      <c r="AB137" s="16">
        <f>SUM(X137:AA137)</f>
        <v>60.897</v>
      </c>
      <c r="AC137" s="16">
        <f>SUM(AC130,AC131,AC135,AC136)</f>
        <v>-6.32199999999999</v>
      </c>
      <c r="AD137" s="16">
        <f>SUM(AD130,AD131,AD135,AD136)</f>
        <v>23.846</v>
      </c>
      <c r="AE137" s="16">
        <f>SUM(AE130,AE131,AE135,AE136)</f>
        <v>23.288</v>
      </c>
      <c r="AF137" s="16">
        <f>SUM(AF130,AF131,AF135,AF136)</f>
        <v>19.33</v>
      </c>
      <c r="AG137" s="16">
        <f>SUM(AC137:AF137)</f>
        <v>60.142</v>
      </c>
      <c r="AH137" s="16">
        <f>SUM(AH130,AH131,AH135,AH136)</f>
        <v>18.784</v>
      </c>
      <c r="AI137" s="16">
        <f>SUM(AI130,AI131,AI135,AI136)</f>
        <v>-11.147</v>
      </c>
      <c r="AJ137" s="16">
        <f>SUM(AJ130,AJ131,AJ135,AJ136)</f>
        <v>22.922</v>
      </c>
      <c r="AK137" s="16">
        <f>SUM(AK130,AK131,AK135,AK136)</f>
        <v>31.114</v>
      </c>
      <c r="AL137" s="16">
        <f>SUM(AH137:AK137)</f>
        <v>61.673</v>
      </c>
      <c r="AM137" s="16">
        <f>SUM(AM130,AM131,AM135,AM136)</f>
        <v>30.871</v>
      </c>
      <c r="AN137" s="16">
        <f>SUM(AN130,AN131,AN135,AN136)</f>
        <v>100.368</v>
      </c>
      <c r="AO137" s="16">
        <f>SUM(AO130,AO131,AO135,AO136)</f>
        <v>32.14</v>
      </c>
      <c r="AP137" s="16">
        <f>SUM(AP130,AP131,AP135,AP136)</f>
        <v>118.188</v>
      </c>
      <c r="AQ137" s="16">
        <f>SUM(AM137:AP137)</f>
        <v>281.567</v>
      </c>
      <c r="AR137" s="16">
        <f>SUM(AR130,AR131,AR135,AR136)</f>
        <v>117.945</v>
      </c>
      <c r="AS137" s="16">
        <f>SUM(AS130,AS131,AS135,AS136)</f>
        <v>292.952</v>
      </c>
      <c r="AT137" s="16">
        <f>SUM(AT130,AT131,AT135,AT136)</f>
        <v>119.214</v>
      </c>
      <c r="AU137" s="16">
        <f>SUM(AU130,AU131,AU135,AU136)</f>
        <v>310.772</v>
      </c>
      <c r="AV137" s="16">
        <f>SUM(AR137:AU137)</f>
        <v>840.883</v>
      </c>
      <c r="AW137" s="16">
        <f>SUM(AW130,AW131,AW135,AW136)</f>
        <v>310.529</v>
      </c>
      <c r="AX137" s="16">
        <f>SUM(AX130,AX131,AX135,AX136)</f>
        <v>852.268</v>
      </c>
      <c r="AY137" s="16">
        <f>SUM(AY130,AY131,AY135,AY136)</f>
        <v>311.798</v>
      </c>
      <c r="AZ137" s="16">
        <f>SUM(AZ130,AZ131,AZ135,AZ136)</f>
        <v>870.088</v>
      </c>
      <c r="BA137" s="16">
        <f>SUM(AW137:AZ137)</f>
        <v>2344.683</v>
      </c>
      <c r="BB137" s="16">
        <f>SUM(BB130,BB131,BB135,BB136)</f>
        <v>869.845</v>
      </c>
      <c r="BC137" s="16">
        <f>SUM(BC130,BC131,BC135,BC136)</f>
        <v>2356.068</v>
      </c>
      <c r="BD137" s="16">
        <f>SUM(BD130,BD131,BD135,BD136)</f>
        <v>871.114</v>
      </c>
      <c r="BE137" s="16">
        <f>SUM(BE130,BE131,BE135,BE136)</f>
        <v>2373.888</v>
      </c>
      <c r="BF137" s="16">
        <f>SUM(BB137:BE137)</f>
        <v>6470.915</v>
      </c>
      <c r="BG137" s="16">
        <f>SUM(BG130,BG131,BG135,BG136)</f>
        <v>2373.645</v>
      </c>
      <c r="BH137" s="16">
        <f>SUM(BH130,BH131,BH135,BH136)</f>
        <v>6482.3</v>
      </c>
      <c r="BI137" s="16">
        <f>SUM(BI130,BI131,BI135,BI136)</f>
        <v>2374.914</v>
      </c>
      <c r="BJ137" s="16">
        <f>SUM(BJ130,BJ131,BJ135,BJ136)</f>
        <v>6500.12</v>
      </c>
      <c r="BK137" s="16">
        <f>SUM(BG137:BJ137)</f>
        <v>17730.979</v>
      </c>
      <c r="BL137" s="16">
        <f>SUM(BL130,BL131,BL135,BL136)</f>
        <v>6499.877</v>
      </c>
      <c r="BM137" s="16">
        <f>SUM(BM130,BM131,BM135,BM136)</f>
        <v>17742.364</v>
      </c>
      <c r="BN137" s="16">
        <f>SUM(BN130,BN131,BN135,BN136)</f>
        <v>6501.146</v>
      </c>
      <c r="BO137" s="16">
        <f>SUM(BO130,BO131,BO135,BO136)</f>
        <v>17760.184</v>
      </c>
      <c r="BP137" s="16">
        <f>SUM(BL137:BO137)</f>
        <v>48503.571</v>
      </c>
      <c r="BQ137" s="16">
        <f>SUM(BQ130,BQ131,BQ135,BQ136)</f>
        <v>17759.941</v>
      </c>
      <c r="BR137" s="16">
        <f>SUM(BR130,BR131,BR135,BR136)</f>
        <v>48514.956</v>
      </c>
      <c r="BS137" s="16">
        <f>SUM(BS130,BS131,BS135,BS136)</f>
        <v>17761.21</v>
      </c>
      <c r="BT137" s="16">
        <f>SUM(BT130,BT131,BT135,BT136)</f>
        <v>48532.776</v>
      </c>
      <c r="BU137" s="16">
        <f>SUM(BQ137:BT137)</f>
        <v>132568.883</v>
      </c>
      <c r="BV137" s="16">
        <f>SUM(BV130,BV131,BV135,BV136)</f>
        <v>48532.533</v>
      </c>
      <c r="BW137" s="16">
        <f>SUM(BW130,BW131,BW135,BW136)</f>
        <v>132580.268</v>
      </c>
      <c r="BX137" s="16">
        <f>SUM(BX130,BX131,BX135,BX136)</f>
        <v>48533.802</v>
      </c>
      <c r="BY137" s="16">
        <f>SUM(BY130,BY131,BY135,BY136)</f>
        <v>132598.088</v>
      </c>
      <c r="BZ137" s="16">
        <f>SUM(BV137:BY137)</f>
        <v>362244.691</v>
      </c>
      <c r="CA137" s="16">
        <f>SUM(CA130,CA131,CA135,CA136)</f>
        <v>132597.845</v>
      </c>
      <c r="CB137" s="16">
        <f>SUM(CB130,CB131,CB135,CB136)</f>
        <v>362256.076</v>
      </c>
      <c r="CC137" s="16">
        <f>SUM(CC130,CC131,CC135,CC136)</f>
        <v>132599.114</v>
      </c>
      <c r="CD137" s="16">
        <f>SUM(CD130,CD131,CD135,CD136)</f>
        <v>362273.896</v>
      </c>
      <c r="CE137" s="16">
        <f>SUM(CA137:CD137)</f>
        <v>989726.931</v>
      </c>
      <c r="CF137" s="16">
        <f>SUM(CF130,CF131,CF135,CF136)</f>
        <v>362273.653</v>
      </c>
      <c r="CG137" s="16">
        <f>SUM(CG130,CG131,CG135,CG136)</f>
        <v>989738.316</v>
      </c>
      <c r="CH137" s="16">
        <f>SUM(CH130,CH131,CH135,CH136)</f>
        <v>362274.922</v>
      </c>
      <c r="CI137" s="16">
        <f>SUM(CI130,CI131,CI135,CI136)</f>
        <v>989756.136</v>
      </c>
      <c r="CJ137" s="16">
        <f>SUM(CF137:CI137)</f>
        <v>2704043.027</v>
      </c>
      <c r="CK137" s="16">
        <f>SUM(CK130,CK131,CK135,CK136)</f>
        <v>989755.893</v>
      </c>
      <c r="CL137" s="16">
        <f>SUM(CL130,CL131,CL135,CL136)</f>
        <v>2704054.412</v>
      </c>
      <c r="CM137" s="16">
        <f>SUM(CM130,CM131,CM135,CM136)</f>
        <v>989757.162</v>
      </c>
      <c r="CN137" s="16">
        <f>SUM(CN130,CN131,CN135,CN136)</f>
        <v>2704072.232</v>
      </c>
      <c r="CO137" s="16">
        <f>SUM(CK137:CN137)</f>
        <v>7387639.699</v>
      </c>
      <c r="CP137" s="16">
        <f>SUM(CP130,CP131,CP135,CP136)</f>
        <v>2704071.989</v>
      </c>
      <c r="CQ137" s="16">
        <f>SUM(CQ130,CQ131,CQ135,CQ136)</f>
        <v>7387651.084</v>
      </c>
      <c r="CR137" s="16">
        <f>SUM(CR130,CR131,CR135,CR136)</f>
        <v>2704073.258</v>
      </c>
      <c r="CS137" s="16">
        <f>SUM(CS130,CS131,CS135,CS136)</f>
        <v>7387668.904</v>
      </c>
      <c r="CT137" s="16">
        <f>SUM(CP137:CS137)</f>
        <v>20183465.235</v>
      </c>
      <c r="CU137" s="16">
        <f>SUM(CU130,CU131,CU135,CU136)</f>
        <v>7387668.661</v>
      </c>
      <c r="CV137" s="16">
        <f>SUM(CV130,CV131,CV135,CV136)</f>
        <v>20183476.62</v>
      </c>
      <c r="CW137" s="16">
        <f>SUM(CW130,CW131,CW135,CW136)</f>
        <v>7387669.93</v>
      </c>
      <c r="CX137" s="16">
        <f>SUM(CX130,CX131,CX135,CX136)</f>
        <v>20183494.44</v>
      </c>
      <c r="CY137" s="16">
        <f>SUM(CU137:CX137)</f>
        <v>55142309.651</v>
      </c>
    </row>
    <row r="138">
      <c r="C138" s="24" t="inlineStr">
        <is>
          <t>Common Dividends</t>
        </is>
      </c>
      <c r="D138" s="25">
        <f>INDEX('Inputs (2)'!$D$13:$AL$13,MATCH(D$7,'Inputs (2)'!$D$2:$AL$2,0))</f>
        <v>0</v>
      </c>
      <c r="E138" s="25">
        <f>INDEX('Inputs (2)'!$D$13:$AL$13,MATCH(E$7,'Inputs (2)'!$D$2:$AL$2,0))</f>
        <v>0</v>
      </c>
      <c r="F138" s="25">
        <f>INDEX('Inputs (2)'!$D$13:$AL$13,MATCH(F$7,'Inputs (2)'!$D$2:$AL$2,0))</f>
        <v>0</v>
      </c>
      <c r="G138" s="25">
        <f>INDEX('Inputs (2)'!$D$13:$AL$13,MATCH(G$7,'Inputs (2)'!$D$2:$AL$2,0))</f>
        <v>0</v>
      </c>
      <c r="H138" s="3">
        <f>SUM(D138:G138)</f>
        <v>0</v>
      </c>
      <c r="I138" s="25">
        <f>INDEX('Inputs (2)'!$D$13:$AL$13,MATCH(I$7,'Inputs (2)'!$D$2:$AL$2,0))</f>
        <v>0</v>
      </c>
      <c r="J138" s="25">
        <f>INDEX('Inputs (2)'!$D$13:$AL$13,MATCH(J$7,'Inputs (2)'!$D$2:$AL$2,0))</f>
        <v>0</v>
      </c>
      <c r="K138" s="25">
        <f>INDEX('Inputs (2)'!$D$13:$AL$13,MATCH(K$7,'Inputs (2)'!$D$2:$AL$2,0))</f>
        <v>0</v>
      </c>
      <c r="L138" s="25">
        <f>INDEX('Inputs (2)'!$D$13:$AL$13,MATCH(L$7,'Inputs (2)'!$D$2:$AL$2,0))</f>
        <v>0</v>
      </c>
      <c r="M138" s="3">
        <f>SUM(I138:L138)</f>
        <v>0</v>
      </c>
      <c r="N138" s="25">
        <f>INDEX('Inputs (2)'!$D$13:$AL$13,MATCH(N$7,'Inputs (2)'!$D$2:$AL$2,0))</f>
        <v>0</v>
      </c>
      <c r="O138" s="25">
        <f>INDEX('Inputs (2)'!$D$13:$AL$13,MATCH(O$7,'Inputs (2)'!$D$2:$AL$2,0))</f>
        <v>0</v>
      </c>
      <c r="P138" s="25">
        <f>INDEX('Inputs (2)'!$D$13:$AL$13,MATCH(P$7,'Inputs (2)'!$D$2:$AL$2,0))</f>
        <v>0</v>
      </c>
      <c r="Q138" s="25">
        <f>INDEX('Inputs (2)'!$D$13:$AL$13,MATCH(Q$7,'Inputs (2)'!$D$2:$AL$2,0))</f>
        <v>0</v>
      </c>
      <c r="R138" s="3">
        <f>SUM(N138:Q138)</f>
        <v>0</v>
      </c>
      <c r="S138" s="25">
        <f>INDEX('Inputs (2)'!$D$13:$AL$13,MATCH(S$7,'Inputs (2)'!$D$2:$AL$2,0))</f>
        <v>0</v>
      </c>
      <c r="T138" s="25">
        <f>INDEX('Inputs (2)'!$D$13:$AL$13,MATCH(T$7,'Inputs (2)'!$D$2:$AL$2,0))</f>
        <v>0</v>
      </c>
      <c r="U138" s="25">
        <f>INDEX('Inputs (2)'!$D$13:$AL$13,MATCH(U$7,'Inputs (2)'!$D$2:$AL$2,0))</f>
        <v>0</v>
      </c>
      <c r="V138" s="25">
        <f>INDEX('Inputs (2)'!$D$13:$AL$13,MATCH(V$7,'Inputs (2)'!$D$2:$AL$2,0))</f>
        <v>0</v>
      </c>
      <c r="W138" s="3">
        <f>SUM(S138:V138)</f>
        <v>0</v>
      </c>
      <c r="X138" s="25">
        <f>INDEX('Inputs (2)'!$D$13:$AL$13,MATCH(X$7,'Inputs (2)'!$D$2:$AL$2,0))</f>
        <v>0</v>
      </c>
      <c r="Y138" s="25">
        <f>INDEX('Inputs (2)'!$D$13:$AL$13,MATCH(Y$7,'Inputs (2)'!$D$2:$AL$2,0))</f>
        <v>0</v>
      </c>
      <c r="Z138" s="25">
        <f>INDEX('Inputs (2)'!$D$13:$AL$13,MATCH(Z$7,'Inputs (2)'!$D$2:$AL$2,0))</f>
        <v>0</v>
      </c>
      <c r="AA138" s="25">
        <f>INDEX('Inputs (2)'!$D$13:$AL$13,MATCH(AA$7,'Inputs (2)'!$D$2:$AL$2,0))</f>
        <v>0</v>
      </c>
      <c r="AB138" s="3">
        <f>SUM(X138:AA138)</f>
        <v>0</v>
      </c>
      <c r="AC138" s="25">
        <f>INDEX('Inputs (2)'!$D$13:$AL$13,MATCH(AC$7,'Inputs (2)'!$D$2:$AL$2,0))</f>
        <v>0</v>
      </c>
      <c r="AD138" s="25">
        <f>INDEX('Inputs (2)'!$D$13:$AL$13,MATCH(AD$7,'Inputs (2)'!$D$2:$AL$2,0))</f>
        <v>0</v>
      </c>
      <c r="AE138" s="25">
        <f>INDEX('Inputs (2)'!$D$13:$AL$13,MATCH(AE$7,'Inputs (2)'!$D$2:$AL$2,0))</f>
        <v>0</v>
      </c>
      <c r="AF138" s="25">
        <f>INDEX('Inputs (2)'!$D$13:$AL$13,MATCH(AF$7,'Inputs (2)'!$D$2:$AL$2,0))</f>
        <v>0</v>
      </c>
      <c r="AG138" s="3">
        <f>SUM(AC138:AF138)</f>
        <v>0</v>
      </c>
      <c r="AH138" s="3">
        <f>INDEX('Inputs (2)'!$D$13:$AL$13,MATCH(AH$7,'Inputs (2)'!$D$2:$AL$2,0))</f>
        <v>0</v>
      </c>
      <c r="AI138" s="3">
        <f>INDEX('Inputs (2)'!$D$13:$AL$13,MATCH(AI$7,'Inputs (2)'!$D$2:$AL$2,0))</f>
        <v>0</v>
      </c>
      <c r="AJ138" s="3" t="n"/>
      <c r="AK138" s="3" t="n"/>
      <c r="AL138" s="3">
        <f>SUM(AH138:AK138)</f>
        <v>0</v>
      </c>
      <c r="AM138" s="3" t="n"/>
      <c r="AN138" s="3" t="n"/>
      <c r="AO138" s="3" t="n"/>
      <c r="AP138" s="3" t="n"/>
      <c r="AQ138" s="3">
        <f>SUM(AM138:AP138)</f>
        <v>0</v>
      </c>
      <c r="AR138" s="3" t="n"/>
      <c r="AS138" s="3" t="n"/>
      <c r="AT138" s="3" t="n"/>
      <c r="AU138" s="3" t="n"/>
      <c r="AV138" s="3">
        <f>SUM(AR138:AU138)</f>
        <v>0</v>
      </c>
      <c r="AW138" s="3" t="n"/>
      <c r="AX138" s="3" t="n"/>
      <c r="AY138" s="3" t="n"/>
      <c r="AZ138" s="3" t="n"/>
      <c r="BA138" s="3">
        <f>SUM(AW138:AZ138)</f>
        <v>0</v>
      </c>
      <c r="BB138" s="3" t="n"/>
      <c r="BC138" s="3" t="n"/>
      <c r="BD138" s="3" t="n"/>
      <c r="BE138" s="3" t="n"/>
      <c r="BF138" s="3">
        <f>SUM(BB138:BE138)</f>
        <v>0</v>
      </c>
      <c r="BG138" s="3" t="n"/>
      <c r="BH138" s="3" t="n"/>
      <c r="BI138" s="3" t="n"/>
      <c r="BJ138" s="3" t="n"/>
      <c r="BK138" s="3">
        <f>SUM(BG138:BJ138)</f>
        <v>0</v>
      </c>
      <c r="BL138" s="3" t="n"/>
      <c r="BM138" s="3" t="n"/>
      <c r="BN138" s="3" t="n"/>
      <c r="BO138" s="3" t="n"/>
      <c r="BP138" s="3">
        <f>SUM(BL138:BO138)</f>
        <v>0</v>
      </c>
      <c r="BQ138" s="3" t="n"/>
      <c r="BR138" s="3" t="n"/>
      <c r="BS138" s="3" t="n"/>
      <c r="BT138" s="3" t="n"/>
      <c r="BU138" s="3">
        <f>SUM(BQ138:BT138)</f>
        <v>0</v>
      </c>
      <c r="BV138" s="3" t="n"/>
      <c r="BW138" s="3" t="n"/>
      <c r="BX138" s="3" t="n"/>
      <c r="BY138" s="3" t="n"/>
      <c r="BZ138" s="3">
        <f>SUM(BV138:BY138)</f>
        <v>0</v>
      </c>
      <c r="CA138" s="3" t="n"/>
      <c r="CB138" s="3" t="n"/>
      <c r="CC138" s="3" t="n"/>
      <c r="CD138" s="3" t="n"/>
      <c r="CE138" s="3">
        <f>SUM(CA138:CD138)</f>
        <v>0</v>
      </c>
      <c r="CF138" s="3" t="n"/>
      <c r="CG138" s="3" t="n"/>
      <c r="CH138" s="3" t="n"/>
      <c r="CI138" s="3" t="n"/>
      <c r="CJ138" s="3">
        <f>SUM(CF138:CI138)</f>
        <v>0</v>
      </c>
      <c r="CK138" s="3" t="n"/>
      <c r="CL138" s="3" t="n"/>
      <c r="CM138" s="3" t="n"/>
      <c r="CN138" s="3" t="n"/>
      <c r="CO138" s="3">
        <f>SUM(CK138:CN138)</f>
        <v>0</v>
      </c>
      <c r="CP138" s="3" t="n"/>
      <c r="CQ138" s="3" t="n"/>
      <c r="CR138" s="3" t="n"/>
      <c r="CS138" s="3" t="n"/>
      <c r="CT138" s="3">
        <f>SUM(CP138:CS138)</f>
        <v>0</v>
      </c>
      <c r="CU138" s="3" t="n"/>
      <c r="CV138" s="3" t="n"/>
      <c r="CW138" s="3" t="n"/>
      <c r="CX138" s="3" t="n"/>
      <c r="CY138" s="3">
        <f>SUM(CU138:CX138)</f>
        <v>0</v>
      </c>
    </row>
    <row r="139" hidden="1" outlineLevel="1">
      <c r="C139" s="32" t="inlineStr">
        <is>
          <t>% DVD Payout</t>
        </is>
      </c>
      <c r="D139" s="40">
        <f>-D138/D137</f>
        <v>0</v>
      </c>
      <c r="E139" s="40">
        <f>-E138/E137</f>
        <v>0</v>
      </c>
      <c r="F139" s="40">
        <f>-F138/F137</f>
        <v>0</v>
      </c>
      <c r="G139" s="40">
        <f>-G138/G137</f>
        <v>0</v>
      </c>
      <c r="H139" s="40">
        <f>-H138/H137</f>
        <v>0</v>
      </c>
      <c r="I139" s="40">
        <f>-I138/I137</f>
        <v>0</v>
      </c>
      <c r="J139" s="40">
        <f>-J138/J137</f>
        <v>0</v>
      </c>
      <c r="K139" s="40">
        <f>-K138/K137</f>
        <v>0</v>
      </c>
      <c r="L139" s="40">
        <f>-L138/L137</f>
        <v>0</v>
      </c>
      <c r="M139" s="40">
        <f>-M138/M137</f>
        <v>0</v>
      </c>
      <c r="N139" s="40">
        <f>-N138/N137</f>
        <v>0</v>
      </c>
      <c r="O139" s="40">
        <f>-O138/O137</f>
        <v>0</v>
      </c>
      <c r="P139" s="40">
        <f>-P138/P137</f>
        <v>0</v>
      </c>
      <c r="Q139" s="40">
        <f>-Q138/Q137</f>
        <v>0</v>
      </c>
      <c r="R139" s="40">
        <f>-R138/R137</f>
        <v>0</v>
      </c>
      <c r="S139" s="40">
        <f>-S138/S137</f>
        <v>0</v>
      </c>
      <c r="T139" s="40">
        <f>-T138/T137</f>
        <v>0</v>
      </c>
      <c r="U139" s="40">
        <f>-U138/U137</f>
        <v>0</v>
      </c>
      <c r="V139" s="40">
        <f>-V138/V137</f>
        <v>0</v>
      </c>
      <c r="W139" s="40">
        <f>-W138/W137</f>
        <v>0</v>
      </c>
      <c r="X139" s="40">
        <f>-X138/X137</f>
        <v>0</v>
      </c>
      <c r="Y139" s="40">
        <f>-Y138/Y137</f>
        <v>0</v>
      </c>
      <c r="Z139" s="40">
        <f>-Z138/Z137</f>
        <v>0</v>
      </c>
      <c r="AA139" s="40">
        <f>-AA138/AA137</f>
        <v>0</v>
      </c>
      <c r="AB139" s="40">
        <f>-AB138/AB137</f>
        <v>0</v>
      </c>
      <c r="AC139" s="40">
        <f>-AC138/AC137</f>
        <v>0</v>
      </c>
      <c r="AD139" s="40">
        <f>-AD138/AD137</f>
        <v>0</v>
      </c>
      <c r="AE139" s="40">
        <f>-AE138/AE137</f>
        <v>0</v>
      </c>
      <c r="AF139" s="44">
        <f>-AF138/AF137</f>
        <v>0</v>
      </c>
      <c r="AG139" s="3" t="n"/>
      <c r="AH139" s="44">
        <f>-AH138/AH137</f>
        <v>0</v>
      </c>
      <c r="AI139" s="44">
        <f>-AI138/AI137</f>
        <v>0</v>
      </c>
      <c r="AJ139" s="44" t="n"/>
      <c r="AK139" s="44" t="n"/>
      <c r="AL139" s="3">
        <f>-AL138/AL137</f>
        <v>0</v>
      </c>
      <c r="AM139" s="44" t="n"/>
      <c r="AN139" s="44" t="n"/>
      <c r="AO139" s="44" t="n"/>
      <c r="AP139" s="44" t="n"/>
      <c r="AQ139" s="3">
        <f>-AQ138/AQ137</f>
        <v>0</v>
      </c>
      <c r="AR139" s="44" t="n"/>
      <c r="AS139" s="44" t="n"/>
      <c r="AT139" s="44" t="n"/>
      <c r="AU139" s="44" t="n"/>
      <c r="AV139" s="3">
        <f>-AV138/AV137</f>
        <v>0</v>
      </c>
      <c r="AW139" s="44" t="n"/>
      <c r="AX139" s="44" t="n"/>
      <c r="AY139" s="44" t="n"/>
      <c r="AZ139" s="44" t="n"/>
      <c r="BA139" s="3">
        <f>-BA138/BA137</f>
        <v>0</v>
      </c>
      <c r="BB139" s="44" t="n"/>
      <c r="BC139" s="44" t="n"/>
      <c r="BD139" s="44" t="n"/>
      <c r="BE139" s="44" t="n"/>
      <c r="BF139" s="3">
        <f>-BF138/BF137</f>
        <v>0</v>
      </c>
      <c r="BG139" s="44" t="n"/>
      <c r="BH139" s="44" t="n"/>
      <c r="BI139" s="44" t="n"/>
      <c r="BJ139" s="44" t="n"/>
      <c r="BK139" s="3">
        <f>-BK138/BK137</f>
        <v>0</v>
      </c>
      <c r="BL139" s="44" t="n"/>
      <c r="BM139" s="44" t="n"/>
      <c r="BN139" s="44" t="n"/>
      <c r="BO139" s="44" t="n"/>
      <c r="BP139" s="3">
        <f>-BP138/BP137</f>
        <v>0</v>
      </c>
      <c r="BQ139" s="44" t="n"/>
      <c r="BR139" s="44" t="n"/>
      <c r="BS139" s="44" t="n"/>
      <c r="BT139" s="44" t="n"/>
      <c r="BU139" s="3">
        <f>-BU138/BU137</f>
        <v>0</v>
      </c>
      <c r="BV139" s="44" t="n"/>
      <c r="BW139" s="44" t="n"/>
      <c r="BX139" s="44" t="n"/>
      <c r="BY139" s="44" t="n"/>
      <c r="BZ139" s="3">
        <f>-BZ138/BZ137</f>
        <v>0</v>
      </c>
      <c r="CA139" s="44" t="n"/>
      <c r="CB139" s="44" t="n"/>
      <c r="CC139" s="44" t="n"/>
      <c r="CD139" s="44" t="n"/>
      <c r="CE139" s="3">
        <f>-CE138/CE137</f>
        <v>0</v>
      </c>
      <c r="CF139" s="44" t="n"/>
      <c r="CG139" s="44" t="n"/>
      <c r="CH139" s="44" t="n"/>
      <c r="CI139" s="44" t="n"/>
      <c r="CJ139" s="3">
        <f>-CJ138/CJ137</f>
        <v>0</v>
      </c>
      <c r="CK139" s="44" t="n"/>
      <c r="CL139" s="44" t="n"/>
      <c r="CM139" s="44" t="n"/>
      <c r="CN139" s="44" t="n"/>
      <c r="CO139" s="3">
        <f>-CO138/CO137</f>
        <v>0</v>
      </c>
      <c r="CP139" s="44" t="n"/>
      <c r="CQ139" s="44" t="n"/>
      <c r="CR139" s="44" t="n"/>
      <c r="CS139" s="44" t="n"/>
      <c r="CT139" s="3">
        <f>-CT138/CT137</f>
        <v>0</v>
      </c>
      <c r="CU139" s="44" t="n"/>
      <c r="CV139" s="44" t="n"/>
      <c r="CW139" s="44" t="n"/>
      <c r="CX139" s="44" t="n"/>
      <c r="CY139" s="3">
        <f>-CY138/CY137</f>
        <v>0</v>
      </c>
    </row>
    <row r="140" hidden="1" outlineLevel="1">
      <c r="C140" s="5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</row>
    <row r="141" hidden="1" outlineLevel="1">
      <c r="C141" s="5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</row>
    <row r="142" collapsed="1" ht="11.25" customHeight="1">
      <c r="C142" s="12" t="inlineStr">
        <is>
          <t>Balance Sheet</t>
        </is>
      </c>
      <c r="D142" s="12" t="str">
        <f>D13</f>
        <v>1Q20</v>
      </c>
      <c r="E142" s="12" t="str">
        <f>E13</f>
        <v>2Q20</v>
      </c>
      <c r="F142" s="12" t="str">
        <f>F13</f>
        <v>3Q20</v>
      </c>
      <c r="G142" s="12" t="str">
        <f>G13</f>
        <v>4Q20</v>
      </c>
      <c r="H142" s="12">
        <f>H13</f>
        <v>2020</v>
      </c>
      <c r="I142" s="12" t="str">
        <f>I13</f>
        <v>1Q21</v>
      </c>
      <c r="J142" s="12" t="str">
        <f>J13</f>
        <v>2Q21</v>
      </c>
      <c r="K142" s="12" t="str">
        <f>K13</f>
        <v>3Q21</v>
      </c>
      <c r="L142" s="12" t="str">
        <f>L13</f>
        <v>4Q21</v>
      </c>
      <c r="M142" s="12">
        <f>M13</f>
        <v>2021</v>
      </c>
      <c r="N142" s="12" t="str">
        <f>N13</f>
        <v>1Q22</v>
      </c>
      <c r="O142" s="12" t="str">
        <f>O13</f>
        <v>2Q22</v>
      </c>
      <c r="P142" s="12" t="str">
        <f>P13</f>
        <v>3Q22</v>
      </c>
      <c r="Q142" s="12" t="str">
        <f>Q13</f>
        <v>4Q22</v>
      </c>
      <c r="R142" s="12">
        <f>R13</f>
        <v>2022</v>
      </c>
      <c r="S142" s="12" t="str">
        <f>S13</f>
        <v>1Q23</v>
      </c>
      <c r="T142" s="12" t="str">
        <f>T13</f>
        <v>2Q23</v>
      </c>
      <c r="U142" s="12" t="str">
        <f>U13</f>
        <v>3Q23</v>
      </c>
      <c r="V142" s="12" t="str">
        <f>V13</f>
        <v>4Q23</v>
      </c>
      <c r="W142" s="12">
        <f>W13</f>
        <v>2023</v>
      </c>
      <c r="X142" s="12" t="str">
        <f>X13</f>
        <v>1Q24</v>
      </c>
      <c r="Y142" s="12" t="str">
        <f>Y13</f>
        <v>2Q24</v>
      </c>
      <c r="Z142" s="12" t="str">
        <f>Z13</f>
        <v>3Q24</v>
      </c>
      <c r="AA142" s="12" t="str">
        <f>AA13</f>
        <v>4Q24</v>
      </c>
      <c r="AB142" s="12">
        <f>AB13</f>
        <v>2024</v>
      </c>
      <c r="AC142" s="12" t="str">
        <f>AC13</f>
        <v>1Q25</v>
      </c>
      <c r="AD142" s="12" t="str">
        <f>AD13</f>
        <v>2Q25</v>
      </c>
      <c r="AE142" s="12" t="str">
        <f>AE13</f>
        <v>3Q25</v>
      </c>
      <c r="AF142" s="12" t="str">
        <f>AF13</f>
        <v>4Q25</v>
      </c>
      <c r="AG142" s="12">
        <f>AG13</f>
        <v>2025</v>
      </c>
      <c r="AH142" s="12" t="str">
        <f>AH13</f>
        <v>1Q26</v>
      </c>
      <c r="AI142" s="12" t="str">
        <f>AI13</f>
        <v>2Q26</v>
      </c>
      <c r="AJ142" s="12" t="str">
        <f>AJ13</f>
        <v>3Q26</v>
      </c>
      <c r="AK142" s="12" t="str">
        <f>AK13</f>
        <v>4Q26</v>
      </c>
      <c r="AL142" s="12">
        <f>AL13</f>
        <v>2026</v>
      </c>
      <c r="AM142" s="12" t="str">
        <f>AM13</f>
        <v>1Q27</v>
      </c>
      <c r="AN142" s="12" t="str">
        <f>AN13</f>
        <v>2Q27</v>
      </c>
      <c r="AO142" s="12" t="str">
        <f>AO13</f>
        <v>3Q27</v>
      </c>
      <c r="AP142" s="12" t="str">
        <f>AP13</f>
        <v>4Q27</v>
      </c>
      <c r="AQ142" s="12">
        <f>AQ13</f>
        <v>2027</v>
      </c>
      <c r="AR142" s="12" t="str">
        <f>AR13</f>
        <v>1Q28</v>
      </c>
      <c r="AS142" s="12" t="str">
        <f>AS13</f>
        <v>2Q28</v>
      </c>
      <c r="AT142" s="12" t="str">
        <f>AT13</f>
        <v>3Q28</v>
      </c>
      <c r="AU142" s="12" t="str">
        <f>AU13</f>
        <v>4Q28</v>
      </c>
      <c r="AV142" s="12">
        <f>AV13</f>
        <v>2028</v>
      </c>
      <c r="AW142" s="12" t="str">
        <f>AW13</f>
        <v>1Q29</v>
      </c>
      <c r="AX142" s="12" t="str">
        <f>AX13</f>
        <v>2Q29</v>
      </c>
      <c r="AY142" s="12" t="str">
        <f>AY13</f>
        <v>3Q29</v>
      </c>
      <c r="AZ142" s="12" t="str">
        <f>AZ13</f>
        <v>4Q29</v>
      </c>
      <c r="BA142" s="12">
        <f>BA13</f>
        <v>2029</v>
      </c>
      <c r="BB142" s="12" t="str">
        <f>BB13</f>
        <v>1Q30</v>
      </c>
      <c r="BC142" s="12" t="str">
        <f>BC13</f>
        <v>2Q30</v>
      </c>
      <c r="BD142" s="12" t="str">
        <f>BD13</f>
        <v>3Q30</v>
      </c>
      <c r="BE142" s="12" t="str">
        <f>BE13</f>
        <v>4Q30</v>
      </c>
      <c r="BF142" s="12">
        <f>BF13</f>
        <v>2030</v>
      </c>
      <c r="BG142" s="12" t="str">
        <f>BG13</f>
        <v>1Q31</v>
      </c>
      <c r="BH142" s="12" t="str">
        <f>BH13</f>
        <v>2Q31</v>
      </c>
      <c r="BI142" s="12" t="str">
        <f>BI13</f>
        <v>3Q31</v>
      </c>
      <c r="BJ142" s="12" t="str">
        <f>BJ13</f>
        <v>4Q31</v>
      </c>
      <c r="BK142" s="12">
        <f>BK13</f>
        <v>2031</v>
      </c>
      <c r="BL142" s="12" t="str">
        <f>BL13</f>
        <v>1Q32</v>
      </c>
      <c r="BM142" s="12" t="str">
        <f>BM13</f>
        <v>2Q32</v>
      </c>
      <c r="BN142" s="12" t="str">
        <f>BN13</f>
        <v>3Q32</v>
      </c>
      <c r="BO142" s="12" t="str">
        <f>BO13</f>
        <v>4Q32</v>
      </c>
      <c r="BP142" s="12">
        <f>BP13</f>
        <v>2032</v>
      </c>
      <c r="BQ142" s="12" t="str">
        <f>BQ13</f>
        <v>1Q33</v>
      </c>
      <c r="BR142" s="12" t="str">
        <f>BR13</f>
        <v>2Q33</v>
      </c>
      <c r="BS142" s="12" t="str">
        <f>BS13</f>
        <v>3Q33</v>
      </c>
      <c r="BT142" s="12" t="str">
        <f>BT13</f>
        <v>4Q33</v>
      </c>
      <c r="BU142" s="12">
        <f>BU13</f>
        <v>2033</v>
      </c>
      <c r="BV142" s="12" t="str">
        <f>BV13</f>
        <v>1Q34</v>
      </c>
      <c r="BW142" s="12" t="str">
        <f>BW13</f>
        <v>2Q34</v>
      </c>
      <c r="BX142" s="12" t="str">
        <f>BX13</f>
        <v>3Q34</v>
      </c>
      <c r="BY142" s="12" t="str">
        <f>BY13</f>
        <v>4Q34</v>
      </c>
      <c r="BZ142" s="12">
        <f>BZ13</f>
        <v>2034</v>
      </c>
      <c r="CA142" s="12" t="str">
        <f>CA13</f>
        <v>1Q35</v>
      </c>
      <c r="CB142" s="12" t="str">
        <f>CB13</f>
        <v>2Q35</v>
      </c>
      <c r="CC142" s="12" t="str">
        <f>CC13</f>
        <v>3Q35</v>
      </c>
      <c r="CD142" s="12" t="str">
        <f>CD13</f>
        <v>4Q35</v>
      </c>
      <c r="CE142" s="12">
        <f>CE13</f>
        <v>2035</v>
      </c>
      <c r="CF142" s="12" t="str">
        <f>CF13</f>
        <v>1Q36</v>
      </c>
      <c r="CG142" s="12" t="str">
        <f>CG13</f>
        <v>2Q36</v>
      </c>
      <c r="CH142" s="12" t="str">
        <f>CH13</f>
        <v>3Q36</v>
      </c>
      <c r="CI142" s="12" t="str">
        <f>CI13</f>
        <v>4Q36</v>
      </c>
      <c r="CJ142" s="12">
        <f>CJ13</f>
        <v>2036</v>
      </c>
      <c r="CK142" s="12" t="str">
        <f>CK13</f>
        <v>1Q37</v>
      </c>
      <c r="CL142" s="12" t="str">
        <f>CL13</f>
        <v>2Q37</v>
      </c>
      <c r="CM142" s="12" t="str">
        <f>CM13</f>
        <v>3Q37</v>
      </c>
      <c r="CN142" s="12" t="str">
        <f>CN13</f>
        <v>4Q37</v>
      </c>
      <c r="CO142" s="12">
        <f>CO13</f>
        <v>2037</v>
      </c>
      <c r="CP142" s="12" t="str">
        <f>CP13</f>
        <v>1Q38</v>
      </c>
      <c r="CQ142" s="12" t="str">
        <f>CQ13</f>
        <v>2Q38</v>
      </c>
      <c r="CR142" s="12" t="str">
        <f>CR13</f>
        <v>3Q38</v>
      </c>
      <c r="CS142" s="12" t="str">
        <f>CS13</f>
        <v>4Q38</v>
      </c>
      <c r="CT142" s="12">
        <f>CT13</f>
        <v>2038</v>
      </c>
      <c r="CU142" s="12" t="str">
        <f>CU13</f>
        <v>1Q39</v>
      </c>
      <c r="CV142" s="12" t="str">
        <f>CV13</f>
        <v>2Q39</v>
      </c>
      <c r="CW142" s="12" t="str">
        <f>CW13</f>
        <v>3Q39</v>
      </c>
      <c r="CX142" s="12" t="str">
        <f>CX13</f>
        <v>4Q39</v>
      </c>
      <c r="CY142" s="12">
        <f>CY13</f>
        <v>2039</v>
      </c>
    </row>
    <row r="143">
      <c r="C143" s="5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</row>
    <row r="144">
      <c r="C144" s="24" t="inlineStr">
        <is>
          <t>Cash and equivalents (inc. investment securities)</t>
        </is>
      </c>
      <c r="D144" s="25">
        <f>INDEX('Inputs (2)'!$D$15:$AL$15,MATCH(D$7,'Inputs (2)'!$D$2:$AL$2,0))</f>
        <v>18.083</v>
      </c>
      <c r="E144" s="25">
        <f>INDEX('Inputs (2)'!$D$15:$AL$15,MATCH(E$7,'Inputs (2)'!$D$2:$AL$2,0))</f>
        <v>14.548</v>
      </c>
      <c r="F144" s="25">
        <f>INDEX('Inputs (2)'!$D$15:$AL$15,MATCH(F$7,'Inputs (2)'!$D$2:$AL$2,0))</f>
        <v>16.927</v>
      </c>
      <c r="G144" s="25">
        <f>INDEX('Inputs (2)'!$D$15:$AL$15,MATCH(G$7,'Inputs (2)'!$D$2:$AL$2,0))</f>
        <v>16.555</v>
      </c>
      <c r="H144" s="3">
        <f>G144</f>
        <v>16.555</v>
      </c>
      <c r="I144" s="25">
        <f>INDEX('Inputs (2)'!$D$15:$AL$15,MATCH(I$7,'Inputs (2)'!$D$2:$AL$2,0))</f>
        <v>351.55</v>
      </c>
      <c r="J144" s="25">
        <f>INDEX('Inputs (2)'!$D$15:$AL$15,MATCH(J$7,'Inputs (2)'!$D$2:$AL$2,0))</f>
        <v>265.616</v>
      </c>
      <c r="K144" s="25">
        <f>INDEX('Inputs (2)'!$D$15:$AL$15,MATCH(K$7,'Inputs (2)'!$D$2:$AL$2,0))</f>
        <v>210.74</v>
      </c>
      <c r="L144" s="25">
        <f>INDEX('Inputs (2)'!$D$15:$AL$15,MATCH(L$7,'Inputs (2)'!$D$2:$AL$2,0))</f>
        <v>401.375</v>
      </c>
      <c r="M144" s="3">
        <f>L144</f>
        <v>401.375</v>
      </c>
      <c r="N144" s="25">
        <f>INDEX('Inputs (2)'!$D$15:$AL$15,MATCH(N$7,'Inputs (2)'!$D$2:$AL$2,0))</f>
        <v>274.885</v>
      </c>
      <c r="O144" s="25">
        <f>INDEX('Inputs (2)'!$D$15:$AL$15,MATCH(O$7,'Inputs (2)'!$D$2:$AL$2,0))</f>
        <v>61.846</v>
      </c>
      <c r="P144" s="25">
        <f>INDEX('Inputs (2)'!$D$15:$AL$15,MATCH(P$7,'Inputs (2)'!$D$2:$AL$2,0))</f>
        <v>46.907</v>
      </c>
      <c r="Q144" s="25">
        <f>INDEX('Inputs (2)'!$D$15:$AL$15,MATCH(Q$7,'Inputs (2)'!$D$2:$AL$2,0))</f>
        <v>240.797</v>
      </c>
      <c r="R144" s="3">
        <f>Q144</f>
        <v>240.797</v>
      </c>
      <c r="S144" s="25">
        <f>INDEX('Inputs (2)'!$D$15:$AL$15,MATCH(S$7,'Inputs (2)'!$D$2:$AL$2,0))</f>
        <v>192.927</v>
      </c>
      <c r="T144" s="25">
        <f>INDEX('Inputs (2)'!$D$15:$AL$15,MATCH(T$7,'Inputs (2)'!$D$2:$AL$2,0))</f>
        <v>217.733</v>
      </c>
      <c r="U144" s="25">
        <f>INDEX('Inputs (2)'!$D$15:$AL$15,MATCH(U$7,'Inputs (2)'!$D$2:$AL$2,0))</f>
        <v>263.359</v>
      </c>
      <c r="V144" s="25">
        <f>INDEX('Inputs (2)'!$D$15:$AL$15,MATCH(V$7,'Inputs (2)'!$D$2:$AL$2,0))</f>
        <v>323.034</v>
      </c>
      <c r="W144" s="3">
        <f>V144</f>
        <v>323.034</v>
      </c>
      <c r="X144" s="25">
        <f>INDEX('Inputs (2)'!$D$15:$AL$15,MATCH(X$7,'Inputs (2)'!$D$2:$AL$2,0))</f>
        <v>272.932</v>
      </c>
      <c r="Y144" s="25">
        <f>INDEX('Inputs (2)'!$D$15:$AL$15,MATCH(Y$7,'Inputs (2)'!$D$2:$AL$2,0))</f>
        <v>309.587</v>
      </c>
      <c r="Z144" s="25">
        <f>INDEX('Inputs (2)'!$D$15:$AL$15,MATCH(Z$7,'Inputs (2)'!$D$2:$AL$2,0))</f>
        <v>794.179</v>
      </c>
      <c r="AA144" s="25">
        <f>INDEX('Inputs (2)'!$D$15:$AL$15,MATCH(AA$7,'Inputs (2)'!$D$2:$AL$2,0))</f>
        <v>601.823</v>
      </c>
      <c r="AB144" s="3">
        <f>AA144</f>
        <v>601.823</v>
      </c>
      <c r="AC144" s="25">
        <f>INDEX('Inputs (2)'!$D$15:$AL$15,MATCH(AC$7,'Inputs (2)'!$D$2:$AL$2,0))</f>
        <v>549.637</v>
      </c>
      <c r="AD144" s="25">
        <f>INDEX('Inputs (2)'!$D$15:$AL$15,MATCH(AD$7,'Inputs (2)'!$D$2:$AL$2,0))</f>
        <v>1012.91</v>
      </c>
      <c r="AE144" s="25">
        <f>INDEX('Inputs (2)'!$D$15:$AL$15,MATCH(AE$7,'Inputs (2)'!$D$2:$AL$2,0))</f>
        <v>1058.856</v>
      </c>
      <c r="AF144" s="25">
        <f>INDEX('Inputs (2)'!$D$15:$AL$15,MATCH(AF$7,'Inputs (2)'!$D$2:$AL$2,0))</f>
        <v>922.369</v>
      </c>
      <c r="AG144" s="3">
        <f>AF144</f>
        <v>922.369</v>
      </c>
      <c r="AH144" s="3">
        <f>INDEX('Inputs (2)'!$D$15:$AL$15,MATCH(AH$7,'Inputs (2)'!$D$2:$AL$2,0))</f>
        <v>870.114</v>
      </c>
      <c r="AI144" s="3">
        <f>INDEX('Inputs (2)'!$D$15:$AL$15,MATCH(AI$7,'Inputs (2)'!$D$2:$AL$2,0))</f>
        <v>1544.303</v>
      </c>
      <c r="AJ144" s="3">
        <f>AI144+AJ314</f>
        <v>5528.736</v>
      </c>
      <c r="AK144" s="3">
        <f>AJ144+AK314</f>
        <v>5563.906</v>
      </c>
      <c r="AL144" s="3">
        <f>AK144</f>
        <v>5563.906</v>
      </c>
      <c r="AM144" s="3" t="e">
        <f>AL144+AM314</f>
        <v>#DIV/0!</v>
      </c>
      <c r="AN144" s="3" t="e">
        <f>AM144+AN314</f>
        <v>#DIV/0!</v>
      </c>
      <c r="AO144" s="3" t="e">
        <f>AN144+AO314</f>
        <v>#DIV/0!</v>
      </c>
      <c r="AP144" s="3" t="e">
        <f>AO144+AP314</f>
        <v>#DIV/0!</v>
      </c>
      <c r="AQ144" s="3" t="e">
        <f>AP144</f>
        <v>#DIV/0!</v>
      </c>
      <c r="AR144" s="3" t="e">
        <f>AQ144+AR314</f>
        <v>#DIV/0!</v>
      </c>
      <c r="AS144" s="3" t="e">
        <f>AR144+AS314</f>
        <v>#DIV/0!</v>
      </c>
      <c r="AT144" s="3" t="e">
        <f>AS144+AT314</f>
        <v>#DIV/0!</v>
      </c>
      <c r="AU144" s="3" t="e">
        <f>AT144+AU314</f>
        <v>#DIV/0!</v>
      </c>
      <c r="AV144" s="3" t="e">
        <f>AU144</f>
        <v>#DIV/0!</v>
      </c>
      <c r="AW144" s="3" t="e">
        <f>AV144+AW314</f>
        <v>#DIV/0!</v>
      </c>
      <c r="AX144" s="3" t="e">
        <f>AW144+AX314</f>
        <v>#DIV/0!</v>
      </c>
      <c r="AY144" s="3" t="e">
        <f>AX144+AY314</f>
        <v>#DIV/0!</v>
      </c>
      <c r="AZ144" s="3" t="e">
        <f>AY144+AZ314</f>
        <v>#DIV/0!</v>
      </c>
      <c r="BA144" s="3" t="e">
        <f>AZ144</f>
        <v>#DIV/0!</v>
      </c>
      <c r="BB144" s="3" t="e">
        <f>BA144+BB314</f>
        <v>#DIV/0!</v>
      </c>
      <c r="BC144" s="3" t="e">
        <f>BB144+BC314</f>
        <v>#DIV/0!</v>
      </c>
      <c r="BD144" s="3" t="e">
        <f>BC144+BD314</f>
        <v>#DIV/0!</v>
      </c>
      <c r="BE144" s="3" t="e">
        <f>BD144+BE314</f>
        <v>#DIV/0!</v>
      </c>
      <c r="BF144" s="3" t="e">
        <f>BE144</f>
        <v>#DIV/0!</v>
      </c>
      <c r="BG144" s="3" t="e">
        <f>BF144+BG314</f>
        <v>#DIV/0!</v>
      </c>
      <c r="BH144" s="3" t="e">
        <f>BG144+BH314</f>
        <v>#DIV/0!</v>
      </c>
      <c r="BI144" s="3" t="e">
        <f>BH144+BI314</f>
        <v>#DIV/0!</v>
      </c>
      <c r="BJ144" s="3" t="e">
        <f>BI144+BJ314</f>
        <v>#DIV/0!</v>
      </c>
      <c r="BK144" s="3" t="e">
        <f>BJ144</f>
        <v>#DIV/0!</v>
      </c>
      <c r="BL144" s="3" t="e">
        <f>BK144+BL314</f>
        <v>#DIV/0!</v>
      </c>
      <c r="BM144" s="3" t="e">
        <f>BL144+BM314</f>
        <v>#DIV/0!</v>
      </c>
      <c r="BN144" s="3" t="e">
        <f>BM144+BN314</f>
        <v>#DIV/0!</v>
      </c>
      <c r="BO144" s="3" t="e">
        <f>BN144+BO314</f>
        <v>#DIV/0!</v>
      </c>
      <c r="BP144" s="3" t="e">
        <f>BO144</f>
        <v>#DIV/0!</v>
      </c>
      <c r="BQ144" s="3" t="e">
        <f>BP144+BQ314</f>
        <v>#DIV/0!</v>
      </c>
      <c r="BR144" s="3" t="e">
        <f>BQ144+BR314</f>
        <v>#DIV/0!</v>
      </c>
      <c r="BS144" s="3" t="e">
        <f>BR144+BS314</f>
        <v>#DIV/0!</v>
      </c>
      <c r="BT144" s="3" t="e">
        <f>BS144+BT314</f>
        <v>#DIV/0!</v>
      </c>
      <c r="BU144" s="3" t="e">
        <f>BT144</f>
        <v>#DIV/0!</v>
      </c>
      <c r="BV144" s="3" t="e">
        <f>BU144+BV314</f>
        <v>#DIV/0!</v>
      </c>
      <c r="BW144" s="3" t="e">
        <f>BV144+BW314</f>
        <v>#DIV/0!</v>
      </c>
      <c r="BX144" s="3" t="e">
        <f>BW144+BX314</f>
        <v>#DIV/0!</v>
      </c>
      <c r="BY144" s="3" t="e">
        <f>BX144+BY314</f>
        <v>#DIV/0!</v>
      </c>
      <c r="BZ144" s="3" t="e">
        <f>BY144</f>
        <v>#DIV/0!</v>
      </c>
      <c r="CA144" s="3" t="e">
        <f>BZ144+CA314</f>
        <v>#DIV/0!</v>
      </c>
      <c r="CB144" s="3" t="e">
        <f>CA144+CB314</f>
        <v>#DIV/0!</v>
      </c>
      <c r="CC144" s="3" t="e">
        <f>CB144+CC314</f>
        <v>#DIV/0!</v>
      </c>
      <c r="CD144" s="3" t="e">
        <f>CC144+CD314</f>
        <v>#DIV/0!</v>
      </c>
      <c r="CE144" s="3" t="e">
        <f>CD144</f>
        <v>#DIV/0!</v>
      </c>
      <c r="CF144" s="3" t="e">
        <f>CE144+CF314</f>
        <v>#DIV/0!</v>
      </c>
      <c r="CG144" s="3" t="e">
        <f>CF144+CG314</f>
        <v>#DIV/0!</v>
      </c>
      <c r="CH144" s="3" t="e">
        <f>CG144+CH314</f>
        <v>#DIV/0!</v>
      </c>
      <c r="CI144" s="3" t="e">
        <f>CH144+CI314</f>
        <v>#DIV/0!</v>
      </c>
      <c r="CJ144" s="3" t="e">
        <f>CI144</f>
        <v>#DIV/0!</v>
      </c>
      <c r="CK144" s="3" t="e">
        <f>CJ144+CK314</f>
        <v>#DIV/0!</v>
      </c>
      <c r="CL144" s="3" t="e">
        <f>CK144+CL314</f>
        <v>#DIV/0!</v>
      </c>
      <c r="CM144" s="3" t="e">
        <f>CL144+CM314</f>
        <v>#DIV/0!</v>
      </c>
      <c r="CN144" s="3" t="e">
        <f>CM144+CN314</f>
        <v>#DIV/0!</v>
      </c>
      <c r="CO144" s="3" t="e">
        <f>CN144</f>
        <v>#DIV/0!</v>
      </c>
      <c r="CP144" s="3" t="e">
        <f>CO144+CP314</f>
        <v>#DIV/0!</v>
      </c>
      <c r="CQ144" s="3" t="e">
        <f>CP144+CQ314</f>
        <v>#DIV/0!</v>
      </c>
      <c r="CR144" s="3" t="e">
        <f>CQ144+CR314</f>
        <v>#DIV/0!</v>
      </c>
      <c r="CS144" s="3" t="e">
        <f>CR144+CS314</f>
        <v>#DIV/0!</v>
      </c>
      <c r="CT144" s="3" t="e">
        <f>CS144</f>
        <v>#DIV/0!</v>
      </c>
      <c r="CU144" s="3" t="e">
        <f>CT144+CU314</f>
        <v>#DIV/0!</v>
      </c>
      <c r="CV144" s="3" t="e">
        <f>CU144+CV314</f>
        <v>#DIV/0!</v>
      </c>
      <c r="CW144" s="3" t="e">
        <f>CV144+CW314</f>
        <v>#DIV/0!</v>
      </c>
      <c r="CX144" s="3" t="e">
        <f>CW144+CX314</f>
        <v>#DIV/0!</v>
      </c>
      <c r="CY144" s="3" t="e">
        <f>CX144</f>
        <v>#DIV/0!</v>
      </c>
    </row>
    <row r="145">
      <c r="C145" s="26" t="inlineStr">
        <is>
          <t>Accounts receivable</t>
        </is>
      </c>
      <c r="D145" s="25">
        <f>INDEX('Inputs (2)'!$D$16:$AL$16,MATCH(D$7,'Inputs (2)'!$D$2:$AL$2,0))</f>
        <v>83.784</v>
      </c>
      <c r="E145" s="25">
        <f>INDEX('Inputs (2)'!$D$16:$AL$16,MATCH(E$7,'Inputs (2)'!$D$2:$AL$2,0))</f>
        <v>101.994</v>
      </c>
      <c r="F145" s="25">
        <f>INDEX('Inputs (2)'!$D$16:$AL$16,MATCH(F$7,'Inputs (2)'!$D$2:$AL$2,0))</f>
        <v>114.514</v>
      </c>
      <c r="G145" s="25">
        <f>INDEX('Inputs (2)'!$D$16:$AL$16,MATCH(G$7,'Inputs (2)'!$D$2:$AL$2,0))</f>
        <v>112.143</v>
      </c>
      <c r="H145" s="3">
        <f>G145</f>
        <v>112.143</v>
      </c>
      <c r="I145" s="25">
        <f>INDEX('Inputs (2)'!$D$16:$AL$16,MATCH(I$7,'Inputs (2)'!$D$2:$AL$2,0))</f>
        <v>129.652</v>
      </c>
      <c r="J145" s="25">
        <f>INDEX('Inputs (2)'!$D$16:$AL$16,MATCH(J$7,'Inputs (2)'!$D$2:$AL$2,0))</f>
        <v>147.827</v>
      </c>
      <c r="K145" s="25">
        <f>INDEX('Inputs (2)'!$D$16:$AL$16,MATCH(K$7,'Inputs (2)'!$D$2:$AL$2,0))</f>
        <v>131.016</v>
      </c>
      <c r="L145" s="25">
        <f>INDEX('Inputs (2)'!$D$16:$AL$16,MATCH(L$7,'Inputs (2)'!$D$2:$AL$2,0))</f>
        <v>163.362</v>
      </c>
      <c r="M145" s="3">
        <f>L145</f>
        <v>163.362</v>
      </c>
      <c r="N145" s="25">
        <f>INDEX('Inputs (2)'!$D$16:$AL$16,MATCH(N$7,'Inputs (2)'!$D$2:$AL$2,0))</f>
        <v>166.673</v>
      </c>
      <c r="O145" s="25">
        <f>INDEX('Inputs (2)'!$D$16:$AL$16,MATCH(O$7,'Inputs (2)'!$D$2:$AL$2,0))</f>
        <v>249.356</v>
      </c>
      <c r="P145" s="25">
        <f>INDEX('Inputs (2)'!$D$16:$AL$16,MATCH(P$7,'Inputs (2)'!$D$2:$AL$2,0))</f>
        <v>284.134</v>
      </c>
      <c r="Q145" s="25">
        <f>INDEX('Inputs (2)'!$D$16:$AL$16,MATCH(Q$7,'Inputs (2)'!$D$2:$AL$2,0))</f>
        <v>258.897</v>
      </c>
      <c r="R145" s="3">
        <f>Q145</f>
        <v>258.897</v>
      </c>
      <c r="S145" s="25">
        <f>INDEX('Inputs (2)'!$D$16:$AL$16,MATCH(S$7,'Inputs (2)'!$D$2:$AL$2,0))</f>
        <v>242.769</v>
      </c>
      <c r="T145" s="25">
        <f>INDEX('Inputs (2)'!$D$16:$AL$16,MATCH(T$7,'Inputs (2)'!$D$2:$AL$2,0))</f>
        <v>216.24</v>
      </c>
      <c r="U145" s="25">
        <f>INDEX('Inputs (2)'!$D$16:$AL$16,MATCH(U$7,'Inputs (2)'!$D$2:$AL$2,0))</f>
        <v>236.505</v>
      </c>
      <c r="V145" s="25">
        <f>INDEX('Inputs (2)'!$D$16:$AL$16,MATCH(V$7,'Inputs (2)'!$D$2:$AL$2,0))</f>
        <v>184.168</v>
      </c>
      <c r="W145" s="3">
        <f>V145</f>
        <v>184.168</v>
      </c>
      <c r="X145" s="25">
        <f>INDEX('Inputs (2)'!$D$16:$AL$16,MATCH(X$7,'Inputs (2)'!$D$2:$AL$2,0))</f>
        <v>207.49</v>
      </c>
      <c r="Y145" s="25">
        <f>INDEX('Inputs (2)'!$D$16:$AL$16,MATCH(Y$7,'Inputs (2)'!$D$2:$AL$2,0))</f>
        <v>209.745</v>
      </c>
      <c r="Z145" s="25">
        <f>INDEX('Inputs (2)'!$D$16:$AL$16,MATCH(Z$7,'Inputs (2)'!$D$2:$AL$2,0))</f>
        <v>212.121</v>
      </c>
      <c r="AA145" s="25">
        <f>INDEX('Inputs (2)'!$D$16:$AL$16,MATCH(AA$7,'Inputs (2)'!$D$2:$AL$2,0))</f>
        <v>194.288</v>
      </c>
      <c r="AB145" s="3">
        <f>AA145</f>
        <v>194.288</v>
      </c>
      <c r="AC145" s="25">
        <f>INDEX('Inputs (2)'!$D$16:$AL$16,MATCH(AC$7,'Inputs (2)'!$D$2:$AL$2,0))</f>
        <v>210.775</v>
      </c>
      <c r="AD145" s="25">
        <f>INDEX('Inputs (2)'!$D$16:$AL$16,MATCH(AD$7,'Inputs (2)'!$D$2:$AL$2,0))</f>
        <v>229.449</v>
      </c>
      <c r="AE145" s="25">
        <f>INDEX('Inputs (2)'!$D$16:$AL$16,MATCH(AE$7,'Inputs (2)'!$D$2:$AL$2,0))</f>
        <v>261.497</v>
      </c>
      <c r="AF145" s="25">
        <f>INDEX('Inputs (2)'!$D$16:$AL$16,MATCH(AF$7,'Inputs (2)'!$D$2:$AL$2,0))</f>
        <v>281.694</v>
      </c>
      <c r="AG145" s="3">
        <f>AF145</f>
        <v>281.694</v>
      </c>
      <c r="AH145" s="3">
        <f>INDEX('Inputs (2)'!$D$16:$AL$16,MATCH(AH$7,'Inputs (2)'!$D$2:$AL$2,0))</f>
        <v>311.671</v>
      </c>
      <c r="AI145" s="3">
        <f>INDEX('Inputs (2)'!$D$16:$AL$16,MATCH(AI$7,'Inputs (2)'!$D$2:$AL$2,0))</f>
        <v>822.886</v>
      </c>
      <c r="AJ145" s="3">
        <f>(AJ146/(AJ$5-AI$5))*AJ$15</f>
        <v>0</v>
      </c>
      <c r="AK145" s="3">
        <f>(AK146/(AK$5-AJ$5))*AK$15</f>
        <v>0</v>
      </c>
      <c r="AL145" s="3">
        <f>AK145</f>
        <v>0</v>
      </c>
      <c r="AM145" s="3">
        <f>(AM146/(AM$5-AL$5))*AM$15</f>
        <v>0</v>
      </c>
      <c r="AN145" s="3">
        <f>(AN146/(AN$5-AM$5))*AN$15</f>
        <v>0</v>
      </c>
      <c r="AO145" s="3">
        <f>(AO146/(AO$5-AN$5))*AO$15</f>
        <v>0</v>
      </c>
      <c r="AP145" s="3">
        <f>(AP146/(AP$5-AO$5))*AP$15</f>
        <v>0</v>
      </c>
      <c r="AQ145" s="3">
        <f>AP145</f>
        <v>0</v>
      </c>
      <c r="AR145" s="3">
        <f>(AR146/(AR$5-AQ$5))*AR$15</f>
        <v>0</v>
      </c>
      <c r="AS145" s="3">
        <f>(AS146/(AS$5-AR$5))*AS$15</f>
        <v>0</v>
      </c>
      <c r="AT145" s="3">
        <f>(AT146/(AT$5-AS$5))*AT$15</f>
        <v>0</v>
      </c>
      <c r="AU145" s="3">
        <f>(AU146/(AU$5-AT$5))*AU$15</f>
        <v>0</v>
      </c>
      <c r="AV145" s="3">
        <f>AU145</f>
        <v>0</v>
      </c>
      <c r="AW145" s="3">
        <f>(AW146/(AW$5-AV$5))*AW$15</f>
        <v>0</v>
      </c>
      <c r="AX145" s="3">
        <f>(AX146/(AX$5-AW$5))*AX$15</f>
        <v>0</v>
      </c>
      <c r="AY145" s="3">
        <f>(AY146/(AY$5-AX$5))*AY$15</f>
        <v>0</v>
      </c>
      <c r="AZ145" s="3">
        <f>(AZ146/(AZ$5-AY$5))*AZ$15</f>
        <v>0</v>
      </c>
      <c r="BA145" s="3">
        <f>AZ145</f>
        <v>0</v>
      </c>
      <c r="BB145" s="3">
        <f>(BB146/(BB$5-BA$5))*BB$15</f>
        <v>0</v>
      </c>
      <c r="BC145" s="3">
        <f>(BC146/(BC$5-BB$5))*BC$15</f>
        <v>0</v>
      </c>
      <c r="BD145" s="3">
        <f>(BD146/(BD$5-BC$5))*BD$15</f>
        <v>0</v>
      </c>
      <c r="BE145" s="3">
        <f>(BE146/(BE$5-BD$5))*BE$15</f>
        <v>0</v>
      </c>
      <c r="BF145" s="3">
        <f>BE145</f>
        <v>0</v>
      </c>
      <c r="BG145" s="3">
        <f>(BG146/(BG$5-BF$5))*BG$15</f>
        <v>0</v>
      </c>
      <c r="BH145" s="3">
        <f>(BH146/(BH$5-BG$5))*BH$15</f>
        <v>0</v>
      </c>
      <c r="BI145" s="3">
        <f>(BI146/(BI$5-BH$5))*BI$15</f>
        <v>0</v>
      </c>
      <c r="BJ145" s="3">
        <f>(BJ146/(BJ$5-BI$5))*BJ$15</f>
        <v>0</v>
      </c>
      <c r="BK145" s="3">
        <f>BJ145</f>
        <v>0</v>
      </c>
      <c r="BL145" s="3">
        <f>(BL146/(BL$5-BK$5))*BL$15</f>
        <v>0</v>
      </c>
      <c r="BM145" s="3">
        <f>(BM146/(BM$5-BL$5))*BM$15</f>
        <v>0</v>
      </c>
      <c r="BN145" s="3">
        <f>(BN146/(BN$5-BM$5))*BN$15</f>
        <v>0</v>
      </c>
      <c r="BO145" s="3">
        <f>(BO146/(BO$5-BN$5))*BO$15</f>
        <v>0</v>
      </c>
      <c r="BP145" s="3">
        <f>BO145</f>
        <v>0</v>
      </c>
      <c r="BQ145" s="3">
        <f>(BQ146/(BQ$5-BP$5))*BQ$15</f>
        <v>0</v>
      </c>
      <c r="BR145" s="3">
        <f>(BR146/(BR$5-BQ$5))*BR$15</f>
        <v>0</v>
      </c>
      <c r="BS145" s="3">
        <f>(BS146/(BS$5-BR$5))*BS$15</f>
        <v>0</v>
      </c>
      <c r="BT145" s="3">
        <f>(BT146/(BT$5-BS$5))*BT$15</f>
        <v>0</v>
      </c>
      <c r="BU145" s="3">
        <f>BT145</f>
        <v>0</v>
      </c>
      <c r="BV145" s="3">
        <f>(BV146/(BV$5-BU$5))*BV$15</f>
        <v>0</v>
      </c>
      <c r="BW145" s="3">
        <f>(BW146/(BW$5-BV$5))*BW$15</f>
        <v>0</v>
      </c>
      <c r="BX145" s="3">
        <f>(BX146/(BX$5-BW$5))*BX$15</f>
        <v>0</v>
      </c>
      <c r="BY145" s="3">
        <f>(BY146/(BY$5-BX$5))*BY$15</f>
        <v>0</v>
      </c>
      <c r="BZ145" s="3">
        <f>BY145</f>
        <v>0</v>
      </c>
      <c r="CA145" s="3">
        <f>(CA146/(CA$5-BZ$5))*CA$15</f>
        <v>0</v>
      </c>
      <c r="CB145" s="3">
        <f>(CB146/(CB$5-CA$5))*CB$15</f>
        <v>0</v>
      </c>
      <c r="CC145" s="3">
        <f>(CC146/(CC$5-CB$5))*CC$15</f>
        <v>0</v>
      </c>
      <c r="CD145" s="3">
        <f>(CD146/(CD$5-CC$5))*CD$15</f>
        <v>0</v>
      </c>
      <c r="CE145" s="3">
        <f>CD145</f>
        <v>0</v>
      </c>
      <c r="CF145" s="3">
        <f>(CF146/(CF$5-CE$5))*CF$15</f>
        <v>0</v>
      </c>
      <c r="CG145" s="3">
        <f>(CG146/(CG$5-CF$5))*CG$15</f>
        <v>0</v>
      </c>
      <c r="CH145" s="3">
        <f>(CH146/(CH$5-CG$5))*CH$15</f>
        <v>0</v>
      </c>
      <c r="CI145" s="3">
        <f>(CI146/(CI$5-CH$5))*CI$15</f>
        <v>0</v>
      </c>
      <c r="CJ145" s="3">
        <f>CI145</f>
        <v>0</v>
      </c>
      <c r="CK145" s="3">
        <f>(CK146/(CK$5-CJ$5))*CK$15</f>
        <v>0</v>
      </c>
      <c r="CL145" s="3">
        <f>(CL146/(CL$5-CK$5))*CL$15</f>
        <v>0</v>
      </c>
      <c r="CM145" s="3">
        <f>(CM146/(CM$5-CL$5))*CM$15</f>
        <v>0</v>
      </c>
      <c r="CN145" s="3">
        <f>(CN146/(CN$5-CM$5))*CN$15</f>
        <v>0</v>
      </c>
      <c r="CO145" s="3">
        <f>CN145</f>
        <v>0</v>
      </c>
      <c r="CP145" s="3">
        <f>(CP146/(CP$5-CO$5))*CP$15</f>
        <v>0</v>
      </c>
      <c r="CQ145" s="3">
        <f>(CQ146/(CQ$5-CP$5))*CQ$15</f>
        <v>0</v>
      </c>
      <c r="CR145" s="3">
        <f>(CR146/(CR$5-CQ$5))*CR$15</f>
        <v>0</v>
      </c>
      <c r="CS145" s="3">
        <f>(CS146/(CS$5-CR$5))*CS$15</f>
        <v>0</v>
      </c>
      <c r="CT145" s="3">
        <f>CS145</f>
        <v>0</v>
      </c>
      <c r="CU145" s="3">
        <f>(CU146/(CU$5-CT$5))*CU$15</f>
        <v>0</v>
      </c>
      <c r="CV145" s="3">
        <f>(CV146/(CV$5-CU$5))*CV$15</f>
        <v>0</v>
      </c>
      <c r="CW145" s="3">
        <f>(CW146/(CW$5-CV$5))*CW$15</f>
        <v>0</v>
      </c>
      <c r="CX145" s="3">
        <f>(CX146/(CX$5-CW$5))*CX$15</f>
        <v>0</v>
      </c>
      <c r="CY145" s="3">
        <f>CX145</f>
        <v>0</v>
      </c>
    </row>
    <row r="146" hidden="1" outlineLevel="1">
      <c r="C146" s="34" t="inlineStr">
        <is>
          <t>DSO</t>
        </is>
      </c>
      <c r="D146" s="3" t="n"/>
      <c r="E146" s="3">
        <f>(E145/E$15)*(E$5-D$5)</f>
        <v>92.967005889659</v>
      </c>
      <c r="F146" s="3">
        <f>(F145/F$15)*(F$5-E$5)</f>
        <v>107.937994979765</v>
      </c>
      <c r="G146" s="3">
        <f>(G145/G$15)*(G$5-F$5)</f>
        <v>100.149061329088</v>
      </c>
      <c r="H146" s="3" t="n"/>
      <c r="I146" s="3">
        <f>(I145/I$15)*(I$5-H$5)</f>
        <v>133.166105563481</v>
      </c>
      <c r="J146" s="3">
        <f>(J145/J$15)*(J$5-I$5)</f>
        <v>145.136394532135</v>
      </c>
      <c r="K146" s="3">
        <f>(K145/K$15)*(K$5-J$5)</f>
        <v>120.726675413908</v>
      </c>
      <c r="L146" s="3">
        <f>(L145/L$15)*(L$5-K$5)</f>
        <v>96.7367005014064</v>
      </c>
      <c r="M146" s="3" t="n"/>
      <c r="N146" s="3">
        <f>(N145/N$15)*(N$5-M$5)</f>
        <v>151.175800697398</v>
      </c>
      <c r="O146" s="3">
        <f>(O145/O$15)*(O$5-N$5)</f>
        <v>150.661275329987</v>
      </c>
      <c r="P146" s="3">
        <f>(P145/P$15)*(P$5-O$5)</f>
        <v>132.572906576325</v>
      </c>
      <c r="Q146" s="3">
        <f>(Q145/Q$15)*(Q$5-P$5)</f>
        <v>132.909195408713</v>
      </c>
      <c r="R146" s="3" t="n"/>
      <c r="S146" s="3">
        <f>(S145/S$15)*(S$5-R$5)</f>
        <v>115.699171278032</v>
      </c>
      <c r="T146" s="3">
        <f>(T145/T$15)*(T$5-S$5)</f>
        <v>100.271803103264</v>
      </c>
      <c r="U146" s="3">
        <f>(U145/U$15)*(U$5-T$5)</f>
        <v>112.972860710596</v>
      </c>
      <c r="V146" s="3">
        <f>(V145/V$15)*(V$5-U$5)</f>
        <v>85.3200662681847</v>
      </c>
      <c r="W146" s="3" t="n"/>
      <c r="X146" s="3">
        <f>(X145/X$15)*(X$5-W$5)</f>
        <v>90.2794698440324</v>
      </c>
      <c r="Y146" s="3">
        <f>(Y145/Y$15)*(Y$5-X$5)</f>
        <v>88.756388138407</v>
      </c>
      <c r="Z146" s="3">
        <f>(Z145/Z$15)*(Z$5-Y$5)</f>
        <v>78.3507391377663</v>
      </c>
      <c r="AA146" s="3">
        <f>(AA145/AA$15)*(AA$5-Z$5)</f>
        <v>77.6456564989618</v>
      </c>
      <c r="AB146" s="3" t="n"/>
      <c r="AC146" s="3">
        <f>(AC145/AC$15)*(AC$5-AB$5)</f>
        <v>78.7780315614618</v>
      </c>
      <c r="AD146" s="3">
        <f>(AD145/AD$15)*(AD$5-AC$5)</f>
        <v>79.0361873109724</v>
      </c>
      <c r="AE146" s="3">
        <f>(AE145/AE$15)*(AE$5-AD$5)</f>
        <v>85.599444938623</v>
      </c>
      <c r="AF146" s="6">
        <f>(AF145/AF$15)*(AF$5-AE$5)</f>
        <v>98.0513262885486</v>
      </c>
      <c r="AG146" s="3" t="n"/>
      <c r="AH146" s="6">
        <f>(AH145/AH$15)*(AH$5-AG$5)</f>
        <v>84.7249272070461</v>
      </c>
      <c r="AI146" s="6">
        <f>(AI145/AI$15)*(AI$5-AH$5)</f>
        <v>120.228480691546</v>
      </c>
      <c r="AJ146" s="6" t="n"/>
      <c r="AK146" s="6" t="n"/>
      <c r="AL146" s="3" t="n"/>
      <c r="AM146" s="6" t="n"/>
      <c r="AN146" s="6" t="n"/>
      <c r="AO146" s="6" t="n"/>
      <c r="AP146" s="6" t="n"/>
      <c r="AQ146" s="3" t="n"/>
      <c r="AR146" s="6" t="n"/>
      <c r="AS146" s="6" t="n"/>
      <c r="AT146" s="6" t="n"/>
      <c r="AU146" s="6" t="n"/>
      <c r="AV146" s="3" t="n"/>
      <c r="AW146" s="6" t="n"/>
      <c r="AX146" s="6" t="n"/>
      <c r="AY146" s="6" t="n"/>
      <c r="AZ146" s="6" t="n"/>
      <c r="BA146" s="3" t="n"/>
      <c r="BB146" s="6" t="n"/>
      <c r="BC146" s="6" t="n"/>
      <c r="BD146" s="6" t="n"/>
      <c r="BE146" s="6" t="n"/>
      <c r="BF146" s="3" t="n"/>
      <c r="BG146" s="6" t="n"/>
      <c r="BH146" s="6" t="n"/>
      <c r="BI146" s="6" t="n"/>
      <c r="BJ146" s="6" t="n"/>
      <c r="BK146" s="3" t="n"/>
      <c r="BL146" s="6" t="n"/>
      <c r="BM146" s="6" t="n"/>
      <c r="BN146" s="6" t="n"/>
      <c r="BO146" s="6" t="n"/>
      <c r="BP146" s="3" t="n"/>
      <c r="BQ146" s="6" t="n"/>
      <c r="BR146" s="6" t="n"/>
      <c r="BS146" s="6" t="n"/>
      <c r="BT146" s="6" t="n"/>
      <c r="BU146" s="3" t="n"/>
      <c r="BV146" s="6" t="n"/>
      <c r="BW146" s="6" t="n"/>
      <c r="BX146" s="6" t="n"/>
      <c r="BY146" s="6" t="n"/>
      <c r="BZ146" s="3" t="n"/>
      <c r="CA146" s="6" t="n"/>
      <c r="CB146" s="6" t="n"/>
      <c r="CC146" s="6" t="n"/>
      <c r="CD146" s="6" t="n"/>
      <c r="CE146" s="3" t="n"/>
      <c r="CF146" s="6" t="n"/>
      <c r="CG146" s="6" t="n"/>
      <c r="CH146" s="6" t="n"/>
      <c r="CI146" s="6" t="n"/>
      <c r="CJ146" s="3" t="n"/>
      <c r="CK146" s="6" t="n"/>
      <c r="CL146" s="6" t="n"/>
      <c r="CM146" s="6" t="n"/>
      <c r="CN146" s="6" t="n"/>
      <c r="CO146" s="3" t="n"/>
      <c r="CP146" s="6" t="n"/>
      <c r="CQ146" s="6" t="n"/>
      <c r="CR146" s="6" t="n"/>
      <c r="CS146" s="6" t="n"/>
      <c r="CT146" s="3" t="n"/>
      <c r="CU146" s="6" t="n"/>
      <c r="CV146" s="6" t="n"/>
      <c r="CW146" s="6" t="n"/>
      <c r="CX146" s="6" t="n"/>
      <c r="CY146" s="3" t="n"/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collapsed="1">
      <c r="C149" s="26" t="inlineStr">
        <is>
          <t>Inventories</t>
        </is>
      </c>
      <c r="D149" s="25">
        <f>INDEX('Inputs (2)'!$D$17:$AL$17,MATCH(D$7,'Inputs (2)'!$D$2:$AL$2,0))</f>
        <v>0</v>
      </c>
      <c r="E149" s="25">
        <f>INDEX('Inputs (2)'!$D$17:$AL$17,MATCH(E$7,'Inputs (2)'!$D$2:$AL$2,0))</f>
        <v>0</v>
      </c>
      <c r="F149" s="25">
        <f>INDEX('Inputs (2)'!$D$17:$AL$17,MATCH(F$7,'Inputs (2)'!$D$2:$AL$2,0))</f>
        <v>0</v>
      </c>
      <c r="G149" s="25">
        <f>INDEX('Inputs (2)'!$D$17:$AL$17,MATCH(G$7,'Inputs (2)'!$D$2:$AL$2,0))</f>
        <v>0</v>
      </c>
      <c r="H149" s="3">
        <f>G149</f>
        <v>0</v>
      </c>
      <c r="I149" s="25">
        <f>INDEX('Inputs (2)'!$D$17:$AL$17,MATCH(I$7,'Inputs (2)'!$D$2:$AL$2,0))</f>
        <v>0</v>
      </c>
      <c r="J149" s="25">
        <f>INDEX('Inputs (2)'!$D$17:$AL$17,MATCH(J$7,'Inputs (2)'!$D$2:$AL$2,0))</f>
        <v>0</v>
      </c>
      <c r="K149" s="25">
        <f>INDEX('Inputs (2)'!$D$17:$AL$17,MATCH(K$7,'Inputs (2)'!$D$2:$AL$2,0))</f>
        <v>0</v>
      </c>
      <c r="L149" s="25">
        <f>INDEX('Inputs (2)'!$D$17:$AL$17,MATCH(L$7,'Inputs (2)'!$D$2:$AL$2,0))</f>
        <v>0</v>
      </c>
      <c r="M149" s="3">
        <f>L149</f>
        <v>0</v>
      </c>
      <c r="N149" s="25">
        <f>INDEX('Inputs (2)'!$D$17:$AL$17,MATCH(N$7,'Inputs (2)'!$D$2:$AL$2,0))</f>
        <v>0</v>
      </c>
      <c r="O149" s="25">
        <f>INDEX('Inputs (2)'!$D$17:$AL$17,MATCH(O$7,'Inputs (2)'!$D$2:$AL$2,0))</f>
        <v>0</v>
      </c>
      <c r="P149" s="25">
        <f>INDEX('Inputs (2)'!$D$17:$AL$17,MATCH(P$7,'Inputs (2)'!$D$2:$AL$2,0))</f>
        <v>0</v>
      </c>
      <c r="Q149" s="25">
        <f>INDEX('Inputs (2)'!$D$17:$AL$17,MATCH(Q$7,'Inputs (2)'!$D$2:$AL$2,0))</f>
        <v>0</v>
      </c>
      <c r="R149" s="3">
        <f>Q149</f>
        <v>0</v>
      </c>
      <c r="S149" s="25">
        <f>INDEX('Inputs (2)'!$D$17:$AL$17,MATCH(S$7,'Inputs (2)'!$D$2:$AL$2,0))</f>
        <v>0</v>
      </c>
      <c r="T149" s="25">
        <f>INDEX('Inputs (2)'!$D$17:$AL$17,MATCH(T$7,'Inputs (2)'!$D$2:$AL$2,0))</f>
        <v>0</v>
      </c>
      <c r="U149" s="25">
        <f>INDEX('Inputs (2)'!$D$17:$AL$17,MATCH(U$7,'Inputs (2)'!$D$2:$AL$2,0))</f>
        <v>0</v>
      </c>
      <c r="V149" s="25">
        <f>INDEX('Inputs (2)'!$D$17:$AL$17,MATCH(V$7,'Inputs (2)'!$D$2:$AL$2,0))</f>
        <v>0</v>
      </c>
      <c r="W149" s="3">
        <f>V149</f>
        <v>0</v>
      </c>
      <c r="X149" s="25">
        <f>INDEX('Inputs (2)'!$D$17:$AL$17,MATCH(X$7,'Inputs (2)'!$D$2:$AL$2,0))</f>
        <v>0</v>
      </c>
      <c r="Y149" s="25">
        <f>INDEX('Inputs (2)'!$D$17:$AL$17,MATCH(Y$7,'Inputs (2)'!$D$2:$AL$2,0))</f>
        <v>0</v>
      </c>
      <c r="Z149" s="25">
        <f>INDEX('Inputs (2)'!$D$17:$AL$17,MATCH(Z$7,'Inputs (2)'!$D$2:$AL$2,0))</f>
        <v>0</v>
      </c>
      <c r="AA149" s="25">
        <f>INDEX('Inputs (2)'!$D$17:$AL$17,MATCH(AA$7,'Inputs (2)'!$D$2:$AL$2,0))</f>
        <v>0</v>
      </c>
      <c r="AB149" s="3">
        <f>AA149</f>
        <v>0</v>
      </c>
      <c r="AC149" s="25">
        <f>INDEX('Inputs (2)'!$D$17:$AL$17,MATCH(AC$7,'Inputs (2)'!$D$2:$AL$2,0))</f>
        <v>0</v>
      </c>
      <c r="AD149" s="25">
        <f>INDEX('Inputs (2)'!$D$17:$AL$17,MATCH(AD$7,'Inputs (2)'!$D$2:$AL$2,0))</f>
        <v>0</v>
      </c>
      <c r="AE149" s="25">
        <f>INDEX('Inputs (2)'!$D$17:$AL$17,MATCH(AE$7,'Inputs (2)'!$D$2:$AL$2,0))</f>
        <v>0</v>
      </c>
      <c r="AF149" s="25">
        <f>INDEX('Inputs (2)'!$D$17:$AL$17,MATCH(AF$7,'Inputs (2)'!$D$2:$AL$2,0))</f>
        <v>0</v>
      </c>
      <c r="AG149" s="3">
        <f>AF149</f>
        <v>0</v>
      </c>
      <c r="AH149" s="3">
        <f>INDEX('Inputs (2)'!$D$17:$AL$17,MATCH(AH$7,'Inputs (2)'!$D$2:$AL$2,0))</f>
        <v>0</v>
      </c>
      <c r="AI149" s="3">
        <f>INDEX('Inputs (2)'!$D$17:$AL$17,MATCH(AI$7,'Inputs (2)'!$D$2:$AL$2,0))</f>
        <v>0</v>
      </c>
      <c r="AJ149" s="3">
        <f>(AJ150/(AJ$5-AI$5))*-AJ$54</f>
        <v>0</v>
      </c>
      <c r="AK149" s="3">
        <f>(AK150/(AK$5-AJ$5))*-AK$54</f>
        <v>0</v>
      </c>
      <c r="AL149" s="3">
        <f>AK149</f>
        <v>0</v>
      </c>
      <c r="AM149" s="3">
        <f>(AM150/(AM$5-AL$5))*-AM$54</f>
        <v>0</v>
      </c>
      <c r="AN149" s="3">
        <f>(AN150/(AN$5-AM$5))*-AN$54</f>
        <v>0</v>
      </c>
      <c r="AO149" s="3">
        <f>(AO150/(AO$5-AN$5))*-AO$54</f>
        <v>0</v>
      </c>
      <c r="AP149" s="3">
        <f>(AP150/(AP$5-AO$5))*-AP$54</f>
        <v>0</v>
      </c>
      <c r="AQ149" s="3">
        <f>AP149</f>
        <v>0</v>
      </c>
      <c r="AR149" s="3">
        <f>(AR150/(AR$5-AQ$5))*-AR$54</f>
        <v>0</v>
      </c>
      <c r="AS149" s="3">
        <f>(AS150/(AS$5-AR$5))*-AS$54</f>
        <v>0</v>
      </c>
      <c r="AT149" s="3">
        <f>(AT150/(AT$5-AS$5))*-AT$54</f>
        <v>0</v>
      </c>
      <c r="AU149" s="3">
        <f>(AU150/(AU$5-AT$5))*-AU$54</f>
        <v>0</v>
      </c>
      <c r="AV149" s="3">
        <f>AU149</f>
        <v>0</v>
      </c>
      <c r="AW149" s="3">
        <f>(AW150/(AW$5-AV$5))*-AW$54</f>
        <v>0</v>
      </c>
      <c r="AX149" s="3">
        <f>(AX150/(AX$5-AW$5))*-AX$54</f>
        <v>0</v>
      </c>
      <c r="AY149" s="3">
        <f>(AY150/(AY$5-AX$5))*-AY$54</f>
        <v>0</v>
      </c>
      <c r="AZ149" s="3">
        <f>(AZ150/(AZ$5-AY$5))*-AZ$54</f>
        <v>0</v>
      </c>
      <c r="BA149" s="3">
        <f>AZ149</f>
        <v>0</v>
      </c>
      <c r="BB149" s="3">
        <f>(BB150/(BB$5-BA$5))*-BB$54</f>
        <v>0</v>
      </c>
      <c r="BC149" s="3">
        <f>(BC150/(BC$5-BB$5))*-BC$54</f>
        <v>0</v>
      </c>
      <c r="BD149" s="3">
        <f>(BD150/(BD$5-BC$5))*-BD$54</f>
        <v>0</v>
      </c>
      <c r="BE149" s="3">
        <f>(BE150/(BE$5-BD$5))*-BE$54</f>
        <v>0</v>
      </c>
      <c r="BF149" s="3">
        <f>BE149</f>
        <v>0</v>
      </c>
      <c r="BG149" s="3">
        <f>(BG150/(BG$5-BF$5))*-BG$54</f>
        <v>0</v>
      </c>
      <c r="BH149" s="3">
        <f>(BH150/(BH$5-BG$5))*-BH$54</f>
        <v>0</v>
      </c>
      <c r="BI149" s="3">
        <f>(BI150/(BI$5-BH$5))*-BI$54</f>
        <v>0</v>
      </c>
      <c r="BJ149" s="3">
        <f>(BJ150/(BJ$5-BI$5))*-BJ$54</f>
        <v>0</v>
      </c>
      <c r="BK149" s="3">
        <f>BJ149</f>
        <v>0</v>
      </c>
      <c r="BL149" s="3">
        <f>(BL150/(BL$5-BK$5))*-BL$54</f>
        <v>0</v>
      </c>
      <c r="BM149" s="3">
        <f>(BM150/(BM$5-BL$5))*-BM$54</f>
        <v>0</v>
      </c>
      <c r="BN149" s="3">
        <f>(BN150/(BN$5-BM$5))*-BN$54</f>
        <v>0</v>
      </c>
      <c r="BO149" s="3">
        <f>(BO150/(BO$5-BN$5))*-BO$54</f>
        <v>0</v>
      </c>
      <c r="BP149" s="3">
        <f>BO149</f>
        <v>0</v>
      </c>
      <c r="BQ149" s="3">
        <f>(BQ150/(BQ$5-BP$5))*-BQ$54</f>
        <v>0</v>
      </c>
      <c r="BR149" s="3">
        <f>(BR150/(BR$5-BQ$5))*-BR$54</f>
        <v>0</v>
      </c>
      <c r="BS149" s="3">
        <f>(BS150/(BS$5-BR$5))*-BS$54</f>
        <v>0</v>
      </c>
      <c r="BT149" s="3">
        <f>(BT150/(BT$5-BS$5))*-BT$54</f>
        <v>0</v>
      </c>
      <c r="BU149" s="3">
        <f>BT149</f>
        <v>0</v>
      </c>
      <c r="BV149" s="3">
        <f>(BV150/(BV$5-BU$5))*-BV$54</f>
        <v>0</v>
      </c>
      <c r="BW149" s="3">
        <f>(BW150/(BW$5-BV$5))*-BW$54</f>
        <v>0</v>
      </c>
      <c r="BX149" s="3">
        <f>(BX150/(BX$5-BW$5))*-BX$54</f>
        <v>0</v>
      </c>
      <c r="BY149" s="3">
        <f>(BY150/(BY$5-BX$5))*-BY$54</f>
        <v>0</v>
      </c>
      <c r="BZ149" s="3">
        <f>BY149</f>
        <v>0</v>
      </c>
      <c r="CA149" s="3">
        <f>(CA150/(CA$5-BZ$5))*-CA$54</f>
        <v>0</v>
      </c>
      <c r="CB149" s="3">
        <f>(CB150/(CB$5-CA$5))*-CB$54</f>
        <v>0</v>
      </c>
      <c r="CC149" s="3">
        <f>(CC150/(CC$5-CB$5))*-CC$54</f>
        <v>0</v>
      </c>
      <c r="CD149" s="3">
        <f>(CD150/(CD$5-CC$5))*-CD$54</f>
        <v>0</v>
      </c>
      <c r="CE149" s="3">
        <f>CD149</f>
        <v>0</v>
      </c>
      <c r="CF149" s="3">
        <f>(CF150/(CF$5-CE$5))*-CF$54</f>
        <v>0</v>
      </c>
      <c r="CG149" s="3">
        <f>(CG150/(CG$5-CF$5))*-CG$54</f>
        <v>0</v>
      </c>
      <c r="CH149" s="3">
        <f>(CH150/(CH$5-CG$5))*-CH$54</f>
        <v>0</v>
      </c>
      <c r="CI149" s="3">
        <f>(CI150/(CI$5-CH$5))*-CI$54</f>
        <v>0</v>
      </c>
      <c r="CJ149" s="3">
        <f>CI149</f>
        <v>0</v>
      </c>
      <c r="CK149" s="3">
        <f>(CK150/(CK$5-CJ$5))*-CK$54</f>
        <v>0</v>
      </c>
      <c r="CL149" s="3">
        <f>(CL150/(CL$5-CK$5))*-CL$54</f>
        <v>0</v>
      </c>
      <c r="CM149" s="3">
        <f>(CM150/(CM$5-CL$5))*-CM$54</f>
        <v>0</v>
      </c>
      <c r="CN149" s="3">
        <f>(CN150/(CN$5-CM$5))*-CN$54</f>
        <v>0</v>
      </c>
      <c r="CO149" s="3">
        <f>CN149</f>
        <v>0</v>
      </c>
      <c r="CP149" s="3">
        <f>(CP150/(CP$5-CO$5))*-CP$54</f>
        <v>0</v>
      </c>
      <c r="CQ149" s="3">
        <f>(CQ150/(CQ$5-CP$5))*-CQ$54</f>
        <v>0</v>
      </c>
      <c r="CR149" s="3">
        <f>(CR150/(CR$5-CQ$5))*-CR$54</f>
        <v>0</v>
      </c>
      <c r="CS149" s="3">
        <f>(CS150/(CS$5-CR$5))*-CS$54</f>
        <v>0</v>
      </c>
      <c r="CT149" s="3">
        <f>CS149</f>
        <v>0</v>
      </c>
      <c r="CU149" s="3">
        <f>(CU150/(CU$5-CT$5))*-CU$54</f>
        <v>0</v>
      </c>
      <c r="CV149" s="3">
        <f>(CV150/(CV$5-CU$5))*-CV$54</f>
        <v>0</v>
      </c>
      <c r="CW149" s="3">
        <f>(CW150/(CW$5-CV$5))*-CW$54</f>
        <v>0</v>
      </c>
      <c r="CX149" s="3">
        <f>(CX150/(CX$5-CW$5))*-CX$54</f>
        <v>0</v>
      </c>
      <c r="CY149" s="3">
        <f>CX149</f>
        <v>0</v>
      </c>
    </row>
    <row r="150" hidden="1" outlineLevel="1">
      <c r="C150" s="34" t="inlineStr">
        <is>
          <t>DIO</t>
        </is>
      </c>
      <c r="D150" s="3" t="n"/>
      <c r="E150" s="3">
        <f>((E149/E$54)*(E$5-D$5))*-1</f>
        <v>0</v>
      </c>
      <c r="F150" s="3">
        <f>((F149/F$54)*(F$5-E$5))*-1</f>
        <v>0</v>
      </c>
      <c r="G150" s="3">
        <f>((G149/G$54)*(G$5-F$5))*-1</f>
        <v>0</v>
      </c>
      <c r="H150" s="3" t="n"/>
      <c r="I150" s="3">
        <f>((I149/I$54)*(I$5-H$5))*-1</f>
        <v>0</v>
      </c>
      <c r="J150" s="3">
        <f>((J149/J$54)*(J$5-I$5))*-1</f>
        <v>0</v>
      </c>
      <c r="K150" s="3">
        <f>((K149/K$54)*(K$5-J$5))*-1</f>
        <v>0</v>
      </c>
      <c r="L150" s="3">
        <f>((L149/L$54)*(L$5-K$5))*-1</f>
        <v>0</v>
      </c>
      <c r="M150" s="3" t="n"/>
      <c r="N150" s="3">
        <f>((N149/N$54)*(N$5-M$5))*-1</f>
        <v>0</v>
      </c>
      <c r="O150" s="3">
        <f>((O149/O$54)*(O$5-N$5))*-1</f>
        <v>0</v>
      </c>
      <c r="P150" s="3">
        <f>((P149/P$54)*(P$5-O$5))*-1</f>
        <v>0</v>
      </c>
      <c r="Q150" s="3">
        <f>((Q149/Q$54)*(Q$5-P$5))*-1</f>
        <v>0</v>
      </c>
      <c r="R150" s="3" t="n"/>
      <c r="S150" s="3">
        <f>((S149/S$54)*(S$5-R$5))*-1</f>
        <v>0</v>
      </c>
      <c r="T150" s="3">
        <f>((T149/T$54)*(T$5-S$5))*-1</f>
        <v>0</v>
      </c>
      <c r="U150" s="3">
        <f>((U149/U$54)*(U$5-T$5))*-1</f>
        <v>0</v>
      </c>
      <c r="V150" s="3">
        <f>((V149/V$54)*(V$5-U$5))*-1</f>
        <v>0</v>
      </c>
      <c r="W150" s="3" t="n"/>
      <c r="X150" s="3">
        <f>((X149/X$54)*(X$5-W$5))*-1</f>
        <v>0</v>
      </c>
      <c r="Y150" s="3">
        <f>((Y149/Y$54)*(Y$5-X$5))*-1</f>
        <v>0</v>
      </c>
      <c r="Z150" s="3">
        <f>((Z149/Z$54)*(Z$5-Y$5))*-1</f>
        <v>0</v>
      </c>
      <c r="AA150" s="3">
        <f>((AA149/AA$54)*(AA$5-Z$5))*-1</f>
        <v>0</v>
      </c>
      <c r="AB150" s="3" t="n"/>
      <c r="AC150" s="3">
        <f>((AC149/AC$54)*(AC$5-AB$5))*-1</f>
        <v>0</v>
      </c>
      <c r="AD150" s="3">
        <f>((AD149/AD$54)*(AD$5-AC$5))*-1</f>
        <v>0</v>
      </c>
      <c r="AE150" s="3">
        <f>((AE149/AE$54)*(AE$5-AD$5))*-1</f>
        <v>0</v>
      </c>
      <c r="AF150" s="6">
        <f>((AF149/AF$54)*(AF$5-AE$5))*-1</f>
        <v>0</v>
      </c>
      <c r="AG150" s="3" t="n"/>
      <c r="AH150" s="6">
        <f>((AH149/AH$54)*(AH$5-AG$5))*-1</f>
        <v>0</v>
      </c>
      <c r="AI150" s="6">
        <f>((AI149/AI$54)*(AI$5-AH$5))*-1</f>
        <v>0</v>
      </c>
      <c r="AJ150" s="6" t="n"/>
      <c r="AK150" s="6" t="n"/>
      <c r="AL150" s="3" t="n"/>
      <c r="AM150" s="6" t="n"/>
      <c r="AN150" s="6" t="n"/>
      <c r="AO150" s="6" t="n"/>
      <c r="AP150" s="6" t="n"/>
      <c r="AQ150" s="3" t="n"/>
      <c r="AR150" s="6" t="n"/>
      <c r="AS150" s="6" t="n"/>
      <c r="AT150" s="6" t="n"/>
      <c r="AU150" s="6" t="n"/>
      <c r="AV150" s="3" t="n"/>
      <c r="AW150" s="6" t="n"/>
      <c r="AX150" s="6" t="n"/>
      <c r="AY150" s="6" t="n"/>
      <c r="AZ150" s="6" t="n"/>
      <c r="BA150" s="3" t="n"/>
      <c r="BB150" s="6" t="n"/>
      <c r="BC150" s="6" t="n"/>
      <c r="BD150" s="6" t="n"/>
      <c r="BE150" s="6" t="n"/>
      <c r="BF150" s="3" t="n"/>
      <c r="BG150" s="6" t="n"/>
      <c r="BH150" s="6" t="n"/>
      <c r="BI150" s="6" t="n"/>
      <c r="BJ150" s="6" t="n"/>
      <c r="BK150" s="3" t="n"/>
      <c r="BL150" s="6" t="n"/>
      <c r="BM150" s="6" t="n"/>
      <c r="BN150" s="6" t="n"/>
      <c r="BO150" s="6" t="n"/>
      <c r="BP150" s="3" t="n"/>
      <c r="BQ150" s="6" t="n"/>
      <c r="BR150" s="6" t="n"/>
      <c r="BS150" s="6" t="n"/>
      <c r="BT150" s="6" t="n"/>
      <c r="BU150" s="3" t="n"/>
      <c r="BV150" s="6" t="n"/>
      <c r="BW150" s="6" t="n"/>
      <c r="BX150" s="6" t="n"/>
      <c r="BY150" s="6" t="n"/>
      <c r="BZ150" s="3" t="n"/>
      <c r="CA150" s="6" t="n"/>
      <c r="CB150" s="6" t="n"/>
      <c r="CC150" s="6" t="n"/>
      <c r="CD150" s="6" t="n"/>
      <c r="CE150" s="3" t="n"/>
      <c r="CF150" s="6" t="n"/>
      <c r="CG150" s="6" t="n"/>
      <c r="CH150" s="6" t="n"/>
      <c r="CI150" s="6" t="n"/>
      <c r="CJ150" s="3" t="n"/>
      <c r="CK150" s="6" t="n"/>
      <c r="CL150" s="6" t="n"/>
      <c r="CM150" s="6" t="n"/>
      <c r="CN150" s="6" t="n"/>
      <c r="CO150" s="3" t="n"/>
      <c r="CP150" s="6" t="n"/>
      <c r="CQ150" s="6" t="n"/>
      <c r="CR150" s="6" t="n"/>
      <c r="CS150" s="6" t="n"/>
      <c r="CT150" s="3" t="n"/>
      <c r="CU150" s="6" t="n"/>
      <c r="CV150" s="6" t="n"/>
      <c r="CW150" s="6" t="n"/>
      <c r="CX150" s="6" t="n"/>
      <c r="CY150" s="3" t="n"/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34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collapsed="1">
      <c r="C153" s="26" t="inlineStr">
        <is>
          <t>Deferred income taxes</t>
        </is>
      </c>
      <c r="D153" s="25">
        <f>INDEX('Inputs (2)'!$D$18:$AL$18,MATCH(D$7,'Inputs (2)'!$D$2:$AL$2,0))</f>
        <v>112.994</v>
      </c>
      <c r="E153" s="25">
        <f>INDEX('Inputs (2)'!$D$18:$AL$18,MATCH(E$7,'Inputs (2)'!$D$2:$AL$2,0))</f>
        <v>111.321</v>
      </c>
      <c r="F153" s="25">
        <f>INDEX('Inputs (2)'!$D$18:$AL$18,MATCH(F$7,'Inputs (2)'!$D$2:$AL$2,0))</f>
        <v>111.321</v>
      </c>
      <c r="G153" s="25">
        <f>INDEX('Inputs (2)'!$D$18:$AL$18,MATCH(G$7,'Inputs (2)'!$D$2:$AL$2,0))</f>
        <v>82.727</v>
      </c>
      <c r="H153" s="3">
        <f>G153</f>
        <v>82.727</v>
      </c>
      <c r="I153" s="25">
        <f>INDEX('Inputs (2)'!$D$18:$AL$18,MATCH(I$7,'Inputs (2)'!$D$2:$AL$2,0))</f>
        <v>77.555</v>
      </c>
      <c r="J153" s="25">
        <f>INDEX('Inputs (2)'!$D$18:$AL$18,MATCH(J$7,'Inputs (2)'!$D$2:$AL$2,0))</f>
        <v>77.455</v>
      </c>
      <c r="K153" s="25">
        <f>INDEX('Inputs (2)'!$D$18:$AL$18,MATCH(K$7,'Inputs (2)'!$D$2:$AL$2,0))</f>
        <v>79.154</v>
      </c>
      <c r="L153" s="25">
        <f>INDEX('Inputs (2)'!$D$18:$AL$18,MATCH(L$7,'Inputs (2)'!$D$2:$AL$2,0))</f>
        <v>69.563</v>
      </c>
      <c r="M153" s="3">
        <f>L153</f>
        <v>69.563</v>
      </c>
      <c r="N153" s="25">
        <f>INDEX('Inputs (2)'!$D$18:$AL$18,MATCH(N$7,'Inputs (2)'!$D$2:$AL$2,0))</f>
        <v>69.511</v>
      </c>
      <c r="O153" s="25">
        <f>INDEX('Inputs (2)'!$D$18:$AL$18,MATCH(O$7,'Inputs (2)'!$D$2:$AL$2,0))</f>
        <v>62.675</v>
      </c>
      <c r="P153" s="25">
        <f>INDEX('Inputs (2)'!$D$18:$AL$18,MATCH(P$7,'Inputs (2)'!$D$2:$AL$2,0))</f>
        <v>60.56</v>
      </c>
      <c r="Q153" s="25">
        <f>INDEX('Inputs (2)'!$D$18:$AL$18,MATCH(Q$7,'Inputs (2)'!$D$2:$AL$2,0))</f>
        <v>53.09</v>
      </c>
      <c r="R153" s="3">
        <f>Q153</f>
        <v>53.09</v>
      </c>
      <c r="S153" s="25">
        <f>INDEX('Inputs (2)'!$D$18:$AL$18,MATCH(S$7,'Inputs (2)'!$D$2:$AL$2,0))</f>
        <v>62.972</v>
      </c>
      <c r="T153" s="25">
        <f>INDEX('Inputs (2)'!$D$18:$AL$18,MATCH(T$7,'Inputs (2)'!$D$2:$AL$2,0))</f>
        <v>63.54</v>
      </c>
      <c r="U153" s="25">
        <f>INDEX('Inputs (2)'!$D$18:$AL$18,MATCH(U$7,'Inputs (2)'!$D$2:$AL$2,0))</f>
        <v>64.128</v>
      </c>
      <c r="V153" s="25">
        <f>INDEX('Inputs (2)'!$D$18:$AL$18,MATCH(V$7,'Inputs (2)'!$D$2:$AL$2,0))</f>
        <v>76.287</v>
      </c>
      <c r="W153" s="3">
        <f>V153</f>
        <v>76.287</v>
      </c>
      <c r="X153" s="25">
        <f>INDEX('Inputs (2)'!$D$18:$AL$18,MATCH(X$7,'Inputs (2)'!$D$2:$AL$2,0))</f>
        <v>76.755</v>
      </c>
      <c r="Y153" s="25">
        <f>INDEX('Inputs (2)'!$D$18:$AL$18,MATCH(Y$7,'Inputs (2)'!$D$2:$AL$2,0))</f>
        <v>77.275</v>
      </c>
      <c r="Z153" s="25">
        <f>INDEX('Inputs (2)'!$D$18:$AL$18,MATCH(Z$7,'Inputs (2)'!$D$2:$AL$2,0))</f>
        <v>78.453</v>
      </c>
      <c r="AA153" s="25">
        <f>INDEX('Inputs (2)'!$D$18:$AL$18,MATCH(AA$7,'Inputs (2)'!$D$2:$AL$2,0))</f>
        <v>79.973</v>
      </c>
      <c r="AB153" s="3">
        <f>AA153</f>
        <v>79.973</v>
      </c>
      <c r="AC153" s="25">
        <f>INDEX('Inputs (2)'!$D$18:$AL$18,MATCH(AC$7,'Inputs (2)'!$D$2:$AL$2,0))</f>
        <v>80.773</v>
      </c>
      <c r="AD153" s="25">
        <f>INDEX('Inputs (2)'!$D$18:$AL$18,MATCH(AD$7,'Inputs (2)'!$D$2:$AL$2,0))</f>
        <v>81.277</v>
      </c>
      <c r="AE153" s="25">
        <f>INDEX('Inputs (2)'!$D$18:$AL$18,MATCH(AE$7,'Inputs (2)'!$D$2:$AL$2,0))</f>
        <v>81.875</v>
      </c>
      <c r="AF153" s="25">
        <f>INDEX('Inputs (2)'!$D$18:$AL$18,MATCH(AF$7,'Inputs (2)'!$D$2:$AL$2,0))</f>
        <v>82.325</v>
      </c>
      <c r="AG153" s="3">
        <f>AF153</f>
        <v>82.325</v>
      </c>
      <c r="AH153" s="3">
        <f>INDEX('Inputs (2)'!$D$18:$AL$18,MATCH(AH$7,'Inputs (2)'!$D$2:$AL$2,0))</f>
        <v>84.986</v>
      </c>
      <c r="AI153" s="3">
        <f>INDEX('Inputs (2)'!$D$18:$AL$18,MATCH(AI$7,'Inputs (2)'!$D$2:$AL$2,0))</f>
        <v>85.345</v>
      </c>
      <c r="AJ153" s="3">
        <f>AI153</f>
        <v>85.345</v>
      </c>
      <c r="AK153" s="3">
        <f>AJ153</f>
        <v>85.345</v>
      </c>
      <c r="AL153" s="3">
        <f>AK153</f>
        <v>85.345</v>
      </c>
      <c r="AM153" s="3">
        <f>AL153</f>
        <v>85.345</v>
      </c>
      <c r="AN153" s="3">
        <f>AM153</f>
        <v>85.345</v>
      </c>
      <c r="AO153" s="3">
        <f>AN153</f>
        <v>85.345</v>
      </c>
      <c r="AP153" s="3">
        <f>AO153</f>
        <v>85.345</v>
      </c>
      <c r="AQ153" s="3">
        <f>AP153</f>
        <v>85.345</v>
      </c>
      <c r="AR153" s="3">
        <f>AQ153</f>
        <v>85.345</v>
      </c>
      <c r="AS153" s="3">
        <f>AR153</f>
        <v>85.345</v>
      </c>
      <c r="AT153" s="3">
        <f>AS153</f>
        <v>85.345</v>
      </c>
      <c r="AU153" s="3">
        <f>AT153</f>
        <v>85.345</v>
      </c>
      <c r="AV153" s="3">
        <f>AU153</f>
        <v>85.345</v>
      </c>
      <c r="AW153" s="3">
        <f>AV153</f>
        <v>85.345</v>
      </c>
      <c r="AX153" s="3">
        <f>AW153</f>
        <v>85.345</v>
      </c>
      <c r="AY153" s="3">
        <f>AX153</f>
        <v>85.345</v>
      </c>
      <c r="AZ153" s="3">
        <f>AY153</f>
        <v>85.345</v>
      </c>
      <c r="BA153" s="3">
        <f>AZ153</f>
        <v>85.345</v>
      </c>
      <c r="BB153" s="3">
        <f>BA153</f>
        <v>85.345</v>
      </c>
      <c r="BC153" s="3">
        <f>BB153</f>
        <v>85.345</v>
      </c>
      <c r="BD153" s="3">
        <f>BC153</f>
        <v>85.345</v>
      </c>
      <c r="BE153" s="3">
        <f>BD153</f>
        <v>85.345</v>
      </c>
      <c r="BF153" s="3">
        <f>BE153</f>
        <v>85.345</v>
      </c>
      <c r="BG153" s="3">
        <f>BF153</f>
        <v>85.345</v>
      </c>
      <c r="BH153" s="3">
        <f>BG153</f>
        <v>85.345</v>
      </c>
      <c r="BI153" s="3">
        <f>BH153</f>
        <v>85.345</v>
      </c>
      <c r="BJ153" s="3">
        <f>BI153</f>
        <v>85.345</v>
      </c>
      <c r="BK153" s="3">
        <f>BJ153</f>
        <v>85.345</v>
      </c>
      <c r="BL153" s="3">
        <f>BK153</f>
        <v>85.345</v>
      </c>
      <c r="BM153" s="3">
        <f>BL153</f>
        <v>85.345</v>
      </c>
      <c r="BN153" s="3">
        <f>BM153</f>
        <v>85.345</v>
      </c>
      <c r="BO153" s="3">
        <f>BN153</f>
        <v>85.345</v>
      </c>
      <c r="BP153" s="3">
        <f>BO153</f>
        <v>85.345</v>
      </c>
      <c r="BQ153" s="3">
        <f>BP153</f>
        <v>85.345</v>
      </c>
      <c r="BR153" s="3">
        <f>BQ153</f>
        <v>85.345</v>
      </c>
      <c r="BS153" s="3">
        <f>BR153</f>
        <v>85.345</v>
      </c>
      <c r="BT153" s="3">
        <f>BS153</f>
        <v>85.345</v>
      </c>
      <c r="BU153" s="3">
        <f>BT153</f>
        <v>85.345</v>
      </c>
      <c r="BV153" s="3">
        <f>BU153</f>
        <v>85.345</v>
      </c>
      <c r="BW153" s="3">
        <f>BV153</f>
        <v>85.345</v>
      </c>
      <c r="BX153" s="3">
        <f>BW153</f>
        <v>85.345</v>
      </c>
      <c r="BY153" s="3">
        <f>BX153</f>
        <v>85.345</v>
      </c>
      <c r="BZ153" s="3">
        <f>BY153</f>
        <v>85.345</v>
      </c>
      <c r="CA153" s="3">
        <f>BZ153</f>
        <v>85.345</v>
      </c>
      <c r="CB153" s="3">
        <f>CA153</f>
        <v>85.345</v>
      </c>
      <c r="CC153" s="3">
        <f>CB153</f>
        <v>85.345</v>
      </c>
      <c r="CD153" s="3">
        <f>CC153</f>
        <v>85.345</v>
      </c>
      <c r="CE153" s="3">
        <f>CD153</f>
        <v>85.345</v>
      </c>
      <c r="CF153" s="3">
        <f>CE153</f>
        <v>85.345</v>
      </c>
      <c r="CG153" s="3">
        <f>CF153</f>
        <v>85.345</v>
      </c>
      <c r="CH153" s="3">
        <f>CG153</f>
        <v>85.345</v>
      </c>
      <c r="CI153" s="3">
        <f>CH153</f>
        <v>85.345</v>
      </c>
      <c r="CJ153" s="3">
        <f>CI153</f>
        <v>85.345</v>
      </c>
      <c r="CK153" s="3">
        <f>CJ153</f>
        <v>85.345</v>
      </c>
      <c r="CL153" s="3">
        <f>CK153</f>
        <v>85.345</v>
      </c>
      <c r="CM153" s="3">
        <f>CL153</f>
        <v>85.345</v>
      </c>
      <c r="CN153" s="3">
        <f>CM153</f>
        <v>85.345</v>
      </c>
      <c r="CO153" s="3">
        <f>CN153</f>
        <v>85.345</v>
      </c>
      <c r="CP153" s="3">
        <f>CO153</f>
        <v>85.345</v>
      </c>
      <c r="CQ153" s="3">
        <f>CP153</f>
        <v>85.345</v>
      </c>
      <c r="CR153" s="3">
        <f>CQ153</f>
        <v>85.345</v>
      </c>
      <c r="CS153" s="3">
        <f>CR153</f>
        <v>85.345</v>
      </c>
      <c r="CT153" s="3">
        <f>CS153</f>
        <v>85.345</v>
      </c>
      <c r="CU153" s="3">
        <f>CT153</f>
        <v>85.345</v>
      </c>
      <c r="CV153" s="3">
        <f>CU153</f>
        <v>85.345</v>
      </c>
      <c r="CW153" s="3">
        <f>CV153</f>
        <v>85.345</v>
      </c>
      <c r="CX153" s="3">
        <f>CW153</f>
        <v>85.345</v>
      </c>
      <c r="CY153" s="3">
        <f>CX153</f>
        <v>85.345</v>
      </c>
    </row>
    <row r="154">
      <c r="C154" s="26" t="inlineStr">
        <is>
          <t>Prepaid expenses</t>
        </is>
      </c>
      <c r="D154" s="25">
        <f>INDEX('Inputs (2)'!$D$19:$AL$19,MATCH(D$7,'Inputs (2)'!$D$2:$AL$2,0))</f>
        <v>16.073</v>
      </c>
      <c r="E154" s="25">
        <f>INDEX('Inputs (2)'!$D$19:$AL$19,MATCH(E$7,'Inputs (2)'!$D$2:$AL$2,0))</f>
        <v>12.855</v>
      </c>
      <c r="F154" s="25">
        <f>INDEX('Inputs (2)'!$D$19:$AL$19,MATCH(F$7,'Inputs (2)'!$D$2:$AL$2,0))</f>
        <v>12.469</v>
      </c>
      <c r="G154" s="25">
        <f>INDEX('Inputs (2)'!$D$19:$AL$19,MATCH(G$7,'Inputs (2)'!$D$2:$AL$2,0))</f>
        <v>17.061</v>
      </c>
      <c r="H154" s="3">
        <f>G154</f>
        <v>17.061</v>
      </c>
      <c r="I154" s="25">
        <f>INDEX('Inputs (2)'!$D$19:$AL$19,MATCH(I$7,'Inputs (2)'!$D$2:$AL$2,0))</f>
        <v>15.496</v>
      </c>
      <c r="J154" s="25">
        <f>INDEX('Inputs (2)'!$D$19:$AL$19,MATCH(J$7,'Inputs (2)'!$D$2:$AL$2,0))</f>
        <v>14.198</v>
      </c>
      <c r="K154" s="25">
        <f>INDEX('Inputs (2)'!$D$19:$AL$19,MATCH(K$7,'Inputs (2)'!$D$2:$AL$2,0))</f>
        <v>11.118</v>
      </c>
      <c r="L154" s="25">
        <f>INDEX('Inputs (2)'!$D$19:$AL$19,MATCH(L$7,'Inputs (2)'!$D$2:$AL$2,0))</f>
        <v>31.276</v>
      </c>
      <c r="M154" s="3">
        <f>L154</f>
        <v>31.276</v>
      </c>
      <c r="N154" s="25">
        <f>INDEX('Inputs (2)'!$D$19:$AL$19,MATCH(N$7,'Inputs (2)'!$D$2:$AL$2,0))</f>
        <v>29.85</v>
      </c>
      <c r="O154" s="25">
        <f>INDEX('Inputs (2)'!$D$19:$AL$19,MATCH(O$7,'Inputs (2)'!$D$2:$AL$2,0))</f>
        <v>39.457</v>
      </c>
      <c r="P154" s="25">
        <f>INDEX('Inputs (2)'!$D$19:$AL$19,MATCH(P$7,'Inputs (2)'!$D$2:$AL$2,0))</f>
        <v>32.52</v>
      </c>
      <c r="Q154" s="25">
        <f>INDEX('Inputs (2)'!$D$19:$AL$19,MATCH(Q$7,'Inputs (2)'!$D$2:$AL$2,0))</f>
        <v>66.61</v>
      </c>
      <c r="R154" s="3">
        <f>Q154</f>
        <v>66.61</v>
      </c>
      <c r="S154" s="25">
        <f>INDEX('Inputs (2)'!$D$19:$AL$19,MATCH(S$7,'Inputs (2)'!$D$2:$AL$2,0))</f>
        <v>67.208</v>
      </c>
      <c r="T154" s="25">
        <f>INDEX('Inputs (2)'!$D$19:$AL$19,MATCH(T$7,'Inputs (2)'!$D$2:$AL$2,0))</f>
        <v>59.864</v>
      </c>
      <c r="U154" s="25">
        <f>INDEX('Inputs (2)'!$D$19:$AL$19,MATCH(U$7,'Inputs (2)'!$D$2:$AL$2,0))</f>
        <v>72.984</v>
      </c>
      <c r="V154" s="25">
        <f>INDEX('Inputs (2)'!$D$19:$AL$19,MATCH(V$7,'Inputs (2)'!$D$2:$AL$2,0))</f>
        <v>55.392</v>
      </c>
      <c r="W154" s="3">
        <f>V154</f>
        <v>55.392</v>
      </c>
      <c r="X154" s="25">
        <f>INDEX('Inputs (2)'!$D$19:$AL$19,MATCH(X$7,'Inputs (2)'!$D$2:$AL$2,0))</f>
        <v>61.007</v>
      </c>
      <c r="Y154" s="25">
        <f>INDEX('Inputs (2)'!$D$19:$AL$19,MATCH(Y$7,'Inputs (2)'!$D$2:$AL$2,0))</f>
        <v>70.199</v>
      </c>
      <c r="Z154" s="25">
        <f>INDEX('Inputs (2)'!$D$19:$AL$19,MATCH(Z$7,'Inputs (2)'!$D$2:$AL$2,0))</f>
        <v>69.438</v>
      </c>
      <c r="AA154" s="25">
        <f>INDEX('Inputs (2)'!$D$19:$AL$19,MATCH(AA$7,'Inputs (2)'!$D$2:$AL$2,0))</f>
        <v>64.71</v>
      </c>
      <c r="AB154" s="3">
        <f>AA154</f>
        <v>64.71</v>
      </c>
      <c r="AC154" s="25">
        <f>INDEX('Inputs (2)'!$D$19:$AL$19,MATCH(AC$7,'Inputs (2)'!$D$2:$AL$2,0))</f>
        <v>71.189</v>
      </c>
      <c r="AD154" s="25">
        <f>INDEX('Inputs (2)'!$D$19:$AL$19,MATCH(AD$7,'Inputs (2)'!$D$2:$AL$2,0))</f>
        <v>66.307</v>
      </c>
      <c r="AE154" s="25">
        <f>INDEX('Inputs (2)'!$D$19:$AL$19,MATCH(AE$7,'Inputs (2)'!$D$2:$AL$2,0))</f>
        <v>68.472</v>
      </c>
      <c r="AF154" s="25">
        <f>INDEX('Inputs (2)'!$D$19:$AL$19,MATCH(AF$7,'Inputs (2)'!$D$2:$AL$2,0))</f>
        <v>74.018</v>
      </c>
      <c r="AG154" s="3">
        <f>AF154</f>
        <v>74.018</v>
      </c>
      <c r="AH154" s="3">
        <f>INDEX('Inputs (2)'!$D$19:$AL$19,MATCH(AH$7,'Inputs (2)'!$D$2:$AL$2,0))</f>
        <v>81.923</v>
      </c>
      <c r="AI154" s="3">
        <f>INDEX('Inputs (2)'!$D$19:$AL$19,MATCH(AI$7,'Inputs (2)'!$D$2:$AL$2,0))</f>
        <v>201.152</v>
      </c>
      <c r="AJ154" s="3">
        <f>AI154</f>
        <v>201.152</v>
      </c>
      <c r="AK154" s="3">
        <f>AJ154</f>
        <v>201.152</v>
      </c>
      <c r="AL154" s="3">
        <f>AK154</f>
        <v>201.152</v>
      </c>
      <c r="AM154" s="3">
        <f>AL154</f>
        <v>201.152</v>
      </c>
      <c r="AN154" s="3">
        <f>AM154</f>
        <v>201.152</v>
      </c>
      <c r="AO154" s="3">
        <f>AN154</f>
        <v>201.152</v>
      </c>
      <c r="AP154" s="3">
        <f>AO154</f>
        <v>201.152</v>
      </c>
      <c r="AQ154" s="3">
        <f>AP154</f>
        <v>201.152</v>
      </c>
      <c r="AR154" s="3">
        <f>AQ154</f>
        <v>201.152</v>
      </c>
      <c r="AS154" s="3">
        <f>AR154</f>
        <v>201.152</v>
      </c>
      <c r="AT154" s="3">
        <f>AS154</f>
        <v>201.152</v>
      </c>
      <c r="AU154" s="3">
        <f>AT154</f>
        <v>201.152</v>
      </c>
      <c r="AV154" s="3">
        <f>AU154</f>
        <v>201.152</v>
      </c>
      <c r="AW154" s="3">
        <f>AV154</f>
        <v>201.152</v>
      </c>
      <c r="AX154" s="3">
        <f>AW154</f>
        <v>201.152</v>
      </c>
      <c r="AY154" s="3">
        <f>AX154</f>
        <v>201.152</v>
      </c>
      <c r="AZ154" s="3">
        <f>AY154</f>
        <v>201.152</v>
      </c>
      <c r="BA154" s="3">
        <f>AZ154</f>
        <v>201.152</v>
      </c>
      <c r="BB154" s="3">
        <f>BA154</f>
        <v>201.152</v>
      </c>
      <c r="BC154" s="3">
        <f>BB154</f>
        <v>201.152</v>
      </c>
      <c r="BD154" s="3">
        <f>BC154</f>
        <v>201.152</v>
      </c>
      <c r="BE154" s="3">
        <f>BD154</f>
        <v>201.152</v>
      </c>
      <c r="BF154" s="3">
        <f>BE154</f>
        <v>201.152</v>
      </c>
      <c r="BG154" s="3">
        <f>BF154</f>
        <v>201.152</v>
      </c>
      <c r="BH154" s="3">
        <f>BG154</f>
        <v>201.152</v>
      </c>
      <c r="BI154" s="3">
        <f>BH154</f>
        <v>201.152</v>
      </c>
      <c r="BJ154" s="3">
        <f>BI154</f>
        <v>201.152</v>
      </c>
      <c r="BK154" s="3">
        <f>BJ154</f>
        <v>201.152</v>
      </c>
      <c r="BL154" s="3">
        <f>BK154</f>
        <v>201.152</v>
      </c>
      <c r="BM154" s="3">
        <f>BL154</f>
        <v>201.152</v>
      </c>
      <c r="BN154" s="3">
        <f>BM154</f>
        <v>201.152</v>
      </c>
      <c r="BO154" s="3">
        <f>BN154</f>
        <v>201.152</v>
      </c>
      <c r="BP154" s="3">
        <f>BO154</f>
        <v>201.152</v>
      </c>
      <c r="BQ154" s="3">
        <f>BP154</f>
        <v>201.152</v>
      </c>
      <c r="BR154" s="3">
        <f>BQ154</f>
        <v>201.152</v>
      </c>
      <c r="BS154" s="3">
        <f>BR154</f>
        <v>201.152</v>
      </c>
      <c r="BT154" s="3">
        <f>BS154</f>
        <v>201.152</v>
      </c>
      <c r="BU154" s="3">
        <f>BT154</f>
        <v>201.152</v>
      </c>
      <c r="BV154" s="3">
        <f>BU154</f>
        <v>201.152</v>
      </c>
      <c r="BW154" s="3">
        <f>BV154</f>
        <v>201.152</v>
      </c>
      <c r="BX154" s="3">
        <f>BW154</f>
        <v>201.152</v>
      </c>
      <c r="BY154" s="3">
        <f>BX154</f>
        <v>201.152</v>
      </c>
      <c r="BZ154" s="3">
        <f>BY154</f>
        <v>201.152</v>
      </c>
      <c r="CA154" s="3">
        <f>BZ154</f>
        <v>201.152</v>
      </c>
      <c r="CB154" s="3">
        <f>CA154</f>
        <v>201.152</v>
      </c>
      <c r="CC154" s="3">
        <f>CB154</f>
        <v>201.152</v>
      </c>
      <c r="CD154" s="3">
        <f>CC154</f>
        <v>201.152</v>
      </c>
      <c r="CE154" s="3">
        <f>CD154</f>
        <v>201.152</v>
      </c>
      <c r="CF154" s="3">
        <f>CE154</f>
        <v>201.152</v>
      </c>
      <c r="CG154" s="3">
        <f>CF154</f>
        <v>201.152</v>
      </c>
      <c r="CH154" s="3">
        <f>CG154</f>
        <v>201.152</v>
      </c>
      <c r="CI154" s="3">
        <f>CH154</f>
        <v>201.152</v>
      </c>
      <c r="CJ154" s="3">
        <f>CI154</f>
        <v>201.152</v>
      </c>
      <c r="CK154" s="3">
        <f>CJ154</f>
        <v>201.152</v>
      </c>
      <c r="CL154" s="3">
        <f>CK154</f>
        <v>201.152</v>
      </c>
      <c r="CM154" s="3">
        <f>CL154</f>
        <v>201.152</v>
      </c>
      <c r="CN154" s="3">
        <f>CM154</f>
        <v>201.152</v>
      </c>
      <c r="CO154" s="3">
        <f>CN154</f>
        <v>201.152</v>
      </c>
      <c r="CP154" s="3">
        <f>CO154</f>
        <v>201.152</v>
      </c>
      <c r="CQ154" s="3">
        <f>CP154</f>
        <v>201.152</v>
      </c>
      <c r="CR154" s="3">
        <f>CQ154</f>
        <v>201.152</v>
      </c>
      <c r="CS154" s="3">
        <f>CR154</f>
        <v>201.152</v>
      </c>
      <c r="CT154" s="3">
        <f>CS154</f>
        <v>201.152</v>
      </c>
      <c r="CU154" s="3">
        <f>CT154</f>
        <v>201.152</v>
      </c>
      <c r="CV154" s="3">
        <f>CU154</f>
        <v>201.152</v>
      </c>
      <c r="CW154" s="3">
        <f>CV154</f>
        <v>201.152</v>
      </c>
      <c r="CX154" s="3">
        <f>CW154</f>
        <v>201.152</v>
      </c>
      <c r="CY154" s="3">
        <f>CX154</f>
        <v>201.152</v>
      </c>
    </row>
    <row r="155">
      <c r="C155" s="26" t="inlineStr">
        <is>
          <t>Other current assets</t>
        </is>
      </c>
      <c r="D155" s="25">
        <f>INDEX('Inputs (2)'!$D$20:$AL$20,MATCH(D$7,'Inputs (2)'!$D$2:$AL$2,0))</f>
        <v>16.837</v>
      </c>
      <c r="E155" s="25">
        <f>INDEX('Inputs (2)'!$D$20:$AL$20,MATCH(E$7,'Inputs (2)'!$D$2:$AL$2,0))</f>
        <v>9.533</v>
      </c>
      <c r="F155" s="25">
        <f>INDEX('Inputs (2)'!$D$20:$AL$20,MATCH(F$7,'Inputs (2)'!$D$2:$AL$2,0))</f>
        <v>11.758</v>
      </c>
      <c r="G155" s="25">
        <f>INDEX('Inputs (2)'!$D$20:$AL$20,MATCH(G$7,'Inputs (2)'!$D$2:$AL$2,0))</f>
        <v>9.758</v>
      </c>
      <c r="H155" s="3">
        <f>G155</f>
        <v>9.758</v>
      </c>
      <c r="I155" s="25">
        <f>INDEX('Inputs (2)'!$D$20:$AL$20,MATCH(I$7,'Inputs (2)'!$D$2:$AL$2,0))</f>
        <v>11.09</v>
      </c>
      <c r="J155" s="25">
        <f>INDEX('Inputs (2)'!$D$20:$AL$20,MATCH(J$7,'Inputs (2)'!$D$2:$AL$2,0))</f>
        <v>13.927</v>
      </c>
      <c r="K155" s="25">
        <f>INDEX('Inputs (2)'!$D$20:$AL$20,MATCH(K$7,'Inputs (2)'!$D$2:$AL$2,0))</f>
        <v>17.947</v>
      </c>
      <c r="L155" s="25">
        <f>INDEX('Inputs (2)'!$D$20:$AL$20,MATCH(L$7,'Inputs (2)'!$D$2:$AL$2,0))</f>
        <v>7.136</v>
      </c>
      <c r="M155" s="3">
        <f>L155</f>
        <v>7.136</v>
      </c>
      <c r="N155" s="25">
        <f>INDEX('Inputs (2)'!$D$20:$AL$20,MATCH(N$7,'Inputs (2)'!$D$2:$AL$2,0))</f>
        <v>11.111</v>
      </c>
      <c r="O155" s="25">
        <f>INDEX('Inputs (2)'!$D$20:$AL$20,MATCH(O$7,'Inputs (2)'!$D$2:$AL$2,0))</f>
        <v>11.562</v>
      </c>
      <c r="P155" s="25">
        <f>INDEX('Inputs (2)'!$D$20:$AL$20,MATCH(P$7,'Inputs (2)'!$D$2:$AL$2,0))</f>
        <v>11.519</v>
      </c>
      <c r="Q155" s="25">
        <f>INDEX('Inputs (2)'!$D$20:$AL$20,MATCH(Q$7,'Inputs (2)'!$D$2:$AL$2,0))</f>
        <v>13.907</v>
      </c>
      <c r="R155" s="3">
        <f>Q155</f>
        <v>13.907</v>
      </c>
      <c r="S155" s="25">
        <f>INDEX('Inputs (2)'!$D$20:$AL$20,MATCH(S$7,'Inputs (2)'!$D$2:$AL$2,0))</f>
        <v>22.276</v>
      </c>
      <c r="T155" s="25">
        <f>INDEX('Inputs (2)'!$D$20:$AL$20,MATCH(T$7,'Inputs (2)'!$D$2:$AL$2,0))</f>
        <v>26.09</v>
      </c>
      <c r="U155" s="25">
        <f>INDEX('Inputs (2)'!$D$20:$AL$20,MATCH(U$7,'Inputs (2)'!$D$2:$AL$2,0))</f>
        <v>33.197</v>
      </c>
      <c r="V155" s="25">
        <f>INDEX('Inputs (2)'!$D$20:$AL$20,MATCH(V$7,'Inputs (2)'!$D$2:$AL$2,0))</f>
        <v>30.042</v>
      </c>
      <c r="W155" s="3">
        <f>V155</f>
        <v>30.042</v>
      </c>
      <c r="X155" s="25">
        <f>INDEX('Inputs (2)'!$D$20:$AL$20,MATCH(X$7,'Inputs (2)'!$D$2:$AL$2,0))</f>
        <v>44.227</v>
      </c>
      <c r="Y155" s="25">
        <f>INDEX('Inputs (2)'!$D$20:$AL$20,MATCH(Y$7,'Inputs (2)'!$D$2:$AL$2,0))</f>
        <v>37.837</v>
      </c>
      <c r="Z155" s="25">
        <f>INDEX('Inputs (2)'!$D$20:$AL$20,MATCH(Z$7,'Inputs (2)'!$D$2:$AL$2,0))</f>
        <v>40.005</v>
      </c>
      <c r="AA155" s="25">
        <f>INDEX('Inputs (2)'!$D$20:$AL$20,MATCH(AA$7,'Inputs (2)'!$D$2:$AL$2,0))</f>
        <v>50.927</v>
      </c>
      <c r="AB155" s="3">
        <f>AA155</f>
        <v>50.927</v>
      </c>
      <c r="AC155" s="25">
        <f>INDEX('Inputs (2)'!$D$20:$AL$20,MATCH(AC$7,'Inputs (2)'!$D$2:$AL$2,0))</f>
        <v>51.368</v>
      </c>
      <c r="AD155" s="25">
        <f>INDEX('Inputs (2)'!$D$20:$AL$20,MATCH(AD$7,'Inputs (2)'!$D$2:$AL$2,0))</f>
        <v>58.273</v>
      </c>
      <c r="AE155" s="25">
        <f>INDEX('Inputs (2)'!$D$20:$AL$20,MATCH(AE$7,'Inputs (2)'!$D$2:$AL$2,0))</f>
        <v>64.471</v>
      </c>
      <c r="AF155" s="25">
        <f>INDEX('Inputs (2)'!$D$20:$AL$20,MATCH(AF$7,'Inputs (2)'!$D$2:$AL$2,0))</f>
        <v>67.166</v>
      </c>
      <c r="AG155" s="3">
        <f>AF155</f>
        <v>67.166</v>
      </c>
      <c r="AH155" s="3">
        <f>INDEX('Inputs (2)'!$D$20:$AL$20,MATCH(AH$7,'Inputs (2)'!$D$2:$AL$2,0))</f>
        <v>82.627</v>
      </c>
      <c r="AI155" s="3">
        <f>INDEX('Inputs (2)'!$D$20:$AL$20,MATCH(AI$7,'Inputs (2)'!$D$2:$AL$2,0))</f>
        <v>230.817</v>
      </c>
      <c r="AJ155" s="3">
        <f>AI155</f>
        <v>230.817</v>
      </c>
      <c r="AK155" s="3">
        <f>AJ155</f>
        <v>230.817</v>
      </c>
      <c r="AL155" s="3">
        <f>AK155</f>
        <v>230.817</v>
      </c>
      <c r="AM155" s="3">
        <f>AL155</f>
        <v>230.817</v>
      </c>
      <c r="AN155" s="3">
        <f>AM155</f>
        <v>230.817</v>
      </c>
      <c r="AO155" s="3">
        <f>AN155</f>
        <v>230.817</v>
      </c>
      <c r="AP155" s="3">
        <f>AO155</f>
        <v>230.817</v>
      </c>
      <c r="AQ155" s="3">
        <f>AP155</f>
        <v>230.817</v>
      </c>
      <c r="AR155" s="3">
        <f>AQ155</f>
        <v>230.817</v>
      </c>
      <c r="AS155" s="3">
        <f>AR155</f>
        <v>230.817</v>
      </c>
      <c r="AT155" s="3">
        <f>AS155</f>
        <v>230.817</v>
      </c>
      <c r="AU155" s="3">
        <f>AT155</f>
        <v>230.817</v>
      </c>
      <c r="AV155" s="3">
        <f>AU155</f>
        <v>230.817</v>
      </c>
      <c r="AW155" s="3">
        <f>AV155</f>
        <v>230.817</v>
      </c>
      <c r="AX155" s="3">
        <f>AW155</f>
        <v>230.817</v>
      </c>
      <c r="AY155" s="3">
        <f>AX155</f>
        <v>230.817</v>
      </c>
      <c r="AZ155" s="3">
        <f>AY155</f>
        <v>230.817</v>
      </c>
      <c r="BA155" s="3">
        <f>AZ155</f>
        <v>230.817</v>
      </c>
      <c r="BB155" s="3">
        <f>BA155</f>
        <v>230.817</v>
      </c>
      <c r="BC155" s="3">
        <f>BB155</f>
        <v>230.817</v>
      </c>
      <c r="BD155" s="3">
        <f>BC155</f>
        <v>230.817</v>
      </c>
      <c r="BE155" s="3">
        <f>BD155</f>
        <v>230.817</v>
      </c>
      <c r="BF155" s="3">
        <f>BE155</f>
        <v>230.817</v>
      </c>
      <c r="BG155" s="3">
        <f>BF155</f>
        <v>230.817</v>
      </c>
      <c r="BH155" s="3">
        <f>BG155</f>
        <v>230.817</v>
      </c>
      <c r="BI155" s="3">
        <f>BH155</f>
        <v>230.817</v>
      </c>
      <c r="BJ155" s="3">
        <f>BI155</f>
        <v>230.817</v>
      </c>
      <c r="BK155" s="3">
        <f>BJ155</f>
        <v>230.817</v>
      </c>
      <c r="BL155" s="3">
        <f>BK155</f>
        <v>230.817</v>
      </c>
      <c r="BM155" s="3">
        <f>BL155</f>
        <v>230.817</v>
      </c>
      <c r="BN155" s="3">
        <f>BM155</f>
        <v>230.817</v>
      </c>
      <c r="BO155" s="3">
        <f>BN155</f>
        <v>230.817</v>
      </c>
      <c r="BP155" s="3">
        <f>BO155</f>
        <v>230.817</v>
      </c>
      <c r="BQ155" s="3">
        <f>BP155</f>
        <v>230.817</v>
      </c>
      <c r="BR155" s="3">
        <f>BQ155</f>
        <v>230.817</v>
      </c>
      <c r="BS155" s="3">
        <f>BR155</f>
        <v>230.817</v>
      </c>
      <c r="BT155" s="3">
        <f>BS155</f>
        <v>230.817</v>
      </c>
      <c r="BU155" s="3">
        <f>BT155</f>
        <v>230.817</v>
      </c>
      <c r="BV155" s="3">
        <f>BU155</f>
        <v>230.817</v>
      </c>
      <c r="BW155" s="3">
        <f>BV155</f>
        <v>230.817</v>
      </c>
      <c r="BX155" s="3">
        <f>BW155</f>
        <v>230.817</v>
      </c>
      <c r="BY155" s="3">
        <f>BX155</f>
        <v>230.817</v>
      </c>
      <c r="BZ155" s="3">
        <f>BY155</f>
        <v>230.817</v>
      </c>
      <c r="CA155" s="3">
        <f>BZ155</f>
        <v>230.817</v>
      </c>
      <c r="CB155" s="3">
        <f>CA155</f>
        <v>230.817</v>
      </c>
      <c r="CC155" s="3">
        <f>CB155</f>
        <v>230.817</v>
      </c>
      <c r="CD155" s="3">
        <f>CC155</f>
        <v>230.817</v>
      </c>
      <c r="CE155" s="3">
        <f>CD155</f>
        <v>230.817</v>
      </c>
      <c r="CF155" s="3">
        <f>CE155</f>
        <v>230.817</v>
      </c>
      <c r="CG155" s="3">
        <f>CF155</f>
        <v>230.817</v>
      </c>
      <c r="CH155" s="3">
        <f>CG155</f>
        <v>230.817</v>
      </c>
      <c r="CI155" s="3">
        <f>CH155</f>
        <v>230.817</v>
      </c>
      <c r="CJ155" s="3">
        <f>CI155</f>
        <v>230.817</v>
      </c>
      <c r="CK155" s="3">
        <f>CJ155</f>
        <v>230.817</v>
      </c>
      <c r="CL155" s="3">
        <f>CK155</f>
        <v>230.817</v>
      </c>
      <c r="CM155" s="3">
        <f>CL155</f>
        <v>230.817</v>
      </c>
      <c r="CN155" s="3">
        <f>CM155</f>
        <v>230.817</v>
      </c>
      <c r="CO155" s="3">
        <f>CN155</f>
        <v>230.817</v>
      </c>
      <c r="CP155" s="3">
        <f>CO155</f>
        <v>230.817</v>
      </c>
      <c r="CQ155" s="3">
        <f>CP155</f>
        <v>230.817</v>
      </c>
      <c r="CR155" s="3">
        <f>CQ155</f>
        <v>230.817</v>
      </c>
      <c r="CS155" s="3">
        <f>CR155</f>
        <v>230.817</v>
      </c>
      <c r="CT155" s="3">
        <f>CS155</f>
        <v>230.817</v>
      </c>
      <c r="CU155" s="3">
        <f>CT155</f>
        <v>230.817</v>
      </c>
      <c r="CV155" s="3">
        <f>CU155</f>
        <v>230.817</v>
      </c>
      <c r="CW155" s="3">
        <f>CV155</f>
        <v>230.817</v>
      </c>
      <c r="CX155" s="3">
        <f>CW155</f>
        <v>230.817</v>
      </c>
      <c r="CY155" s="3">
        <f>CX155</f>
        <v>230.817</v>
      </c>
    </row>
    <row r="156" hidden="1" outlineLevel="1">
      <c r="C156" s="38" t="inlineStr">
        <is>
          <t>%(Var.)</t>
        </is>
      </c>
      <c r="D156" s="3" t="n"/>
      <c r="E156" s="47">
        <f>(E155-D155)/D155</f>
        <v>-0.433806497594583</v>
      </c>
      <c r="F156" s="47">
        <f>(F155-E155)/E155</f>
        <v>0.2333997692227</v>
      </c>
      <c r="G156" s="47">
        <f>(G155-F155)/F155</f>
        <v>-0.170096955264501</v>
      </c>
      <c r="H156" s="3" t="n"/>
      <c r="I156" s="47">
        <f>(I155-H155)/H155</f>
        <v>0.136503381840541</v>
      </c>
      <c r="J156" s="47">
        <f>(J155-I155)/I155</f>
        <v>0.255816050495942</v>
      </c>
      <c r="K156" s="47">
        <f>(K155-J155)/J155</f>
        <v>0.288647950025131</v>
      </c>
      <c r="L156" s="47">
        <f>(L155-K155)/K155</f>
        <v>-0.60238479968797</v>
      </c>
      <c r="M156" s="3" t="n"/>
      <c r="N156" s="47">
        <f>(N155-M155)/M155</f>
        <v>0.557034753363229</v>
      </c>
      <c r="O156" s="47">
        <f>(O155-N155)/N155</f>
        <v>0.0405904059040589</v>
      </c>
      <c r="P156" s="47">
        <f>(P155-O155)/O155</f>
        <v>-0.00371907974398887</v>
      </c>
      <c r="Q156" s="47">
        <f>(Q155-P155)/P155</f>
        <v>0.207309662297074</v>
      </c>
      <c r="R156" s="3" t="n"/>
      <c r="S156" s="47">
        <f>(S155-R155)/R155</f>
        <v>0.601783274609909</v>
      </c>
      <c r="T156" s="47">
        <f>(T155-S155)/S155</f>
        <v>0.17121565810738</v>
      </c>
      <c r="U156" s="47">
        <f>(U155-T155)/T155</f>
        <v>0.272403219624377</v>
      </c>
      <c r="V156" s="47">
        <f>(V155-U155)/U155</f>
        <v>-0.0950387083170166</v>
      </c>
      <c r="W156" s="3" t="n"/>
      <c r="X156" s="47">
        <f>(X155-W155)/W155</f>
        <v>0.472172292124359</v>
      </c>
      <c r="Y156" s="47">
        <f>(Y155-X155)/X155</f>
        <v>-0.14448187758609</v>
      </c>
      <c r="Z156" s="47">
        <f>(Z155-Y155)/Y155</f>
        <v>0.0572984116076856</v>
      </c>
      <c r="AA156" s="47">
        <f>(AA155-Z155)/Z155</f>
        <v>0.273015873015873</v>
      </c>
      <c r="AB156" s="3" t="n"/>
      <c r="AC156" s="47">
        <f>(AC155-AB155)/AB155</f>
        <v>0.00865945372788506</v>
      </c>
      <c r="AD156" s="47">
        <f>(AD155-AC155)/AC155</f>
        <v>0.134422208378757</v>
      </c>
      <c r="AE156" s="47">
        <f>(AE155-AD155)/AD155</f>
        <v>0.106361436685944</v>
      </c>
      <c r="AF156" s="218">
        <f>(AF155-AE155)/AE155</f>
        <v>0.0418017403173519</v>
      </c>
      <c r="AG156" s="3" t="n"/>
      <c r="AH156" s="3">
        <f>(AH155-AG155)/AG155</f>
        <v>0.230190870380847</v>
      </c>
      <c r="AI156" s="3">
        <f>(AI155-AH155)/AH155</f>
        <v>1.79348154961453</v>
      </c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hidden="1" outlineLevel="1">
      <c r="C157" s="34" t="n"/>
      <c r="D157" s="3" t="n"/>
      <c r="E157" s="47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52" t="inlineStr">
        <is>
          <t xml:space="preserve">Impostos e Contribuições a Recuperar </t>
        </is>
      </c>
      <c r="D158" s="6" t="n"/>
      <c r="E158" s="6" t="n"/>
      <c r="F158" s="6" t="n"/>
      <c r="G158" s="6" t="n"/>
      <c r="H158" s="3" t="n"/>
      <c r="I158" s="6" t="n"/>
      <c r="J158" s="6" t="n"/>
      <c r="K158" s="6" t="n"/>
      <c r="L158" s="6" t="n"/>
      <c r="M158" s="3" t="n"/>
      <c r="N158" s="6" t="n"/>
      <c r="O158" s="6" t="n"/>
      <c r="P158" s="6" t="n"/>
      <c r="Q158" s="6" t="n"/>
      <c r="R158" s="3" t="n"/>
      <c r="S158" s="6" t="n"/>
      <c r="T158" s="6" t="n"/>
      <c r="U158" s="6" t="n"/>
      <c r="V158" s="6" t="n"/>
      <c r="W158" s="3" t="n"/>
      <c r="X158" s="6" t="n"/>
      <c r="Y158" s="6" t="n"/>
      <c r="Z158" s="6" t="n"/>
      <c r="AA158" s="6" t="n"/>
      <c r="AB158" s="3" t="n"/>
      <c r="AC158" s="6" t="n"/>
      <c r="AD158" s="6" t="n"/>
      <c r="AE158" s="6" t="n"/>
      <c r="AF158" s="6" t="n"/>
      <c r="AG158" s="3">
        <f>AF158</f>
        <v>0</v>
      </c>
      <c r="AH158" s="216">
        <f>AG158*AH15/AG15</f>
        <v>0</v>
      </c>
      <c r="AI158" s="216">
        <f>AH158*AI15/AH15</f>
        <v>0</v>
      </c>
      <c r="AJ158" s="216">
        <f>AI158*AJ15/AI15</f>
        <v>0</v>
      </c>
      <c r="AK158" s="216">
        <f>AJ158*AK15/AJ15</f>
        <v>0</v>
      </c>
      <c r="AL158" s="3">
        <f>AK158</f>
        <v>0</v>
      </c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52" t="inlineStr">
        <is>
          <t>Outros Créditos</t>
        </is>
      </c>
      <c r="D159" s="6" t="n"/>
      <c r="E159" s="6" t="n"/>
      <c r="F159" s="6" t="n"/>
      <c r="G159" s="6" t="n"/>
      <c r="H159" s="3" t="n"/>
      <c r="I159" s="6" t="n"/>
      <c r="J159" s="6" t="n"/>
      <c r="K159" s="6" t="n"/>
      <c r="L159" s="6" t="n"/>
      <c r="M159" s="3" t="n"/>
      <c r="N159" s="6" t="n"/>
      <c r="O159" s="6" t="n"/>
      <c r="P159" s="6" t="n"/>
      <c r="Q159" s="6" t="n"/>
      <c r="R159" s="3" t="n"/>
      <c r="S159" s="6" t="n"/>
      <c r="T159" s="6" t="n"/>
      <c r="U159" s="6" t="n"/>
      <c r="V159" s="6" t="n"/>
      <c r="W159" s="3" t="n"/>
      <c r="X159" s="6" t="n"/>
      <c r="Y159" s="6" t="n"/>
      <c r="Z159" s="6" t="n"/>
      <c r="AA159" s="6" t="n"/>
      <c r="AB159" s="3" t="n"/>
      <c r="AC159" s="6" t="n"/>
      <c r="AD159" s="6" t="n"/>
      <c r="AE159" s="6" t="n"/>
      <c r="AF159" s="6" t="n"/>
      <c r="AG159" s="3">
        <f>AF159</f>
        <v>0</v>
      </c>
      <c r="AH159" s="3">
        <f>AG159</f>
        <v>0</v>
      </c>
      <c r="AI159" s="3">
        <f>AH159</f>
        <v>0</v>
      </c>
      <c r="AJ159" s="3">
        <f>AI159</f>
        <v>0</v>
      </c>
      <c r="AK159" s="3">
        <f>AJ159</f>
        <v>0</v>
      </c>
      <c r="AL159" s="3">
        <f>AK159</f>
        <v>0</v>
      </c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34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collapsed="1">
      <c r="C161" s="26" t="inlineStr">
        <is>
          <t>Equity in affiliates</t>
        </is>
      </c>
      <c r="D161" s="25">
        <f>INDEX('Inputs (2)'!$D$21:$AL$21,MATCH(D$7,'Inputs (2)'!$D$2:$AL$2,0))</f>
        <v>0</v>
      </c>
      <c r="E161" s="25">
        <f>INDEX('Inputs (2)'!$D$21:$AL$21,MATCH(E$7,'Inputs (2)'!$D$2:$AL$2,0))</f>
        <v>0</v>
      </c>
      <c r="F161" s="25">
        <f>INDEX('Inputs (2)'!$D$21:$AL$21,MATCH(F$7,'Inputs (2)'!$D$2:$AL$2,0))</f>
        <v>0</v>
      </c>
      <c r="G161" s="25">
        <f>INDEX('Inputs (2)'!$D$21:$AL$21,MATCH(G$7,'Inputs (2)'!$D$2:$AL$2,0))</f>
        <v>0</v>
      </c>
      <c r="H161" s="3">
        <f>G161</f>
        <v>0</v>
      </c>
      <c r="I161" s="25">
        <f>INDEX('Inputs (2)'!$D$21:$AL$21,MATCH(I$7,'Inputs (2)'!$D$2:$AL$2,0))</f>
        <v>0</v>
      </c>
      <c r="J161" s="25">
        <f>INDEX('Inputs (2)'!$D$21:$AL$21,MATCH(J$7,'Inputs (2)'!$D$2:$AL$2,0))</f>
        <v>0</v>
      </c>
      <c r="K161" s="25">
        <f>INDEX('Inputs (2)'!$D$21:$AL$21,MATCH(K$7,'Inputs (2)'!$D$2:$AL$2,0))</f>
        <v>1.623</v>
      </c>
      <c r="L161" s="25">
        <f>INDEX('Inputs (2)'!$D$21:$AL$21,MATCH(L$7,'Inputs (2)'!$D$2:$AL$2,0))</f>
        <v>4.422</v>
      </c>
      <c r="M161" s="3">
        <f>L161</f>
        <v>4.422</v>
      </c>
      <c r="N161" s="25">
        <f>INDEX('Inputs (2)'!$D$21:$AL$21,MATCH(N$7,'Inputs (2)'!$D$2:$AL$2,0))</f>
        <v>15.439</v>
      </c>
      <c r="O161" s="25">
        <f>INDEX('Inputs (2)'!$D$21:$AL$21,MATCH(O$7,'Inputs (2)'!$D$2:$AL$2,0))</f>
        <v>30.919</v>
      </c>
      <c r="P161" s="25">
        <f>INDEX('Inputs (2)'!$D$21:$AL$21,MATCH(P$7,'Inputs (2)'!$D$2:$AL$2,0))</f>
        <v>39.86</v>
      </c>
      <c r="Q161" s="25">
        <f>INDEX('Inputs (2)'!$D$21:$AL$21,MATCH(Q$7,'Inputs (2)'!$D$2:$AL$2,0))</f>
        <v>44.084</v>
      </c>
      <c r="R161" s="3">
        <f>Q161</f>
        <v>44.084</v>
      </c>
      <c r="S161" s="25">
        <f>INDEX('Inputs (2)'!$D$21:$AL$21,MATCH(S$7,'Inputs (2)'!$D$2:$AL$2,0))</f>
        <v>47.169</v>
      </c>
      <c r="T161" s="25">
        <f>INDEX('Inputs (2)'!$D$21:$AL$21,MATCH(T$7,'Inputs (2)'!$D$2:$AL$2,0))</f>
        <v>79.3</v>
      </c>
      <c r="U161" s="25">
        <f>INDEX('Inputs (2)'!$D$21:$AL$21,MATCH(U$7,'Inputs (2)'!$D$2:$AL$2,0))</f>
        <v>77.972</v>
      </c>
      <c r="V161" s="25">
        <f>INDEX('Inputs (2)'!$D$21:$AL$21,MATCH(V$7,'Inputs (2)'!$D$2:$AL$2,0))</f>
        <v>98.957</v>
      </c>
      <c r="W161" s="3">
        <f>V161</f>
        <v>98.957</v>
      </c>
      <c r="X161" s="25">
        <f>INDEX('Inputs (2)'!$D$21:$AL$21,MATCH(X$7,'Inputs (2)'!$D$2:$AL$2,0))</f>
        <v>102.447</v>
      </c>
      <c r="Y161" s="25">
        <f>INDEX('Inputs (2)'!$D$21:$AL$21,MATCH(Y$7,'Inputs (2)'!$D$2:$AL$2,0))</f>
        <v>101.856</v>
      </c>
      <c r="Z161" s="25">
        <f>INDEX('Inputs (2)'!$D$21:$AL$21,MATCH(Z$7,'Inputs (2)'!$D$2:$AL$2,0))</f>
        <v>106.556</v>
      </c>
      <c r="AA161" s="25">
        <f>INDEX('Inputs (2)'!$D$21:$AL$21,MATCH(AA$7,'Inputs (2)'!$D$2:$AL$2,0))</f>
        <v>112.801</v>
      </c>
      <c r="AB161" s="3">
        <f>AA161</f>
        <v>112.801</v>
      </c>
      <c r="AC161" s="25">
        <f>INDEX('Inputs (2)'!$D$21:$AL$21,MATCH(AC$7,'Inputs (2)'!$D$2:$AL$2,0))</f>
        <v>116.825</v>
      </c>
      <c r="AD161" s="25">
        <f>INDEX('Inputs (2)'!$D$21:$AL$21,MATCH(AD$7,'Inputs (2)'!$D$2:$AL$2,0))</f>
        <v>118.672</v>
      </c>
      <c r="AE161" s="25">
        <f>INDEX('Inputs (2)'!$D$21:$AL$21,MATCH(AE$7,'Inputs (2)'!$D$2:$AL$2,0))</f>
        <v>119.706</v>
      </c>
      <c r="AF161" s="25">
        <f>INDEX('Inputs (2)'!$D$21:$AL$21,MATCH(AF$7,'Inputs (2)'!$D$2:$AL$2,0))</f>
        <v>117.461</v>
      </c>
      <c r="AG161" s="3">
        <f>AF161</f>
        <v>117.461</v>
      </c>
      <c r="AH161" s="3">
        <f>INDEX('Inputs (2)'!$D$21:$AL$21,MATCH(AH$7,'Inputs (2)'!$D$2:$AL$2,0))</f>
        <v>117.036</v>
      </c>
      <c r="AI161" s="3">
        <f>INDEX('Inputs (2)'!$D$21:$AL$21,MATCH(AI$7,'Inputs (2)'!$D$2:$AL$2,0))</f>
        <v>142.539</v>
      </c>
      <c r="AJ161" s="3">
        <f>AI161+AJ135+AJ164</f>
        <v>143.563</v>
      </c>
      <c r="AK161" s="3">
        <f>AJ161+AK135+AK164</f>
        <v>143.597</v>
      </c>
      <c r="AL161" s="3">
        <f>AK161</f>
        <v>143.597</v>
      </c>
      <c r="AM161" s="3">
        <f>AL161+AM135+AM164</f>
        <v>143.136</v>
      </c>
      <c r="AN161" s="3">
        <f>AM161+AN135+AN164</f>
        <v>138.758</v>
      </c>
      <c r="AO161" s="3">
        <f>AN161+AO135+AO164</f>
        <v>139.782</v>
      </c>
      <c r="AP161" s="3">
        <f>AO161+AP135+AP164</f>
        <v>139.816</v>
      </c>
      <c r="AQ161" s="3">
        <f>AP161</f>
        <v>139.816</v>
      </c>
      <c r="AR161" s="3">
        <f>AQ161+AR135+AR164</f>
        <v>139.355</v>
      </c>
      <c r="AS161" s="3">
        <f>AR161+AS135+AS164</f>
        <v>134.977</v>
      </c>
      <c r="AT161" s="3">
        <f>AS161+AT135+AT164</f>
        <v>136.001</v>
      </c>
      <c r="AU161" s="3">
        <f>AT161+AU135+AU164</f>
        <v>136.035</v>
      </c>
      <c r="AV161" s="3">
        <f>AU161</f>
        <v>136.035</v>
      </c>
      <c r="AW161" s="3">
        <f>AV161+AW135+AW164</f>
        <v>135.574</v>
      </c>
      <c r="AX161" s="3">
        <f>AW161+AX135+AX164</f>
        <v>131.196</v>
      </c>
      <c r="AY161" s="3">
        <f>AX161+AY135+AY164</f>
        <v>132.22</v>
      </c>
      <c r="AZ161" s="3">
        <f>AY161+AZ135+AZ164</f>
        <v>132.254</v>
      </c>
      <c r="BA161" s="3">
        <f>AZ161</f>
        <v>132.254</v>
      </c>
      <c r="BB161" s="3">
        <f>BA161+BB135+BB164</f>
        <v>131.793</v>
      </c>
      <c r="BC161" s="3">
        <f>BB161+BC135+BC164</f>
        <v>127.415</v>
      </c>
      <c r="BD161" s="3">
        <f>BC161+BD135+BD164</f>
        <v>128.439</v>
      </c>
      <c r="BE161" s="3">
        <f>BD161+BE135+BE164</f>
        <v>128.473</v>
      </c>
      <c r="BF161" s="3">
        <f>BE161</f>
        <v>128.473</v>
      </c>
      <c r="BG161" s="3">
        <f>BF161+BG135+BG164</f>
        <v>128.012</v>
      </c>
      <c r="BH161" s="3">
        <f>BG161+BH135+BH164</f>
        <v>123.634</v>
      </c>
      <c r="BI161" s="3">
        <f>BH161+BI135+BI164</f>
        <v>124.658</v>
      </c>
      <c r="BJ161" s="3">
        <f>BI161+BJ135+BJ164</f>
        <v>124.692</v>
      </c>
      <c r="BK161" s="3">
        <f>BJ161</f>
        <v>124.692</v>
      </c>
      <c r="BL161" s="3">
        <f>BK161+BL135+BL164</f>
        <v>124.231</v>
      </c>
      <c r="BM161" s="3">
        <f>BL161+BM135+BM164</f>
        <v>119.853</v>
      </c>
      <c r="BN161" s="3">
        <f>BM161+BN135+BN164</f>
        <v>120.877</v>
      </c>
      <c r="BO161" s="3">
        <f>BN161+BO135+BO164</f>
        <v>120.911</v>
      </c>
      <c r="BP161" s="3">
        <f>BO161</f>
        <v>120.911</v>
      </c>
      <c r="BQ161" s="3">
        <f>BP161+BQ135+BQ164</f>
        <v>120.45</v>
      </c>
      <c r="BR161" s="3">
        <f>BQ161+BR135+BR164</f>
        <v>116.072</v>
      </c>
      <c r="BS161" s="3">
        <f>BR161+BS135+BS164</f>
        <v>117.096</v>
      </c>
      <c r="BT161" s="3">
        <f>BS161+BT135+BT164</f>
        <v>117.13</v>
      </c>
      <c r="BU161" s="3">
        <f>BT161</f>
        <v>117.13</v>
      </c>
      <c r="BV161" s="3">
        <f>BU161+BV135+BV164</f>
        <v>116.669</v>
      </c>
      <c r="BW161" s="3">
        <f>BV161+BW135+BW164</f>
        <v>112.291</v>
      </c>
      <c r="BX161" s="3">
        <f>BW161+BX135+BX164</f>
        <v>113.315</v>
      </c>
      <c r="BY161" s="3">
        <f>BX161+BY135+BY164</f>
        <v>113.349</v>
      </c>
      <c r="BZ161" s="3">
        <f>BY161</f>
        <v>113.349</v>
      </c>
      <c r="CA161" s="3">
        <f>BZ161+CA135+CA164</f>
        <v>112.888</v>
      </c>
      <c r="CB161" s="3">
        <f>CA161+CB135+CB164</f>
        <v>108.51</v>
      </c>
      <c r="CC161" s="3">
        <f>CB161+CC135+CC164</f>
        <v>109.534</v>
      </c>
      <c r="CD161" s="3">
        <f>CC161+CD135+CD164</f>
        <v>109.568</v>
      </c>
      <c r="CE161" s="3">
        <f>CD161</f>
        <v>109.568</v>
      </c>
      <c r="CF161" s="3">
        <f>CE161+CF135+CF164</f>
        <v>109.107</v>
      </c>
      <c r="CG161" s="3">
        <f>CF161+CG135+CG164</f>
        <v>104.729</v>
      </c>
      <c r="CH161" s="3">
        <f>CG161+CH135+CH164</f>
        <v>105.753</v>
      </c>
      <c r="CI161" s="3">
        <f>CH161+CI135+CI164</f>
        <v>105.787</v>
      </c>
      <c r="CJ161" s="3">
        <f>CI161</f>
        <v>105.787</v>
      </c>
      <c r="CK161" s="3">
        <f>CJ161+CK135+CK164</f>
        <v>105.326</v>
      </c>
      <c r="CL161" s="3">
        <f>CK161+CL135+CL164</f>
        <v>100.948</v>
      </c>
      <c r="CM161" s="3">
        <f>CL161+CM135+CM164</f>
        <v>101.972</v>
      </c>
      <c r="CN161" s="3">
        <f>CM161+CN135+CN164</f>
        <v>102.006</v>
      </c>
      <c r="CO161" s="3">
        <f>CN161</f>
        <v>102.006</v>
      </c>
      <c r="CP161" s="3">
        <f>CO161+CP135+CP164</f>
        <v>101.545</v>
      </c>
      <c r="CQ161" s="3">
        <f>CP161+CQ135+CQ164</f>
        <v>97.167</v>
      </c>
      <c r="CR161" s="3">
        <f>CQ161+CR135+CR164</f>
        <v>98.191</v>
      </c>
      <c r="CS161" s="3">
        <f>CR161+CS135+CS164</f>
        <v>98.225</v>
      </c>
      <c r="CT161" s="3">
        <f>CS161</f>
        <v>98.225</v>
      </c>
      <c r="CU161" s="3">
        <f>CT161+CU135+CU164</f>
        <v>97.764</v>
      </c>
      <c r="CV161" s="3">
        <f>CU161+CV135+CV164</f>
        <v>93.386</v>
      </c>
      <c r="CW161" s="3">
        <f>CV161+CW135+CW164</f>
        <v>94.41</v>
      </c>
      <c r="CX161" s="3">
        <f>CW161+CX135+CX164</f>
        <v>94.444</v>
      </c>
      <c r="CY161" s="3">
        <f>CX161</f>
        <v>94.444</v>
      </c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hidden="1" outlineLevel="1">
      <c r="C163" s="34" t="inlineStr">
        <is>
          <t>Equity in Income - % YoY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>
        <f>IF(I135=0,0,N135/I135-1)</f>
        <v>-1.00980392156863</v>
      </c>
      <c r="O163" s="3">
        <f>IF(J135=0,0,O135/J135-1)</f>
        <v>-202.321428571429</v>
      </c>
      <c r="P163" s="3">
        <f>IF(K135=0,0,P135/K135-1)</f>
        <v>43.5069767441861</v>
      </c>
      <c r="Q163" s="3">
        <f>IF(L135=0,0,Q135/L135-1)</f>
        <v>8.99736147757256</v>
      </c>
      <c r="R163" s="3" t="n"/>
      <c r="S163" s="3">
        <f>IF(N135=0,0,S135/N135-1)</f>
        <v>-2974</v>
      </c>
      <c r="T163" s="3">
        <f>IF(O135=0,0,T135/O135-1)</f>
        <v>-1.5431967358524</v>
      </c>
      <c r="U163" s="3">
        <f>IF(P135=0,0,U135/P135-1)</f>
        <v>-0.81408715644268</v>
      </c>
      <c r="V163" s="3">
        <f>IF(Q135=0,0,V135/Q135-1)</f>
        <v>-0.143309580364212</v>
      </c>
      <c r="W163" s="3" t="n"/>
      <c r="X163" s="3">
        <f>IF(S135=0,0,X135/S135-1)</f>
        <v>0.503531786074672</v>
      </c>
      <c r="Y163" s="3">
        <f>IF(T135=0,0,Y135/T135-1)</f>
        <v>-0.238406270411496</v>
      </c>
      <c r="Z163" s="3">
        <f>IF(U135=0,0,Z135/U135-1)</f>
        <v>1.94378864530635</v>
      </c>
      <c r="AA163" s="3">
        <f>IF(V135=0,0,AA135/V135-1)</f>
        <v>-0.18422674060382</v>
      </c>
      <c r="AB163" s="3" t="n"/>
      <c r="AC163" s="3">
        <f>IF(X135=0,0,AC135/X135-1)</f>
        <v>-0.0651006711409395</v>
      </c>
      <c r="AD163" s="3">
        <f>IF(Y135=0,0,AD135/Y135-1)</f>
        <v>-0.323327615780446</v>
      </c>
      <c r="AE163" s="3">
        <f>IF(Z135=0,0,AE135/Z135-1)</f>
        <v>-0.804468206988734</v>
      </c>
      <c r="AF163" s="3">
        <f>IF(AA135=0,0,AF135/AA135-1)</f>
        <v>-0.987160120845921</v>
      </c>
      <c r="AG163" s="3" t="n"/>
      <c r="AH163" s="6">
        <f>IF(AC135=0,0,AH135/AC135-1)</f>
        <v>-1.11031347212252</v>
      </c>
      <c r="AI163" s="6">
        <f>IF(AD135=0,0,AI135/AD135-1)</f>
        <v>-3.7743979721166</v>
      </c>
      <c r="AJ163" s="6" t="n"/>
      <c r="AK163" s="6" t="n"/>
      <c r="AL163" s="3" t="n"/>
      <c r="AM163" s="6" t="n"/>
      <c r="AN163" s="6" t="n"/>
      <c r="AO163" s="6" t="n"/>
      <c r="AP163" s="6" t="n"/>
      <c r="AQ163" s="3" t="n"/>
      <c r="AR163" s="6" t="n"/>
      <c r="AS163" s="6" t="n"/>
      <c r="AT163" s="6" t="n"/>
      <c r="AU163" s="6" t="n"/>
      <c r="AV163" s="3" t="n"/>
      <c r="AW163" s="6" t="n"/>
      <c r="AX163" s="6" t="n"/>
      <c r="AY163" s="6" t="n"/>
      <c r="AZ163" s="6" t="n"/>
      <c r="BA163" s="3" t="n"/>
      <c r="BB163" s="6" t="n"/>
      <c r="BC163" s="6" t="n"/>
      <c r="BD163" s="6" t="n"/>
      <c r="BE163" s="6" t="n"/>
      <c r="BF163" s="3" t="n"/>
      <c r="BG163" s="6" t="n"/>
      <c r="BH163" s="6" t="n"/>
      <c r="BI163" s="6" t="n"/>
      <c r="BJ163" s="6" t="n"/>
      <c r="BK163" s="3" t="n"/>
      <c r="BL163" s="6" t="n"/>
      <c r="BM163" s="6" t="n"/>
      <c r="BN163" s="6" t="n"/>
      <c r="BO163" s="6" t="n"/>
      <c r="BP163" s="3" t="n"/>
      <c r="BQ163" s="6" t="n"/>
      <c r="BR163" s="6" t="n"/>
      <c r="BS163" s="6" t="n"/>
      <c r="BT163" s="6" t="n"/>
      <c r="BU163" s="3" t="n"/>
      <c r="BV163" s="6" t="n"/>
      <c r="BW163" s="6" t="n"/>
      <c r="BX163" s="6" t="n"/>
      <c r="BY163" s="6" t="n"/>
      <c r="BZ163" s="3" t="n"/>
      <c r="CA163" s="6" t="n"/>
      <c r="CB163" s="6" t="n"/>
      <c r="CC163" s="6" t="n"/>
      <c r="CD163" s="6" t="n"/>
      <c r="CE163" s="3" t="n"/>
      <c r="CF163" s="6" t="n"/>
      <c r="CG163" s="6" t="n"/>
      <c r="CH163" s="6" t="n"/>
      <c r="CI163" s="6" t="n"/>
      <c r="CJ163" s="3" t="n"/>
      <c r="CK163" s="6" t="n"/>
      <c r="CL163" s="6" t="n"/>
      <c r="CM163" s="6" t="n"/>
      <c r="CN163" s="6" t="n"/>
      <c r="CO163" s="3" t="n"/>
      <c r="CP163" s="6" t="n"/>
      <c r="CQ163" s="6" t="n"/>
      <c r="CR163" s="6" t="n"/>
      <c r="CS163" s="6" t="n"/>
      <c r="CT163" s="3" t="n"/>
      <c r="CU163" s="6" t="n"/>
      <c r="CV163" s="6" t="n"/>
      <c r="CW163" s="6" t="n"/>
      <c r="CX163" s="6" t="n"/>
      <c r="CY163" s="3" t="n"/>
    </row>
    <row r="164" hidden="1" outlineLevel="1">
      <c r="C164" s="34" t="inlineStr">
        <is>
          <t>Dividends (enter as -)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6" t="n"/>
      <c r="AI164" s="6" t="n"/>
      <c r="AJ164" s="6" t="n"/>
      <c r="AK164" s="6" t="n"/>
      <c r="AL164" s="3" t="n"/>
      <c r="AM164" s="6" t="n"/>
      <c r="AN164" s="6" t="n"/>
      <c r="AO164" s="6" t="n"/>
      <c r="AP164" s="6" t="n"/>
      <c r="AQ164" s="3" t="n"/>
      <c r="AR164" s="6" t="n"/>
      <c r="AS164" s="6" t="n"/>
      <c r="AT164" s="6" t="n"/>
      <c r="AU164" s="6" t="n"/>
      <c r="AV164" s="3" t="n"/>
      <c r="AW164" s="6" t="n"/>
      <c r="AX164" s="6" t="n"/>
      <c r="AY164" s="6" t="n"/>
      <c r="AZ164" s="6" t="n"/>
      <c r="BA164" s="3" t="n"/>
      <c r="BB164" s="6" t="n"/>
      <c r="BC164" s="6" t="n"/>
      <c r="BD164" s="6" t="n"/>
      <c r="BE164" s="6" t="n"/>
      <c r="BF164" s="3" t="n"/>
      <c r="BG164" s="6" t="n"/>
      <c r="BH164" s="6" t="n"/>
      <c r="BI164" s="6" t="n"/>
      <c r="BJ164" s="6" t="n"/>
      <c r="BK164" s="3" t="n"/>
      <c r="BL164" s="6" t="n"/>
      <c r="BM164" s="6" t="n"/>
      <c r="BN164" s="6" t="n"/>
      <c r="BO164" s="6" t="n"/>
      <c r="BP164" s="3" t="n"/>
      <c r="BQ164" s="6" t="n"/>
      <c r="BR164" s="6" t="n"/>
      <c r="BS164" s="6" t="n"/>
      <c r="BT164" s="6" t="n"/>
      <c r="BU164" s="3" t="n"/>
      <c r="BV164" s="6" t="n"/>
      <c r="BW164" s="6" t="n"/>
      <c r="BX164" s="6" t="n"/>
      <c r="BY164" s="6" t="n"/>
      <c r="BZ164" s="3" t="n"/>
      <c r="CA164" s="6" t="n"/>
      <c r="CB164" s="6" t="n"/>
      <c r="CC164" s="6" t="n"/>
      <c r="CD164" s="6" t="n"/>
      <c r="CE164" s="3" t="n"/>
      <c r="CF164" s="6" t="n"/>
      <c r="CG164" s="6" t="n"/>
      <c r="CH164" s="6" t="n"/>
      <c r="CI164" s="6" t="n"/>
      <c r="CJ164" s="3" t="n"/>
      <c r="CK164" s="6" t="n"/>
      <c r="CL164" s="6" t="n"/>
      <c r="CM164" s="6" t="n"/>
      <c r="CN164" s="6" t="n"/>
      <c r="CO164" s="3" t="n"/>
      <c r="CP164" s="6" t="n"/>
      <c r="CQ164" s="6" t="n"/>
      <c r="CR164" s="6" t="n"/>
      <c r="CS164" s="6" t="n"/>
      <c r="CT164" s="3" t="n"/>
      <c r="CU164" s="6" t="n"/>
      <c r="CV164" s="6" t="n"/>
      <c r="CW164" s="6" t="n"/>
      <c r="CX164" s="6" t="n"/>
      <c r="CY164" s="3" t="n"/>
    </row>
    <row r="165" hidden="1" outlineLevel="1">
      <c r="C165" s="3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  <c r="CU165" s="3" t="n"/>
      <c r="CV165" s="3" t="n"/>
      <c r="CW165" s="3" t="n"/>
      <c r="CX165" s="3" t="n"/>
      <c r="CY165" s="3" t="n"/>
    </row>
    <row r="166" collapsed="1">
      <c r="C166" s="26" t="inlineStr">
        <is>
          <t>PP&amp;E</t>
        </is>
      </c>
      <c r="D166" s="25">
        <f>INDEX('Inputs (2)'!$D$22:$AL$22,MATCH(D$7,'Inputs (2)'!$D$2:$AL$2,0))</f>
        <v>268.175</v>
      </c>
      <c r="E166" s="25">
        <f>INDEX('Inputs (2)'!$D$22:$AL$22,MATCH(E$7,'Inputs (2)'!$D$2:$AL$2,0))</f>
        <v>277.176</v>
      </c>
      <c r="F166" s="25">
        <f>INDEX('Inputs (2)'!$D$22:$AL$22,MATCH(F$7,'Inputs (2)'!$D$2:$AL$2,0))</f>
        <v>274.941</v>
      </c>
      <c r="G166" s="25">
        <f>INDEX('Inputs (2)'!$D$22:$AL$22,MATCH(G$7,'Inputs (2)'!$D$2:$AL$2,0))</f>
        <v>284.195</v>
      </c>
      <c r="H166" s="3">
        <f>G166</f>
        <v>284.195</v>
      </c>
      <c r="I166" s="25">
        <f>INDEX('Inputs (2)'!$D$22:$AL$22,MATCH(I$7,'Inputs (2)'!$D$2:$AL$2,0))</f>
        <v>284.571</v>
      </c>
      <c r="J166" s="25">
        <f>INDEX('Inputs (2)'!$D$22:$AL$22,MATCH(J$7,'Inputs (2)'!$D$2:$AL$2,0))</f>
        <v>295.006</v>
      </c>
      <c r="K166" s="25">
        <f>INDEX('Inputs (2)'!$D$22:$AL$22,MATCH(K$7,'Inputs (2)'!$D$2:$AL$2,0))</f>
        <v>310.592</v>
      </c>
      <c r="L166" s="25">
        <f>INDEX('Inputs (2)'!$D$22:$AL$22,MATCH(L$7,'Inputs (2)'!$D$2:$AL$2,0))</f>
        <v>375.789</v>
      </c>
      <c r="M166" s="3">
        <f>L166</f>
        <v>375.789</v>
      </c>
      <c r="N166" s="25">
        <f>INDEX('Inputs (2)'!$D$22:$AL$22,MATCH(N$7,'Inputs (2)'!$D$2:$AL$2,0))</f>
        <v>436.313</v>
      </c>
      <c r="O166" s="25">
        <f>INDEX('Inputs (2)'!$D$22:$AL$22,MATCH(O$7,'Inputs (2)'!$D$2:$AL$2,0))</f>
        <v>743.024</v>
      </c>
      <c r="P166" s="25">
        <f>INDEX('Inputs (2)'!$D$22:$AL$22,MATCH(P$7,'Inputs (2)'!$D$2:$AL$2,0))</f>
        <v>745.099</v>
      </c>
      <c r="Q166" s="25">
        <f>INDEX('Inputs (2)'!$D$22:$AL$22,MATCH(Q$7,'Inputs (2)'!$D$2:$AL$2,0))</f>
        <v>785.079</v>
      </c>
      <c r="R166" s="3">
        <f>Q166</f>
        <v>785.079</v>
      </c>
      <c r="S166" s="25">
        <f>INDEX('Inputs (2)'!$D$22:$AL$22,MATCH(S$7,'Inputs (2)'!$D$2:$AL$2,0))</f>
        <v>815.367</v>
      </c>
      <c r="T166" s="25">
        <f>INDEX('Inputs (2)'!$D$22:$AL$22,MATCH(T$7,'Inputs (2)'!$D$2:$AL$2,0))</f>
        <v>842.62</v>
      </c>
      <c r="U166" s="25">
        <f>INDEX('Inputs (2)'!$D$22:$AL$22,MATCH(U$7,'Inputs (2)'!$D$2:$AL$2,0))</f>
        <v>904.989</v>
      </c>
      <c r="V166" s="25">
        <f>INDEX('Inputs (2)'!$D$22:$AL$22,MATCH(V$7,'Inputs (2)'!$D$2:$AL$2,0))</f>
        <v>920.767</v>
      </c>
      <c r="W166" s="3">
        <f>V166</f>
        <v>920.767</v>
      </c>
      <c r="X166" s="25">
        <f>INDEX('Inputs (2)'!$D$22:$AL$22,MATCH(X$7,'Inputs (2)'!$D$2:$AL$2,0))</f>
        <v>963.174</v>
      </c>
      <c r="Y166" s="25">
        <f>INDEX('Inputs (2)'!$D$22:$AL$22,MATCH(Y$7,'Inputs (2)'!$D$2:$AL$2,0))</f>
        <v>1080.851</v>
      </c>
      <c r="Z166" s="25">
        <f>INDEX('Inputs (2)'!$D$22:$AL$22,MATCH(Z$7,'Inputs (2)'!$D$2:$AL$2,0))</f>
        <v>1363.573</v>
      </c>
      <c r="AA166" s="25">
        <f>INDEX('Inputs (2)'!$D$22:$AL$22,MATCH(AA$7,'Inputs (2)'!$D$2:$AL$2,0))</f>
        <v>1556.269</v>
      </c>
      <c r="AB166" s="3">
        <f>AA166</f>
        <v>1556.269</v>
      </c>
      <c r="AC166" s="25">
        <f>INDEX('Inputs (2)'!$D$22:$AL$22,MATCH(AC$7,'Inputs (2)'!$D$2:$AL$2,0))</f>
        <v>1642.208</v>
      </c>
      <c r="AD166" s="25">
        <f>INDEX('Inputs (2)'!$D$22:$AL$22,MATCH(AD$7,'Inputs (2)'!$D$2:$AL$2,0))</f>
        <v>1828.49</v>
      </c>
      <c r="AE166" s="25">
        <f>INDEX('Inputs (2)'!$D$22:$AL$22,MATCH(AE$7,'Inputs (2)'!$D$2:$AL$2,0))</f>
        <v>1937.105</v>
      </c>
      <c r="AF166" s="25">
        <f>INDEX('Inputs (2)'!$D$22:$AL$22,MATCH(AF$7,'Inputs (2)'!$D$2:$AL$2,0))</f>
        <v>2070.525</v>
      </c>
      <c r="AG166" s="3">
        <f>AF166</f>
        <v>2070.525</v>
      </c>
      <c r="AH166" s="3">
        <f>INDEX('Inputs (2)'!$D$22:$AL$22,MATCH(AH$7,'Inputs (2)'!$D$2:$AL$2,0))</f>
        <v>2218.63</v>
      </c>
      <c r="AI166" s="3">
        <f>INDEX('Inputs (2)'!$D$22:$AL$22,MATCH(AI$7,'Inputs (2)'!$D$2:$AL$2,0))</f>
        <v>3306.709</v>
      </c>
      <c r="AJ166" s="3">
        <f>AJ171</f>
        <v>3306.709</v>
      </c>
      <c r="AK166" s="3">
        <f>AK171</f>
        <v>3306.709</v>
      </c>
      <c r="AL166" s="3">
        <f>AK166</f>
        <v>3306.709</v>
      </c>
      <c r="AM166" s="3">
        <f>AM171</f>
        <v>3306.709</v>
      </c>
      <c r="AN166" s="3">
        <f>AN171</f>
        <v>3306.709</v>
      </c>
      <c r="AO166" s="3">
        <f>AO171</f>
        <v>3306.709</v>
      </c>
      <c r="AP166" s="3">
        <f>AP171</f>
        <v>3306.709</v>
      </c>
      <c r="AQ166" s="3">
        <f>AP166</f>
        <v>3306.709</v>
      </c>
      <c r="AR166" s="3">
        <f>AR171</f>
        <v>3306.709</v>
      </c>
      <c r="AS166" s="3">
        <f>AS171</f>
        <v>3306.709</v>
      </c>
      <c r="AT166" s="3">
        <f>AT171</f>
        <v>3306.709</v>
      </c>
      <c r="AU166" s="3">
        <f>AU171</f>
        <v>3306.709</v>
      </c>
      <c r="AV166" s="3">
        <f>AU166</f>
        <v>3306.709</v>
      </c>
      <c r="AW166" s="3">
        <f>AW171</f>
        <v>3306.709</v>
      </c>
      <c r="AX166" s="3">
        <f>AX171</f>
        <v>3306.709</v>
      </c>
      <c r="AY166" s="3">
        <f>AY171</f>
        <v>3306.709</v>
      </c>
      <c r="AZ166" s="3">
        <f>AZ171</f>
        <v>3306.709</v>
      </c>
      <c r="BA166" s="3">
        <f>AZ166</f>
        <v>3306.709</v>
      </c>
      <c r="BB166" s="3">
        <f>BB171</f>
        <v>3306.709</v>
      </c>
      <c r="BC166" s="3">
        <f>BC171</f>
        <v>3306.709</v>
      </c>
      <c r="BD166" s="3">
        <f>BD171</f>
        <v>3306.709</v>
      </c>
      <c r="BE166" s="3">
        <f>BE171</f>
        <v>3306.709</v>
      </c>
      <c r="BF166" s="3">
        <f>BE166</f>
        <v>3306.709</v>
      </c>
      <c r="BG166" s="3">
        <f>BG171</f>
        <v>3306.709</v>
      </c>
      <c r="BH166" s="3">
        <f>BH171</f>
        <v>3306.709</v>
      </c>
      <c r="BI166" s="3">
        <f>BI171</f>
        <v>3306.709</v>
      </c>
      <c r="BJ166" s="3">
        <f>BJ171</f>
        <v>3306.709</v>
      </c>
      <c r="BK166" s="3">
        <f>BJ166</f>
        <v>3306.709</v>
      </c>
      <c r="BL166" s="3">
        <f>BL171</f>
        <v>3306.709</v>
      </c>
      <c r="BM166" s="3">
        <f>BM171</f>
        <v>3306.709</v>
      </c>
      <c r="BN166" s="3">
        <f>BN171</f>
        <v>3306.709</v>
      </c>
      <c r="BO166" s="3">
        <f>BO171</f>
        <v>3306.709</v>
      </c>
      <c r="BP166" s="3">
        <f>BO166</f>
        <v>3306.709</v>
      </c>
      <c r="BQ166" s="3">
        <f>BQ171</f>
        <v>3306.709</v>
      </c>
      <c r="BR166" s="3">
        <f>BR171</f>
        <v>3306.709</v>
      </c>
      <c r="BS166" s="3">
        <f>BS171</f>
        <v>3306.709</v>
      </c>
      <c r="BT166" s="3">
        <f>BT171</f>
        <v>3306.709</v>
      </c>
      <c r="BU166" s="3">
        <f>BT166</f>
        <v>3306.709</v>
      </c>
      <c r="BV166" s="3">
        <f>BV171</f>
        <v>3306.709</v>
      </c>
      <c r="BW166" s="3">
        <f>BW171</f>
        <v>3306.709</v>
      </c>
      <c r="BX166" s="3">
        <f>BX171</f>
        <v>3306.709</v>
      </c>
      <c r="BY166" s="3">
        <f>BY171</f>
        <v>3306.709</v>
      </c>
      <c r="BZ166" s="3">
        <f>BY166</f>
        <v>3306.709</v>
      </c>
      <c r="CA166" s="3">
        <f>CA171</f>
        <v>3306.709</v>
      </c>
      <c r="CB166" s="3">
        <f>CB171</f>
        <v>3306.709</v>
      </c>
      <c r="CC166" s="3">
        <f>CC171</f>
        <v>3306.709</v>
      </c>
      <c r="CD166" s="3">
        <f>CD171</f>
        <v>3306.709</v>
      </c>
      <c r="CE166" s="3">
        <f>CD166</f>
        <v>3306.709</v>
      </c>
      <c r="CF166" s="3">
        <f>CF171</f>
        <v>3306.709</v>
      </c>
      <c r="CG166" s="3">
        <f>CG171</f>
        <v>3306.709</v>
      </c>
      <c r="CH166" s="3">
        <f>CH171</f>
        <v>3306.709</v>
      </c>
      <c r="CI166" s="3">
        <f>CI171</f>
        <v>3306.709</v>
      </c>
      <c r="CJ166" s="3">
        <f>CI166</f>
        <v>3306.709</v>
      </c>
      <c r="CK166" s="3">
        <f>CK171</f>
        <v>3306.709</v>
      </c>
      <c r="CL166" s="3">
        <f>CL171</f>
        <v>3306.709</v>
      </c>
      <c r="CM166" s="3">
        <f>CM171</f>
        <v>3306.709</v>
      </c>
      <c r="CN166" s="3">
        <f>CN171</f>
        <v>3306.709</v>
      </c>
      <c r="CO166" s="3">
        <f>CN166</f>
        <v>3306.709</v>
      </c>
      <c r="CP166" s="3">
        <f>CP171</f>
        <v>3306.709</v>
      </c>
      <c r="CQ166" s="3">
        <f>CQ171</f>
        <v>3306.709</v>
      </c>
      <c r="CR166" s="3">
        <f>CR171</f>
        <v>3306.709</v>
      </c>
      <c r="CS166" s="3">
        <f>CS171</f>
        <v>3306.709</v>
      </c>
      <c r="CT166" s="3">
        <f>CS166</f>
        <v>3306.709</v>
      </c>
      <c r="CU166" s="3">
        <f>CU171</f>
        <v>3306.709</v>
      </c>
      <c r="CV166" s="3">
        <f>CV171</f>
        <v>3306.709</v>
      </c>
      <c r="CW166" s="3">
        <f>CW171</f>
        <v>3306.709</v>
      </c>
      <c r="CX166" s="3">
        <f>CX171</f>
        <v>3306.709</v>
      </c>
      <c r="CY166" s="3">
        <f>CX166</f>
        <v>3306.709</v>
      </c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hidden="1" outlineLevel="1">
      <c r="C168" s="34" t="inlineStr">
        <is>
          <t>Capital expenditures</t>
        </is>
      </c>
      <c r="D168" s="3" t="n"/>
      <c r="E168" s="3">
        <f>E166-D166-E70</f>
        <v>23.68</v>
      </c>
      <c r="F168" s="3">
        <f>F166-E166-F70</f>
        <v>7.86700000000004</v>
      </c>
      <c r="G168" s="3">
        <f>G166-F166-G70</f>
        <v>22.419</v>
      </c>
      <c r="H168" s="3" t="n"/>
      <c r="I168" s="3">
        <f>I166-H166-I70</f>
        <v>11.055</v>
      </c>
      <c r="J168" s="3">
        <f>J166-I166-J70</f>
        <v>22.313</v>
      </c>
      <c r="K168" s="3">
        <f>K166-J166-K70</f>
        <v>28.72</v>
      </c>
      <c r="L168" s="3">
        <f>L166-K166-L70</f>
        <v>82.901</v>
      </c>
      <c r="M168" s="3" t="n"/>
      <c r="N168" s="3">
        <f>N166-M166-N70</f>
        <v>76.212</v>
      </c>
      <c r="O168" s="3">
        <f>O166-N166-O70</f>
        <v>336.807</v>
      </c>
      <c r="P168" s="3">
        <f>P166-O166-P70</f>
        <v>50.151</v>
      </c>
      <c r="Q168" s="3">
        <f>Q166-P166-Q70</f>
        <v>81.838</v>
      </c>
      <c r="R168" s="3" t="n"/>
      <c r="S168" s="3">
        <f>S166-R166-S70</f>
        <v>90.5129999999999</v>
      </c>
      <c r="T168" s="3">
        <f>T166-S166-T70</f>
        <v>62.889</v>
      </c>
      <c r="U168" s="3">
        <f>U166-T166-U70</f>
        <v>99.603</v>
      </c>
      <c r="V168" s="3">
        <f>V166-U166-V70</f>
        <v>48.343</v>
      </c>
      <c r="W168" s="3" t="n"/>
      <c r="X168" s="3">
        <f>X166-W166-X70</f>
        <v>77.6099999999999</v>
      </c>
      <c r="Y168" s="3">
        <f>Y166-X166-Y70</f>
        <v>149.952</v>
      </c>
      <c r="Z168" s="3">
        <f>Z166-Y166-Z70</f>
        <v>322.592</v>
      </c>
      <c r="AA168" s="3">
        <f>AA166-Z166-AA70</f>
        <v>241.315</v>
      </c>
      <c r="AB168" s="3" t="n"/>
      <c r="AC168" s="3">
        <f>AC166-AB166-AC70</f>
        <v>134.602</v>
      </c>
      <c r="AD168" s="3">
        <f>AD166-AC166-AD70</f>
        <v>229.218</v>
      </c>
      <c r="AE168" s="3">
        <f>AE166-AD166-AE70</f>
        <v>153.227</v>
      </c>
      <c r="AF168" s="6">
        <f>AF166-AE166-AF70</f>
        <v>178.387</v>
      </c>
      <c r="AG168" s="3">
        <f>SUM(AC168:AF168)</f>
        <v>695.434</v>
      </c>
      <c r="AH168" s="6">
        <f>AH166-AG166-AH70</f>
        <v>199.494</v>
      </c>
      <c r="AI168" s="6">
        <f>AI166-AH166-AI70</f>
        <v>1145.971</v>
      </c>
      <c r="AJ168" s="6" t="n"/>
      <c r="AK168" s="6" t="n"/>
      <c r="AL168" s="3" t="n"/>
      <c r="AM168" s="6" t="n"/>
      <c r="AN168" s="6" t="n"/>
      <c r="AO168" s="6" t="n"/>
      <c r="AP168" s="6" t="n"/>
      <c r="AQ168" s="3" t="n"/>
      <c r="AR168" s="6" t="n"/>
      <c r="AS168" s="6" t="n"/>
      <c r="AT168" s="6" t="n"/>
      <c r="AU168" s="6" t="n"/>
      <c r="AV168" s="3" t="n"/>
      <c r="AW168" s="6" t="n"/>
      <c r="AX168" s="6" t="n"/>
      <c r="AY168" s="6" t="n"/>
      <c r="AZ168" s="6" t="n"/>
      <c r="BA168" s="3" t="n"/>
      <c r="BB168" s="6" t="n"/>
      <c r="BC168" s="6" t="n"/>
      <c r="BD168" s="6" t="n"/>
      <c r="BE168" s="6" t="n"/>
      <c r="BF168" s="3" t="n"/>
      <c r="BG168" s="6" t="n"/>
      <c r="BH168" s="6" t="n"/>
      <c r="BI168" s="6" t="n"/>
      <c r="BJ168" s="6" t="n"/>
      <c r="BK168" s="3" t="n"/>
      <c r="BL168" s="6" t="n"/>
      <c r="BM168" s="6" t="n"/>
      <c r="BN168" s="6" t="n"/>
      <c r="BO168" s="6" t="n"/>
      <c r="BP168" s="3" t="n"/>
      <c r="BQ168" s="6" t="n"/>
      <c r="BR168" s="6" t="n"/>
      <c r="BS168" s="6" t="n"/>
      <c r="BT168" s="6" t="n"/>
      <c r="BU168" s="3" t="n"/>
      <c r="BV168" s="6" t="n"/>
      <c r="BW168" s="6" t="n"/>
      <c r="BX168" s="6" t="n"/>
      <c r="BY168" s="6" t="n"/>
      <c r="BZ168" s="3" t="n"/>
      <c r="CA168" s="6" t="n"/>
      <c r="CB168" s="6" t="n"/>
      <c r="CC168" s="6" t="n"/>
      <c r="CD168" s="6" t="n"/>
      <c r="CE168" s="3" t="n"/>
      <c r="CF168" s="6" t="n"/>
      <c r="CG168" s="6" t="n"/>
      <c r="CH168" s="6" t="n"/>
      <c r="CI168" s="6" t="n"/>
      <c r="CJ168" s="3" t="n"/>
      <c r="CK168" s="6" t="n"/>
      <c r="CL168" s="6" t="n"/>
      <c r="CM168" s="6" t="n"/>
      <c r="CN168" s="6" t="n"/>
      <c r="CO168" s="3" t="n"/>
      <c r="CP168" s="6" t="n"/>
      <c r="CQ168" s="6" t="n"/>
      <c r="CR168" s="6" t="n"/>
      <c r="CS168" s="6" t="n"/>
      <c r="CT168" s="3" t="n"/>
      <c r="CU168" s="6" t="n"/>
      <c r="CV168" s="6" t="n"/>
      <c r="CW168" s="6" t="n"/>
      <c r="CX168" s="6" t="n"/>
      <c r="CY168" s="3" t="n"/>
    </row>
    <row r="169" hidden="1" outlineLevel="1">
      <c r="C169" s="34" t="inlineStr">
        <is>
          <t>Recurring asset sales (enter as -)</t>
        </is>
      </c>
      <c r="D169" s="3" t="n"/>
      <c r="E169" s="3" t="n"/>
      <c r="F169" s="3" t="n"/>
      <c r="G169" s="3" t="n"/>
      <c r="H169" s="3">
        <f>SUM(D169:G169)</f>
        <v>0</v>
      </c>
      <c r="I169" s="3" t="n"/>
      <c r="J169" s="3" t="n"/>
      <c r="K169" s="3" t="n"/>
      <c r="L169" s="3" t="n"/>
      <c r="M169" s="3">
        <f>SUM(I169:L169)</f>
        <v>0</v>
      </c>
      <c r="N169" s="3" t="n"/>
      <c r="O169" s="3" t="n"/>
      <c r="P169" s="3" t="n"/>
      <c r="Q169" s="3" t="n"/>
      <c r="R169" s="3">
        <f>SUM(N169:Q169)</f>
        <v>0</v>
      </c>
      <c r="S169" s="3" t="n"/>
      <c r="T169" s="3" t="n"/>
      <c r="U169" s="3" t="n"/>
      <c r="V169" s="3" t="n"/>
      <c r="W169" s="3">
        <f>SUM(S169:V169)</f>
        <v>0</v>
      </c>
      <c r="X169" s="3" t="n"/>
      <c r="Y169" s="3" t="n"/>
      <c r="Z169" s="3" t="n"/>
      <c r="AA169" s="3" t="n"/>
      <c r="AB169" s="3">
        <f>SUM(X169:AA169)</f>
        <v>0</v>
      </c>
      <c r="AC169" s="3" t="n"/>
      <c r="AD169" s="3" t="n"/>
      <c r="AE169" s="3" t="n"/>
      <c r="AF169" s="6" t="n"/>
      <c r="AG169" s="3" t="n"/>
      <c r="AH169" s="6" t="n"/>
      <c r="AI169" s="6" t="n"/>
      <c r="AJ169" s="6" t="n"/>
      <c r="AK169" s="6" t="n"/>
      <c r="AL169" s="3" t="n"/>
      <c r="AM169" s="6" t="n"/>
      <c r="AN169" s="6" t="n"/>
      <c r="AO169" s="6" t="n"/>
      <c r="AP169" s="6" t="n"/>
      <c r="AQ169" s="3" t="n"/>
      <c r="AR169" s="6" t="n"/>
      <c r="AS169" s="6" t="n"/>
      <c r="AT169" s="6" t="n"/>
      <c r="AU169" s="6" t="n"/>
      <c r="AV169" s="3" t="n"/>
      <c r="AW169" s="6" t="n"/>
      <c r="AX169" s="6" t="n"/>
      <c r="AY169" s="6" t="n"/>
      <c r="AZ169" s="6" t="n"/>
      <c r="BA169" s="3" t="n"/>
      <c r="BB169" s="6" t="n"/>
      <c r="BC169" s="6" t="n"/>
      <c r="BD169" s="6" t="n"/>
      <c r="BE169" s="6" t="n"/>
      <c r="BF169" s="3" t="n"/>
      <c r="BG169" s="6" t="n"/>
      <c r="BH169" s="6" t="n"/>
      <c r="BI169" s="6" t="n"/>
      <c r="BJ169" s="6" t="n"/>
      <c r="BK169" s="3" t="n"/>
      <c r="BL169" s="6" t="n"/>
      <c r="BM169" s="6" t="n"/>
      <c r="BN169" s="6" t="n"/>
      <c r="BO169" s="6" t="n"/>
      <c r="BP169" s="3" t="n"/>
      <c r="BQ169" s="6" t="n"/>
      <c r="BR169" s="6" t="n"/>
      <c r="BS169" s="6" t="n"/>
      <c r="BT169" s="6" t="n"/>
      <c r="BU169" s="3" t="n"/>
      <c r="BV169" s="6" t="n"/>
      <c r="BW169" s="6" t="n"/>
      <c r="BX169" s="6" t="n"/>
      <c r="BY169" s="6" t="n"/>
      <c r="BZ169" s="3" t="n"/>
      <c r="CA169" s="6" t="n"/>
      <c r="CB169" s="6" t="n"/>
      <c r="CC169" s="6" t="n"/>
      <c r="CD169" s="6" t="n"/>
      <c r="CE169" s="3" t="n"/>
      <c r="CF169" s="6" t="n"/>
      <c r="CG169" s="6" t="n"/>
      <c r="CH169" s="6" t="n"/>
      <c r="CI169" s="6" t="n"/>
      <c r="CJ169" s="3" t="n"/>
      <c r="CK169" s="6" t="n"/>
      <c r="CL169" s="6" t="n"/>
      <c r="CM169" s="6" t="n"/>
      <c r="CN169" s="6" t="n"/>
      <c r="CO169" s="3" t="n"/>
      <c r="CP169" s="6" t="n"/>
      <c r="CQ169" s="6" t="n"/>
      <c r="CR169" s="6" t="n"/>
      <c r="CS169" s="6" t="n"/>
      <c r="CT169" s="3" t="n"/>
      <c r="CU169" s="6" t="n"/>
      <c r="CV169" s="6" t="n"/>
      <c r="CW169" s="6" t="n"/>
      <c r="CX169" s="6" t="n"/>
      <c r="CY169" s="3" t="n"/>
    </row>
    <row r="170" hidden="1" outlineLevel="1">
      <c r="C170" s="34" t="inlineStr">
        <is>
          <t>Depreciation</t>
        </is>
      </c>
      <c r="D170" s="3">
        <f>D70</f>
        <v>-12.083</v>
      </c>
      <c r="E170" s="3">
        <f>E70</f>
        <v>-14.679</v>
      </c>
      <c r="F170" s="3">
        <f>F70</f>
        <v>-10.102</v>
      </c>
      <c r="G170" s="3">
        <f>G70</f>
        <v>-13.165</v>
      </c>
      <c r="H170" s="3" t="n"/>
      <c r="I170" s="3">
        <f>I70</f>
        <v>-10.679</v>
      </c>
      <c r="J170" s="3">
        <f>J70</f>
        <v>-11.878</v>
      </c>
      <c r="K170" s="3">
        <f>K70</f>
        <v>-13.134</v>
      </c>
      <c r="L170" s="3">
        <f>L70</f>
        <v>-17.704</v>
      </c>
      <c r="M170" s="3" t="n"/>
      <c r="N170" s="3">
        <f>N70</f>
        <v>-15.688</v>
      </c>
      <c r="O170" s="3">
        <f>O70</f>
        <v>-30.096</v>
      </c>
      <c r="P170" s="3">
        <f>P70</f>
        <v>-48.076</v>
      </c>
      <c r="Q170" s="3">
        <f>Q70</f>
        <v>-41.858</v>
      </c>
      <c r="R170" s="3" t="n"/>
      <c r="S170" s="3">
        <f>S70</f>
        <v>-60.225</v>
      </c>
      <c r="T170" s="3">
        <f>T70</f>
        <v>-35.636</v>
      </c>
      <c r="U170" s="3">
        <f>U70</f>
        <v>-37.234</v>
      </c>
      <c r="V170" s="3">
        <f>V70</f>
        <v>-32.565</v>
      </c>
      <c r="W170" s="3" t="n"/>
      <c r="X170" s="3">
        <f>X70</f>
        <v>-35.203</v>
      </c>
      <c r="Y170" s="3">
        <f>Y70</f>
        <v>-32.275</v>
      </c>
      <c r="Z170" s="3">
        <f>Z70</f>
        <v>-39.87</v>
      </c>
      <c r="AA170" s="3">
        <f>AA70</f>
        <v>-48.619</v>
      </c>
      <c r="AB170" s="3" t="n"/>
      <c r="AC170" s="3">
        <f>AC70</f>
        <v>-48.663</v>
      </c>
      <c r="AD170" s="3">
        <f>AD70</f>
        <v>-42.936</v>
      </c>
      <c r="AE170" s="3">
        <f>AE70</f>
        <v>-44.612</v>
      </c>
      <c r="AF170" s="3">
        <f>AF70</f>
        <v>-44.967</v>
      </c>
      <c r="AG170" s="3" t="n"/>
      <c r="AH170" s="3">
        <f>AH70</f>
        <v>-51.389</v>
      </c>
      <c r="AI170" s="3">
        <f>AI70</f>
        <v>-57.892</v>
      </c>
      <c r="AJ170" s="3">
        <f>AJ70</f>
        <v>0</v>
      </c>
      <c r="AK170" s="3">
        <f>AK70</f>
        <v>0</v>
      </c>
      <c r="AL170" s="3" t="n"/>
      <c r="AM170" s="3">
        <f>AM70</f>
        <v>0</v>
      </c>
      <c r="AN170" s="3">
        <f>AN70</f>
        <v>0</v>
      </c>
      <c r="AO170" s="3">
        <f>AO70</f>
        <v>0</v>
      </c>
      <c r="AP170" s="3">
        <f>AP70</f>
        <v>0</v>
      </c>
      <c r="AQ170" s="3" t="n"/>
      <c r="AR170" s="3">
        <f>AR70</f>
        <v>0</v>
      </c>
      <c r="AS170" s="3">
        <f>AS70</f>
        <v>0</v>
      </c>
      <c r="AT170" s="3">
        <f>AT70</f>
        <v>0</v>
      </c>
      <c r="AU170" s="3">
        <f>AU70</f>
        <v>0</v>
      </c>
      <c r="AV170" s="3" t="n"/>
      <c r="AW170" s="3">
        <f>AW70</f>
        <v>0</v>
      </c>
      <c r="AX170" s="3">
        <f>AX70</f>
        <v>0</v>
      </c>
      <c r="AY170" s="3">
        <f>AY70</f>
        <v>0</v>
      </c>
      <c r="AZ170" s="3">
        <f>AZ70</f>
        <v>0</v>
      </c>
      <c r="BA170" s="3" t="n"/>
      <c r="BB170" s="3">
        <f>BB70</f>
        <v>0</v>
      </c>
      <c r="BC170" s="3">
        <f>BC70</f>
        <v>0</v>
      </c>
      <c r="BD170" s="3">
        <f>BD70</f>
        <v>0</v>
      </c>
      <c r="BE170" s="3">
        <f>BE70</f>
        <v>0</v>
      </c>
      <c r="BF170" s="3" t="n"/>
      <c r="BG170" s="3">
        <f>BG70</f>
        <v>0</v>
      </c>
      <c r="BH170" s="3">
        <f>BH70</f>
        <v>0</v>
      </c>
      <c r="BI170" s="3">
        <f>BI70</f>
        <v>0</v>
      </c>
      <c r="BJ170" s="3">
        <f>BJ70</f>
        <v>0</v>
      </c>
      <c r="BK170" s="3" t="n"/>
      <c r="BL170" s="3">
        <f>BL70</f>
        <v>0</v>
      </c>
      <c r="BM170" s="3">
        <f>BM70</f>
        <v>0</v>
      </c>
      <c r="BN170" s="3">
        <f>BN70</f>
        <v>0</v>
      </c>
      <c r="BO170" s="3">
        <f>BO70</f>
        <v>0</v>
      </c>
      <c r="BP170" s="3" t="n"/>
      <c r="BQ170" s="3">
        <f>BQ70</f>
        <v>0</v>
      </c>
      <c r="BR170" s="3">
        <f>BR70</f>
        <v>0</v>
      </c>
      <c r="BS170" s="3">
        <f>BS70</f>
        <v>0</v>
      </c>
      <c r="BT170" s="3">
        <f>BT70</f>
        <v>0</v>
      </c>
      <c r="BU170" s="3" t="n"/>
      <c r="BV170" s="3">
        <f>BV70</f>
        <v>0</v>
      </c>
      <c r="BW170" s="3">
        <f>BW70</f>
        <v>0</v>
      </c>
      <c r="BX170" s="3">
        <f>BX70</f>
        <v>0</v>
      </c>
      <c r="BY170" s="3">
        <f>BY70</f>
        <v>0</v>
      </c>
      <c r="BZ170" s="3" t="n"/>
      <c r="CA170" s="3">
        <f>CA70</f>
        <v>0</v>
      </c>
      <c r="CB170" s="3">
        <f>CB70</f>
        <v>0</v>
      </c>
      <c r="CC170" s="3">
        <f>CC70</f>
        <v>0</v>
      </c>
      <c r="CD170" s="3">
        <f>CD70</f>
        <v>0</v>
      </c>
      <c r="CE170" s="3" t="n"/>
      <c r="CF170" s="3">
        <f>CF70</f>
        <v>0</v>
      </c>
      <c r="CG170" s="3">
        <f>CG70</f>
        <v>0</v>
      </c>
      <c r="CH170" s="3">
        <f>CH70</f>
        <v>0</v>
      </c>
      <c r="CI170" s="3">
        <f>CI70</f>
        <v>0</v>
      </c>
      <c r="CJ170" s="3" t="n"/>
      <c r="CK170" s="3">
        <f>CK70</f>
        <v>0</v>
      </c>
      <c r="CL170" s="3">
        <f>CL70</f>
        <v>0</v>
      </c>
      <c r="CM170" s="3">
        <f>CM70</f>
        <v>0</v>
      </c>
      <c r="CN170" s="3">
        <f>CN70</f>
        <v>0</v>
      </c>
      <c r="CO170" s="3" t="n"/>
      <c r="CP170" s="3">
        <f>CP70</f>
        <v>0</v>
      </c>
      <c r="CQ170" s="3">
        <f>CQ70</f>
        <v>0</v>
      </c>
      <c r="CR170" s="3">
        <f>CR70</f>
        <v>0</v>
      </c>
      <c r="CS170" s="3">
        <f>CS70</f>
        <v>0</v>
      </c>
      <c r="CT170" s="3" t="n"/>
      <c r="CU170" s="3">
        <f>CU70</f>
        <v>0</v>
      </c>
      <c r="CV170" s="3">
        <f>CV70</f>
        <v>0</v>
      </c>
      <c r="CW170" s="3">
        <f>CW70</f>
        <v>0</v>
      </c>
      <c r="CX170" s="3">
        <f>CX70</f>
        <v>0</v>
      </c>
      <c r="CY170" s="3" t="n"/>
    </row>
    <row r="171" hidden="1" outlineLevel="1">
      <c r="C171" s="34" t="inlineStr">
        <is>
          <t>PP&amp;E</t>
        </is>
      </c>
      <c r="D171" s="3">
        <f>D166</f>
        <v>268.175</v>
      </c>
      <c r="E171" s="3">
        <f>E166</f>
        <v>277.176</v>
      </c>
      <c r="F171" s="3">
        <f>F166</f>
        <v>274.941</v>
      </c>
      <c r="G171" s="3">
        <f>G166</f>
        <v>284.195</v>
      </c>
      <c r="H171" s="3" t="n"/>
      <c r="I171" s="3">
        <f>I166</f>
        <v>284.571</v>
      </c>
      <c r="J171" s="3">
        <f>J166</f>
        <v>295.006</v>
      </c>
      <c r="K171" s="3">
        <f>K166</f>
        <v>310.592</v>
      </c>
      <c r="L171" s="3">
        <f>L166</f>
        <v>375.789</v>
      </c>
      <c r="M171" s="3" t="n"/>
      <c r="N171" s="3">
        <f>N166</f>
        <v>436.313</v>
      </c>
      <c r="O171" s="3">
        <f>O166</f>
        <v>743.024</v>
      </c>
      <c r="P171" s="3">
        <f>P166</f>
        <v>745.099</v>
      </c>
      <c r="Q171" s="3">
        <f>Q166</f>
        <v>785.079</v>
      </c>
      <c r="R171" s="3" t="n"/>
      <c r="S171" s="3">
        <f>S166</f>
        <v>815.367</v>
      </c>
      <c r="T171" s="3">
        <f>T166</f>
        <v>842.62</v>
      </c>
      <c r="U171" s="3">
        <f>U166</f>
        <v>904.989</v>
      </c>
      <c r="V171" s="3">
        <f>V166</f>
        <v>920.767</v>
      </c>
      <c r="W171" s="3" t="n"/>
      <c r="X171" s="3">
        <f>X166</f>
        <v>963.174</v>
      </c>
      <c r="Y171" s="3">
        <f>Y166</f>
        <v>1080.851</v>
      </c>
      <c r="Z171" s="3">
        <f>Z166</f>
        <v>1363.573</v>
      </c>
      <c r="AA171" s="3">
        <f>Y171+SUM(AA168:AA170)</f>
        <v>1273.547</v>
      </c>
      <c r="AB171" s="3" t="n"/>
      <c r="AC171" s="3">
        <f>AC166</f>
        <v>1642.208</v>
      </c>
      <c r="AD171" s="3">
        <f>AD166</f>
        <v>1828.49</v>
      </c>
      <c r="AE171" s="3">
        <f>AE166</f>
        <v>1937.105</v>
      </c>
      <c r="AF171" s="3">
        <f>AE171+SUM(AF168:AF170)</f>
        <v>2070.525</v>
      </c>
      <c r="AG171" s="3" t="n"/>
      <c r="AH171" s="3">
        <f>AH166</f>
        <v>2218.63</v>
      </c>
      <c r="AI171" s="3">
        <f>AI166</f>
        <v>3306.709</v>
      </c>
      <c r="AJ171" s="3">
        <f>AI171+SUM(AJ168:AJ170)</f>
        <v>3306.709</v>
      </c>
      <c r="AK171" s="3">
        <f>AJ171+SUM(AK168:AK170)</f>
        <v>3306.709</v>
      </c>
      <c r="AL171" s="3" t="n"/>
      <c r="AM171" s="3">
        <f>AK171+SUM(AM168:AM170)</f>
        <v>3306.709</v>
      </c>
      <c r="AN171" s="3">
        <f>AM171+SUM(AN168:AN170)</f>
        <v>3306.709</v>
      </c>
      <c r="AO171" s="3">
        <f>AN171+SUM(AO168:AO170)</f>
        <v>3306.709</v>
      </c>
      <c r="AP171" s="3">
        <f>AO171+SUM(AP168:AP170)</f>
        <v>3306.709</v>
      </c>
      <c r="AQ171" s="3" t="n"/>
      <c r="AR171" s="3">
        <f>AP171+SUM(AR168:AR170)</f>
        <v>3306.709</v>
      </c>
      <c r="AS171" s="3">
        <f>AR171+SUM(AS168:AS170)</f>
        <v>3306.709</v>
      </c>
      <c r="AT171" s="3">
        <f>AS171+SUM(AT168:AT170)</f>
        <v>3306.709</v>
      </c>
      <c r="AU171" s="3">
        <f>AT171+SUM(AU168:AU170)</f>
        <v>3306.709</v>
      </c>
      <c r="AV171" s="3" t="n"/>
      <c r="AW171" s="3">
        <f>AU171+SUM(AW168:AW170)</f>
        <v>3306.709</v>
      </c>
      <c r="AX171" s="3">
        <f>AW171+SUM(AX168:AX170)</f>
        <v>3306.709</v>
      </c>
      <c r="AY171" s="3">
        <f>AX171+SUM(AY168:AY170)</f>
        <v>3306.709</v>
      </c>
      <c r="AZ171" s="3">
        <f>AY171+SUM(AZ168:AZ170)</f>
        <v>3306.709</v>
      </c>
      <c r="BA171" s="3" t="n"/>
      <c r="BB171" s="3">
        <f>AZ171+SUM(BB168:BB170)</f>
        <v>3306.709</v>
      </c>
      <c r="BC171" s="3">
        <f>BB171+SUM(BC168:BC170)</f>
        <v>3306.709</v>
      </c>
      <c r="BD171" s="3">
        <f>BC171+SUM(BD168:BD170)</f>
        <v>3306.709</v>
      </c>
      <c r="BE171" s="3">
        <f>BD171+SUM(BE168:BE170)</f>
        <v>3306.709</v>
      </c>
      <c r="BF171" s="3" t="n"/>
      <c r="BG171" s="3">
        <f>BE171+SUM(BG168:BG170)</f>
        <v>3306.709</v>
      </c>
      <c r="BH171" s="3">
        <f>BG171+SUM(BH168:BH170)</f>
        <v>3306.709</v>
      </c>
      <c r="BI171" s="3">
        <f>BH171+SUM(BI168:BI170)</f>
        <v>3306.709</v>
      </c>
      <c r="BJ171" s="3">
        <f>BI171+SUM(BJ168:BJ170)</f>
        <v>3306.709</v>
      </c>
      <c r="BK171" s="3" t="n"/>
      <c r="BL171" s="3">
        <f>BJ171+SUM(BL168:BL170)</f>
        <v>3306.709</v>
      </c>
      <c r="BM171" s="3">
        <f>BL171+SUM(BM168:BM170)</f>
        <v>3306.709</v>
      </c>
      <c r="BN171" s="3">
        <f>BM171+SUM(BN168:BN170)</f>
        <v>3306.709</v>
      </c>
      <c r="BO171" s="3">
        <f>BN171+SUM(BO168:BO170)</f>
        <v>3306.709</v>
      </c>
      <c r="BP171" s="3" t="n"/>
      <c r="BQ171" s="3">
        <f>BO171+SUM(BQ168:BQ170)</f>
        <v>3306.709</v>
      </c>
      <c r="BR171" s="3">
        <f>BQ171+SUM(BR168:BR170)</f>
        <v>3306.709</v>
      </c>
      <c r="BS171" s="3">
        <f>BR171+SUM(BS168:BS170)</f>
        <v>3306.709</v>
      </c>
      <c r="BT171" s="3">
        <f>BS171+SUM(BT168:BT170)</f>
        <v>3306.709</v>
      </c>
      <c r="BU171" s="3" t="n"/>
      <c r="BV171" s="3">
        <f>BT171+SUM(BV168:BV170)</f>
        <v>3306.709</v>
      </c>
      <c r="BW171" s="3">
        <f>BV171+SUM(BW168:BW170)</f>
        <v>3306.709</v>
      </c>
      <c r="BX171" s="3">
        <f>BW171+SUM(BX168:BX170)</f>
        <v>3306.709</v>
      </c>
      <c r="BY171" s="3">
        <f>BX171+SUM(BY168:BY170)</f>
        <v>3306.709</v>
      </c>
      <c r="BZ171" s="3" t="n"/>
      <c r="CA171" s="3">
        <f>BY171+SUM(CA168:CA170)</f>
        <v>3306.709</v>
      </c>
      <c r="CB171" s="3">
        <f>CA171+SUM(CB168:CB170)</f>
        <v>3306.709</v>
      </c>
      <c r="CC171" s="3">
        <f>CB171+SUM(CC168:CC170)</f>
        <v>3306.709</v>
      </c>
      <c r="CD171" s="3">
        <f>CC171+SUM(CD168:CD170)</f>
        <v>3306.709</v>
      </c>
      <c r="CE171" s="3" t="n"/>
      <c r="CF171" s="3">
        <f>CD171+SUM(CF168:CF170)</f>
        <v>3306.709</v>
      </c>
      <c r="CG171" s="3">
        <f>CF171+SUM(CG168:CG170)</f>
        <v>3306.709</v>
      </c>
      <c r="CH171" s="3">
        <f>CG171+SUM(CH168:CH170)</f>
        <v>3306.709</v>
      </c>
      <c r="CI171" s="3">
        <f>CH171+SUM(CI168:CI170)</f>
        <v>3306.709</v>
      </c>
      <c r="CJ171" s="3" t="n"/>
      <c r="CK171" s="3">
        <f>CI171+SUM(CK168:CK170)</f>
        <v>3306.709</v>
      </c>
      <c r="CL171" s="3">
        <f>CK171+SUM(CL168:CL170)</f>
        <v>3306.709</v>
      </c>
      <c r="CM171" s="3">
        <f>CL171+SUM(CM168:CM170)</f>
        <v>3306.709</v>
      </c>
      <c r="CN171" s="3">
        <f>CM171+SUM(CN168:CN170)</f>
        <v>3306.709</v>
      </c>
      <c r="CO171" s="3" t="n"/>
      <c r="CP171" s="3">
        <f>CN171+SUM(CP168:CP170)</f>
        <v>3306.709</v>
      </c>
      <c r="CQ171" s="3">
        <f>CP171+SUM(CQ168:CQ170)</f>
        <v>3306.709</v>
      </c>
      <c r="CR171" s="3">
        <f>CQ171+SUM(CR168:CR170)</f>
        <v>3306.709</v>
      </c>
      <c r="CS171" s="3">
        <f>CR171+SUM(CS168:CS170)</f>
        <v>3306.709</v>
      </c>
      <c r="CT171" s="3" t="n"/>
      <c r="CU171" s="3">
        <f>CS171+SUM(CU168:CU170)</f>
        <v>3306.709</v>
      </c>
      <c r="CV171" s="3">
        <f>CU171+SUM(CV168:CV170)</f>
        <v>3306.709</v>
      </c>
      <c r="CW171" s="3">
        <f>CV171+SUM(CW168:CW170)</f>
        <v>3306.709</v>
      </c>
      <c r="CX171" s="3">
        <f>CW171+SUM(CX168:CX170)</f>
        <v>3306.709</v>
      </c>
      <c r="CY171" s="3" t="n"/>
      <c r="CZ171">
        <f>CX171+SUM(CZ168:CZ170)</f>
        <v>3306.709</v>
      </c>
      <c r="DA171">
        <f>CZ171+SUM(DA168:DA170)</f>
        <v>3306.709</v>
      </c>
      <c r="DB171">
        <f>DA171+SUM(DB168:DB170)</f>
        <v>3306.709</v>
      </c>
      <c r="DC171">
        <f>DB171+SUM(DC168:DC170)</f>
        <v>3306.709</v>
      </c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hidden="1" outlineLevel="1">
      <c r="C173" s="34" t="inlineStr">
        <is>
          <t>Capital expenditures (% Net Revenues)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40">
        <f>AF168/AF15</f>
        <v>0.674918372056949</v>
      </c>
      <c r="AG173" s="40">
        <f>AG168/AG15</f>
        <v>0.662103699754365</v>
      </c>
      <c r="AH173" s="40">
        <f>AH168/AH15</f>
        <v>0.602562553613068</v>
      </c>
      <c r="AI173" s="40">
        <f>AI168/AI15</f>
        <v>1.83992415338869</v>
      </c>
      <c r="AJ173" s="40">
        <f>AJ168/AJ15</f>
        <v>0</v>
      </c>
      <c r="AK173" s="40">
        <f>AK168/AK15</f>
        <v>0</v>
      </c>
      <c r="AL173" s="40">
        <f>AL168/AL15</f>
        <v>0</v>
      </c>
      <c r="AM173" s="40">
        <f>AM168/AM15</f>
        <v>0</v>
      </c>
      <c r="AN173" s="40">
        <f>AN168/AN15</f>
        <v>0</v>
      </c>
      <c r="AO173" s="40">
        <f>AO168/AO15</f>
        <v>0</v>
      </c>
      <c r="AP173" s="40">
        <f>AP168/AP15</f>
        <v>0</v>
      </c>
      <c r="AQ173" s="40">
        <f>AQ168/AQ15</f>
        <v>0</v>
      </c>
      <c r="AR173" s="40">
        <f>AR168/AR15</f>
        <v>0</v>
      </c>
      <c r="AS173" s="40">
        <f>AS168/AS15</f>
        <v>0</v>
      </c>
      <c r="AT173" s="40">
        <f>AT168/AT15</f>
        <v>0</v>
      </c>
      <c r="AU173" s="40">
        <f>AU168/AU15</f>
        <v>0</v>
      </c>
      <c r="AV173" s="40">
        <f>AV168/AV15</f>
        <v>0</v>
      </c>
      <c r="AW173" s="40">
        <f>AW168/AW15</f>
        <v>0</v>
      </c>
      <c r="AX173" s="40">
        <f>AX168/AX15</f>
        <v>0</v>
      </c>
      <c r="AY173" s="40">
        <f>AY168/AY15</f>
        <v>0</v>
      </c>
      <c r="AZ173" s="40">
        <f>AZ168/AZ15</f>
        <v>0</v>
      </c>
      <c r="BA173" s="40">
        <f>BA168/BA15</f>
        <v>0</v>
      </c>
      <c r="BB173" s="40">
        <f>BB168/BB15</f>
        <v>0</v>
      </c>
      <c r="BC173" s="40">
        <f>BC168/BC15</f>
        <v>0</v>
      </c>
      <c r="BD173" s="40">
        <f>BD168/BD15</f>
        <v>0</v>
      </c>
      <c r="BE173" s="40">
        <f>BE168/BE15</f>
        <v>0</v>
      </c>
      <c r="BF173" s="40">
        <f>BF168/BF15</f>
        <v>0</v>
      </c>
      <c r="BG173" s="40">
        <f>BG168/BG15</f>
        <v>0</v>
      </c>
      <c r="BH173" s="40">
        <f>BH168/BH15</f>
        <v>0</v>
      </c>
      <c r="BI173" s="40">
        <f>BI168/BI15</f>
        <v>0</v>
      </c>
      <c r="BJ173" s="40">
        <f>BJ168/BJ15</f>
        <v>0</v>
      </c>
      <c r="BK173" s="40">
        <f>BK168/BK15</f>
        <v>0</v>
      </c>
      <c r="BL173" s="40">
        <f>BL168/BL15</f>
        <v>0</v>
      </c>
      <c r="BM173" s="40">
        <f>BM168/BM15</f>
        <v>0</v>
      </c>
      <c r="BN173" s="40">
        <f>BN168/BN15</f>
        <v>0</v>
      </c>
      <c r="BO173" s="40">
        <f>BO168/BO15</f>
        <v>0</v>
      </c>
      <c r="BP173" s="40">
        <f>BP168/BP15</f>
        <v>0</v>
      </c>
      <c r="BQ173" s="40">
        <f>BQ168/BQ15</f>
        <v>0</v>
      </c>
      <c r="BR173" s="40">
        <f>BR168/BR15</f>
        <v>0</v>
      </c>
      <c r="BS173" s="40">
        <f>BS168/BS15</f>
        <v>0</v>
      </c>
      <c r="BT173" s="40">
        <f>BT168/BT15</f>
        <v>0</v>
      </c>
      <c r="BU173" s="40">
        <f>BU168/BU15</f>
        <v>0</v>
      </c>
      <c r="BV173" s="40">
        <f>BV168/BV15</f>
        <v>0</v>
      </c>
      <c r="BW173" s="40">
        <f>BW168/BW15</f>
        <v>0</v>
      </c>
      <c r="BX173" s="40">
        <f>BX168/BX15</f>
        <v>0</v>
      </c>
      <c r="BY173" s="40">
        <f>BY168/BY15</f>
        <v>0</v>
      </c>
      <c r="BZ173" s="40">
        <f>BZ168/BZ15</f>
        <v>0</v>
      </c>
      <c r="CA173" s="40">
        <f>CA168/CA15</f>
        <v>0</v>
      </c>
      <c r="CB173" s="40">
        <f>CB168/CB15</f>
        <v>0</v>
      </c>
      <c r="CC173" s="40">
        <f>CC168/CC15</f>
        <v>0</v>
      </c>
      <c r="CD173" s="40">
        <f>CD168/CD15</f>
        <v>0</v>
      </c>
      <c r="CE173" s="40">
        <f>CE168/CE15</f>
        <v>0</v>
      </c>
      <c r="CF173" s="40">
        <f>CF168/CF15</f>
        <v>0</v>
      </c>
      <c r="CG173" s="40">
        <f>CG168/CG15</f>
        <v>0</v>
      </c>
      <c r="CH173" s="40">
        <f>CH168/CH15</f>
        <v>0</v>
      </c>
      <c r="CI173" s="40">
        <f>CI168/CI15</f>
        <v>0</v>
      </c>
      <c r="CJ173" s="40">
        <f>CJ168/CJ15</f>
        <v>0</v>
      </c>
      <c r="CK173" s="40">
        <f>CK168/CK15</f>
        <v>0</v>
      </c>
      <c r="CL173" s="40">
        <f>CL168/CL15</f>
        <v>0</v>
      </c>
      <c r="CM173" s="40">
        <f>CM168/CM15</f>
        <v>0</v>
      </c>
      <c r="CN173" s="40">
        <f>CN168/CN15</f>
        <v>0</v>
      </c>
      <c r="CO173" s="40">
        <f>CO168/CO15</f>
        <v>0</v>
      </c>
      <c r="CP173" s="40">
        <f>CP168/CP15</f>
        <v>0</v>
      </c>
      <c r="CQ173" s="40">
        <f>CQ168/CQ15</f>
        <v>0</v>
      </c>
      <c r="CR173" s="40">
        <f>CR168/CR15</f>
        <v>0</v>
      </c>
      <c r="CS173" s="40">
        <f>CS168/CS15</f>
        <v>0</v>
      </c>
      <c r="CT173" s="40">
        <f>CT168/CT15</f>
        <v>0</v>
      </c>
      <c r="CU173" s="40">
        <f>CU168/CU15</f>
        <v>0</v>
      </c>
      <c r="CV173" s="40">
        <f>CV168/CV15</f>
        <v>0</v>
      </c>
      <c r="CW173" s="40">
        <f>CW168/CW15</f>
        <v>0</v>
      </c>
      <c r="CX173" s="40">
        <f>CX168/CX15</f>
        <v>0</v>
      </c>
      <c r="CY173" s="40">
        <f>CY168/CY15</f>
        <v>0</v>
      </c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hidden="1" outlineLevel="1">
      <c r="C175" s="3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collapsed="1">
      <c r="C176" s="26" t="inlineStr">
        <is>
          <t>Right-of-use-assets</t>
        </is>
      </c>
      <c r="D176" s="25">
        <f>INDEX('Inputs (2)'!$D$23:$AL$23,MATCH(D$7,'Inputs (2)'!$D$2:$AL$2,0))</f>
        <v>11.179</v>
      </c>
      <c r="E176" s="25">
        <f>INDEX('Inputs (2)'!$D$23:$AL$23,MATCH(E$7,'Inputs (2)'!$D$2:$AL$2,0))</f>
        <v>9.711</v>
      </c>
      <c r="F176" s="25">
        <f>INDEX('Inputs (2)'!$D$23:$AL$23,MATCH(F$7,'Inputs (2)'!$D$2:$AL$2,0))</f>
        <v>8.99</v>
      </c>
      <c r="G176" s="25">
        <f>INDEX('Inputs (2)'!$D$23:$AL$23,MATCH(G$7,'Inputs (2)'!$D$2:$AL$2,0))</f>
        <v>11.201</v>
      </c>
      <c r="H176" s="3">
        <f>G176</f>
        <v>11.201</v>
      </c>
      <c r="I176" s="25">
        <f>INDEX('Inputs (2)'!$D$23:$AL$23,MATCH(I$7,'Inputs (2)'!$D$2:$AL$2,0))</f>
        <v>18.009</v>
      </c>
      <c r="J176" s="25">
        <f>INDEX('Inputs (2)'!$D$23:$AL$23,MATCH(J$7,'Inputs (2)'!$D$2:$AL$2,0))</f>
        <v>17.861</v>
      </c>
      <c r="K176" s="25">
        <f>INDEX('Inputs (2)'!$D$23:$AL$23,MATCH(K$7,'Inputs (2)'!$D$2:$AL$2,0))</f>
        <v>22.216</v>
      </c>
      <c r="L176" s="25">
        <f>INDEX('Inputs (2)'!$D$23:$AL$23,MATCH(L$7,'Inputs (2)'!$D$2:$AL$2,0))</f>
        <v>18.81</v>
      </c>
      <c r="M176" s="3">
        <f>L176</f>
        <v>18.81</v>
      </c>
      <c r="N176" s="25">
        <f>INDEX('Inputs (2)'!$D$23:$AL$23,MATCH(N$7,'Inputs (2)'!$D$2:$AL$2,0))</f>
        <v>20.349</v>
      </c>
      <c r="O176" s="25">
        <f>INDEX('Inputs (2)'!$D$23:$AL$23,MATCH(O$7,'Inputs (2)'!$D$2:$AL$2,0))</f>
        <v>32.183</v>
      </c>
      <c r="P176" s="25">
        <f>INDEX('Inputs (2)'!$D$23:$AL$23,MATCH(P$7,'Inputs (2)'!$D$2:$AL$2,0))</f>
        <v>44.721</v>
      </c>
      <c r="Q176" s="25">
        <f>INDEX('Inputs (2)'!$D$23:$AL$23,MATCH(Q$7,'Inputs (2)'!$D$2:$AL$2,0))</f>
        <v>42.658</v>
      </c>
      <c r="R176" s="3">
        <f>Q176</f>
        <v>42.658</v>
      </c>
      <c r="S176" s="25">
        <f>INDEX('Inputs (2)'!$D$23:$AL$23,MATCH(S$7,'Inputs (2)'!$D$2:$AL$2,0))</f>
        <v>36.672</v>
      </c>
      <c r="T176" s="25">
        <f>INDEX('Inputs (2)'!$D$23:$AL$23,MATCH(T$7,'Inputs (2)'!$D$2:$AL$2,0))</f>
        <v>46.848</v>
      </c>
      <c r="U176" s="25">
        <f>INDEX('Inputs (2)'!$D$23:$AL$23,MATCH(U$7,'Inputs (2)'!$D$2:$AL$2,0))</f>
        <v>38.878</v>
      </c>
      <c r="V176" s="25">
        <f>INDEX('Inputs (2)'!$D$23:$AL$23,MATCH(V$7,'Inputs (2)'!$D$2:$AL$2,0))</f>
        <v>40.67</v>
      </c>
      <c r="W176" s="3">
        <f>V176</f>
        <v>40.67</v>
      </c>
      <c r="X176" s="25">
        <f>INDEX('Inputs (2)'!$D$23:$AL$23,MATCH(X$7,'Inputs (2)'!$D$2:$AL$2,0))</f>
        <v>41.626</v>
      </c>
      <c r="Y176" s="25">
        <f>INDEX('Inputs (2)'!$D$23:$AL$23,MATCH(Y$7,'Inputs (2)'!$D$2:$AL$2,0))</f>
        <v>45.004</v>
      </c>
      <c r="Z176" s="25">
        <f>INDEX('Inputs (2)'!$D$23:$AL$23,MATCH(Z$7,'Inputs (2)'!$D$2:$AL$2,0))</f>
        <v>96.143</v>
      </c>
      <c r="AA176" s="25">
        <f>INDEX('Inputs (2)'!$D$23:$AL$23,MATCH(AA$7,'Inputs (2)'!$D$2:$AL$2,0))</f>
        <v>98.549</v>
      </c>
      <c r="AB176" s="3">
        <f>AA176</f>
        <v>98.549</v>
      </c>
      <c r="AC176" s="25">
        <f>INDEX('Inputs (2)'!$D$23:$AL$23,MATCH(AC$7,'Inputs (2)'!$D$2:$AL$2,0))</f>
        <v>100.278</v>
      </c>
      <c r="AD176" s="25">
        <f>INDEX('Inputs (2)'!$D$23:$AL$23,MATCH(AD$7,'Inputs (2)'!$D$2:$AL$2,0))</f>
        <v>80.784</v>
      </c>
      <c r="AE176" s="25">
        <f>INDEX('Inputs (2)'!$D$23:$AL$23,MATCH(AE$7,'Inputs (2)'!$D$2:$AL$2,0))</f>
        <v>73.022</v>
      </c>
      <c r="AF176" s="25">
        <f>INDEX('Inputs (2)'!$D$23:$AL$23,MATCH(AF$7,'Inputs (2)'!$D$2:$AL$2,0))</f>
        <v>98.014</v>
      </c>
      <c r="AG176" s="3">
        <f>AF176</f>
        <v>98.014</v>
      </c>
      <c r="AH176" s="3">
        <f>INDEX('Inputs (2)'!$D$23:$AL$23,MATCH(AH$7,'Inputs (2)'!$D$2:$AL$2,0))</f>
        <v>87.373</v>
      </c>
      <c r="AI176" s="3">
        <f>INDEX('Inputs (2)'!$D$23:$AL$23,MATCH(AI$7,'Inputs (2)'!$D$2:$AL$2,0))</f>
        <v>92.908</v>
      </c>
      <c r="AJ176" s="3">
        <f>AI176</f>
        <v>92.908</v>
      </c>
      <c r="AK176" s="3">
        <f>AJ176</f>
        <v>92.908</v>
      </c>
      <c r="AL176" s="3">
        <f>AK176</f>
        <v>92.908</v>
      </c>
      <c r="AM176" s="3">
        <f>AL176</f>
        <v>92.908</v>
      </c>
      <c r="AN176" s="3">
        <f>AM176</f>
        <v>92.908</v>
      </c>
      <c r="AO176" s="3">
        <f>AN176</f>
        <v>92.908</v>
      </c>
      <c r="AP176" s="3">
        <f>AO176</f>
        <v>92.908</v>
      </c>
      <c r="AQ176" s="3">
        <f>AP176</f>
        <v>92.908</v>
      </c>
      <c r="AR176" s="3">
        <f>AQ176</f>
        <v>92.908</v>
      </c>
      <c r="AS176" s="3">
        <f>AR176</f>
        <v>92.908</v>
      </c>
      <c r="AT176" s="3">
        <f>AS176</f>
        <v>92.908</v>
      </c>
      <c r="AU176" s="3">
        <f>AT176</f>
        <v>92.908</v>
      </c>
      <c r="AV176" s="3">
        <f>AU176</f>
        <v>92.908</v>
      </c>
      <c r="AW176" s="3">
        <f>AV176</f>
        <v>92.908</v>
      </c>
      <c r="AX176" s="3">
        <f>AW176</f>
        <v>92.908</v>
      </c>
      <c r="AY176" s="3">
        <f>AX176</f>
        <v>92.908</v>
      </c>
      <c r="AZ176" s="3">
        <f>AY176</f>
        <v>92.908</v>
      </c>
      <c r="BA176" s="3">
        <f>AZ176</f>
        <v>92.908</v>
      </c>
      <c r="BB176" s="3">
        <f>BA176</f>
        <v>92.908</v>
      </c>
      <c r="BC176" s="3">
        <f>BB176</f>
        <v>92.908</v>
      </c>
      <c r="BD176" s="3">
        <f>BC176</f>
        <v>92.908</v>
      </c>
      <c r="BE176" s="3">
        <f>BD176</f>
        <v>92.908</v>
      </c>
      <c r="BF176" s="3">
        <f>BE176</f>
        <v>92.908</v>
      </c>
      <c r="BG176" s="3">
        <f>BF176</f>
        <v>92.908</v>
      </c>
      <c r="BH176" s="3">
        <f>BG176</f>
        <v>92.908</v>
      </c>
      <c r="BI176" s="3">
        <f>BH176</f>
        <v>92.908</v>
      </c>
      <c r="BJ176" s="3">
        <f>BI176</f>
        <v>92.908</v>
      </c>
      <c r="BK176" s="3">
        <f>BJ176</f>
        <v>92.908</v>
      </c>
      <c r="BL176" s="3">
        <f>BK176</f>
        <v>92.908</v>
      </c>
      <c r="BM176" s="3">
        <f>BL176</f>
        <v>92.908</v>
      </c>
      <c r="BN176" s="3">
        <f>BM176</f>
        <v>92.908</v>
      </c>
      <c r="BO176" s="3">
        <f>BN176</f>
        <v>92.908</v>
      </c>
      <c r="BP176" s="3">
        <f>BO176</f>
        <v>92.908</v>
      </c>
      <c r="BQ176" s="3">
        <f>BP176</f>
        <v>92.908</v>
      </c>
      <c r="BR176" s="3">
        <f>BQ176</f>
        <v>92.908</v>
      </c>
      <c r="BS176" s="3">
        <f>BR176</f>
        <v>92.908</v>
      </c>
      <c r="BT176" s="3">
        <f>BS176</f>
        <v>92.908</v>
      </c>
      <c r="BU176" s="3">
        <f>BT176</f>
        <v>92.908</v>
      </c>
      <c r="BV176" s="3">
        <f>BU176</f>
        <v>92.908</v>
      </c>
      <c r="BW176" s="3">
        <f>BV176</f>
        <v>92.908</v>
      </c>
      <c r="BX176" s="3">
        <f>BW176</f>
        <v>92.908</v>
      </c>
      <c r="BY176" s="3">
        <f>BX176</f>
        <v>92.908</v>
      </c>
      <c r="BZ176" s="3">
        <f>BY176</f>
        <v>92.908</v>
      </c>
      <c r="CA176" s="3">
        <f>BZ176</f>
        <v>92.908</v>
      </c>
      <c r="CB176" s="3">
        <f>CA176</f>
        <v>92.908</v>
      </c>
      <c r="CC176" s="3">
        <f>CB176</f>
        <v>92.908</v>
      </c>
      <c r="CD176" s="3">
        <f>CC176</f>
        <v>92.908</v>
      </c>
      <c r="CE176" s="3">
        <f>CD176</f>
        <v>92.908</v>
      </c>
      <c r="CF176" s="3">
        <f>CE176</f>
        <v>92.908</v>
      </c>
      <c r="CG176" s="3">
        <f>CF176</f>
        <v>92.908</v>
      </c>
      <c r="CH176" s="3">
        <f>CG176</f>
        <v>92.908</v>
      </c>
      <c r="CI176" s="3">
        <f>CH176</f>
        <v>92.908</v>
      </c>
      <c r="CJ176" s="3">
        <f>CI176</f>
        <v>92.908</v>
      </c>
      <c r="CK176" s="3">
        <f>CJ176</f>
        <v>92.908</v>
      </c>
      <c r="CL176" s="3">
        <f>CK176</f>
        <v>92.908</v>
      </c>
      <c r="CM176" s="3">
        <f>CL176</f>
        <v>92.908</v>
      </c>
      <c r="CN176" s="3">
        <f>CM176</f>
        <v>92.908</v>
      </c>
      <c r="CO176" s="3">
        <f>CN176</f>
        <v>92.908</v>
      </c>
      <c r="CP176" s="3">
        <f>CO176</f>
        <v>92.908</v>
      </c>
      <c r="CQ176" s="3">
        <f>CP176</f>
        <v>92.908</v>
      </c>
      <c r="CR176" s="3">
        <f>CQ176</f>
        <v>92.908</v>
      </c>
      <c r="CS176" s="3">
        <f>CR176</f>
        <v>92.908</v>
      </c>
      <c r="CT176" s="3">
        <f>CS176</f>
        <v>92.908</v>
      </c>
      <c r="CU176" s="3">
        <f>CT176</f>
        <v>92.908</v>
      </c>
      <c r="CV176" s="3">
        <f>CU176</f>
        <v>92.908</v>
      </c>
      <c r="CW176" s="3">
        <f>CV176</f>
        <v>92.908</v>
      </c>
      <c r="CX176" s="3">
        <f>CW176</f>
        <v>92.908</v>
      </c>
      <c r="CY176" s="3">
        <f>CX176</f>
        <v>92.908</v>
      </c>
    </row>
    <row r="177" hidden="1" outlineLevel="1">
      <c r="C177" s="38" t="inlineStr">
        <is>
          <t>%(Var.)</t>
        </is>
      </c>
      <c r="D177" s="3" t="n"/>
      <c r="E177" s="47">
        <f>(E176-D176)/D176</f>
        <v>-0.13131764916361</v>
      </c>
      <c r="F177" s="47">
        <f>(F176-E176)/E176</f>
        <v>-0.0742457007517249</v>
      </c>
      <c r="G177" s="47">
        <f>(G176-F176)/F176</f>
        <v>0.245939933259177</v>
      </c>
      <c r="H177" s="3" t="n"/>
      <c r="I177" s="47">
        <f>(I176-H176)/H176</f>
        <v>0.607802874743326</v>
      </c>
      <c r="J177" s="47">
        <f>(J176-I176)/I176</f>
        <v>-0.00821811316563939</v>
      </c>
      <c r="K177" s="47">
        <f>(K176-J176)/J176</f>
        <v>0.243827333296008</v>
      </c>
      <c r="L177" s="47">
        <f>(L176-K176)/K176</f>
        <v>-0.153312927619734</v>
      </c>
      <c r="M177" s="3" t="n"/>
      <c r="N177" s="47">
        <f>(N176-M176)/M176</f>
        <v>0.0818181818181819</v>
      </c>
      <c r="O177" s="47">
        <f>(O176-N176)/N176</f>
        <v>0.581551919013219</v>
      </c>
      <c r="P177" s="47">
        <f>(P176-O176)/O176</f>
        <v>0.38958456327875</v>
      </c>
      <c r="Q177" s="47">
        <f>(Q176-P176)/P176</f>
        <v>-0.0461304532546232</v>
      </c>
      <c r="R177" s="3" t="n"/>
      <c r="S177" s="47">
        <f>(S176-R176)/R176</f>
        <v>-0.140325378592527</v>
      </c>
      <c r="T177" s="47">
        <f>(T176-S176)/S176</f>
        <v>0.277486910994764</v>
      </c>
      <c r="U177" s="47">
        <f>(U176-T176)/T176</f>
        <v>-0.170124658469945</v>
      </c>
      <c r="V177" s="47">
        <f>(V176-U176)/U176</f>
        <v>0.0460929060136839</v>
      </c>
      <c r="W177" s="3" t="n"/>
      <c r="X177" s="47">
        <f>(X176-W176)/W176</f>
        <v>0.0235062699778706</v>
      </c>
      <c r="Y177" s="47">
        <f>(Y176-X176)/X176</f>
        <v>0.0811512035746889</v>
      </c>
      <c r="Z177" s="47">
        <f>(Z176-Y176)/Y176</f>
        <v>1.13632121589192</v>
      </c>
      <c r="AA177" s="47">
        <f>(AA176-Z176)/Z176</f>
        <v>0.025025222845137</v>
      </c>
      <c r="AB177" s="3" t="n"/>
      <c r="AC177" s="47">
        <f>(AC176-AB176)/AB176</f>
        <v>0.0175445717358877</v>
      </c>
      <c r="AD177" s="47">
        <f>(AD176-AC176)/AC176</f>
        <v>-0.194399569197631</v>
      </c>
      <c r="AE177" s="47">
        <f>(AE176-AD176)/AD176</f>
        <v>-0.0960833828480887</v>
      </c>
      <c r="AF177" s="218">
        <f>(AF176-AE176)/AE176</f>
        <v>0.342253019637917</v>
      </c>
      <c r="AG177" s="3" t="n"/>
      <c r="AH177" s="218">
        <f>(AH176-AG176)/AG176</f>
        <v>-0.108566123206889</v>
      </c>
      <c r="AI177" s="218">
        <f>(AI176-AH176)/AH176</f>
        <v>0.0633490895356689</v>
      </c>
      <c r="AJ177" s="218" t="n"/>
      <c r="AK177" s="218" t="n"/>
      <c r="AL177" s="3" t="n"/>
      <c r="AM177" s="218" t="n"/>
      <c r="AN177" s="218" t="n"/>
      <c r="AO177" s="218" t="n"/>
      <c r="AP177" s="218" t="n"/>
      <c r="AQ177" s="3" t="n"/>
      <c r="AR177" s="218" t="n"/>
      <c r="AS177" s="218" t="n"/>
      <c r="AT177" s="218" t="n"/>
      <c r="AU177" s="218" t="n"/>
      <c r="AV177" s="3" t="n"/>
      <c r="AW177" s="218" t="n"/>
      <c r="AX177" s="218" t="n"/>
      <c r="AY177" s="218" t="n"/>
      <c r="AZ177" s="218" t="n"/>
      <c r="BA177" s="3" t="n"/>
      <c r="BB177" s="218" t="n"/>
      <c r="BC177" s="218" t="n"/>
      <c r="BD177" s="218" t="n"/>
      <c r="BE177" s="218" t="n"/>
      <c r="BF177" s="3" t="n"/>
      <c r="BG177" s="218" t="n"/>
      <c r="BH177" s="218" t="n"/>
      <c r="BI177" s="218" t="n"/>
      <c r="BJ177" s="218" t="n"/>
      <c r="BK177" s="3" t="n"/>
      <c r="BL177" s="218" t="n"/>
      <c r="BM177" s="218" t="n"/>
      <c r="BN177" s="218" t="n"/>
      <c r="BO177" s="218" t="n"/>
      <c r="BP177" s="3" t="n"/>
      <c r="BQ177" s="218" t="n"/>
      <c r="BR177" s="218" t="n"/>
      <c r="BS177" s="218" t="n"/>
      <c r="BT177" s="218" t="n"/>
      <c r="BU177" s="3" t="n"/>
      <c r="BV177" s="218" t="n"/>
      <c r="BW177" s="218" t="n"/>
      <c r="BX177" s="218" t="n"/>
      <c r="BY177" s="218" t="n"/>
      <c r="BZ177" s="3" t="n"/>
      <c r="CA177" s="218" t="n"/>
      <c r="CB177" s="218" t="n"/>
      <c r="CC177" s="218" t="n"/>
      <c r="CD177" s="218" t="n"/>
      <c r="CE177" s="3" t="n"/>
      <c r="CF177" s="218" t="n"/>
      <c r="CG177" s="218" t="n"/>
      <c r="CH177" s="218" t="n"/>
      <c r="CI177" s="218" t="n"/>
      <c r="CJ177" s="3" t="n"/>
      <c r="CK177" s="218" t="n"/>
      <c r="CL177" s="218" t="n"/>
      <c r="CM177" s="218" t="n"/>
      <c r="CN177" s="218" t="n"/>
      <c r="CO177" s="3" t="n"/>
      <c r="CP177" s="218" t="n"/>
      <c r="CQ177" s="218" t="n"/>
      <c r="CR177" s="218" t="n"/>
      <c r="CS177" s="218" t="n"/>
      <c r="CT177" s="3" t="n"/>
      <c r="CU177" s="218" t="n"/>
      <c r="CV177" s="218" t="n"/>
      <c r="CW177" s="218" t="n"/>
      <c r="CX177" s="218" t="n"/>
      <c r="CY177" s="3" t="n"/>
    </row>
    <row r="178" hidden="1" outlineLevel="1">
      <c r="C178" s="34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collapsed="1">
      <c r="C179" s="26" t="inlineStr">
        <is>
          <t>Goodwill</t>
        </is>
      </c>
      <c r="D179" s="25" t="n"/>
      <c r="E179" s="25" t="n"/>
      <c r="F179" s="25" t="n"/>
      <c r="G179" s="25" t="n"/>
      <c r="H179" s="3">
        <f>G179</f>
        <v>0</v>
      </c>
      <c r="I179" s="25" t="n"/>
      <c r="J179" s="25" t="n"/>
      <c r="K179" s="25" t="n"/>
      <c r="L179" s="25" t="n"/>
      <c r="M179" s="3">
        <f>L179</f>
        <v>0</v>
      </c>
      <c r="N179" s="25" t="n"/>
      <c r="O179" s="25" t="n"/>
      <c r="P179" s="25" t="n"/>
      <c r="Q179" s="25" t="n"/>
      <c r="R179" s="3">
        <f>Q179</f>
        <v>0</v>
      </c>
      <c r="S179" s="25" t="n"/>
      <c r="T179" s="25" t="n"/>
      <c r="U179" s="25" t="n"/>
      <c r="V179" s="25" t="n"/>
      <c r="W179" s="3">
        <f>V179</f>
        <v>0</v>
      </c>
      <c r="X179" s="25" t="n"/>
      <c r="Y179" s="25" t="n"/>
      <c r="Z179" s="25" t="n"/>
      <c r="AA179" s="25" t="n"/>
      <c r="AB179" s="3">
        <f>AA179</f>
        <v>0</v>
      </c>
      <c r="AC179" s="25" t="n"/>
      <c r="AD179" s="25" t="n"/>
      <c r="AE179" s="25" t="n"/>
      <c r="AF179" s="25" t="n"/>
      <c r="AG179" s="3">
        <f>AF179</f>
        <v>0</v>
      </c>
      <c r="AH179" s="3">
        <f>AG179</f>
        <v>0</v>
      </c>
      <c r="AI179" s="3">
        <f>AH179</f>
        <v>0</v>
      </c>
      <c r="AJ179" s="3">
        <f>AI179</f>
        <v>0</v>
      </c>
      <c r="AK179" s="3">
        <f>AJ179</f>
        <v>0</v>
      </c>
      <c r="AL179" s="3">
        <f>AK179</f>
        <v>0</v>
      </c>
      <c r="AM179" s="3">
        <f>AL179</f>
        <v>0</v>
      </c>
      <c r="AN179" s="3">
        <f>AM179</f>
        <v>0</v>
      </c>
      <c r="AO179" s="3">
        <f>AN179</f>
        <v>0</v>
      </c>
      <c r="AP179" s="3">
        <f>AO179</f>
        <v>0</v>
      </c>
      <c r="AQ179" s="3">
        <f>AP179</f>
        <v>0</v>
      </c>
      <c r="AR179" s="3">
        <f>AQ179</f>
        <v>0</v>
      </c>
      <c r="AS179" s="3">
        <f>AR179</f>
        <v>0</v>
      </c>
      <c r="AT179" s="3">
        <f>AS179</f>
        <v>0</v>
      </c>
      <c r="AU179" s="3">
        <f>AT179</f>
        <v>0</v>
      </c>
      <c r="AV179" s="3">
        <f>AU179</f>
        <v>0</v>
      </c>
      <c r="AW179" s="3">
        <f>AV179</f>
        <v>0</v>
      </c>
      <c r="AX179" s="3">
        <f>AW179</f>
        <v>0</v>
      </c>
      <c r="AY179" s="3">
        <f>AX179</f>
        <v>0</v>
      </c>
      <c r="AZ179" s="3">
        <f>AY179</f>
        <v>0</v>
      </c>
      <c r="BA179" s="3">
        <f>AZ179</f>
        <v>0</v>
      </c>
      <c r="BB179" s="3">
        <f>BA179</f>
        <v>0</v>
      </c>
      <c r="BC179" s="3">
        <f>BB179</f>
        <v>0</v>
      </c>
      <c r="BD179" s="3">
        <f>BC179</f>
        <v>0</v>
      </c>
      <c r="BE179" s="3">
        <f>BD179</f>
        <v>0</v>
      </c>
      <c r="BF179" s="3">
        <f>BE179</f>
        <v>0</v>
      </c>
      <c r="BG179" s="3">
        <f>BF179</f>
        <v>0</v>
      </c>
      <c r="BH179" s="3">
        <f>BG179</f>
        <v>0</v>
      </c>
      <c r="BI179" s="3">
        <f>BH179</f>
        <v>0</v>
      </c>
      <c r="BJ179" s="3">
        <f>BI179</f>
        <v>0</v>
      </c>
      <c r="BK179" s="3">
        <f>BJ179</f>
        <v>0</v>
      </c>
      <c r="BL179" s="3">
        <f>BK179</f>
        <v>0</v>
      </c>
      <c r="BM179" s="3">
        <f>BL179</f>
        <v>0</v>
      </c>
      <c r="BN179" s="3">
        <f>BM179</f>
        <v>0</v>
      </c>
      <c r="BO179" s="3">
        <f>BN179</f>
        <v>0</v>
      </c>
      <c r="BP179" s="3">
        <f>BO179</f>
        <v>0</v>
      </c>
      <c r="BQ179" s="3">
        <f>BP179</f>
        <v>0</v>
      </c>
      <c r="BR179" s="3">
        <f>BQ179</f>
        <v>0</v>
      </c>
      <c r="BS179" s="3">
        <f>BR179</f>
        <v>0</v>
      </c>
      <c r="BT179" s="3">
        <f>BS179</f>
        <v>0</v>
      </c>
      <c r="BU179" s="3">
        <f>BT179</f>
        <v>0</v>
      </c>
      <c r="BV179" s="3">
        <f>BU179</f>
        <v>0</v>
      </c>
      <c r="BW179" s="3">
        <f>BV179</f>
        <v>0</v>
      </c>
      <c r="BX179" s="3">
        <f>BW179</f>
        <v>0</v>
      </c>
      <c r="BY179" s="3">
        <f>BX179</f>
        <v>0</v>
      </c>
      <c r="BZ179" s="3">
        <f>BY179</f>
        <v>0</v>
      </c>
      <c r="CA179" s="3">
        <f>BZ179</f>
        <v>0</v>
      </c>
      <c r="CB179" s="3">
        <f>CA179</f>
        <v>0</v>
      </c>
      <c r="CC179" s="3">
        <f>CB179</f>
        <v>0</v>
      </c>
      <c r="CD179" s="3">
        <f>CC179</f>
        <v>0</v>
      </c>
      <c r="CE179" s="3">
        <f>CD179</f>
        <v>0</v>
      </c>
      <c r="CF179" s="3">
        <f>CE179</f>
        <v>0</v>
      </c>
      <c r="CG179" s="3">
        <f>CF179</f>
        <v>0</v>
      </c>
      <c r="CH179" s="3">
        <f>CG179</f>
        <v>0</v>
      </c>
      <c r="CI179" s="3">
        <f>CH179</f>
        <v>0</v>
      </c>
      <c r="CJ179" s="3">
        <f>CI179</f>
        <v>0</v>
      </c>
      <c r="CK179" s="3">
        <f>CJ179</f>
        <v>0</v>
      </c>
      <c r="CL179" s="3">
        <f>CK179</f>
        <v>0</v>
      </c>
      <c r="CM179" s="3">
        <f>CL179</f>
        <v>0</v>
      </c>
      <c r="CN179" s="3">
        <f>CM179</f>
        <v>0</v>
      </c>
      <c r="CO179" s="3">
        <f>CN179</f>
        <v>0</v>
      </c>
      <c r="CP179" s="3">
        <f>CO179</f>
        <v>0</v>
      </c>
      <c r="CQ179" s="3">
        <f>CP179</f>
        <v>0</v>
      </c>
      <c r="CR179" s="3">
        <f>CQ179</f>
        <v>0</v>
      </c>
      <c r="CS179" s="3">
        <f>CR179</f>
        <v>0</v>
      </c>
      <c r="CT179" s="3">
        <f>CS179</f>
        <v>0</v>
      </c>
      <c r="CU179" s="3">
        <f>CT179</f>
        <v>0</v>
      </c>
      <c r="CV179" s="3">
        <f>CU179</f>
        <v>0</v>
      </c>
      <c r="CW179" s="3">
        <f>CV179</f>
        <v>0</v>
      </c>
      <c r="CX179" s="3">
        <f>CW179</f>
        <v>0</v>
      </c>
      <c r="CY179" s="3">
        <f>CX179</f>
        <v>0</v>
      </c>
    </row>
    <row r="180">
      <c r="C180" s="26" t="inlineStr">
        <is>
          <t>Intangibles</t>
        </is>
      </c>
      <c r="D180" s="25">
        <f>INDEX('Inputs (2)'!$D$25:$AL$25,MATCH(D$7,'Inputs (2)'!$D$2:$AL$2,0))</f>
        <v>102.926</v>
      </c>
      <c r="E180" s="25">
        <f>INDEX('Inputs (2)'!$D$25:$AL$25,MATCH(E$7,'Inputs (2)'!$D$2:$AL$2,0))</f>
        <v>99.183</v>
      </c>
      <c r="F180" s="25">
        <f>INDEX('Inputs (2)'!$D$25:$AL$25,MATCH(F$7,'Inputs (2)'!$D$2:$AL$2,0))</f>
        <v>97.549</v>
      </c>
      <c r="G180" s="25">
        <f>INDEX('Inputs (2)'!$D$25:$AL$25,MATCH(G$7,'Inputs (2)'!$D$2:$AL$2,0))</f>
        <v>96.374</v>
      </c>
      <c r="H180" s="3">
        <f>G180</f>
        <v>96.374</v>
      </c>
      <c r="I180" s="25">
        <f>INDEX('Inputs (2)'!$D$25:$AL$25,MATCH(I$7,'Inputs (2)'!$D$2:$AL$2,0))</f>
        <v>95.247</v>
      </c>
      <c r="J180" s="25">
        <f>INDEX('Inputs (2)'!$D$25:$AL$25,MATCH(J$7,'Inputs (2)'!$D$2:$AL$2,0))</f>
        <v>94.179</v>
      </c>
      <c r="K180" s="25">
        <f>INDEX('Inputs (2)'!$D$25:$AL$25,MATCH(K$7,'Inputs (2)'!$D$2:$AL$2,0))</f>
        <v>93.08</v>
      </c>
      <c r="L180" s="25">
        <f>INDEX('Inputs (2)'!$D$25:$AL$25,MATCH(L$7,'Inputs (2)'!$D$2:$AL$2,0))</f>
        <v>90.841</v>
      </c>
      <c r="M180" s="3">
        <f>L180</f>
        <v>90.841</v>
      </c>
      <c r="N180" s="25">
        <f>INDEX('Inputs (2)'!$D$25:$AL$25,MATCH(N$7,'Inputs (2)'!$D$2:$AL$2,0))</f>
        <v>152.468</v>
      </c>
      <c r="O180" s="25">
        <f>INDEX('Inputs (2)'!$D$25:$AL$25,MATCH(O$7,'Inputs (2)'!$D$2:$AL$2,0))</f>
        <v>388.625</v>
      </c>
      <c r="P180" s="25">
        <f>INDEX('Inputs (2)'!$D$25:$AL$25,MATCH(P$7,'Inputs (2)'!$D$2:$AL$2,0))</f>
        <v>383.428</v>
      </c>
      <c r="Q180" s="25">
        <f>INDEX('Inputs (2)'!$D$25:$AL$25,MATCH(Q$7,'Inputs (2)'!$D$2:$AL$2,0))</f>
        <v>525.522</v>
      </c>
      <c r="R180" s="3">
        <f>Q180</f>
        <v>525.522</v>
      </c>
      <c r="S180" s="25">
        <f>INDEX('Inputs (2)'!$D$25:$AL$25,MATCH(S$7,'Inputs (2)'!$D$2:$AL$2,0))</f>
        <v>512.881</v>
      </c>
      <c r="T180" s="25">
        <f>INDEX('Inputs (2)'!$D$25:$AL$25,MATCH(T$7,'Inputs (2)'!$D$2:$AL$2,0))</f>
        <v>511.514</v>
      </c>
      <c r="U180" s="25">
        <f>INDEX('Inputs (2)'!$D$25:$AL$25,MATCH(U$7,'Inputs (2)'!$D$2:$AL$2,0))</f>
        <v>505.445</v>
      </c>
      <c r="V180" s="25">
        <f>INDEX('Inputs (2)'!$D$25:$AL$25,MATCH(V$7,'Inputs (2)'!$D$2:$AL$2,0))</f>
        <v>465.87</v>
      </c>
      <c r="W180" s="3">
        <f>V180</f>
        <v>465.87</v>
      </c>
      <c r="X180" s="25">
        <f>INDEX('Inputs (2)'!$D$25:$AL$25,MATCH(X$7,'Inputs (2)'!$D$2:$AL$2,0))</f>
        <v>459.368</v>
      </c>
      <c r="Y180" s="25">
        <f>INDEX('Inputs (2)'!$D$25:$AL$25,MATCH(Y$7,'Inputs (2)'!$D$2:$AL$2,0))</f>
        <v>452.934</v>
      </c>
      <c r="Z180" s="25">
        <f>INDEX('Inputs (2)'!$D$25:$AL$25,MATCH(Z$7,'Inputs (2)'!$D$2:$AL$2,0))</f>
        <v>481.238</v>
      </c>
      <c r="AA180" s="25">
        <f>INDEX('Inputs (2)'!$D$25:$AL$25,MATCH(AA$7,'Inputs (2)'!$D$2:$AL$2,0))</f>
        <v>450.867</v>
      </c>
      <c r="AB180" s="3">
        <f>AA180</f>
        <v>450.867</v>
      </c>
      <c r="AC180" s="25">
        <f>INDEX('Inputs (2)'!$D$25:$AL$25,MATCH(AC$7,'Inputs (2)'!$D$2:$AL$2,0))</f>
        <v>453.354</v>
      </c>
      <c r="AD180" s="25">
        <f>INDEX('Inputs (2)'!$D$25:$AL$25,MATCH(AD$7,'Inputs (2)'!$D$2:$AL$2,0))</f>
        <v>448.098</v>
      </c>
      <c r="AE180" s="25">
        <f>INDEX('Inputs (2)'!$D$25:$AL$25,MATCH(AE$7,'Inputs (2)'!$D$2:$AL$2,0))</f>
        <v>442.417</v>
      </c>
      <c r="AF180" s="25">
        <f>INDEX('Inputs (2)'!$D$25:$AL$25,MATCH(AF$7,'Inputs (2)'!$D$2:$AL$2,0))</f>
        <v>490.998</v>
      </c>
      <c r="AG180" s="3">
        <f>AF180</f>
        <v>490.998</v>
      </c>
      <c r="AH180" s="3">
        <f>INDEX('Inputs (2)'!$D$25:$AL$25,MATCH(AH$7,'Inputs (2)'!$D$2:$AL$2,0))</f>
        <v>485.782</v>
      </c>
      <c r="AI180" s="3">
        <f>INDEX('Inputs (2)'!$D$25:$AL$25,MATCH(AI$7,'Inputs (2)'!$D$2:$AL$2,0))</f>
        <v>3830</v>
      </c>
      <c r="AJ180" s="3" t="n"/>
      <c r="AK180" s="3" t="n"/>
      <c r="AL180" s="3">
        <f>AK180</f>
        <v>0</v>
      </c>
      <c r="AN180" s="3" t="n"/>
      <c r="AO180" s="3" t="n"/>
      <c r="AP180" s="3" t="n"/>
      <c r="AQ180" s="3">
        <f>AP180</f>
        <v>0</v>
      </c>
      <c r="AS180" s="3" t="n"/>
      <c r="AT180" s="3" t="n"/>
      <c r="AU180" s="3" t="n"/>
      <c r="AV180" s="3">
        <f>AU180</f>
        <v>0</v>
      </c>
      <c r="AX180" s="3" t="n"/>
      <c r="AY180" s="3" t="n"/>
      <c r="AZ180" s="3" t="n"/>
      <c r="BA180" s="3">
        <f>AZ180</f>
        <v>0</v>
      </c>
      <c r="BC180" s="3" t="n"/>
      <c r="BD180" s="3" t="n"/>
      <c r="BE180" s="3" t="n"/>
      <c r="BF180" s="3">
        <f>BE180</f>
        <v>0</v>
      </c>
      <c r="BH180" s="3" t="n"/>
      <c r="BI180" s="3" t="n"/>
      <c r="BJ180" s="3" t="n"/>
      <c r="BK180" s="3">
        <f>BJ180</f>
        <v>0</v>
      </c>
      <c r="BM180" s="3" t="n"/>
      <c r="BN180" s="3" t="n"/>
      <c r="BO180" s="3" t="n"/>
      <c r="BP180" s="3">
        <f>BO180</f>
        <v>0</v>
      </c>
      <c r="BR180" s="3" t="n"/>
      <c r="BS180" s="3" t="n"/>
      <c r="BT180" s="3" t="n"/>
      <c r="BU180" s="3">
        <f>BT180</f>
        <v>0</v>
      </c>
      <c r="BW180" s="3" t="n"/>
      <c r="BX180" s="3" t="n"/>
      <c r="BY180" s="3" t="n"/>
      <c r="BZ180" s="3">
        <f>BY180</f>
        <v>0</v>
      </c>
      <c r="CB180" s="3" t="n"/>
      <c r="CC180" s="3" t="n"/>
      <c r="CD180" s="3" t="n"/>
      <c r="CE180" s="3">
        <f>CD180</f>
        <v>0</v>
      </c>
      <c r="CG180" s="3" t="n"/>
      <c r="CH180" s="3" t="n"/>
      <c r="CI180" s="3" t="n"/>
      <c r="CJ180" s="3">
        <f>CI180</f>
        <v>0</v>
      </c>
      <c r="CL180" s="3" t="n"/>
      <c r="CM180" s="3" t="n"/>
      <c r="CN180" s="3" t="n"/>
      <c r="CO180" s="3">
        <f>CN180</f>
        <v>0</v>
      </c>
      <c r="CQ180" s="3" t="n"/>
      <c r="CR180" s="3" t="n"/>
      <c r="CS180" s="3" t="n"/>
      <c r="CT180" s="3">
        <f>CS180</f>
        <v>0</v>
      </c>
      <c r="CV180" s="3" t="n"/>
      <c r="CW180" s="3" t="n"/>
      <c r="CX180" s="3" t="n"/>
      <c r="CY180" s="3">
        <f>CX180</f>
        <v>0</v>
      </c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inlineStr">
        <is>
          <t>Purchase of intangible assets</t>
        </is>
      </c>
      <c r="D182" s="3" t="n"/>
      <c r="E182" s="3">
        <f>E180-D180-E84</f>
        <v>-3.743</v>
      </c>
      <c r="F182" s="3">
        <f>F180-E180-F84</f>
        <v>-1.634</v>
      </c>
      <c r="G182" s="3">
        <f>G180-F180-G84</f>
        <v>-1.17500000000001</v>
      </c>
      <c r="H182" s="3" t="n"/>
      <c r="I182" s="3">
        <f>I180-H180-I84</f>
        <v>-1.127</v>
      </c>
      <c r="J182" s="3">
        <f>J180-I180-J84</f>
        <v>-1.068</v>
      </c>
      <c r="K182" s="3">
        <f>K180-J180-K84</f>
        <v>-1.099</v>
      </c>
      <c r="L182" s="3">
        <f>L180-K180-L84</f>
        <v>-2.23899999999999</v>
      </c>
      <c r="M182" s="3" t="n"/>
      <c r="N182" s="3">
        <f>N180-M180-N84</f>
        <v>61.627</v>
      </c>
      <c r="O182" s="3">
        <f>O180-N180-O84</f>
        <v>236.157</v>
      </c>
      <c r="P182" s="3">
        <f>P180-O180-P84</f>
        <v>-5.197</v>
      </c>
      <c r="Q182" s="3">
        <f>Q180-P180-Q84</f>
        <v>142.094</v>
      </c>
      <c r="R182" s="3" t="n"/>
      <c r="S182" s="3">
        <f>S180-R180-S84</f>
        <v>-12.6410000000001</v>
      </c>
      <c r="T182" s="3">
        <f>T180-S180-T84</f>
        <v>-1.36699999999996</v>
      </c>
      <c r="U182" s="3">
        <f>U180-T180-U84</f>
        <v>-6.06900000000002</v>
      </c>
      <c r="V182" s="3">
        <f>V180-U180-V84</f>
        <v>-39.575</v>
      </c>
      <c r="W182" s="3" t="n"/>
      <c r="X182" s="3">
        <f>X180-W180-X84</f>
        <v>-6.50200000000001</v>
      </c>
      <c r="Y182" s="3">
        <f>Y180-X180-Y84</f>
        <v>-6.43399999999997</v>
      </c>
      <c r="Z182" s="3">
        <f>Z180-Y180-Z84</f>
        <v>28.304</v>
      </c>
      <c r="AA182" s="3">
        <f>AA180-Z180-AA84</f>
        <v>-30.371</v>
      </c>
      <c r="AB182" s="3" t="n"/>
      <c r="AC182" s="3">
        <f>AC180-AB180-AC84</f>
        <v>2.48699999999997</v>
      </c>
      <c r="AD182" s="3">
        <f>AD180-AC180-AD84</f>
        <v>-5.25599999999997</v>
      </c>
      <c r="AE182" s="3">
        <f>AE180-AD180-AE84</f>
        <v>-5.68099999999998</v>
      </c>
      <c r="AF182" s="3" t="n"/>
      <c r="AG182" s="3" t="n"/>
      <c r="AH182" s="6">
        <f>AH180-AG180-AH84</f>
        <v>-5.21600000000001</v>
      </c>
      <c r="AI182" s="6">
        <f>AI180-AH180-AI84</f>
        <v>3344.218</v>
      </c>
      <c r="AJ182" s="6" t="n"/>
      <c r="AK182" s="6" t="n"/>
      <c r="AL182" s="3" t="n"/>
      <c r="AM182" s="6" t="n"/>
      <c r="AN182" s="6" t="n"/>
      <c r="AO182" s="6" t="n"/>
      <c r="AP182" s="6" t="n"/>
      <c r="AQ182" s="3" t="n"/>
      <c r="AR182" s="6" t="n"/>
      <c r="AS182" s="6" t="n"/>
      <c r="AT182" s="6" t="n"/>
      <c r="AU182" s="6" t="n"/>
      <c r="AV182" s="3" t="n"/>
      <c r="AW182" s="6" t="n"/>
      <c r="AX182" s="6" t="n"/>
      <c r="AY182" s="6" t="n"/>
      <c r="AZ182" s="6" t="n"/>
      <c r="BA182" s="3" t="n"/>
      <c r="BB182" s="6" t="n"/>
      <c r="BC182" s="6" t="n"/>
      <c r="BD182" s="6" t="n"/>
      <c r="BE182" s="6" t="n"/>
      <c r="BF182" s="3" t="n"/>
      <c r="BG182" s="6" t="n"/>
      <c r="BH182" s="6" t="n"/>
      <c r="BI182" s="6" t="n"/>
      <c r="BJ182" s="6" t="n"/>
      <c r="BK182" s="3" t="n"/>
      <c r="BL182" s="6" t="n"/>
      <c r="BM182" s="6" t="n"/>
      <c r="BN182" s="6" t="n"/>
      <c r="BO182" s="6" t="n"/>
      <c r="BP182" s="3" t="n"/>
      <c r="BQ182" s="6" t="n"/>
      <c r="BR182" s="6" t="n"/>
      <c r="BS182" s="6" t="n"/>
      <c r="BT182" s="6" t="n"/>
      <c r="BU182" s="3" t="n"/>
      <c r="BV182" s="6" t="n"/>
      <c r="BW182" s="6" t="n"/>
      <c r="BX182" s="6" t="n"/>
      <c r="BY182" s="6" t="n"/>
      <c r="BZ182" s="3" t="n"/>
      <c r="CA182" s="6" t="n"/>
      <c r="CB182" s="6" t="n"/>
      <c r="CC182" s="6" t="n"/>
      <c r="CD182" s="6" t="n"/>
      <c r="CE182" s="3" t="n"/>
      <c r="CF182" s="6" t="n"/>
      <c r="CG182" s="6" t="n"/>
      <c r="CH182" s="6" t="n"/>
      <c r="CI182" s="6" t="n"/>
      <c r="CJ182" s="3" t="n"/>
      <c r="CK182" s="6" t="n"/>
      <c r="CL182" s="6" t="n"/>
      <c r="CM182" s="6" t="n"/>
      <c r="CN182" s="6" t="n"/>
      <c r="CO182" s="3" t="n"/>
      <c r="CP182" s="6" t="n"/>
      <c r="CQ182" s="6" t="n"/>
      <c r="CR182" s="6" t="n"/>
      <c r="CS182" s="6" t="n"/>
      <c r="CT182" s="3" t="n"/>
      <c r="CU182" s="6" t="n"/>
      <c r="CV182" s="6" t="n"/>
      <c r="CW182" s="6" t="n"/>
      <c r="CX182" s="6" t="n"/>
      <c r="CY182" s="3" t="n"/>
    </row>
    <row r="183" hidden="1" outlineLevel="1">
      <c r="C183" s="34" t="inlineStr">
        <is>
          <t>Amortization (enter as -)</t>
        </is>
      </c>
      <c r="D183" s="3" t="n"/>
      <c r="E183" s="3">
        <f>E83</f>
        <v>0</v>
      </c>
      <c r="F183" s="3">
        <f>F83</f>
        <v>0</v>
      </c>
      <c r="G183" s="3">
        <f>G83</f>
        <v>0</v>
      </c>
      <c r="H183" s="3" t="n"/>
      <c r="I183" s="3">
        <f>I83</f>
        <v>0</v>
      </c>
      <c r="J183" s="3">
        <f>J83</f>
        <v>0</v>
      </c>
      <c r="K183" s="3">
        <f>K83</f>
        <v>0</v>
      </c>
      <c r="L183" s="3">
        <f>L83</f>
        <v>0</v>
      </c>
      <c r="M183" s="3" t="n"/>
      <c r="N183" s="3">
        <f>N83</f>
        <v>0</v>
      </c>
      <c r="O183" s="3">
        <f>O83</f>
        <v>0</v>
      </c>
      <c r="P183" s="3">
        <f>P83</f>
        <v>0</v>
      </c>
      <c r="Q183" s="3">
        <f>Q83</f>
        <v>0</v>
      </c>
      <c r="R183" s="3" t="n"/>
      <c r="S183" s="3">
        <f>S83</f>
        <v>0</v>
      </c>
      <c r="T183" s="3">
        <f>T83</f>
        <v>0</v>
      </c>
      <c r="U183" s="3">
        <f>U83</f>
        <v>0</v>
      </c>
      <c r="V183" s="3">
        <f>V83</f>
        <v>0</v>
      </c>
      <c r="W183" s="3" t="n"/>
      <c r="X183" s="3">
        <f>X83</f>
        <v>0</v>
      </c>
      <c r="Y183" s="3">
        <f>Y83</f>
        <v>0</v>
      </c>
      <c r="Z183" s="3">
        <f>Z83</f>
        <v>0</v>
      </c>
      <c r="AA183" s="3">
        <f>AA83</f>
        <v>0</v>
      </c>
      <c r="AB183" s="3" t="n"/>
      <c r="AC183" s="3">
        <f>AC83</f>
        <v>0</v>
      </c>
      <c r="AD183" s="3">
        <f>AD83</f>
        <v>0</v>
      </c>
      <c r="AE183" s="3">
        <f>AE83</f>
        <v>0</v>
      </c>
      <c r="AF183" s="3" t="n"/>
      <c r="AG183" s="3" t="n"/>
      <c r="AH183" s="3">
        <f>AH83</f>
        <v>0</v>
      </c>
      <c r="AI183" s="6">
        <f>AI83</f>
        <v>0</v>
      </c>
      <c r="AJ183" s="6" t="n"/>
      <c r="AK183" s="6" t="n"/>
      <c r="AL183" s="3" t="n"/>
      <c r="AM183" s="6" t="n"/>
      <c r="AN183" s="6" t="n"/>
      <c r="AO183" s="6" t="n"/>
      <c r="AP183" s="6" t="n"/>
      <c r="AQ183" s="3" t="n"/>
      <c r="AR183" s="6" t="n"/>
      <c r="AS183" s="6" t="n"/>
      <c r="AT183" s="6" t="n"/>
      <c r="AU183" s="6" t="n"/>
      <c r="AV183" s="3" t="n"/>
      <c r="AW183" s="6" t="n"/>
      <c r="AX183" s="6" t="n"/>
      <c r="AY183" s="6" t="n"/>
      <c r="AZ183" s="6" t="n"/>
      <c r="BA183" s="3" t="n"/>
      <c r="BB183" s="6" t="n"/>
      <c r="BC183" s="6" t="n"/>
      <c r="BD183" s="6" t="n"/>
      <c r="BE183" s="6" t="n"/>
      <c r="BF183" s="3" t="n"/>
      <c r="BG183" s="6" t="n"/>
      <c r="BH183" s="6" t="n"/>
      <c r="BI183" s="6" t="n"/>
      <c r="BJ183" s="6" t="n"/>
      <c r="BK183" s="3" t="n"/>
      <c r="BL183" s="6" t="n"/>
      <c r="BM183" s="6" t="n"/>
      <c r="BN183" s="6" t="n"/>
      <c r="BO183" s="6" t="n"/>
      <c r="BP183" s="3" t="n"/>
      <c r="BQ183" s="6" t="n"/>
      <c r="BR183" s="6" t="n"/>
      <c r="BS183" s="6" t="n"/>
      <c r="BT183" s="6" t="n"/>
      <c r="BU183" s="3" t="n"/>
      <c r="BV183" s="6" t="n"/>
      <c r="BW183" s="6" t="n"/>
      <c r="BX183" s="6" t="n"/>
      <c r="BY183" s="6" t="n"/>
      <c r="BZ183" s="3" t="n"/>
      <c r="CA183" s="6" t="n"/>
      <c r="CB183" s="6" t="n"/>
      <c r="CC183" s="6" t="n"/>
      <c r="CD183" s="6" t="n"/>
      <c r="CE183" s="3" t="n"/>
      <c r="CF183" s="6" t="n"/>
      <c r="CG183" s="6" t="n"/>
      <c r="CH183" s="6" t="n"/>
      <c r="CI183" s="6" t="n"/>
      <c r="CJ183" s="3" t="n"/>
      <c r="CK183" s="6" t="n"/>
      <c r="CL183" s="6" t="n"/>
      <c r="CM183" s="6" t="n"/>
      <c r="CN183" s="6" t="n"/>
      <c r="CO183" s="3" t="n"/>
      <c r="CP183" s="6" t="n"/>
      <c r="CQ183" s="6" t="n"/>
      <c r="CR183" s="6" t="n"/>
      <c r="CS183" s="6" t="n"/>
      <c r="CT183" s="3" t="n"/>
      <c r="CU183" s="6" t="n"/>
      <c r="CV183" s="6" t="n"/>
      <c r="CW183" s="6" t="n"/>
      <c r="CX183" s="6" t="n"/>
      <c r="CY183" s="3" t="n"/>
    </row>
    <row r="184" hidden="1" outlineLevel="1">
      <c r="C184" s="34" t="inlineStr">
        <is>
          <t>Intangibles</t>
        </is>
      </c>
      <c r="D184" s="3" t="n"/>
      <c r="E184" s="3">
        <f>E180</f>
        <v>99.183</v>
      </c>
      <c r="F184" s="3">
        <f>F180</f>
        <v>97.549</v>
      </c>
      <c r="G184" s="3">
        <f>G180</f>
        <v>96.374</v>
      </c>
      <c r="H184" s="3" t="n"/>
      <c r="I184" s="3">
        <f>I180</f>
        <v>95.247</v>
      </c>
      <c r="J184" s="3">
        <f>J180</f>
        <v>94.179</v>
      </c>
      <c r="K184" s="3">
        <f>K180</f>
        <v>93.08</v>
      </c>
      <c r="L184" s="3">
        <f>L180</f>
        <v>90.841</v>
      </c>
      <c r="M184" s="3" t="n"/>
      <c r="N184" s="3">
        <f>N180</f>
        <v>152.468</v>
      </c>
      <c r="O184" s="3">
        <f>O180</f>
        <v>388.625</v>
      </c>
      <c r="P184" s="3">
        <f>P180</f>
        <v>383.428</v>
      </c>
      <c r="Q184" s="3">
        <f>Q180</f>
        <v>525.522</v>
      </c>
      <c r="R184" s="3" t="n"/>
      <c r="S184" s="3">
        <f>S180</f>
        <v>512.881</v>
      </c>
      <c r="T184" s="3">
        <f>T180</f>
        <v>511.514</v>
      </c>
      <c r="U184" s="3">
        <f>U180</f>
        <v>505.445</v>
      </c>
      <c r="V184" s="3">
        <f>V180</f>
        <v>465.87</v>
      </c>
      <c r="W184" s="3" t="n"/>
      <c r="X184" s="3">
        <f>X180</f>
        <v>459.368</v>
      </c>
      <c r="Y184" s="3">
        <f>Y180</f>
        <v>452.934</v>
      </c>
      <c r="Z184" s="3">
        <f>Z180</f>
        <v>481.238</v>
      </c>
      <c r="AA184" s="3">
        <f>AA180</f>
        <v>450.867</v>
      </c>
      <c r="AB184" s="3" t="n"/>
      <c r="AC184" s="3">
        <f>AC180</f>
        <v>453.354</v>
      </c>
      <c r="AD184" s="3">
        <f>AD180</f>
        <v>448.098</v>
      </c>
      <c r="AE184" s="3">
        <f>AE180</f>
        <v>442.417</v>
      </c>
      <c r="AF184" s="3">
        <f>AF180</f>
        <v>490.998</v>
      </c>
      <c r="AG184" s="3" t="n"/>
      <c r="AH184" s="3">
        <f>AH180</f>
        <v>485.782</v>
      </c>
      <c r="AI184" s="3">
        <f>AI180</f>
        <v>3830</v>
      </c>
      <c r="AJ184" s="3">
        <f>AI184+SUM(AJ182:AJ183)</f>
        <v>3830</v>
      </c>
      <c r="AK184" s="3">
        <f>AJ184+SUM(AK182:AK183)</f>
        <v>3830</v>
      </c>
      <c r="AL184" s="3" t="n"/>
      <c r="AM184" s="3">
        <f>AK184+SUM(AM182:AM183)</f>
        <v>3830</v>
      </c>
      <c r="AN184" s="3">
        <f>AM184+SUM(AN182:AN183)</f>
        <v>3830</v>
      </c>
      <c r="AO184" s="3">
        <f>AN184+SUM(AO182:AO183)</f>
        <v>3830</v>
      </c>
      <c r="AP184" s="3">
        <f>AO184+SUM(AP182:AP183)</f>
        <v>3830</v>
      </c>
      <c r="AQ184" s="3" t="n"/>
      <c r="AR184" s="3">
        <f>AP184+SUM(AR182:AR183)</f>
        <v>3830</v>
      </c>
      <c r="AS184" s="3">
        <f>AR184+SUM(AS182:AS183)</f>
        <v>3830</v>
      </c>
      <c r="AT184" s="3">
        <f>AS184+SUM(AT182:AT183)</f>
        <v>3830</v>
      </c>
      <c r="AU184" s="3">
        <f>AT184+SUM(AU182:AU183)</f>
        <v>3830</v>
      </c>
      <c r="AV184" s="3" t="n"/>
      <c r="AW184" s="3">
        <f>AU184+SUM(AW182:AW183)</f>
        <v>3830</v>
      </c>
      <c r="AX184" s="3">
        <f>AW184+SUM(AX182:AX183)</f>
        <v>3830</v>
      </c>
      <c r="AY184" s="3">
        <f>AX184+SUM(AY182:AY183)</f>
        <v>3830</v>
      </c>
      <c r="AZ184" s="3">
        <f>AY184+SUM(AZ182:AZ183)</f>
        <v>3830</v>
      </c>
      <c r="BA184" s="3" t="n"/>
      <c r="BB184" s="3">
        <f>AZ184+SUM(BB182:BB183)</f>
        <v>3830</v>
      </c>
      <c r="BC184" s="3">
        <f>BB184+SUM(BC182:BC183)</f>
        <v>3830</v>
      </c>
      <c r="BD184" s="3">
        <f>BC184+SUM(BD182:BD183)</f>
        <v>3830</v>
      </c>
      <c r="BE184" s="3">
        <f>BD184+SUM(BE182:BE183)</f>
        <v>3830</v>
      </c>
      <c r="BF184" s="3" t="n"/>
      <c r="BG184" s="3">
        <f>BE184+SUM(BG182:BG183)</f>
        <v>3830</v>
      </c>
      <c r="BH184" s="3">
        <f>BG184+SUM(BH182:BH183)</f>
        <v>3830</v>
      </c>
      <c r="BI184" s="3">
        <f>BH184+SUM(BI182:BI183)</f>
        <v>3830</v>
      </c>
      <c r="BJ184" s="3">
        <f>BI184+SUM(BJ182:BJ183)</f>
        <v>3830</v>
      </c>
      <c r="BK184" s="3" t="n"/>
      <c r="BL184" s="3">
        <f>BJ184+SUM(BL182:BL183)</f>
        <v>3830</v>
      </c>
      <c r="BM184" s="3">
        <f>BL184+SUM(BM182:BM183)</f>
        <v>3830</v>
      </c>
      <c r="BN184" s="3">
        <f>BM184+SUM(BN182:BN183)</f>
        <v>3830</v>
      </c>
      <c r="BO184" s="3">
        <f>BN184+SUM(BO182:BO183)</f>
        <v>3830</v>
      </c>
      <c r="BP184" s="3" t="n"/>
      <c r="BQ184" s="3">
        <f>BO184+SUM(BQ182:BQ183)</f>
        <v>3830</v>
      </c>
      <c r="BR184" s="3">
        <f>BQ184+SUM(BR182:BR183)</f>
        <v>3830</v>
      </c>
      <c r="BS184" s="3">
        <f>BR184+SUM(BS182:BS183)</f>
        <v>3830</v>
      </c>
      <c r="BT184" s="3">
        <f>BS184+SUM(BT182:BT183)</f>
        <v>3830</v>
      </c>
      <c r="BU184" s="3" t="n"/>
      <c r="BV184" s="3">
        <f>BT184+SUM(BV182:BV183)</f>
        <v>3830</v>
      </c>
      <c r="BW184" s="3">
        <f>BV184+SUM(BW182:BW183)</f>
        <v>3830</v>
      </c>
      <c r="BX184" s="3">
        <f>BW184+SUM(BX182:BX183)</f>
        <v>3830</v>
      </c>
      <c r="BY184" s="3">
        <f>BX184+SUM(BY182:BY183)</f>
        <v>3830</v>
      </c>
      <c r="BZ184" s="3" t="n"/>
      <c r="CA184" s="3">
        <f>BY184+SUM(CA182:CA183)</f>
        <v>3830</v>
      </c>
      <c r="CB184" s="3">
        <f>CA184+SUM(CB182:CB183)</f>
        <v>3830</v>
      </c>
      <c r="CC184" s="3">
        <f>CB184+SUM(CC182:CC183)</f>
        <v>3830</v>
      </c>
      <c r="CD184" s="3">
        <f>CC184+SUM(CD182:CD183)</f>
        <v>3830</v>
      </c>
      <c r="CE184" s="3" t="n"/>
      <c r="CF184" s="3">
        <f>CD184+SUM(CF182:CF183)</f>
        <v>3830</v>
      </c>
      <c r="CG184" s="3">
        <f>CF184+SUM(CG182:CG183)</f>
        <v>3830</v>
      </c>
      <c r="CH184" s="3">
        <f>CG184+SUM(CH182:CH183)</f>
        <v>3830</v>
      </c>
      <c r="CI184" s="3">
        <f>CH184+SUM(CI182:CI183)</f>
        <v>3830</v>
      </c>
      <c r="CJ184" s="3" t="n"/>
      <c r="CK184" s="3">
        <f>CI184+SUM(CK182:CK183)</f>
        <v>3830</v>
      </c>
      <c r="CL184" s="3">
        <f>CK184+SUM(CL182:CL183)</f>
        <v>3830</v>
      </c>
      <c r="CM184" s="3">
        <f>CL184+SUM(CM182:CM183)</f>
        <v>3830</v>
      </c>
      <c r="CN184" s="3">
        <f>CM184+SUM(CN182:CN183)</f>
        <v>3830</v>
      </c>
      <c r="CO184" s="3" t="n"/>
      <c r="CP184" s="3">
        <f>CN184+SUM(CP182:CP183)</f>
        <v>3830</v>
      </c>
      <c r="CQ184" s="3">
        <f>CP184+SUM(CQ182:CQ183)</f>
        <v>3830</v>
      </c>
      <c r="CR184" s="3">
        <f>CQ184+SUM(CR182:CR183)</f>
        <v>3830</v>
      </c>
      <c r="CS184" s="3">
        <f>CR184+SUM(CS182:CS183)</f>
        <v>3830</v>
      </c>
      <c r="CT184" s="3" t="n"/>
      <c r="CU184" s="3">
        <f>CS184+SUM(CU182:CU183)</f>
        <v>3830</v>
      </c>
      <c r="CV184" s="3">
        <f>CU184+SUM(CV182:CV183)</f>
        <v>3830</v>
      </c>
      <c r="CW184" s="3">
        <f>CV184+SUM(CW182:CW183)</f>
        <v>3830</v>
      </c>
      <c r="CX184" s="3">
        <f>CW184+SUM(CX182:CX183)</f>
        <v>3830</v>
      </c>
      <c r="CY184" s="3" t="n"/>
      <c r="CZ184">
        <f>CX184+SUM(CZ182:CZ183)</f>
        <v>3830</v>
      </c>
      <c r="DA184">
        <f>CZ184+SUM(DA182:DA183)</f>
        <v>3830</v>
      </c>
      <c r="DB184">
        <f>DA184+SUM(DB182:DB183)</f>
        <v>3830</v>
      </c>
      <c r="DC184">
        <f>DB184+SUM(DC182:DC183)</f>
        <v>3830</v>
      </c>
    </row>
    <row r="185" hidden="1" outlineLevel="1">
      <c r="C185" s="34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  <c r="CI185" s="3" t="n"/>
      <c r="CJ185" s="3" t="n"/>
      <c r="CK185" s="3" t="n"/>
      <c r="CL185" s="3" t="n"/>
      <c r="CM185" s="3" t="n"/>
      <c r="CN185" s="3" t="n"/>
      <c r="CO185" s="3" t="n"/>
      <c r="CP185" s="3" t="n"/>
      <c r="CQ185" s="3" t="n"/>
      <c r="CR185" s="3" t="n"/>
      <c r="CS185" s="3" t="n"/>
      <c r="CT185" s="3" t="n"/>
      <c r="CU185" s="3" t="n"/>
      <c r="CV185" s="3" t="n"/>
      <c r="CW185" s="3" t="n"/>
      <c r="CX185" s="3" t="n"/>
      <c r="CY185" s="3" t="n"/>
    </row>
    <row r="186" hidden="1" outlineLevel="1">
      <c r="C186" s="34" t="inlineStr">
        <is>
          <t>Definir % do D&amp;A No PPE and Intagibles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34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collapsed="1">
      <c r="C189" s="26" t="inlineStr">
        <is>
          <t>Other non-current assets</t>
        </is>
      </c>
      <c r="D189" s="25">
        <f>INDEX('Inputs (2)'!$D$26:$AL$26,MATCH(D$7,'Inputs (2)'!$D$2:$AL$2,0))</f>
        <v>30.036</v>
      </c>
      <c r="E189" s="25">
        <f>INDEX('Inputs (2)'!$D$26:$AL$26,MATCH(E$7,'Inputs (2)'!$D$2:$AL$2,0))</f>
        <v>31.118</v>
      </c>
      <c r="F189" s="25">
        <f>INDEX('Inputs (2)'!$D$26:$AL$26,MATCH(F$7,'Inputs (2)'!$D$2:$AL$2,0))</f>
        <v>27.162</v>
      </c>
      <c r="G189" s="25">
        <f>INDEX('Inputs (2)'!$D$26:$AL$26,MATCH(G$7,'Inputs (2)'!$D$2:$AL$2,0))</f>
        <v>40.847</v>
      </c>
      <c r="H189" s="3">
        <f>G189</f>
        <v>40.847</v>
      </c>
      <c r="I189" s="25">
        <f>INDEX('Inputs (2)'!$D$26:$AL$26,MATCH(I$7,'Inputs (2)'!$D$2:$AL$2,0))</f>
        <v>43.419</v>
      </c>
      <c r="J189" s="25">
        <f>INDEX('Inputs (2)'!$D$26:$AL$26,MATCH(J$7,'Inputs (2)'!$D$2:$AL$2,0))</f>
        <v>40.718</v>
      </c>
      <c r="K189" s="25">
        <f>INDEX('Inputs (2)'!$D$26:$AL$26,MATCH(K$7,'Inputs (2)'!$D$2:$AL$2,0))</f>
        <v>46.987</v>
      </c>
      <c r="L189" s="25">
        <f>INDEX('Inputs (2)'!$D$26:$AL$26,MATCH(L$7,'Inputs (2)'!$D$2:$AL$2,0))</f>
        <v>43.489</v>
      </c>
      <c r="M189" s="3">
        <f>L189</f>
        <v>43.489</v>
      </c>
      <c r="N189" s="25">
        <f>INDEX('Inputs (2)'!$D$26:$AL$26,MATCH(N$7,'Inputs (2)'!$D$2:$AL$2,0))</f>
        <v>42.267</v>
      </c>
      <c r="O189" s="25">
        <f>INDEX('Inputs (2)'!$D$26:$AL$26,MATCH(O$7,'Inputs (2)'!$D$2:$AL$2,0))</f>
        <v>34.414</v>
      </c>
      <c r="P189" s="25">
        <f>INDEX('Inputs (2)'!$D$26:$AL$26,MATCH(P$7,'Inputs (2)'!$D$2:$AL$2,0))</f>
        <v>41.127</v>
      </c>
      <c r="Q189" s="25">
        <f>INDEX('Inputs (2)'!$D$26:$AL$26,MATCH(Q$7,'Inputs (2)'!$D$2:$AL$2,0))</f>
        <v>42.652</v>
      </c>
      <c r="R189" s="3">
        <f>Q189</f>
        <v>42.652</v>
      </c>
      <c r="S189" s="25">
        <f>INDEX('Inputs (2)'!$D$26:$AL$26,MATCH(S$7,'Inputs (2)'!$D$2:$AL$2,0))</f>
        <v>44.296</v>
      </c>
      <c r="T189" s="25">
        <f>INDEX('Inputs (2)'!$D$26:$AL$26,MATCH(T$7,'Inputs (2)'!$D$2:$AL$2,0))</f>
        <v>35.607</v>
      </c>
      <c r="U189" s="25">
        <f>INDEX('Inputs (2)'!$D$26:$AL$26,MATCH(U$7,'Inputs (2)'!$D$2:$AL$2,0))</f>
        <v>41.664</v>
      </c>
      <c r="V189" s="25">
        <f>INDEX('Inputs (2)'!$D$26:$AL$26,MATCH(V$7,'Inputs (2)'!$D$2:$AL$2,0))</f>
        <v>67.157</v>
      </c>
      <c r="W189" s="3">
        <f>V189</f>
        <v>67.157</v>
      </c>
      <c r="X189" s="25">
        <f>INDEX('Inputs (2)'!$D$26:$AL$26,MATCH(X$7,'Inputs (2)'!$D$2:$AL$2,0))</f>
        <v>67.678</v>
      </c>
      <c r="Y189" s="25">
        <f>INDEX('Inputs (2)'!$D$26:$AL$26,MATCH(Y$7,'Inputs (2)'!$D$2:$AL$2,0))</f>
        <v>73.183</v>
      </c>
      <c r="Z189" s="25">
        <f>INDEX('Inputs (2)'!$D$26:$AL$26,MATCH(Z$7,'Inputs (2)'!$D$2:$AL$2,0))</f>
        <v>83.305</v>
      </c>
      <c r="AA189" s="25">
        <f>INDEX('Inputs (2)'!$D$26:$AL$26,MATCH(AA$7,'Inputs (2)'!$D$2:$AL$2,0))</f>
        <v>123.991</v>
      </c>
      <c r="AB189" s="3">
        <f>AA189</f>
        <v>123.991</v>
      </c>
      <c r="AC189" s="25">
        <f>INDEX('Inputs (2)'!$D$26:$AL$26,MATCH(AC$7,'Inputs (2)'!$D$2:$AL$2,0))</f>
        <v>110.673</v>
      </c>
      <c r="AD189" s="25">
        <f>INDEX('Inputs (2)'!$D$26:$AL$26,MATCH(AD$7,'Inputs (2)'!$D$2:$AL$2,0))</f>
        <v>121.241</v>
      </c>
      <c r="AE189" s="25">
        <f>INDEX('Inputs (2)'!$D$26:$AL$26,MATCH(AE$7,'Inputs (2)'!$D$2:$AL$2,0))</f>
        <v>116.744</v>
      </c>
      <c r="AF189" s="25">
        <f>INDEX('Inputs (2)'!$D$26:$AL$26,MATCH(AF$7,'Inputs (2)'!$D$2:$AL$2,0))</f>
        <v>89.375</v>
      </c>
      <c r="AG189" s="3">
        <f>AF189</f>
        <v>89.375</v>
      </c>
      <c r="AH189" s="3">
        <f>INDEX('Inputs (2)'!$D$26:$AL$26,MATCH(AH$7,'Inputs (2)'!$D$2:$AL$2,0))</f>
        <v>106.819</v>
      </c>
      <c r="AI189" s="3">
        <f>INDEX('Inputs (2)'!$D$26:$AL$26,MATCH(AI$7,'Inputs (2)'!$D$2:$AL$2,0))</f>
        <v>1069.092</v>
      </c>
      <c r="AJ189" s="3">
        <f>AI189</f>
        <v>1069.092</v>
      </c>
      <c r="AK189" s="3">
        <f>AJ189</f>
        <v>1069.092</v>
      </c>
      <c r="AL189" s="3">
        <f>AK189</f>
        <v>1069.092</v>
      </c>
      <c r="AM189" s="3">
        <f>AL189</f>
        <v>1069.092</v>
      </c>
      <c r="AN189" s="3">
        <f>AM189</f>
        <v>1069.092</v>
      </c>
      <c r="AO189" s="3">
        <f>AN189</f>
        <v>1069.092</v>
      </c>
      <c r="AP189" s="3">
        <f>AO189</f>
        <v>1069.092</v>
      </c>
      <c r="AQ189" s="3">
        <f>AP189</f>
        <v>1069.092</v>
      </c>
      <c r="AR189" s="3">
        <f>AQ189</f>
        <v>1069.092</v>
      </c>
      <c r="AS189" s="3">
        <f>AR189</f>
        <v>1069.092</v>
      </c>
      <c r="AT189" s="3">
        <f>AS189</f>
        <v>1069.092</v>
      </c>
      <c r="AU189" s="3">
        <f>AT189</f>
        <v>1069.092</v>
      </c>
      <c r="AV189" s="3">
        <f>AU189</f>
        <v>1069.092</v>
      </c>
      <c r="AW189" s="3">
        <f>AV189</f>
        <v>1069.092</v>
      </c>
      <c r="AX189" s="3">
        <f>AW189</f>
        <v>1069.092</v>
      </c>
      <c r="AY189" s="3">
        <f>AX189</f>
        <v>1069.092</v>
      </c>
      <c r="AZ189" s="3">
        <f>AY189</f>
        <v>1069.092</v>
      </c>
      <c r="BA189" s="3">
        <f>AZ189</f>
        <v>1069.092</v>
      </c>
      <c r="BB189" s="3">
        <f>BA189</f>
        <v>1069.092</v>
      </c>
      <c r="BC189" s="3">
        <f>BB189</f>
        <v>1069.092</v>
      </c>
      <c r="BD189" s="3">
        <f>BC189</f>
        <v>1069.092</v>
      </c>
      <c r="BE189" s="3">
        <f>BD189</f>
        <v>1069.092</v>
      </c>
      <c r="BF189" s="3">
        <f>BE189</f>
        <v>1069.092</v>
      </c>
      <c r="BG189" s="3">
        <f>BF189</f>
        <v>1069.092</v>
      </c>
      <c r="BH189" s="3">
        <f>BG189</f>
        <v>1069.092</v>
      </c>
      <c r="BI189" s="3">
        <f>BH189</f>
        <v>1069.092</v>
      </c>
      <c r="BJ189" s="3">
        <f>BI189</f>
        <v>1069.092</v>
      </c>
      <c r="BK189" s="3">
        <f>BJ189</f>
        <v>1069.092</v>
      </c>
      <c r="BL189" s="3">
        <f>BK189</f>
        <v>1069.092</v>
      </c>
      <c r="BM189" s="3">
        <f>BL189</f>
        <v>1069.092</v>
      </c>
      <c r="BN189" s="3">
        <f>BM189</f>
        <v>1069.092</v>
      </c>
      <c r="BO189" s="3">
        <f>BN189</f>
        <v>1069.092</v>
      </c>
      <c r="BP189" s="3">
        <f>BO189</f>
        <v>1069.092</v>
      </c>
      <c r="BQ189" s="3">
        <f>BP189</f>
        <v>1069.092</v>
      </c>
      <c r="BR189" s="3">
        <f>BQ189</f>
        <v>1069.092</v>
      </c>
      <c r="BS189" s="3">
        <f>BR189</f>
        <v>1069.092</v>
      </c>
      <c r="BT189" s="3">
        <f>BS189</f>
        <v>1069.092</v>
      </c>
      <c r="BU189" s="3">
        <f>BT189</f>
        <v>1069.092</v>
      </c>
      <c r="BV189" s="3">
        <f>BU189</f>
        <v>1069.092</v>
      </c>
      <c r="BW189" s="3">
        <f>BV189</f>
        <v>1069.092</v>
      </c>
      <c r="BX189" s="3">
        <f>BW189</f>
        <v>1069.092</v>
      </c>
      <c r="BY189" s="3">
        <f>BX189</f>
        <v>1069.092</v>
      </c>
      <c r="BZ189" s="3">
        <f>BY189</f>
        <v>1069.092</v>
      </c>
      <c r="CA189" s="3">
        <f>BZ189</f>
        <v>1069.092</v>
      </c>
      <c r="CB189" s="3">
        <f>CA189</f>
        <v>1069.092</v>
      </c>
      <c r="CC189" s="3">
        <f>CB189</f>
        <v>1069.092</v>
      </c>
      <c r="CD189" s="3">
        <f>CC189</f>
        <v>1069.092</v>
      </c>
      <c r="CE189" s="3">
        <f>CD189</f>
        <v>1069.092</v>
      </c>
      <c r="CF189" s="3">
        <f>CE189</f>
        <v>1069.092</v>
      </c>
      <c r="CG189" s="3">
        <f>CF189</f>
        <v>1069.092</v>
      </c>
      <c r="CH189" s="3">
        <f>CG189</f>
        <v>1069.092</v>
      </c>
      <c r="CI189" s="3">
        <f>CH189</f>
        <v>1069.092</v>
      </c>
      <c r="CJ189" s="3">
        <f>CI189</f>
        <v>1069.092</v>
      </c>
      <c r="CK189" s="3">
        <f>CJ189</f>
        <v>1069.092</v>
      </c>
      <c r="CL189" s="3">
        <f>CK189</f>
        <v>1069.092</v>
      </c>
      <c r="CM189" s="3">
        <f>CL189</f>
        <v>1069.092</v>
      </c>
      <c r="CN189" s="3">
        <f>CM189</f>
        <v>1069.092</v>
      </c>
      <c r="CO189" s="3">
        <f>CN189</f>
        <v>1069.092</v>
      </c>
      <c r="CP189" s="3">
        <f>CO189</f>
        <v>1069.092</v>
      </c>
      <c r="CQ189" s="3">
        <f>CP189</f>
        <v>1069.092</v>
      </c>
      <c r="CR189" s="3">
        <f>CQ189</f>
        <v>1069.092</v>
      </c>
      <c r="CS189" s="3">
        <f>CR189</f>
        <v>1069.092</v>
      </c>
      <c r="CT189" s="3">
        <f>CS189</f>
        <v>1069.092</v>
      </c>
      <c r="CU189" s="3">
        <f>CT189</f>
        <v>1069.092</v>
      </c>
      <c r="CV189" s="3">
        <f>CU189</f>
        <v>1069.092</v>
      </c>
      <c r="CW189" s="3">
        <f>CV189</f>
        <v>1069.092</v>
      </c>
      <c r="CX189" s="3">
        <f>CW189</f>
        <v>1069.092</v>
      </c>
      <c r="CY189" s="3">
        <f>CX189</f>
        <v>1069.092</v>
      </c>
    </row>
    <row r="190" hidden="1" outlineLevel="1">
      <c r="C190" s="38" t="inlineStr">
        <is>
          <t>%(Var.)</t>
        </is>
      </c>
      <c r="D190" s="3" t="n"/>
      <c r="E190" s="47">
        <f>(E189-D189)/D189</f>
        <v>0.0360234385404182</v>
      </c>
      <c r="F190" s="47">
        <f>(F189-E189)/E189</f>
        <v>-0.127128992865866</v>
      </c>
      <c r="G190" s="47">
        <f>(G189-F189)/F189</f>
        <v>0.50382887858037</v>
      </c>
      <c r="H190" s="3" t="n"/>
      <c r="I190" s="47">
        <f>(I189-H189)/H189</f>
        <v>0.0629666805395746</v>
      </c>
      <c r="J190" s="47">
        <f>(J189-I189)/I189</f>
        <v>-0.0622077892167024</v>
      </c>
      <c r="K190" s="47">
        <f>(K189-J189)/J189</f>
        <v>0.153961392995727</v>
      </c>
      <c r="L190" s="47">
        <f>(L189-K189)/K189</f>
        <v>-0.0744461233958328</v>
      </c>
      <c r="M190" s="3" t="n"/>
      <c r="N190" s="47">
        <f>(N189-M189)/M189</f>
        <v>-0.0280990595322957</v>
      </c>
      <c r="O190" s="47">
        <f>(O189-N189)/N189</f>
        <v>-0.185795064707691</v>
      </c>
      <c r="P190" s="47">
        <f>(P189-O189)/O189</f>
        <v>0.195065961527285</v>
      </c>
      <c r="Q190" s="47">
        <f>(Q189-P189)/P189</f>
        <v>0.0370802635738079</v>
      </c>
      <c r="R190" s="3" t="n"/>
      <c r="S190" s="47">
        <f>(S189-R189)/R189</f>
        <v>0.0385444996717621</v>
      </c>
      <c r="T190" s="47">
        <f>(T189-S189)/S189</f>
        <v>-0.196157666606466</v>
      </c>
      <c r="U190" s="47">
        <f>(U189-T189)/T189</f>
        <v>0.170107001432303</v>
      </c>
      <c r="V190" s="47">
        <f>(V189-U189)/U189</f>
        <v>0.611871159754225</v>
      </c>
      <c r="W190" s="3" t="n"/>
      <c r="X190" s="47">
        <f>(X189-W189)/W189</f>
        <v>0.00775794034873485</v>
      </c>
      <c r="Y190" s="47">
        <f>(Y189-X189)/X189</f>
        <v>0.0813410561777832</v>
      </c>
      <c r="Z190" s="47">
        <f>(Z189-Y189)/Y189</f>
        <v>0.138310809887542</v>
      </c>
      <c r="AA190" s="47">
        <f>(AA189-Z189)/Z189</f>
        <v>0.488398055338815</v>
      </c>
      <c r="AB190" s="3" t="n"/>
      <c r="AC190" s="47">
        <f>(AC189-AB189)/AB189</f>
        <v>-0.107411021767709</v>
      </c>
      <c r="AD190" s="47">
        <f>(AD189-AC189)/AC189</f>
        <v>0.0954885111996602</v>
      </c>
      <c r="AE190" s="47">
        <f>(AE189-AD189)/AD189</f>
        <v>-0.0370914129708596</v>
      </c>
      <c r="AF190" s="218">
        <f>(AF189-AE189)/AE189</f>
        <v>-0.234436030973755</v>
      </c>
      <c r="AG190" s="3" t="n"/>
      <c r="AH190" s="218">
        <f>(AH189-AG189)/AG189</f>
        <v>0.195177622377622</v>
      </c>
      <c r="AI190" s="218">
        <f>(AI189-AH189)/AH189</f>
        <v>9.00844419064024</v>
      </c>
      <c r="AJ190" s="218" t="n"/>
      <c r="AK190" s="218" t="n"/>
      <c r="AL190" s="3" t="n"/>
      <c r="AM190" s="218" t="n"/>
      <c r="AN190" s="218" t="n"/>
      <c r="AO190" s="218" t="n"/>
      <c r="AP190" s="218" t="n"/>
      <c r="AQ190" s="3" t="n"/>
      <c r="AR190" s="218" t="n"/>
      <c r="AS190" s="218" t="n"/>
      <c r="AT190" s="218" t="n"/>
      <c r="AU190" s="218" t="n"/>
      <c r="AV190" s="3" t="n"/>
      <c r="AW190" s="218" t="n"/>
      <c r="AX190" s="218" t="n"/>
      <c r="AY190" s="218" t="n"/>
      <c r="AZ190" s="218" t="n"/>
      <c r="BA190" s="3" t="n"/>
      <c r="BB190" s="218" t="n"/>
      <c r="BC190" s="218" t="n"/>
      <c r="BD190" s="218" t="n"/>
      <c r="BE190" s="218" t="n"/>
      <c r="BF190" s="3" t="n"/>
      <c r="BG190" s="218" t="n"/>
      <c r="BH190" s="218" t="n"/>
      <c r="BI190" s="218" t="n"/>
      <c r="BJ190" s="218" t="n"/>
      <c r="BK190" s="3" t="n"/>
      <c r="BL190" s="218" t="n"/>
      <c r="BM190" s="218" t="n"/>
      <c r="BN190" s="218" t="n"/>
      <c r="BO190" s="218" t="n"/>
      <c r="BP190" s="3" t="n"/>
      <c r="BQ190" s="218" t="n"/>
      <c r="BR190" s="218" t="n"/>
      <c r="BS190" s="218" t="n"/>
      <c r="BT190" s="218" t="n"/>
      <c r="BU190" s="3" t="n"/>
      <c r="BV190" s="218" t="n"/>
      <c r="BW190" s="218" t="n"/>
      <c r="BX190" s="218" t="n"/>
      <c r="BY190" s="218" t="n"/>
      <c r="BZ190" s="3" t="n"/>
      <c r="CA190" s="218" t="n"/>
      <c r="CB190" s="218" t="n"/>
      <c r="CC190" s="218" t="n"/>
      <c r="CD190" s="218" t="n"/>
      <c r="CE190" s="3" t="n"/>
      <c r="CF190" s="218" t="n"/>
      <c r="CG190" s="218" t="n"/>
      <c r="CH190" s="218" t="n"/>
      <c r="CI190" s="218" t="n"/>
      <c r="CJ190" s="3" t="n"/>
      <c r="CK190" s="218" t="n"/>
      <c r="CL190" s="218" t="n"/>
      <c r="CM190" s="218" t="n"/>
      <c r="CN190" s="218" t="n"/>
      <c r="CO190" s="3" t="n"/>
      <c r="CP190" s="218" t="n"/>
      <c r="CQ190" s="218" t="n"/>
      <c r="CR190" s="218" t="n"/>
      <c r="CS190" s="218" t="n"/>
      <c r="CT190" s="3" t="n"/>
      <c r="CU190" s="218" t="n"/>
      <c r="CV190" s="218" t="n"/>
      <c r="CW190" s="218" t="n"/>
      <c r="CX190" s="218" t="n"/>
      <c r="CY190" s="3" t="n"/>
    </row>
    <row r="191" hidden="1" outlineLevel="1">
      <c r="C191" s="34" t="n"/>
      <c r="D191" s="3" t="n"/>
      <c r="E191" s="47" t="n"/>
      <c r="F191" s="47" t="n"/>
      <c r="G191" s="47" t="n"/>
      <c r="H191" s="3" t="n"/>
      <c r="I191" s="47" t="n"/>
      <c r="J191" s="47" t="n"/>
      <c r="K191" s="47" t="n"/>
      <c r="L191" s="47" t="n"/>
      <c r="M191" s="3" t="n"/>
      <c r="N191" s="47" t="n"/>
      <c r="O191" s="47" t="n"/>
      <c r="P191" s="47" t="n"/>
      <c r="Q191" s="47" t="n"/>
      <c r="R191" s="3" t="n"/>
      <c r="S191" s="47" t="n"/>
      <c r="T191" s="47" t="n"/>
      <c r="U191" s="47" t="n"/>
      <c r="V191" s="47" t="n"/>
      <c r="W191" s="3" t="n"/>
      <c r="X191" s="47" t="n"/>
      <c r="Y191" s="47" t="n"/>
      <c r="Z191" s="47" t="n"/>
      <c r="AA191" s="47" t="n"/>
      <c r="AB191" s="3" t="n"/>
      <c r="AC191" s="47" t="n"/>
      <c r="AD191" s="47" t="n"/>
      <c r="AE191" s="47" t="n"/>
      <c r="AF191" s="218" t="n"/>
      <c r="AG191" s="3" t="n"/>
      <c r="AH191" s="218" t="n"/>
      <c r="AI191" s="218" t="n"/>
      <c r="AJ191" s="218" t="n"/>
      <c r="AK191" s="218" t="n"/>
      <c r="AL191" s="3" t="n"/>
      <c r="AM191" s="218" t="n"/>
      <c r="AN191" s="218" t="n"/>
      <c r="AO191" s="218" t="n"/>
      <c r="AP191" s="218" t="n"/>
      <c r="AQ191" s="3" t="n"/>
      <c r="AR191" s="218" t="n"/>
      <c r="AS191" s="218" t="n"/>
      <c r="AT191" s="218" t="n"/>
      <c r="AU191" s="218" t="n"/>
      <c r="AV191" s="3" t="n"/>
      <c r="AW191" s="218" t="n"/>
      <c r="AX191" s="218" t="n"/>
      <c r="AY191" s="218" t="n"/>
      <c r="AZ191" s="218" t="n"/>
      <c r="BA191" s="3" t="n"/>
      <c r="BB191" s="218" t="n"/>
      <c r="BC191" s="218" t="n"/>
      <c r="BD191" s="218" t="n"/>
      <c r="BE191" s="218" t="n"/>
      <c r="BF191" s="3" t="n"/>
      <c r="BG191" s="218" t="n"/>
      <c r="BH191" s="218" t="n"/>
      <c r="BI191" s="218" t="n"/>
      <c r="BJ191" s="218" t="n"/>
      <c r="BK191" s="3" t="n"/>
      <c r="BL191" s="218" t="n"/>
      <c r="BM191" s="218" t="n"/>
      <c r="BN191" s="218" t="n"/>
      <c r="BO191" s="218" t="n"/>
      <c r="BP191" s="3" t="n"/>
      <c r="BQ191" s="218" t="n"/>
      <c r="BR191" s="218" t="n"/>
      <c r="BS191" s="218" t="n"/>
      <c r="BT191" s="218" t="n"/>
      <c r="BU191" s="3" t="n"/>
      <c r="BV191" s="218" t="n"/>
      <c r="BW191" s="218" t="n"/>
      <c r="BX191" s="218" t="n"/>
      <c r="BY191" s="218" t="n"/>
      <c r="BZ191" s="3" t="n"/>
      <c r="CA191" s="218" t="n"/>
      <c r="CB191" s="218" t="n"/>
      <c r="CC191" s="218" t="n"/>
      <c r="CD191" s="218" t="n"/>
      <c r="CE191" s="3" t="n"/>
      <c r="CF191" s="218" t="n"/>
      <c r="CG191" s="218" t="n"/>
      <c r="CH191" s="218" t="n"/>
      <c r="CI191" s="218" t="n"/>
      <c r="CJ191" s="3" t="n"/>
      <c r="CK191" s="218" t="n"/>
      <c r="CL191" s="218" t="n"/>
      <c r="CM191" s="218" t="n"/>
      <c r="CN191" s="218" t="n"/>
      <c r="CO191" s="3" t="n"/>
      <c r="CP191" s="218" t="n"/>
      <c r="CQ191" s="218" t="n"/>
      <c r="CR191" s="218" t="n"/>
      <c r="CS191" s="218" t="n"/>
      <c r="CT191" s="3" t="n"/>
      <c r="CU191" s="218" t="n"/>
      <c r="CV191" s="218" t="n"/>
      <c r="CW191" s="218" t="n"/>
      <c r="CX191" s="218" t="n"/>
      <c r="CY191" s="3" t="n"/>
    </row>
    <row r="192" hidden="1" outlineLevel="1">
      <c r="C192" s="52" t="inlineStr">
        <is>
          <t>Outros Créditos - LP</t>
        </is>
      </c>
      <c r="D192" s="6" t="n"/>
      <c r="E192" s="6" t="n"/>
      <c r="F192" s="6" t="n"/>
      <c r="G192" s="6" t="n"/>
      <c r="H192" s="3" t="n"/>
      <c r="I192" s="6" t="n"/>
      <c r="J192" s="6" t="n"/>
      <c r="K192" s="6" t="n"/>
      <c r="L192" s="6" t="n"/>
      <c r="M192" s="3" t="n"/>
      <c r="N192" s="6" t="n"/>
      <c r="O192" s="6" t="n"/>
      <c r="P192" s="6" t="n"/>
      <c r="Q192" s="6" t="n"/>
      <c r="R192" s="3" t="n"/>
      <c r="S192" s="6" t="n"/>
      <c r="T192" s="6" t="n"/>
      <c r="U192" s="6" t="n"/>
      <c r="V192" s="6" t="n"/>
      <c r="W192" s="3" t="n"/>
      <c r="X192" s="6" t="n"/>
      <c r="Y192" s="6" t="n"/>
      <c r="Z192" s="6" t="n"/>
      <c r="AA192" s="6" t="n"/>
      <c r="AB192" s="3" t="n"/>
      <c r="AC192" s="6" t="n"/>
      <c r="AD192" s="6" t="n"/>
      <c r="AE192" s="6" t="n"/>
      <c r="AF192" s="6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hidden="1" outlineLevel="1">
      <c r="C193" s="52" t="inlineStr">
        <is>
          <t xml:space="preserve">Impostos e Contribuições a Recuperar </t>
        </is>
      </c>
      <c r="D193" s="6" t="n"/>
      <c r="E193" s="6" t="n"/>
      <c r="F193" s="6" t="n"/>
      <c r="G193" s="6" t="n"/>
      <c r="H193" s="3" t="n"/>
      <c r="I193" s="6" t="n"/>
      <c r="J193" s="6" t="n"/>
      <c r="K193" s="6" t="n"/>
      <c r="L193" s="6" t="n"/>
      <c r="M193" s="3" t="n"/>
      <c r="N193" s="6" t="n"/>
      <c r="O193" s="6" t="n"/>
      <c r="P193" s="6" t="n"/>
      <c r="Q193" s="6" t="n"/>
      <c r="R193" s="3" t="n"/>
      <c r="S193" s="6" t="n"/>
      <c r="T193" s="6" t="n"/>
      <c r="U193" s="6" t="n"/>
      <c r="V193" s="6" t="n"/>
      <c r="W193" s="3" t="n"/>
      <c r="X193" s="6" t="n"/>
      <c r="Y193" s="6" t="n"/>
      <c r="Z193" s="6" t="n"/>
      <c r="AA193" s="6" t="n"/>
      <c r="AB193" s="3" t="n"/>
      <c r="AC193" s="6" t="n"/>
      <c r="AD193" s="6" t="n"/>
      <c r="AE193" s="6" t="n"/>
      <c r="AF193" s="6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  <c r="CI193" s="3" t="n"/>
      <c r="CJ193" s="3" t="n"/>
      <c r="CK193" s="3" t="n"/>
      <c r="CL193" s="3" t="n"/>
      <c r="CM193" s="3" t="n"/>
      <c r="CN193" s="3" t="n"/>
      <c r="CO193" s="3" t="n"/>
      <c r="CP193" s="3" t="n"/>
      <c r="CQ193" s="3" t="n"/>
      <c r="CR193" s="3" t="n"/>
      <c r="CS193" s="3" t="n"/>
      <c r="CT193" s="3" t="n"/>
      <c r="CU193" s="3" t="n"/>
      <c r="CV193" s="3" t="n"/>
      <c r="CW193" s="3" t="n"/>
      <c r="CX193" s="3" t="n"/>
      <c r="CY193" s="3" t="n"/>
    </row>
    <row r="194" hidden="1" outlineLevel="1">
      <c r="C194" s="52" t="inlineStr">
        <is>
          <t xml:space="preserve">Imposto de Renda e Contribuição Social Diferidos </t>
        </is>
      </c>
      <c r="D194" s="6" t="n"/>
      <c r="E194" s="6" t="n"/>
      <c r="F194" s="6" t="n"/>
      <c r="G194" s="6" t="n"/>
      <c r="H194" s="3" t="n"/>
      <c r="I194" s="6" t="n"/>
      <c r="J194" s="6" t="n"/>
      <c r="K194" s="6" t="n"/>
      <c r="L194" s="6" t="n"/>
      <c r="M194" s="3" t="n"/>
      <c r="N194" s="6" t="n"/>
      <c r="O194" s="6" t="n"/>
      <c r="P194" s="6" t="n"/>
      <c r="Q194" s="6" t="n"/>
      <c r="R194" s="3" t="n"/>
      <c r="S194" s="6" t="n"/>
      <c r="T194" s="6" t="n"/>
      <c r="U194" s="6" t="n"/>
      <c r="V194" s="6" t="n"/>
      <c r="W194" s="3" t="n"/>
      <c r="X194" s="6" t="n"/>
      <c r="Y194" s="6" t="n"/>
      <c r="Z194" s="6" t="n"/>
      <c r="AA194" s="6" t="n"/>
      <c r="AB194" s="3" t="n"/>
      <c r="AC194" s="6" t="n"/>
      <c r="AD194" s="6" t="n"/>
      <c r="AE194" s="6" t="n"/>
      <c r="AF194" s="6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52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3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collapsed="1" customFormat="1" s="17">
      <c r="A197" s="13" t="n"/>
      <c r="B197" s="1" t="n"/>
      <c r="C197" s="14" t="inlineStr">
        <is>
          <t>Total Assets</t>
        </is>
      </c>
      <c r="D197" s="16">
        <f>(D144+D145+D149+D153+D154+D155+D161+D166+D176+D179+D180+D189)</f>
        <v>660.087</v>
      </c>
      <c r="E197" s="16">
        <f>(E144+E145+E149+E153+E154+E155+E161+E166+E176+E179+E180+E189)</f>
        <v>667.439</v>
      </c>
      <c r="F197" s="16">
        <f>(F144+F145+F149+F153+F154+F155+F161+F166+F176+F179+F180+F189)</f>
        <v>675.631</v>
      </c>
      <c r="G197" s="16">
        <f>(G144+G145+G149+G153+G154+G155+G161+G166+G176+G179+G180+G189)</f>
        <v>670.861</v>
      </c>
      <c r="H197" s="16">
        <f>SUM(H144,H145,H149,H153,H154,H155,H161,H176,H179,H180,H189,H166)</f>
        <v>670.861</v>
      </c>
      <c r="I197" s="16">
        <f>(I144+I145+I149+I153+I154+I155+I161+I166+I176+I179+I180+I189)</f>
        <v>1026.589</v>
      </c>
      <c r="J197" s="16">
        <f>(J144+J145+J149+J153+J154+J155+J161+J166+J176+J179+J180+J189)</f>
        <v>966.787</v>
      </c>
      <c r="K197" s="16">
        <f>(K144+K145+K149+K153+K154+K155+K161+K166+K176+K179+K180+K189)</f>
        <v>924.473</v>
      </c>
      <c r="L197" s="16">
        <f>(L144+L145+L149+L153+L154+L155+L161+L166+L176+L179+L180+L189)</f>
        <v>1206.063</v>
      </c>
      <c r="M197" s="16">
        <f>SUM(M144,M145,M149,M153,M154,M155,M161,M176,M179,M180,M189,M166)</f>
        <v>1206.063</v>
      </c>
      <c r="N197" s="16">
        <f>(N144+N145+N149+N153+N154+N155+N161+N166+N176+N179+N180+N189)</f>
        <v>1218.866</v>
      </c>
      <c r="O197" s="16">
        <f>(O144+O145+O149+O153+O154+O155+O161+O166+O176+O179+O180+O189)</f>
        <v>1654.061</v>
      </c>
      <c r="P197" s="16">
        <f>(P144+P145+P149+P153+P154+P155+P161+P166+P176+P179+P180+P189)</f>
        <v>1689.875</v>
      </c>
      <c r="Q197" s="16">
        <f>(Q144+Q145+Q149+Q153+Q154+Q155+Q161+Q166+Q176+Q179+Q180+Q189)</f>
        <v>2073.296</v>
      </c>
      <c r="R197" s="16">
        <f>SUM(R144,R145,R149,R153,R154,R155,R161,R176,R179,R180,R189,R166)</f>
        <v>2073.296</v>
      </c>
      <c r="S197" s="16">
        <f>(S144+S145+S149+S153+S154+S155+S161+S166+S176+S179+S180+S189)</f>
        <v>2044.537</v>
      </c>
      <c r="T197" s="16">
        <f>(T144+T145+T149+T153+T154+T155+T161+T166+T176+T179+T180+T189)</f>
        <v>2099.356</v>
      </c>
      <c r="U197" s="16">
        <f>(U144+U145+U149+U153+U154+U155+U161+U166+U176+U179+U180+U189)</f>
        <v>2239.121</v>
      </c>
      <c r="V197" s="16">
        <f>(V144+V145+V149+V153+V154+V155+V161+V166+V176+V179+V180+V189)</f>
        <v>2262.344</v>
      </c>
      <c r="W197" s="16">
        <f>SUM(W144,W145,W149,W153,W154,W155,W161,W176,W179,W180,W189,W166)</f>
        <v>2262.344</v>
      </c>
      <c r="X197" s="16">
        <f>(X144+X145+X149+X153+X154+X155+X161+X166+X176+X179+X180+X189)</f>
        <v>2296.704</v>
      </c>
      <c r="Y197" s="16">
        <f>(Y144+Y145+Y149+Y153+Y154+Y155+Y161+Y166+Y176+Y179+Y180+Y189)</f>
        <v>2458.471</v>
      </c>
      <c r="Z197" s="16">
        <f>(Z144+Z145+Z149+Z153+Z154+Z155+Z161+Z166+Z176+Z179+Z180+Z189)</f>
        <v>3325.011</v>
      </c>
      <c r="AA197" s="16">
        <f>(AA144+AA145+AA149+AA153+AA154+AA155+AA161+AA166+AA176+AA179+AA180+AA189)</f>
        <v>3334.198</v>
      </c>
      <c r="AB197" s="16">
        <f>SUM(AB144,AB145,AB149,AB153,AB154,AB155,AB161,AB176,AB179,AB180,AB189,AB166)</f>
        <v>3334.198</v>
      </c>
      <c r="AC197" s="16">
        <f>(AC144+AC145+AC149+AC153+AC154+AC155+AC161+AC166+AC176+AC179+AC180+AC189)</f>
        <v>3387.08</v>
      </c>
      <c r="AD197" s="16">
        <f>(AD144+AD145+AD149+AD153+AD154+AD155+AD161+AD166+AD176+AD179+AD180+AD189)</f>
        <v>4045.501</v>
      </c>
      <c r="AE197" s="16">
        <f>(AE144+AE145+AE149+AE153+AE154+AE155+AE161+AE166+AE176+AE179+AE180+AE189)</f>
        <v>4224.165</v>
      </c>
      <c r="AF197" s="16">
        <f>(AF144+AF145+AF149+AF153+AF154+AF155+AF161+AF166+AF176+AF179+AF180+AF189)</f>
        <v>4293.945</v>
      </c>
      <c r="AG197" s="16">
        <f>SUM(AG144,AG145,AG149,AG153,AG154,AG155,AG161,AG176,AG179,AG180,AG189,AG166)</f>
        <v>4293.945</v>
      </c>
      <c r="AH197" s="16">
        <f>(AH144+AH145+AH149+AH153+AH154+AH155+AH161+AH166+AH176+AH179+AH180+AH189)</f>
        <v>4446.961</v>
      </c>
      <c r="AI197" s="16">
        <f>(AI144+AI145+AI149+AI153+AI154+AI155+AI161+AI166+AI176+AI179+AI180+AI189)</f>
        <v>11325.751</v>
      </c>
      <c r="AJ197" s="16">
        <f>(AJ144+AJ145+AJ149+AJ153+AJ154+AJ155+AJ161+AJ166+AJ176+AJ179+AJ180+AJ189)</f>
        <v>10658.322</v>
      </c>
      <c r="AK197" s="16">
        <f>(AK144+AK145+AK149+AK153+AK154+AK155+AK161+AK166+AK176+AK179+AK180+AK189)</f>
        <v>10693.526</v>
      </c>
      <c r="AL197" s="16">
        <f>SUM(AL144,AL145,AL149,AL153,AL154,AL155,AL161,AL176,AL179,AL180,AL189,AL166)</f>
        <v>10693.526</v>
      </c>
      <c r="AM197" s="16" t="e">
        <f>(AM144+AM145+AM149+AM153+AM154+AM155+AM161+AM166+AM176+AM179+AM180+AM189)</f>
        <v>#DIV/0!</v>
      </c>
      <c r="AN197" s="16" t="e">
        <f>(AN144+AN145+AN149+AN153+AN154+AN155+AN161+AN166+AN176+AN179+AN180+AN189)</f>
        <v>#DIV/0!</v>
      </c>
      <c r="AO197" s="16" t="e">
        <f>(AO144+AO145+AO149+AO153+AO154+AO155+AO161+AO166+AO176+AO179+AO180+AO189)</f>
        <v>#DIV/0!</v>
      </c>
      <c r="AP197" s="16" t="e">
        <f>(AP144+AP145+AP149+AP153+AP154+AP155+AP161+AP166+AP176+AP179+AP180+AP189)</f>
        <v>#DIV/0!</v>
      </c>
      <c r="AQ197" s="16" t="e">
        <f>SUM(AQ144,AQ145,AQ149,AQ153,AQ154,AQ155,AQ161,AQ176,AQ179,AQ180,AQ189,AQ166)</f>
        <v>#DIV/0!</v>
      </c>
      <c r="AR197" s="16" t="e">
        <f>(AR144+AR145+AR149+AR153+AR154+AR155+AR161+AR166+AR176+AR179+AR180+AR189)</f>
        <v>#DIV/0!</v>
      </c>
      <c r="AS197" s="16" t="e">
        <f>(AS144+AS145+AS149+AS153+AS154+AS155+AS161+AS166+AS176+AS179+AS180+AS189)</f>
        <v>#DIV/0!</v>
      </c>
      <c r="AT197" s="16" t="e">
        <f>(AT144+AT145+AT149+AT153+AT154+AT155+AT161+AT166+AT176+AT179+AT180+AT189)</f>
        <v>#DIV/0!</v>
      </c>
      <c r="AU197" s="16" t="e">
        <f>(AU144+AU145+AU149+AU153+AU154+AU155+AU161+AU166+AU176+AU179+AU180+AU189)</f>
        <v>#DIV/0!</v>
      </c>
      <c r="AV197" s="16" t="e">
        <f>SUM(AV144,AV145,AV149,AV153,AV154,AV155,AV161,AV176,AV179,AV180,AV189,AV166)</f>
        <v>#DIV/0!</v>
      </c>
      <c r="AW197" s="16" t="e">
        <f>(AW144+AW145+AW149+AW153+AW154+AW155+AW161+AW166+AW176+AW179+AW180+AW189)</f>
        <v>#DIV/0!</v>
      </c>
      <c r="AX197" s="16" t="e">
        <f>(AX144+AX145+AX149+AX153+AX154+AX155+AX161+AX166+AX176+AX179+AX180+AX189)</f>
        <v>#DIV/0!</v>
      </c>
      <c r="AY197" s="16" t="e">
        <f>(AY144+AY145+AY149+AY153+AY154+AY155+AY161+AY166+AY176+AY179+AY180+AY189)</f>
        <v>#DIV/0!</v>
      </c>
      <c r="AZ197" s="16" t="e">
        <f>(AZ144+AZ145+AZ149+AZ153+AZ154+AZ155+AZ161+AZ166+AZ176+AZ179+AZ180+AZ189)</f>
        <v>#DIV/0!</v>
      </c>
      <c r="BA197" s="16" t="e">
        <f>SUM(BA144,BA145,BA149,BA153,BA154,BA155,BA161,BA176,BA179,BA180,BA189,BA166)</f>
        <v>#DIV/0!</v>
      </c>
      <c r="BB197" s="16" t="e">
        <f>(BB144+BB145+BB149+BB153+BB154+BB155+BB161+BB166+BB176+BB179+BB180+BB189)</f>
        <v>#DIV/0!</v>
      </c>
      <c r="BC197" s="16" t="e">
        <f>(BC144+BC145+BC149+BC153+BC154+BC155+BC161+BC166+BC176+BC179+BC180+BC189)</f>
        <v>#DIV/0!</v>
      </c>
      <c r="BD197" s="16" t="e">
        <f>(BD144+BD145+BD149+BD153+BD154+BD155+BD161+BD166+BD176+BD179+BD180+BD189)</f>
        <v>#DIV/0!</v>
      </c>
      <c r="BE197" s="16" t="e">
        <f>(BE144+BE145+BE149+BE153+BE154+BE155+BE161+BE166+BE176+BE179+BE180+BE189)</f>
        <v>#DIV/0!</v>
      </c>
      <c r="BF197" s="16" t="e">
        <f>SUM(BF144,BF145,BF149,BF153,BF154,BF155,BF161,BF176,BF179,BF180,BF189,BF166)</f>
        <v>#DIV/0!</v>
      </c>
      <c r="BG197" s="16" t="e">
        <f>(BG144+BG145+BG149+BG153+BG154+BG155+BG161+BG166+BG176+BG179+BG180+BG189)</f>
        <v>#DIV/0!</v>
      </c>
      <c r="BH197" s="16" t="e">
        <f>(BH144+BH145+BH149+BH153+BH154+BH155+BH161+BH166+BH176+BH179+BH180+BH189)</f>
        <v>#DIV/0!</v>
      </c>
      <c r="BI197" s="16" t="e">
        <f>(BI144+BI145+BI149+BI153+BI154+BI155+BI161+BI166+BI176+BI179+BI180+BI189)</f>
        <v>#DIV/0!</v>
      </c>
      <c r="BJ197" s="16" t="e">
        <f>(BJ144+BJ145+BJ149+BJ153+BJ154+BJ155+BJ161+BJ166+BJ176+BJ179+BJ180+BJ189)</f>
        <v>#DIV/0!</v>
      </c>
      <c r="BK197" s="16" t="e">
        <f>SUM(BK144,BK145,BK149,BK153,BK154,BK155,BK161,BK176,BK179,BK180,BK189,BK166)</f>
        <v>#DIV/0!</v>
      </c>
      <c r="BL197" s="16" t="e">
        <f>(BL144+BL145+BL149+BL153+BL154+BL155+BL161+BL166+BL176+BL179+BL180+BL189)</f>
        <v>#DIV/0!</v>
      </c>
      <c r="BM197" s="16" t="e">
        <f>(BM144+BM145+BM149+BM153+BM154+BM155+BM161+BM166+BM176+BM179+BM180+BM189)</f>
        <v>#DIV/0!</v>
      </c>
      <c r="BN197" s="16" t="e">
        <f>(BN144+BN145+BN149+BN153+BN154+BN155+BN161+BN166+BN176+BN179+BN180+BN189)</f>
        <v>#DIV/0!</v>
      </c>
      <c r="BO197" s="16" t="e">
        <f>(BO144+BO145+BO149+BO153+BO154+BO155+BO161+BO166+BO176+BO179+BO180+BO189)</f>
        <v>#DIV/0!</v>
      </c>
      <c r="BP197" s="16" t="e">
        <f>SUM(BP144,BP145,BP149,BP153,BP154,BP155,BP161,BP176,BP179,BP180,BP189,BP166)</f>
        <v>#DIV/0!</v>
      </c>
      <c r="BQ197" s="16" t="e">
        <f>(BQ144+BQ145+BQ149+BQ153+BQ154+BQ155+BQ161+BQ166+BQ176+BQ179+BQ180+BQ189)</f>
        <v>#DIV/0!</v>
      </c>
      <c r="BR197" s="16" t="e">
        <f>(BR144+BR145+BR149+BR153+BR154+BR155+BR161+BR166+BR176+BR179+BR180+BR189)</f>
        <v>#DIV/0!</v>
      </c>
      <c r="BS197" s="16" t="e">
        <f>(BS144+BS145+BS149+BS153+BS154+BS155+BS161+BS166+BS176+BS179+BS180+BS189)</f>
        <v>#DIV/0!</v>
      </c>
      <c r="BT197" s="16" t="e">
        <f>(BT144+BT145+BT149+BT153+BT154+BT155+BT161+BT166+BT176+BT179+BT180+BT189)</f>
        <v>#DIV/0!</v>
      </c>
      <c r="BU197" s="16" t="e">
        <f>SUM(BU144,BU145,BU149,BU153,BU154,BU155,BU161,BU176,BU179,BU180,BU189,BU166)</f>
        <v>#DIV/0!</v>
      </c>
      <c r="BV197" s="16" t="e">
        <f>(BV144+BV145+BV149+BV153+BV154+BV155+BV161+BV166+BV176+BV179+BV180+BV189)</f>
        <v>#DIV/0!</v>
      </c>
      <c r="BW197" s="16" t="e">
        <f>(BW144+BW145+BW149+BW153+BW154+BW155+BW161+BW166+BW176+BW179+BW180+BW189)</f>
        <v>#DIV/0!</v>
      </c>
      <c r="BX197" s="16" t="e">
        <f>(BX144+BX145+BX149+BX153+BX154+BX155+BX161+BX166+BX176+BX179+BX180+BX189)</f>
        <v>#DIV/0!</v>
      </c>
      <c r="BY197" s="16" t="e">
        <f>(BY144+BY145+BY149+BY153+BY154+BY155+BY161+BY166+BY176+BY179+BY180+BY189)</f>
        <v>#DIV/0!</v>
      </c>
      <c r="BZ197" s="16" t="e">
        <f>SUM(BZ144,BZ145,BZ149,BZ153,BZ154,BZ155,BZ161,BZ176,BZ179,BZ180,BZ189,BZ166)</f>
        <v>#DIV/0!</v>
      </c>
      <c r="CA197" s="16" t="e">
        <f>(CA144+CA145+CA149+CA153+CA154+CA155+CA161+CA166+CA176+CA179+CA180+CA189)</f>
        <v>#DIV/0!</v>
      </c>
      <c r="CB197" s="16" t="e">
        <f>(CB144+CB145+CB149+CB153+CB154+CB155+CB161+CB166+CB176+CB179+CB180+CB189)</f>
        <v>#DIV/0!</v>
      </c>
      <c r="CC197" s="16" t="e">
        <f>(CC144+CC145+CC149+CC153+CC154+CC155+CC161+CC166+CC176+CC179+CC180+CC189)</f>
        <v>#DIV/0!</v>
      </c>
      <c r="CD197" s="16" t="e">
        <f>(CD144+CD145+CD149+CD153+CD154+CD155+CD161+CD166+CD176+CD179+CD180+CD189)</f>
        <v>#DIV/0!</v>
      </c>
      <c r="CE197" s="16" t="e">
        <f>SUM(CE144,CE145,CE149,CE153,CE154,CE155,CE161,CE176,CE179,CE180,CE189,CE166)</f>
        <v>#DIV/0!</v>
      </c>
      <c r="CF197" s="16" t="e">
        <f>(CF144+CF145+CF149+CF153+CF154+CF155+CF161+CF166+CF176+CF179+CF180+CF189)</f>
        <v>#DIV/0!</v>
      </c>
      <c r="CG197" s="16" t="e">
        <f>(CG144+CG145+CG149+CG153+CG154+CG155+CG161+CG166+CG176+CG179+CG180+CG189)</f>
        <v>#DIV/0!</v>
      </c>
      <c r="CH197" s="16" t="e">
        <f>(CH144+CH145+CH149+CH153+CH154+CH155+CH161+CH166+CH176+CH179+CH180+CH189)</f>
        <v>#DIV/0!</v>
      </c>
      <c r="CI197" s="16" t="e">
        <f>(CI144+CI145+CI149+CI153+CI154+CI155+CI161+CI166+CI176+CI179+CI180+CI189)</f>
        <v>#DIV/0!</v>
      </c>
      <c r="CJ197" s="16" t="e">
        <f>SUM(CJ144,CJ145,CJ149,CJ153,CJ154,CJ155,CJ161,CJ176,CJ179,CJ180,CJ189,CJ166)</f>
        <v>#DIV/0!</v>
      </c>
      <c r="CK197" s="16" t="e">
        <f>(CK144+CK145+CK149+CK153+CK154+CK155+CK161+CK166+CK176+CK179+CK180+CK189)</f>
        <v>#DIV/0!</v>
      </c>
      <c r="CL197" s="16" t="e">
        <f>(CL144+CL145+CL149+CL153+CL154+CL155+CL161+CL166+CL176+CL179+CL180+CL189)</f>
        <v>#DIV/0!</v>
      </c>
      <c r="CM197" s="16" t="e">
        <f>(CM144+CM145+CM149+CM153+CM154+CM155+CM161+CM166+CM176+CM179+CM180+CM189)</f>
        <v>#DIV/0!</v>
      </c>
      <c r="CN197" s="16" t="e">
        <f>(CN144+CN145+CN149+CN153+CN154+CN155+CN161+CN166+CN176+CN179+CN180+CN189)</f>
        <v>#DIV/0!</v>
      </c>
      <c r="CO197" s="16" t="e">
        <f>SUM(CO144,CO145,CO149,CO153,CO154,CO155,CO161,CO176,CO179,CO180,CO189,CO166)</f>
        <v>#DIV/0!</v>
      </c>
      <c r="CP197" s="16" t="e">
        <f>(CP144+CP145+CP149+CP153+CP154+CP155+CP161+CP166+CP176+CP179+CP180+CP189)</f>
        <v>#DIV/0!</v>
      </c>
      <c r="CQ197" s="16" t="e">
        <f>(CQ144+CQ145+CQ149+CQ153+CQ154+CQ155+CQ161+CQ166+CQ176+CQ179+CQ180+CQ189)</f>
        <v>#DIV/0!</v>
      </c>
      <c r="CR197" s="16" t="e">
        <f>(CR144+CR145+CR149+CR153+CR154+CR155+CR161+CR166+CR176+CR179+CR180+CR189)</f>
        <v>#DIV/0!</v>
      </c>
      <c r="CS197" s="16" t="e">
        <f>(CS144+CS145+CS149+CS153+CS154+CS155+CS161+CS166+CS176+CS179+CS180+CS189)</f>
        <v>#DIV/0!</v>
      </c>
      <c r="CT197" s="16" t="e">
        <f>SUM(CT144,CT145,CT149,CT153,CT154,CT155,CT161,CT176,CT179,CT180,CT189,CT166)</f>
        <v>#DIV/0!</v>
      </c>
      <c r="CU197" s="16" t="e">
        <f>(CU144+CU145+CU149+CU153+CU154+CU155+CU161+CU166+CU176+CU179+CU180+CU189)</f>
        <v>#DIV/0!</v>
      </c>
      <c r="CV197" s="16" t="e">
        <f>(CV144+CV145+CV149+CV153+CV154+CV155+CV161+CV166+CV176+CV179+CV180+CV189)</f>
        <v>#DIV/0!</v>
      </c>
      <c r="CW197" s="16" t="e">
        <f>(CW144+CW145+CW149+CW153+CW154+CW155+CW161+CW166+CW176+CW179+CW180+CW189)</f>
        <v>#DIV/0!</v>
      </c>
      <c r="CX197" s="16" t="e">
        <f>(CX144+CX145+CX149+CX153+CX154+CX155+CX161+CX166+CX176+CX179+CX180+CX189)</f>
        <v>#DIV/0!</v>
      </c>
      <c r="CY197" s="16" t="e">
        <f>SUM(CY144,CY145,CY149,CY153,CY154,CY155,CY161,CY176,CY179,CY180,CY189,CY166)</f>
        <v>#DIV/0!</v>
      </c>
    </row>
    <row r="198">
      <c r="C198" s="26" t="inlineStr">
        <is>
          <t>Accounts payable</t>
        </is>
      </c>
      <c r="D198" s="25">
        <f>INDEX('Inputs (2)'!$D$28:$AL$28,MATCH(D$7,'Inputs (2)'!$D$2:$AL$2,0))</f>
        <v>50.307</v>
      </c>
      <c r="E198" s="25">
        <f>INDEX('Inputs (2)'!$D$28:$AL$28,MATCH(E$7,'Inputs (2)'!$D$2:$AL$2,0))</f>
        <v>52.542</v>
      </c>
      <c r="F198" s="25">
        <f>INDEX('Inputs (2)'!$D$28:$AL$28,MATCH(F$7,'Inputs (2)'!$D$2:$AL$2,0))</f>
        <v>48.461</v>
      </c>
      <c r="G198" s="25">
        <f>INDEX('Inputs (2)'!$D$28:$AL$28,MATCH(G$7,'Inputs (2)'!$D$2:$AL$2,0))</f>
        <v>43.166</v>
      </c>
      <c r="H198" s="3">
        <f>G198</f>
        <v>43.166</v>
      </c>
      <c r="I198" s="25">
        <f>INDEX('Inputs (2)'!$D$28:$AL$28,MATCH(I$7,'Inputs (2)'!$D$2:$AL$2,0))</f>
        <v>42.128</v>
      </c>
      <c r="J198" s="25">
        <f>INDEX('Inputs (2)'!$D$28:$AL$28,MATCH(J$7,'Inputs (2)'!$D$2:$AL$2,0))</f>
        <v>32.44</v>
      </c>
      <c r="K198" s="25">
        <f>INDEX('Inputs (2)'!$D$28:$AL$28,MATCH(K$7,'Inputs (2)'!$D$2:$AL$2,0))</f>
        <v>25.454</v>
      </c>
      <c r="L198" s="25">
        <f>INDEX('Inputs (2)'!$D$28:$AL$28,MATCH(L$7,'Inputs (2)'!$D$2:$AL$2,0))</f>
        <v>43.81</v>
      </c>
      <c r="M198" s="3">
        <f>L198</f>
        <v>43.81</v>
      </c>
      <c r="N198" s="25">
        <f>INDEX('Inputs (2)'!$D$28:$AL$28,MATCH(N$7,'Inputs (2)'!$D$2:$AL$2,0))</f>
        <v>62.081</v>
      </c>
      <c r="O198" s="25">
        <f>INDEX('Inputs (2)'!$D$28:$AL$28,MATCH(O$7,'Inputs (2)'!$D$2:$AL$2,0))</f>
        <v>72.522</v>
      </c>
      <c r="P198" s="25">
        <f>INDEX('Inputs (2)'!$D$28:$AL$28,MATCH(P$7,'Inputs (2)'!$D$2:$AL$2,0))</f>
        <v>71.976</v>
      </c>
      <c r="Q198" s="25">
        <f>INDEX('Inputs (2)'!$D$28:$AL$28,MATCH(Q$7,'Inputs (2)'!$D$2:$AL$2,0))</f>
        <v>65.821</v>
      </c>
      <c r="R198" s="3">
        <f>Q198</f>
        <v>65.821</v>
      </c>
      <c r="S198" s="25">
        <f>INDEX('Inputs (2)'!$D$28:$AL$28,MATCH(S$7,'Inputs (2)'!$D$2:$AL$2,0))</f>
        <v>64.489</v>
      </c>
      <c r="T198" s="25">
        <f>INDEX('Inputs (2)'!$D$28:$AL$28,MATCH(T$7,'Inputs (2)'!$D$2:$AL$2,0))</f>
        <v>50.98</v>
      </c>
      <c r="U198" s="25">
        <f>INDEX('Inputs (2)'!$D$28:$AL$28,MATCH(U$7,'Inputs (2)'!$D$2:$AL$2,0))</f>
        <v>51.059</v>
      </c>
      <c r="V198" s="25">
        <f>INDEX('Inputs (2)'!$D$28:$AL$28,MATCH(V$7,'Inputs (2)'!$D$2:$AL$2,0))</f>
        <v>59.533</v>
      </c>
      <c r="W198" s="3">
        <f>V198</f>
        <v>59.533</v>
      </c>
      <c r="X198" s="25">
        <f>INDEX('Inputs (2)'!$D$28:$AL$28,MATCH(X$7,'Inputs (2)'!$D$2:$AL$2,0))</f>
        <v>52.949</v>
      </c>
      <c r="Y198" s="25">
        <f>INDEX('Inputs (2)'!$D$28:$AL$28,MATCH(Y$7,'Inputs (2)'!$D$2:$AL$2,0))</f>
        <v>66.999</v>
      </c>
      <c r="Z198" s="25">
        <f>INDEX('Inputs (2)'!$D$28:$AL$28,MATCH(Z$7,'Inputs (2)'!$D$2:$AL$2,0))</f>
        <v>68.396</v>
      </c>
      <c r="AA198" s="25">
        <f>INDEX('Inputs (2)'!$D$28:$AL$28,MATCH(AA$7,'Inputs (2)'!$D$2:$AL$2,0))</f>
        <v>106.723</v>
      </c>
      <c r="AB198" s="3">
        <f>AA198</f>
        <v>106.723</v>
      </c>
      <c r="AC198" s="25">
        <f>INDEX('Inputs (2)'!$D$28:$AL$28,MATCH(AC$7,'Inputs (2)'!$D$2:$AL$2,0))</f>
        <v>111.86</v>
      </c>
      <c r="AD198" s="25">
        <f>INDEX('Inputs (2)'!$D$28:$AL$28,MATCH(AD$7,'Inputs (2)'!$D$2:$AL$2,0))</f>
        <v>178.175</v>
      </c>
      <c r="AE198" s="25">
        <f>INDEX('Inputs (2)'!$D$28:$AL$28,MATCH(AE$7,'Inputs (2)'!$D$2:$AL$2,0))</f>
        <v>138.488</v>
      </c>
      <c r="AF198" s="25">
        <f>INDEX('Inputs (2)'!$D$28:$AL$28,MATCH(AF$7,'Inputs (2)'!$D$2:$AL$2,0))</f>
        <v>145.788</v>
      </c>
      <c r="AG198" s="3">
        <f>AF198</f>
        <v>145.788</v>
      </c>
      <c r="AH198" s="3">
        <f>INDEX('Inputs (2)'!$D$28:$AL$28,MATCH(AH$7,'Inputs (2)'!$D$2:$AL$2,0))</f>
        <v>167.965</v>
      </c>
      <c r="AI198" s="3">
        <f>INDEX('Inputs (2)'!$D$28:$AL$28,MATCH(AI$7,'Inputs (2)'!$D$2:$AL$2,0))</f>
        <v>365.033</v>
      </c>
      <c r="AJ198" s="3">
        <f>(AJ199/(AJ$5-AI$5))*-AJ54</f>
        <v>0</v>
      </c>
      <c r="AK198" s="3">
        <f>(AK199/(AK$5-AJ$5))*-AK54</f>
        <v>0</v>
      </c>
      <c r="AL198" s="3">
        <f>AK198</f>
        <v>0</v>
      </c>
      <c r="AM198" s="3">
        <f>(AM199/(AM$5-AL$5))*-AM54</f>
        <v>0</v>
      </c>
      <c r="AN198" s="3">
        <f>(AN199/(AN$5-AM$5))*-AN54</f>
        <v>0</v>
      </c>
      <c r="AO198" s="3">
        <f>(AO199/(AO$5-AN$5))*-AO54</f>
        <v>0</v>
      </c>
      <c r="AP198" s="3">
        <f>(AP199/(AP$5-AO$5))*-AP54</f>
        <v>0</v>
      </c>
      <c r="AQ198" s="3">
        <f>AP198</f>
        <v>0</v>
      </c>
      <c r="AR198" s="3">
        <f>(AR199/(AR$5-AQ$5))*-AR54</f>
        <v>0</v>
      </c>
      <c r="AS198" s="3">
        <f>(AS199/(AS$5-AR$5))*-AS54</f>
        <v>0</v>
      </c>
      <c r="AT198" s="3">
        <f>(AT199/(AT$5-AS$5))*-AT54</f>
        <v>0</v>
      </c>
      <c r="AU198" s="3">
        <f>(AU199/(AU$5-AT$5))*-AU54</f>
        <v>0</v>
      </c>
      <c r="AV198" s="3">
        <f>AU198</f>
        <v>0</v>
      </c>
      <c r="AW198" s="3">
        <f>(AW199/(AW$5-AV$5))*-AW54</f>
        <v>0</v>
      </c>
      <c r="AX198" s="3">
        <f>(AX199/(AX$5-AW$5))*-AX54</f>
        <v>0</v>
      </c>
      <c r="AY198" s="3">
        <f>(AY199/(AY$5-AX$5))*-AY54</f>
        <v>0</v>
      </c>
      <c r="AZ198" s="3">
        <f>(AZ199/(AZ$5-AY$5))*-AZ54</f>
        <v>0</v>
      </c>
      <c r="BA198" s="3">
        <f>AZ198</f>
        <v>0</v>
      </c>
      <c r="BB198" s="3">
        <f>(BB199/(BB$5-BA$5))*-BB54</f>
        <v>0</v>
      </c>
      <c r="BC198" s="3">
        <f>(BC199/(BC$5-BB$5))*-BC54</f>
        <v>0</v>
      </c>
      <c r="BD198" s="3">
        <f>(BD199/(BD$5-BC$5))*-BD54</f>
        <v>0</v>
      </c>
      <c r="BE198" s="3">
        <f>(BE199/(BE$5-BD$5))*-BE54</f>
        <v>0</v>
      </c>
      <c r="BF198" s="3">
        <f>BE198</f>
        <v>0</v>
      </c>
      <c r="BG198" s="3">
        <f>(BG199/(BG$5-BF$5))*-BG54</f>
        <v>0</v>
      </c>
      <c r="BH198" s="3">
        <f>(BH199/(BH$5-BG$5))*-BH54</f>
        <v>0</v>
      </c>
      <c r="BI198" s="3">
        <f>(BI199/(BI$5-BH$5))*-BI54</f>
        <v>0</v>
      </c>
      <c r="BJ198" s="3">
        <f>(BJ199/(BJ$5-BI$5))*-BJ54</f>
        <v>0</v>
      </c>
      <c r="BK198" s="3">
        <f>BJ198</f>
        <v>0</v>
      </c>
      <c r="BL198" s="3">
        <f>(BL199/(BL$5-BK$5))*-BL54</f>
        <v>0</v>
      </c>
      <c r="BM198" s="3">
        <f>(BM199/(BM$5-BL$5))*-BM54</f>
        <v>0</v>
      </c>
      <c r="BN198" s="3">
        <f>(BN199/(BN$5-BM$5))*-BN54</f>
        <v>0</v>
      </c>
      <c r="BO198" s="3">
        <f>(BO199/(BO$5-BN$5))*-BO54</f>
        <v>0</v>
      </c>
      <c r="BP198" s="3">
        <f>BO198</f>
        <v>0</v>
      </c>
      <c r="BQ198" s="3">
        <f>(BQ199/(BQ$5-BP$5))*-BQ54</f>
        <v>0</v>
      </c>
      <c r="BR198" s="3">
        <f>(BR199/(BR$5-BQ$5))*-BR54</f>
        <v>0</v>
      </c>
      <c r="BS198" s="3">
        <f>(BS199/(BS$5-BR$5))*-BS54</f>
        <v>0</v>
      </c>
      <c r="BT198" s="3">
        <f>(BT199/(BT$5-BS$5))*-BT54</f>
        <v>0</v>
      </c>
      <c r="BU198" s="3">
        <f>BT198</f>
        <v>0</v>
      </c>
      <c r="BV198" s="3">
        <f>(BV199/(BV$5-BU$5))*-BV54</f>
        <v>0</v>
      </c>
      <c r="BW198" s="3">
        <f>(BW199/(BW$5-BV$5))*-BW54</f>
        <v>0</v>
      </c>
      <c r="BX198" s="3">
        <f>(BX199/(BX$5-BW$5))*-BX54</f>
        <v>0</v>
      </c>
      <c r="BY198" s="3">
        <f>(BY199/(BY$5-BX$5))*-BY54</f>
        <v>0</v>
      </c>
      <c r="BZ198" s="3">
        <f>BY198</f>
        <v>0</v>
      </c>
      <c r="CA198" s="3">
        <f>(CA199/(CA$5-BZ$5))*-CA54</f>
        <v>0</v>
      </c>
      <c r="CB198" s="3">
        <f>(CB199/(CB$5-CA$5))*-CB54</f>
        <v>0</v>
      </c>
      <c r="CC198" s="3">
        <f>(CC199/(CC$5-CB$5))*-CC54</f>
        <v>0</v>
      </c>
      <c r="CD198" s="3">
        <f>(CD199/(CD$5-CC$5))*-CD54</f>
        <v>0</v>
      </c>
      <c r="CE198" s="3">
        <f>CD198</f>
        <v>0</v>
      </c>
      <c r="CF198" s="3">
        <f>(CF199/(CF$5-CE$5))*-CF54</f>
        <v>0</v>
      </c>
      <c r="CG198" s="3">
        <f>(CG199/(CG$5-CF$5))*-CG54</f>
        <v>0</v>
      </c>
      <c r="CH198" s="3">
        <f>(CH199/(CH$5-CG$5))*-CH54</f>
        <v>0</v>
      </c>
      <c r="CI198" s="3">
        <f>(CI199/(CI$5-CH$5))*-CI54</f>
        <v>0</v>
      </c>
      <c r="CJ198" s="3">
        <f>CI198</f>
        <v>0</v>
      </c>
      <c r="CK198" s="3">
        <f>(CK199/(CK$5-CJ$5))*-CK54</f>
        <v>0</v>
      </c>
      <c r="CL198" s="3">
        <f>(CL199/(CL$5-CK$5))*-CL54</f>
        <v>0</v>
      </c>
      <c r="CM198" s="3">
        <f>(CM199/(CM$5-CL$5))*-CM54</f>
        <v>0</v>
      </c>
      <c r="CN198" s="3">
        <f>(CN199/(CN$5-CM$5))*-CN54</f>
        <v>0</v>
      </c>
      <c r="CO198" s="3">
        <f>CN198</f>
        <v>0</v>
      </c>
      <c r="CP198" s="3">
        <f>(CP199/(CP$5-CO$5))*-CP54</f>
        <v>0</v>
      </c>
      <c r="CQ198" s="3">
        <f>(CQ199/(CQ$5-CP$5))*-CQ54</f>
        <v>0</v>
      </c>
      <c r="CR198" s="3">
        <f>(CR199/(CR$5-CQ$5))*-CR54</f>
        <v>0</v>
      </c>
      <c r="CS198" s="3">
        <f>(CS199/(CS$5-CR$5))*-CS54</f>
        <v>0</v>
      </c>
      <c r="CT198" s="3">
        <f>CS198</f>
        <v>0</v>
      </c>
      <c r="CU198" s="3">
        <f>(CU199/(CU$5-CT$5))*-CU54</f>
        <v>0</v>
      </c>
      <c r="CV198" s="3">
        <f>(CV199/(CV$5-CU$5))*-CV54</f>
        <v>0</v>
      </c>
      <c r="CW198" s="3">
        <f>(CW199/(CW$5-CV$5))*-CW54</f>
        <v>0</v>
      </c>
      <c r="CX198" s="3">
        <f>(CX199/(CX$5-CW$5))*-CX54</f>
        <v>0</v>
      </c>
      <c r="CY198" s="3">
        <f>CX198</f>
        <v>0</v>
      </c>
    </row>
    <row r="199" hidden="1" outlineLevel="1">
      <c r="C199" s="34" t="inlineStr">
        <is>
          <t>DPO</t>
        </is>
      </c>
      <c r="D199" s="3" t="n"/>
      <c r="E199" s="3">
        <f>-(E198/E$54)*(E$5-D$5)</f>
        <v>91.2257116690834</v>
      </c>
      <c r="F199" s="3">
        <f>-(F198/F$54)*(F$5-E$5)</f>
        <v>87.9180453944904</v>
      </c>
      <c r="G199" s="3">
        <f>-(G198/G$54)*(G$5-F$5)</f>
        <v>85.9452463912394</v>
      </c>
      <c r="H199" s="3" t="n"/>
      <c r="I199" s="3">
        <f>-(I198/I$54)*(I$5-H$5)</f>
        <v>77.8466276562981</v>
      </c>
      <c r="J199" s="3">
        <f>-(J198/J$54)*(J$5-I$5)</f>
        <v>62.4030778336786</v>
      </c>
      <c r="K199" s="3">
        <f>-(K198/K$54)*(K$5-J$5)</f>
        <v>48.536063671033</v>
      </c>
      <c r="L199" s="3">
        <f>-(L198/L$54)*(L$5-K$5)</f>
        <v>68.3776401730427</v>
      </c>
      <c r="M199" s="3" t="n"/>
      <c r="N199" s="3">
        <f>-(N198/N$54)*(N$5-M$5)</f>
        <v>112.817566885411</v>
      </c>
      <c r="O199" s="3">
        <f>-(O198/O$54)*(O$5-N$5)</f>
        <v>86.3786550090312</v>
      </c>
      <c r="P199" s="3">
        <f>-(P198/P$54)*(P$5-O$5)</f>
        <v>73.1536141583535</v>
      </c>
      <c r="Q199" s="3">
        <f>-(Q198/Q$54)*(Q$5-P$5)</f>
        <v>70.2783264666628</v>
      </c>
      <c r="R199" s="3" t="n"/>
      <c r="S199" s="3">
        <f>-(S198/S$54)*(S$5-R$5)</f>
        <v>67.2180529497603</v>
      </c>
      <c r="T199" s="3">
        <f>-(T198/T$54)*(T$5-S$5)</f>
        <v>49.3167781096854</v>
      </c>
      <c r="U199" s="3">
        <f>-(U198/U$54)*(U$5-T$5)</f>
        <v>56.2175734220542</v>
      </c>
      <c r="V199" s="3">
        <f>-(V198/V$54)*(V$5-U$5)</f>
        <v>55.3426025099529</v>
      </c>
      <c r="W199" s="3" t="n"/>
      <c r="X199" s="3">
        <f>-(X198/X$54)*(X$5-W$5)</f>
        <v>62.2776435006269</v>
      </c>
      <c r="Y199" s="3">
        <f>-(Y198/Y$54)*(Y$5-X$5)</f>
        <v>68.6233370101074</v>
      </c>
      <c r="Z199" s="3">
        <f>-(Z198/Z$54)*(Z$5-Y$5)</f>
        <v>74.6663502385077</v>
      </c>
      <c r="AA199" s="3">
        <f>-(AA198/AA$54)*(AA$5-Z$5)</f>
        <v>117.629279980831</v>
      </c>
      <c r="AB199" s="3" t="n"/>
      <c r="AC199" s="3">
        <f>-(AC198/AC$54)*(AC$5-AB$5)</f>
        <v>110.343391387266</v>
      </c>
      <c r="AD199" s="3">
        <f>-(AD198/AD$54)*(AD$5-AC$5)</f>
        <v>166.876884758288</v>
      </c>
      <c r="AE199" s="3">
        <f>-(AE198/AE$54)*(AE$5-AD$5)</f>
        <v>127.835932012923</v>
      </c>
      <c r="AF199" s="6">
        <f>-(AF198/AF$54)*(AF$5-AE$5)</f>
        <v>139.954046016591</v>
      </c>
      <c r="AG199" s="3" t="n"/>
      <c r="AH199" s="6">
        <f>-(AH198/AH$54)*(AH$5-AG$5)</f>
        <v>102.858805037866</v>
      </c>
      <c r="AI199" s="6">
        <f>-(AI198/AI$54)*(AI$5-AH$5)</f>
        <v>89.2609144285158</v>
      </c>
      <c r="AJ199" s="6" t="n"/>
      <c r="AK199" s="6" t="n"/>
      <c r="AL199" s="3" t="n"/>
      <c r="AM199" s="6" t="n"/>
      <c r="AN199" s="6" t="n"/>
      <c r="AO199" s="6" t="n"/>
      <c r="AP199" s="6" t="n"/>
      <c r="AQ199" s="3" t="n"/>
      <c r="AR199" s="6" t="n"/>
      <c r="AS199" s="6" t="n"/>
      <c r="AT199" s="6" t="n"/>
      <c r="AU199" s="6" t="n"/>
      <c r="AV199" s="3" t="n"/>
      <c r="AW199" s="6" t="n"/>
      <c r="AX199" s="6" t="n"/>
      <c r="AY199" s="6" t="n"/>
      <c r="AZ199" s="6" t="n"/>
      <c r="BA199" s="3" t="n"/>
      <c r="BB199" s="6" t="n"/>
      <c r="BC199" s="6" t="n"/>
      <c r="BD199" s="6" t="n"/>
      <c r="BE199" s="6" t="n"/>
      <c r="BF199" s="3" t="n"/>
      <c r="BG199" s="6" t="n"/>
      <c r="BH199" s="6" t="n"/>
      <c r="BI199" s="6" t="n"/>
      <c r="BJ199" s="6" t="n"/>
      <c r="BK199" s="3" t="n"/>
      <c r="BL199" s="6" t="n"/>
      <c r="BM199" s="6" t="n"/>
      <c r="BN199" s="6" t="n"/>
      <c r="BO199" s="6" t="n"/>
      <c r="BP199" s="3" t="n"/>
      <c r="BQ199" s="6" t="n"/>
      <c r="BR199" s="6" t="n"/>
      <c r="BS199" s="6" t="n"/>
      <c r="BT199" s="6" t="n"/>
      <c r="BU199" s="3" t="n"/>
      <c r="BV199" s="6" t="n"/>
      <c r="BW199" s="6" t="n"/>
      <c r="BX199" s="6" t="n"/>
      <c r="BY199" s="6" t="n"/>
      <c r="BZ199" s="3" t="n"/>
      <c r="CA199" s="6" t="n"/>
      <c r="CB199" s="6" t="n"/>
      <c r="CC199" s="6" t="n"/>
      <c r="CD199" s="6" t="n"/>
      <c r="CE199" s="3" t="n"/>
      <c r="CF199" s="6" t="n"/>
      <c r="CG199" s="6" t="n"/>
      <c r="CH199" s="6" t="n"/>
      <c r="CI199" s="6" t="n"/>
      <c r="CJ199" s="3" t="n"/>
      <c r="CK199" s="6" t="n"/>
      <c r="CL199" s="6" t="n"/>
      <c r="CM199" s="6" t="n"/>
      <c r="CN199" s="6" t="n"/>
      <c r="CO199" s="3" t="n"/>
      <c r="CP199" s="6" t="n"/>
      <c r="CQ199" s="6" t="n"/>
      <c r="CR199" s="6" t="n"/>
      <c r="CS199" s="6" t="n"/>
      <c r="CT199" s="3" t="n"/>
      <c r="CU199" s="6" t="n"/>
      <c r="CV199" s="6" t="n"/>
      <c r="CW199" s="6" t="n"/>
      <c r="CX199" s="6" t="n"/>
      <c r="CY199" s="3" t="n"/>
    </row>
    <row r="200" hidden="1" outlineLevel="1">
      <c r="C200" s="3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hidden="1" outlineLevel="1">
      <c r="C201" s="3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collapsed="1">
      <c r="C202" s="26" t="inlineStr">
        <is>
          <t>Accrued expenses</t>
        </is>
      </c>
      <c r="D202" s="25">
        <f>INDEX('Inputs (2)'!$D$29:$AL$29,MATCH(D$7,'Inputs (2)'!$D$2:$AL$2,0))</f>
        <v>10.583</v>
      </c>
      <c r="E202" s="25">
        <f>INDEX('Inputs (2)'!$D$29:$AL$29,MATCH(E$7,'Inputs (2)'!$D$2:$AL$2,0))</f>
        <v>13.885</v>
      </c>
      <c r="F202" s="25">
        <f>INDEX('Inputs (2)'!$D$29:$AL$29,MATCH(F$7,'Inputs (2)'!$D$2:$AL$2,0))</f>
        <v>14.112</v>
      </c>
      <c r="G202" s="25">
        <f>INDEX('Inputs (2)'!$D$29:$AL$29,MATCH(G$7,'Inputs (2)'!$D$2:$AL$2,0))</f>
        <v>9.789</v>
      </c>
      <c r="H202" s="3">
        <f>G202</f>
        <v>9.789</v>
      </c>
      <c r="I202" s="25">
        <f>INDEX('Inputs (2)'!$D$29:$AL$29,MATCH(I$7,'Inputs (2)'!$D$2:$AL$2,0))</f>
        <v>35.839</v>
      </c>
      <c r="J202" s="25">
        <f>INDEX('Inputs (2)'!$D$29:$AL$29,MATCH(J$7,'Inputs (2)'!$D$2:$AL$2,0))</f>
        <v>36.049</v>
      </c>
      <c r="K202" s="25">
        <f>INDEX('Inputs (2)'!$D$29:$AL$29,MATCH(K$7,'Inputs (2)'!$D$2:$AL$2,0))</f>
        <v>16.333</v>
      </c>
      <c r="L202" s="25">
        <f>INDEX('Inputs (2)'!$D$29:$AL$29,MATCH(L$7,'Inputs (2)'!$D$2:$AL$2,0))</f>
        <v>12.71</v>
      </c>
      <c r="M202" s="3">
        <f>L202</f>
        <v>12.71</v>
      </c>
      <c r="N202" s="25">
        <f>INDEX('Inputs (2)'!$D$29:$AL$29,MATCH(N$7,'Inputs (2)'!$D$2:$AL$2,0))</f>
        <v>15.611</v>
      </c>
      <c r="O202" s="25">
        <f>INDEX('Inputs (2)'!$D$29:$AL$29,MATCH(O$7,'Inputs (2)'!$D$2:$AL$2,0))</f>
        <v>27.959</v>
      </c>
      <c r="P202" s="25">
        <f>INDEX('Inputs (2)'!$D$29:$AL$29,MATCH(P$7,'Inputs (2)'!$D$2:$AL$2,0))</f>
        <v>32.059</v>
      </c>
      <c r="Q202" s="25">
        <f>INDEX('Inputs (2)'!$D$29:$AL$29,MATCH(Q$7,'Inputs (2)'!$D$2:$AL$2,0))</f>
        <v>24.849</v>
      </c>
      <c r="R202" s="3">
        <f>Q202</f>
        <v>24.849</v>
      </c>
      <c r="S202" s="25">
        <f>INDEX('Inputs (2)'!$D$29:$AL$29,MATCH(S$7,'Inputs (2)'!$D$2:$AL$2,0))</f>
        <v>28.625</v>
      </c>
      <c r="T202" s="25">
        <f>INDEX('Inputs (2)'!$D$29:$AL$29,MATCH(T$7,'Inputs (2)'!$D$2:$AL$2,0))</f>
        <v>31.021</v>
      </c>
      <c r="U202" s="25">
        <f>INDEX('Inputs (2)'!$D$29:$AL$29,MATCH(U$7,'Inputs (2)'!$D$2:$AL$2,0))</f>
        <v>34.131</v>
      </c>
      <c r="V202" s="25">
        <f>INDEX('Inputs (2)'!$D$29:$AL$29,MATCH(V$7,'Inputs (2)'!$D$2:$AL$2,0))</f>
        <v>25.248</v>
      </c>
      <c r="W202" s="3">
        <f>V202</f>
        <v>25.248</v>
      </c>
      <c r="X202" s="25">
        <f>INDEX('Inputs (2)'!$D$29:$AL$29,MATCH(X$7,'Inputs (2)'!$D$2:$AL$2,0))</f>
        <v>28.991</v>
      </c>
      <c r="Y202" s="25">
        <f>INDEX('Inputs (2)'!$D$29:$AL$29,MATCH(Y$7,'Inputs (2)'!$D$2:$AL$2,0))</f>
        <v>34.013</v>
      </c>
      <c r="Z202" s="25">
        <f>INDEX('Inputs (2)'!$D$29:$AL$29,MATCH(Z$7,'Inputs (2)'!$D$2:$AL$2,0))</f>
        <v>36.196</v>
      </c>
      <c r="AA202" s="25">
        <f>INDEX('Inputs (2)'!$D$29:$AL$29,MATCH(AA$7,'Inputs (2)'!$D$2:$AL$2,0))</f>
        <v>32.093</v>
      </c>
      <c r="AB202" s="3">
        <f>AA202</f>
        <v>32.093</v>
      </c>
      <c r="AC202" s="25">
        <f>INDEX('Inputs (2)'!$D$29:$AL$29,MATCH(AC$7,'Inputs (2)'!$D$2:$AL$2,0))</f>
        <v>33.649</v>
      </c>
      <c r="AD202" s="25">
        <f>INDEX('Inputs (2)'!$D$29:$AL$29,MATCH(AD$7,'Inputs (2)'!$D$2:$AL$2,0))</f>
        <v>38.644</v>
      </c>
      <c r="AE202" s="25">
        <f>INDEX('Inputs (2)'!$D$29:$AL$29,MATCH(AE$7,'Inputs (2)'!$D$2:$AL$2,0))</f>
        <v>40.727</v>
      </c>
      <c r="AF202" s="25">
        <f>INDEX('Inputs (2)'!$D$29:$AL$29,MATCH(AF$7,'Inputs (2)'!$D$2:$AL$2,0))</f>
        <v>31.894</v>
      </c>
      <c r="AG202" s="3">
        <f>AF202</f>
        <v>31.894</v>
      </c>
      <c r="AH202" s="3">
        <f>INDEX('Inputs (2)'!$D$29:$AL$29,MATCH(AH$7,'Inputs (2)'!$D$2:$AL$2,0))</f>
        <v>35.72</v>
      </c>
      <c r="AI202" s="3">
        <f>INDEX('Inputs (2)'!$D$29:$AL$29,MATCH(AI$7,'Inputs (2)'!$D$2:$AL$2,0))</f>
        <v>219.628</v>
      </c>
      <c r="AJ202" s="3">
        <f>AH202*AJ58/AH58</f>
        <v>0</v>
      </c>
      <c r="AK202" s="3">
        <f>AI202*AK58/AI58</f>
        <v>0</v>
      </c>
      <c r="AL202" s="3">
        <f>AK202</f>
        <v>0</v>
      </c>
      <c r="AM202" s="3" t="e">
        <f>AK202*AM58/AK58</f>
        <v>#DIV/0!</v>
      </c>
      <c r="AN202" s="3">
        <f>AL202*AN58/AL58</f>
        <v>0</v>
      </c>
      <c r="AO202" s="3" t="e">
        <f>AM202*AO58/AM58</f>
        <v>#DIV/0!</v>
      </c>
      <c r="AP202" s="3" t="e">
        <f>AN202*AP58/AN58</f>
        <v>#DIV/0!</v>
      </c>
      <c r="AQ202" s="3" t="e">
        <f>AP202</f>
        <v>#DIV/0!</v>
      </c>
      <c r="AR202" s="3" t="e">
        <f>AP202*AR58/AP58</f>
        <v>#DIV/0!</v>
      </c>
      <c r="AS202" s="3" t="e">
        <f>AQ202*AS58/AQ58</f>
        <v>#DIV/0!</v>
      </c>
      <c r="AT202" s="3" t="e">
        <f>AR202*AT58/AR58</f>
        <v>#DIV/0!</v>
      </c>
      <c r="AU202" s="3" t="e">
        <f>AS202*AU58/AS58</f>
        <v>#DIV/0!</v>
      </c>
      <c r="AV202" s="3" t="e">
        <f>AU202</f>
        <v>#DIV/0!</v>
      </c>
      <c r="AW202" s="3" t="e">
        <f>AU202*AW58/AU58</f>
        <v>#DIV/0!</v>
      </c>
      <c r="AX202" s="3" t="e">
        <f>AV202*AX58/AV58</f>
        <v>#DIV/0!</v>
      </c>
      <c r="AY202" s="3" t="e">
        <f>AW202*AY58/AW58</f>
        <v>#DIV/0!</v>
      </c>
      <c r="AZ202" s="3" t="e">
        <f>AX202*AZ58/AX58</f>
        <v>#DIV/0!</v>
      </c>
      <c r="BA202" s="3" t="e">
        <f>AZ202</f>
        <v>#DIV/0!</v>
      </c>
      <c r="BB202" s="3" t="e">
        <f>AZ202*BB58/AZ58</f>
        <v>#DIV/0!</v>
      </c>
      <c r="BC202" s="3" t="e">
        <f>BA202*BC58/BA58</f>
        <v>#DIV/0!</v>
      </c>
      <c r="BD202" s="3" t="e">
        <f>BB202*BD58/BB58</f>
        <v>#DIV/0!</v>
      </c>
      <c r="BE202" s="3" t="e">
        <f>BC202*BE58/BC58</f>
        <v>#DIV/0!</v>
      </c>
      <c r="BF202" s="3" t="e">
        <f>BE202</f>
        <v>#DIV/0!</v>
      </c>
      <c r="BG202" s="3" t="e">
        <f>BE202*BG58/BE58</f>
        <v>#DIV/0!</v>
      </c>
      <c r="BH202" s="3" t="e">
        <f>BF202*BH58/BF58</f>
        <v>#DIV/0!</v>
      </c>
      <c r="BI202" s="3" t="e">
        <f>BG202*BI58/BG58</f>
        <v>#DIV/0!</v>
      </c>
      <c r="BJ202" s="3" t="e">
        <f>BH202*BJ58/BH58</f>
        <v>#DIV/0!</v>
      </c>
      <c r="BK202" s="3" t="e">
        <f>BJ202</f>
        <v>#DIV/0!</v>
      </c>
      <c r="BL202" s="3" t="e">
        <f>BJ202*BL58/BJ58</f>
        <v>#DIV/0!</v>
      </c>
      <c r="BM202" s="3" t="e">
        <f>BK202*BM58/BK58</f>
        <v>#DIV/0!</v>
      </c>
      <c r="BN202" s="3" t="e">
        <f>BL202*BN58/BL58</f>
        <v>#DIV/0!</v>
      </c>
      <c r="BO202" s="3" t="e">
        <f>BM202*BO58/BM58</f>
        <v>#DIV/0!</v>
      </c>
      <c r="BP202" s="3" t="e">
        <f>BO202</f>
        <v>#DIV/0!</v>
      </c>
      <c r="BQ202" s="3" t="e">
        <f>BO202*BQ58/BO58</f>
        <v>#DIV/0!</v>
      </c>
      <c r="BR202" s="3" t="e">
        <f>BP202*BR58/BP58</f>
        <v>#DIV/0!</v>
      </c>
      <c r="BS202" s="3" t="e">
        <f>BQ202*BS58/BQ58</f>
        <v>#DIV/0!</v>
      </c>
      <c r="BT202" s="3" t="e">
        <f>BR202*BT58/BR58</f>
        <v>#DIV/0!</v>
      </c>
      <c r="BU202" s="3" t="e">
        <f>BT202</f>
        <v>#DIV/0!</v>
      </c>
      <c r="BV202" s="3" t="e">
        <f>BT202*BV58/BT58</f>
        <v>#DIV/0!</v>
      </c>
      <c r="BW202" s="3" t="e">
        <f>BU202*BW58/BU58</f>
        <v>#DIV/0!</v>
      </c>
      <c r="BX202" s="3" t="e">
        <f>BV202*BX58/BV58</f>
        <v>#DIV/0!</v>
      </c>
      <c r="BY202" s="3" t="e">
        <f>BW202*BY58/BW58</f>
        <v>#DIV/0!</v>
      </c>
      <c r="BZ202" s="3" t="e">
        <f>BY202</f>
        <v>#DIV/0!</v>
      </c>
      <c r="CA202" s="3" t="e">
        <f>BY202*CA58/BY58</f>
        <v>#DIV/0!</v>
      </c>
      <c r="CB202" s="3" t="e">
        <f>BZ202*CB58/BZ58</f>
        <v>#DIV/0!</v>
      </c>
      <c r="CC202" s="3" t="e">
        <f>CA202*CC58/CA58</f>
        <v>#DIV/0!</v>
      </c>
      <c r="CD202" s="3" t="e">
        <f>CB202*CD58/CB58</f>
        <v>#DIV/0!</v>
      </c>
      <c r="CE202" s="3" t="e">
        <f>CD202</f>
        <v>#DIV/0!</v>
      </c>
      <c r="CF202" s="3" t="e">
        <f>CD202*CF58/CD58</f>
        <v>#DIV/0!</v>
      </c>
      <c r="CG202" s="3" t="e">
        <f>CE202*CG58/CE58</f>
        <v>#DIV/0!</v>
      </c>
      <c r="CH202" s="3" t="e">
        <f>CF202*CH58/CF58</f>
        <v>#DIV/0!</v>
      </c>
      <c r="CI202" s="3" t="e">
        <f>CG202*CI58/CG58</f>
        <v>#DIV/0!</v>
      </c>
      <c r="CJ202" s="3" t="e">
        <f>CI202</f>
        <v>#DIV/0!</v>
      </c>
      <c r="CK202" s="3" t="e">
        <f>CI202*CK58/CI58</f>
        <v>#DIV/0!</v>
      </c>
      <c r="CL202" s="3" t="e">
        <f>CJ202*CL58/CJ58</f>
        <v>#DIV/0!</v>
      </c>
      <c r="CM202" s="3" t="e">
        <f>CK202*CM58/CK58</f>
        <v>#DIV/0!</v>
      </c>
      <c r="CN202" s="3" t="e">
        <f>CL202*CN58/CL58</f>
        <v>#DIV/0!</v>
      </c>
      <c r="CO202" s="3" t="e">
        <f>CN202</f>
        <v>#DIV/0!</v>
      </c>
      <c r="CP202" s="3" t="e">
        <f>CN202*CP58/CN58</f>
        <v>#DIV/0!</v>
      </c>
      <c r="CQ202" s="3" t="e">
        <f>CO202*CQ58/CO58</f>
        <v>#DIV/0!</v>
      </c>
      <c r="CR202" s="3" t="e">
        <f>CP202*CR58/CP58</f>
        <v>#DIV/0!</v>
      </c>
      <c r="CS202" s="3" t="e">
        <f>CQ202*CS58/CQ58</f>
        <v>#DIV/0!</v>
      </c>
      <c r="CT202" s="3" t="e">
        <f>CS202</f>
        <v>#DIV/0!</v>
      </c>
      <c r="CU202" s="3" t="e">
        <f>CS202*CU58/CS58</f>
        <v>#DIV/0!</v>
      </c>
      <c r="CV202" s="3" t="e">
        <f>CT202*CV58/CT58</f>
        <v>#DIV/0!</v>
      </c>
      <c r="CW202" s="3" t="e">
        <f>CU202*CW58/CU58</f>
        <v>#DIV/0!</v>
      </c>
      <c r="CX202" s="3" t="e">
        <f>CV202*CX58/CV58</f>
        <v>#DIV/0!</v>
      </c>
      <c r="CY202" s="3" t="e">
        <f>CX202</f>
        <v>#DIV/0!</v>
      </c>
    </row>
    <row r="203" hidden="1" outlineLevel="1">
      <c r="C203" s="38" t="inlineStr">
        <is>
          <t>%(Var.)</t>
        </is>
      </c>
      <c r="D203" s="3" t="n"/>
      <c r="E203" s="47">
        <f>(E202-D202)/D202</f>
        <v>0.312009827081168</v>
      </c>
      <c r="F203" s="47">
        <f>(F202-E202)/E202</f>
        <v>0.0163485776017285</v>
      </c>
      <c r="G203" s="47">
        <f>(G202-F202)/F202</f>
        <v>-0.306335034013605</v>
      </c>
      <c r="H203" s="3" t="n"/>
      <c r="I203" s="47">
        <f>(I202-H202)/H202</f>
        <v>2.66115027071202</v>
      </c>
      <c r="J203" s="47">
        <f>(J202-I202)/I202</f>
        <v>0.0058595384915874</v>
      </c>
      <c r="K203" s="47">
        <f>(K202-J202)/J202</f>
        <v>-0.546922244722461</v>
      </c>
      <c r="L203" s="47">
        <f>(L202-K202)/K202</f>
        <v>-0.221820853486806</v>
      </c>
      <c r="M203" s="3" t="n"/>
      <c r="N203" s="47">
        <f>(N202-M202)/M202</f>
        <v>0.228245476003147</v>
      </c>
      <c r="O203" s="47">
        <f>(O202-N202)/N202</f>
        <v>0.790980718723977</v>
      </c>
      <c r="P203" s="47">
        <f>(P202-O202)/O202</f>
        <v>0.146643299116563</v>
      </c>
      <c r="Q203" s="47">
        <f>(Q202-P202)/P202</f>
        <v>-0.22489784459902</v>
      </c>
      <c r="R203" s="3" t="n"/>
      <c r="S203" s="47">
        <f>(S202-R202)/R202</f>
        <v>0.151957825264598</v>
      </c>
      <c r="T203" s="47">
        <f>(T202-S202)/S202</f>
        <v>0.083703056768559</v>
      </c>
      <c r="U203" s="47">
        <f>(U202-T202)/T202</f>
        <v>0.100254666193869</v>
      </c>
      <c r="V203" s="47">
        <f>(V202-U202)/U202</f>
        <v>-0.260261931968006</v>
      </c>
      <c r="W203" s="3" t="n"/>
      <c r="X203" s="47">
        <f>(X202-W202)/W202</f>
        <v>0.148249366286438</v>
      </c>
      <c r="Y203" s="47">
        <f>(Y202-X202)/X202</f>
        <v>0.173226173640095</v>
      </c>
      <c r="Z203" s="47">
        <f>(Z202-Y202)/Y202</f>
        <v>0.0641813424278952</v>
      </c>
      <c r="AA203" s="47">
        <f>(AA202-Z202)/Z202</f>
        <v>-0.113355066858216</v>
      </c>
      <c r="AB203" s="3" t="n"/>
      <c r="AC203" s="47">
        <f>(AC202-AB202)/AB202</f>
        <v>0.0484840931044152</v>
      </c>
      <c r="AD203" s="47">
        <f>(AD202-AC202)/AC202</f>
        <v>0.148444233112425</v>
      </c>
      <c r="AE203" s="47">
        <f>(AE202-AD202)/AD202</f>
        <v>0.053902287547873</v>
      </c>
      <c r="AF203" s="218">
        <f>(AF202-AE202)/AE202</f>
        <v>-0.216883148771086</v>
      </c>
      <c r="AG203" s="3" t="n"/>
      <c r="AH203" s="218">
        <f>(AH202-AG202)/AG202</f>
        <v>0.119959867059635</v>
      </c>
      <c r="AI203" s="218">
        <f>(AI202-AH202)/AH202</f>
        <v>5.14860022396417</v>
      </c>
      <c r="AJ203" s="218" t="n"/>
      <c r="AK203" s="218" t="n"/>
      <c r="AL203" s="3" t="n"/>
      <c r="AM203" s="218" t="n"/>
      <c r="AN203" s="218" t="n"/>
      <c r="AO203" s="218" t="n"/>
      <c r="AP203" s="218" t="n"/>
      <c r="AQ203" s="3" t="n"/>
      <c r="AR203" s="218" t="n"/>
      <c r="AS203" s="218" t="n"/>
      <c r="AT203" s="218" t="n"/>
      <c r="AU203" s="218" t="n"/>
      <c r="AV203" s="3" t="n"/>
      <c r="AW203" s="218" t="n"/>
      <c r="AX203" s="218" t="n"/>
      <c r="AY203" s="218" t="n"/>
      <c r="AZ203" s="218" t="n"/>
      <c r="BA203" s="3" t="n"/>
      <c r="BB203" s="218" t="n"/>
      <c r="BC203" s="218" t="n"/>
      <c r="BD203" s="218" t="n"/>
      <c r="BE203" s="218" t="n"/>
      <c r="BF203" s="3" t="n"/>
      <c r="BG203" s="218" t="n"/>
      <c r="BH203" s="218" t="n"/>
      <c r="BI203" s="218" t="n"/>
      <c r="BJ203" s="218" t="n"/>
      <c r="BK203" s="3" t="n"/>
      <c r="BL203" s="218" t="n"/>
      <c r="BM203" s="218" t="n"/>
      <c r="BN203" s="218" t="n"/>
      <c r="BO203" s="218" t="n"/>
      <c r="BP203" s="3" t="n"/>
      <c r="BQ203" s="218" t="n"/>
      <c r="BR203" s="218" t="n"/>
      <c r="BS203" s="218" t="n"/>
      <c r="BT203" s="218" t="n"/>
      <c r="BU203" s="3" t="n"/>
      <c r="BV203" s="218" t="n"/>
      <c r="BW203" s="218" t="n"/>
      <c r="BX203" s="218" t="n"/>
      <c r="BY203" s="218" t="n"/>
      <c r="BZ203" s="3" t="n"/>
      <c r="CA203" s="218" t="n"/>
      <c r="CB203" s="218" t="n"/>
      <c r="CC203" s="218" t="n"/>
      <c r="CD203" s="218" t="n"/>
      <c r="CE203" s="3" t="n"/>
      <c r="CF203" s="218" t="n"/>
      <c r="CG203" s="218" t="n"/>
      <c r="CH203" s="218" t="n"/>
      <c r="CI203" s="218" t="n"/>
      <c r="CJ203" s="3" t="n"/>
      <c r="CK203" s="218" t="n"/>
      <c r="CL203" s="218" t="n"/>
      <c r="CM203" s="218" t="n"/>
      <c r="CN203" s="218" t="n"/>
      <c r="CO203" s="3" t="n"/>
      <c r="CP203" s="218" t="n"/>
      <c r="CQ203" s="218" t="n"/>
      <c r="CR203" s="218" t="n"/>
      <c r="CS203" s="218" t="n"/>
      <c r="CT203" s="3" t="n"/>
      <c r="CU203" s="218" t="n"/>
      <c r="CV203" s="218" t="n"/>
      <c r="CW203" s="218" t="n"/>
      <c r="CX203" s="218" t="n"/>
      <c r="CY203" s="3" t="n"/>
    </row>
    <row r="204" collapsed="1">
      <c r="C204" s="26" t="inlineStr">
        <is>
          <t>Taxes payable</t>
        </is>
      </c>
      <c r="D204" s="25">
        <f>INDEX('Inputs (2)'!$D$30:$AL$30,MATCH(D$7,'Inputs (2)'!$D$2:$AL$2,0))</f>
        <v>29.627</v>
      </c>
      <c r="E204" s="25">
        <f>INDEX('Inputs (2)'!$D$30:$AL$30,MATCH(E$7,'Inputs (2)'!$D$2:$AL$2,0))</f>
        <v>38.377</v>
      </c>
      <c r="F204" s="25">
        <f>INDEX('Inputs (2)'!$D$30:$AL$30,MATCH(F$7,'Inputs (2)'!$D$2:$AL$2,0))</f>
        <v>45.356</v>
      </c>
      <c r="G204" s="25">
        <f>INDEX('Inputs (2)'!$D$30:$AL$30,MATCH(G$7,'Inputs (2)'!$D$2:$AL$2,0))</f>
        <v>46.403</v>
      </c>
      <c r="H204" s="3">
        <f>G204</f>
        <v>46.403</v>
      </c>
      <c r="I204" s="25">
        <f>INDEX('Inputs (2)'!$D$30:$AL$30,MATCH(I$7,'Inputs (2)'!$D$2:$AL$2,0))</f>
        <v>42.497</v>
      </c>
      <c r="J204" s="25">
        <f>INDEX('Inputs (2)'!$D$30:$AL$30,MATCH(J$7,'Inputs (2)'!$D$2:$AL$2,0))</f>
        <v>42.4</v>
      </c>
      <c r="K204" s="25">
        <f>INDEX('Inputs (2)'!$D$30:$AL$30,MATCH(K$7,'Inputs (2)'!$D$2:$AL$2,0))</f>
        <v>41.358</v>
      </c>
      <c r="L204" s="25">
        <f>INDEX('Inputs (2)'!$D$30:$AL$30,MATCH(L$7,'Inputs (2)'!$D$2:$AL$2,0))</f>
        <v>38.874</v>
      </c>
      <c r="M204" s="3">
        <f>L204</f>
        <v>38.874</v>
      </c>
      <c r="N204" s="25">
        <f>INDEX('Inputs (2)'!$D$30:$AL$30,MATCH(N$7,'Inputs (2)'!$D$2:$AL$2,0))</f>
        <v>32.61</v>
      </c>
      <c r="O204" s="25">
        <f>INDEX('Inputs (2)'!$D$30:$AL$30,MATCH(O$7,'Inputs (2)'!$D$2:$AL$2,0))</f>
        <v>46.395</v>
      </c>
      <c r="P204" s="25">
        <f>INDEX('Inputs (2)'!$D$30:$AL$30,MATCH(P$7,'Inputs (2)'!$D$2:$AL$2,0))</f>
        <v>52.869</v>
      </c>
      <c r="Q204" s="25">
        <f>INDEX('Inputs (2)'!$D$30:$AL$30,MATCH(Q$7,'Inputs (2)'!$D$2:$AL$2,0))</f>
        <v>66.577</v>
      </c>
      <c r="R204" s="3">
        <f>Q204</f>
        <v>66.577</v>
      </c>
      <c r="S204" s="25">
        <f>INDEX('Inputs (2)'!$D$30:$AL$30,MATCH(S$7,'Inputs (2)'!$D$2:$AL$2,0))</f>
        <v>63.616</v>
      </c>
      <c r="T204" s="25">
        <f>INDEX('Inputs (2)'!$D$30:$AL$30,MATCH(T$7,'Inputs (2)'!$D$2:$AL$2,0))</f>
        <v>55.713</v>
      </c>
      <c r="U204" s="25">
        <f>INDEX('Inputs (2)'!$D$30:$AL$30,MATCH(U$7,'Inputs (2)'!$D$2:$AL$2,0))</f>
        <v>55.957</v>
      </c>
      <c r="V204" s="25">
        <f>INDEX('Inputs (2)'!$D$30:$AL$30,MATCH(V$7,'Inputs (2)'!$D$2:$AL$2,0))</f>
        <v>56.131</v>
      </c>
      <c r="W204" s="3">
        <f>V204</f>
        <v>56.131</v>
      </c>
      <c r="X204" s="25">
        <f>INDEX('Inputs (2)'!$D$30:$AL$30,MATCH(X$7,'Inputs (2)'!$D$2:$AL$2,0))</f>
        <v>64.613</v>
      </c>
      <c r="Y204" s="25">
        <f>INDEX('Inputs (2)'!$D$30:$AL$30,MATCH(Y$7,'Inputs (2)'!$D$2:$AL$2,0))</f>
        <v>58.701</v>
      </c>
      <c r="Z204" s="25">
        <f>INDEX('Inputs (2)'!$D$30:$AL$30,MATCH(Z$7,'Inputs (2)'!$D$2:$AL$2,0))</f>
        <v>55.928</v>
      </c>
      <c r="AA204" s="25">
        <f>INDEX('Inputs (2)'!$D$30:$AL$30,MATCH(AA$7,'Inputs (2)'!$D$2:$AL$2,0))</f>
        <v>67.449</v>
      </c>
      <c r="AB204" s="3">
        <f>AA204</f>
        <v>67.449</v>
      </c>
      <c r="AC204" s="25">
        <f>INDEX('Inputs (2)'!$D$30:$AL$30,MATCH(AC$7,'Inputs (2)'!$D$2:$AL$2,0))</f>
        <v>61.144</v>
      </c>
      <c r="AD204" s="25">
        <f>INDEX('Inputs (2)'!$D$30:$AL$30,MATCH(AD$7,'Inputs (2)'!$D$2:$AL$2,0))</f>
        <v>59.377</v>
      </c>
      <c r="AE204" s="25">
        <f>INDEX('Inputs (2)'!$D$30:$AL$30,MATCH(AE$7,'Inputs (2)'!$D$2:$AL$2,0))</f>
        <v>61.971</v>
      </c>
      <c r="AF204" s="25">
        <f>INDEX('Inputs (2)'!$D$30:$AL$30,MATCH(AF$7,'Inputs (2)'!$D$2:$AL$2,0))</f>
        <v>57.697</v>
      </c>
      <c r="AG204" s="3">
        <f>AF204</f>
        <v>57.697</v>
      </c>
      <c r="AH204" s="3">
        <f>INDEX('Inputs (2)'!$D$30:$AL$30,MATCH(AH$7,'Inputs (2)'!$D$2:$AL$2,0))</f>
        <v>69.464</v>
      </c>
      <c r="AI204" s="3">
        <f>INDEX('Inputs (2)'!$D$30:$AL$30,MATCH(AI$7,'Inputs (2)'!$D$2:$AL$2,0))</f>
        <v>109.744</v>
      </c>
      <c r="AJ204" s="3">
        <f>AH204*AJ131/AH131</f>
        <v>0</v>
      </c>
      <c r="AK204" s="3">
        <f>AI204*AK131/AI131</f>
        <v>0</v>
      </c>
      <c r="AL204" s="3">
        <f>AK204</f>
        <v>0</v>
      </c>
      <c r="AM204" s="3" t="e">
        <f>AK204*AM131/AK131</f>
        <v>#DIV/0!</v>
      </c>
      <c r="AN204" s="3">
        <f>AL204*AN131/AL131</f>
        <v>0</v>
      </c>
      <c r="AO204" s="3" t="e">
        <f>AM204*AO131/AM131</f>
        <v>#DIV/0!</v>
      </c>
      <c r="AP204" s="3" t="e">
        <f>AN204*AP131/AN131</f>
        <v>#DIV/0!</v>
      </c>
      <c r="AQ204" s="3" t="e">
        <f>AP204</f>
        <v>#DIV/0!</v>
      </c>
      <c r="AR204" s="3" t="e">
        <f>AP204*AR131/AP131</f>
        <v>#DIV/0!</v>
      </c>
      <c r="AS204" s="3" t="e">
        <f>AQ204*AS131/AQ131</f>
        <v>#DIV/0!</v>
      </c>
      <c r="AT204" s="3" t="e">
        <f>AR204*AT131/AR131</f>
        <v>#DIV/0!</v>
      </c>
      <c r="AU204" s="3" t="e">
        <f>AS204*AU131/AS131</f>
        <v>#DIV/0!</v>
      </c>
      <c r="AV204" s="3" t="e">
        <f>AU204</f>
        <v>#DIV/0!</v>
      </c>
      <c r="AW204" s="3" t="e">
        <f>AU204*AW131/AU131</f>
        <v>#DIV/0!</v>
      </c>
      <c r="AX204" s="3" t="e">
        <f>AV204*AX131/AV131</f>
        <v>#DIV/0!</v>
      </c>
      <c r="AY204" s="3" t="e">
        <f>AW204*AY131/AW131</f>
        <v>#DIV/0!</v>
      </c>
      <c r="AZ204" s="3" t="e">
        <f>AX204*AZ131/AX131</f>
        <v>#DIV/0!</v>
      </c>
      <c r="BA204" s="3" t="e">
        <f>AZ204</f>
        <v>#DIV/0!</v>
      </c>
      <c r="BB204" s="3" t="e">
        <f>AZ204*BB131/AZ131</f>
        <v>#DIV/0!</v>
      </c>
      <c r="BC204" s="3" t="e">
        <f>BA204*BC131/BA131</f>
        <v>#DIV/0!</v>
      </c>
      <c r="BD204" s="3" t="e">
        <f>BB204*BD131/BB131</f>
        <v>#DIV/0!</v>
      </c>
      <c r="BE204" s="3" t="e">
        <f>BC204*BE131/BC131</f>
        <v>#DIV/0!</v>
      </c>
      <c r="BF204" s="3" t="e">
        <f>BE204</f>
        <v>#DIV/0!</v>
      </c>
      <c r="BG204" s="3" t="e">
        <f>BE204*BG131/BE131</f>
        <v>#DIV/0!</v>
      </c>
      <c r="BH204" s="3" t="e">
        <f>BF204*BH131/BF131</f>
        <v>#DIV/0!</v>
      </c>
      <c r="BI204" s="3" t="e">
        <f>BG204*BI131/BG131</f>
        <v>#DIV/0!</v>
      </c>
      <c r="BJ204" s="3" t="e">
        <f>BH204*BJ131/BH131</f>
        <v>#DIV/0!</v>
      </c>
      <c r="BK204" s="3" t="e">
        <f>BJ204</f>
        <v>#DIV/0!</v>
      </c>
      <c r="BL204" s="3" t="e">
        <f>BJ204*BL131/BJ131</f>
        <v>#DIV/0!</v>
      </c>
      <c r="BM204" s="3" t="e">
        <f>BK204*BM131/BK131</f>
        <v>#DIV/0!</v>
      </c>
      <c r="BN204" s="3" t="e">
        <f>BL204*BN131/BL131</f>
        <v>#DIV/0!</v>
      </c>
      <c r="BO204" s="3" t="e">
        <f>BM204*BO131/BM131</f>
        <v>#DIV/0!</v>
      </c>
      <c r="BP204" s="3" t="e">
        <f>BO204</f>
        <v>#DIV/0!</v>
      </c>
      <c r="BQ204" s="3" t="e">
        <f>BO204*BQ131/BO131</f>
        <v>#DIV/0!</v>
      </c>
      <c r="BR204" s="3" t="e">
        <f>BP204*BR131/BP131</f>
        <v>#DIV/0!</v>
      </c>
      <c r="BS204" s="3" t="e">
        <f>BQ204*BS131/BQ131</f>
        <v>#DIV/0!</v>
      </c>
      <c r="BT204" s="3" t="e">
        <f>BR204*BT131/BR131</f>
        <v>#DIV/0!</v>
      </c>
      <c r="BU204" s="3" t="e">
        <f>BT204</f>
        <v>#DIV/0!</v>
      </c>
      <c r="BV204" s="3" t="e">
        <f>BT204*BV131/BT131</f>
        <v>#DIV/0!</v>
      </c>
      <c r="BW204" s="3" t="e">
        <f>BU204*BW131/BU131</f>
        <v>#DIV/0!</v>
      </c>
      <c r="BX204" s="3" t="e">
        <f>BV204*BX131/BV131</f>
        <v>#DIV/0!</v>
      </c>
      <c r="BY204" s="3" t="e">
        <f>BW204*BY131/BW131</f>
        <v>#DIV/0!</v>
      </c>
      <c r="BZ204" s="3" t="e">
        <f>BY204</f>
        <v>#DIV/0!</v>
      </c>
      <c r="CA204" s="3" t="e">
        <f>BY204*CA131/BY131</f>
        <v>#DIV/0!</v>
      </c>
      <c r="CB204" s="3" t="e">
        <f>BZ204*CB131/BZ131</f>
        <v>#DIV/0!</v>
      </c>
      <c r="CC204" s="3" t="e">
        <f>CA204*CC131/CA131</f>
        <v>#DIV/0!</v>
      </c>
      <c r="CD204" s="3" t="e">
        <f>CB204*CD131/CB131</f>
        <v>#DIV/0!</v>
      </c>
      <c r="CE204" s="3" t="e">
        <f>CD204</f>
        <v>#DIV/0!</v>
      </c>
      <c r="CF204" s="3" t="e">
        <f>CD204*CF131/CD131</f>
        <v>#DIV/0!</v>
      </c>
      <c r="CG204" s="3" t="e">
        <f>CE204*CG131/CE131</f>
        <v>#DIV/0!</v>
      </c>
      <c r="CH204" s="3" t="e">
        <f>CF204*CH131/CF131</f>
        <v>#DIV/0!</v>
      </c>
      <c r="CI204" s="3" t="e">
        <f>CG204*CI131/CG131</f>
        <v>#DIV/0!</v>
      </c>
      <c r="CJ204" s="3" t="e">
        <f>CI204</f>
        <v>#DIV/0!</v>
      </c>
      <c r="CK204" s="3" t="e">
        <f>CI204*CK131/CI131</f>
        <v>#DIV/0!</v>
      </c>
      <c r="CL204" s="3" t="e">
        <f>CJ204*CL131/CJ131</f>
        <v>#DIV/0!</v>
      </c>
      <c r="CM204" s="3" t="e">
        <f>CK204*CM131/CK131</f>
        <v>#DIV/0!</v>
      </c>
      <c r="CN204" s="3" t="e">
        <f>CL204*CN131/CL131</f>
        <v>#DIV/0!</v>
      </c>
      <c r="CO204" s="3" t="e">
        <f>CN204</f>
        <v>#DIV/0!</v>
      </c>
      <c r="CP204" s="3" t="e">
        <f>CN204*CP131/CN131</f>
        <v>#DIV/0!</v>
      </c>
      <c r="CQ204" s="3" t="e">
        <f>CO204*CQ131/CO131</f>
        <v>#DIV/0!</v>
      </c>
      <c r="CR204" s="3" t="e">
        <f>CP204*CR131/CP131</f>
        <v>#DIV/0!</v>
      </c>
      <c r="CS204" s="3" t="e">
        <f>CQ204*CS131/CQ131</f>
        <v>#DIV/0!</v>
      </c>
      <c r="CT204" s="3" t="e">
        <f>CS204</f>
        <v>#DIV/0!</v>
      </c>
      <c r="CU204" s="3" t="e">
        <f>CS204*CU131/CS131</f>
        <v>#DIV/0!</v>
      </c>
      <c r="CV204" s="3" t="e">
        <f>CT204*CV131/CT131</f>
        <v>#DIV/0!</v>
      </c>
      <c r="CW204" s="3" t="e">
        <f>CU204*CW131/CU131</f>
        <v>#DIV/0!</v>
      </c>
      <c r="CX204" s="3" t="e">
        <f>CV204*CX131/CV131</f>
        <v>#DIV/0!</v>
      </c>
      <c r="CY204" s="3" t="e">
        <f>CX204</f>
        <v>#DIV/0!</v>
      </c>
    </row>
    <row r="205">
      <c r="C205" s="26" t="inlineStr">
        <is>
          <t>Other current liabilities (non-debt)</t>
        </is>
      </c>
      <c r="D205" s="25">
        <f>INDEX('Inputs (2)'!$D$31:$AL$31,MATCH(D$7,'Inputs (2)'!$D$2:$AL$2,0))</f>
        <v>48.718</v>
      </c>
      <c r="E205" s="25">
        <f>INDEX('Inputs (2)'!$D$31:$AL$31,MATCH(E$7,'Inputs (2)'!$D$2:$AL$2,0))</f>
        <v>49.147</v>
      </c>
      <c r="F205" s="25">
        <f>INDEX('Inputs (2)'!$D$31:$AL$31,MATCH(F$7,'Inputs (2)'!$D$2:$AL$2,0))</f>
        <v>64.518</v>
      </c>
      <c r="G205" s="25">
        <f>INDEX('Inputs (2)'!$D$31:$AL$31,MATCH(G$7,'Inputs (2)'!$D$2:$AL$2,0))</f>
        <v>50.366</v>
      </c>
      <c r="H205" s="3">
        <f>G205</f>
        <v>50.366</v>
      </c>
      <c r="I205" s="25">
        <f>INDEX('Inputs (2)'!$D$31:$AL$31,MATCH(I$7,'Inputs (2)'!$D$2:$AL$2,0))</f>
        <v>63.641</v>
      </c>
      <c r="J205" s="25">
        <f>INDEX('Inputs (2)'!$D$31:$AL$31,MATCH(J$7,'Inputs (2)'!$D$2:$AL$2,0))</f>
        <v>75.452</v>
      </c>
      <c r="K205" s="25">
        <f>INDEX('Inputs (2)'!$D$31:$AL$31,MATCH(K$7,'Inputs (2)'!$D$2:$AL$2,0))</f>
        <v>59.132</v>
      </c>
      <c r="L205" s="25">
        <f>INDEX('Inputs (2)'!$D$31:$AL$31,MATCH(L$7,'Inputs (2)'!$D$2:$AL$2,0))</f>
        <v>67.325</v>
      </c>
      <c r="M205" s="3">
        <f>L205</f>
        <v>67.325</v>
      </c>
      <c r="N205" s="25">
        <f>INDEX('Inputs (2)'!$D$31:$AL$31,MATCH(N$7,'Inputs (2)'!$D$2:$AL$2,0))</f>
        <v>70.444</v>
      </c>
      <c r="O205" s="25">
        <f>INDEX('Inputs (2)'!$D$31:$AL$31,MATCH(O$7,'Inputs (2)'!$D$2:$AL$2,0))</f>
        <v>69.793</v>
      </c>
      <c r="P205" s="25">
        <f>INDEX('Inputs (2)'!$D$31:$AL$31,MATCH(P$7,'Inputs (2)'!$D$2:$AL$2,0))</f>
        <v>79.96</v>
      </c>
      <c r="Q205" s="25">
        <f>INDEX('Inputs (2)'!$D$31:$AL$31,MATCH(Q$7,'Inputs (2)'!$D$2:$AL$2,0))</f>
        <v>112.808</v>
      </c>
      <c r="R205" s="3">
        <f>Q205</f>
        <v>112.808</v>
      </c>
      <c r="S205" s="25">
        <f>INDEX('Inputs (2)'!$D$31:$AL$31,MATCH(S$7,'Inputs (2)'!$D$2:$AL$2,0))</f>
        <v>86.146</v>
      </c>
      <c r="T205" s="25">
        <f>INDEX('Inputs (2)'!$D$31:$AL$31,MATCH(T$7,'Inputs (2)'!$D$2:$AL$2,0))</f>
        <v>70.791</v>
      </c>
      <c r="U205" s="25">
        <f>INDEX('Inputs (2)'!$D$31:$AL$31,MATCH(U$7,'Inputs (2)'!$D$2:$AL$2,0))</f>
        <v>61.56</v>
      </c>
      <c r="V205" s="25">
        <f>INDEX('Inputs (2)'!$D$31:$AL$31,MATCH(V$7,'Inputs (2)'!$D$2:$AL$2,0))</f>
        <v>42.879</v>
      </c>
      <c r="W205" s="3">
        <f>V205</f>
        <v>42.879</v>
      </c>
      <c r="X205" s="25">
        <f>INDEX('Inputs (2)'!$D$31:$AL$31,MATCH(X$7,'Inputs (2)'!$D$2:$AL$2,0))</f>
        <v>41.462</v>
      </c>
      <c r="Y205" s="25">
        <f>INDEX('Inputs (2)'!$D$31:$AL$31,MATCH(Y$7,'Inputs (2)'!$D$2:$AL$2,0))</f>
        <v>38.597</v>
      </c>
      <c r="Z205" s="25">
        <f>INDEX('Inputs (2)'!$D$31:$AL$31,MATCH(Z$7,'Inputs (2)'!$D$2:$AL$2,0))</f>
        <v>38.621</v>
      </c>
      <c r="AA205" s="25">
        <f>INDEX('Inputs (2)'!$D$31:$AL$31,MATCH(AA$7,'Inputs (2)'!$D$2:$AL$2,0))</f>
        <v>30.552</v>
      </c>
      <c r="AB205" s="3">
        <f>AA205</f>
        <v>30.552</v>
      </c>
      <c r="AC205" s="25">
        <f>INDEX('Inputs (2)'!$D$31:$AL$31,MATCH(AC$7,'Inputs (2)'!$D$2:$AL$2,0))</f>
        <v>24.081</v>
      </c>
      <c r="AD205" s="25">
        <f>INDEX('Inputs (2)'!$D$31:$AL$31,MATCH(AD$7,'Inputs (2)'!$D$2:$AL$2,0))</f>
        <v>26.99</v>
      </c>
      <c r="AE205" s="25">
        <f>INDEX('Inputs (2)'!$D$31:$AL$31,MATCH(AE$7,'Inputs (2)'!$D$2:$AL$2,0))</f>
        <v>25.007</v>
      </c>
      <c r="AF205" s="25">
        <f>INDEX('Inputs (2)'!$D$31:$AL$31,MATCH(AF$7,'Inputs (2)'!$D$2:$AL$2,0))</f>
        <v>106.368</v>
      </c>
      <c r="AG205" s="3">
        <f>AF205</f>
        <v>106.368</v>
      </c>
      <c r="AH205" s="3">
        <f>INDEX('Inputs (2)'!$D$31:$AL$31,MATCH(AH$7,'Inputs (2)'!$D$2:$AL$2,0))</f>
        <v>89.427</v>
      </c>
      <c r="AI205" s="3">
        <f>INDEX('Inputs (2)'!$D$31:$AL$31,MATCH(AI$7,'Inputs (2)'!$D$2:$AL$2,0))</f>
        <v>132.638</v>
      </c>
      <c r="AJ205" s="3">
        <f>AI205</f>
        <v>132.638</v>
      </c>
      <c r="AK205" s="3">
        <f>AJ205</f>
        <v>132.638</v>
      </c>
      <c r="AL205" s="3">
        <f>AK205</f>
        <v>132.638</v>
      </c>
      <c r="AM205" s="3">
        <f>AL205</f>
        <v>132.638</v>
      </c>
      <c r="AN205" s="3">
        <f>AM205</f>
        <v>132.638</v>
      </c>
      <c r="AO205" s="3">
        <f>AN205</f>
        <v>132.638</v>
      </c>
      <c r="AP205" s="3">
        <f>AO205</f>
        <v>132.638</v>
      </c>
      <c r="AQ205" s="3">
        <f>AP205</f>
        <v>132.638</v>
      </c>
      <c r="AR205" s="3">
        <f>AQ205</f>
        <v>132.638</v>
      </c>
      <c r="AS205" s="3">
        <f>AR205</f>
        <v>132.638</v>
      </c>
      <c r="AT205" s="3">
        <f>AS205</f>
        <v>132.638</v>
      </c>
      <c r="AU205" s="3">
        <f>AT205</f>
        <v>132.638</v>
      </c>
      <c r="AV205" s="3">
        <f>AU205</f>
        <v>132.638</v>
      </c>
      <c r="AW205" s="3">
        <f>AV205</f>
        <v>132.638</v>
      </c>
      <c r="AX205" s="3">
        <f>AW205</f>
        <v>132.638</v>
      </c>
      <c r="AY205" s="3">
        <f>AX205</f>
        <v>132.638</v>
      </c>
      <c r="AZ205" s="3">
        <f>AY205</f>
        <v>132.638</v>
      </c>
      <c r="BA205" s="3">
        <f>AZ205</f>
        <v>132.638</v>
      </c>
      <c r="BB205" s="3">
        <f>BA205</f>
        <v>132.638</v>
      </c>
      <c r="BC205" s="3">
        <f>BB205</f>
        <v>132.638</v>
      </c>
      <c r="BD205" s="3">
        <f>BC205</f>
        <v>132.638</v>
      </c>
      <c r="BE205" s="3">
        <f>BD205</f>
        <v>132.638</v>
      </c>
      <c r="BF205" s="3">
        <f>BE205</f>
        <v>132.638</v>
      </c>
      <c r="BG205" s="3">
        <f>BF205</f>
        <v>132.638</v>
      </c>
      <c r="BH205" s="3">
        <f>BG205</f>
        <v>132.638</v>
      </c>
      <c r="BI205" s="3">
        <f>BH205</f>
        <v>132.638</v>
      </c>
      <c r="BJ205" s="3">
        <f>BI205</f>
        <v>132.638</v>
      </c>
      <c r="BK205" s="3">
        <f>BJ205</f>
        <v>132.638</v>
      </c>
      <c r="BL205" s="3">
        <f>BK205</f>
        <v>132.638</v>
      </c>
      <c r="BM205" s="3">
        <f>BL205</f>
        <v>132.638</v>
      </c>
      <c r="BN205" s="3">
        <f>BM205</f>
        <v>132.638</v>
      </c>
      <c r="BO205" s="3">
        <f>BN205</f>
        <v>132.638</v>
      </c>
      <c r="BP205" s="3">
        <f>BO205</f>
        <v>132.638</v>
      </c>
      <c r="BQ205" s="3">
        <f>BP205</f>
        <v>132.638</v>
      </c>
      <c r="BR205" s="3">
        <f>BQ205</f>
        <v>132.638</v>
      </c>
      <c r="BS205" s="3">
        <f>BR205</f>
        <v>132.638</v>
      </c>
      <c r="BT205" s="3">
        <f>BS205</f>
        <v>132.638</v>
      </c>
      <c r="BU205" s="3">
        <f>BT205</f>
        <v>132.638</v>
      </c>
      <c r="BV205" s="3">
        <f>BU205</f>
        <v>132.638</v>
      </c>
      <c r="BW205" s="3">
        <f>BV205</f>
        <v>132.638</v>
      </c>
      <c r="BX205" s="3">
        <f>BW205</f>
        <v>132.638</v>
      </c>
      <c r="BY205" s="3">
        <f>BX205</f>
        <v>132.638</v>
      </c>
      <c r="BZ205" s="3">
        <f>BY205</f>
        <v>132.638</v>
      </c>
      <c r="CA205" s="3">
        <f>BZ205</f>
        <v>132.638</v>
      </c>
      <c r="CB205" s="3">
        <f>CA205</f>
        <v>132.638</v>
      </c>
      <c r="CC205" s="3">
        <f>CB205</f>
        <v>132.638</v>
      </c>
      <c r="CD205" s="3">
        <f>CC205</f>
        <v>132.638</v>
      </c>
      <c r="CE205" s="3">
        <f>CD205</f>
        <v>132.638</v>
      </c>
      <c r="CF205" s="3">
        <f>CE205</f>
        <v>132.638</v>
      </c>
      <c r="CG205" s="3">
        <f>CF205</f>
        <v>132.638</v>
      </c>
      <c r="CH205" s="3">
        <f>CG205</f>
        <v>132.638</v>
      </c>
      <c r="CI205" s="3">
        <f>CH205</f>
        <v>132.638</v>
      </c>
      <c r="CJ205" s="3">
        <f>CI205</f>
        <v>132.638</v>
      </c>
      <c r="CK205" s="3">
        <f>CJ205</f>
        <v>132.638</v>
      </c>
      <c r="CL205" s="3">
        <f>CK205</f>
        <v>132.638</v>
      </c>
      <c r="CM205" s="3">
        <f>CL205</f>
        <v>132.638</v>
      </c>
      <c r="CN205" s="3">
        <f>CM205</f>
        <v>132.638</v>
      </c>
      <c r="CO205" s="3">
        <f>CN205</f>
        <v>132.638</v>
      </c>
      <c r="CP205" s="3">
        <f>CO205</f>
        <v>132.638</v>
      </c>
      <c r="CQ205" s="3">
        <f>CP205</f>
        <v>132.638</v>
      </c>
      <c r="CR205" s="3">
        <f>CQ205</f>
        <v>132.638</v>
      </c>
      <c r="CS205" s="3">
        <f>CR205</f>
        <v>132.638</v>
      </c>
      <c r="CT205" s="3">
        <f>CS205</f>
        <v>132.638</v>
      </c>
      <c r="CU205" s="3">
        <f>CT205</f>
        <v>132.638</v>
      </c>
      <c r="CV205" s="3">
        <f>CU205</f>
        <v>132.638</v>
      </c>
      <c r="CW205" s="3">
        <f>CV205</f>
        <v>132.638</v>
      </c>
      <c r="CX205" s="3">
        <f>CW205</f>
        <v>132.638</v>
      </c>
      <c r="CY205" s="3">
        <f>CX205</f>
        <v>132.638</v>
      </c>
    </row>
    <row r="206" hidden="1" outlineLevel="1">
      <c r="C206" s="38" t="inlineStr">
        <is>
          <t>%(Var.)</t>
        </is>
      </c>
      <c r="D206" s="3" t="n"/>
      <c r="E206" s="47">
        <f>(E205-D205)/D205</f>
        <v>0.00880578020444179</v>
      </c>
      <c r="F206" s="47">
        <f>(F205-E205)/E205</f>
        <v>0.312755610718864</v>
      </c>
      <c r="G206" s="47">
        <f>(G205-F205)/F205</f>
        <v>-0.219349638860473</v>
      </c>
      <c r="H206" s="3" t="n"/>
      <c r="I206" s="47">
        <f>(I205-H205)/H205</f>
        <v>0.26357066274868</v>
      </c>
      <c r="J206" s="47">
        <f>(J205-I205)/I205</f>
        <v>0.185587907166763</v>
      </c>
      <c r="K206" s="47">
        <f>(K205-J205)/J205</f>
        <v>-0.216296453374331</v>
      </c>
      <c r="L206" s="47">
        <f>(L205-K205)/K205</f>
        <v>0.138554420618278</v>
      </c>
      <c r="M206" s="3" t="n"/>
      <c r="N206" s="47">
        <f>(N205-M205)/M205</f>
        <v>0.0463275157816561</v>
      </c>
      <c r="O206" s="47">
        <f>(O205-N205)/N205</f>
        <v>-0.00924138322639254</v>
      </c>
      <c r="P206" s="47">
        <f>(P205-O205)/O205</f>
        <v>0.145673634891751</v>
      </c>
      <c r="Q206" s="47">
        <f>(Q205-P205)/P205</f>
        <v>0.410805402701351</v>
      </c>
      <c r="R206" s="3" t="n"/>
      <c r="S206" s="47">
        <f>(S205-R205)/R205</f>
        <v>-0.236348485922984</v>
      </c>
      <c r="T206" s="47">
        <f>(T205-S205)/S205</f>
        <v>-0.178243911499083</v>
      </c>
      <c r="U206" s="47">
        <f>(U205-T205)/T205</f>
        <v>-0.130397931940501</v>
      </c>
      <c r="V206" s="47">
        <f>(V205-U205)/U205</f>
        <v>-0.303460038986355</v>
      </c>
      <c r="W206" s="3" t="n"/>
      <c r="X206" s="47">
        <f>(X205-W205)/W205</f>
        <v>-0.0330464796287227</v>
      </c>
      <c r="Y206" s="47">
        <f>(Y205-X205)/X205</f>
        <v>-0.0690994163330279</v>
      </c>
      <c r="Z206" s="47">
        <f>(Z205-Y205)/Y205</f>
        <v>0.000621809985232036</v>
      </c>
      <c r="AA206" s="47">
        <f>(AA205-Z205)/Z205</f>
        <v>-0.208927785401725</v>
      </c>
      <c r="AB206" s="3" t="n"/>
      <c r="AC206" s="47">
        <f>(AC205-AB205)/AB205</f>
        <v>-0.211802827965436</v>
      </c>
      <c r="AD206" s="47">
        <f>(AD205-AC205)/AC205</f>
        <v>0.120800631203023</v>
      </c>
      <c r="AE206" s="47">
        <f>(AE205-AD205)/AD205</f>
        <v>-0.0734716561689515</v>
      </c>
      <c r="AF206" s="218">
        <f>(AF205-AE205)/AE205</f>
        <v>3.25352901187667</v>
      </c>
      <c r="AG206" s="3" t="n"/>
      <c r="AH206" s="218">
        <f>(AH205-AG205)/AG205</f>
        <v>-0.159267824909747</v>
      </c>
      <c r="AI206" s="218">
        <f>(AI205-AH205)/AH205</f>
        <v>0.483198586556633</v>
      </c>
      <c r="AJ206" s="218" t="n"/>
      <c r="AK206" s="218" t="n"/>
      <c r="AL206" s="3" t="n"/>
      <c r="AM206" s="218" t="n"/>
      <c r="AN206" s="218" t="n"/>
      <c r="AO206" s="218" t="n"/>
      <c r="AP206" s="218" t="n"/>
      <c r="AQ206" s="3" t="n"/>
      <c r="AR206" s="218" t="n"/>
      <c r="AS206" s="218" t="n"/>
      <c r="AT206" s="218" t="n"/>
      <c r="AU206" s="218" t="n"/>
      <c r="AV206" s="3" t="n"/>
      <c r="AW206" s="218" t="n"/>
      <c r="AX206" s="218" t="n"/>
      <c r="AY206" s="218" t="n"/>
      <c r="AZ206" s="218" t="n"/>
      <c r="BA206" s="3" t="n"/>
      <c r="BB206" s="218" t="n"/>
      <c r="BC206" s="218" t="n"/>
      <c r="BD206" s="218" t="n"/>
      <c r="BE206" s="218" t="n"/>
      <c r="BF206" s="3" t="n"/>
      <c r="BG206" s="218" t="n"/>
      <c r="BH206" s="218" t="n"/>
      <c r="BI206" s="218" t="n"/>
      <c r="BJ206" s="218" t="n"/>
      <c r="BK206" s="3" t="n"/>
      <c r="BL206" s="218" t="n"/>
      <c r="BM206" s="218" t="n"/>
      <c r="BN206" s="218" t="n"/>
      <c r="BO206" s="218" t="n"/>
      <c r="BP206" s="3" t="n"/>
      <c r="BQ206" s="218" t="n"/>
      <c r="BR206" s="218" t="n"/>
      <c r="BS206" s="218" t="n"/>
      <c r="BT206" s="218" t="n"/>
      <c r="BU206" s="3" t="n"/>
      <c r="BV206" s="218" t="n"/>
      <c r="BW206" s="218" t="n"/>
      <c r="BX206" s="218" t="n"/>
      <c r="BY206" s="218" t="n"/>
      <c r="BZ206" s="3" t="n"/>
      <c r="CA206" s="218" t="n"/>
      <c r="CB206" s="218" t="n"/>
      <c r="CC206" s="218" t="n"/>
      <c r="CD206" s="218" t="n"/>
      <c r="CE206" s="3" t="n"/>
      <c r="CF206" s="218" t="n"/>
      <c r="CG206" s="218" t="n"/>
      <c r="CH206" s="218" t="n"/>
      <c r="CI206" s="218" t="n"/>
      <c r="CJ206" s="3" t="n"/>
      <c r="CK206" s="218" t="n"/>
      <c r="CL206" s="218" t="n"/>
      <c r="CM206" s="218" t="n"/>
      <c r="CN206" s="218" t="n"/>
      <c r="CO206" s="3" t="n"/>
      <c r="CP206" s="218" t="n"/>
      <c r="CQ206" s="218" t="n"/>
      <c r="CR206" s="218" t="n"/>
      <c r="CS206" s="218" t="n"/>
      <c r="CT206" s="3" t="n"/>
      <c r="CU206" s="218" t="n"/>
      <c r="CV206" s="218" t="n"/>
      <c r="CW206" s="218" t="n"/>
      <c r="CX206" s="218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hidden="1" outlineLevel="1">
      <c r="C208" s="34" t="inlineStr">
        <is>
          <t xml:space="preserve">Dividendos a Pagar </t>
        </is>
      </c>
      <c r="D208" s="6" t="n"/>
      <c r="E208" s="6" t="n"/>
      <c r="F208" s="6" t="n"/>
      <c r="G208" s="6" t="n"/>
      <c r="H208" s="3" t="n"/>
      <c r="I208" s="6" t="n"/>
      <c r="J208" s="6" t="n"/>
      <c r="K208" s="6" t="n"/>
      <c r="L208" s="6" t="n"/>
      <c r="M208" s="3" t="n"/>
      <c r="N208" s="6" t="n"/>
      <c r="O208" s="6" t="n"/>
      <c r="P208" s="6" t="n"/>
      <c r="Q208" s="6" t="n"/>
      <c r="R208" s="3" t="n"/>
      <c r="S208" s="6" t="n"/>
      <c r="T208" s="6" t="n"/>
      <c r="U208" s="6" t="n"/>
      <c r="V208" s="6" t="n"/>
      <c r="W208" s="3" t="n"/>
      <c r="X208" s="6" t="n"/>
      <c r="Y208" s="6" t="n"/>
      <c r="Z208" s="6" t="n"/>
      <c r="AA208" s="6" t="n"/>
      <c r="AB208" s="3" t="n"/>
      <c r="AC208" s="6" t="n"/>
      <c r="AD208" s="6" t="n"/>
      <c r="AE208" s="6" t="n"/>
      <c r="AF208" s="6" t="n"/>
      <c r="AG208" s="3" t="n"/>
      <c r="AH208" s="6" t="n"/>
      <c r="AI208" s="6" t="n"/>
      <c r="AJ208" s="6" t="n"/>
      <c r="AK208" s="6" t="n"/>
      <c r="AL208" s="3" t="n"/>
      <c r="AM208" s="6" t="n"/>
      <c r="AN208" s="6" t="n"/>
      <c r="AO208" s="6" t="n"/>
      <c r="AP208" s="6" t="n"/>
      <c r="AQ208" s="3" t="n"/>
      <c r="AR208" s="6" t="n"/>
      <c r="AS208" s="6" t="n"/>
      <c r="AT208" s="6" t="n"/>
      <c r="AU208" s="6" t="n"/>
      <c r="AV208" s="3" t="n"/>
      <c r="AW208" s="6" t="n"/>
      <c r="AX208" s="6" t="n"/>
      <c r="AY208" s="6" t="n"/>
      <c r="AZ208" s="6" t="n"/>
      <c r="BA208" s="3" t="n"/>
      <c r="BB208" s="6" t="n"/>
      <c r="BC208" s="6" t="n"/>
      <c r="BD208" s="6" t="n"/>
      <c r="BE208" s="6" t="n"/>
      <c r="BF208" s="3" t="n"/>
      <c r="BG208" s="6" t="n"/>
      <c r="BH208" s="6" t="n"/>
      <c r="BI208" s="6" t="n"/>
      <c r="BJ208" s="6" t="n"/>
      <c r="BK208" s="3" t="n"/>
      <c r="BL208" s="6" t="n"/>
      <c r="BM208" s="6" t="n"/>
      <c r="BN208" s="6" t="n"/>
      <c r="BO208" s="6" t="n"/>
      <c r="BP208" s="3" t="n"/>
      <c r="BQ208" s="6" t="n"/>
      <c r="BR208" s="6" t="n"/>
      <c r="BS208" s="6" t="n"/>
      <c r="BT208" s="6" t="n"/>
      <c r="BU208" s="3" t="n"/>
      <c r="BV208" s="6" t="n"/>
      <c r="BW208" s="6" t="n"/>
      <c r="BX208" s="6" t="n"/>
      <c r="BY208" s="6" t="n"/>
      <c r="BZ208" s="3" t="n"/>
      <c r="CA208" s="6" t="n"/>
      <c r="CB208" s="6" t="n"/>
      <c r="CC208" s="6" t="n"/>
      <c r="CD208" s="6" t="n"/>
      <c r="CE208" s="3" t="n"/>
      <c r="CF208" s="6" t="n"/>
      <c r="CG208" s="6" t="n"/>
      <c r="CH208" s="6" t="n"/>
      <c r="CI208" s="6" t="n"/>
      <c r="CJ208" s="3" t="n"/>
      <c r="CK208" s="6" t="n"/>
      <c r="CL208" s="6" t="n"/>
      <c r="CM208" s="6" t="n"/>
      <c r="CN208" s="6" t="n"/>
      <c r="CO208" s="3" t="n"/>
      <c r="CP208" s="6" t="n"/>
      <c r="CQ208" s="6" t="n"/>
      <c r="CR208" s="6" t="n"/>
      <c r="CS208" s="6" t="n"/>
      <c r="CT208" s="3" t="n"/>
      <c r="CU208" s="6" t="n"/>
      <c r="CV208" s="6" t="n"/>
      <c r="CW208" s="6" t="n"/>
      <c r="CX208" s="6" t="n"/>
      <c r="CY208" s="3" t="n"/>
    </row>
    <row r="209" hidden="1" outlineLevel="1">
      <c r="C209" s="34" t="inlineStr">
        <is>
          <t>Contas a pagar pela aquisição de controladas</t>
        </is>
      </c>
      <c r="D209" s="6" t="n"/>
      <c r="E209" s="6" t="n"/>
      <c r="F209" s="6" t="n"/>
      <c r="G209" s="6" t="n"/>
      <c r="H209" s="3" t="n"/>
      <c r="I209" s="6" t="n"/>
      <c r="J209" s="6" t="n"/>
      <c r="K209" s="6" t="n"/>
      <c r="L209" s="6" t="n"/>
      <c r="M209" s="3" t="n"/>
      <c r="N209" s="6" t="n"/>
      <c r="O209" s="6" t="n"/>
      <c r="P209" s="6" t="n"/>
      <c r="Q209" s="6" t="n"/>
      <c r="R209" s="3" t="n"/>
      <c r="S209" s="6" t="n"/>
      <c r="T209" s="6" t="n"/>
      <c r="U209" s="6" t="n"/>
      <c r="V209" s="6" t="n"/>
      <c r="W209" s="3" t="n"/>
      <c r="X209" s="6" t="n"/>
      <c r="Y209" s="6" t="n"/>
      <c r="Z209" s="6" t="n"/>
      <c r="AA209" s="6" t="n"/>
      <c r="AB209" s="3" t="n"/>
      <c r="AC209" s="6" t="n"/>
      <c r="AD209" s="6" t="n"/>
      <c r="AE209" s="6" t="n"/>
      <c r="AF209" s="6" t="n"/>
      <c r="AG209" s="3" t="n"/>
      <c r="AH209" s="6" t="n"/>
      <c r="AI209" s="6" t="n"/>
      <c r="AJ209" s="6" t="n"/>
      <c r="AK209" s="6" t="n"/>
      <c r="AL209" s="3" t="n"/>
      <c r="AM209" s="6" t="n"/>
      <c r="AN209" s="6" t="n"/>
      <c r="AO209" s="6" t="n"/>
      <c r="AP209" s="6" t="n"/>
      <c r="AQ209" s="3" t="n"/>
      <c r="AR209" s="6" t="n"/>
      <c r="AS209" s="6" t="n"/>
      <c r="AT209" s="6" t="n"/>
      <c r="AU209" s="6" t="n"/>
      <c r="AV209" s="3" t="n"/>
      <c r="AW209" s="6" t="n"/>
      <c r="AX209" s="6" t="n"/>
      <c r="AY209" s="6" t="n"/>
      <c r="AZ209" s="6" t="n"/>
      <c r="BA209" s="3" t="n"/>
      <c r="BB209" s="6" t="n"/>
      <c r="BC209" s="6" t="n"/>
      <c r="BD209" s="6" t="n"/>
      <c r="BE209" s="6" t="n"/>
      <c r="BF209" s="3" t="n"/>
      <c r="BG209" s="6" t="n"/>
      <c r="BH209" s="6" t="n"/>
      <c r="BI209" s="6" t="n"/>
      <c r="BJ209" s="6" t="n"/>
      <c r="BK209" s="3" t="n"/>
      <c r="BL209" s="6" t="n"/>
      <c r="BM209" s="6" t="n"/>
      <c r="BN209" s="6" t="n"/>
      <c r="BO209" s="6" t="n"/>
      <c r="BP209" s="3" t="n"/>
      <c r="BQ209" s="6" t="n"/>
      <c r="BR209" s="6" t="n"/>
      <c r="BS209" s="6" t="n"/>
      <c r="BT209" s="6" t="n"/>
      <c r="BU209" s="3" t="n"/>
      <c r="BV209" s="6" t="n"/>
      <c r="BW209" s="6" t="n"/>
      <c r="BX209" s="6" t="n"/>
      <c r="BY209" s="6" t="n"/>
      <c r="BZ209" s="3" t="n"/>
      <c r="CA209" s="6" t="n"/>
      <c r="CB209" s="6" t="n"/>
      <c r="CC209" s="6" t="n"/>
      <c r="CD209" s="6" t="n"/>
      <c r="CE209" s="3" t="n"/>
      <c r="CF209" s="6" t="n"/>
      <c r="CG209" s="6" t="n"/>
      <c r="CH209" s="6" t="n"/>
      <c r="CI209" s="6" t="n"/>
      <c r="CJ209" s="3" t="n"/>
      <c r="CK209" s="6" t="n"/>
      <c r="CL209" s="6" t="n"/>
      <c r="CM209" s="6" t="n"/>
      <c r="CN209" s="6" t="n"/>
      <c r="CO209" s="3" t="n"/>
      <c r="CP209" s="6" t="n"/>
      <c r="CQ209" s="6" t="n"/>
      <c r="CR209" s="6" t="n"/>
      <c r="CS209" s="6" t="n"/>
      <c r="CT209" s="3" t="n"/>
      <c r="CU209" s="6" t="n"/>
      <c r="CV209" s="6" t="n"/>
      <c r="CW209" s="6" t="n"/>
      <c r="CX209" s="6" t="n"/>
      <c r="CY209" s="3" t="n"/>
    </row>
    <row r="210" hidden="1" outlineLevel="1">
      <c r="C210" s="34" t="inlineStr">
        <is>
          <t>Outros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6" t="n"/>
      <c r="AI210" s="6" t="n"/>
      <c r="AJ210" s="6" t="n"/>
      <c r="AK210" s="6" t="n"/>
      <c r="AL210" s="3" t="n"/>
      <c r="AM210" s="6" t="n"/>
      <c r="AN210" s="6" t="n"/>
      <c r="AO210" s="6" t="n"/>
      <c r="AP210" s="6" t="n"/>
      <c r="AQ210" s="3" t="n"/>
      <c r="AR210" s="6" t="n"/>
      <c r="AS210" s="6" t="n"/>
      <c r="AT210" s="6" t="n"/>
      <c r="AU210" s="6" t="n"/>
      <c r="AV210" s="3" t="n"/>
      <c r="AW210" s="6" t="n"/>
      <c r="AX210" s="6" t="n"/>
      <c r="AY210" s="6" t="n"/>
      <c r="AZ210" s="6" t="n"/>
      <c r="BA210" s="3" t="n"/>
      <c r="BB210" s="6" t="n"/>
      <c r="BC210" s="6" t="n"/>
      <c r="BD210" s="6" t="n"/>
      <c r="BE210" s="6" t="n"/>
      <c r="BF210" s="3" t="n"/>
      <c r="BG210" s="6" t="n"/>
      <c r="BH210" s="6" t="n"/>
      <c r="BI210" s="6" t="n"/>
      <c r="BJ210" s="6" t="n"/>
      <c r="BK210" s="3" t="n"/>
      <c r="BL210" s="6" t="n"/>
      <c r="BM210" s="6" t="n"/>
      <c r="BN210" s="6" t="n"/>
      <c r="BO210" s="6" t="n"/>
      <c r="BP210" s="3" t="n"/>
      <c r="BQ210" s="6" t="n"/>
      <c r="BR210" s="6" t="n"/>
      <c r="BS210" s="6" t="n"/>
      <c r="BT210" s="6" t="n"/>
      <c r="BU210" s="3" t="n"/>
      <c r="BV210" s="6" t="n"/>
      <c r="BW210" s="6" t="n"/>
      <c r="BX210" s="6" t="n"/>
      <c r="BY210" s="6" t="n"/>
      <c r="BZ210" s="3" t="n"/>
      <c r="CA210" s="6" t="n"/>
      <c r="CB210" s="6" t="n"/>
      <c r="CC210" s="6" t="n"/>
      <c r="CD210" s="6" t="n"/>
      <c r="CE210" s="3" t="n"/>
      <c r="CF210" s="6" t="n"/>
      <c r="CG210" s="6" t="n"/>
      <c r="CH210" s="6" t="n"/>
      <c r="CI210" s="6" t="n"/>
      <c r="CJ210" s="3" t="n"/>
      <c r="CK210" s="6" t="n"/>
      <c r="CL210" s="6" t="n"/>
      <c r="CM210" s="6" t="n"/>
      <c r="CN210" s="6" t="n"/>
      <c r="CO210" s="3" t="n"/>
      <c r="CP210" s="6" t="n"/>
      <c r="CQ210" s="6" t="n"/>
      <c r="CR210" s="6" t="n"/>
      <c r="CS210" s="6" t="n"/>
      <c r="CT210" s="3" t="n"/>
      <c r="CU210" s="6" t="n"/>
      <c r="CV210" s="6" t="n"/>
      <c r="CW210" s="6" t="n"/>
      <c r="CX210" s="6" t="n"/>
      <c r="CY210" s="3" t="n"/>
    </row>
    <row r="211" hidden="1" outlineLevel="1">
      <c r="C211" s="3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collapsed="1">
      <c r="C212" s="26" t="inlineStr">
        <is>
          <t>Current portion of long-term debt</t>
        </is>
      </c>
      <c r="D212" s="25">
        <f>INDEX('Inputs (2)'!$D$32:$AL$32,MATCH(D$7,'Inputs (2)'!$D$2:$AL$2,0))</f>
        <v>32.808</v>
      </c>
      <c r="E212" s="25">
        <f>INDEX('Inputs (2)'!$D$32:$AL$32,MATCH(E$7,'Inputs (2)'!$D$2:$AL$2,0))</f>
        <v>270.539</v>
      </c>
      <c r="F212" s="25">
        <f>INDEX('Inputs (2)'!$D$32:$AL$32,MATCH(F$7,'Inputs (2)'!$D$2:$AL$2,0))</f>
        <v>31.71</v>
      </c>
      <c r="G212" s="25">
        <f>INDEX('Inputs (2)'!$D$32:$AL$32,MATCH(G$7,'Inputs (2)'!$D$2:$AL$2,0))</f>
        <v>43.921</v>
      </c>
      <c r="H212" s="3">
        <f>G212</f>
        <v>43.921</v>
      </c>
      <c r="I212" s="25">
        <f>INDEX('Inputs (2)'!$D$32:$AL$32,MATCH(I$7,'Inputs (2)'!$D$2:$AL$2,0))</f>
        <v>57.038</v>
      </c>
      <c r="J212" s="25">
        <f>INDEX('Inputs (2)'!$D$32:$AL$32,MATCH(J$7,'Inputs (2)'!$D$2:$AL$2,0))</f>
        <v>69.002</v>
      </c>
      <c r="K212" s="25">
        <f>INDEX('Inputs (2)'!$D$32:$AL$32,MATCH(K$7,'Inputs (2)'!$D$2:$AL$2,0))</f>
        <v>69.326</v>
      </c>
      <c r="L212" s="25">
        <f>INDEX('Inputs (2)'!$D$32:$AL$32,MATCH(L$7,'Inputs (2)'!$D$2:$AL$2,0))</f>
        <v>16.844</v>
      </c>
      <c r="M212" s="3">
        <f>L212</f>
        <v>16.844</v>
      </c>
      <c r="N212" s="25">
        <f>INDEX('Inputs (2)'!$D$32:$AL$32,MATCH(N$7,'Inputs (2)'!$D$2:$AL$2,0))</f>
        <v>12.728</v>
      </c>
      <c r="O212" s="25">
        <f>INDEX('Inputs (2)'!$D$32:$AL$32,MATCH(O$7,'Inputs (2)'!$D$2:$AL$2,0))</f>
        <v>28.581</v>
      </c>
      <c r="P212" s="25">
        <f>INDEX('Inputs (2)'!$D$32:$AL$32,MATCH(P$7,'Inputs (2)'!$D$2:$AL$2,0))</f>
        <v>34.899</v>
      </c>
      <c r="Q212" s="25">
        <f>INDEX('Inputs (2)'!$D$32:$AL$32,MATCH(Q$7,'Inputs (2)'!$D$2:$AL$2,0))</f>
        <v>37.616</v>
      </c>
      <c r="R212" s="3">
        <f>Q212</f>
        <v>37.616</v>
      </c>
      <c r="S212" s="25">
        <f>INDEX('Inputs (2)'!$D$32:$AL$32,MATCH(S$7,'Inputs (2)'!$D$2:$AL$2,0))</f>
        <v>27.958</v>
      </c>
      <c r="T212" s="25">
        <f>INDEX('Inputs (2)'!$D$32:$AL$32,MATCH(T$7,'Inputs (2)'!$D$2:$AL$2,0))</f>
        <v>52.088</v>
      </c>
      <c r="U212" s="25">
        <f>INDEX('Inputs (2)'!$D$32:$AL$32,MATCH(U$7,'Inputs (2)'!$D$2:$AL$2,0))</f>
        <v>46.457</v>
      </c>
      <c r="V212" s="25">
        <f>INDEX('Inputs (2)'!$D$32:$AL$32,MATCH(V$7,'Inputs (2)'!$D$2:$AL$2,0))</f>
        <v>45.583</v>
      </c>
      <c r="W212" s="3">
        <f>V212</f>
        <v>45.583</v>
      </c>
      <c r="X212" s="25">
        <f>INDEX('Inputs (2)'!$D$32:$AL$32,MATCH(X$7,'Inputs (2)'!$D$2:$AL$2,0))</f>
        <v>46.797</v>
      </c>
      <c r="Y212" s="25">
        <f>INDEX('Inputs (2)'!$D$32:$AL$32,MATCH(Y$7,'Inputs (2)'!$D$2:$AL$2,0))</f>
        <v>139.5</v>
      </c>
      <c r="Z212" s="25">
        <f>INDEX('Inputs (2)'!$D$32:$AL$32,MATCH(Z$7,'Inputs (2)'!$D$2:$AL$2,0))</f>
        <v>308.682</v>
      </c>
      <c r="AA212" s="25">
        <f>INDEX('Inputs (2)'!$D$32:$AL$32,MATCH(AA$7,'Inputs (2)'!$D$2:$AL$2,0))</f>
        <v>140.957</v>
      </c>
      <c r="AB212" s="3">
        <f>AA212</f>
        <v>140.957</v>
      </c>
      <c r="AC212" s="25">
        <f>INDEX('Inputs (2)'!$D$32:$AL$32,MATCH(AC$7,'Inputs (2)'!$D$2:$AL$2,0))</f>
        <v>182.561</v>
      </c>
      <c r="AD212" s="25">
        <f>INDEX('Inputs (2)'!$D$32:$AL$32,MATCH(AD$7,'Inputs (2)'!$D$2:$AL$2,0))</f>
        <v>235.849</v>
      </c>
      <c r="AE212" s="25">
        <f>INDEX('Inputs (2)'!$D$32:$AL$32,MATCH(AE$7,'Inputs (2)'!$D$2:$AL$2,0))</f>
        <v>191.487</v>
      </c>
      <c r="AF212" s="25">
        <f>INDEX('Inputs (2)'!$D$32:$AL$32,MATCH(AF$7,'Inputs (2)'!$D$2:$AL$2,0))</f>
        <v>178.483</v>
      </c>
      <c r="AG212" s="3">
        <f>AF212</f>
        <v>178.483</v>
      </c>
      <c r="AH212" s="3">
        <f>INDEX('Inputs (2)'!$D$32:$AL$32,MATCH(AH$7,'Inputs (2)'!$D$2:$AL$2,0))</f>
        <v>185.886</v>
      </c>
      <c r="AI212" s="3">
        <f>INDEX('Inputs (2)'!$D$32:$AL$32,MATCH(AI$7,'Inputs (2)'!$D$2:$AL$2,0))</f>
        <v>299.576</v>
      </c>
      <c r="AJ212" s="3">
        <f>AI212</f>
        <v>299.576</v>
      </c>
      <c r="AK212" s="3">
        <f>AJ212</f>
        <v>299.576</v>
      </c>
      <c r="AL212" s="3">
        <f>AK212</f>
        <v>299.576</v>
      </c>
      <c r="AM212" s="3">
        <f>AL212</f>
        <v>299.576</v>
      </c>
      <c r="AN212" s="3">
        <f>AM212</f>
        <v>299.576</v>
      </c>
      <c r="AO212" s="3">
        <f>AN212</f>
        <v>299.576</v>
      </c>
      <c r="AP212" s="3">
        <f>AO212</f>
        <v>299.576</v>
      </c>
      <c r="AQ212" s="3">
        <f>AP212</f>
        <v>299.576</v>
      </c>
      <c r="AR212" s="3">
        <f>AQ212</f>
        <v>299.576</v>
      </c>
      <c r="AS212" s="3">
        <f>AR212</f>
        <v>299.576</v>
      </c>
      <c r="AT212" s="3">
        <f>AS212</f>
        <v>299.576</v>
      </c>
      <c r="AU212" s="3">
        <f>AT212</f>
        <v>299.576</v>
      </c>
      <c r="AV212" s="3">
        <f>AU212</f>
        <v>299.576</v>
      </c>
      <c r="AW212" s="3">
        <f>AV212</f>
        <v>299.576</v>
      </c>
      <c r="AX212" s="3">
        <f>AW212</f>
        <v>299.576</v>
      </c>
      <c r="AY212" s="3">
        <f>AX212</f>
        <v>299.576</v>
      </c>
      <c r="AZ212" s="3">
        <f>AY212</f>
        <v>299.576</v>
      </c>
      <c r="BA212" s="3">
        <f>AZ212</f>
        <v>299.576</v>
      </c>
      <c r="BB212" s="3">
        <f>BA212</f>
        <v>299.576</v>
      </c>
      <c r="BC212" s="3">
        <f>BB212</f>
        <v>299.576</v>
      </c>
      <c r="BD212" s="3">
        <f>BC212</f>
        <v>299.576</v>
      </c>
      <c r="BE212" s="3">
        <f>BD212</f>
        <v>299.576</v>
      </c>
      <c r="BF212" s="3">
        <f>BE212</f>
        <v>299.576</v>
      </c>
      <c r="BG212" s="3">
        <f>BF212</f>
        <v>299.576</v>
      </c>
      <c r="BH212" s="3">
        <f>BG212</f>
        <v>299.576</v>
      </c>
      <c r="BI212" s="3">
        <f>BH212</f>
        <v>299.576</v>
      </c>
      <c r="BJ212" s="3">
        <f>BI212</f>
        <v>299.576</v>
      </c>
      <c r="BK212" s="3">
        <f>BJ212</f>
        <v>299.576</v>
      </c>
      <c r="BL212" s="3">
        <f>BK212</f>
        <v>299.576</v>
      </c>
      <c r="BM212" s="3">
        <f>BL212</f>
        <v>299.576</v>
      </c>
      <c r="BN212" s="3">
        <f>BM212</f>
        <v>299.576</v>
      </c>
      <c r="BO212" s="3">
        <f>BN212</f>
        <v>299.576</v>
      </c>
      <c r="BP212" s="3">
        <f>BO212</f>
        <v>299.576</v>
      </c>
      <c r="BQ212" s="3">
        <f>BP212</f>
        <v>299.576</v>
      </c>
      <c r="BR212" s="3">
        <f>BQ212</f>
        <v>299.576</v>
      </c>
      <c r="BS212" s="3">
        <f>BR212</f>
        <v>299.576</v>
      </c>
      <c r="BT212" s="3">
        <f>BS212</f>
        <v>299.576</v>
      </c>
      <c r="BU212" s="3">
        <f>BT212</f>
        <v>299.576</v>
      </c>
      <c r="BV212" s="3">
        <f>BU212</f>
        <v>299.576</v>
      </c>
      <c r="BW212" s="3">
        <f>BV212</f>
        <v>299.576</v>
      </c>
      <c r="BX212" s="3">
        <f>BW212</f>
        <v>299.576</v>
      </c>
      <c r="BY212" s="3">
        <f>BX212</f>
        <v>299.576</v>
      </c>
      <c r="BZ212" s="3">
        <f>BY212</f>
        <v>299.576</v>
      </c>
      <c r="CA212" s="3">
        <f>BZ212</f>
        <v>299.576</v>
      </c>
      <c r="CB212" s="3">
        <f>CA212</f>
        <v>299.576</v>
      </c>
      <c r="CC212" s="3">
        <f>CB212</f>
        <v>299.576</v>
      </c>
      <c r="CD212" s="3">
        <f>CC212</f>
        <v>299.576</v>
      </c>
      <c r="CE212" s="3">
        <f>CD212</f>
        <v>299.576</v>
      </c>
      <c r="CF212" s="3">
        <f>CE212</f>
        <v>299.576</v>
      </c>
      <c r="CG212" s="3">
        <f>CF212</f>
        <v>299.576</v>
      </c>
      <c r="CH212" s="3">
        <f>CG212</f>
        <v>299.576</v>
      </c>
      <c r="CI212" s="3">
        <f>CH212</f>
        <v>299.576</v>
      </c>
      <c r="CJ212" s="3">
        <f>CI212</f>
        <v>299.576</v>
      </c>
      <c r="CK212" s="3">
        <f>CJ212</f>
        <v>299.576</v>
      </c>
      <c r="CL212" s="3">
        <f>CK212</f>
        <v>299.576</v>
      </c>
      <c r="CM212" s="3">
        <f>CL212</f>
        <v>299.576</v>
      </c>
      <c r="CN212" s="3">
        <f>CM212</f>
        <v>299.576</v>
      </c>
      <c r="CO212" s="3">
        <f>CN212</f>
        <v>299.576</v>
      </c>
      <c r="CP212" s="3">
        <f>CO212</f>
        <v>299.576</v>
      </c>
      <c r="CQ212" s="3">
        <f>CP212</f>
        <v>299.576</v>
      </c>
      <c r="CR212" s="3">
        <f>CQ212</f>
        <v>299.576</v>
      </c>
      <c r="CS212" s="3">
        <f>CR212</f>
        <v>299.576</v>
      </c>
      <c r="CT212" s="3">
        <f>CS212</f>
        <v>299.576</v>
      </c>
      <c r="CU212" s="3">
        <f>CT212</f>
        <v>299.576</v>
      </c>
      <c r="CV212" s="3">
        <f>CU212</f>
        <v>299.576</v>
      </c>
      <c r="CW212" s="3">
        <f>CV212</f>
        <v>299.576</v>
      </c>
      <c r="CX212" s="3">
        <f>CW212</f>
        <v>299.576</v>
      </c>
      <c r="CY212" s="3">
        <f>CX212</f>
        <v>299.576</v>
      </c>
    </row>
    <row r="213">
      <c r="C213" s="26" t="inlineStr">
        <is>
          <t>Short term debt (Revolving credit facility)</t>
        </is>
      </c>
      <c r="D213" s="25" t="n"/>
      <c r="E213" s="25" t="n"/>
      <c r="F213" s="25" t="n"/>
      <c r="G213" s="25" t="n"/>
      <c r="H213" s="3">
        <f>G213</f>
        <v>0</v>
      </c>
      <c r="I213" s="25" t="n"/>
      <c r="J213" s="25" t="n"/>
      <c r="K213" s="25" t="n"/>
      <c r="L213" s="25" t="n"/>
      <c r="M213" s="3">
        <f>L213</f>
        <v>0</v>
      </c>
      <c r="N213" s="25" t="n"/>
      <c r="O213" s="25" t="n"/>
      <c r="P213" s="25" t="n"/>
      <c r="Q213" s="25" t="n"/>
      <c r="R213" s="3">
        <f>Q213</f>
        <v>0</v>
      </c>
      <c r="S213" s="25" t="n"/>
      <c r="T213" s="25" t="n"/>
      <c r="U213" s="25" t="n"/>
      <c r="V213" s="25" t="n"/>
      <c r="W213" s="3">
        <f>V213</f>
        <v>0</v>
      </c>
      <c r="X213" s="25" t="n"/>
      <c r="Y213" s="25" t="n"/>
      <c r="Z213" s="25" t="n"/>
      <c r="AA213" s="25" t="n"/>
      <c r="AB213" s="3">
        <f>AA213</f>
        <v>0</v>
      </c>
      <c r="AC213" s="25" t="n"/>
      <c r="AD213" s="25" t="n"/>
      <c r="AE213" s="25" t="n"/>
      <c r="AF213" s="25" t="n"/>
      <c r="AG213" s="3">
        <f>AF213</f>
        <v>0</v>
      </c>
      <c r="AH213" s="3">
        <f>AG213</f>
        <v>0</v>
      </c>
      <c r="AI213" s="3">
        <f>AH213</f>
        <v>0</v>
      </c>
      <c r="AJ213" s="3">
        <f>AI213</f>
        <v>0</v>
      </c>
      <c r="AK213" s="3">
        <f>AJ213</f>
        <v>0</v>
      </c>
      <c r="AL213" s="3">
        <f>AK213</f>
        <v>0</v>
      </c>
      <c r="AM213" s="3">
        <f>AL213</f>
        <v>0</v>
      </c>
      <c r="AN213" s="3">
        <f>AM213</f>
        <v>0</v>
      </c>
      <c r="AO213" s="3">
        <f>AN213</f>
        <v>0</v>
      </c>
      <c r="AP213" s="3">
        <f>AO213</f>
        <v>0</v>
      </c>
      <c r="AQ213" s="3">
        <f>AP213</f>
        <v>0</v>
      </c>
      <c r="AR213" s="3">
        <f>AQ213</f>
        <v>0</v>
      </c>
      <c r="AS213" s="3">
        <f>AR213</f>
        <v>0</v>
      </c>
      <c r="AT213" s="3">
        <f>AS213</f>
        <v>0</v>
      </c>
      <c r="AU213" s="3">
        <f>AT213</f>
        <v>0</v>
      </c>
      <c r="AV213" s="3">
        <f>AU213</f>
        <v>0</v>
      </c>
      <c r="AW213" s="3">
        <f>AV213</f>
        <v>0</v>
      </c>
      <c r="AX213" s="3">
        <f>AW213</f>
        <v>0</v>
      </c>
      <c r="AY213" s="3">
        <f>AX213</f>
        <v>0</v>
      </c>
      <c r="AZ213" s="3">
        <f>AY213</f>
        <v>0</v>
      </c>
      <c r="BA213" s="3">
        <f>AZ213</f>
        <v>0</v>
      </c>
      <c r="BB213" s="3">
        <f>BA213</f>
        <v>0</v>
      </c>
      <c r="BC213" s="3">
        <f>BB213</f>
        <v>0</v>
      </c>
      <c r="BD213" s="3">
        <f>BC213</f>
        <v>0</v>
      </c>
      <c r="BE213" s="3">
        <f>BD213</f>
        <v>0</v>
      </c>
      <c r="BF213" s="3">
        <f>BE213</f>
        <v>0</v>
      </c>
      <c r="BG213" s="3">
        <f>BF213</f>
        <v>0</v>
      </c>
      <c r="BH213" s="3">
        <f>BG213</f>
        <v>0</v>
      </c>
      <c r="BI213" s="3">
        <f>BH213</f>
        <v>0</v>
      </c>
      <c r="BJ213" s="3">
        <f>BI213</f>
        <v>0</v>
      </c>
      <c r="BK213" s="3">
        <f>BJ213</f>
        <v>0</v>
      </c>
      <c r="BL213" s="3">
        <f>BK213</f>
        <v>0</v>
      </c>
      <c r="BM213" s="3">
        <f>BL213</f>
        <v>0</v>
      </c>
      <c r="BN213" s="3">
        <f>BM213</f>
        <v>0</v>
      </c>
      <c r="BO213" s="3">
        <f>BN213</f>
        <v>0</v>
      </c>
      <c r="BP213" s="3">
        <f>BO213</f>
        <v>0</v>
      </c>
      <c r="BQ213" s="3">
        <f>BP213</f>
        <v>0</v>
      </c>
      <c r="BR213" s="3">
        <f>BQ213</f>
        <v>0</v>
      </c>
      <c r="BS213" s="3">
        <f>BR213</f>
        <v>0</v>
      </c>
      <c r="BT213" s="3">
        <f>BS213</f>
        <v>0</v>
      </c>
      <c r="BU213" s="3">
        <f>BT213</f>
        <v>0</v>
      </c>
      <c r="BV213" s="3">
        <f>BU213</f>
        <v>0</v>
      </c>
      <c r="BW213" s="3">
        <f>BV213</f>
        <v>0</v>
      </c>
      <c r="BX213" s="3">
        <f>BW213</f>
        <v>0</v>
      </c>
      <c r="BY213" s="3">
        <f>BX213</f>
        <v>0</v>
      </c>
      <c r="BZ213" s="3">
        <f>BY213</f>
        <v>0</v>
      </c>
      <c r="CA213" s="3">
        <f>BZ213</f>
        <v>0</v>
      </c>
      <c r="CB213" s="3">
        <f>CA213</f>
        <v>0</v>
      </c>
      <c r="CC213" s="3">
        <f>CB213</f>
        <v>0</v>
      </c>
      <c r="CD213" s="3">
        <f>CC213</f>
        <v>0</v>
      </c>
      <c r="CE213" s="3">
        <f>CD213</f>
        <v>0</v>
      </c>
      <c r="CF213" s="3">
        <f>CE213</f>
        <v>0</v>
      </c>
      <c r="CG213" s="3">
        <f>CF213</f>
        <v>0</v>
      </c>
      <c r="CH213" s="3">
        <f>CG213</f>
        <v>0</v>
      </c>
      <c r="CI213" s="3">
        <f>CH213</f>
        <v>0</v>
      </c>
      <c r="CJ213" s="3">
        <f>CI213</f>
        <v>0</v>
      </c>
      <c r="CK213" s="3">
        <f>CJ213</f>
        <v>0</v>
      </c>
      <c r="CL213" s="3">
        <f>CK213</f>
        <v>0</v>
      </c>
      <c r="CM213" s="3">
        <f>CL213</f>
        <v>0</v>
      </c>
      <c r="CN213" s="3">
        <f>CM213</f>
        <v>0</v>
      </c>
      <c r="CO213" s="3">
        <f>CN213</f>
        <v>0</v>
      </c>
      <c r="CP213" s="3">
        <f>CO213</f>
        <v>0</v>
      </c>
      <c r="CQ213" s="3">
        <f>CP213</f>
        <v>0</v>
      </c>
      <c r="CR213" s="3">
        <f>CQ213</f>
        <v>0</v>
      </c>
      <c r="CS213" s="3">
        <f>CR213</f>
        <v>0</v>
      </c>
      <c r="CT213" s="3">
        <f>CS213</f>
        <v>0</v>
      </c>
      <c r="CU213" s="3">
        <f>CT213</f>
        <v>0</v>
      </c>
      <c r="CV213" s="3">
        <f>CU213</f>
        <v>0</v>
      </c>
      <c r="CW213" s="3">
        <f>CV213</f>
        <v>0</v>
      </c>
      <c r="CX213" s="3">
        <f>CW213</f>
        <v>0</v>
      </c>
      <c r="CY213" s="3">
        <f>CX213</f>
        <v>0</v>
      </c>
    </row>
    <row r="214">
      <c r="C214" s="26" t="inlineStr">
        <is>
          <t>Short term operating leases</t>
        </is>
      </c>
      <c r="D214" s="25">
        <f>INDEX('Inputs (2)'!$D$34:$AL$34,MATCH(D$7,'Inputs (2)'!$D$2:$AL$2,0))</f>
        <v>4.729</v>
      </c>
      <c r="E214" s="25">
        <f>INDEX('Inputs (2)'!$D$34:$AL$34,MATCH(E$7,'Inputs (2)'!$D$2:$AL$2,0))</f>
        <v>3.786</v>
      </c>
      <c r="F214" s="25">
        <f>INDEX('Inputs (2)'!$D$34:$AL$34,MATCH(F$7,'Inputs (2)'!$D$2:$AL$2,0))</f>
        <v>2.86</v>
      </c>
      <c r="G214" s="25">
        <f>INDEX('Inputs (2)'!$D$34:$AL$34,MATCH(G$7,'Inputs (2)'!$D$2:$AL$2,0))</f>
        <v>5.493</v>
      </c>
      <c r="H214" s="3">
        <f>G214</f>
        <v>5.493</v>
      </c>
      <c r="I214" s="25">
        <f>INDEX('Inputs (2)'!$D$34:$AL$34,MATCH(I$7,'Inputs (2)'!$D$2:$AL$2,0))</f>
        <v>9.229</v>
      </c>
      <c r="J214" s="25">
        <f>INDEX('Inputs (2)'!$D$34:$AL$34,MATCH(J$7,'Inputs (2)'!$D$2:$AL$2,0))</f>
        <v>10.401</v>
      </c>
      <c r="K214" s="25">
        <f>INDEX('Inputs (2)'!$D$34:$AL$34,MATCH(K$7,'Inputs (2)'!$D$2:$AL$2,0))</f>
        <v>12.007</v>
      </c>
      <c r="L214" s="25">
        <f>INDEX('Inputs (2)'!$D$34:$AL$34,MATCH(L$7,'Inputs (2)'!$D$2:$AL$2,0))</f>
        <v>9.526</v>
      </c>
      <c r="M214" s="3">
        <f>L214</f>
        <v>9.526</v>
      </c>
      <c r="N214" s="25">
        <f>INDEX('Inputs (2)'!$D$34:$AL$34,MATCH(N$7,'Inputs (2)'!$D$2:$AL$2,0))</f>
        <v>10.609</v>
      </c>
      <c r="O214" s="25">
        <f>INDEX('Inputs (2)'!$D$34:$AL$34,MATCH(O$7,'Inputs (2)'!$D$2:$AL$2,0))</f>
        <v>13.717</v>
      </c>
      <c r="P214" s="25">
        <f>INDEX('Inputs (2)'!$D$34:$AL$34,MATCH(P$7,'Inputs (2)'!$D$2:$AL$2,0))</f>
        <v>29.34</v>
      </c>
      <c r="Q214" s="25">
        <f>INDEX('Inputs (2)'!$D$34:$AL$34,MATCH(Q$7,'Inputs (2)'!$D$2:$AL$2,0))</f>
        <v>15.211</v>
      </c>
      <c r="R214" s="3">
        <f>Q214</f>
        <v>15.211</v>
      </c>
      <c r="S214" s="25">
        <f>INDEX('Inputs (2)'!$D$34:$AL$34,MATCH(S$7,'Inputs (2)'!$D$2:$AL$2,0))</f>
        <v>6.587</v>
      </c>
      <c r="T214" s="25">
        <f>INDEX('Inputs (2)'!$D$34:$AL$34,MATCH(T$7,'Inputs (2)'!$D$2:$AL$2,0))</f>
        <v>26.872</v>
      </c>
      <c r="U214" s="25">
        <f>INDEX('Inputs (2)'!$D$34:$AL$34,MATCH(U$7,'Inputs (2)'!$D$2:$AL$2,0))</f>
        <v>23.947</v>
      </c>
      <c r="V214" s="25">
        <f>INDEX('Inputs (2)'!$D$34:$AL$34,MATCH(V$7,'Inputs (2)'!$D$2:$AL$2,0))</f>
        <v>29.057</v>
      </c>
      <c r="W214" s="3">
        <f>V214</f>
        <v>29.057</v>
      </c>
      <c r="X214" s="25">
        <f>INDEX('Inputs (2)'!$D$34:$AL$34,MATCH(X$7,'Inputs (2)'!$D$2:$AL$2,0))</f>
        <v>30.796</v>
      </c>
      <c r="Y214" s="25">
        <f>INDEX('Inputs (2)'!$D$34:$AL$34,MATCH(Y$7,'Inputs (2)'!$D$2:$AL$2,0))</f>
        <v>34.249</v>
      </c>
      <c r="Z214" s="25">
        <f>INDEX('Inputs (2)'!$D$34:$AL$34,MATCH(Z$7,'Inputs (2)'!$D$2:$AL$2,0))</f>
        <v>50.151</v>
      </c>
      <c r="AA214" s="25">
        <f>INDEX('Inputs (2)'!$D$34:$AL$34,MATCH(AA$7,'Inputs (2)'!$D$2:$AL$2,0))</f>
        <v>45.319</v>
      </c>
      <c r="AB214" s="3">
        <f>AA214</f>
        <v>45.319</v>
      </c>
      <c r="AC214" s="25">
        <f>INDEX('Inputs (2)'!$D$34:$AL$34,MATCH(AC$7,'Inputs (2)'!$D$2:$AL$2,0))</f>
        <v>44.844</v>
      </c>
      <c r="AD214" s="25">
        <f>INDEX('Inputs (2)'!$D$34:$AL$34,MATCH(AD$7,'Inputs (2)'!$D$2:$AL$2,0))</f>
        <v>39.655</v>
      </c>
      <c r="AE214" s="25">
        <f>INDEX('Inputs (2)'!$D$34:$AL$34,MATCH(AE$7,'Inputs (2)'!$D$2:$AL$2,0))</f>
        <v>37.7</v>
      </c>
      <c r="AF214" s="25">
        <f>INDEX('Inputs (2)'!$D$34:$AL$34,MATCH(AF$7,'Inputs (2)'!$D$2:$AL$2,0))</f>
        <v>49.243</v>
      </c>
      <c r="AG214" s="3">
        <f>AF214</f>
        <v>49.243</v>
      </c>
      <c r="AH214" s="3">
        <f>INDEX('Inputs (2)'!$D$34:$AL$34,MATCH(AH$7,'Inputs (2)'!$D$2:$AL$2,0))</f>
        <v>44.186</v>
      </c>
      <c r="AI214" s="3">
        <f>INDEX('Inputs (2)'!$D$34:$AL$34,MATCH(AI$7,'Inputs (2)'!$D$2:$AL$2,0))</f>
        <v>48.061</v>
      </c>
      <c r="AJ214" s="3">
        <f>AI214</f>
        <v>48.061</v>
      </c>
      <c r="AK214" s="3">
        <f>AJ214</f>
        <v>48.061</v>
      </c>
      <c r="AL214" s="3">
        <f>AK214</f>
        <v>48.061</v>
      </c>
      <c r="AM214" s="3">
        <f>AL214</f>
        <v>48.061</v>
      </c>
      <c r="AN214" s="3">
        <f>AM214</f>
        <v>48.061</v>
      </c>
      <c r="AO214" s="3">
        <f>AN214</f>
        <v>48.061</v>
      </c>
      <c r="AP214" s="3">
        <f>AO214</f>
        <v>48.061</v>
      </c>
      <c r="AQ214" s="3">
        <f>AP214</f>
        <v>48.061</v>
      </c>
      <c r="AR214" s="3">
        <f>AQ214</f>
        <v>48.061</v>
      </c>
      <c r="AS214" s="3">
        <f>AR214</f>
        <v>48.061</v>
      </c>
      <c r="AT214" s="3">
        <f>AS214</f>
        <v>48.061</v>
      </c>
      <c r="AU214" s="3">
        <f>AT214</f>
        <v>48.061</v>
      </c>
      <c r="AV214" s="3">
        <f>AU214</f>
        <v>48.061</v>
      </c>
      <c r="AW214" s="3">
        <f>AV214</f>
        <v>48.061</v>
      </c>
      <c r="AX214" s="3">
        <f>AW214</f>
        <v>48.061</v>
      </c>
      <c r="AY214" s="3">
        <f>AX214</f>
        <v>48.061</v>
      </c>
      <c r="AZ214" s="3">
        <f>AY214</f>
        <v>48.061</v>
      </c>
      <c r="BA214" s="3">
        <f>AZ214</f>
        <v>48.061</v>
      </c>
      <c r="BB214" s="3">
        <f>BA214</f>
        <v>48.061</v>
      </c>
      <c r="BC214" s="3">
        <f>BB214</f>
        <v>48.061</v>
      </c>
      <c r="BD214" s="3">
        <f>BC214</f>
        <v>48.061</v>
      </c>
      <c r="BE214" s="3">
        <f>BD214</f>
        <v>48.061</v>
      </c>
      <c r="BF214" s="3">
        <f>BE214</f>
        <v>48.061</v>
      </c>
      <c r="BG214" s="3">
        <f>BF214</f>
        <v>48.061</v>
      </c>
      <c r="BH214" s="3">
        <f>BG214</f>
        <v>48.061</v>
      </c>
      <c r="BI214" s="3">
        <f>BH214</f>
        <v>48.061</v>
      </c>
      <c r="BJ214" s="3">
        <f>BI214</f>
        <v>48.061</v>
      </c>
      <c r="BK214" s="3">
        <f>BJ214</f>
        <v>48.061</v>
      </c>
      <c r="BL214" s="3">
        <f>BK214</f>
        <v>48.061</v>
      </c>
      <c r="BM214" s="3">
        <f>BL214</f>
        <v>48.061</v>
      </c>
      <c r="BN214" s="3">
        <f>BM214</f>
        <v>48.061</v>
      </c>
      <c r="BO214" s="3">
        <f>BN214</f>
        <v>48.061</v>
      </c>
      <c r="BP214" s="3">
        <f>BO214</f>
        <v>48.061</v>
      </c>
      <c r="BQ214" s="3">
        <f>BP214</f>
        <v>48.061</v>
      </c>
      <c r="BR214" s="3">
        <f>BQ214</f>
        <v>48.061</v>
      </c>
      <c r="BS214" s="3">
        <f>BR214</f>
        <v>48.061</v>
      </c>
      <c r="BT214" s="3">
        <f>BS214</f>
        <v>48.061</v>
      </c>
      <c r="BU214" s="3">
        <f>BT214</f>
        <v>48.061</v>
      </c>
      <c r="BV214" s="3">
        <f>BU214</f>
        <v>48.061</v>
      </c>
      <c r="BW214" s="3">
        <f>BV214</f>
        <v>48.061</v>
      </c>
      <c r="BX214" s="3">
        <f>BW214</f>
        <v>48.061</v>
      </c>
      <c r="BY214" s="3">
        <f>BX214</f>
        <v>48.061</v>
      </c>
      <c r="BZ214" s="3">
        <f>BY214</f>
        <v>48.061</v>
      </c>
      <c r="CA214" s="3">
        <f>BZ214</f>
        <v>48.061</v>
      </c>
      <c r="CB214" s="3">
        <f>CA214</f>
        <v>48.061</v>
      </c>
      <c r="CC214" s="3">
        <f>CB214</f>
        <v>48.061</v>
      </c>
      <c r="CD214" s="3">
        <f>CC214</f>
        <v>48.061</v>
      </c>
      <c r="CE214" s="3">
        <f>CD214</f>
        <v>48.061</v>
      </c>
      <c r="CF214" s="3">
        <f>CE214</f>
        <v>48.061</v>
      </c>
      <c r="CG214" s="3">
        <f>CF214</f>
        <v>48.061</v>
      </c>
      <c r="CH214" s="3">
        <f>CG214</f>
        <v>48.061</v>
      </c>
      <c r="CI214" s="3">
        <f>CH214</f>
        <v>48.061</v>
      </c>
      <c r="CJ214" s="3">
        <f>CI214</f>
        <v>48.061</v>
      </c>
      <c r="CK214" s="3">
        <f>CJ214</f>
        <v>48.061</v>
      </c>
      <c r="CL214" s="3">
        <f>CK214</f>
        <v>48.061</v>
      </c>
      <c r="CM214" s="3">
        <f>CL214</f>
        <v>48.061</v>
      </c>
      <c r="CN214" s="3">
        <f>CM214</f>
        <v>48.061</v>
      </c>
      <c r="CO214" s="3">
        <f>CN214</f>
        <v>48.061</v>
      </c>
      <c r="CP214" s="3">
        <f>CO214</f>
        <v>48.061</v>
      </c>
      <c r="CQ214" s="3">
        <f>CP214</f>
        <v>48.061</v>
      </c>
      <c r="CR214" s="3">
        <f>CQ214</f>
        <v>48.061</v>
      </c>
      <c r="CS214" s="3">
        <f>CR214</f>
        <v>48.061</v>
      </c>
      <c r="CT214" s="3">
        <f>CS214</f>
        <v>48.061</v>
      </c>
      <c r="CU214" s="3">
        <f>CT214</f>
        <v>48.061</v>
      </c>
      <c r="CV214" s="3">
        <f>CU214</f>
        <v>48.061</v>
      </c>
      <c r="CW214" s="3">
        <f>CV214</f>
        <v>48.061</v>
      </c>
      <c r="CX214" s="3">
        <f>CW214</f>
        <v>48.061</v>
      </c>
      <c r="CY214" s="3">
        <f>CX214</f>
        <v>48.061</v>
      </c>
    </row>
    <row r="215" hidden="1" outlineLevel="1">
      <c r="C215" s="38" t="inlineStr">
        <is>
          <t>%(Var.)</t>
        </is>
      </c>
      <c r="D215" s="3" t="n"/>
      <c r="E215" s="47">
        <f>(E214-D214)/D214</f>
        <v>-0.199407908648763</v>
      </c>
      <c r="F215" s="47">
        <f>(F214-E214)/E214</f>
        <v>-0.244585314315901</v>
      </c>
      <c r="G215" s="47">
        <f>(G214-F214)/F214</f>
        <v>0.920629370629371</v>
      </c>
      <c r="H215" s="3" t="n"/>
      <c r="I215" s="47">
        <f>(I214-H214)/H214</f>
        <v>0.680138357910067</v>
      </c>
      <c r="J215" s="47">
        <f>(J214-I214)/I214</f>
        <v>0.1269910066096</v>
      </c>
      <c r="K215" s="47">
        <f>(K214-J214)/J214</f>
        <v>0.154408229977887</v>
      </c>
      <c r="L215" s="47">
        <f>(L214-K214)/K214</f>
        <v>-0.206629466144749</v>
      </c>
      <c r="M215" s="3" t="n"/>
      <c r="N215" s="47">
        <f>(N214-M214)/M214</f>
        <v>0.11368885156414</v>
      </c>
      <c r="O215" s="47">
        <f>(O214-N214)/N214</f>
        <v>0.292958808558771</v>
      </c>
      <c r="P215" s="47">
        <f>(P214-O214)/O214</f>
        <v>1.13895166581614</v>
      </c>
      <c r="Q215" s="47">
        <f>(Q214-P214)/P214</f>
        <v>-0.481561008861622</v>
      </c>
      <c r="R215" s="3" t="n"/>
      <c r="S215" s="47">
        <f>(S214-R214)/R214</f>
        <v>-0.566958122411413</v>
      </c>
      <c r="T215" s="47">
        <f>(T214-S214)/S214</f>
        <v>3.07955063002885</v>
      </c>
      <c r="U215" s="47">
        <f>(U214-T214)/T214</f>
        <v>-0.10884935992855</v>
      </c>
      <c r="V215" s="47">
        <f>(V214-U214)/U214</f>
        <v>0.213387898275358</v>
      </c>
      <c r="W215" s="3" t="n"/>
      <c r="X215" s="47">
        <f>(X214-W214)/W214</f>
        <v>0.0598478851911759</v>
      </c>
      <c r="Y215" s="47">
        <f>(Y214-X214)/X214</f>
        <v>0.112124951292376</v>
      </c>
      <c r="Z215" s="47">
        <f>(Z214-Y214)/Y214</f>
        <v>0.464305527168676</v>
      </c>
      <c r="AA215" s="47">
        <f>(AA214-Z214)/Z214</f>
        <v>-0.0963490259416562</v>
      </c>
      <c r="AB215" s="3" t="n"/>
      <c r="AC215" s="47">
        <f>(AC214-AB214)/AB214</f>
        <v>-0.0104812551027163</v>
      </c>
      <c r="AD215" s="47">
        <f>(AD214-AC214)/AC214</f>
        <v>-0.115712246900366</v>
      </c>
      <c r="AE215" s="47">
        <f>(AE214-AD214)/AD214</f>
        <v>-0.049300214348758</v>
      </c>
      <c r="AF215" s="6">
        <f>(AF214-AE214)/AE214</f>
        <v>0.306180371352785</v>
      </c>
      <c r="AG215" s="3" t="n"/>
      <c r="AH215" s="6">
        <f>(AH214-AG214)/AG214</f>
        <v>-0.102694799260809</v>
      </c>
      <c r="AI215" s="6">
        <f>(AI214-AH214)/AH214</f>
        <v>0.0876974607341692</v>
      </c>
      <c r="AJ215" s="6" t="n"/>
      <c r="AK215" s="6" t="n"/>
      <c r="AL215" s="3" t="n"/>
      <c r="AM215" s="6" t="n"/>
      <c r="AN215" s="6" t="n"/>
      <c r="AO215" s="6" t="n"/>
      <c r="AP215" s="6" t="n"/>
      <c r="AQ215" s="3" t="n"/>
      <c r="AR215" s="6" t="n"/>
      <c r="AS215" s="6" t="n"/>
      <c r="AT215" s="6" t="n"/>
      <c r="AU215" s="6" t="n"/>
      <c r="AV215" s="3" t="n"/>
      <c r="AW215" s="6" t="n"/>
      <c r="AX215" s="6" t="n"/>
      <c r="AY215" s="6" t="n"/>
      <c r="AZ215" s="6" t="n"/>
      <c r="BA215" s="3" t="n"/>
      <c r="BB215" s="6" t="n"/>
      <c r="BC215" s="6" t="n"/>
      <c r="BD215" s="6" t="n"/>
      <c r="BE215" s="6" t="n"/>
      <c r="BF215" s="3" t="n"/>
      <c r="BG215" s="6" t="n"/>
      <c r="BH215" s="6" t="n"/>
      <c r="BI215" s="6" t="n"/>
      <c r="BJ215" s="6" t="n"/>
      <c r="BK215" s="3" t="n"/>
      <c r="BL215" s="6" t="n"/>
      <c r="BM215" s="6" t="n"/>
      <c r="BN215" s="6" t="n"/>
      <c r="BO215" s="6" t="n"/>
      <c r="BP215" s="3" t="n"/>
      <c r="BQ215" s="6" t="n"/>
      <c r="BR215" s="6" t="n"/>
      <c r="BS215" s="6" t="n"/>
      <c r="BT215" s="6" t="n"/>
      <c r="BU215" s="3" t="n"/>
      <c r="BV215" s="6" t="n"/>
      <c r="BW215" s="6" t="n"/>
      <c r="BX215" s="6" t="n"/>
      <c r="BY215" s="6" t="n"/>
      <c r="BZ215" s="3" t="n"/>
      <c r="CA215" s="6" t="n"/>
      <c r="CB215" s="6" t="n"/>
      <c r="CC215" s="6" t="n"/>
      <c r="CD215" s="6" t="n"/>
      <c r="CE215" s="3" t="n"/>
      <c r="CF215" s="6" t="n"/>
      <c r="CG215" s="6" t="n"/>
      <c r="CH215" s="6" t="n"/>
      <c r="CI215" s="6" t="n"/>
      <c r="CJ215" s="3" t="n"/>
      <c r="CK215" s="6" t="n"/>
      <c r="CL215" s="6" t="n"/>
      <c r="CM215" s="6" t="n"/>
      <c r="CN215" s="6" t="n"/>
      <c r="CO215" s="3" t="n"/>
      <c r="CP215" s="6" t="n"/>
      <c r="CQ215" s="6" t="n"/>
      <c r="CR215" s="6" t="n"/>
      <c r="CS215" s="6" t="n"/>
      <c r="CT215" s="3" t="n"/>
      <c r="CU215" s="6" t="n"/>
      <c r="CV215" s="6" t="n"/>
      <c r="CW215" s="6" t="n"/>
      <c r="CX215" s="6" t="n"/>
      <c r="CY215" s="3" t="n"/>
    </row>
    <row r="216" hidden="1" outlineLevel="1">
      <c r="C216" s="34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  <c r="CU216" s="3" t="n"/>
      <c r="CV216" s="3" t="n"/>
      <c r="CW216" s="3" t="n"/>
      <c r="CX216" s="3" t="n"/>
      <c r="CY216" s="3" t="n"/>
    </row>
    <row r="217" collapsed="1">
      <c r="C217" s="26" t="inlineStr">
        <is>
          <t>Long term debt</t>
        </is>
      </c>
      <c r="D217" s="25">
        <f>INDEX('Inputs (2)'!$D$35:$AL$35,MATCH(D$7,'Inputs (2)'!$D$2:$AL$2,0))</f>
        <v>415.77</v>
      </c>
      <c r="E217" s="25">
        <f>INDEX('Inputs (2)'!$D$35:$AL$35,MATCH(E$7,'Inputs (2)'!$D$2:$AL$2,0))</f>
        <v>51.683</v>
      </c>
      <c r="F217" s="25">
        <f>INDEX('Inputs (2)'!$D$35:$AL$35,MATCH(F$7,'Inputs (2)'!$D$2:$AL$2,0))</f>
        <v>291.996</v>
      </c>
      <c r="G217" s="25">
        <f>INDEX('Inputs (2)'!$D$35:$AL$35,MATCH(G$7,'Inputs (2)'!$D$2:$AL$2,0))</f>
        <v>281.737</v>
      </c>
      <c r="H217" s="3">
        <f>G217</f>
        <v>281.737</v>
      </c>
      <c r="I217" s="25">
        <f>INDEX('Inputs (2)'!$D$35:$AL$35,MATCH(I$7,'Inputs (2)'!$D$2:$AL$2,0))</f>
        <v>272.776</v>
      </c>
      <c r="J217" s="25">
        <f>INDEX('Inputs (2)'!$D$35:$AL$35,MATCH(J$7,'Inputs (2)'!$D$2:$AL$2,0))</f>
        <v>212.701</v>
      </c>
      <c r="K217" s="25">
        <f>INDEX('Inputs (2)'!$D$35:$AL$35,MATCH(K$7,'Inputs (2)'!$D$2:$AL$2,0))</f>
        <v>195.313</v>
      </c>
      <c r="L217" s="25">
        <f>INDEX('Inputs (2)'!$D$35:$AL$35,MATCH(L$7,'Inputs (2)'!$D$2:$AL$2,0))</f>
        <v>539.432</v>
      </c>
      <c r="M217" s="3">
        <f>L217</f>
        <v>539.432</v>
      </c>
      <c r="N217" s="25">
        <f>INDEX('Inputs (2)'!$D$35:$AL$35,MATCH(N$7,'Inputs (2)'!$D$2:$AL$2,0))</f>
        <v>553.411</v>
      </c>
      <c r="O217" s="25">
        <f>INDEX('Inputs (2)'!$D$35:$AL$35,MATCH(O$7,'Inputs (2)'!$D$2:$AL$2,0))</f>
        <v>559.965</v>
      </c>
      <c r="P217" s="25">
        <f>INDEX('Inputs (2)'!$D$35:$AL$35,MATCH(P$7,'Inputs (2)'!$D$2:$AL$2,0))</f>
        <v>574.826</v>
      </c>
      <c r="Q217" s="25">
        <f>INDEX('Inputs (2)'!$D$35:$AL$35,MATCH(Q$7,'Inputs (2)'!$D$2:$AL$2,0))</f>
        <v>977.538</v>
      </c>
      <c r="R217" s="3">
        <f>Q217</f>
        <v>977.538</v>
      </c>
      <c r="S217" s="25">
        <f>INDEX('Inputs (2)'!$D$35:$AL$35,MATCH(S$7,'Inputs (2)'!$D$2:$AL$2,0))</f>
        <v>990.56</v>
      </c>
      <c r="T217" s="25">
        <f>INDEX('Inputs (2)'!$D$35:$AL$35,MATCH(T$7,'Inputs (2)'!$D$2:$AL$2,0))</f>
        <v>955.452</v>
      </c>
      <c r="U217" s="25">
        <f>INDEX('Inputs (2)'!$D$35:$AL$35,MATCH(U$7,'Inputs (2)'!$D$2:$AL$2,0))</f>
        <v>1098.201</v>
      </c>
      <c r="V217" s="25">
        <f>INDEX('Inputs (2)'!$D$35:$AL$35,MATCH(V$7,'Inputs (2)'!$D$2:$AL$2,0))</f>
        <v>1079.806</v>
      </c>
      <c r="W217" s="3">
        <f>V217</f>
        <v>1079.806</v>
      </c>
      <c r="X217" s="25">
        <f>INDEX('Inputs (2)'!$D$35:$AL$35,MATCH(X$7,'Inputs (2)'!$D$2:$AL$2,0))</f>
        <v>1085.754</v>
      </c>
      <c r="Y217" s="25">
        <f>INDEX('Inputs (2)'!$D$35:$AL$35,MATCH(Y$7,'Inputs (2)'!$D$2:$AL$2,0))</f>
        <v>1133.232</v>
      </c>
      <c r="Z217" s="25">
        <f>INDEX('Inputs (2)'!$D$35:$AL$35,MATCH(Z$7,'Inputs (2)'!$D$2:$AL$2,0))</f>
        <v>1585.62</v>
      </c>
      <c r="AA217" s="25">
        <f>INDEX('Inputs (2)'!$D$35:$AL$35,MATCH(AA$7,'Inputs (2)'!$D$2:$AL$2,0))</f>
        <v>1726.341</v>
      </c>
      <c r="AB217" s="3">
        <f>AA217</f>
        <v>1726.341</v>
      </c>
      <c r="AC217" s="25">
        <f>INDEX('Inputs (2)'!$D$35:$AL$35,MATCH(AC$7,'Inputs (2)'!$D$2:$AL$2,0))</f>
        <v>1746.73</v>
      </c>
      <c r="AD217" s="25">
        <f>INDEX('Inputs (2)'!$D$35:$AL$35,MATCH(AD$7,'Inputs (2)'!$D$2:$AL$2,0))</f>
        <v>1666.378</v>
      </c>
      <c r="AE217" s="25">
        <f>INDEX('Inputs (2)'!$D$35:$AL$35,MATCH(AE$7,'Inputs (2)'!$D$2:$AL$2,0))</f>
        <v>1915.243</v>
      </c>
      <c r="AF217" s="25">
        <f>INDEX('Inputs (2)'!$D$35:$AL$35,MATCH(AF$7,'Inputs (2)'!$D$2:$AL$2,0))</f>
        <v>1943.929</v>
      </c>
      <c r="AG217" s="3">
        <f>AF217</f>
        <v>1943.929</v>
      </c>
      <c r="AH217" s="3">
        <f>INDEX('Inputs (2)'!$D$35:$AL$35,MATCH(AH$7,'Inputs (2)'!$D$2:$AL$2,0))</f>
        <v>2054.653</v>
      </c>
      <c r="AI217" s="3">
        <f>INDEX('Inputs (2)'!$D$35:$AL$35,MATCH(AI$7,'Inputs (2)'!$D$2:$AL$2,0))</f>
        <v>3485.914</v>
      </c>
      <c r="AJ217" s="3">
        <f>AJ223</f>
        <v>3485.914</v>
      </c>
      <c r="AK217" s="3">
        <f>AK223</f>
        <v>3485.914</v>
      </c>
      <c r="AL217" s="3">
        <f>AK217</f>
        <v>3485.914</v>
      </c>
      <c r="AM217" s="3">
        <f>AM223</f>
        <v>3485.914</v>
      </c>
      <c r="AN217" s="3">
        <f>AN223</f>
        <v>3485.914</v>
      </c>
      <c r="AO217" s="3">
        <f>AO223</f>
        <v>3485.914</v>
      </c>
      <c r="AP217" s="3">
        <f>AP223</f>
        <v>3485.914</v>
      </c>
      <c r="AQ217" s="3">
        <f>AP217</f>
        <v>3485.914</v>
      </c>
      <c r="AR217" s="3">
        <f>AR223</f>
        <v>3485.914</v>
      </c>
      <c r="AS217" s="3">
        <f>AS223</f>
        <v>3485.914</v>
      </c>
      <c r="AT217" s="3">
        <f>AT223</f>
        <v>3485.914</v>
      </c>
      <c r="AU217" s="3">
        <f>AU223</f>
        <v>3485.914</v>
      </c>
      <c r="AV217" s="3">
        <f>AU217</f>
        <v>3485.914</v>
      </c>
      <c r="AW217" s="3">
        <f>AW223</f>
        <v>3485.914</v>
      </c>
      <c r="AX217" s="3">
        <f>AX223</f>
        <v>3485.914</v>
      </c>
      <c r="AY217" s="3">
        <f>AY223</f>
        <v>3485.914</v>
      </c>
      <c r="AZ217" s="3">
        <f>AZ223</f>
        <v>3485.914</v>
      </c>
      <c r="BA217" s="3">
        <f>AZ217</f>
        <v>3485.914</v>
      </c>
      <c r="BB217" s="3">
        <f>BB223</f>
        <v>3485.914</v>
      </c>
      <c r="BC217" s="3">
        <f>BC223</f>
        <v>3485.914</v>
      </c>
      <c r="BD217" s="3">
        <f>BD223</f>
        <v>3485.914</v>
      </c>
      <c r="BE217" s="3">
        <f>BE223</f>
        <v>3485.914</v>
      </c>
      <c r="BF217" s="3">
        <f>BE217</f>
        <v>3485.914</v>
      </c>
      <c r="BG217" s="3">
        <f>BG223</f>
        <v>3485.914</v>
      </c>
      <c r="BH217" s="3">
        <f>BH223</f>
        <v>3485.914</v>
      </c>
      <c r="BI217" s="3">
        <f>BI223</f>
        <v>3485.914</v>
      </c>
      <c r="BJ217" s="3">
        <f>BJ223</f>
        <v>3485.914</v>
      </c>
      <c r="BK217" s="3">
        <f>BJ217</f>
        <v>3485.914</v>
      </c>
      <c r="BL217" s="3">
        <f>BL223</f>
        <v>3485.914</v>
      </c>
      <c r="BM217" s="3">
        <f>BM223</f>
        <v>3485.914</v>
      </c>
      <c r="BN217" s="3">
        <f>BN223</f>
        <v>3485.914</v>
      </c>
      <c r="BO217" s="3">
        <f>BO223</f>
        <v>3485.914</v>
      </c>
      <c r="BP217" s="3">
        <f>BO217</f>
        <v>3485.914</v>
      </c>
      <c r="BQ217" s="3">
        <f>BQ223</f>
        <v>3485.914</v>
      </c>
      <c r="BR217" s="3">
        <f>BR223</f>
        <v>3485.914</v>
      </c>
      <c r="BS217" s="3">
        <f>BS223</f>
        <v>3485.914</v>
      </c>
      <c r="BT217" s="3">
        <f>BT223</f>
        <v>3485.914</v>
      </c>
      <c r="BU217" s="3">
        <f>BT217</f>
        <v>3485.914</v>
      </c>
      <c r="BV217" s="3">
        <f>BV223</f>
        <v>3485.914</v>
      </c>
      <c r="BW217" s="3">
        <f>BW223</f>
        <v>3485.914</v>
      </c>
      <c r="BX217" s="3">
        <f>BX223</f>
        <v>3485.914</v>
      </c>
      <c r="BY217" s="3">
        <f>BY223</f>
        <v>3485.914</v>
      </c>
      <c r="BZ217" s="3">
        <f>BY217</f>
        <v>3485.914</v>
      </c>
      <c r="CA217" s="3">
        <f>CA223</f>
        <v>3485.914</v>
      </c>
      <c r="CB217" s="3">
        <f>CB223</f>
        <v>3485.914</v>
      </c>
      <c r="CC217" s="3">
        <f>CC223</f>
        <v>3485.914</v>
      </c>
      <c r="CD217" s="3">
        <f>CD223</f>
        <v>3485.914</v>
      </c>
      <c r="CE217" s="3">
        <f>CD217</f>
        <v>3485.914</v>
      </c>
      <c r="CF217" s="3">
        <f>CF223</f>
        <v>3485.914</v>
      </c>
      <c r="CG217" s="3">
        <f>CG223</f>
        <v>3485.914</v>
      </c>
      <c r="CH217" s="3">
        <f>CH223</f>
        <v>3485.914</v>
      </c>
      <c r="CI217" s="3">
        <f>CI223</f>
        <v>3485.914</v>
      </c>
      <c r="CJ217" s="3">
        <f>CI217</f>
        <v>3485.914</v>
      </c>
      <c r="CK217" s="3">
        <f>CK223</f>
        <v>3485.914</v>
      </c>
      <c r="CL217" s="3">
        <f>CL223</f>
        <v>3485.914</v>
      </c>
      <c r="CM217" s="3">
        <f>CM223</f>
        <v>3485.914</v>
      </c>
      <c r="CN217" s="3">
        <f>CN223</f>
        <v>3485.914</v>
      </c>
      <c r="CO217" s="3">
        <f>CN217</f>
        <v>3485.914</v>
      </c>
      <c r="CP217" s="3">
        <f>CP223</f>
        <v>3485.914</v>
      </c>
      <c r="CQ217" s="3">
        <f>CQ223</f>
        <v>3485.914</v>
      </c>
      <c r="CR217" s="3">
        <f>CR223</f>
        <v>3485.914</v>
      </c>
      <c r="CS217" s="3">
        <f>CS223</f>
        <v>3485.914</v>
      </c>
      <c r="CT217" s="3">
        <f>CS217</f>
        <v>3485.914</v>
      </c>
      <c r="CU217" s="3">
        <f>CU223</f>
        <v>3485.914</v>
      </c>
      <c r="CV217" s="3">
        <f>CV223</f>
        <v>3485.914</v>
      </c>
      <c r="CW217" s="3">
        <f>CW223</f>
        <v>3485.914</v>
      </c>
      <c r="CX217" s="3">
        <f>CX223</f>
        <v>3485.914</v>
      </c>
      <c r="CY217" s="3">
        <f>CX217</f>
        <v>3485.914</v>
      </c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hidden="1" outlineLevel="1">
      <c r="C219" s="34" t="inlineStr">
        <is>
          <t>Current portion of LTD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>
        <f>AF212</f>
        <v>178.483</v>
      </c>
      <c r="AI219" s="35" t="n"/>
      <c r="AJ219" s="35" t="n"/>
      <c r="AK219" s="35" t="n"/>
      <c r="AL219" s="3" t="n"/>
      <c r="AM219" s="3">
        <f>AK212</f>
        <v>299.576</v>
      </c>
      <c r="AN219" s="35" t="n"/>
      <c r="AO219" s="35" t="n"/>
      <c r="AP219" s="35" t="n"/>
      <c r="AQ219" s="3" t="n"/>
      <c r="AR219" s="3">
        <f>AP212</f>
        <v>299.576</v>
      </c>
      <c r="AS219" s="35" t="n"/>
      <c r="AT219" s="35" t="n"/>
      <c r="AU219" s="35" t="n"/>
      <c r="AV219" s="3" t="n"/>
      <c r="AW219" s="3">
        <f>AU212</f>
        <v>299.576</v>
      </c>
      <c r="AX219" s="35" t="n"/>
      <c r="AY219" s="35" t="n"/>
      <c r="AZ219" s="35" t="n"/>
      <c r="BA219" s="3" t="n"/>
      <c r="BB219" s="3">
        <f>AZ212</f>
        <v>299.576</v>
      </c>
      <c r="BC219" s="35" t="n"/>
      <c r="BD219" s="35" t="n"/>
      <c r="BE219" s="35" t="n"/>
      <c r="BF219" s="3" t="n"/>
      <c r="BG219" s="3">
        <f>BE212</f>
        <v>299.576</v>
      </c>
      <c r="BH219" s="35" t="n"/>
      <c r="BI219" s="35" t="n"/>
      <c r="BJ219" s="35" t="n"/>
      <c r="BK219" s="3" t="n"/>
      <c r="BL219" s="3">
        <f>BJ212</f>
        <v>299.576</v>
      </c>
      <c r="BM219" s="35" t="n"/>
      <c r="BN219" s="35" t="n"/>
      <c r="BO219" s="35" t="n"/>
      <c r="BP219" s="3" t="n"/>
      <c r="BQ219" s="3">
        <f>BO212</f>
        <v>299.576</v>
      </c>
      <c r="BR219" s="35" t="n"/>
      <c r="BS219" s="35" t="n"/>
      <c r="BT219" s="35" t="n"/>
      <c r="BU219" s="3" t="n"/>
      <c r="BV219" s="3">
        <f>BT212</f>
        <v>299.576</v>
      </c>
      <c r="BW219" s="35" t="n"/>
      <c r="BX219" s="35" t="n"/>
      <c r="BY219" s="35" t="n"/>
      <c r="BZ219" s="3" t="n"/>
      <c r="CA219" s="3">
        <f>BY212</f>
        <v>299.576</v>
      </c>
      <c r="CB219" s="35" t="n"/>
      <c r="CC219" s="35" t="n"/>
      <c r="CD219" s="35" t="n"/>
      <c r="CE219" s="3" t="n"/>
      <c r="CF219" s="3">
        <f>CD212</f>
        <v>299.576</v>
      </c>
      <c r="CG219" s="35" t="n"/>
      <c r="CH219" s="35" t="n"/>
      <c r="CI219" s="35" t="n"/>
      <c r="CJ219" s="3" t="n"/>
      <c r="CK219" s="3">
        <f>CI212</f>
        <v>299.576</v>
      </c>
      <c r="CL219" s="35" t="n"/>
      <c r="CM219" s="35" t="n"/>
      <c r="CN219" s="35" t="n"/>
      <c r="CO219" s="3" t="n"/>
      <c r="CP219" s="3">
        <f>CN212</f>
        <v>299.576</v>
      </c>
      <c r="CQ219" s="35" t="n"/>
      <c r="CR219" s="35" t="n"/>
      <c r="CS219" s="35" t="n"/>
      <c r="CT219" s="3" t="n"/>
      <c r="CU219" s="3">
        <f>CS212</f>
        <v>299.576</v>
      </c>
      <c r="CV219" s="35" t="n"/>
      <c r="CW219" s="35" t="n"/>
      <c r="CX219" s="35" t="n"/>
      <c r="CY219" s="3" t="n"/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hidden="1" outlineLevel="1">
      <c r="C221" s="34" t="inlineStr">
        <is>
          <t>Reclassification of LTD to CP of LTD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>
        <f>-AI219</f>
        <v>0</v>
      </c>
      <c r="AJ221" s="3">
        <f>-AJ219</f>
        <v>0</v>
      </c>
      <c r="AK221" s="3">
        <f>-AK219</f>
        <v>0</v>
      </c>
      <c r="AL221" s="3" t="n"/>
      <c r="AM221" s="3" t="n"/>
      <c r="AN221" s="3">
        <f>-AN219</f>
        <v>0</v>
      </c>
      <c r="AO221" s="3">
        <f>-AO219</f>
        <v>0</v>
      </c>
      <c r="AP221" s="3">
        <f>-AP219</f>
        <v>0</v>
      </c>
      <c r="AQ221" s="3" t="n"/>
      <c r="AR221" s="3" t="n"/>
      <c r="AS221" s="3">
        <f>-AS219</f>
        <v>0</v>
      </c>
      <c r="AT221" s="3">
        <f>-AT219</f>
        <v>0</v>
      </c>
      <c r="AU221" s="3">
        <f>-AU219</f>
        <v>0</v>
      </c>
      <c r="AV221" s="3" t="n"/>
      <c r="AW221" s="3" t="n"/>
      <c r="AX221" s="3">
        <f>-AX219</f>
        <v>0</v>
      </c>
      <c r="AY221" s="3">
        <f>-AY219</f>
        <v>0</v>
      </c>
      <c r="AZ221" s="3">
        <f>-AZ219</f>
        <v>0</v>
      </c>
      <c r="BA221" s="3" t="n"/>
      <c r="BB221" s="3" t="n"/>
      <c r="BC221" s="3">
        <f>-BC219</f>
        <v>0</v>
      </c>
      <c r="BD221" s="3">
        <f>-BD219</f>
        <v>0</v>
      </c>
      <c r="BE221" s="3">
        <f>-BE219</f>
        <v>0</v>
      </c>
      <c r="BF221" s="3" t="n"/>
      <c r="BG221" s="3" t="n"/>
      <c r="BH221" s="3">
        <f>-BH219</f>
        <v>0</v>
      </c>
      <c r="BI221" s="3">
        <f>-BI219</f>
        <v>0</v>
      </c>
      <c r="BJ221" s="3">
        <f>-BJ219</f>
        <v>0</v>
      </c>
      <c r="BK221" s="3" t="n"/>
      <c r="BL221" s="3" t="n"/>
      <c r="BM221" s="3">
        <f>-BM219</f>
        <v>0</v>
      </c>
      <c r="BN221" s="3">
        <f>-BN219</f>
        <v>0</v>
      </c>
      <c r="BO221" s="3">
        <f>-BO219</f>
        <v>0</v>
      </c>
      <c r="BP221" s="3" t="n"/>
      <c r="BQ221" s="3" t="n"/>
      <c r="BR221" s="3">
        <f>-BR219</f>
        <v>0</v>
      </c>
      <c r="BS221" s="3">
        <f>-BS219</f>
        <v>0</v>
      </c>
      <c r="BT221" s="3">
        <f>-BT219</f>
        <v>0</v>
      </c>
      <c r="BU221" s="3" t="n"/>
      <c r="BV221" s="3" t="n"/>
      <c r="BW221" s="3">
        <f>-BW219</f>
        <v>0</v>
      </c>
      <c r="BX221" s="3">
        <f>-BX219</f>
        <v>0</v>
      </c>
      <c r="BY221" s="3">
        <f>-BY219</f>
        <v>0</v>
      </c>
      <c r="BZ221" s="3" t="n"/>
      <c r="CA221" s="3" t="n"/>
      <c r="CB221" s="3">
        <f>-CB219</f>
        <v>0</v>
      </c>
      <c r="CC221" s="3">
        <f>-CC219</f>
        <v>0</v>
      </c>
      <c r="CD221" s="3">
        <f>-CD219</f>
        <v>0</v>
      </c>
      <c r="CE221" s="3" t="n"/>
      <c r="CF221" s="3" t="n"/>
      <c r="CG221" s="3">
        <f>-CG219</f>
        <v>0</v>
      </c>
      <c r="CH221" s="3">
        <f>-CH219</f>
        <v>0</v>
      </c>
      <c r="CI221" s="3">
        <f>-CI219</f>
        <v>0</v>
      </c>
      <c r="CJ221" s="3" t="n"/>
      <c r="CK221" s="3" t="n"/>
      <c r="CL221" s="3">
        <f>-CL219</f>
        <v>0</v>
      </c>
      <c r="CM221" s="3">
        <f>-CM219</f>
        <v>0</v>
      </c>
      <c r="CN221" s="3">
        <f>-CN219</f>
        <v>0</v>
      </c>
      <c r="CO221" s="3" t="n"/>
      <c r="CP221" s="3" t="n"/>
      <c r="CQ221" s="3">
        <f>-CQ219</f>
        <v>0</v>
      </c>
      <c r="CR221" s="3">
        <f>-CR219</f>
        <v>0</v>
      </c>
      <c r="CS221" s="3">
        <f>-CS219</f>
        <v>0</v>
      </c>
      <c r="CT221" s="3" t="n"/>
      <c r="CU221" s="3" t="n"/>
      <c r="CV221" s="3">
        <f>-CV219</f>
        <v>0</v>
      </c>
      <c r="CW221" s="3">
        <f>-CW219</f>
        <v>0</v>
      </c>
      <c r="CX221" s="3">
        <f>-CX219</f>
        <v>0</v>
      </c>
      <c r="CY221" s="3" t="n"/>
    </row>
    <row r="222" hidden="1" outlineLevel="1">
      <c r="C222" s="34" t="inlineStr">
        <is>
          <t>Discretionary (paydown)/borrowing of long term debt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5" t="n"/>
      <c r="AI222" s="35" t="n"/>
      <c r="AJ222" s="35" t="n"/>
      <c r="AK222" s="35" t="n"/>
      <c r="AL222" s="3" t="n"/>
      <c r="AM222" s="35" t="n"/>
      <c r="AN222" s="35" t="n"/>
      <c r="AO222" s="35" t="n"/>
      <c r="AP222" s="35" t="n"/>
      <c r="AQ222" s="3" t="n"/>
      <c r="AR222" s="35" t="n"/>
      <c r="AS222" s="35" t="n"/>
      <c r="AT222" s="35" t="n"/>
      <c r="AU222" s="35" t="n"/>
      <c r="AV222" s="3" t="n"/>
      <c r="AW222" s="35" t="n"/>
      <c r="AX222" s="35" t="n"/>
      <c r="AY222" s="35" t="n"/>
      <c r="AZ222" s="35" t="n"/>
      <c r="BA222" s="3" t="n"/>
      <c r="BB222" s="35" t="n"/>
      <c r="BC222" s="35" t="n"/>
      <c r="BD222" s="35" t="n"/>
      <c r="BE222" s="35" t="n"/>
      <c r="BF222" s="3" t="n"/>
      <c r="BG222" s="35" t="n"/>
      <c r="BH222" s="35" t="n"/>
      <c r="BI222" s="35" t="n"/>
      <c r="BJ222" s="35" t="n"/>
      <c r="BK222" s="3" t="n"/>
      <c r="BL222" s="35" t="n"/>
      <c r="BM222" s="35" t="n"/>
      <c r="BN222" s="35" t="n"/>
      <c r="BO222" s="35" t="n"/>
      <c r="BP222" s="3" t="n"/>
      <c r="BQ222" s="35" t="n"/>
      <c r="BR222" s="35" t="n"/>
      <c r="BS222" s="35" t="n"/>
      <c r="BT222" s="35" t="n"/>
      <c r="BU222" s="3" t="n"/>
      <c r="BV222" s="35" t="n"/>
      <c r="BW222" s="35" t="n"/>
      <c r="BX222" s="35" t="n"/>
      <c r="BY222" s="35" t="n"/>
      <c r="BZ222" s="3" t="n"/>
      <c r="CA222" s="35" t="n"/>
      <c r="CB222" s="35" t="n"/>
      <c r="CC222" s="35" t="n"/>
      <c r="CD222" s="35" t="n"/>
      <c r="CE222" s="3" t="n"/>
      <c r="CF222" s="35" t="n"/>
      <c r="CG222" s="35" t="n"/>
      <c r="CH222" s="35" t="n"/>
      <c r="CI222" s="35" t="n"/>
      <c r="CJ222" s="3" t="n"/>
      <c r="CK222" s="35" t="n"/>
      <c r="CL222" s="35" t="n"/>
      <c r="CM222" s="35" t="n"/>
      <c r="CN222" s="35" t="n"/>
      <c r="CO222" s="3" t="n"/>
      <c r="CP222" s="35" t="n"/>
      <c r="CQ222" s="35" t="n"/>
      <c r="CR222" s="35" t="n"/>
      <c r="CS222" s="35" t="n"/>
      <c r="CT222" s="3" t="n"/>
      <c r="CU222" s="35" t="n"/>
      <c r="CV222" s="35" t="n"/>
      <c r="CW222" s="35" t="n"/>
      <c r="CX222" s="35" t="n"/>
      <c r="CY222" s="3" t="n"/>
    </row>
    <row r="223" hidden="1" outlineLevel="1">
      <c r="C223" s="34" t="inlineStr">
        <is>
          <t>Long term debt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>
        <f>AF217+SUM(AH221:AH222)</f>
        <v>1943.929</v>
      </c>
      <c r="AI223" s="3">
        <f>AH223+SUM(AI221:AI222)</f>
        <v>1943.929</v>
      </c>
      <c r="AJ223" s="3">
        <f>AI217+SUM(AJ221:AJ222)</f>
        <v>3485.914</v>
      </c>
      <c r="AK223" s="3">
        <f>AJ223+SUM(AK221:AK222)</f>
        <v>3485.914</v>
      </c>
      <c r="AL223" s="3" t="n"/>
      <c r="AM223" s="3">
        <f>AK223+SUM(AM221:AM222)</f>
        <v>3485.914</v>
      </c>
      <c r="AN223" s="3">
        <f>AM223+SUM(AN221:AN222)</f>
        <v>3485.914</v>
      </c>
      <c r="AO223" s="3">
        <f>AN223+SUM(AO221:AO222)</f>
        <v>3485.914</v>
      </c>
      <c r="AP223" s="3">
        <f>AO223+SUM(AP221:AP222)</f>
        <v>3485.914</v>
      </c>
      <c r="AQ223" s="3" t="n"/>
      <c r="AR223" s="3">
        <f>AP223+SUM(AR221:AR222)</f>
        <v>3485.914</v>
      </c>
      <c r="AS223" s="3">
        <f>AR223+SUM(AS221:AS222)</f>
        <v>3485.914</v>
      </c>
      <c r="AT223" s="3">
        <f>AS223+SUM(AT221:AT222)</f>
        <v>3485.914</v>
      </c>
      <c r="AU223" s="3">
        <f>AT223+SUM(AU221:AU222)</f>
        <v>3485.914</v>
      </c>
      <c r="AV223" s="3" t="n"/>
      <c r="AW223" s="3">
        <f>AU223+SUM(AW221:AW222)</f>
        <v>3485.914</v>
      </c>
      <c r="AX223" s="3">
        <f>AW223+SUM(AX221:AX222)</f>
        <v>3485.914</v>
      </c>
      <c r="AY223" s="3">
        <f>AX223+SUM(AY221:AY222)</f>
        <v>3485.914</v>
      </c>
      <c r="AZ223" s="3">
        <f>AY223+SUM(AZ221:AZ222)</f>
        <v>3485.914</v>
      </c>
      <c r="BA223" s="3" t="n"/>
      <c r="BB223" s="3">
        <f>AZ223+SUM(BB221:BB222)</f>
        <v>3485.914</v>
      </c>
      <c r="BC223" s="3">
        <f>BB223+SUM(BC221:BC222)</f>
        <v>3485.914</v>
      </c>
      <c r="BD223" s="3">
        <f>BC223+SUM(BD221:BD222)</f>
        <v>3485.914</v>
      </c>
      <c r="BE223" s="3">
        <f>BD223+SUM(BE221:BE222)</f>
        <v>3485.914</v>
      </c>
      <c r="BF223" s="3" t="n"/>
      <c r="BG223" s="3">
        <f>BE223+SUM(BG221:BG222)</f>
        <v>3485.914</v>
      </c>
      <c r="BH223" s="3">
        <f>BG223+SUM(BH221:BH222)</f>
        <v>3485.914</v>
      </c>
      <c r="BI223" s="3">
        <f>BH223+SUM(BI221:BI222)</f>
        <v>3485.914</v>
      </c>
      <c r="BJ223" s="3">
        <f>BI223+SUM(BJ221:BJ222)</f>
        <v>3485.914</v>
      </c>
      <c r="BK223" s="3" t="n"/>
      <c r="BL223" s="3">
        <f>BJ223+SUM(BL221:BL222)</f>
        <v>3485.914</v>
      </c>
      <c r="BM223" s="3">
        <f>BL223+SUM(BM221:BM222)</f>
        <v>3485.914</v>
      </c>
      <c r="BN223" s="3">
        <f>BM223+SUM(BN221:BN222)</f>
        <v>3485.914</v>
      </c>
      <c r="BO223" s="3">
        <f>BN223+SUM(BO221:BO222)</f>
        <v>3485.914</v>
      </c>
      <c r="BP223" s="3" t="n"/>
      <c r="BQ223" s="3">
        <f>BO223+SUM(BQ221:BQ222)</f>
        <v>3485.914</v>
      </c>
      <c r="BR223" s="3">
        <f>BQ223+SUM(BR221:BR222)</f>
        <v>3485.914</v>
      </c>
      <c r="BS223" s="3">
        <f>BR223+SUM(BS221:BS222)</f>
        <v>3485.914</v>
      </c>
      <c r="BT223" s="3">
        <f>BS223+SUM(BT221:BT222)</f>
        <v>3485.914</v>
      </c>
      <c r="BU223" s="3" t="n"/>
      <c r="BV223" s="3">
        <f>BT223+SUM(BV221:BV222)</f>
        <v>3485.914</v>
      </c>
      <c r="BW223" s="3">
        <f>BV223+SUM(BW221:BW222)</f>
        <v>3485.914</v>
      </c>
      <c r="BX223" s="3">
        <f>BW223+SUM(BX221:BX222)</f>
        <v>3485.914</v>
      </c>
      <c r="BY223" s="3">
        <f>BX223+SUM(BY221:BY222)</f>
        <v>3485.914</v>
      </c>
      <c r="BZ223" s="3" t="n"/>
      <c r="CA223" s="3">
        <f>BY223+SUM(CA221:CA222)</f>
        <v>3485.914</v>
      </c>
      <c r="CB223" s="3">
        <f>CA223+SUM(CB221:CB222)</f>
        <v>3485.914</v>
      </c>
      <c r="CC223" s="3">
        <f>CB223+SUM(CC221:CC222)</f>
        <v>3485.914</v>
      </c>
      <c r="CD223" s="3">
        <f>CC223+SUM(CD221:CD222)</f>
        <v>3485.914</v>
      </c>
      <c r="CE223" s="3" t="n"/>
      <c r="CF223" s="3">
        <f>CD223+SUM(CF221:CF222)</f>
        <v>3485.914</v>
      </c>
      <c r="CG223" s="3">
        <f>CF223+SUM(CG221:CG222)</f>
        <v>3485.914</v>
      </c>
      <c r="CH223" s="3">
        <f>CG223+SUM(CH221:CH222)</f>
        <v>3485.914</v>
      </c>
      <c r="CI223" s="3">
        <f>CH223+SUM(CI221:CI222)</f>
        <v>3485.914</v>
      </c>
      <c r="CJ223" s="3" t="n"/>
      <c r="CK223" s="3">
        <f>CI223+SUM(CK221:CK222)</f>
        <v>3485.914</v>
      </c>
      <c r="CL223" s="3">
        <f>CK223+SUM(CL221:CL222)</f>
        <v>3485.914</v>
      </c>
      <c r="CM223" s="3">
        <f>CL223+SUM(CM221:CM222)</f>
        <v>3485.914</v>
      </c>
      <c r="CN223" s="3">
        <f>CM223+SUM(CN221:CN222)</f>
        <v>3485.914</v>
      </c>
      <c r="CO223" s="3" t="n"/>
      <c r="CP223" s="3">
        <f>CN223+SUM(CP221:CP222)</f>
        <v>3485.914</v>
      </c>
      <c r="CQ223" s="3">
        <f>CP223+SUM(CQ221:CQ222)</f>
        <v>3485.914</v>
      </c>
      <c r="CR223" s="3">
        <f>CQ223+SUM(CR221:CR222)</f>
        <v>3485.914</v>
      </c>
      <c r="CS223" s="3">
        <f>CR223+SUM(CS221:CS222)</f>
        <v>3485.914</v>
      </c>
      <c r="CT223" s="3" t="n"/>
      <c r="CU223" s="3">
        <f>CS223+SUM(CU221:CU222)</f>
        <v>3485.914</v>
      </c>
      <c r="CV223" s="3">
        <f>CU223+SUM(CV221:CV222)</f>
        <v>3485.914</v>
      </c>
      <c r="CW223" s="3">
        <f>CV223+SUM(CW221:CW222)</f>
        <v>3485.914</v>
      </c>
      <c r="CX223" s="3">
        <f>CW223+SUM(CX221:CX222)</f>
        <v>3485.914</v>
      </c>
      <c r="CY223" s="3" t="n"/>
      <c r="CZ223">
        <f>CX223+SUM(CZ221:CZ222)</f>
        <v>3485.914</v>
      </c>
      <c r="DA223">
        <f>CZ223+SUM(DA221:DA222)</f>
        <v>3485.914</v>
      </c>
      <c r="DB223">
        <f>DA223+SUM(DB221:DB222)</f>
        <v>3485.914</v>
      </c>
      <c r="DC223">
        <f>DB223+SUM(DC221:DC222)</f>
        <v>3485.914</v>
      </c>
    </row>
    <row r="224" hidden="1" outlineLevel="1">
      <c r="C224" s="34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</row>
    <row r="225" hidden="1" outlineLevel="1">
      <c r="C225" s="34" t="inlineStr">
        <is>
          <t>Discretionary (paydown)/borrowing of convertible debt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5" t="n"/>
      <c r="AI225" s="35" t="n"/>
      <c r="AJ225" s="35" t="n"/>
      <c r="AK225" s="35" t="n"/>
      <c r="AL225" s="3" t="n"/>
      <c r="AM225" s="35" t="n"/>
      <c r="AN225" s="35" t="n"/>
      <c r="AO225" s="35" t="n"/>
      <c r="AP225" s="35" t="n"/>
      <c r="AQ225" s="3" t="n"/>
      <c r="AR225" s="35" t="n"/>
      <c r="AS225" s="35" t="n"/>
      <c r="AT225" s="35" t="n"/>
      <c r="AU225" s="35" t="n"/>
      <c r="AV225" s="3" t="n"/>
      <c r="AW225" s="35" t="n"/>
      <c r="AX225" s="35" t="n"/>
      <c r="AY225" s="35" t="n"/>
      <c r="AZ225" s="35" t="n"/>
      <c r="BA225" s="3" t="n"/>
      <c r="BB225" s="35" t="n"/>
      <c r="BC225" s="35" t="n"/>
      <c r="BD225" s="35" t="n"/>
      <c r="BE225" s="35" t="n"/>
      <c r="BF225" s="3" t="n"/>
      <c r="BG225" s="35" t="n"/>
      <c r="BH225" s="35" t="n"/>
      <c r="BI225" s="35" t="n"/>
      <c r="BJ225" s="35" t="n"/>
      <c r="BK225" s="3" t="n"/>
      <c r="BL225" s="35" t="n"/>
      <c r="BM225" s="35" t="n"/>
      <c r="BN225" s="35" t="n"/>
      <c r="BO225" s="35" t="n"/>
      <c r="BP225" s="3" t="n"/>
      <c r="BQ225" s="35" t="n"/>
      <c r="BR225" s="35" t="n"/>
      <c r="BS225" s="35" t="n"/>
      <c r="BT225" s="35" t="n"/>
      <c r="BU225" s="3" t="n"/>
      <c r="BV225" s="35" t="n"/>
      <c r="BW225" s="35" t="n"/>
      <c r="BX225" s="35" t="n"/>
      <c r="BY225" s="35" t="n"/>
      <c r="BZ225" s="3" t="n"/>
      <c r="CA225" s="35" t="n"/>
      <c r="CB225" s="35" t="n"/>
      <c r="CC225" s="35" t="n"/>
      <c r="CD225" s="35" t="n"/>
      <c r="CE225" s="3" t="n"/>
      <c r="CF225" s="35" t="n"/>
      <c r="CG225" s="35" t="n"/>
      <c r="CH225" s="35" t="n"/>
      <c r="CI225" s="35" t="n"/>
      <c r="CJ225" s="3" t="n"/>
      <c r="CK225" s="35" t="n"/>
      <c r="CL225" s="35" t="n"/>
      <c r="CM225" s="35" t="n"/>
      <c r="CN225" s="35" t="n"/>
      <c r="CO225" s="3" t="n"/>
      <c r="CP225" s="35" t="n"/>
      <c r="CQ225" s="35" t="n"/>
      <c r="CR225" s="35" t="n"/>
      <c r="CS225" s="35" t="n"/>
      <c r="CT225" s="3" t="n"/>
      <c r="CU225" s="35" t="n"/>
      <c r="CV225" s="35" t="n"/>
      <c r="CW225" s="35" t="n"/>
      <c r="CX225" s="35" t="n"/>
      <c r="CY225" s="3" t="n"/>
    </row>
    <row r="226" hidden="1" outlineLevel="1">
      <c r="C226" s="34" t="inlineStr">
        <is>
          <t>Convertible debt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>
        <f>AH238</f>
        <v>0</v>
      </c>
      <c r="AI226" s="3">
        <f>AH226+SUM(AI225)</f>
        <v>0</v>
      </c>
      <c r="AJ226" s="3">
        <f>AI226+SUM(AJ225)</f>
        <v>0</v>
      </c>
      <c r="AK226" s="3">
        <f>AJ226+SUM(AK225)</f>
        <v>0</v>
      </c>
      <c r="AL226" s="3" t="n"/>
      <c r="AM226" s="3">
        <f>AM238</f>
        <v>0</v>
      </c>
      <c r="AN226" s="3">
        <f>AM226+SUM(AN225)</f>
        <v>0</v>
      </c>
      <c r="AO226" s="3">
        <f>AN226+SUM(AO225)</f>
        <v>0</v>
      </c>
      <c r="AP226" s="3">
        <f>AO226+SUM(AP225)</f>
        <v>0</v>
      </c>
      <c r="AQ226" s="3" t="n"/>
      <c r="AR226" s="3">
        <f>AR238</f>
        <v>0</v>
      </c>
      <c r="AS226" s="3">
        <f>AR226+SUM(AS225)</f>
        <v>0</v>
      </c>
      <c r="AT226" s="3">
        <f>AS226+SUM(AT225)</f>
        <v>0</v>
      </c>
      <c r="AU226" s="3">
        <f>AT226+SUM(AU225)</f>
        <v>0</v>
      </c>
      <c r="AV226" s="3" t="n"/>
      <c r="AW226" s="3">
        <f>AW238</f>
        <v>0</v>
      </c>
      <c r="AX226" s="3">
        <f>AW226+SUM(AX225)</f>
        <v>0</v>
      </c>
      <c r="AY226" s="3">
        <f>AX226+SUM(AY225)</f>
        <v>0</v>
      </c>
      <c r="AZ226" s="3">
        <f>AY226+SUM(AZ225)</f>
        <v>0</v>
      </c>
      <c r="BA226" s="3" t="n"/>
      <c r="BB226" s="3">
        <f>BB238</f>
        <v>0</v>
      </c>
      <c r="BC226" s="3">
        <f>BB226+SUM(BC225)</f>
        <v>0</v>
      </c>
      <c r="BD226" s="3">
        <f>BC226+SUM(BD225)</f>
        <v>0</v>
      </c>
      <c r="BE226" s="3">
        <f>BD226+SUM(BE225)</f>
        <v>0</v>
      </c>
      <c r="BF226" s="3" t="n"/>
      <c r="BG226" s="3">
        <f>BG238</f>
        <v>0</v>
      </c>
      <c r="BH226" s="3">
        <f>BG226+SUM(BH225)</f>
        <v>0</v>
      </c>
      <c r="BI226" s="3">
        <f>BH226+SUM(BI225)</f>
        <v>0</v>
      </c>
      <c r="BJ226" s="3">
        <f>BI226+SUM(BJ225)</f>
        <v>0</v>
      </c>
      <c r="BK226" s="3" t="n"/>
      <c r="BL226" s="3">
        <f>BL238</f>
        <v>0</v>
      </c>
      <c r="BM226" s="3">
        <f>BL226+SUM(BM225)</f>
        <v>0</v>
      </c>
      <c r="BN226" s="3">
        <f>BM226+SUM(BN225)</f>
        <v>0</v>
      </c>
      <c r="BO226" s="3">
        <f>BN226+SUM(BO225)</f>
        <v>0</v>
      </c>
      <c r="BP226" s="3" t="n"/>
      <c r="BQ226" s="3">
        <f>BQ238</f>
        <v>0</v>
      </c>
      <c r="BR226" s="3">
        <f>BQ226+SUM(BR225)</f>
        <v>0</v>
      </c>
      <c r="BS226" s="3">
        <f>BR226+SUM(BS225)</f>
        <v>0</v>
      </c>
      <c r="BT226" s="3">
        <f>BS226+SUM(BT225)</f>
        <v>0</v>
      </c>
      <c r="BU226" s="3" t="n"/>
      <c r="BV226" s="3">
        <f>BV238</f>
        <v>0</v>
      </c>
      <c r="BW226" s="3">
        <f>BV226+SUM(BW225)</f>
        <v>0</v>
      </c>
      <c r="BX226" s="3">
        <f>BW226+SUM(BX225)</f>
        <v>0</v>
      </c>
      <c r="BY226" s="3">
        <f>BX226+SUM(BY225)</f>
        <v>0</v>
      </c>
      <c r="BZ226" s="3" t="n"/>
      <c r="CA226" s="3">
        <f>CA238</f>
        <v>0</v>
      </c>
      <c r="CB226" s="3">
        <f>CA226+SUM(CB225)</f>
        <v>0</v>
      </c>
      <c r="CC226" s="3">
        <f>CB226+SUM(CC225)</f>
        <v>0</v>
      </c>
      <c r="CD226" s="3">
        <f>CC226+SUM(CD225)</f>
        <v>0</v>
      </c>
      <c r="CE226" s="3" t="n"/>
      <c r="CF226" s="3">
        <f>CF238</f>
        <v>0</v>
      </c>
      <c r="CG226" s="3">
        <f>CF226+SUM(CG225)</f>
        <v>0</v>
      </c>
      <c r="CH226" s="3">
        <f>CG226+SUM(CH225)</f>
        <v>0</v>
      </c>
      <c r="CI226" s="3">
        <f>CH226+SUM(CI225)</f>
        <v>0</v>
      </c>
      <c r="CJ226" s="3" t="n"/>
      <c r="CK226" s="3">
        <f>CK238</f>
        <v>0</v>
      </c>
      <c r="CL226" s="3">
        <f>CK226+SUM(CL225)</f>
        <v>0</v>
      </c>
      <c r="CM226" s="3">
        <f>CL226+SUM(CM225)</f>
        <v>0</v>
      </c>
      <c r="CN226" s="3">
        <f>CM226+SUM(CN225)</f>
        <v>0</v>
      </c>
      <c r="CO226" s="3" t="n"/>
      <c r="CP226" s="3">
        <f>CP238</f>
        <v>0</v>
      </c>
      <c r="CQ226" s="3">
        <f>CP226+SUM(CQ225)</f>
        <v>0</v>
      </c>
      <c r="CR226" s="3">
        <f>CQ226+SUM(CR225)</f>
        <v>0</v>
      </c>
      <c r="CS226" s="3">
        <f>CR226+SUM(CS225)</f>
        <v>0</v>
      </c>
      <c r="CT226" s="3" t="n"/>
      <c r="CU226" s="3">
        <f>CU238</f>
        <v>0</v>
      </c>
      <c r="CV226" s="3">
        <f>CU226+SUM(CV225)</f>
        <v>0</v>
      </c>
      <c r="CW226" s="3">
        <f>CV226+SUM(CW225)</f>
        <v>0</v>
      </c>
      <c r="CX226" s="3">
        <f>CW226+SUM(CX225)</f>
        <v>0</v>
      </c>
      <c r="CY226" s="3" t="n"/>
    </row>
    <row r="227" hidden="1" outlineLevel="1">
      <c r="C227" s="34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I227" s="3" t="n"/>
      <c r="AJ227" s="3" t="n"/>
      <c r="AK227" s="3" t="n"/>
      <c r="AL227" s="3" t="n"/>
      <c r="AN227" s="3" t="n"/>
      <c r="AO227" s="3" t="n"/>
      <c r="AP227" s="3" t="n"/>
      <c r="AQ227" s="3" t="n"/>
      <c r="AS227" s="3" t="n"/>
      <c r="AT227" s="3" t="n"/>
      <c r="AU227" s="3" t="n"/>
      <c r="AV227" s="3" t="n"/>
      <c r="AX227" s="3" t="n"/>
      <c r="AY227" s="3" t="n"/>
      <c r="AZ227" s="3" t="n"/>
      <c r="BA227" s="3" t="n"/>
      <c r="BC227" s="3" t="n"/>
      <c r="BD227" s="3" t="n"/>
      <c r="BE227" s="3" t="n"/>
      <c r="BF227" s="3" t="n"/>
      <c r="BH227" s="3" t="n"/>
      <c r="BI227" s="3" t="n"/>
      <c r="BJ227" s="3" t="n"/>
      <c r="BK227" s="3" t="n"/>
      <c r="BM227" s="3" t="n"/>
      <c r="BN227" s="3" t="n"/>
      <c r="BO227" s="3" t="n"/>
      <c r="BP227" s="3" t="n"/>
      <c r="BR227" s="3" t="n"/>
      <c r="BS227" s="3" t="n"/>
      <c r="BT227" s="3" t="n"/>
      <c r="BU227" s="3" t="n"/>
      <c r="BW227" s="3" t="n"/>
      <c r="BX227" s="3" t="n"/>
      <c r="BY227" s="3" t="n"/>
      <c r="BZ227" s="3" t="n"/>
      <c r="CB227" s="3" t="n"/>
      <c r="CC227" s="3" t="n"/>
      <c r="CD227" s="3" t="n"/>
      <c r="CE227" s="3" t="n"/>
      <c r="CG227" s="3" t="n"/>
      <c r="CH227" s="3" t="n"/>
      <c r="CI227" s="3" t="n"/>
      <c r="CJ227" s="3" t="n"/>
      <c r="CL227" s="3" t="n"/>
      <c r="CM227" s="3" t="n"/>
      <c r="CN227" s="3" t="n"/>
      <c r="CO227" s="3" t="n"/>
      <c r="CQ227" s="3" t="n"/>
      <c r="CR227" s="3" t="n"/>
      <c r="CS227" s="3" t="n"/>
      <c r="CT227" s="3" t="n"/>
      <c r="CV227" s="3" t="n"/>
      <c r="CW227" s="3" t="n"/>
      <c r="CX227" s="3" t="n"/>
      <c r="CY227" s="3" t="n"/>
    </row>
    <row r="228" hidden="1" outlineLevel="1">
      <c r="C228" s="34" t="inlineStr">
        <is>
          <t>Calculation of short term debt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hidden="1" outlineLevel="1">
      <c r="C229" s="34" t="inlineStr">
        <is>
          <t>Cash @ beginning of the period (end of last period)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6">
        <f>AG144</f>
        <v>922.369</v>
      </c>
      <c r="AI229" s="3" t="n"/>
      <c r="AJ229" s="3" t="n"/>
      <c r="AK229" s="3" t="n"/>
      <c r="AL229" s="3" t="n"/>
      <c r="AM229" s="36">
        <f>AL144</f>
        <v>5563.906</v>
      </c>
      <c r="AN229" s="3" t="n"/>
      <c r="AO229" s="3" t="n"/>
      <c r="AP229" s="3" t="n"/>
      <c r="AQ229" s="3" t="n"/>
      <c r="AR229" s="36" t="e">
        <f>AQ144</f>
        <v>#DIV/0!</v>
      </c>
      <c r="AS229" s="3" t="n"/>
      <c r="AT229" s="3" t="n"/>
      <c r="AU229" s="3" t="n"/>
      <c r="AV229" s="3" t="n"/>
      <c r="AW229" s="36" t="e">
        <f>AV144</f>
        <v>#DIV/0!</v>
      </c>
      <c r="AX229" s="3" t="n"/>
      <c r="AY229" s="3" t="n"/>
      <c r="AZ229" s="3" t="n"/>
      <c r="BA229" s="3" t="n"/>
      <c r="BB229" s="36" t="e">
        <f>BA144</f>
        <v>#DIV/0!</v>
      </c>
      <c r="BC229" s="3" t="n"/>
      <c r="BD229" s="3" t="n"/>
      <c r="BE229" s="3" t="n"/>
      <c r="BF229" s="3" t="n"/>
      <c r="BG229" s="36" t="e">
        <f>BF144</f>
        <v>#DIV/0!</v>
      </c>
      <c r="BH229" s="3" t="n"/>
      <c r="BI229" s="3" t="n"/>
      <c r="BJ229" s="3" t="n"/>
      <c r="BK229" s="3" t="n"/>
      <c r="BL229" s="36" t="e">
        <f>BK144</f>
        <v>#DIV/0!</v>
      </c>
      <c r="BM229" s="3" t="n"/>
      <c r="BN229" s="3" t="n"/>
      <c r="BO229" s="3" t="n"/>
      <c r="BP229" s="3" t="n"/>
      <c r="BQ229" s="36" t="e">
        <f>BP144</f>
        <v>#DIV/0!</v>
      </c>
      <c r="BR229" s="3" t="n"/>
      <c r="BS229" s="3" t="n"/>
      <c r="BT229" s="3" t="n"/>
      <c r="BU229" s="3" t="n"/>
      <c r="BV229" s="36" t="e">
        <f>BU144</f>
        <v>#DIV/0!</v>
      </c>
      <c r="BW229" s="3" t="n"/>
      <c r="BX229" s="3" t="n"/>
      <c r="BY229" s="3" t="n"/>
      <c r="BZ229" s="3" t="n"/>
      <c r="CA229" s="36" t="e">
        <f>BZ144</f>
        <v>#DIV/0!</v>
      </c>
      <c r="CB229" s="3" t="n"/>
      <c r="CC229" s="3" t="n"/>
      <c r="CD229" s="3" t="n"/>
      <c r="CE229" s="3" t="n"/>
      <c r="CF229" s="36" t="e">
        <f>CE144</f>
        <v>#DIV/0!</v>
      </c>
      <c r="CG229" s="3" t="n"/>
      <c r="CH229" s="3" t="n"/>
      <c r="CI229" s="3" t="n"/>
      <c r="CJ229" s="3" t="n"/>
      <c r="CK229" s="36" t="e">
        <f>CJ144</f>
        <v>#DIV/0!</v>
      </c>
      <c r="CL229" s="3" t="n"/>
      <c r="CM229" s="3" t="n"/>
      <c r="CN229" s="3" t="n"/>
      <c r="CO229" s="3" t="n"/>
      <c r="CP229" s="36" t="e">
        <f>CO144</f>
        <v>#DIV/0!</v>
      </c>
      <c r="CQ229" s="3" t="n"/>
      <c r="CR229" s="3" t="n"/>
      <c r="CS229" s="3" t="n"/>
      <c r="CT229" s="3" t="n"/>
      <c r="CU229" s="36" t="e">
        <f>CT144</f>
        <v>#DIV/0!</v>
      </c>
      <c r="CV229" s="3" t="n"/>
      <c r="CW229" s="3" t="n"/>
      <c r="CX229" s="3" t="n"/>
      <c r="CY229" s="3" t="n"/>
    </row>
    <row r="230" hidden="1" outlineLevel="1">
      <c r="C230" s="34" t="inlineStr">
        <is>
          <t>Plus: Free cash flows prior to debt during period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inlineStr">
        <is>
          <t>% of sales</t>
        </is>
      </c>
      <c r="AH230" s="37">
        <f>SUM(AH293,AH300)+SUM(AH302:AH308)</f>
        <v>-158.916</v>
      </c>
      <c r="AI230" s="37">
        <f>SUM(AI293,AI300)+SUM(AI302:AI308)</f>
        <v>-875.874999999999</v>
      </c>
      <c r="AJ230" s="37">
        <f>SUM(AJ293,AJ300)+SUM(AJ302:AJ308)</f>
        <v>3984.433</v>
      </c>
      <c r="AK230" s="37">
        <f>SUM(AK293,AK300)+SUM(AK302:AK308)</f>
        <v>35.17</v>
      </c>
      <c r="AL230" s="3" t="n"/>
      <c r="AM230" s="37" t="e">
        <f>SUM(AM293,AM300)+SUM(AM302:AM308)</f>
        <v>#DIV/0!</v>
      </c>
      <c r="AN230" s="37" t="e">
        <f>SUM(AN293,AN300)+SUM(AN302:AN308)</f>
        <v>#DIV/0!</v>
      </c>
      <c r="AO230" s="37" t="e">
        <f>SUM(AO293,AO300)+SUM(AO302:AO308)</f>
        <v>#DIV/0!</v>
      </c>
      <c r="AP230" s="37" t="e">
        <f>SUM(AP293,AP300)+SUM(AP302:AP308)</f>
        <v>#DIV/0!</v>
      </c>
      <c r="AQ230" s="3" t="n"/>
      <c r="AR230" s="37" t="e">
        <f>SUM(AR293,AR300)+SUM(AR302:AR308)</f>
        <v>#DIV/0!</v>
      </c>
      <c r="AS230" s="37" t="e">
        <f>SUM(AS293,AS300)+SUM(AS302:AS308)</f>
        <v>#DIV/0!</v>
      </c>
      <c r="AT230" s="37" t="e">
        <f>SUM(AT293,AT300)+SUM(AT302:AT308)</f>
        <v>#DIV/0!</v>
      </c>
      <c r="AU230" s="37" t="e">
        <f>SUM(AU293,AU300)+SUM(AU302:AU308)</f>
        <v>#DIV/0!</v>
      </c>
      <c r="AV230" s="3" t="n"/>
      <c r="AW230" s="37" t="e">
        <f>SUM(AW293,AW300)+SUM(AW302:AW308)</f>
        <v>#DIV/0!</v>
      </c>
      <c r="AX230" s="37" t="e">
        <f>SUM(AX293,AX300)+SUM(AX302:AX308)</f>
        <v>#DIV/0!</v>
      </c>
      <c r="AY230" s="37" t="e">
        <f>SUM(AY293,AY300)+SUM(AY302:AY308)</f>
        <v>#DIV/0!</v>
      </c>
      <c r="AZ230" s="37" t="e">
        <f>SUM(AZ293,AZ300)+SUM(AZ302:AZ308)</f>
        <v>#DIV/0!</v>
      </c>
      <c r="BA230" s="3" t="n"/>
      <c r="BB230" s="37" t="e">
        <f>SUM(BB293,BB300)+SUM(BB302:BB308)</f>
        <v>#DIV/0!</v>
      </c>
      <c r="BC230" s="37" t="e">
        <f>SUM(BC293,BC300)+SUM(BC302:BC308)</f>
        <v>#DIV/0!</v>
      </c>
      <c r="BD230" s="37" t="e">
        <f>SUM(BD293,BD300)+SUM(BD302:BD308)</f>
        <v>#DIV/0!</v>
      </c>
      <c r="BE230" s="37" t="e">
        <f>SUM(BE293,BE300)+SUM(BE302:BE308)</f>
        <v>#DIV/0!</v>
      </c>
      <c r="BF230" s="3" t="n"/>
      <c r="BG230" s="37" t="e">
        <f>SUM(BG293,BG300)+SUM(BG302:BG308)</f>
        <v>#DIV/0!</v>
      </c>
      <c r="BH230" s="37" t="e">
        <f>SUM(BH293,BH300)+SUM(BH302:BH308)</f>
        <v>#DIV/0!</v>
      </c>
      <c r="BI230" s="37" t="e">
        <f>SUM(BI293,BI300)+SUM(BI302:BI308)</f>
        <v>#DIV/0!</v>
      </c>
      <c r="BJ230" s="37" t="e">
        <f>SUM(BJ293,BJ300)+SUM(BJ302:BJ308)</f>
        <v>#DIV/0!</v>
      </c>
      <c r="BK230" s="3" t="n"/>
      <c r="BL230" s="37" t="e">
        <f>SUM(BL293,BL300)+SUM(BL302:BL308)</f>
        <v>#DIV/0!</v>
      </c>
      <c r="BM230" s="37" t="e">
        <f>SUM(BM293,BM300)+SUM(BM302:BM308)</f>
        <v>#DIV/0!</v>
      </c>
      <c r="BN230" s="37" t="e">
        <f>SUM(BN293,BN300)+SUM(BN302:BN308)</f>
        <v>#DIV/0!</v>
      </c>
      <c r="BO230" s="37" t="e">
        <f>SUM(BO293,BO300)+SUM(BO302:BO308)</f>
        <v>#DIV/0!</v>
      </c>
      <c r="BP230" s="3" t="n"/>
      <c r="BQ230" s="37" t="e">
        <f>SUM(BQ293,BQ300)+SUM(BQ302:BQ308)</f>
        <v>#DIV/0!</v>
      </c>
      <c r="BR230" s="37" t="e">
        <f>SUM(BR293,BR300)+SUM(BR302:BR308)</f>
        <v>#DIV/0!</v>
      </c>
      <c r="BS230" s="37" t="e">
        <f>SUM(BS293,BS300)+SUM(BS302:BS308)</f>
        <v>#DIV/0!</v>
      </c>
      <c r="BT230" s="37" t="e">
        <f>SUM(BT293,BT300)+SUM(BT302:BT308)</f>
        <v>#DIV/0!</v>
      </c>
      <c r="BU230" s="3" t="n"/>
      <c r="BV230" s="37" t="e">
        <f>SUM(BV293,BV300)+SUM(BV302:BV308)</f>
        <v>#DIV/0!</v>
      </c>
      <c r="BW230" s="37" t="e">
        <f>SUM(BW293,BW300)+SUM(BW302:BW308)</f>
        <v>#DIV/0!</v>
      </c>
      <c r="BX230" s="37" t="e">
        <f>SUM(BX293,BX300)+SUM(BX302:BX308)</f>
        <v>#DIV/0!</v>
      </c>
      <c r="BY230" s="37" t="e">
        <f>SUM(BY293,BY300)+SUM(BY302:BY308)</f>
        <v>#DIV/0!</v>
      </c>
      <c r="BZ230" s="3" t="n"/>
      <c r="CA230" s="37" t="e">
        <f>SUM(CA293,CA300)+SUM(CA302:CA308)</f>
        <v>#DIV/0!</v>
      </c>
      <c r="CB230" s="37" t="e">
        <f>SUM(CB293,CB300)+SUM(CB302:CB308)</f>
        <v>#DIV/0!</v>
      </c>
      <c r="CC230" s="37" t="e">
        <f>SUM(CC293,CC300)+SUM(CC302:CC308)</f>
        <v>#DIV/0!</v>
      </c>
      <c r="CD230" s="37" t="e">
        <f>SUM(CD293,CD300)+SUM(CD302:CD308)</f>
        <v>#DIV/0!</v>
      </c>
      <c r="CE230" s="3" t="n"/>
      <c r="CF230" s="37" t="e">
        <f>SUM(CF293,CF300)+SUM(CF302:CF308)</f>
        <v>#DIV/0!</v>
      </c>
      <c r="CG230" s="37" t="e">
        <f>SUM(CG293,CG300)+SUM(CG302:CG308)</f>
        <v>#DIV/0!</v>
      </c>
      <c r="CH230" s="37" t="e">
        <f>SUM(CH293,CH300)+SUM(CH302:CH308)</f>
        <v>#DIV/0!</v>
      </c>
      <c r="CI230" s="37" t="e">
        <f>SUM(CI293,CI300)+SUM(CI302:CI308)</f>
        <v>#DIV/0!</v>
      </c>
      <c r="CJ230" s="3" t="n"/>
      <c r="CK230" s="37" t="e">
        <f>SUM(CK293,CK300)+SUM(CK302:CK308)</f>
        <v>#DIV/0!</v>
      </c>
      <c r="CL230" s="37" t="e">
        <f>SUM(CL293,CL300)+SUM(CL302:CL308)</f>
        <v>#DIV/0!</v>
      </c>
      <c r="CM230" s="37" t="e">
        <f>SUM(CM293,CM300)+SUM(CM302:CM308)</f>
        <v>#DIV/0!</v>
      </c>
      <c r="CN230" s="37" t="e">
        <f>SUM(CN293,CN300)+SUM(CN302:CN308)</f>
        <v>#DIV/0!</v>
      </c>
      <c r="CO230" s="3" t="n"/>
      <c r="CP230" s="37" t="e">
        <f>SUM(CP293,CP300)+SUM(CP302:CP308)</f>
        <v>#DIV/0!</v>
      </c>
      <c r="CQ230" s="37" t="e">
        <f>SUM(CQ293,CQ300)+SUM(CQ302:CQ308)</f>
        <v>#DIV/0!</v>
      </c>
      <c r="CR230" s="37" t="e">
        <f>SUM(CR293,CR300)+SUM(CR302:CR308)</f>
        <v>#DIV/0!</v>
      </c>
      <c r="CS230" s="37" t="e">
        <f>SUM(CS293,CS300)+SUM(CS302:CS308)</f>
        <v>#DIV/0!</v>
      </c>
      <c r="CT230" s="3" t="n"/>
      <c r="CU230" s="37" t="e">
        <f>SUM(CU293,CU300)+SUM(CU302:CU308)</f>
        <v>#DIV/0!</v>
      </c>
      <c r="CV230" s="37" t="e">
        <f>SUM(CV293,CV300)+SUM(CV302:CV308)</f>
        <v>#DIV/0!</v>
      </c>
      <c r="CW230" s="37" t="e">
        <f>SUM(CW293,CW300)+SUM(CW302:CW308)</f>
        <v>#DIV/0!</v>
      </c>
      <c r="CX230" s="37" t="e">
        <f>SUM(CX293,CX300)+SUM(CX302:CX308)</f>
        <v>#DIV/0!</v>
      </c>
      <c r="CY230" s="3" t="n"/>
    </row>
    <row r="231" hidden="1" outlineLevel="1">
      <c r="C231" s="34" t="inlineStr">
        <is>
          <t>Less: Minimum cash balance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250" t="n"/>
      <c r="AH231" s="3">
        <f>($AG$231*AH15)</f>
        <v>0</v>
      </c>
      <c r="AI231" s="3">
        <f>($AG$231*AI15)</f>
        <v>0</v>
      </c>
      <c r="AJ231" s="3">
        <f>($AG$231*AJ15)</f>
        <v>0</v>
      </c>
      <c r="AK231" s="3">
        <f>($AG$231*AK15)</f>
        <v>0</v>
      </c>
      <c r="AL231" s="3" t="n"/>
      <c r="AM231" s="3">
        <f>($AG$231*AM15)</f>
        <v>0</v>
      </c>
      <c r="AN231" s="3">
        <f>($AG$231*AN15)</f>
        <v>0</v>
      </c>
      <c r="AO231" s="3">
        <f>($AG$231*AO15)</f>
        <v>0</v>
      </c>
      <c r="AP231" s="3">
        <f>($AG$231*AP15)</f>
        <v>0</v>
      </c>
      <c r="AQ231" s="3" t="n"/>
      <c r="AR231" s="3">
        <f>($AG$231*AR15)</f>
        <v>0</v>
      </c>
      <c r="AS231" s="3">
        <f>($AG$231*AS15)</f>
        <v>0</v>
      </c>
      <c r="AT231" s="3">
        <f>($AG$231*AT15)</f>
        <v>0</v>
      </c>
      <c r="AU231" s="3">
        <f>($AG$231*AU15)</f>
        <v>0</v>
      </c>
      <c r="AV231" s="3" t="n"/>
      <c r="AW231" s="3">
        <f>($AG$231*AW15)</f>
        <v>0</v>
      </c>
      <c r="AX231" s="3">
        <f>($AG$231*AX15)</f>
        <v>0</v>
      </c>
      <c r="AY231" s="3">
        <f>($AG$231*AY15)</f>
        <v>0</v>
      </c>
      <c r="AZ231" s="3">
        <f>($AG$231*AZ15)</f>
        <v>0</v>
      </c>
      <c r="BA231" s="3" t="n"/>
      <c r="BB231" s="3">
        <f>($AG$231*BB15)</f>
        <v>0</v>
      </c>
      <c r="BC231" s="3">
        <f>($AG$231*BC15)</f>
        <v>0</v>
      </c>
      <c r="BD231" s="3">
        <f>($AG$231*BD15)</f>
        <v>0</v>
      </c>
      <c r="BE231" s="3">
        <f>($AG$231*BE15)</f>
        <v>0</v>
      </c>
      <c r="BF231" s="3" t="n"/>
      <c r="BG231" s="3">
        <f>($AG$231*BG15)</f>
        <v>0</v>
      </c>
      <c r="BH231" s="3">
        <f>($AG$231*BH15)</f>
        <v>0</v>
      </c>
      <c r="BI231" s="3">
        <f>($AG$231*BI15)</f>
        <v>0</v>
      </c>
      <c r="BJ231" s="3">
        <f>($AG$231*BJ15)</f>
        <v>0</v>
      </c>
      <c r="BK231" s="3" t="n"/>
      <c r="BL231" s="3">
        <f>($AG$231*BL15)</f>
        <v>0</v>
      </c>
      <c r="BM231" s="3">
        <f>($AG$231*BM15)</f>
        <v>0</v>
      </c>
      <c r="BN231" s="3">
        <f>($AG$231*BN15)</f>
        <v>0</v>
      </c>
      <c r="BO231" s="3">
        <f>($AG$231*BO15)</f>
        <v>0</v>
      </c>
      <c r="BP231" s="3" t="n"/>
      <c r="BQ231" s="3">
        <f>($AG$231*BQ15)</f>
        <v>0</v>
      </c>
      <c r="BR231" s="3">
        <f>($AG$231*BR15)</f>
        <v>0</v>
      </c>
      <c r="BS231" s="3">
        <f>($AG$231*BS15)</f>
        <v>0</v>
      </c>
      <c r="BT231" s="3">
        <f>($AG$231*BT15)</f>
        <v>0</v>
      </c>
      <c r="BU231" s="3" t="n"/>
      <c r="BV231" s="3">
        <f>($AG$231*BV15)</f>
        <v>0</v>
      </c>
      <c r="BW231" s="3">
        <f>($AG$231*BW15)</f>
        <v>0</v>
      </c>
      <c r="BX231" s="3">
        <f>($AG$231*BX15)</f>
        <v>0</v>
      </c>
      <c r="BY231" s="3">
        <f>($AG$231*BY15)</f>
        <v>0</v>
      </c>
      <c r="BZ231" s="3" t="n"/>
      <c r="CA231" s="3">
        <f>($AG$231*CA15)</f>
        <v>0</v>
      </c>
      <c r="CB231" s="3">
        <f>($AG$231*CB15)</f>
        <v>0</v>
      </c>
      <c r="CC231" s="3">
        <f>($AG$231*CC15)</f>
        <v>0</v>
      </c>
      <c r="CD231" s="3">
        <f>($AG$231*CD15)</f>
        <v>0</v>
      </c>
      <c r="CE231" s="3" t="n"/>
      <c r="CF231" s="3">
        <f>($AG$231*CF15)</f>
        <v>0</v>
      </c>
      <c r="CG231" s="3">
        <f>($AG$231*CG15)</f>
        <v>0</v>
      </c>
      <c r="CH231" s="3">
        <f>($AG$231*CH15)</f>
        <v>0</v>
      </c>
      <c r="CI231" s="3">
        <f>($AG$231*CI15)</f>
        <v>0</v>
      </c>
      <c r="CJ231" s="3" t="n"/>
      <c r="CK231" s="3">
        <f>($AG$231*CK15)</f>
        <v>0</v>
      </c>
      <c r="CL231" s="3">
        <f>($AG$231*CL15)</f>
        <v>0</v>
      </c>
      <c r="CM231" s="3">
        <f>($AG$231*CM15)</f>
        <v>0</v>
      </c>
      <c r="CN231" s="3">
        <f>($AG$231*CN15)</f>
        <v>0</v>
      </c>
      <c r="CO231" s="3" t="n"/>
      <c r="CP231" s="3">
        <f>($AG$231*CP15)</f>
        <v>0</v>
      </c>
      <c r="CQ231" s="3">
        <f>($AG$231*CQ15)</f>
        <v>0</v>
      </c>
      <c r="CR231" s="3">
        <f>($AG$231*CR15)</f>
        <v>0</v>
      </c>
      <c r="CS231" s="3">
        <f>($AG$231*CS15)</f>
        <v>0</v>
      </c>
      <c r="CT231" s="3" t="n"/>
      <c r="CU231" s="3">
        <f>($AG$231*CU15)</f>
        <v>0</v>
      </c>
      <c r="CV231" s="3">
        <f>($AG$231*CV15)</f>
        <v>0</v>
      </c>
      <c r="CW231" s="3">
        <f>($AG$231*CW15)</f>
        <v>0</v>
      </c>
      <c r="CX231" s="3">
        <f>($AG$231*CX15)</f>
        <v>0</v>
      </c>
      <c r="CY231" s="3" t="n"/>
    </row>
    <row r="232" hidden="1" outlineLevel="1">
      <c r="C232" s="34" t="inlineStr">
        <is>
          <t>Total cash available / (debt required) for short term debt paydown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1">
        <f>AH229+AH230-AH231-AF219+AH221+AH225</f>
        <v>763.453</v>
      </c>
      <c r="AI232" s="1">
        <f>AI229+AI230-AI231-AG219+AI221+AI225</f>
        <v>-875.874999999999</v>
      </c>
      <c r="AJ232" s="1">
        <f>AJ229+AJ230-AJ231-AH219+AJ221+AJ225</f>
        <v>3805.95</v>
      </c>
      <c r="AK232" s="1">
        <f>AK229+AK230-AK231-AI219+AK221+AK225</f>
        <v>35.17</v>
      </c>
      <c r="AL232" s="3" t="n"/>
      <c r="AM232" s="1" t="e">
        <f>AM229+AM230-AM231-AK219+AM221+AM225</f>
        <v>#DIV/0!</v>
      </c>
      <c r="AN232" s="1" t="e">
        <f>AN229+AN230-AN231-AL219+AN221+AN225</f>
        <v>#DIV/0!</v>
      </c>
      <c r="AO232" s="1" t="e">
        <f>AO229+AO230-AO231-AM219+AO221+AO225</f>
        <v>#DIV/0!</v>
      </c>
      <c r="AP232" s="1" t="e">
        <f>AP229+AP230-AP231-AN219+AP221+AP225</f>
        <v>#DIV/0!</v>
      </c>
      <c r="AQ232" s="3" t="n"/>
      <c r="AR232" s="1" t="e">
        <f>AR229+AR230-AR231-AP219+AR221+AR225</f>
        <v>#DIV/0!</v>
      </c>
      <c r="AS232" s="1" t="e">
        <f>AS229+AS230-AS231-AQ219+AS221+AS225</f>
        <v>#DIV/0!</v>
      </c>
      <c r="AT232" s="1" t="e">
        <f>AT229+AT230-AT231-AR219+AT221+AT225</f>
        <v>#DIV/0!</v>
      </c>
      <c r="AU232" s="1" t="e">
        <f>AU229+AU230-AU231-AS219+AU221+AU225</f>
        <v>#DIV/0!</v>
      </c>
      <c r="AV232" s="3" t="n"/>
      <c r="AW232" s="1" t="e">
        <f>AW229+AW230-AW231-AU219+AW221+AW225</f>
        <v>#DIV/0!</v>
      </c>
      <c r="AX232" s="1" t="e">
        <f>AX229+AX230-AX231-AV219+AX221+AX225</f>
        <v>#DIV/0!</v>
      </c>
      <c r="AY232" s="1" t="e">
        <f>AY229+AY230-AY231-AW219+AY221+AY225</f>
        <v>#DIV/0!</v>
      </c>
      <c r="AZ232" s="1" t="e">
        <f>AZ229+AZ230-AZ231-AX219+AZ221+AZ225</f>
        <v>#DIV/0!</v>
      </c>
      <c r="BA232" s="3" t="n"/>
      <c r="BB232" s="1" t="e">
        <f>BB229+BB230-BB231-AZ219+BB221+BB225</f>
        <v>#DIV/0!</v>
      </c>
      <c r="BC232" s="1" t="e">
        <f>BC229+BC230-BC231-BA219+BC221+BC225</f>
        <v>#DIV/0!</v>
      </c>
      <c r="BD232" s="1" t="e">
        <f>BD229+BD230-BD231-BB219+BD221+BD225</f>
        <v>#DIV/0!</v>
      </c>
      <c r="BE232" s="1" t="e">
        <f>BE229+BE230-BE231-BC219+BE221+BE225</f>
        <v>#DIV/0!</v>
      </c>
      <c r="BF232" s="3" t="n"/>
      <c r="BG232" s="1" t="e">
        <f>BG229+BG230-BG231-BE219+BG221+BG225</f>
        <v>#DIV/0!</v>
      </c>
      <c r="BH232" s="1" t="e">
        <f>BH229+BH230-BH231-BF219+BH221+BH225</f>
        <v>#DIV/0!</v>
      </c>
      <c r="BI232" s="1" t="e">
        <f>BI229+BI230-BI231-BG219+BI221+BI225</f>
        <v>#DIV/0!</v>
      </c>
      <c r="BJ232" s="1" t="e">
        <f>BJ229+BJ230-BJ231-BH219+BJ221+BJ225</f>
        <v>#DIV/0!</v>
      </c>
      <c r="BK232" s="3" t="n"/>
      <c r="BL232" s="1" t="e">
        <f>BL229+BL230-BL231-BJ219+BL221+BL225</f>
        <v>#DIV/0!</v>
      </c>
      <c r="BM232" s="1" t="e">
        <f>BM229+BM230-BM231-BK219+BM221+BM225</f>
        <v>#DIV/0!</v>
      </c>
      <c r="BN232" s="1" t="e">
        <f>BN229+BN230-BN231-BL219+BN221+BN225</f>
        <v>#DIV/0!</v>
      </c>
      <c r="BO232" s="1" t="e">
        <f>BO229+BO230-BO231-BM219+BO221+BO225</f>
        <v>#DIV/0!</v>
      </c>
      <c r="BP232" s="3" t="n"/>
      <c r="BQ232" s="1" t="e">
        <f>BQ229+BQ230-BQ231-BO219+BQ221+BQ225</f>
        <v>#DIV/0!</v>
      </c>
      <c r="BR232" s="1" t="e">
        <f>BR229+BR230-BR231-BP219+BR221+BR225</f>
        <v>#DIV/0!</v>
      </c>
      <c r="BS232" s="1" t="e">
        <f>BS229+BS230-BS231-BQ219+BS221+BS225</f>
        <v>#DIV/0!</v>
      </c>
      <c r="BT232" s="1" t="e">
        <f>BT229+BT230-BT231-BR219+BT221+BT225</f>
        <v>#DIV/0!</v>
      </c>
      <c r="BU232" s="3" t="n"/>
      <c r="BV232" s="1" t="e">
        <f>BV229+BV230-BV231-BT219+BV221+BV225</f>
        <v>#DIV/0!</v>
      </c>
      <c r="BW232" s="1" t="e">
        <f>BW229+BW230-BW231-BU219+BW221+BW225</f>
        <v>#DIV/0!</v>
      </c>
      <c r="BX232" s="1" t="e">
        <f>BX229+BX230-BX231-BV219+BX221+BX225</f>
        <v>#DIV/0!</v>
      </c>
      <c r="BY232" s="1" t="e">
        <f>BY229+BY230-BY231-BW219+BY221+BY225</f>
        <v>#DIV/0!</v>
      </c>
      <c r="BZ232" s="3" t="n"/>
      <c r="CA232" s="1" t="e">
        <f>CA229+CA230-CA231-BY219+CA221+CA225</f>
        <v>#DIV/0!</v>
      </c>
      <c r="CB232" s="1" t="e">
        <f>CB229+CB230-CB231-BZ219+CB221+CB225</f>
        <v>#DIV/0!</v>
      </c>
      <c r="CC232" s="1" t="e">
        <f>CC229+CC230-CC231-CA219+CC221+CC225</f>
        <v>#DIV/0!</v>
      </c>
      <c r="CD232" s="1" t="e">
        <f>CD229+CD230-CD231-CB219+CD221+CD225</f>
        <v>#DIV/0!</v>
      </c>
      <c r="CE232" s="3" t="n"/>
      <c r="CF232" s="1" t="e">
        <f>CF229+CF230-CF231-CD219+CF221+CF225</f>
        <v>#DIV/0!</v>
      </c>
      <c r="CG232" s="1" t="e">
        <f>CG229+CG230-CG231-CE219+CG221+CG225</f>
        <v>#DIV/0!</v>
      </c>
      <c r="CH232" s="1" t="e">
        <f>CH229+CH230-CH231-CF219+CH221+CH225</f>
        <v>#DIV/0!</v>
      </c>
      <c r="CI232" s="1" t="e">
        <f>CI229+CI230-CI231-CG219+CI221+CI225</f>
        <v>#DIV/0!</v>
      </c>
      <c r="CJ232" s="3" t="n"/>
      <c r="CK232" s="1" t="e">
        <f>CK229+CK230-CK231-CI219+CK221+CK225</f>
        <v>#DIV/0!</v>
      </c>
      <c r="CL232" s="1" t="e">
        <f>CL229+CL230-CL231-CJ219+CL221+CL225</f>
        <v>#DIV/0!</v>
      </c>
      <c r="CM232" s="1" t="e">
        <f>CM229+CM230-CM231-CK219+CM221+CM225</f>
        <v>#DIV/0!</v>
      </c>
      <c r="CN232" s="1" t="e">
        <f>CN229+CN230-CN231-CL219+CN221+CN225</f>
        <v>#DIV/0!</v>
      </c>
      <c r="CO232" s="3" t="n"/>
      <c r="CP232" s="1" t="e">
        <f>CP229+CP230-CP231-CN219+CP221+CP225</f>
        <v>#DIV/0!</v>
      </c>
      <c r="CQ232" s="1" t="e">
        <f>CQ229+CQ230-CQ231-CO219+CQ221+CQ225</f>
        <v>#DIV/0!</v>
      </c>
      <c r="CR232" s="1" t="e">
        <f>CR229+CR230-CR231-CP219+CR221+CR225</f>
        <v>#DIV/0!</v>
      </c>
      <c r="CS232" s="1" t="e">
        <f>CS229+CS230-CS231-CQ219+CS221+CS225</f>
        <v>#DIV/0!</v>
      </c>
      <c r="CT232" s="3" t="n"/>
      <c r="CU232" s="1" t="e">
        <f>CU229+CU230-CU231-CS219+CU221+CU225</f>
        <v>#DIV/0!</v>
      </c>
      <c r="CV232" s="1" t="e">
        <f>CV229+CV230-CV231-CT219+CV221+CV225</f>
        <v>#DIV/0!</v>
      </c>
      <c r="CW232" s="1" t="e">
        <f>CW229+CW230-CW231-CU219+CW221+CW225</f>
        <v>#DIV/0!</v>
      </c>
      <c r="CX232" s="1" t="e">
        <f>CX229+CX230-CX231-CV219+CX221+CX225</f>
        <v>#DIV/0!</v>
      </c>
      <c r="CY232" s="3" t="n"/>
    </row>
    <row r="233" hidden="1" outlineLevel="1">
      <c r="C233" s="34" t="inlineStr">
        <is>
          <t>Short term debt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>
        <f>AH213</f>
        <v>0</v>
      </c>
      <c r="AI233" s="3">
        <f>MAX(0,AH233-AI232)</f>
        <v>875.874999999999</v>
      </c>
      <c r="AJ233" s="3">
        <f>MAX(0,AI233-AJ232)</f>
        <v>0</v>
      </c>
      <c r="AK233" s="3">
        <f>MAX(0,AJ233-AK232)</f>
        <v>0</v>
      </c>
      <c r="AL233" s="3" t="n"/>
      <c r="AM233" s="3">
        <f>AM213</f>
        <v>0</v>
      </c>
      <c r="AN233" s="3" t="e">
        <f>MAX(0,AM233-AN232)</f>
        <v>#DIV/0!</v>
      </c>
      <c r="AO233" s="3" t="e">
        <f>MAX(0,AN233-AO232)</f>
        <v>#DIV/0!</v>
      </c>
      <c r="AP233" s="3" t="e">
        <f>MAX(0,AO233-AP232)</f>
        <v>#DIV/0!</v>
      </c>
      <c r="AQ233" s="3" t="n"/>
      <c r="AR233" s="3">
        <f>AR213</f>
        <v>0</v>
      </c>
      <c r="AS233" s="3" t="e">
        <f>MAX(0,AR233-AS232)</f>
        <v>#DIV/0!</v>
      </c>
      <c r="AT233" s="3" t="e">
        <f>MAX(0,AS233-AT232)</f>
        <v>#DIV/0!</v>
      </c>
      <c r="AU233" s="3" t="e">
        <f>MAX(0,AT233-AU232)</f>
        <v>#DIV/0!</v>
      </c>
      <c r="AV233" s="3" t="n"/>
      <c r="AW233" s="3">
        <f>AW213</f>
        <v>0</v>
      </c>
      <c r="AX233" s="3" t="e">
        <f>MAX(0,AW233-AX232)</f>
        <v>#DIV/0!</v>
      </c>
      <c r="AY233" s="3" t="e">
        <f>MAX(0,AX233-AY232)</f>
        <v>#DIV/0!</v>
      </c>
      <c r="AZ233" s="3" t="e">
        <f>MAX(0,AY233-AZ232)</f>
        <v>#DIV/0!</v>
      </c>
      <c r="BA233" s="3" t="n"/>
      <c r="BB233" s="3">
        <f>BB213</f>
        <v>0</v>
      </c>
      <c r="BC233" s="3" t="e">
        <f>MAX(0,BB233-BC232)</f>
        <v>#DIV/0!</v>
      </c>
      <c r="BD233" s="3" t="e">
        <f>MAX(0,BC233-BD232)</f>
        <v>#DIV/0!</v>
      </c>
      <c r="BE233" s="3" t="e">
        <f>MAX(0,BD233-BE232)</f>
        <v>#DIV/0!</v>
      </c>
      <c r="BF233" s="3" t="n"/>
      <c r="BG233" s="3">
        <f>BG213</f>
        <v>0</v>
      </c>
      <c r="BH233" s="3" t="e">
        <f>MAX(0,BG233-BH232)</f>
        <v>#DIV/0!</v>
      </c>
      <c r="BI233" s="3" t="e">
        <f>MAX(0,BH233-BI232)</f>
        <v>#DIV/0!</v>
      </c>
      <c r="BJ233" s="3" t="e">
        <f>MAX(0,BI233-BJ232)</f>
        <v>#DIV/0!</v>
      </c>
      <c r="BK233" s="3" t="n"/>
      <c r="BL233" s="3">
        <f>BL213</f>
        <v>0</v>
      </c>
      <c r="BM233" s="3" t="e">
        <f>MAX(0,BL233-BM232)</f>
        <v>#DIV/0!</v>
      </c>
      <c r="BN233" s="3" t="e">
        <f>MAX(0,BM233-BN232)</f>
        <v>#DIV/0!</v>
      </c>
      <c r="BO233" s="3" t="e">
        <f>MAX(0,BN233-BO232)</f>
        <v>#DIV/0!</v>
      </c>
      <c r="BP233" s="3" t="n"/>
      <c r="BQ233" s="3">
        <f>BQ213</f>
        <v>0</v>
      </c>
      <c r="BR233" s="3" t="e">
        <f>MAX(0,BQ233-BR232)</f>
        <v>#DIV/0!</v>
      </c>
      <c r="BS233" s="3" t="e">
        <f>MAX(0,BR233-BS232)</f>
        <v>#DIV/0!</v>
      </c>
      <c r="BT233" s="3" t="e">
        <f>MAX(0,BS233-BT232)</f>
        <v>#DIV/0!</v>
      </c>
      <c r="BU233" s="3" t="n"/>
      <c r="BV233" s="3">
        <f>BV213</f>
        <v>0</v>
      </c>
      <c r="BW233" s="3" t="e">
        <f>MAX(0,BV233-BW232)</f>
        <v>#DIV/0!</v>
      </c>
      <c r="BX233" s="3" t="e">
        <f>MAX(0,BW233-BX232)</f>
        <v>#DIV/0!</v>
      </c>
      <c r="BY233" s="3" t="e">
        <f>MAX(0,BX233-BY232)</f>
        <v>#DIV/0!</v>
      </c>
      <c r="BZ233" s="3" t="n"/>
      <c r="CA233" s="3">
        <f>CA213</f>
        <v>0</v>
      </c>
      <c r="CB233" s="3" t="e">
        <f>MAX(0,CA233-CB232)</f>
        <v>#DIV/0!</v>
      </c>
      <c r="CC233" s="3" t="e">
        <f>MAX(0,CB233-CC232)</f>
        <v>#DIV/0!</v>
      </c>
      <c r="CD233" s="3" t="e">
        <f>MAX(0,CC233-CD232)</f>
        <v>#DIV/0!</v>
      </c>
      <c r="CE233" s="3" t="n"/>
      <c r="CF233" s="3">
        <f>CF213</f>
        <v>0</v>
      </c>
      <c r="CG233" s="3" t="e">
        <f>MAX(0,CF233-CG232)</f>
        <v>#DIV/0!</v>
      </c>
      <c r="CH233" s="3" t="e">
        <f>MAX(0,CG233-CH232)</f>
        <v>#DIV/0!</v>
      </c>
      <c r="CI233" s="3" t="e">
        <f>MAX(0,CH233-CI232)</f>
        <v>#DIV/0!</v>
      </c>
      <c r="CJ233" s="3" t="n"/>
      <c r="CK233" s="3">
        <f>CK213</f>
        <v>0</v>
      </c>
      <c r="CL233" s="3" t="e">
        <f>MAX(0,CK233-CL232)</f>
        <v>#DIV/0!</v>
      </c>
      <c r="CM233" s="3" t="e">
        <f>MAX(0,CL233-CM232)</f>
        <v>#DIV/0!</v>
      </c>
      <c r="CN233" s="3" t="e">
        <f>MAX(0,CM233-CN232)</f>
        <v>#DIV/0!</v>
      </c>
      <c r="CO233" s="3" t="n"/>
      <c r="CP233" s="3">
        <f>CP213</f>
        <v>0</v>
      </c>
      <c r="CQ233" s="3" t="e">
        <f>MAX(0,CP233-CQ232)</f>
        <v>#DIV/0!</v>
      </c>
      <c r="CR233" s="3" t="e">
        <f>MAX(0,CQ233-CR232)</f>
        <v>#DIV/0!</v>
      </c>
      <c r="CS233" s="3" t="e">
        <f>MAX(0,CR233-CS232)</f>
        <v>#DIV/0!</v>
      </c>
      <c r="CT233" s="3" t="n"/>
      <c r="CU233" s="3">
        <f>CU213</f>
        <v>0</v>
      </c>
      <c r="CV233" s="3" t="e">
        <f>MAX(0,CU233-CV232)</f>
        <v>#DIV/0!</v>
      </c>
      <c r="CW233" s="3" t="e">
        <f>MAX(0,CV233-CW232)</f>
        <v>#DIV/0!</v>
      </c>
      <c r="CX233" s="3" t="e">
        <f>MAX(0,CW233-CX232)</f>
        <v>#DIV/0!</v>
      </c>
      <c r="CY233" s="3" t="n"/>
    </row>
    <row r="234" hidden="1" outlineLevel="1">
      <c r="C234" s="34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3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</row>
    <row r="235" collapsed="1">
      <c r="C235" s="26" t="inlineStr">
        <is>
          <t>Long term operating leases</t>
        </is>
      </c>
      <c r="D235" s="25">
        <f>INDEX('Inputs (2)'!$D$36:$AL$36,MATCH(D$7,'Inputs (2)'!$D$2:$AL$2,0))</f>
        <v>6.644</v>
      </c>
      <c r="E235" s="25">
        <f>INDEX('Inputs (2)'!$D$36:$AL$36,MATCH(E$7,'Inputs (2)'!$D$2:$AL$2,0))</f>
        <v>6.644</v>
      </c>
      <c r="F235" s="25">
        <f>INDEX('Inputs (2)'!$D$36:$AL$36,MATCH(F$7,'Inputs (2)'!$D$2:$AL$2,0))</f>
        <v>6.644</v>
      </c>
      <c r="G235" s="25">
        <f>INDEX('Inputs (2)'!$D$36:$AL$36,MATCH(G$7,'Inputs (2)'!$D$2:$AL$2,0))</f>
        <v>6.226</v>
      </c>
      <c r="H235" s="3">
        <f>G235</f>
        <v>6.226</v>
      </c>
      <c r="I235" s="25">
        <f>INDEX('Inputs (2)'!$D$36:$AL$36,MATCH(I$7,'Inputs (2)'!$D$2:$AL$2,0))</f>
        <v>11.17</v>
      </c>
      <c r="J235" s="25">
        <f>INDEX('Inputs (2)'!$D$36:$AL$36,MATCH(J$7,'Inputs (2)'!$D$2:$AL$2,0))</f>
        <v>8.569</v>
      </c>
      <c r="K235" s="25">
        <f>INDEX('Inputs (2)'!$D$36:$AL$36,MATCH(K$7,'Inputs (2)'!$D$2:$AL$2,0))</f>
        <v>11.432</v>
      </c>
      <c r="L235" s="25">
        <f>INDEX('Inputs (2)'!$D$36:$AL$36,MATCH(L$7,'Inputs (2)'!$D$2:$AL$2,0))</f>
        <v>11.431</v>
      </c>
      <c r="M235" s="3">
        <f>L235</f>
        <v>11.431</v>
      </c>
      <c r="N235" s="25">
        <f>INDEX('Inputs (2)'!$D$36:$AL$36,MATCH(N$7,'Inputs (2)'!$D$2:$AL$2,0))</f>
        <v>11.811</v>
      </c>
      <c r="O235" s="25">
        <f>INDEX('Inputs (2)'!$D$36:$AL$36,MATCH(O$7,'Inputs (2)'!$D$2:$AL$2,0))</f>
        <v>20.698</v>
      </c>
      <c r="P235" s="25">
        <f>INDEX('Inputs (2)'!$D$36:$AL$36,MATCH(P$7,'Inputs (2)'!$D$2:$AL$2,0))</f>
        <v>18.482</v>
      </c>
      <c r="Q235" s="25">
        <f>INDEX('Inputs (2)'!$D$36:$AL$36,MATCH(Q$7,'Inputs (2)'!$D$2:$AL$2,0))</f>
        <v>40.8</v>
      </c>
      <c r="R235" s="3">
        <f>Q235</f>
        <v>40.8</v>
      </c>
      <c r="S235" s="25">
        <f>INDEX('Inputs (2)'!$D$36:$AL$36,MATCH(S$7,'Inputs (2)'!$D$2:$AL$2,0))</f>
        <v>43.454</v>
      </c>
      <c r="T235" s="25">
        <f>INDEX('Inputs (2)'!$D$36:$AL$36,MATCH(T$7,'Inputs (2)'!$D$2:$AL$2,0))</f>
        <v>33.041</v>
      </c>
      <c r="U235" s="25">
        <f>INDEX('Inputs (2)'!$D$36:$AL$36,MATCH(U$7,'Inputs (2)'!$D$2:$AL$2,0))</f>
        <v>27.498</v>
      </c>
      <c r="V235" s="25">
        <f>INDEX('Inputs (2)'!$D$36:$AL$36,MATCH(V$7,'Inputs (2)'!$D$2:$AL$2,0))</f>
        <v>23.329</v>
      </c>
      <c r="W235" s="3">
        <f>V235</f>
        <v>23.329</v>
      </c>
      <c r="X235" s="25">
        <f>INDEX('Inputs (2)'!$D$36:$AL$36,MATCH(X$7,'Inputs (2)'!$D$2:$AL$2,0))</f>
        <v>21.543</v>
      </c>
      <c r="Y235" s="25">
        <f>INDEX('Inputs (2)'!$D$36:$AL$36,MATCH(Y$7,'Inputs (2)'!$D$2:$AL$2,0))</f>
        <v>20.191</v>
      </c>
      <c r="Z235" s="25">
        <f>INDEX('Inputs (2)'!$D$36:$AL$36,MATCH(Z$7,'Inputs (2)'!$D$2:$AL$2,0))</f>
        <v>47.45</v>
      </c>
      <c r="AA235" s="25">
        <f>INDEX('Inputs (2)'!$D$36:$AL$36,MATCH(AA$7,'Inputs (2)'!$D$2:$AL$2,0))</f>
        <v>62.382</v>
      </c>
      <c r="AB235" s="3">
        <f>AA235</f>
        <v>62.382</v>
      </c>
      <c r="AC235" s="25">
        <f>INDEX('Inputs (2)'!$D$36:$AL$36,MATCH(AC$7,'Inputs (2)'!$D$2:$AL$2,0))</f>
        <v>64.059</v>
      </c>
      <c r="AD235" s="25">
        <f>INDEX('Inputs (2)'!$D$36:$AL$36,MATCH(AD$7,'Inputs (2)'!$D$2:$AL$2,0))</f>
        <v>48.686</v>
      </c>
      <c r="AE235" s="25">
        <f>INDEX('Inputs (2)'!$D$36:$AL$36,MATCH(AE$7,'Inputs (2)'!$D$2:$AL$2,0))</f>
        <v>42.207</v>
      </c>
      <c r="AF235" s="25">
        <f>INDEX('Inputs (2)'!$D$36:$AL$36,MATCH(AF$7,'Inputs (2)'!$D$2:$AL$2,0))</f>
        <v>54.834</v>
      </c>
      <c r="AG235" s="3">
        <f>AF235</f>
        <v>54.834</v>
      </c>
      <c r="AH235" s="3">
        <f>INDEX('Inputs (2)'!$D$36:$AL$36,MATCH(AH$7,'Inputs (2)'!$D$2:$AL$2,0))</f>
        <v>48.425</v>
      </c>
      <c r="AI235" s="3">
        <f>INDEX('Inputs (2)'!$D$36:$AL$36,MATCH(AI$7,'Inputs (2)'!$D$2:$AL$2,0))</f>
        <v>49.663</v>
      </c>
      <c r="AJ235" s="3">
        <f>AI235</f>
        <v>49.663</v>
      </c>
      <c r="AK235" s="3">
        <f>AJ235</f>
        <v>49.663</v>
      </c>
      <c r="AL235" s="3">
        <f>AK235</f>
        <v>49.663</v>
      </c>
      <c r="AM235" s="3">
        <f>AL235</f>
        <v>49.663</v>
      </c>
      <c r="AN235" s="3">
        <f>AM235</f>
        <v>49.663</v>
      </c>
      <c r="AO235" s="3">
        <f>AN235</f>
        <v>49.663</v>
      </c>
      <c r="AP235" s="3">
        <f>AO235</f>
        <v>49.663</v>
      </c>
      <c r="AQ235" s="3">
        <f>AP235</f>
        <v>49.663</v>
      </c>
      <c r="AR235" s="3">
        <f>AQ235</f>
        <v>49.663</v>
      </c>
      <c r="AS235" s="3">
        <f>AR235</f>
        <v>49.663</v>
      </c>
      <c r="AT235" s="3">
        <f>AS235</f>
        <v>49.663</v>
      </c>
      <c r="AU235" s="3">
        <f>AT235</f>
        <v>49.663</v>
      </c>
      <c r="AV235" s="3">
        <f>AU235</f>
        <v>49.663</v>
      </c>
      <c r="AW235" s="3">
        <f>AV235</f>
        <v>49.663</v>
      </c>
      <c r="AX235" s="3">
        <f>AW235</f>
        <v>49.663</v>
      </c>
      <c r="AY235" s="3">
        <f>AX235</f>
        <v>49.663</v>
      </c>
      <c r="AZ235" s="3">
        <f>AY235</f>
        <v>49.663</v>
      </c>
      <c r="BA235" s="3">
        <f>AZ235</f>
        <v>49.663</v>
      </c>
      <c r="BB235" s="3">
        <f>BA235</f>
        <v>49.663</v>
      </c>
      <c r="BC235" s="3">
        <f>BB235</f>
        <v>49.663</v>
      </c>
      <c r="BD235" s="3">
        <f>BC235</f>
        <v>49.663</v>
      </c>
      <c r="BE235" s="3">
        <f>BD235</f>
        <v>49.663</v>
      </c>
      <c r="BF235" s="3">
        <f>BE235</f>
        <v>49.663</v>
      </c>
      <c r="BG235" s="3">
        <f>BF235</f>
        <v>49.663</v>
      </c>
      <c r="BH235" s="3">
        <f>BG235</f>
        <v>49.663</v>
      </c>
      <c r="BI235" s="3">
        <f>BH235</f>
        <v>49.663</v>
      </c>
      <c r="BJ235" s="3">
        <f>BI235</f>
        <v>49.663</v>
      </c>
      <c r="BK235" s="3">
        <f>BJ235</f>
        <v>49.663</v>
      </c>
      <c r="BL235" s="3">
        <f>BK235</f>
        <v>49.663</v>
      </c>
      <c r="BM235" s="3">
        <f>BL235</f>
        <v>49.663</v>
      </c>
      <c r="BN235" s="3">
        <f>BM235</f>
        <v>49.663</v>
      </c>
      <c r="BO235" s="3">
        <f>BN235</f>
        <v>49.663</v>
      </c>
      <c r="BP235" s="3">
        <f>BO235</f>
        <v>49.663</v>
      </c>
      <c r="BQ235" s="3">
        <f>BP235</f>
        <v>49.663</v>
      </c>
      <c r="BR235" s="3">
        <f>BQ235</f>
        <v>49.663</v>
      </c>
      <c r="BS235" s="3">
        <f>BR235</f>
        <v>49.663</v>
      </c>
      <c r="BT235" s="3">
        <f>BS235</f>
        <v>49.663</v>
      </c>
      <c r="BU235" s="3">
        <f>BT235</f>
        <v>49.663</v>
      </c>
      <c r="BV235" s="3">
        <f>BU235</f>
        <v>49.663</v>
      </c>
      <c r="BW235" s="3">
        <f>BV235</f>
        <v>49.663</v>
      </c>
      <c r="BX235" s="3">
        <f>BW235</f>
        <v>49.663</v>
      </c>
      <c r="BY235" s="3">
        <f>BX235</f>
        <v>49.663</v>
      </c>
      <c r="BZ235" s="3">
        <f>BY235</f>
        <v>49.663</v>
      </c>
      <c r="CA235" s="3">
        <f>BZ235</f>
        <v>49.663</v>
      </c>
      <c r="CB235" s="3">
        <f>CA235</f>
        <v>49.663</v>
      </c>
      <c r="CC235" s="3">
        <f>CB235</f>
        <v>49.663</v>
      </c>
      <c r="CD235" s="3">
        <f>CC235</f>
        <v>49.663</v>
      </c>
      <c r="CE235" s="3">
        <f>CD235</f>
        <v>49.663</v>
      </c>
      <c r="CF235" s="3">
        <f>CE235</f>
        <v>49.663</v>
      </c>
      <c r="CG235" s="3">
        <f>CF235</f>
        <v>49.663</v>
      </c>
      <c r="CH235" s="3">
        <f>CG235</f>
        <v>49.663</v>
      </c>
      <c r="CI235" s="3">
        <f>CH235</f>
        <v>49.663</v>
      </c>
      <c r="CJ235" s="3">
        <f>CI235</f>
        <v>49.663</v>
      </c>
      <c r="CK235" s="3">
        <f>CJ235</f>
        <v>49.663</v>
      </c>
      <c r="CL235" s="3">
        <f>CK235</f>
        <v>49.663</v>
      </c>
      <c r="CM235" s="3">
        <f>CL235</f>
        <v>49.663</v>
      </c>
      <c r="CN235" s="3">
        <f>CM235</f>
        <v>49.663</v>
      </c>
      <c r="CO235" s="3">
        <f>CN235</f>
        <v>49.663</v>
      </c>
      <c r="CP235" s="3">
        <f>CO235</f>
        <v>49.663</v>
      </c>
      <c r="CQ235" s="3">
        <f>CP235</f>
        <v>49.663</v>
      </c>
      <c r="CR235" s="3">
        <f>CQ235</f>
        <v>49.663</v>
      </c>
      <c r="CS235" s="3">
        <f>CR235</f>
        <v>49.663</v>
      </c>
      <c r="CT235" s="3">
        <f>CS235</f>
        <v>49.663</v>
      </c>
      <c r="CU235" s="3">
        <f>CT235</f>
        <v>49.663</v>
      </c>
      <c r="CV235" s="3">
        <f>CU235</f>
        <v>49.663</v>
      </c>
      <c r="CW235" s="3">
        <f>CV235</f>
        <v>49.663</v>
      </c>
      <c r="CX235" s="3">
        <f>CW235</f>
        <v>49.663</v>
      </c>
      <c r="CY235" s="3">
        <f>CX235</f>
        <v>49.663</v>
      </c>
    </row>
    <row r="236" hidden="1" outlineLevel="1">
      <c r="C236" s="38" t="inlineStr">
        <is>
          <t>%(Var.)</t>
        </is>
      </c>
      <c r="D236" s="3" t="n"/>
      <c r="E236" s="47">
        <f>(E235-D235)/D235</f>
        <v>0</v>
      </c>
      <c r="F236" s="47">
        <f>(F235-E235)/E235</f>
        <v>0</v>
      </c>
      <c r="G236" s="47">
        <f>(G235-F235)/F235</f>
        <v>-0.0629139072847682</v>
      </c>
      <c r="H236" s="3" t="n"/>
      <c r="I236" s="47">
        <f>(I235-H235)/H235</f>
        <v>0.794089302923225</v>
      </c>
      <c r="J236" s="47">
        <f>(J235-I235)/I235</f>
        <v>-0.232855863921217</v>
      </c>
      <c r="K236" s="47">
        <f>(K235-J235)/J235</f>
        <v>0.334111331543937</v>
      </c>
      <c r="L236" s="47">
        <f>(L235-K235)/K235</f>
        <v>-8.74737578725897e-05</v>
      </c>
      <c r="M236" s="3" t="n"/>
      <c r="N236" s="47">
        <f>(N235-M235)/M235</f>
        <v>0.0332429358761262</v>
      </c>
      <c r="O236" s="47">
        <f>(O235-N235)/N235</f>
        <v>0.75243417153501</v>
      </c>
      <c r="P236" s="47">
        <f>(P235-O235)/O235</f>
        <v>-0.107063484394628</v>
      </c>
      <c r="Q236" s="47">
        <f>(Q235-P235)/P235</f>
        <v>1.20755329509793</v>
      </c>
      <c r="R236" s="3" t="n"/>
      <c r="S236" s="47">
        <f>(S235-R235)/R235</f>
        <v>0.065049019607843</v>
      </c>
      <c r="T236" s="47">
        <f>(T235-S235)/S235</f>
        <v>-0.239632715055001</v>
      </c>
      <c r="U236" s="47">
        <f>(U235-T235)/T235</f>
        <v>-0.167761266305499</v>
      </c>
      <c r="V236" s="47">
        <f>(V235-U235)/U235</f>
        <v>-0.151611026256455</v>
      </c>
      <c r="W236" s="3" t="n"/>
      <c r="X236" s="47">
        <f>(X235-W235)/W235</f>
        <v>-0.0765570748853359</v>
      </c>
      <c r="Y236" s="47">
        <f>(Y235-X235)/X235</f>
        <v>-0.0627582045211902</v>
      </c>
      <c r="Z236" s="47">
        <f>(Z235-Y235)/Y235</f>
        <v>1.35005695606954</v>
      </c>
      <c r="AA236" s="47">
        <f>(AA235-Z235)/Z235</f>
        <v>0.314689146469968</v>
      </c>
      <c r="AB236" s="3" t="n"/>
      <c r="AC236" s="47">
        <f>(AC235-AB235)/AB235</f>
        <v>0.0268827546407618</v>
      </c>
      <c r="AD236" s="47">
        <f>(AD235-AC235)/AC235</f>
        <v>-0.239981891693595</v>
      </c>
      <c r="AE236" s="47">
        <f>(AE235-AD235)/AD235</f>
        <v>-0.133077270673294</v>
      </c>
      <c r="AF236" s="230">
        <f>(AF235-AE235)/AE235</f>
        <v>0.299168384391215</v>
      </c>
      <c r="AG236" s="3" t="n"/>
      <c r="AH236" s="6">
        <f>(AH235-AG235)/AG235</f>
        <v>-0.116880037932669</v>
      </c>
      <c r="AI236" s="6">
        <f>(AI235-AH235)/AH235</f>
        <v>0.0255653071760454</v>
      </c>
      <c r="AJ236" s="6" t="n"/>
      <c r="AK236" s="6" t="n"/>
      <c r="AL236" s="3" t="n"/>
      <c r="AM236" s="6" t="n"/>
      <c r="AN236" s="6" t="n"/>
      <c r="AO236" s="6" t="n"/>
      <c r="AP236" s="6" t="n"/>
      <c r="AQ236" s="3" t="n"/>
      <c r="AR236" s="6" t="n"/>
      <c r="AS236" s="6" t="n"/>
      <c r="AT236" s="6" t="n"/>
      <c r="AU236" s="6" t="n"/>
      <c r="AV236" s="3" t="n"/>
      <c r="AW236" s="6" t="n"/>
      <c r="AX236" s="6" t="n"/>
      <c r="AY236" s="6" t="n"/>
      <c r="AZ236" s="6" t="n"/>
      <c r="BA236" s="3" t="n"/>
      <c r="BB236" s="6" t="n"/>
      <c r="BC236" s="6" t="n"/>
      <c r="BD236" s="6" t="n"/>
      <c r="BE236" s="6" t="n"/>
      <c r="BF236" s="3" t="n"/>
      <c r="BG236" s="6" t="n"/>
      <c r="BH236" s="6" t="n"/>
      <c r="BI236" s="6" t="n"/>
      <c r="BJ236" s="6" t="n"/>
      <c r="BK236" s="3" t="n"/>
      <c r="BL236" s="6" t="n"/>
      <c r="BM236" s="6" t="n"/>
      <c r="BN236" s="6" t="n"/>
      <c r="BO236" s="6" t="n"/>
      <c r="BP236" s="3" t="n"/>
      <c r="BQ236" s="6" t="n"/>
      <c r="BR236" s="6" t="n"/>
      <c r="BS236" s="6" t="n"/>
      <c r="BT236" s="6" t="n"/>
      <c r="BU236" s="3" t="n"/>
      <c r="BV236" s="6" t="n"/>
      <c r="BW236" s="6" t="n"/>
      <c r="BX236" s="6" t="n"/>
      <c r="BY236" s="6" t="n"/>
      <c r="BZ236" s="3" t="n"/>
      <c r="CA236" s="6" t="n"/>
      <c r="CB236" s="6" t="n"/>
      <c r="CC236" s="6" t="n"/>
      <c r="CD236" s="6" t="n"/>
      <c r="CE236" s="3" t="n"/>
      <c r="CF236" s="6" t="n"/>
      <c r="CG236" s="6" t="n"/>
      <c r="CH236" s="6" t="n"/>
      <c r="CI236" s="6" t="n"/>
      <c r="CJ236" s="3" t="n"/>
      <c r="CK236" s="6" t="n"/>
      <c r="CL236" s="6" t="n"/>
      <c r="CM236" s="6" t="n"/>
      <c r="CN236" s="6" t="n"/>
      <c r="CO236" s="3" t="n"/>
      <c r="CP236" s="6" t="n"/>
      <c r="CQ236" s="6" t="n"/>
      <c r="CR236" s="6" t="n"/>
      <c r="CS236" s="6" t="n"/>
      <c r="CT236" s="3" t="n"/>
      <c r="CU236" s="6" t="n"/>
      <c r="CV236" s="6" t="n"/>
      <c r="CW236" s="6" t="n"/>
      <c r="CX236" s="6" t="n"/>
      <c r="CY236" s="3" t="n"/>
    </row>
    <row r="237" hidden="1" outlineLevel="1">
      <c r="C237" s="34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  <c r="CU237" s="3" t="n"/>
      <c r="CV237" s="3" t="n"/>
      <c r="CW237" s="3" t="n"/>
      <c r="CX237" s="3" t="n"/>
      <c r="CY237" s="3" t="n"/>
    </row>
    <row r="238" collapsed="1">
      <c r="C238" s="26" t="inlineStr">
        <is>
          <t>Convertible debt</t>
        </is>
      </c>
      <c r="D238" s="25" t="n"/>
      <c r="E238" s="25" t="n"/>
      <c r="F238" s="25" t="n"/>
      <c r="G238" s="25" t="n"/>
      <c r="H238" s="3">
        <f>G238</f>
        <v>0</v>
      </c>
      <c r="I238" s="25" t="n"/>
      <c r="J238" s="25" t="n"/>
      <c r="K238" s="25" t="n"/>
      <c r="L238" s="25" t="n"/>
      <c r="M238" s="3">
        <f>L238</f>
        <v>0</v>
      </c>
      <c r="N238" s="25" t="n"/>
      <c r="O238" s="25" t="n"/>
      <c r="P238" s="25" t="n"/>
      <c r="Q238" s="25" t="n"/>
      <c r="R238" s="3">
        <f>Q238</f>
        <v>0</v>
      </c>
      <c r="S238" s="25" t="n"/>
      <c r="T238" s="25" t="n"/>
      <c r="U238" s="25" t="n"/>
      <c r="V238" s="25" t="n"/>
      <c r="W238" s="3">
        <f>V238</f>
        <v>0</v>
      </c>
      <c r="X238" s="25" t="n"/>
      <c r="Y238" s="25" t="n"/>
      <c r="Z238" s="25" t="n"/>
      <c r="AA238" s="25" t="n"/>
      <c r="AB238" s="3">
        <f>AA238</f>
        <v>0</v>
      </c>
      <c r="AC238" s="25" t="n"/>
      <c r="AD238" s="25" t="n"/>
      <c r="AE238" s="25" t="n"/>
      <c r="AF238" s="25" t="n"/>
      <c r="AG238" s="3">
        <f>AF238</f>
        <v>0</v>
      </c>
      <c r="AH238" s="3">
        <f>AG238</f>
        <v>0</v>
      </c>
      <c r="AI238" s="3">
        <f>AH238</f>
        <v>0</v>
      </c>
      <c r="AJ238" s="3">
        <f>AI238</f>
        <v>0</v>
      </c>
      <c r="AK238" s="3">
        <f>AJ238</f>
        <v>0</v>
      </c>
      <c r="AL238" s="3">
        <f>AK238</f>
        <v>0</v>
      </c>
      <c r="AM238" s="3">
        <f>AL238</f>
        <v>0</v>
      </c>
      <c r="AN238" s="3">
        <f>AM238</f>
        <v>0</v>
      </c>
      <c r="AO238" s="3">
        <f>AN238</f>
        <v>0</v>
      </c>
      <c r="AP238" s="3">
        <f>AO238</f>
        <v>0</v>
      </c>
      <c r="AQ238" s="3">
        <f>AP238</f>
        <v>0</v>
      </c>
      <c r="AR238" s="3">
        <f>AQ238</f>
        <v>0</v>
      </c>
      <c r="AS238" s="3">
        <f>AR238</f>
        <v>0</v>
      </c>
      <c r="AT238" s="3">
        <f>AS238</f>
        <v>0</v>
      </c>
      <c r="AU238" s="3">
        <f>AT238</f>
        <v>0</v>
      </c>
      <c r="AV238" s="3">
        <f>AU238</f>
        <v>0</v>
      </c>
      <c r="AW238" s="3">
        <f>AV238</f>
        <v>0</v>
      </c>
      <c r="AX238" s="3">
        <f>AW238</f>
        <v>0</v>
      </c>
      <c r="AY238" s="3">
        <f>AX238</f>
        <v>0</v>
      </c>
      <c r="AZ238" s="3">
        <f>AY238</f>
        <v>0</v>
      </c>
      <c r="BA238" s="3">
        <f>AZ238</f>
        <v>0</v>
      </c>
      <c r="BB238" s="3">
        <f>BA238</f>
        <v>0</v>
      </c>
      <c r="BC238" s="3">
        <f>BB238</f>
        <v>0</v>
      </c>
      <c r="BD238" s="3">
        <f>BC238</f>
        <v>0</v>
      </c>
      <c r="BE238" s="3">
        <f>BD238</f>
        <v>0</v>
      </c>
      <c r="BF238" s="3">
        <f>BE238</f>
        <v>0</v>
      </c>
      <c r="BG238" s="3">
        <f>BF238</f>
        <v>0</v>
      </c>
      <c r="BH238" s="3">
        <f>BG238</f>
        <v>0</v>
      </c>
      <c r="BI238" s="3">
        <f>BH238</f>
        <v>0</v>
      </c>
      <c r="BJ238" s="3">
        <f>BI238</f>
        <v>0</v>
      </c>
      <c r="BK238" s="3">
        <f>BJ238</f>
        <v>0</v>
      </c>
      <c r="BL238" s="3">
        <f>BK238</f>
        <v>0</v>
      </c>
      <c r="BM238" s="3">
        <f>BL238</f>
        <v>0</v>
      </c>
      <c r="BN238" s="3">
        <f>BM238</f>
        <v>0</v>
      </c>
      <c r="BO238" s="3">
        <f>BN238</f>
        <v>0</v>
      </c>
      <c r="BP238" s="3">
        <f>BO238</f>
        <v>0</v>
      </c>
      <c r="BQ238" s="3">
        <f>BP238</f>
        <v>0</v>
      </c>
      <c r="BR238" s="3">
        <f>BQ238</f>
        <v>0</v>
      </c>
      <c r="BS238" s="3">
        <f>BR238</f>
        <v>0</v>
      </c>
      <c r="BT238" s="3">
        <f>BS238</f>
        <v>0</v>
      </c>
      <c r="BU238" s="3">
        <f>BT238</f>
        <v>0</v>
      </c>
      <c r="BV238" s="3">
        <f>BU238</f>
        <v>0</v>
      </c>
      <c r="BW238" s="3">
        <f>BV238</f>
        <v>0</v>
      </c>
      <c r="BX238" s="3">
        <f>BW238</f>
        <v>0</v>
      </c>
      <c r="BY238" s="3">
        <f>BX238</f>
        <v>0</v>
      </c>
      <c r="BZ238" s="3">
        <f>BY238</f>
        <v>0</v>
      </c>
      <c r="CA238" s="3">
        <f>BZ238</f>
        <v>0</v>
      </c>
      <c r="CB238" s="3">
        <f>CA238</f>
        <v>0</v>
      </c>
      <c r="CC238" s="3">
        <f>CB238</f>
        <v>0</v>
      </c>
      <c r="CD238" s="3">
        <f>CC238</f>
        <v>0</v>
      </c>
      <c r="CE238" s="3">
        <f>CD238</f>
        <v>0</v>
      </c>
      <c r="CF238" s="3">
        <f>CE238</f>
        <v>0</v>
      </c>
      <c r="CG238" s="3">
        <f>CF238</f>
        <v>0</v>
      </c>
      <c r="CH238" s="3">
        <f>CG238</f>
        <v>0</v>
      </c>
      <c r="CI238" s="3">
        <f>CH238</f>
        <v>0</v>
      </c>
      <c r="CJ238" s="3">
        <f>CI238</f>
        <v>0</v>
      </c>
      <c r="CK238" s="3">
        <f>CJ238</f>
        <v>0</v>
      </c>
      <c r="CL238" s="3">
        <f>CK238</f>
        <v>0</v>
      </c>
      <c r="CM238" s="3">
        <f>CL238</f>
        <v>0</v>
      </c>
      <c r="CN238" s="3">
        <f>CM238</f>
        <v>0</v>
      </c>
      <c r="CO238" s="3">
        <f>CN238</f>
        <v>0</v>
      </c>
      <c r="CP238" s="3">
        <f>CO238</f>
        <v>0</v>
      </c>
      <c r="CQ238" s="3">
        <f>CP238</f>
        <v>0</v>
      </c>
      <c r="CR238" s="3">
        <f>CQ238</f>
        <v>0</v>
      </c>
      <c r="CS238" s="3">
        <f>CR238</f>
        <v>0</v>
      </c>
      <c r="CT238" s="3">
        <f>CS238</f>
        <v>0</v>
      </c>
      <c r="CU238" s="3">
        <f>CT238</f>
        <v>0</v>
      </c>
      <c r="CV238" s="3">
        <f>CU238</f>
        <v>0</v>
      </c>
      <c r="CW238" s="3">
        <f>CV238</f>
        <v>0</v>
      </c>
      <c r="CX238" s="3">
        <f>CW238</f>
        <v>0</v>
      </c>
      <c r="CY238" s="3">
        <f>CX238</f>
        <v>0</v>
      </c>
    </row>
    <row r="239">
      <c r="C239" s="26" t="inlineStr">
        <is>
          <t>Deferred income taxes</t>
        </is>
      </c>
      <c r="D239" s="25">
        <f>INDEX('Inputs (2)'!$D$38:$AL$38,MATCH(D$7,'Inputs (2)'!$D$2:$AL$2,0))</f>
        <v>53.542</v>
      </c>
      <c r="E239" s="25">
        <f>INDEX('Inputs (2)'!$D$38:$AL$38,MATCH(E$7,'Inputs (2)'!$D$2:$AL$2,0))</f>
        <v>53.542</v>
      </c>
      <c r="F239" s="25">
        <f>INDEX('Inputs (2)'!$D$38:$AL$38,MATCH(F$7,'Inputs (2)'!$D$2:$AL$2,0))</f>
        <v>53.542</v>
      </c>
      <c r="G239" s="25">
        <f>INDEX('Inputs (2)'!$D$38:$AL$38,MATCH(G$7,'Inputs (2)'!$D$2:$AL$2,0))</f>
        <v>23.789</v>
      </c>
      <c r="H239" s="3">
        <f>G239</f>
        <v>23.789</v>
      </c>
      <c r="I239" s="25">
        <f>INDEX('Inputs (2)'!$D$38:$AL$38,MATCH(I$7,'Inputs (2)'!$D$2:$AL$2,0))</f>
        <v>17.817</v>
      </c>
      <c r="J239" s="25">
        <f>INDEX('Inputs (2)'!$D$38:$AL$38,MATCH(J$7,'Inputs (2)'!$D$2:$AL$2,0))</f>
        <v>17.496</v>
      </c>
      <c r="K239" s="25">
        <f>INDEX('Inputs (2)'!$D$38:$AL$38,MATCH(K$7,'Inputs (2)'!$D$2:$AL$2,0))</f>
        <v>19.982</v>
      </c>
      <c r="L239" s="25">
        <f>INDEX('Inputs (2)'!$D$38:$AL$38,MATCH(L$7,'Inputs (2)'!$D$2:$AL$2,0))</f>
        <v>9.105</v>
      </c>
      <c r="M239" s="3">
        <f>L239</f>
        <v>9.105</v>
      </c>
      <c r="N239" s="25">
        <f>INDEX('Inputs (2)'!$D$38:$AL$38,MATCH(N$7,'Inputs (2)'!$D$2:$AL$2,0))</f>
        <v>9.105</v>
      </c>
      <c r="O239" s="25">
        <f>INDEX('Inputs (2)'!$D$38:$AL$38,MATCH(O$7,'Inputs (2)'!$D$2:$AL$2,0))</f>
        <v>9.105</v>
      </c>
      <c r="P239" s="25">
        <f>INDEX('Inputs (2)'!$D$38:$AL$38,MATCH(P$7,'Inputs (2)'!$D$2:$AL$2,0))</f>
        <v>9.105</v>
      </c>
      <c r="Q239" s="25">
        <f>INDEX('Inputs (2)'!$D$38:$AL$38,MATCH(Q$7,'Inputs (2)'!$D$2:$AL$2,0))</f>
        <v>4.139</v>
      </c>
      <c r="R239" s="3">
        <f>Q239</f>
        <v>4.139</v>
      </c>
      <c r="S239" s="25">
        <f>INDEX('Inputs (2)'!$D$38:$AL$38,MATCH(S$7,'Inputs (2)'!$D$2:$AL$2,0))</f>
        <v>4.139</v>
      </c>
      <c r="T239" s="25">
        <f>INDEX('Inputs (2)'!$D$38:$AL$38,MATCH(T$7,'Inputs (2)'!$D$2:$AL$2,0))</f>
        <v>4.139</v>
      </c>
      <c r="U239" s="25">
        <f>INDEX('Inputs (2)'!$D$38:$AL$38,MATCH(U$7,'Inputs (2)'!$D$2:$AL$2,0))</f>
        <v>4.139</v>
      </c>
      <c r="V239" s="25">
        <f>INDEX('Inputs (2)'!$D$38:$AL$38,MATCH(V$7,'Inputs (2)'!$D$2:$AL$2,0))</f>
        <v>4.139</v>
      </c>
      <c r="W239" s="3">
        <f>V239</f>
        <v>4.139</v>
      </c>
      <c r="X239" s="25">
        <f>INDEX('Inputs (2)'!$D$38:$AL$38,MATCH(X$7,'Inputs (2)'!$D$2:$AL$2,0))</f>
        <v>4.139</v>
      </c>
      <c r="Y239" s="25">
        <f>INDEX('Inputs (2)'!$D$38:$AL$38,MATCH(Y$7,'Inputs (2)'!$D$2:$AL$2,0))</f>
        <v>4.139</v>
      </c>
      <c r="Z239" s="25">
        <f>INDEX('Inputs (2)'!$D$38:$AL$38,MATCH(Z$7,'Inputs (2)'!$D$2:$AL$2,0))</f>
        <v>4.139</v>
      </c>
      <c r="AA239" s="25">
        <f>INDEX('Inputs (2)'!$D$38:$AL$38,MATCH(AA$7,'Inputs (2)'!$D$2:$AL$2,0))</f>
        <v>3.68</v>
      </c>
      <c r="AB239" s="3">
        <f>AA239</f>
        <v>3.68</v>
      </c>
      <c r="AC239" s="25">
        <f>INDEX('Inputs (2)'!$D$38:$AL$38,MATCH(AC$7,'Inputs (2)'!$D$2:$AL$2,0))</f>
        <v>3.68</v>
      </c>
      <c r="AD239" s="25">
        <f>INDEX('Inputs (2)'!$D$38:$AL$38,MATCH(AD$7,'Inputs (2)'!$D$2:$AL$2,0))</f>
        <v>3.68</v>
      </c>
      <c r="AE239" s="25">
        <f>INDEX('Inputs (2)'!$D$38:$AL$38,MATCH(AE$7,'Inputs (2)'!$D$2:$AL$2,0))</f>
        <v>3.68</v>
      </c>
      <c r="AF239" s="25">
        <f>INDEX('Inputs (2)'!$D$38:$AL$38,MATCH(AF$7,'Inputs (2)'!$D$2:$AL$2,0))</f>
        <v>2.728</v>
      </c>
      <c r="AG239" s="3">
        <f>AF239</f>
        <v>2.728</v>
      </c>
      <c r="AH239" s="3">
        <f>INDEX('Inputs (2)'!$D$38:$AL$38,MATCH(AH$7,'Inputs (2)'!$D$2:$AL$2,0))</f>
        <v>2.728</v>
      </c>
      <c r="AI239" s="3">
        <f>INDEX('Inputs (2)'!$D$38:$AL$38,MATCH(AI$7,'Inputs (2)'!$D$2:$AL$2,0))</f>
        <v>597.286</v>
      </c>
      <c r="AJ239" s="3">
        <f>AI239</f>
        <v>597.286</v>
      </c>
      <c r="AK239" s="3">
        <f>AJ239</f>
        <v>597.286</v>
      </c>
      <c r="AL239" s="3">
        <f>AK239</f>
        <v>597.286</v>
      </c>
      <c r="AM239" s="3">
        <f>AL239</f>
        <v>597.286</v>
      </c>
      <c r="AN239" s="3">
        <f>AM239</f>
        <v>597.286</v>
      </c>
      <c r="AO239" s="3">
        <f>AN239</f>
        <v>597.286</v>
      </c>
      <c r="AP239" s="3">
        <f>AO239</f>
        <v>597.286</v>
      </c>
      <c r="AQ239" s="3">
        <f>AP239</f>
        <v>597.286</v>
      </c>
      <c r="AR239" s="3">
        <f>AQ239</f>
        <v>597.286</v>
      </c>
      <c r="AS239" s="3">
        <f>AR239</f>
        <v>597.286</v>
      </c>
      <c r="AT239" s="3">
        <f>AS239</f>
        <v>597.286</v>
      </c>
      <c r="AU239" s="3">
        <f>AT239</f>
        <v>597.286</v>
      </c>
      <c r="AV239" s="3">
        <f>AU239</f>
        <v>597.286</v>
      </c>
      <c r="AW239" s="3">
        <f>AV239</f>
        <v>597.286</v>
      </c>
      <c r="AX239" s="3">
        <f>AW239</f>
        <v>597.286</v>
      </c>
      <c r="AY239" s="3">
        <f>AX239</f>
        <v>597.286</v>
      </c>
      <c r="AZ239" s="3">
        <f>AY239</f>
        <v>597.286</v>
      </c>
      <c r="BA239" s="3">
        <f>AZ239</f>
        <v>597.286</v>
      </c>
      <c r="BB239" s="3">
        <f>BA239</f>
        <v>597.286</v>
      </c>
      <c r="BC239" s="3">
        <f>BB239</f>
        <v>597.286</v>
      </c>
      <c r="BD239" s="3">
        <f>BC239</f>
        <v>597.286</v>
      </c>
      <c r="BE239" s="3">
        <f>BD239</f>
        <v>597.286</v>
      </c>
      <c r="BF239" s="3">
        <f>BE239</f>
        <v>597.286</v>
      </c>
      <c r="BG239" s="3">
        <f>BF239</f>
        <v>597.286</v>
      </c>
      <c r="BH239" s="3">
        <f>BG239</f>
        <v>597.286</v>
      </c>
      <c r="BI239" s="3">
        <f>BH239</f>
        <v>597.286</v>
      </c>
      <c r="BJ239" s="3">
        <f>BI239</f>
        <v>597.286</v>
      </c>
      <c r="BK239" s="3">
        <f>BJ239</f>
        <v>597.286</v>
      </c>
      <c r="BL239" s="3">
        <f>BK239</f>
        <v>597.286</v>
      </c>
      <c r="BM239" s="3">
        <f>BL239</f>
        <v>597.286</v>
      </c>
      <c r="BN239" s="3">
        <f>BM239</f>
        <v>597.286</v>
      </c>
      <c r="BO239" s="3">
        <f>BN239</f>
        <v>597.286</v>
      </c>
      <c r="BP239" s="3">
        <f>BO239</f>
        <v>597.286</v>
      </c>
      <c r="BQ239" s="3">
        <f>BP239</f>
        <v>597.286</v>
      </c>
      <c r="BR239" s="3">
        <f>BQ239</f>
        <v>597.286</v>
      </c>
      <c r="BS239" s="3">
        <f>BR239</f>
        <v>597.286</v>
      </c>
      <c r="BT239" s="3">
        <f>BS239</f>
        <v>597.286</v>
      </c>
      <c r="BU239" s="3">
        <f>BT239</f>
        <v>597.286</v>
      </c>
      <c r="BV239" s="3">
        <f>BU239</f>
        <v>597.286</v>
      </c>
      <c r="BW239" s="3">
        <f>BV239</f>
        <v>597.286</v>
      </c>
      <c r="BX239" s="3">
        <f>BW239</f>
        <v>597.286</v>
      </c>
      <c r="BY239" s="3">
        <f>BX239</f>
        <v>597.286</v>
      </c>
      <c r="BZ239" s="3">
        <f>BY239</f>
        <v>597.286</v>
      </c>
      <c r="CA239" s="3">
        <f>BZ239</f>
        <v>597.286</v>
      </c>
      <c r="CB239" s="3">
        <f>CA239</f>
        <v>597.286</v>
      </c>
      <c r="CC239" s="3">
        <f>CB239</f>
        <v>597.286</v>
      </c>
      <c r="CD239" s="3">
        <f>CC239</f>
        <v>597.286</v>
      </c>
      <c r="CE239" s="3">
        <f>CD239</f>
        <v>597.286</v>
      </c>
      <c r="CF239" s="3">
        <f>CE239</f>
        <v>597.286</v>
      </c>
      <c r="CG239" s="3">
        <f>CF239</f>
        <v>597.286</v>
      </c>
      <c r="CH239" s="3">
        <f>CG239</f>
        <v>597.286</v>
      </c>
      <c r="CI239" s="3">
        <f>CH239</f>
        <v>597.286</v>
      </c>
      <c r="CJ239" s="3">
        <f>CI239</f>
        <v>597.286</v>
      </c>
      <c r="CK239" s="3">
        <f>CJ239</f>
        <v>597.286</v>
      </c>
      <c r="CL239" s="3">
        <f>CK239</f>
        <v>597.286</v>
      </c>
      <c r="CM239" s="3">
        <f>CL239</f>
        <v>597.286</v>
      </c>
      <c r="CN239" s="3">
        <f>CM239</f>
        <v>597.286</v>
      </c>
      <c r="CO239" s="3">
        <f>CN239</f>
        <v>597.286</v>
      </c>
      <c r="CP239" s="3">
        <f>CO239</f>
        <v>597.286</v>
      </c>
      <c r="CQ239" s="3">
        <f>CP239</f>
        <v>597.286</v>
      </c>
      <c r="CR239" s="3">
        <f>CQ239</f>
        <v>597.286</v>
      </c>
      <c r="CS239" s="3">
        <f>CR239</f>
        <v>597.286</v>
      </c>
      <c r="CT239" s="3">
        <f>CS239</f>
        <v>597.286</v>
      </c>
      <c r="CU239" s="3">
        <f>CT239</f>
        <v>597.286</v>
      </c>
      <c r="CV239" s="3">
        <f>CU239</f>
        <v>597.286</v>
      </c>
      <c r="CW239" s="3">
        <f>CV239</f>
        <v>597.286</v>
      </c>
      <c r="CX239" s="3">
        <f>CW239</f>
        <v>597.286</v>
      </c>
      <c r="CY239" s="3">
        <f>CX239</f>
        <v>597.286</v>
      </c>
    </row>
    <row r="240">
      <c r="C240" s="26" t="inlineStr">
        <is>
          <t>Other non-current liabilities</t>
        </is>
      </c>
      <c r="D240" s="25">
        <f>INDEX('Inputs (2)'!$D$39:$AL$39,MATCH(D$7,'Inputs (2)'!$D$2:$AL$2,0))</f>
        <v>114.945</v>
      </c>
      <c r="E240" s="25">
        <f>INDEX('Inputs (2)'!$D$39:$AL$39,MATCH(E$7,'Inputs (2)'!$D$2:$AL$2,0))</f>
        <v>53.193</v>
      </c>
      <c r="F240" s="25">
        <f>INDEX('Inputs (2)'!$D$39:$AL$39,MATCH(F$7,'Inputs (2)'!$D$2:$AL$2,0))</f>
        <v>41.016</v>
      </c>
      <c r="G240" s="25">
        <f>INDEX('Inputs (2)'!$D$39:$AL$39,MATCH(G$7,'Inputs (2)'!$D$2:$AL$2,0))</f>
        <v>77.245</v>
      </c>
      <c r="H240" s="3">
        <f>G240</f>
        <v>77.245</v>
      </c>
      <c r="I240" s="25">
        <f>INDEX('Inputs (2)'!$D$39:$AL$39,MATCH(I$7,'Inputs (2)'!$D$2:$AL$2,0))</f>
        <v>85.655</v>
      </c>
      <c r="J240" s="25">
        <f>INDEX('Inputs (2)'!$D$39:$AL$39,MATCH(J$7,'Inputs (2)'!$D$2:$AL$2,0))</f>
        <v>76.482</v>
      </c>
      <c r="K240" s="25">
        <f>INDEX('Inputs (2)'!$D$39:$AL$39,MATCH(K$7,'Inputs (2)'!$D$2:$AL$2,0))</f>
        <v>89.692</v>
      </c>
      <c r="L240" s="25">
        <f>INDEX('Inputs (2)'!$D$39:$AL$39,MATCH(L$7,'Inputs (2)'!$D$2:$AL$2,0))</f>
        <v>87.593</v>
      </c>
      <c r="M240" s="3">
        <f>L240</f>
        <v>87.593</v>
      </c>
      <c r="N240" s="25">
        <f>INDEX('Inputs (2)'!$D$39:$AL$39,MATCH(N$7,'Inputs (2)'!$D$2:$AL$2,0))</f>
        <v>90.417</v>
      </c>
      <c r="O240" s="25">
        <f>INDEX('Inputs (2)'!$D$39:$AL$39,MATCH(O$7,'Inputs (2)'!$D$2:$AL$2,0))</f>
        <v>353.748</v>
      </c>
      <c r="P240" s="25">
        <f>INDEX('Inputs (2)'!$D$39:$AL$39,MATCH(P$7,'Inputs (2)'!$D$2:$AL$2,0))</f>
        <v>355.709</v>
      </c>
      <c r="Q240" s="25">
        <f>INDEX('Inputs (2)'!$D$39:$AL$39,MATCH(Q$7,'Inputs (2)'!$D$2:$AL$2,0))</f>
        <v>146.47</v>
      </c>
      <c r="R240" s="3">
        <f>Q240</f>
        <v>146.47</v>
      </c>
      <c r="S240" s="25">
        <f>INDEX('Inputs (2)'!$D$39:$AL$39,MATCH(S$7,'Inputs (2)'!$D$2:$AL$2,0))</f>
        <v>147.813</v>
      </c>
      <c r="T240" s="25">
        <f>INDEX('Inputs (2)'!$D$39:$AL$39,MATCH(T$7,'Inputs (2)'!$D$2:$AL$2,0))</f>
        <v>159.096</v>
      </c>
      <c r="U240" s="25">
        <f>INDEX('Inputs (2)'!$D$39:$AL$39,MATCH(U$7,'Inputs (2)'!$D$2:$AL$2,0))</f>
        <v>172.115</v>
      </c>
      <c r="V240" s="25">
        <f>INDEX('Inputs (2)'!$D$39:$AL$39,MATCH(V$7,'Inputs (2)'!$D$2:$AL$2,0))</f>
        <v>152.046</v>
      </c>
      <c r="W240" s="3">
        <f>V240</f>
        <v>152.046</v>
      </c>
      <c r="X240" s="25">
        <f>INDEX('Inputs (2)'!$D$39:$AL$39,MATCH(X$7,'Inputs (2)'!$D$2:$AL$2,0))</f>
        <v>128.083</v>
      </c>
      <c r="Y240" s="25">
        <f>INDEX('Inputs (2)'!$D$39:$AL$39,MATCH(Y$7,'Inputs (2)'!$D$2:$AL$2,0))</f>
        <v>120.231</v>
      </c>
      <c r="Z240" s="25">
        <f>INDEX('Inputs (2)'!$D$39:$AL$39,MATCH(Z$7,'Inputs (2)'!$D$2:$AL$2,0))</f>
        <v>252.988</v>
      </c>
      <c r="AA240" s="25">
        <f>INDEX('Inputs (2)'!$D$39:$AL$39,MATCH(AA$7,'Inputs (2)'!$D$2:$AL$2,0))</f>
        <v>244.831</v>
      </c>
      <c r="AB240" s="3">
        <f>AA240</f>
        <v>244.831</v>
      </c>
      <c r="AC240" s="25">
        <f>INDEX('Inputs (2)'!$D$39:$AL$39,MATCH(AC$7,'Inputs (2)'!$D$2:$AL$2,0))</f>
        <v>244.158</v>
      </c>
      <c r="AD240" s="25">
        <f>INDEX('Inputs (2)'!$D$39:$AL$39,MATCH(AD$7,'Inputs (2)'!$D$2:$AL$2,0))</f>
        <v>243.824</v>
      </c>
      <c r="AE240" s="25">
        <f>INDEX('Inputs (2)'!$D$39:$AL$39,MATCH(AE$7,'Inputs (2)'!$D$2:$AL$2,0))</f>
        <v>237.509</v>
      </c>
      <c r="AF240" s="25">
        <f>INDEX('Inputs (2)'!$D$39:$AL$39,MATCH(AF$7,'Inputs (2)'!$D$2:$AL$2,0))</f>
        <v>171.344</v>
      </c>
      <c r="AG240" s="3">
        <f>AF240</f>
        <v>171.344</v>
      </c>
      <c r="AH240" s="3">
        <f>INDEX('Inputs (2)'!$D$39:$AL$39,MATCH(AH$7,'Inputs (2)'!$D$2:$AL$2,0))</f>
        <v>175.142</v>
      </c>
      <c r="AI240" s="3">
        <f>INDEX('Inputs (2)'!$D$39:$AL$39,MATCH(AI$7,'Inputs (2)'!$D$2:$AL$2,0))</f>
        <v>765.768</v>
      </c>
      <c r="AJ240" s="3">
        <f>AI240</f>
        <v>765.768</v>
      </c>
      <c r="AK240" s="3">
        <f>AJ240</f>
        <v>765.768</v>
      </c>
      <c r="AL240" s="3">
        <f>AK240</f>
        <v>765.768</v>
      </c>
      <c r="AM240" s="3">
        <f>AL240</f>
        <v>765.768</v>
      </c>
      <c r="AN240" s="3">
        <f>AM240</f>
        <v>765.768</v>
      </c>
      <c r="AO240" s="3">
        <f>AN240</f>
        <v>765.768</v>
      </c>
      <c r="AP240" s="3">
        <f>AO240</f>
        <v>765.768</v>
      </c>
      <c r="AQ240" s="3">
        <f>AP240</f>
        <v>765.768</v>
      </c>
      <c r="AR240" s="3">
        <f>AQ240</f>
        <v>765.768</v>
      </c>
      <c r="AS240" s="3">
        <f>AR240</f>
        <v>765.768</v>
      </c>
      <c r="AT240" s="3">
        <f>AS240</f>
        <v>765.768</v>
      </c>
      <c r="AU240" s="3">
        <f>AT240</f>
        <v>765.768</v>
      </c>
      <c r="AV240" s="3">
        <f>AU240</f>
        <v>765.768</v>
      </c>
      <c r="AW240" s="3">
        <f>AV240</f>
        <v>765.768</v>
      </c>
      <c r="AX240" s="3">
        <f>AW240</f>
        <v>765.768</v>
      </c>
      <c r="AY240" s="3">
        <f>AX240</f>
        <v>765.768</v>
      </c>
      <c r="AZ240" s="3">
        <f>AY240</f>
        <v>765.768</v>
      </c>
      <c r="BA240" s="3">
        <f>AZ240</f>
        <v>765.768</v>
      </c>
      <c r="BB240" s="3">
        <f>BA240</f>
        <v>765.768</v>
      </c>
      <c r="BC240" s="3">
        <f>BB240</f>
        <v>765.768</v>
      </c>
      <c r="BD240" s="3">
        <f>BC240</f>
        <v>765.768</v>
      </c>
      <c r="BE240" s="3">
        <f>BD240</f>
        <v>765.768</v>
      </c>
      <c r="BF240" s="3">
        <f>BE240</f>
        <v>765.768</v>
      </c>
      <c r="BG240" s="3">
        <f>BF240</f>
        <v>765.768</v>
      </c>
      <c r="BH240" s="3">
        <f>BG240</f>
        <v>765.768</v>
      </c>
      <c r="BI240" s="3">
        <f>BH240</f>
        <v>765.768</v>
      </c>
      <c r="BJ240" s="3">
        <f>BI240</f>
        <v>765.768</v>
      </c>
      <c r="BK240" s="3">
        <f>BJ240</f>
        <v>765.768</v>
      </c>
      <c r="BL240" s="3">
        <f>BK240</f>
        <v>765.768</v>
      </c>
      <c r="BM240" s="3">
        <f>BL240</f>
        <v>765.768</v>
      </c>
      <c r="BN240" s="3">
        <f>BM240</f>
        <v>765.768</v>
      </c>
      <c r="BO240" s="3">
        <f>BN240</f>
        <v>765.768</v>
      </c>
      <c r="BP240" s="3">
        <f>BO240</f>
        <v>765.768</v>
      </c>
      <c r="BQ240" s="3">
        <f>BP240</f>
        <v>765.768</v>
      </c>
      <c r="BR240" s="3">
        <f>BQ240</f>
        <v>765.768</v>
      </c>
      <c r="BS240" s="3">
        <f>BR240</f>
        <v>765.768</v>
      </c>
      <c r="BT240" s="3">
        <f>BS240</f>
        <v>765.768</v>
      </c>
      <c r="BU240" s="3">
        <f>BT240</f>
        <v>765.768</v>
      </c>
      <c r="BV240" s="3">
        <f>BU240</f>
        <v>765.768</v>
      </c>
      <c r="BW240" s="3">
        <f>BV240</f>
        <v>765.768</v>
      </c>
      <c r="BX240" s="3">
        <f>BW240</f>
        <v>765.768</v>
      </c>
      <c r="BY240" s="3">
        <f>BX240</f>
        <v>765.768</v>
      </c>
      <c r="BZ240" s="3">
        <f>BY240</f>
        <v>765.768</v>
      </c>
      <c r="CA240" s="3">
        <f>BZ240</f>
        <v>765.768</v>
      </c>
      <c r="CB240" s="3">
        <f>CA240</f>
        <v>765.768</v>
      </c>
      <c r="CC240" s="3">
        <f>CB240</f>
        <v>765.768</v>
      </c>
      <c r="CD240" s="3">
        <f>CC240</f>
        <v>765.768</v>
      </c>
      <c r="CE240" s="3">
        <f>CD240</f>
        <v>765.768</v>
      </c>
      <c r="CF240" s="3">
        <f>CE240</f>
        <v>765.768</v>
      </c>
      <c r="CG240" s="3">
        <f>CF240</f>
        <v>765.768</v>
      </c>
      <c r="CH240" s="3">
        <f>CG240</f>
        <v>765.768</v>
      </c>
      <c r="CI240" s="3">
        <f>CH240</f>
        <v>765.768</v>
      </c>
      <c r="CJ240" s="3">
        <f>CI240</f>
        <v>765.768</v>
      </c>
      <c r="CK240" s="3">
        <f>CJ240</f>
        <v>765.768</v>
      </c>
      <c r="CL240" s="3">
        <f>CK240</f>
        <v>765.768</v>
      </c>
      <c r="CM240" s="3">
        <f>CL240</f>
        <v>765.768</v>
      </c>
      <c r="CN240" s="3">
        <f>CM240</f>
        <v>765.768</v>
      </c>
      <c r="CO240" s="3">
        <f>CN240</f>
        <v>765.768</v>
      </c>
      <c r="CP240" s="3">
        <f>CO240</f>
        <v>765.768</v>
      </c>
      <c r="CQ240" s="3">
        <f>CP240</f>
        <v>765.768</v>
      </c>
      <c r="CR240" s="3">
        <f>CQ240</f>
        <v>765.768</v>
      </c>
      <c r="CS240" s="3">
        <f>CR240</f>
        <v>765.768</v>
      </c>
      <c r="CT240" s="3">
        <f>CS240</f>
        <v>765.768</v>
      </c>
      <c r="CU240" s="3">
        <f>CT240</f>
        <v>765.768</v>
      </c>
      <c r="CV240" s="3">
        <f>CU240</f>
        <v>765.768</v>
      </c>
      <c r="CW240" s="3">
        <f>CV240</f>
        <v>765.768</v>
      </c>
      <c r="CX240" s="3">
        <f>CW240</f>
        <v>765.768</v>
      </c>
      <c r="CY240" s="3">
        <f>CX240</f>
        <v>765.768</v>
      </c>
    </row>
    <row r="241" hidden="1" outlineLevel="1" ht="12" customHeight="1">
      <c r="C241" s="38" t="inlineStr">
        <is>
          <t>%(Var.)</t>
        </is>
      </c>
      <c r="D241" s="3" t="n"/>
      <c r="E241" s="47">
        <f>(E240-D240)/D240</f>
        <v>-0.537230849536735</v>
      </c>
      <c r="F241" s="47">
        <f>(F240-E240)/E240</f>
        <v>-0.228921098640799</v>
      </c>
      <c r="G241" s="47">
        <f>(G240-F240)/F240</f>
        <v>0.883289448020285</v>
      </c>
      <c r="H241" s="3" t="n"/>
      <c r="I241" s="47">
        <f>(I240-H240)/H240</f>
        <v>0.108874360800052</v>
      </c>
      <c r="J241" s="47">
        <f>(J240-I240)/I240</f>
        <v>-0.107092405580527</v>
      </c>
      <c r="K241" s="47">
        <f>(K240-J240)/J240</f>
        <v>0.172720378651186</v>
      </c>
      <c r="L241" s="47">
        <f>(L240-K240)/K240</f>
        <v>-0.0234023101279936</v>
      </c>
      <c r="M241" s="3" t="n"/>
      <c r="N241" s="47">
        <f>(N240-M240)/M240</f>
        <v>0.0322400191796148</v>
      </c>
      <c r="O241" s="47">
        <f>(O240-N240)/N240</f>
        <v>2.91240585288165</v>
      </c>
      <c r="P241" s="47">
        <f>(P240-O240)/O240</f>
        <v>0.00554349423883672</v>
      </c>
      <c r="Q241" s="47">
        <f>(Q240-P240)/P240</f>
        <v>-0.588230829132802</v>
      </c>
      <c r="R241" s="3" t="n"/>
      <c r="S241" s="47">
        <f>(S240-R240)/R240</f>
        <v>0.00916911312896832</v>
      </c>
      <c r="T241" s="47">
        <f>(T240-S240)/S240</f>
        <v>0.0763329341803496</v>
      </c>
      <c r="U241" s="47">
        <f>(U240-T240)/T240</f>
        <v>0.0818310956906522</v>
      </c>
      <c r="V241" s="47">
        <f>(V240-U240)/U240</f>
        <v>-0.11660227173692</v>
      </c>
      <c r="W241" s="3" t="n"/>
      <c r="X241" s="47">
        <f>(X240-W240)/W240</f>
        <v>-0.157603619957118</v>
      </c>
      <c r="Y241" s="47">
        <f>(Y240-X240)/X240</f>
        <v>-0.0613039981886745</v>
      </c>
      <c r="Z241" s="47">
        <f>(Z240-Y240)/Y240</f>
        <v>1.10418278147899</v>
      </c>
      <c r="AA241" s="47">
        <f>(AA240-Z240)/Z240</f>
        <v>-0.0322426360143563</v>
      </c>
      <c r="AB241" s="3" t="n"/>
      <c r="AC241" s="47">
        <f>(AC240-AB240)/AB240</f>
        <v>-0.00274883491061182</v>
      </c>
      <c r="AD241" s="47">
        <f>(AD240-AC240)/AC240</f>
        <v>-0.00136796664454985</v>
      </c>
      <c r="AE241" s="47">
        <f>(AE240-AD240)/AD240</f>
        <v>-0.0258998293851304</v>
      </c>
      <c r="AF241" s="230">
        <f>(AF240-AE240)/AE240</f>
        <v>-0.278578917009461</v>
      </c>
      <c r="AG241" s="3" t="n"/>
      <c r="AH241" s="230">
        <f>(AH240-AG240)/AG240</f>
        <v>0.0221659351946961</v>
      </c>
      <c r="AI241" s="230">
        <f>(AI240-AH240)/AH240</f>
        <v>3.37226935857761</v>
      </c>
      <c r="AJ241" s="230" t="n"/>
      <c r="AK241" s="230" t="n"/>
      <c r="AL241" s="3" t="n"/>
      <c r="AM241" s="230" t="n"/>
      <c r="AN241" s="230" t="n"/>
      <c r="AO241" s="230" t="n"/>
      <c r="AP241" s="230" t="n"/>
      <c r="AQ241" s="3" t="n"/>
      <c r="AR241" s="230" t="n"/>
      <c r="AS241" s="230" t="n"/>
      <c r="AT241" s="230" t="n"/>
      <c r="AU241" s="230" t="n"/>
      <c r="AV241" s="3" t="n"/>
      <c r="AW241" s="230" t="n"/>
      <c r="AX241" s="230" t="n"/>
      <c r="AY241" s="230" t="n"/>
      <c r="AZ241" s="230" t="n"/>
      <c r="BA241" s="3" t="n"/>
      <c r="BB241" s="230" t="n"/>
      <c r="BC241" s="230" t="n"/>
      <c r="BD241" s="230" t="n"/>
      <c r="BE241" s="230" t="n"/>
      <c r="BF241" s="3" t="n"/>
      <c r="BG241" s="230" t="n"/>
      <c r="BH241" s="230" t="n"/>
      <c r="BI241" s="230" t="n"/>
      <c r="BJ241" s="230" t="n"/>
      <c r="BK241" s="3" t="n"/>
      <c r="BL241" s="230" t="n"/>
      <c r="BM241" s="230" t="n"/>
      <c r="BN241" s="230" t="n"/>
      <c r="BO241" s="230" t="n"/>
      <c r="BP241" s="3" t="n"/>
      <c r="BQ241" s="230" t="n"/>
      <c r="BR241" s="230" t="n"/>
      <c r="BS241" s="230" t="n"/>
      <c r="BT241" s="230" t="n"/>
      <c r="BU241" s="3" t="n"/>
      <c r="BV241" s="230" t="n"/>
      <c r="BW241" s="230" t="n"/>
      <c r="BX241" s="230" t="n"/>
      <c r="BY241" s="230" t="n"/>
      <c r="BZ241" s="3" t="n"/>
      <c r="CA241" s="230" t="n"/>
      <c r="CB241" s="230" t="n"/>
      <c r="CC241" s="230" t="n"/>
      <c r="CD241" s="230" t="n"/>
      <c r="CE241" s="3" t="n"/>
      <c r="CF241" s="230" t="n"/>
      <c r="CG241" s="230" t="n"/>
      <c r="CH241" s="230" t="n"/>
      <c r="CI241" s="230" t="n"/>
      <c r="CJ241" s="3" t="n"/>
      <c r="CK241" s="230" t="n"/>
      <c r="CL241" s="230" t="n"/>
      <c r="CM241" s="230" t="n"/>
      <c r="CN241" s="230" t="n"/>
      <c r="CO241" s="3" t="n"/>
      <c r="CP241" s="230" t="n"/>
      <c r="CQ241" s="230" t="n"/>
      <c r="CR241" s="230" t="n"/>
      <c r="CS241" s="230" t="n"/>
      <c r="CT241" s="3" t="n"/>
      <c r="CU241" s="230" t="n"/>
      <c r="CV241" s="230" t="n"/>
      <c r="CW241" s="230" t="n"/>
      <c r="CX241" s="230" t="n"/>
      <c r="CY241" s="3" t="n"/>
    </row>
    <row r="242" hidden="1" outlineLevel="1" ht="12" customHeight="1">
      <c r="C242" s="38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  <c r="CU242" s="3" t="n"/>
      <c r="CV242" s="3" t="n"/>
      <c r="CW242" s="3" t="n"/>
      <c r="CX242" s="3" t="n"/>
      <c r="CY242" s="3" t="n"/>
    </row>
    <row r="243" hidden="1" outlineLevel="1">
      <c r="C243" s="34" t="inlineStr">
        <is>
          <t>Contas a pagar pela aquisição de controladas</t>
        </is>
      </c>
      <c r="D243" s="6" t="n"/>
      <c r="E243" s="6" t="n"/>
      <c r="F243" s="6" t="n"/>
      <c r="G243" s="6" t="n"/>
      <c r="H243" s="3" t="n"/>
      <c r="I243" s="6" t="n"/>
      <c r="J243" s="6" t="n"/>
      <c r="K243" s="6" t="n"/>
      <c r="L243" s="6" t="n"/>
      <c r="M243" s="3" t="n"/>
      <c r="N243" s="6" t="n"/>
      <c r="O243" s="6" t="n"/>
      <c r="P243" s="6" t="n"/>
      <c r="Q243" s="6" t="n"/>
      <c r="R243" s="3" t="n"/>
      <c r="S243" s="6" t="n"/>
      <c r="T243" s="6" t="n"/>
      <c r="U243" s="6" t="n"/>
      <c r="V243" s="6" t="n"/>
      <c r="W243" s="3" t="n"/>
      <c r="X243" s="6" t="n"/>
      <c r="Y243" s="6" t="n"/>
      <c r="Z243" s="6" t="n"/>
      <c r="AA243" s="6" t="n"/>
      <c r="AB243" s="3" t="n"/>
      <c r="AC243" s="6" t="n"/>
      <c r="AD243" s="6" t="n"/>
      <c r="AE243" s="6" t="n"/>
      <c r="AF243" s="6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  <c r="BO243" s="3" t="n"/>
      <c r="BP243" s="3" t="n"/>
      <c r="BQ243" s="3" t="n"/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n"/>
      <c r="CF243" s="3" t="n"/>
      <c r="CG243" s="3" t="n"/>
      <c r="CH243" s="3" t="n"/>
      <c r="CI243" s="3" t="n"/>
      <c r="CJ243" s="3" t="n"/>
      <c r="CK243" s="3" t="n"/>
      <c r="CL243" s="3" t="n"/>
      <c r="CM243" s="3" t="n"/>
      <c r="CN243" s="3" t="n"/>
      <c r="CO243" s="3" t="n"/>
      <c r="CP243" s="3" t="n"/>
      <c r="CQ243" s="3" t="n"/>
      <c r="CR243" s="3" t="n"/>
      <c r="CS243" s="3" t="n"/>
      <c r="CT243" s="3" t="n"/>
      <c r="CU243" s="3" t="n"/>
      <c r="CV243" s="3" t="n"/>
      <c r="CW243" s="3" t="n"/>
      <c r="CX243" s="3" t="n"/>
      <c r="CY243" s="3" t="n"/>
    </row>
    <row r="244" hidden="1" outlineLevel="1">
      <c r="C244" s="34" t="inlineStr">
        <is>
          <t xml:space="preserve">Outras Obrigações </t>
        </is>
      </c>
      <c r="D244" s="6" t="n"/>
      <c r="E244" s="6" t="n"/>
      <c r="F244" s="6" t="n"/>
      <c r="G244" s="6" t="n"/>
      <c r="H244" s="3" t="n"/>
      <c r="I244" s="6" t="n"/>
      <c r="J244" s="6" t="n"/>
      <c r="K244" s="6" t="n"/>
      <c r="L244" s="6" t="n"/>
      <c r="M244" s="3" t="n"/>
      <c r="N244" s="6" t="n"/>
      <c r="O244" s="6" t="n"/>
      <c r="P244" s="6" t="n"/>
      <c r="Q244" s="6" t="n"/>
      <c r="R244" s="3" t="n"/>
      <c r="S244" s="6" t="n"/>
      <c r="T244" s="6" t="n"/>
      <c r="U244" s="6" t="n"/>
      <c r="V244" s="6" t="n"/>
      <c r="W244" s="3" t="n"/>
      <c r="X244" s="6" t="n"/>
      <c r="Y244" s="6" t="n"/>
      <c r="Z244" s="6" t="n"/>
      <c r="AA244" s="6" t="n"/>
      <c r="AB244" s="3" t="n"/>
      <c r="AC244" s="6" t="n"/>
      <c r="AD244" s="6" t="n"/>
      <c r="AE244" s="6" t="n"/>
      <c r="AF244" s="6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n"/>
      <c r="CC244" s="3" t="n"/>
      <c r="CD244" s="3" t="n"/>
      <c r="CE244" s="3" t="n"/>
      <c r="CF244" s="3" t="n"/>
      <c r="CG244" s="3" t="n"/>
      <c r="CH244" s="3" t="n"/>
      <c r="CI244" s="3" t="n"/>
      <c r="CJ244" s="3" t="n"/>
      <c r="CK244" s="3" t="n"/>
      <c r="CL244" s="3" t="n"/>
      <c r="CM244" s="3" t="n"/>
      <c r="CN244" s="3" t="n"/>
      <c r="CO244" s="3" t="n"/>
      <c r="CP244" s="3" t="n"/>
      <c r="CQ244" s="3" t="n"/>
      <c r="CR244" s="3" t="n"/>
      <c r="CS244" s="3" t="n"/>
      <c r="CT244" s="3" t="n"/>
      <c r="CU244" s="3" t="n"/>
      <c r="CV244" s="3" t="n"/>
      <c r="CW244" s="3" t="n"/>
      <c r="CX244" s="3" t="n"/>
      <c r="CY244" s="3" t="n"/>
    </row>
    <row r="245" hidden="1" outlineLevel="1">
      <c r="C245" s="34" t="inlineStr">
        <is>
          <t xml:space="preserve">Provisão de Risco Cíveis, Trabalhistas e Tributários </t>
        </is>
      </c>
      <c r="D245" s="6" t="n"/>
      <c r="E245" s="6" t="n"/>
      <c r="F245" s="6" t="n"/>
      <c r="G245" s="6" t="n"/>
      <c r="H245" s="3" t="n"/>
      <c r="I245" s="6" t="n"/>
      <c r="J245" s="6" t="n"/>
      <c r="K245" s="6" t="n"/>
      <c r="L245" s="6" t="n"/>
      <c r="M245" s="3" t="n"/>
      <c r="N245" s="6" t="n"/>
      <c r="O245" s="6" t="n"/>
      <c r="P245" s="6" t="n"/>
      <c r="Q245" s="6" t="n"/>
      <c r="R245" s="3" t="n"/>
      <c r="S245" s="6" t="n"/>
      <c r="T245" s="6" t="n"/>
      <c r="U245" s="6" t="n"/>
      <c r="V245" s="6" t="n"/>
      <c r="W245" s="3" t="n"/>
      <c r="X245" s="6" t="n"/>
      <c r="Y245" s="6" t="n"/>
      <c r="Z245" s="6" t="n"/>
      <c r="AA245" s="6" t="n"/>
      <c r="AB245" s="3" t="n"/>
      <c r="AC245" s="6" t="n"/>
      <c r="AD245" s="6" t="n"/>
      <c r="AE245" s="6" t="n"/>
      <c r="AF245" s="6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n"/>
      <c r="CF245" s="3" t="n"/>
      <c r="CG245" s="3" t="n"/>
      <c r="CH245" s="3" t="n"/>
      <c r="CI245" s="3" t="n"/>
      <c r="CJ245" s="3" t="n"/>
      <c r="CK245" s="3" t="n"/>
      <c r="CL245" s="3" t="n"/>
      <c r="CM245" s="3" t="n"/>
      <c r="CN245" s="3" t="n"/>
      <c r="CO245" s="3" t="n"/>
      <c r="CP245" s="3" t="n"/>
      <c r="CQ245" s="3" t="n"/>
      <c r="CR245" s="3" t="n"/>
      <c r="CS245" s="3" t="n"/>
      <c r="CT245" s="3" t="n"/>
      <c r="CU245" s="3" t="n"/>
      <c r="CV245" s="3" t="n"/>
      <c r="CW245" s="3" t="n"/>
      <c r="CX245" s="3" t="n"/>
      <c r="CY245" s="3" t="n"/>
    </row>
    <row r="246" hidden="1" outlineLevel="1">
      <c r="C246" s="34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n"/>
      <c r="CF246" s="3" t="n"/>
      <c r="CG246" s="3" t="n"/>
      <c r="CH246" s="3" t="n"/>
      <c r="CI246" s="3" t="n"/>
      <c r="CJ246" s="3" t="n"/>
      <c r="CK246" s="3" t="n"/>
      <c r="CL246" s="3" t="n"/>
      <c r="CM246" s="3" t="n"/>
      <c r="CN246" s="3" t="n"/>
      <c r="CO246" s="3" t="n"/>
      <c r="CP246" s="3" t="n"/>
      <c r="CQ246" s="3" t="n"/>
      <c r="CR246" s="3" t="n"/>
      <c r="CS246" s="3" t="n"/>
      <c r="CT246" s="3" t="n"/>
      <c r="CU246" s="3" t="n"/>
      <c r="CV246" s="3" t="n"/>
      <c r="CW246" s="3" t="n"/>
      <c r="CX246" s="3" t="n"/>
      <c r="CY246" s="3" t="n"/>
    </row>
    <row r="247" collapsed="1" customFormat="1" s="17">
      <c r="A247" s="13" t="n"/>
      <c r="B247" s="13" t="n"/>
      <c r="C247" s="27" t="inlineStr">
        <is>
          <t>Total Liabilities</t>
        </is>
      </c>
      <c r="D247" s="16">
        <f>SUM(D198+D202+D204+D205+D212+D213+D214+D217+D235+D238+D239+D240)</f>
        <v>767.673</v>
      </c>
      <c r="E247" s="16">
        <f>SUM(E198+E202+E204+E205+E212+E213+E214+E217+E235+E238+E239+E240)</f>
        <v>593.338</v>
      </c>
      <c r="F247" s="16">
        <f>SUM(F198+F202+F204+F205+F212+F213+F214+F217+F235+F238+F239+F240)</f>
        <v>600.215</v>
      </c>
      <c r="G247" s="16">
        <f>SUM(G198+G202+G204+G205+G212+G213+G214+G217+G235+G238+G239+G240)</f>
        <v>588.135</v>
      </c>
      <c r="H247" s="16">
        <f>SUM(H198,H202,H204,H205,H212,H213,H217,H214,H235,H238,H239,H240)</f>
        <v>588.135</v>
      </c>
      <c r="I247" s="16">
        <f>SUM(I198+I202+I204+I205+I212+I213+I214+I217+I235+I238+I239+I240)</f>
        <v>637.79</v>
      </c>
      <c r="J247" s="16">
        <f>SUM(J198+J202+J204+J205+J212+J213+J214+J217+J235+J238+J239+J240)</f>
        <v>580.992</v>
      </c>
      <c r="K247" s="16">
        <f>SUM(K198+K202+K204+K205+K212+K213+K214+K217+K235+K238+K239+K240)</f>
        <v>540.029</v>
      </c>
      <c r="L247" s="16">
        <f>SUM(L198+L202+L204+L205+L212+L213+L214+L217+L235+L238+L239+L240)</f>
        <v>836.65</v>
      </c>
      <c r="M247" s="16">
        <f>SUM(M198,M202,M204,M205,M212,M213,M217,M214,M235,M238,M239,M240)</f>
        <v>836.65</v>
      </c>
      <c r="N247" s="16">
        <f>SUM(N198+N202+N204+N205+N212+N213+N214+N217+N235+N238+N239+N240)</f>
        <v>868.827</v>
      </c>
      <c r="O247" s="16">
        <f>SUM(O198+O202+O204+O205+O212+O213+O214+O217+O235+O238+O239+O240)</f>
        <v>1202.483</v>
      </c>
      <c r="P247" s="16">
        <f>SUM(P198+P202+P204+P205+P212+P213+P214+P217+P235+P238+P239+P240)</f>
        <v>1259.225</v>
      </c>
      <c r="Q247" s="16">
        <f>SUM(Q198+Q202+Q204+Q205+Q212+Q213+Q214+Q217+Q235+Q238+Q239+Q240)</f>
        <v>1491.829</v>
      </c>
      <c r="R247" s="16">
        <f>SUM(R198,R202,R204,R205,R212,R213,R217,R214,R235,R238,R239,R240)</f>
        <v>1491.829</v>
      </c>
      <c r="S247" s="16">
        <f>SUM(S198+S202+S204+S205+S212+S213+S214+S217+S235+S238+S239+S240)</f>
        <v>1463.387</v>
      </c>
      <c r="T247" s="16">
        <f>SUM(T198+T202+T204+T205+T212+T213+T214+T217+T235+T238+T239+T240)</f>
        <v>1439.193</v>
      </c>
      <c r="U247" s="16">
        <f>SUM(U198+U202+U204+U205+U212+U213+U214+U217+U235+U238+U239+U240)</f>
        <v>1575.064</v>
      </c>
      <c r="V247" s="16">
        <f>SUM(V198+V202+V204+V205+V212+V213+V214+V217+V235+V238+V239+V240)</f>
        <v>1517.751</v>
      </c>
      <c r="W247" s="16">
        <f>SUM(W198,W202,W204,W205,W212,W213,W217,W214,W235,W238,W239,W240)</f>
        <v>1517.751</v>
      </c>
      <c r="X247" s="16">
        <f>SUM(X198+X202+X204+X205+X212+X213+X214+X217+X235+X238+X239+X240)</f>
        <v>1505.127</v>
      </c>
      <c r="Y247" s="16">
        <f>SUM(Y198+Y202+Y204+Y205+Y212+Y213+Y214+Y217+Y235+Y238+Y239+Y240)</f>
        <v>1649.852</v>
      </c>
      <c r="Z247" s="16">
        <f>SUM(Z198+Z202+Z204+Z205+Z212+Z213+Z214+Z217+Z235+Z238+Z239+Z240)</f>
        <v>2448.171</v>
      </c>
      <c r="AA247" s="16">
        <f>SUM(AA198+AA202+AA204+AA205+AA212+AA213+AA214+AA217+AA235+AA238+AA239+AA240)</f>
        <v>2460.327</v>
      </c>
      <c r="AB247" s="16">
        <f>SUM(AB198,AB202,AB204,AB205,AB212,AB213,AB217,AB214,AB235,AB238,AB239,AB240)</f>
        <v>2460.327</v>
      </c>
      <c r="AC247" s="16">
        <f>SUM(AC198+AC202+AC204+AC205+AC212+AC213+AC214+AC217+AC235+AC238+AC239+AC240)</f>
        <v>2516.766</v>
      </c>
      <c r="AD247" s="16">
        <f>SUM(AD198+AD202+AD204+AD205+AD212+AD213+AD214+AD217+AD235+AD238+AD239+AD240)</f>
        <v>2541.258</v>
      </c>
      <c r="AE247" s="16">
        <f>SUM(AE198+AE202+AE204+AE205+AE212+AE213+AE214+AE217+AE235+AE238+AE239+AE240)</f>
        <v>2694.019</v>
      </c>
      <c r="AF247" s="16">
        <f>SUM(AF198+AF202+AF204+AF205+AF212+AF213+AF214+AF217+AF235+AF238+AF239+AF240)</f>
        <v>2742.308</v>
      </c>
      <c r="AG247" s="16">
        <f>SUM(AG198,AG202,AG204,AG205,AG212,AG213,AG217,AG214,AG235,AG238,AG239,AG240)</f>
        <v>2742.308</v>
      </c>
      <c r="AH247" s="16">
        <f>SUM(AH198+AH202+AH204+AH205+AH212+AH213+AH214+AH217+AH235+AH238+AH239+AH240)</f>
        <v>2873.596</v>
      </c>
      <c r="AI247" s="16">
        <f>SUM(AI198+AI202+AI204+AI205+AI212+AI213+AI214+AI217+AI235+AI238+AI239+AI240)</f>
        <v>6073.311</v>
      </c>
      <c r="AJ247" s="16">
        <f>SUM(AJ198+AJ202+AJ204+AJ205+AJ212+AJ213+AJ214+AJ217+AJ235+AJ238+AJ239+AJ240)</f>
        <v>5378.906</v>
      </c>
      <c r="AK247" s="16">
        <f>SUM(AK198+AK202+AK204+AK205+AK212+AK213+AK214+AK217+AK235+AK238+AK239+AK240)</f>
        <v>5378.906</v>
      </c>
      <c r="AL247" s="16">
        <f>SUM(AL198,AL202,AL204,AL205,AL212,AL213,AL217,AL214,AL235,AL238,AL239,AL240)</f>
        <v>5378.906</v>
      </c>
      <c r="AM247" s="16" t="e">
        <f>SUM(AM198+AM202+AM204+AM205+AM212+AM213+AM214+AM217+AM235+AM238+AM239+AM240)</f>
        <v>#DIV/0!</v>
      </c>
      <c r="AN247" s="16">
        <f>SUM(AN198+AN202+AN204+AN205+AN212+AN213+AN214+AN217+AN235+AN238+AN239+AN240)</f>
        <v>5378.906</v>
      </c>
      <c r="AO247" s="16" t="e">
        <f>SUM(AO198+AO202+AO204+AO205+AO212+AO213+AO214+AO217+AO235+AO238+AO239+AO240)</f>
        <v>#DIV/0!</v>
      </c>
      <c r="AP247" s="16" t="e">
        <f>SUM(AP198+AP202+AP204+AP205+AP212+AP213+AP214+AP217+AP235+AP238+AP239+AP240)</f>
        <v>#DIV/0!</v>
      </c>
      <c r="AQ247" s="16" t="e">
        <f>SUM(AQ198,AQ202,AQ204,AQ205,AQ212,AQ213,AQ217,AQ214,AQ235,AQ238,AQ239,AQ240)</f>
        <v>#DIV/0!</v>
      </c>
      <c r="AR247" s="16" t="e">
        <f>SUM(AR198+AR202+AR204+AR205+AR212+AR213+AR214+AR217+AR235+AR238+AR239+AR240)</f>
        <v>#DIV/0!</v>
      </c>
      <c r="AS247" s="16" t="e">
        <f>SUM(AS198+AS202+AS204+AS205+AS212+AS213+AS214+AS217+AS235+AS238+AS239+AS240)</f>
        <v>#DIV/0!</v>
      </c>
      <c r="AT247" s="16" t="e">
        <f>SUM(AT198+AT202+AT204+AT205+AT212+AT213+AT214+AT217+AT235+AT238+AT239+AT240)</f>
        <v>#DIV/0!</v>
      </c>
      <c r="AU247" s="16" t="e">
        <f>SUM(AU198+AU202+AU204+AU205+AU212+AU213+AU214+AU217+AU235+AU238+AU239+AU240)</f>
        <v>#DIV/0!</v>
      </c>
      <c r="AV247" s="16" t="e">
        <f>SUM(AV198,AV202,AV204,AV205,AV212,AV213,AV217,AV214,AV235,AV238,AV239,AV240)</f>
        <v>#DIV/0!</v>
      </c>
      <c r="AW247" s="16" t="e">
        <f>SUM(AW198+AW202+AW204+AW205+AW212+AW213+AW214+AW217+AW235+AW238+AW239+AW240)</f>
        <v>#DIV/0!</v>
      </c>
      <c r="AX247" s="16" t="e">
        <f>SUM(AX198+AX202+AX204+AX205+AX212+AX213+AX214+AX217+AX235+AX238+AX239+AX240)</f>
        <v>#DIV/0!</v>
      </c>
      <c r="AY247" s="16" t="e">
        <f>SUM(AY198+AY202+AY204+AY205+AY212+AY213+AY214+AY217+AY235+AY238+AY239+AY240)</f>
        <v>#DIV/0!</v>
      </c>
      <c r="AZ247" s="16" t="e">
        <f>SUM(AZ198+AZ202+AZ204+AZ205+AZ212+AZ213+AZ214+AZ217+AZ235+AZ238+AZ239+AZ240)</f>
        <v>#DIV/0!</v>
      </c>
      <c r="BA247" s="16" t="e">
        <f>SUM(BA198,BA202,BA204,BA205,BA212,BA213,BA217,BA214,BA235,BA238,BA239,BA240)</f>
        <v>#DIV/0!</v>
      </c>
      <c r="BB247" s="16" t="e">
        <f>SUM(BB198+BB202+BB204+BB205+BB212+BB213+BB214+BB217+BB235+BB238+BB239+BB240)</f>
        <v>#DIV/0!</v>
      </c>
      <c r="BC247" s="16" t="e">
        <f>SUM(BC198+BC202+BC204+BC205+BC212+BC213+BC214+BC217+BC235+BC238+BC239+BC240)</f>
        <v>#DIV/0!</v>
      </c>
      <c r="BD247" s="16" t="e">
        <f>SUM(BD198+BD202+BD204+BD205+BD212+BD213+BD214+BD217+BD235+BD238+BD239+BD240)</f>
        <v>#DIV/0!</v>
      </c>
      <c r="BE247" s="16" t="e">
        <f>SUM(BE198+BE202+BE204+BE205+BE212+BE213+BE214+BE217+BE235+BE238+BE239+BE240)</f>
        <v>#DIV/0!</v>
      </c>
      <c r="BF247" s="16" t="e">
        <f>SUM(BF198,BF202,BF204,BF205,BF212,BF213,BF217,BF214,BF235,BF238,BF239,BF240)</f>
        <v>#DIV/0!</v>
      </c>
      <c r="BG247" s="16" t="e">
        <f>SUM(BG198+BG202+BG204+BG205+BG212+BG213+BG214+BG217+BG235+BG238+BG239+BG240)</f>
        <v>#DIV/0!</v>
      </c>
      <c r="BH247" s="16" t="e">
        <f>SUM(BH198+BH202+BH204+BH205+BH212+BH213+BH214+BH217+BH235+BH238+BH239+BH240)</f>
        <v>#DIV/0!</v>
      </c>
      <c r="BI247" s="16" t="e">
        <f>SUM(BI198+BI202+BI204+BI205+BI212+BI213+BI214+BI217+BI235+BI238+BI239+BI240)</f>
        <v>#DIV/0!</v>
      </c>
      <c r="BJ247" s="16" t="e">
        <f>SUM(BJ198+BJ202+BJ204+BJ205+BJ212+BJ213+BJ214+BJ217+BJ235+BJ238+BJ239+BJ240)</f>
        <v>#DIV/0!</v>
      </c>
      <c r="BK247" s="16" t="e">
        <f>SUM(BK198,BK202,BK204,BK205,BK212,BK213,BK217,BK214,BK235,BK238,BK239,BK240)</f>
        <v>#DIV/0!</v>
      </c>
      <c r="BL247" s="16" t="e">
        <f>SUM(BL198+BL202+BL204+BL205+BL212+BL213+BL214+BL217+BL235+BL238+BL239+BL240)</f>
        <v>#DIV/0!</v>
      </c>
      <c r="BM247" s="16" t="e">
        <f>SUM(BM198+BM202+BM204+BM205+BM212+BM213+BM214+BM217+BM235+BM238+BM239+BM240)</f>
        <v>#DIV/0!</v>
      </c>
      <c r="BN247" s="16" t="e">
        <f>SUM(BN198+BN202+BN204+BN205+BN212+BN213+BN214+BN217+BN235+BN238+BN239+BN240)</f>
        <v>#DIV/0!</v>
      </c>
      <c r="BO247" s="16" t="e">
        <f>SUM(BO198+BO202+BO204+BO205+BO212+BO213+BO214+BO217+BO235+BO238+BO239+BO240)</f>
        <v>#DIV/0!</v>
      </c>
      <c r="BP247" s="16" t="e">
        <f>SUM(BP198,BP202,BP204,BP205,BP212,BP213,BP217,BP214,BP235,BP238,BP239,BP240)</f>
        <v>#DIV/0!</v>
      </c>
      <c r="BQ247" s="16" t="e">
        <f>SUM(BQ198+BQ202+BQ204+BQ205+BQ212+BQ213+BQ214+BQ217+BQ235+BQ238+BQ239+BQ240)</f>
        <v>#DIV/0!</v>
      </c>
      <c r="BR247" s="16" t="e">
        <f>SUM(BR198+BR202+BR204+BR205+BR212+BR213+BR214+BR217+BR235+BR238+BR239+BR240)</f>
        <v>#DIV/0!</v>
      </c>
      <c r="BS247" s="16" t="e">
        <f>SUM(BS198+BS202+BS204+BS205+BS212+BS213+BS214+BS217+BS235+BS238+BS239+BS240)</f>
        <v>#DIV/0!</v>
      </c>
      <c r="BT247" s="16" t="e">
        <f>SUM(BT198+BT202+BT204+BT205+BT212+BT213+BT214+BT217+BT235+BT238+BT239+BT240)</f>
        <v>#DIV/0!</v>
      </c>
      <c r="BU247" s="16" t="e">
        <f>SUM(BU198,BU202,BU204,BU205,BU212,BU213,BU217,BU214,BU235,BU238,BU239,BU240)</f>
        <v>#DIV/0!</v>
      </c>
      <c r="BV247" s="16" t="e">
        <f>SUM(BV198+BV202+BV204+BV205+BV212+BV213+BV214+BV217+BV235+BV238+BV239+BV240)</f>
        <v>#DIV/0!</v>
      </c>
      <c r="BW247" s="16" t="e">
        <f>SUM(BW198+BW202+BW204+BW205+BW212+BW213+BW214+BW217+BW235+BW238+BW239+BW240)</f>
        <v>#DIV/0!</v>
      </c>
      <c r="BX247" s="16" t="e">
        <f>SUM(BX198+BX202+BX204+BX205+BX212+BX213+BX214+BX217+BX235+BX238+BX239+BX240)</f>
        <v>#DIV/0!</v>
      </c>
      <c r="BY247" s="16" t="e">
        <f>SUM(BY198+BY202+BY204+BY205+BY212+BY213+BY214+BY217+BY235+BY238+BY239+BY240)</f>
        <v>#DIV/0!</v>
      </c>
      <c r="BZ247" s="16" t="e">
        <f>SUM(BZ198,BZ202,BZ204,BZ205,BZ212,BZ213,BZ217,BZ214,BZ235,BZ238,BZ239,BZ240)</f>
        <v>#DIV/0!</v>
      </c>
      <c r="CA247" s="16" t="e">
        <f>SUM(CA198+CA202+CA204+CA205+CA212+CA213+CA214+CA217+CA235+CA238+CA239+CA240)</f>
        <v>#DIV/0!</v>
      </c>
      <c r="CB247" s="16" t="e">
        <f>SUM(CB198+CB202+CB204+CB205+CB212+CB213+CB214+CB217+CB235+CB238+CB239+CB240)</f>
        <v>#DIV/0!</v>
      </c>
      <c r="CC247" s="16" t="e">
        <f>SUM(CC198+CC202+CC204+CC205+CC212+CC213+CC214+CC217+CC235+CC238+CC239+CC240)</f>
        <v>#DIV/0!</v>
      </c>
      <c r="CD247" s="16" t="e">
        <f>SUM(CD198+CD202+CD204+CD205+CD212+CD213+CD214+CD217+CD235+CD238+CD239+CD240)</f>
        <v>#DIV/0!</v>
      </c>
      <c r="CE247" s="16" t="e">
        <f>SUM(CE198,CE202,CE204,CE205,CE212,CE213,CE217,CE214,CE235,CE238,CE239,CE240)</f>
        <v>#DIV/0!</v>
      </c>
      <c r="CF247" s="16" t="e">
        <f>SUM(CF198+CF202+CF204+CF205+CF212+CF213+CF214+CF217+CF235+CF238+CF239+CF240)</f>
        <v>#DIV/0!</v>
      </c>
      <c r="CG247" s="16" t="e">
        <f>SUM(CG198+CG202+CG204+CG205+CG212+CG213+CG214+CG217+CG235+CG238+CG239+CG240)</f>
        <v>#DIV/0!</v>
      </c>
      <c r="CH247" s="16" t="e">
        <f>SUM(CH198+CH202+CH204+CH205+CH212+CH213+CH214+CH217+CH235+CH238+CH239+CH240)</f>
        <v>#DIV/0!</v>
      </c>
      <c r="CI247" s="16" t="e">
        <f>SUM(CI198+CI202+CI204+CI205+CI212+CI213+CI214+CI217+CI235+CI238+CI239+CI240)</f>
        <v>#DIV/0!</v>
      </c>
      <c r="CJ247" s="16" t="e">
        <f>SUM(CJ198,CJ202,CJ204,CJ205,CJ212,CJ213,CJ217,CJ214,CJ235,CJ238,CJ239,CJ240)</f>
        <v>#DIV/0!</v>
      </c>
      <c r="CK247" s="16" t="e">
        <f>SUM(CK198+CK202+CK204+CK205+CK212+CK213+CK214+CK217+CK235+CK238+CK239+CK240)</f>
        <v>#DIV/0!</v>
      </c>
      <c r="CL247" s="16" t="e">
        <f>SUM(CL198+CL202+CL204+CL205+CL212+CL213+CL214+CL217+CL235+CL238+CL239+CL240)</f>
        <v>#DIV/0!</v>
      </c>
      <c r="CM247" s="16" t="e">
        <f>SUM(CM198+CM202+CM204+CM205+CM212+CM213+CM214+CM217+CM235+CM238+CM239+CM240)</f>
        <v>#DIV/0!</v>
      </c>
      <c r="CN247" s="16" t="e">
        <f>SUM(CN198+CN202+CN204+CN205+CN212+CN213+CN214+CN217+CN235+CN238+CN239+CN240)</f>
        <v>#DIV/0!</v>
      </c>
      <c r="CO247" s="16" t="e">
        <f>SUM(CO198,CO202,CO204,CO205,CO212,CO213,CO217,CO214,CO235,CO238,CO239,CO240)</f>
        <v>#DIV/0!</v>
      </c>
      <c r="CP247" s="16" t="e">
        <f>SUM(CP198+CP202+CP204+CP205+CP212+CP213+CP214+CP217+CP235+CP238+CP239+CP240)</f>
        <v>#DIV/0!</v>
      </c>
      <c r="CQ247" s="16" t="e">
        <f>SUM(CQ198+CQ202+CQ204+CQ205+CQ212+CQ213+CQ214+CQ217+CQ235+CQ238+CQ239+CQ240)</f>
        <v>#DIV/0!</v>
      </c>
      <c r="CR247" s="16" t="e">
        <f>SUM(CR198+CR202+CR204+CR205+CR212+CR213+CR214+CR217+CR235+CR238+CR239+CR240)</f>
        <v>#DIV/0!</v>
      </c>
      <c r="CS247" s="16" t="e">
        <f>SUM(CS198+CS202+CS204+CS205+CS212+CS213+CS214+CS217+CS235+CS238+CS239+CS240)</f>
        <v>#DIV/0!</v>
      </c>
      <c r="CT247" s="16" t="e">
        <f>SUM(CT198,CT202,CT204,CT205,CT212,CT213,CT217,CT214,CT235,CT238,CT239,CT240)</f>
        <v>#DIV/0!</v>
      </c>
      <c r="CU247" s="16" t="e">
        <f>SUM(CU198+CU202+CU204+CU205+CU212+CU213+CU214+CU217+CU235+CU238+CU239+CU240)</f>
        <v>#DIV/0!</v>
      </c>
      <c r="CV247" s="16" t="e">
        <f>SUM(CV198+CV202+CV204+CV205+CV212+CV213+CV214+CV217+CV235+CV238+CV239+CV240)</f>
        <v>#DIV/0!</v>
      </c>
      <c r="CW247" s="16" t="e">
        <f>SUM(CW198+CW202+CW204+CW205+CW212+CW213+CW214+CW217+CW235+CW238+CW239+CW240)</f>
        <v>#DIV/0!</v>
      </c>
      <c r="CX247" s="16" t="e">
        <f>SUM(CX198+CX202+CX204+CX205+CX212+CX213+CX214+CX217+CX235+CX238+CX239+CX240)</f>
        <v>#DIV/0!</v>
      </c>
      <c r="CY247" s="16" t="e">
        <f>SUM(CY198,CY202,CY204,CY205,CY212,CY213,CY217,CY214,CY235,CY238,CY239,CY240)</f>
        <v>#DIV/0!</v>
      </c>
    </row>
    <row r="248">
      <c r="C248" s="26" t="inlineStr">
        <is>
          <t>Minority interest</t>
        </is>
      </c>
      <c r="D248" s="25">
        <f>INDEX('Inputs (2)'!$D$41:$AL$41,MATCH(D$7,'Inputs (2)'!$D$2:$AL$2,0))</f>
        <v>12.605</v>
      </c>
      <c r="E248" s="25">
        <f>INDEX('Inputs (2)'!$D$41:$AL$41,MATCH(E$7,'Inputs (2)'!$D$2:$AL$2,0))</f>
        <v>13.267</v>
      </c>
      <c r="F248" s="25">
        <f>INDEX('Inputs (2)'!$D$41:$AL$41,MATCH(F$7,'Inputs (2)'!$D$2:$AL$2,0))</f>
        <v>14.535</v>
      </c>
      <c r="G248" s="25">
        <f>INDEX('Inputs (2)'!$D$41:$AL$41,MATCH(G$7,'Inputs (2)'!$D$2:$AL$2,0))</f>
        <v>15.304</v>
      </c>
      <c r="H248" s="3">
        <f>G248</f>
        <v>15.304</v>
      </c>
      <c r="I248" s="25">
        <f>INDEX('Inputs (2)'!$D$41:$AL$41,MATCH(I$7,'Inputs (2)'!$D$2:$AL$2,0))</f>
        <v>16.358</v>
      </c>
      <c r="J248" s="25">
        <f>INDEX('Inputs (2)'!$D$41:$AL$41,MATCH(J$7,'Inputs (2)'!$D$2:$AL$2,0))</f>
        <v>9.287</v>
      </c>
      <c r="K248" s="25">
        <f>INDEX('Inputs (2)'!$D$41:$AL$41,MATCH(K$7,'Inputs (2)'!$D$2:$AL$2,0))</f>
        <v>10.144</v>
      </c>
      <c r="L248" s="25">
        <f>INDEX('Inputs (2)'!$D$41:$AL$41,MATCH(L$7,'Inputs (2)'!$D$2:$AL$2,0))</f>
        <v>13.765</v>
      </c>
      <c r="M248" s="3">
        <f>L248</f>
        <v>13.765</v>
      </c>
      <c r="N248" s="25">
        <f>INDEX('Inputs (2)'!$D$41:$AL$41,MATCH(N$7,'Inputs (2)'!$D$2:$AL$2,0))</f>
        <v>14.538</v>
      </c>
      <c r="O248" s="25">
        <f>INDEX('Inputs (2)'!$D$41:$AL$41,MATCH(O$7,'Inputs (2)'!$D$2:$AL$2,0))</f>
        <v>16.188</v>
      </c>
      <c r="P248" s="25">
        <f>INDEX('Inputs (2)'!$D$41:$AL$41,MATCH(P$7,'Inputs (2)'!$D$2:$AL$2,0))</f>
        <v>17.655</v>
      </c>
      <c r="Q248" s="25">
        <f>INDEX('Inputs (2)'!$D$41:$AL$41,MATCH(Q$7,'Inputs (2)'!$D$2:$AL$2,0))</f>
        <v>30.976</v>
      </c>
      <c r="R248" s="3">
        <f>Q248</f>
        <v>30.976</v>
      </c>
      <c r="S248" s="25">
        <f>INDEX('Inputs (2)'!$D$41:$AL$41,MATCH(S$7,'Inputs (2)'!$D$2:$AL$2,0))</f>
        <v>43.064</v>
      </c>
      <c r="T248" s="25">
        <f>INDEX('Inputs (2)'!$D$41:$AL$41,MATCH(T$7,'Inputs (2)'!$D$2:$AL$2,0))</f>
        <v>44.495</v>
      </c>
      <c r="U248" s="25">
        <f>INDEX('Inputs (2)'!$D$41:$AL$41,MATCH(U$7,'Inputs (2)'!$D$2:$AL$2,0))</f>
        <v>46.538</v>
      </c>
      <c r="V248" s="25">
        <f>INDEX('Inputs (2)'!$D$41:$AL$41,MATCH(V$7,'Inputs (2)'!$D$2:$AL$2,0))</f>
        <v>38.588</v>
      </c>
      <c r="W248" s="3">
        <f>V248</f>
        <v>38.588</v>
      </c>
      <c r="X248" s="25">
        <f>INDEX('Inputs (2)'!$D$41:$AL$41,MATCH(X$7,'Inputs (2)'!$D$2:$AL$2,0))</f>
        <v>60.029</v>
      </c>
      <c r="Y248" s="25">
        <f>INDEX('Inputs (2)'!$D$41:$AL$41,MATCH(Y$7,'Inputs (2)'!$D$2:$AL$2,0))</f>
        <v>61.598</v>
      </c>
      <c r="Z248" s="25">
        <f>INDEX('Inputs (2)'!$D$41:$AL$41,MATCH(Z$7,'Inputs (2)'!$D$2:$AL$2,0))</f>
        <v>92.735</v>
      </c>
      <c r="AA248" s="25">
        <f>INDEX('Inputs (2)'!$D$41:$AL$41,MATCH(AA$7,'Inputs (2)'!$D$2:$AL$2,0))</f>
        <v>95.715</v>
      </c>
      <c r="AB248" s="3">
        <f>AA248</f>
        <v>95.715</v>
      </c>
      <c r="AC248" s="25">
        <f>INDEX('Inputs (2)'!$D$41:$AL$41,MATCH(AC$7,'Inputs (2)'!$D$2:$AL$2,0))</f>
        <v>98.48</v>
      </c>
      <c r="AD248" s="25">
        <f>INDEX('Inputs (2)'!$D$41:$AL$41,MATCH(AD$7,'Inputs (2)'!$D$2:$AL$2,0))</f>
        <v>101.391</v>
      </c>
      <c r="AE248" s="25">
        <f>INDEX('Inputs (2)'!$D$41:$AL$41,MATCH(AE$7,'Inputs (2)'!$D$2:$AL$2,0))</f>
        <v>105.445</v>
      </c>
      <c r="AF248" s="25">
        <f>INDEX('Inputs (2)'!$D$41:$AL$41,MATCH(AF$7,'Inputs (2)'!$D$2:$AL$2,0))</f>
        <v>109.535</v>
      </c>
      <c r="AG248" s="3">
        <f>AF248</f>
        <v>109.535</v>
      </c>
      <c r="AH248" s="3">
        <f>INDEX('Inputs (2)'!$D$41:$AL$41,MATCH(AH$7,'Inputs (2)'!$D$2:$AL$2,0))</f>
        <v>113.373</v>
      </c>
      <c r="AI248" s="3">
        <f>INDEX('Inputs (2)'!$D$41:$AL$41,MATCH(AI$7,'Inputs (2)'!$D$2:$AL$2,0))</f>
        <v>400.716</v>
      </c>
      <c r="AJ248" s="3">
        <f>AI248-AJ136+AJ251</f>
        <v>404.77</v>
      </c>
      <c r="AK248" s="3">
        <f>AJ248-AK136+AK251</f>
        <v>408.86</v>
      </c>
      <c r="AL248" s="3">
        <f>AK248</f>
        <v>408.86</v>
      </c>
      <c r="AM248" s="3">
        <f>AL248-AM136+AM251</f>
        <v>412.698</v>
      </c>
      <c r="AN248" s="3">
        <f>AM248-AN136+AN251</f>
        <v>430.196</v>
      </c>
      <c r="AO248" s="3">
        <f>AN248-AO136+AO251</f>
        <v>434.25</v>
      </c>
      <c r="AP248" s="3">
        <f>AO248-AP136+AP251</f>
        <v>438.34</v>
      </c>
      <c r="AQ248" s="3">
        <f>AP248</f>
        <v>438.34</v>
      </c>
      <c r="AR248" s="3">
        <f>AQ248-AR136+AR251</f>
        <v>442.178</v>
      </c>
      <c r="AS248" s="3">
        <f>AR248-AS136+AS251</f>
        <v>459.676</v>
      </c>
      <c r="AT248" s="3">
        <f>AS248-AT136+AT251</f>
        <v>463.73</v>
      </c>
      <c r="AU248" s="3">
        <f>AT248-AU136+AU251</f>
        <v>467.82</v>
      </c>
      <c r="AV248" s="3">
        <f>AU248</f>
        <v>467.82</v>
      </c>
      <c r="AW248" s="3">
        <f>AV248-AW136+AW251</f>
        <v>471.658</v>
      </c>
      <c r="AX248" s="3">
        <f>AW248-AX136+AX251</f>
        <v>489.156</v>
      </c>
      <c r="AY248" s="3">
        <f>AX248-AY136+AY251</f>
        <v>493.21</v>
      </c>
      <c r="AZ248" s="3">
        <f>AY248-AZ136+AZ251</f>
        <v>497.3</v>
      </c>
      <c r="BA248" s="3">
        <f>AZ248</f>
        <v>497.3</v>
      </c>
      <c r="BB248" s="3">
        <f>BA248-BB136+BB251</f>
        <v>501.138</v>
      </c>
      <c r="BC248" s="3">
        <f>BB248-BC136+BC251</f>
        <v>518.636</v>
      </c>
      <c r="BD248" s="3">
        <f>BC248-BD136+BD251</f>
        <v>522.69</v>
      </c>
      <c r="BE248" s="3">
        <f>BD248-BE136+BE251</f>
        <v>526.78</v>
      </c>
      <c r="BF248" s="3">
        <f>BE248</f>
        <v>526.78</v>
      </c>
      <c r="BG248" s="3">
        <f>BF248-BG136+BG251</f>
        <v>530.618</v>
      </c>
      <c r="BH248" s="3">
        <f>BG248-BH136+BH251</f>
        <v>548.116</v>
      </c>
      <c r="BI248" s="3">
        <f>BH248-BI136+BI251</f>
        <v>552.17</v>
      </c>
      <c r="BJ248" s="3">
        <f>BI248-BJ136+BJ251</f>
        <v>556.26</v>
      </c>
      <c r="BK248" s="3">
        <f>BJ248</f>
        <v>556.26</v>
      </c>
      <c r="BL248" s="3">
        <f>BK248-BL136+BL251</f>
        <v>560.098</v>
      </c>
      <c r="BM248" s="3">
        <f>BL248-BM136+BM251</f>
        <v>577.596</v>
      </c>
      <c r="BN248" s="3">
        <f>BM248-BN136+BN251</f>
        <v>581.65</v>
      </c>
      <c r="BO248" s="3">
        <f>BN248-BO136+BO251</f>
        <v>585.74</v>
      </c>
      <c r="BP248" s="3">
        <f>BO248</f>
        <v>585.74</v>
      </c>
      <c r="BQ248" s="3">
        <f>BP248-BQ136+BQ251</f>
        <v>589.578</v>
      </c>
      <c r="BR248" s="3">
        <f>BQ248-BR136+BR251</f>
        <v>607.076</v>
      </c>
      <c r="BS248" s="3">
        <f>BR248-BS136+BS251</f>
        <v>611.13</v>
      </c>
      <c r="BT248" s="3">
        <f>BS248-BT136+BT251</f>
        <v>615.22</v>
      </c>
      <c r="BU248" s="3">
        <f>BT248</f>
        <v>615.22</v>
      </c>
      <c r="BV248" s="3">
        <f>BU248-BV136+BV251</f>
        <v>619.058</v>
      </c>
      <c r="BW248" s="3">
        <f>BV248-BW136+BW251</f>
        <v>636.556</v>
      </c>
      <c r="BX248" s="3">
        <f>BW248-BX136+BX251</f>
        <v>640.61</v>
      </c>
      <c r="BY248" s="3">
        <f>BX248-BY136+BY251</f>
        <v>644.7</v>
      </c>
      <c r="BZ248" s="3">
        <f>BY248</f>
        <v>644.7</v>
      </c>
      <c r="CA248" s="3">
        <f>BZ248-CA136+CA251</f>
        <v>648.538</v>
      </c>
      <c r="CB248" s="3">
        <f>CA248-CB136+CB251</f>
        <v>666.036</v>
      </c>
      <c r="CC248" s="3">
        <f>CB248-CC136+CC251</f>
        <v>670.09</v>
      </c>
      <c r="CD248" s="3">
        <f>CC248-CD136+CD251</f>
        <v>674.18</v>
      </c>
      <c r="CE248" s="3">
        <f>CD248</f>
        <v>674.18</v>
      </c>
      <c r="CF248" s="3">
        <f>CE248-CF136+CF251</f>
        <v>678.018</v>
      </c>
      <c r="CG248" s="3">
        <f>CF248-CG136+CG251</f>
        <v>695.516</v>
      </c>
      <c r="CH248" s="3">
        <f>CG248-CH136+CH251</f>
        <v>699.57</v>
      </c>
      <c r="CI248" s="3">
        <f>CH248-CI136+CI251</f>
        <v>703.66</v>
      </c>
      <c r="CJ248" s="3">
        <f>CI248</f>
        <v>703.66</v>
      </c>
      <c r="CK248" s="3">
        <f>CJ248-CK136+CK251</f>
        <v>707.498</v>
      </c>
      <c r="CL248" s="3">
        <f>CK248-CL136+CL251</f>
        <v>724.996</v>
      </c>
      <c r="CM248" s="3">
        <f>CL248-CM136+CM251</f>
        <v>729.05</v>
      </c>
      <c r="CN248" s="3">
        <f>CM248-CN136+CN251</f>
        <v>733.14</v>
      </c>
      <c r="CO248" s="3">
        <f>CN248</f>
        <v>733.14</v>
      </c>
      <c r="CP248" s="3">
        <f>CO248-CP136+CP251</f>
        <v>736.978</v>
      </c>
      <c r="CQ248" s="3">
        <f>CP248-CQ136+CQ251</f>
        <v>754.476</v>
      </c>
      <c r="CR248" s="3">
        <f>CQ248-CR136+CR251</f>
        <v>758.53</v>
      </c>
      <c r="CS248" s="3">
        <f>CR248-CS136+CS251</f>
        <v>762.62</v>
      </c>
      <c r="CT248" s="3">
        <f>CS248</f>
        <v>762.62</v>
      </c>
      <c r="CU248" s="3">
        <f>CT248-CU136+CU251</f>
        <v>766.458</v>
      </c>
      <c r="CV248" s="3">
        <f>CU248-CV136+CV251</f>
        <v>783.956</v>
      </c>
      <c r="CW248" s="3">
        <f>CV248-CW136+CW251</f>
        <v>788.01</v>
      </c>
      <c r="CX248" s="3">
        <f>CW248-CX136+CX251</f>
        <v>792.1</v>
      </c>
      <c r="CY248" s="3">
        <f>CX248</f>
        <v>792.1</v>
      </c>
    </row>
    <row r="249" hidden="1" outlineLevel="1" customFormat="1" s="39">
      <c r="A249" s="19" t="n"/>
      <c r="B249" s="19" t="n"/>
      <c r="C249" s="38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</row>
    <row r="250" hidden="1" outlineLevel="1" customFormat="1" s="39">
      <c r="A250" s="19" t="n"/>
      <c r="B250" s="19" t="n"/>
      <c r="C250" s="34" t="inlineStr">
        <is>
          <t>Minority Interest Expense - % YoY</t>
        </is>
      </c>
      <c r="D250" s="22" t="n"/>
      <c r="E250" s="40">
        <f>IF(D135=0,0,E135/D135-1)</f>
        <v>-1.2</v>
      </c>
      <c r="F250" s="22" t="n"/>
      <c r="G250" s="22" t="n"/>
      <c r="H250" s="40" t="n"/>
      <c r="I250" s="22" t="n"/>
      <c r="J250" s="40">
        <f>IF(I135=0,0,J135/I135-1)</f>
        <v>-0.725490196078432</v>
      </c>
      <c r="K250" s="22" t="n"/>
      <c r="L250" s="22" t="n"/>
      <c r="M250" s="40" t="n"/>
      <c r="N250" s="40">
        <f>IF(I135=0,0,N135/I135-1)</f>
        <v>-1.00980392156863</v>
      </c>
      <c r="O250" s="40">
        <f>IF(J135=0,0,O135/J135-1)</f>
        <v>-202.321428571429</v>
      </c>
      <c r="P250" s="40">
        <f>IF(K135=0,0,P135/K135-1)</f>
        <v>43.5069767441861</v>
      </c>
      <c r="Q250" s="40">
        <f>IF(L135=0,0,Q135/L135-1)</f>
        <v>8.99736147757256</v>
      </c>
      <c r="R250" s="40" t="n"/>
      <c r="S250" s="40">
        <f>IF(N135=0,0,S135/N135-1)</f>
        <v>-2974</v>
      </c>
      <c r="T250" s="40">
        <f>IF(O135=0,0,T135/O135-1)</f>
        <v>-1.5431967358524</v>
      </c>
      <c r="U250" s="40">
        <f>IF(P135=0,0,U135/P135-1)</f>
        <v>-0.81408715644268</v>
      </c>
      <c r="V250" s="40">
        <f>IF(Q135=0,0,V135/Q135-1)</f>
        <v>-0.143309580364212</v>
      </c>
      <c r="W250" s="40">
        <f>IF(R136=0,0,W136/R136-1)</f>
        <v>0.813785636954168</v>
      </c>
      <c r="X250" s="40">
        <f>IF(S135=0,0,X135/S135-1)</f>
        <v>0.503531786074672</v>
      </c>
      <c r="Y250" s="40">
        <f>IF(T135=0,0,Y135/T135-1)</f>
        <v>-0.238406270411496</v>
      </c>
      <c r="Z250" s="40">
        <f>IF(U135=0,0,Z135/U135-1)</f>
        <v>1.94378864530635</v>
      </c>
      <c r="AA250" s="40">
        <f>IF(V135=0,0,AA135/V135-1)</f>
        <v>-0.18422674060382</v>
      </c>
      <c r="AB250" s="40">
        <f>IF(W136=0,0,AB136/W136-1)</f>
        <v>0.350875447672105</v>
      </c>
      <c r="AC250" s="40">
        <f>IF(X135=0,0,AC135/X135-1)</f>
        <v>-0.0651006711409395</v>
      </c>
      <c r="AD250" s="40">
        <f>IF(Y135=0,0,AD135/Y135-1)</f>
        <v>-0.323327615780446</v>
      </c>
      <c r="AE250" s="40">
        <f>IF(Z135=0,0,AE135/Z135-1)</f>
        <v>-0.804468206988734</v>
      </c>
      <c r="AF250" s="40">
        <f>IF(AA135=0,0,AF135/AA135-1)</f>
        <v>-0.987160120845921</v>
      </c>
      <c r="AG250" s="40">
        <f>IF(AB136=0,0,AG136/AB136-1)</f>
        <v>0.0177479932248323</v>
      </c>
      <c r="AH250" s="35">
        <f>IF(AC135=0,0,AH135/AC135-1)</f>
        <v>-1.11031347212252</v>
      </c>
      <c r="AI250" s="35">
        <f>IF(AD135=0,0,AI135/AD135-1)</f>
        <v>-3.7743979721166</v>
      </c>
      <c r="AJ250" s="35" t="n"/>
      <c r="AK250" s="35" t="n"/>
      <c r="AL250" s="40">
        <f>IF(AG136=0,0,AL136/AG136-1)</f>
        <v>1.13314037626628</v>
      </c>
      <c r="AM250" s="35" t="n"/>
      <c r="AN250" s="35" t="n"/>
      <c r="AO250" s="35" t="n"/>
      <c r="AP250" s="35" t="n"/>
      <c r="AQ250" s="40">
        <f>IF(AL136=0,0,AQ136/AL136-1)</f>
        <v>0</v>
      </c>
      <c r="AR250" s="35" t="n"/>
      <c r="AS250" s="35" t="n"/>
      <c r="AT250" s="35" t="n"/>
      <c r="AU250" s="35" t="n"/>
      <c r="AV250" s="40">
        <f>IF(AQ136=0,0,AV136/AQ136-1)</f>
        <v>0</v>
      </c>
      <c r="AW250" s="35" t="n"/>
      <c r="AX250" s="35" t="n"/>
      <c r="AY250" s="35" t="n"/>
      <c r="AZ250" s="35" t="n"/>
      <c r="BA250" s="40">
        <f>IF(AV136=0,0,BA136/AV136-1)</f>
        <v>0</v>
      </c>
      <c r="BB250" s="35" t="n"/>
      <c r="BC250" s="35" t="n"/>
      <c r="BD250" s="35" t="n"/>
      <c r="BE250" s="35" t="n"/>
      <c r="BF250" s="40">
        <f>IF(BA136=0,0,BF136/BA136-1)</f>
        <v>0</v>
      </c>
      <c r="BG250" s="35" t="n"/>
      <c r="BH250" s="35" t="n"/>
      <c r="BI250" s="35" t="n"/>
      <c r="BJ250" s="35" t="n"/>
      <c r="BK250" s="40">
        <f>IF(BF136=0,0,BK136/BF136-1)</f>
        <v>0</v>
      </c>
      <c r="BL250" s="35" t="n"/>
      <c r="BM250" s="35" t="n"/>
      <c r="BN250" s="35" t="n"/>
      <c r="BO250" s="35" t="n"/>
      <c r="BP250" s="40">
        <f>IF(BK136=0,0,BP136/BK136-1)</f>
        <v>0</v>
      </c>
      <c r="BQ250" s="35" t="n"/>
      <c r="BR250" s="35" t="n"/>
      <c r="BS250" s="35" t="n"/>
      <c r="BT250" s="35" t="n"/>
      <c r="BU250" s="40">
        <f>IF(BP136=0,0,BU136/BP136-1)</f>
        <v>0</v>
      </c>
      <c r="BV250" s="35" t="n"/>
      <c r="BW250" s="35" t="n"/>
      <c r="BX250" s="35" t="n"/>
      <c r="BY250" s="35" t="n"/>
      <c r="BZ250" s="40">
        <f>IF(BU136=0,0,BZ136/BU136-1)</f>
        <v>0</v>
      </c>
      <c r="CA250" s="35" t="n"/>
      <c r="CB250" s="35" t="n"/>
      <c r="CC250" s="35" t="n"/>
      <c r="CD250" s="35" t="n"/>
      <c r="CE250" s="40">
        <f>IF(BZ136=0,0,CE136/BZ136-1)</f>
        <v>0</v>
      </c>
      <c r="CF250" s="35" t="n"/>
      <c r="CG250" s="35" t="n"/>
      <c r="CH250" s="35" t="n"/>
      <c r="CI250" s="35" t="n"/>
      <c r="CJ250" s="40">
        <f>IF(CE136=0,0,CJ136/CE136-1)</f>
        <v>0</v>
      </c>
      <c r="CK250" s="35" t="n"/>
      <c r="CL250" s="35" t="n"/>
      <c r="CM250" s="35" t="n"/>
      <c r="CN250" s="35" t="n"/>
      <c r="CO250" s="40">
        <f>IF(CJ136=0,0,CO136/CJ136-1)</f>
        <v>0</v>
      </c>
      <c r="CP250" s="35" t="n"/>
      <c r="CQ250" s="35" t="n"/>
      <c r="CR250" s="35" t="n"/>
      <c r="CS250" s="35" t="n"/>
      <c r="CT250" s="40">
        <f>IF(CO136=0,0,CT136/CO136-1)</f>
        <v>0</v>
      </c>
      <c r="CU250" s="35" t="n"/>
      <c r="CV250" s="35" t="n"/>
      <c r="CW250" s="35" t="n"/>
      <c r="CX250" s="35" t="n"/>
      <c r="CY250" s="40">
        <f>IF(CT136=0,0,CY136/CT136-1)</f>
        <v>0</v>
      </c>
    </row>
    <row r="251" hidden="1" outlineLevel="1" customFormat="1" s="39">
      <c r="A251" s="19" t="n"/>
      <c r="B251" s="19" t="n"/>
      <c r="C251" s="34" t="inlineStr">
        <is>
          <t>Dividends (enter as -)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35" t="n"/>
      <c r="AI251" s="35" t="n"/>
      <c r="AJ251" s="35" t="n"/>
      <c r="AK251" s="35" t="n"/>
      <c r="AL251" s="22" t="n"/>
      <c r="AM251" s="35" t="n"/>
      <c r="AN251" s="35" t="n"/>
      <c r="AO251" s="35" t="n"/>
      <c r="AP251" s="35" t="n"/>
      <c r="AQ251" s="22" t="n"/>
      <c r="AR251" s="35" t="n"/>
      <c r="AS251" s="35" t="n"/>
      <c r="AT251" s="35" t="n"/>
      <c r="AU251" s="35" t="n"/>
      <c r="AV251" s="22" t="n"/>
      <c r="AW251" s="35" t="n"/>
      <c r="AX251" s="35" t="n"/>
      <c r="AY251" s="35" t="n"/>
      <c r="AZ251" s="35" t="n"/>
      <c r="BA251" s="22" t="n"/>
      <c r="BB251" s="35" t="n"/>
      <c r="BC251" s="35" t="n"/>
      <c r="BD251" s="35" t="n"/>
      <c r="BE251" s="35" t="n"/>
      <c r="BF251" s="22" t="n"/>
      <c r="BG251" s="35" t="n"/>
      <c r="BH251" s="35" t="n"/>
      <c r="BI251" s="35" t="n"/>
      <c r="BJ251" s="35" t="n"/>
      <c r="BK251" s="22" t="n"/>
      <c r="BL251" s="35" t="n"/>
      <c r="BM251" s="35" t="n"/>
      <c r="BN251" s="35" t="n"/>
      <c r="BO251" s="35" t="n"/>
      <c r="BP251" s="22" t="n"/>
      <c r="BQ251" s="35" t="n"/>
      <c r="BR251" s="35" t="n"/>
      <c r="BS251" s="35" t="n"/>
      <c r="BT251" s="35" t="n"/>
      <c r="BU251" s="22" t="n"/>
      <c r="BV251" s="35" t="n"/>
      <c r="BW251" s="35" t="n"/>
      <c r="BX251" s="35" t="n"/>
      <c r="BY251" s="35" t="n"/>
      <c r="BZ251" s="22" t="n"/>
      <c r="CA251" s="35" t="n"/>
      <c r="CB251" s="35" t="n"/>
      <c r="CC251" s="35" t="n"/>
      <c r="CD251" s="35" t="n"/>
      <c r="CE251" s="22" t="n"/>
      <c r="CF251" s="35" t="n"/>
      <c r="CG251" s="35" t="n"/>
      <c r="CH251" s="35" t="n"/>
      <c r="CI251" s="35" t="n"/>
      <c r="CJ251" s="22" t="n"/>
      <c r="CK251" s="35" t="n"/>
      <c r="CL251" s="35" t="n"/>
      <c r="CM251" s="35" t="n"/>
      <c r="CN251" s="35" t="n"/>
      <c r="CO251" s="22" t="n"/>
      <c r="CP251" s="35" t="n"/>
      <c r="CQ251" s="35" t="n"/>
      <c r="CR251" s="35" t="n"/>
      <c r="CS251" s="35" t="n"/>
      <c r="CT251" s="22" t="n"/>
      <c r="CU251" s="35" t="n"/>
      <c r="CV251" s="35" t="n"/>
      <c r="CW251" s="35" t="n"/>
      <c r="CX251" s="35" t="n"/>
      <c r="CY251" s="22" t="n"/>
    </row>
    <row r="252" hidden="1" outlineLevel="1" customFormat="1" s="39">
      <c r="A252" s="19" t="n"/>
      <c r="B252" s="19" t="n"/>
      <c r="C252" s="38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</row>
    <row r="253" collapsed="1">
      <c r="C253" s="26" t="inlineStr">
        <is>
          <t>Convertible Preferred Stock</t>
        </is>
      </c>
      <c r="D253" s="25" t="n"/>
      <c r="E253" s="25" t="n"/>
      <c r="F253" s="25" t="n"/>
      <c r="G253" s="25" t="n"/>
      <c r="H253" s="3">
        <f>G253</f>
        <v>0</v>
      </c>
      <c r="I253" s="25" t="n"/>
      <c r="J253" s="25" t="n"/>
      <c r="K253" s="25" t="n"/>
      <c r="L253" s="25" t="n"/>
      <c r="M253" s="3">
        <f>L253</f>
        <v>0</v>
      </c>
      <c r="N253" s="25" t="n"/>
      <c r="O253" s="25" t="n"/>
      <c r="P253" s="25" t="n"/>
      <c r="Q253" s="25" t="n"/>
      <c r="R253" s="3">
        <f>Q253</f>
        <v>0</v>
      </c>
      <c r="S253" s="25" t="n"/>
      <c r="T253" s="25" t="n"/>
      <c r="U253" s="25" t="n"/>
      <c r="V253" s="25" t="n"/>
      <c r="W253" s="3">
        <f>V253</f>
        <v>0</v>
      </c>
      <c r="X253" s="25" t="n"/>
      <c r="Y253" s="25" t="n"/>
      <c r="Z253" s="25" t="n"/>
      <c r="AA253" s="25" t="n"/>
      <c r="AB253" s="3">
        <f>AA253</f>
        <v>0</v>
      </c>
      <c r="AC253" s="25" t="n"/>
      <c r="AD253" s="25" t="n"/>
      <c r="AE253" s="25" t="n"/>
      <c r="AF253" s="25" t="n"/>
      <c r="AG253" s="3">
        <f>AF253</f>
        <v>0</v>
      </c>
      <c r="AH253" s="3">
        <f>AG253</f>
        <v>0</v>
      </c>
      <c r="AI253" s="3">
        <f>AH253</f>
        <v>0</v>
      </c>
      <c r="AJ253" s="3">
        <f>AI253</f>
        <v>0</v>
      </c>
      <c r="AK253" s="3">
        <f>AJ253</f>
        <v>0</v>
      </c>
      <c r="AL253" s="3">
        <f>AK253</f>
        <v>0</v>
      </c>
      <c r="AM253" s="3">
        <f>AL253</f>
        <v>0</v>
      </c>
      <c r="AN253" s="3">
        <f>AM253</f>
        <v>0</v>
      </c>
      <c r="AO253" s="3">
        <f>AN253</f>
        <v>0</v>
      </c>
      <c r="AP253" s="3">
        <f>AO253</f>
        <v>0</v>
      </c>
      <c r="AQ253" s="3">
        <f>AP253</f>
        <v>0</v>
      </c>
      <c r="AR253" s="3">
        <f>AQ253</f>
        <v>0</v>
      </c>
      <c r="AS253" s="3">
        <f>AR253</f>
        <v>0</v>
      </c>
      <c r="AT253" s="3">
        <f>AS253</f>
        <v>0</v>
      </c>
      <c r="AU253" s="3">
        <f>AT253</f>
        <v>0</v>
      </c>
      <c r="AV253" s="3">
        <f>AU253</f>
        <v>0</v>
      </c>
      <c r="AW253" s="3">
        <f>AV253</f>
        <v>0</v>
      </c>
      <c r="AX253" s="3">
        <f>AW253</f>
        <v>0</v>
      </c>
      <c r="AY253" s="3">
        <f>AX253</f>
        <v>0</v>
      </c>
      <c r="AZ253" s="3">
        <f>AY253</f>
        <v>0</v>
      </c>
      <c r="BA253" s="3">
        <f>AZ253</f>
        <v>0</v>
      </c>
      <c r="BB253" s="3">
        <f>BA253</f>
        <v>0</v>
      </c>
      <c r="BC253" s="3">
        <f>BB253</f>
        <v>0</v>
      </c>
      <c r="BD253" s="3">
        <f>BC253</f>
        <v>0</v>
      </c>
      <c r="BE253" s="3">
        <f>BD253</f>
        <v>0</v>
      </c>
      <c r="BF253" s="3">
        <f>BE253</f>
        <v>0</v>
      </c>
      <c r="BG253" s="3">
        <f>BF253</f>
        <v>0</v>
      </c>
      <c r="BH253" s="3">
        <f>BG253</f>
        <v>0</v>
      </c>
      <c r="BI253" s="3">
        <f>BH253</f>
        <v>0</v>
      </c>
      <c r="BJ253" s="3">
        <f>BI253</f>
        <v>0</v>
      </c>
      <c r="BK253" s="3">
        <f>BJ253</f>
        <v>0</v>
      </c>
      <c r="BL253" s="3">
        <f>BK253</f>
        <v>0</v>
      </c>
      <c r="BM253" s="3">
        <f>BL253</f>
        <v>0</v>
      </c>
      <c r="BN253" s="3">
        <f>BM253</f>
        <v>0</v>
      </c>
      <c r="BO253" s="3">
        <f>BN253</f>
        <v>0</v>
      </c>
      <c r="BP253" s="3">
        <f>BO253</f>
        <v>0</v>
      </c>
      <c r="BQ253" s="3">
        <f>BP253</f>
        <v>0</v>
      </c>
      <c r="BR253" s="3">
        <f>BQ253</f>
        <v>0</v>
      </c>
      <c r="BS253" s="3">
        <f>BR253</f>
        <v>0</v>
      </c>
      <c r="BT253" s="3">
        <f>BS253</f>
        <v>0</v>
      </c>
      <c r="BU253" s="3">
        <f>BT253</f>
        <v>0</v>
      </c>
      <c r="BV253" s="3">
        <f>BU253</f>
        <v>0</v>
      </c>
      <c r="BW253" s="3">
        <f>BV253</f>
        <v>0</v>
      </c>
      <c r="BX253" s="3">
        <f>BW253</f>
        <v>0</v>
      </c>
      <c r="BY253" s="3">
        <f>BX253</f>
        <v>0</v>
      </c>
      <c r="BZ253" s="3">
        <f>BY253</f>
        <v>0</v>
      </c>
      <c r="CA253" s="3">
        <f>BZ253</f>
        <v>0</v>
      </c>
      <c r="CB253" s="3">
        <f>CA253</f>
        <v>0</v>
      </c>
      <c r="CC253" s="3">
        <f>CB253</f>
        <v>0</v>
      </c>
      <c r="CD253" s="3">
        <f>CC253</f>
        <v>0</v>
      </c>
      <c r="CE253" s="3">
        <f>CD253</f>
        <v>0</v>
      </c>
      <c r="CF253" s="3">
        <f>CE253</f>
        <v>0</v>
      </c>
      <c r="CG253" s="3">
        <f>CF253</f>
        <v>0</v>
      </c>
      <c r="CH253" s="3">
        <f>CG253</f>
        <v>0</v>
      </c>
      <c r="CI253" s="3">
        <f>CH253</f>
        <v>0</v>
      </c>
      <c r="CJ253" s="3">
        <f>CI253</f>
        <v>0</v>
      </c>
      <c r="CK253" s="3">
        <f>CJ253</f>
        <v>0</v>
      </c>
      <c r="CL253" s="3">
        <f>CK253</f>
        <v>0</v>
      </c>
      <c r="CM253" s="3">
        <f>CL253</f>
        <v>0</v>
      </c>
      <c r="CN253" s="3">
        <f>CM253</f>
        <v>0</v>
      </c>
      <c r="CO253" s="3">
        <f>CN253</f>
        <v>0</v>
      </c>
      <c r="CP253" s="3">
        <f>CO253</f>
        <v>0</v>
      </c>
      <c r="CQ253" s="3">
        <f>CP253</f>
        <v>0</v>
      </c>
      <c r="CR253" s="3">
        <f>CQ253</f>
        <v>0</v>
      </c>
      <c r="CS253" s="3">
        <f>CR253</f>
        <v>0</v>
      </c>
      <c r="CT253" s="3">
        <f>CS253</f>
        <v>0</v>
      </c>
      <c r="CU253" s="3">
        <f>CT253</f>
        <v>0</v>
      </c>
      <c r="CV253" s="3">
        <f>CU253</f>
        <v>0</v>
      </c>
      <c r="CW253" s="3">
        <f>CV253</f>
        <v>0</v>
      </c>
      <c r="CX253" s="3">
        <f>CW253</f>
        <v>0</v>
      </c>
      <c r="CY253" s="3">
        <f>CX253</f>
        <v>0</v>
      </c>
    </row>
    <row r="254">
      <c r="C254" s="24" t="inlineStr">
        <is>
          <t>Common Stock and APIC</t>
        </is>
      </c>
      <c r="D254" s="25">
        <f>INDEX('Inputs (2)'!$D$43:$AL$43,MATCH(D$7,'Inputs (2)'!$D$2:$AL$2,0))</f>
        <v>577.348</v>
      </c>
      <c r="E254" s="25">
        <f>INDEX('Inputs (2)'!$D$43:$AL$43,MATCH(E$7,'Inputs (2)'!$D$2:$AL$2,0))</f>
        <v>734.012</v>
      </c>
      <c r="F254" s="25">
        <f>INDEX('Inputs (2)'!$D$43:$AL$43,MATCH(F$7,'Inputs (2)'!$D$2:$AL$2,0))</f>
        <v>734.012</v>
      </c>
      <c r="G254" s="25">
        <f>INDEX('Inputs (2)'!$D$43:$AL$43,MATCH(G$7,'Inputs (2)'!$D$2:$AL$2,0))</f>
        <v>734.887</v>
      </c>
      <c r="H254" s="3">
        <f>G254</f>
        <v>734.887</v>
      </c>
      <c r="I254" s="25">
        <f>INDEX('Inputs (2)'!$D$43:$AL$43,MATCH(I$7,'Inputs (2)'!$D$2:$AL$2,0))</f>
        <v>817.544</v>
      </c>
      <c r="J254" s="25">
        <f>INDEX('Inputs (2)'!$D$43:$AL$43,MATCH(J$7,'Inputs (2)'!$D$2:$AL$2,0))</f>
        <v>816.2</v>
      </c>
      <c r="K254" s="25">
        <f>INDEX('Inputs (2)'!$D$43:$AL$43,MATCH(K$7,'Inputs (2)'!$D$2:$AL$2,0))</f>
        <v>816.2</v>
      </c>
      <c r="L254" s="25">
        <f>INDEX('Inputs (2)'!$D$43:$AL$43,MATCH(L$7,'Inputs (2)'!$D$2:$AL$2,0))</f>
        <v>816.2</v>
      </c>
      <c r="M254" s="3">
        <f>L254</f>
        <v>816.2</v>
      </c>
      <c r="N254" s="25">
        <f>INDEX('Inputs (2)'!$D$43:$AL$43,MATCH(N$7,'Inputs (2)'!$D$2:$AL$2,0))</f>
        <v>816.2</v>
      </c>
      <c r="O254" s="25">
        <f>INDEX('Inputs (2)'!$D$43:$AL$43,MATCH(O$7,'Inputs (2)'!$D$2:$AL$2,0))</f>
        <v>929.655</v>
      </c>
      <c r="P254" s="25">
        <f>INDEX('Inputs (2)'!$D$43:$AL$43,MATCH(P$7,'Inputs (2)'!$D$2:$AL$2,0))</f>
        <v>929.655</v>
      </c>
      <c r="Q254" s="25">
        <f>INDEX('Inputs (2)'!$D$43:$AL$43,MATCH(Q$7,'Inputs (2)'!$D$2:$AL$2,0))</f>
        <v>1113.454</v>
      </c>
      <c r="R254" s="3">
        <f>Q254</f>
        <v>1113.454</v>
      </c>
      <c r="S254" s="25">
        <f>INDEX('Inputs (2)'!$D$43:$AL$43,MATCH(S$7,'Inputs (2)'!$D$2:$AL$2,0))</f>
        <v>1461.658</v>
      </c>
      <c r="T254" s="25">
        <f>INDEX('Inputs (2)'!$D$43:$AL$43,MATCH(T$7,'Inputs (2)'!$D$2:$AL$2,0))</f>
        <v>1544.389</v>
      </c>
      <c r="U254" s="25">
        <f>INDEX('Inputs (2)'!$D$43:$AL$43,MATCH(U$7,'Inputs (2)'!$D$2:$AL$2,0))</f>
        <v>1544.389</v>
      </c>
      <c r="V254" s="25">
        <f>INDEX('Inputs (2)'!$D$43:$AL$43,MATCH(V$7,'Inputs (2)'!$D$2:$AL$2,0))</f>
        <v>1544.389</v>
      </c>
      <c r="W254" s="3">
        <f>V254</f>
        <v>1544.389</v>
      </c>
      <c r="X254" s="25">
        <f>INDEX('Inputs (2)'!$D$43:$AL$43,MATCH(X$7,'Inputs (2)'!$D$2:$AL$2,0))</f>
        <v>1544.389</v>
      </c>
      <c r="Y254" s="25">
        <f>INDEX('Inputs (2)'!$D$43:$AL$43,MATCH(Y$7,'Inputs (2)'!$D$2:$AL$2,0))</f>
        <v>1544.389</v>
      </c>
      <c r="Z254" s="25">
        <f>INDEX('Inputs (2)'!$D$43:$AL$43,MATCH(Z$7,'Inputs (2)'!$D$2:$AL$2,0))</f>
        <v>1544.389</v>
      </c>
      <c r="AA254" s="25">
        <f>INDEX('Inputs (2)'!$D$43:$AL$43,MATCH(AA$7,'Inputs (2)'!$D$2:$AL$2,0))</f>
        <v>1544.389</v>
      </c>
      <c r="AB254" s="3">
        <f>AA254</f>
        <v>1544.389</v>
      </c>
      <c r="AC254" s="25">
        <f>INDEX('Inputs (2)'!$D$43:$AL$43,MATCH(AC$7,'Inputs (2)'!$D$2:$AL$2,0))</f>
        <v>1544.389</v>
      </c>
      <c r="AD254" s="25">
        <f>INDEX('Inputs (2)'!$D$43:$AL$43,MATCH(AD$7,'Inputs (2)'!$D$2:$AL$2,0))</f>
        <v>2151.561</v>
      </c>
      <c r="AE254" s="25">
        <f>INDEX('Inputs (2)'!$D$43:$AL$43,MATCH(AE$7,'Inputs (2)'!$D$2:$AL$2,0))</f>
        <v>2150.122</v>
      </c>
      <c r="AF254" s="25">
        <f>INDEX('Inputs (2)'!$D$43:$AL$43,MATCH(AF$7,'Inputs (2)'!$D$2:$AL$2,0))</f>
        <v>2148.193</v>
      </c>
      <c r="AG254" s="3">
        <f>AF254</f>
        <v>2148.193</v>
      </c>
      <c r="AH254" s="3">
        <f>INDEX('Inputs (2)'!$D$43:$AL$43,MATCH(AH$7,'Inputs (2)'!$D$2:$AL$2,0))</f>
        <v>2147.299</v>
      </c>
      <c r="AI254" s="3">
        <f>INDEX('Inputs (2)'!$D$43:$AL$43,MATCH(AI$7,'Inputs (2)'!$D$2:$AL$2,0))</f>
        <v>5654.326</v>
      </c>
      <c r="AJ254" s="3">
        <f>AI254+AJ258</f>
        <v>5654.326</v>
      </c>
      <c r="AK254" s="3">
        <f>AJ254+AK258</f>
        <v>5654.326</v>
      </c>
      <c r="AL254" s="3">
        <f>AK254</f>
        <v>5654.326</v>
      </c>
      <c r="AM254" s="3">
        <f>AL254+AM258</f>
        <v>5654.326</v>
      </c>
      <c r="AN254" s="3">
        <f>AM254+AN258</f>
        <v>5654.326</v>
      </c>
      <c r="AO254" s="3">
        <f>AN254+AO258</f>
        <v>5654.326</v>
      </c>
      <c r="AP254" s="3">
        <f>AO254+AP258</f>
        <v>5654.326</v>
      </c>
      <c r="AQ254" s="3">
        <f>AP254</f>
        <v>5654.326</v>
      </c>
      <c r="AR254" s="3">
        <f>AQ254+AR258</f>
        <v>5654.326</v>
      </c>
      <c r="AS254" s="3">
        <f>AR254+AS258</f>
        <v>5654.326</v>
      </c>
      <c r="AT254" s="3">
        <f>AS254+AT258</f>
        <v>5654.326</v>
      </c>
      <c r="AU254" s="3">
        <f>AT254+AU258</f>
        <v>5654.326</v>
      </c>
      <c r="AV254" s="3">
        <f>AU254</f>
        <v>5654.326</v>
      </c>
      <c r="AW254" s="3">
        <f>AV254+AW258</f>
        <v>5654.326</v>
      </c>
      <c r="AX254" s="3">
        <f>AW254+AX258</f>
        <v>5654.326</v>
      </c>
      <c r="AY254" s="3">
        <f>AX254+AY258</f>
        <v>5654.326</v>
      </c>
      <c r="AZ254" s="3">
        <f>AY254+AZ258</f>
        <v>5654.326</v>
      </c>
      <c r="BA254" s="3">
        <f>AZ254</f>
        <v>5654.326</v>
      </c>
      <c r="BB254" s="3">
        <f>BA254+BB258</f>
        <v>5654.326</v>
      </c>
      <c r="BC254" s="3">
        <f>BB254+BC258</f>
        <v>5654.326</v>
      </c>
      <c r="BD254" s="3">
        <f>BC254+BD258</f>
        <v>5654.326</v>
      </c>
      <c r="BE254" s="3">
        <f>BD254+BE258</f>
        <v>5654.326</v>
      </c>
      <c r="BF254" s="3">
        <f>BE254</f>
        <v>5654.326</v>
      </c>
      <c r="BG254" s="3">
        <f>BF254+BG258</f>
        <v>5654.326</v>
      </c>
      <c r="BH254" s="3">
        <f>BG254+BH258</f>
        <v>5654.326</v>
      </c>
      <c r="BI254" s="3">
        <f>BH254+BI258</f>
        <v>5654.326</v>
      </c>
      <c r="BJ254" s="3">
        <f>BI254+BJ258</f>
        <v>5654.326</v>
      </c>
      <c r="BK254" s="3">
        <f>BJ254</f>
        <v>5654.326</v>
      </c>
      <c r="BL254" s="3">
        <f>BK254+BL258</f>
        <v>5654.326</v>
      </c>
      <c r="BM254" s="3">
        <f>BL254+BM258</f>
        <v>5654.326</v>
      </c>
      <c r="BN254" s="3">
        <f>BM254+BN258</f>
        <v>5654.326</v>
      </c>
      <c r="BO254" s="3">
        <f>BN254+BO258</f>
        <v>5654.326</v>
      </c>
      <c r="BP254" s="3">
        <f>BO254</f>
        <v>5654.326</v>
      </c>
      <c r="BQ254" s="3">
        <f>BP254+BQ258</f>
        <v>5654.326</v>
      </c>
      <c r="BR254" s="3">
        <f>BQ254+BR258</f>
        <v>5654.326</v>
      </c>
      <c r="BS254" s="3">
        <f>BR254+BS258</f>
        <v>5654.326</v>
      </c>
      <c r="BT254" s="3">
        <f>BS254+BT258</f>
        <v>5654.326</v>
      </c>
      <c r="BU254" s="3">
        <f>BT254</f>
        <v>5654.326</v>
      </c>
      <c r="BV254" s="3">
        <f>BU254+BV258</f>
        <v>5654.326</v>
      </c>
      <c r="BW254" s="3">
        <f>BV254+BW258</f>
        <v>5654.326</v>
      </c>
      <c r="BX254" s="3">
        <f>BW254+BX258</f>
        <v>5654.326</v>
      </c>
      <c r="BY254" s="3">
        <f>BX254+BY258</f>
        <v>5654.326</v>
      </c>
      <c r="BZ254" s="3">
        <f>BY254</f>
        <v>5654.326</v>
      </c>
      <c r="CA254" s="3">
        <f>BZ254+CA258</f>
        <v>5654.326</v>
      </c>
      <c r="CB254" s="3">
        <f>CA254+CB258</f>
        <v>5654.326</v>
      </c>
      <c r="CC254" s="3">
        <f>CB254+CC258</f>
        <v>5654.326</v>
      </c>
      <c r="CD254" s="3">
        <f>CC254+CD258</f>
        <v>5654.326</v>
      </c>
      <c r="CE254" s="3">
        <f>CD254</f>
        <v>5654.326</v>
      </c>
      <c r="CF254" s="3">
        <f>CE254+CF258</f>
        <v>5654.326</v>
      </c>
      <c r="CG254" s="3">
        <f>CF254+CG258</f>
        <v>5654.326</v>
      </c>
      <c r="CH254" s="3">
        <f>CG254+CH258</f>
        <v>5654.326</v>
      </c>
      <c r="CI254" s="3">
        <f>CH254+CI258</f>
        <v>5654.326</v>
      </c>
      <c r="CJ254" s="3">
        <f>CI254</f>
        <v>5654.326</v>
      </c>
      <c r="CK254" s="3">
        <f>CJ254+CK258</f>
        <v>5654.326</v>
      </c>
      <c r="CL254" s="3">
        <f>CK254+CL258</f>
        <v>5654.326</v>
      </c>
      <c r="CM254" s="3">
        <f>CL254+CM258</f>
        <v>5654.326</v>
      </c>
      <c r="CN254" s="3">
        <f>CM254+CN258</f>
        <v>5654.326</v>
      </c>
      <c r="CO254" s="3">
        <f>CN254</f>
        <v>5654.326</v>
      </c>
      <c r="CP254" s="3">
        <f>CO254+CP258</f>
        <v>5654.326</v>
      </c>
      <c r="CQ254" s="3">
        <f>CP254+CQ258</f>
        <v>5654.326</v>
      </c>
      <c r="CR254" s="3">
        <f>CQ254+CR258</f>
        <v>5654.326</v>
      </c>
      <c r="CS254" s="3">
        <f>CR254+CS258</f>
        <v>5654.326</v>
      </c>
      <c r="CT254" s="3">
        <f>CS254</f>
        <v>5654.326</v>
      </c>
      <c r="CU254" s="3">
        <f>CT254+CU258</f>
        <v>5654.326</v>
      </c>
      <c r="CV254" s="3">
        <f>CU254+CV258</f>
        <v>5654.326</v>
      </c>
      <c r="CW254" s="3">
        <f>CV254+CW258</f>
        <v>5654.326</v>
      </c>
      <c r="CX254" s="3">
        <f>CW254+CX258</f>
        <v>5654.326</v>
      </c>
      <c r="CY254" s="3">
        <f>CX254</f>
        <v>5654.326</v>
      </c>
    </row>
    <row r="255" hidden="1" outlineLevel="1" customFormat="1" s="39">
      <c r="A255" s="19" t="n"/>
      <c r="B255" s="19" t="n"/>
      <c r="C255" s="41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</row>
    <row r="256" hidden="1" outlineLevel="1" customFormat="1" s="39">
      <c r="A256" s="19" t="n"/>
      <c r="B256" s="19" t="n"/>
      <c r="C256" s="41" t="inlineStr">
        <is>
          <t>Diluted Shares outstanding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</row>
    <row r="257" hidden="1" outlineLevel="1" customFormat="1" s="39">
      <c r="A257" s="19" t="n"/>
      <c r="B257" s="19" t="n"/>
      <c r="C257" s="41" t="inlineStr">
        <is>
          <t>Treasury share $ repurchases</t>
        </is>
      </c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6" t="n"/>
      <c r="AI257" s="6" t="n"/>
      <c r="AJ257" s="6" t="n"/>
      <c r="AK257" s="6" t="n"/>
      <c r="AL257" s="22" t="n"/>
      <c r="AM257" s="6" t="n"/>
      <c r="AN257" s="6" t="n"/>
      <c r="AO257" s="6" t="n"/>
      <c r="AP257" s="6" t="n"/>
      <c r="AQ257" s="22" t="n"/>
      <c r="AR257" s="6" t="n"/>
      <c r="AS257" s="6" t="n"/>
      <c r="AT257" s="6" t="n"/>
      <c r="AU257" s="6" t="n"/>
      <c r="AV257" s="22" t="n"/>
      <c r="AW257" s="6" t="n"/>
      <c r="AX257" s="6" t="n"/>
      <c r="AY257" s="6" t="n"/>
      <c r="AZ257" s="6" t="n"/>
      <c r="BA257" s="22" t="n"/>
      <c r="BB257" s="6" t="n"/>
      <c r="BC257" s="6" t="n"/>
      <c r="BD257" s="6" t="n"/>
      <c r="BE257" s="6" t="n"/>
      <c r="BF257" s="22" t="n"/>
      <c r="BG257" s="6" t="n"/>
      <c r="BH257" s="6" t="n"/>
      <c r="BI257" s="6" t="n"/>
      <c r="BJ257" s="6" t="n"/>
      <c r="BK257" s="22" t="n"/>
      <c r="BL257" s="6" t="n"/>
      <c r="BM257" s="6" t="n"/>
      <c r="BN257" s="6" t="n"/>
      <c r="BO257" s="6" t="n"/>
      <c r="BP257" s="22" t="n"/>
      <c r="BQ257" s="6" t="n"/>
      <c r="BR257" s="6" t="n"/>
      <c r="BS257" s="6" t="n"/>
      <c r="BT257" s="6" t="n"/>
      <c r="BU257" s="22" t="n"/>
      <c r="BV257" s="6" t="n"/>
      <c r="BW257" s="6" t="n"/>
      <c r="BX257" s="6" t="n"/>
      <c r="BY257" s="6" t="n"/>
      <c r="BZ257" s="22" t="n"/>
      <c r="CA257" s="6" t="n"/>
      <c r="CB257" s="6" t="n"/>
      <c r="CC257" s="6" t="n"/>
      <c r="CD257" s="6" t="n"/>
      <c r="CE257" s="22" t="n"/>
      <c r="CF257" s="6" t="n"/>
      <c r="CG257" s="6" t="n"/>
      <c r="CH257" s="6" t="n"/>
      <c r="CI257" s="6" t="n"/>
      <c r="CJ257" s="22" t="n"/>
      <c r="CK257" s="6" t="n"/>
      <c r="CL257" s="6" t="n"/>
      <c r="CM257" s="6" t="n"/>
      <c r="CN257" s="6" t="n"/>
      <c r="CO257" s="22" t="n"/>
      <c r="CP257" s="6" t="n"/>
      <c r="CQ257" s="6" t="n"/>
      <c r="CR257" s="6" t="n"/>
      <c r="CS257" s="6" t="n"/>
      <c r="CT257" s="22" t="n"/>
      <c r="CU257" s="6" t="n"/>
      <c r="CV257" s="6" t="n"/>
      <c r="CW257" s="6" t="n"/>
      <c r="CX257" s="6" t="n"/>
      <c r="CY257" s="22" t="n"/>
    </row>
    <row r="258" hidden="1" outlineLevel="1" customFormat="1" s="39">
      <c r="A258" s="19" t="n"/>
      <c r="B258" s="19" t="n"/>
      <c r="C258" s="41" t="inlineStr">
        <is>
          <t>Value of shares issued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6" t="n"/>
      <c r="AI258" s="6" t="n"/>
      <c r="AJ258" s="6" t="n"/>
      <c r="AK258" s="6" t="n"/>
      <c r="AL258" s="22" t="n"/>
      <c r="AM258" s="6" t="n"/>
      <c r="AN258" s="6" t="n"/>
      <c r="AO258" s="6" t="n"/>
      <c r="AP258" s="6" t="n"/>
      <c r="AQ258" s="22" t="n"/>
      <c r="AR258" s="6" t="n"/>
      <c r="AS258" s="6" t="n"/>
      <c r="AT258" s="6" t="n"/>
      <c r="AU258" s="6" t="n"/>
      <c r="AV258" s="22" t="n"/>
      <c r="AW258" s="6" t="n"/>
      <c r="AX258" s="6" t="n"/>
      <c r="AY258" s="6" t="n"/>
      <c r="AZ258" s="6" t="n"/>
      <c r="BA258" s="22" t="n"/>
      <c r="BB258" s="6" t="n"/>
      <c r="BC258" s="6" t="n"/>
      <c r="BD258" s="6" t="n"/>
      <c r="BE258" s="6" t="n"/>
      <c r="BF258" s="22" t="n"/>
      <c r="BG258" s="6" t="n"/>
      <c r="BH258" s="6" t="n"/>
      <c r="BI258" s="6" t="n"/>
      <c r="BJ258" s="6" t="n"/>
      <c r="BK258" s="22" t="n"/>
      <c r="BL258" s="6" t="n"/>
      <c r="BM258" s="6" t="n"/>
      <c r="BN258" s="6" t="n"/>
      <c r="BO258" s="6" t="n"/>
      <c r="BP258" s="22" t="n"/>
      <c r="BQ258" s="6" t="n"/>
      <c r="BR258" s="6" t="n"/>
      <c r="BS258" s="6" t="n"/>
      <c r="BT258" s="6" t="n"/>
      <c r="BU258" s="22" t="n"/>
      <c r="BV258" s="6" t="n"/>
      <c r="BW258" s="6" t="n"/>
      <c r="BX258" s="6" t="n"/>
      <c r="BY258" s="6" t="n"/>
      <c r="BZ258" s="22" t="n"/>
      <c r="CA258" s="6" t="n"/>
      <c r="CB258" s="6" t="n"/>
      <c r="CC258" s="6" t="n"/>
      <c r="CD258" s="6" t="n"/>
      <c r="CE258" s="22" t="n"/>
      <c r="CF258" s="6" t="n"/>
      <c r="CG258" s="6" t="n"/>
      <c r="CH258" s="6" t="n"/>
      <c r="CI258" s="6" t="n"/>
      <c r="CJ258" s="22" t="n"/>
      <c r="CK258" s="6" t="n"/>
      <c r="CL258" s="6" t="n"/>
      <c r="CM258" s="6" t="n"/>
      <c r="CN258" s="6" t="n"/>
      <c r="CO258" s="22" t="n"/>
      <c r="CP258" s="6" t="n"/>
      <c r="CQ258" s="6" t="n"/>
      <c r="CR258" s="6" t="n"/>
      <c r="CS258" s="6" t="n"/>
      <c r="CT258" s="22" t="n"/>
      <c r="CU258" s="6" t="n"/>
      <c r="CV258" s="6" t="n"/>
      <c r="CW258" s="6" t="n"/>
      <c r="CX258" s="6" t="n"/>
      <c r="CY258" s="22" t="n"/>
    </row>
    <row r="259" hidden="1" outlineLevel="1" customFormat="1" s="39">
      <c r="A259" s="19" t="n"/>
      <c r="B259" s="19" t="n"/>
      <c r="C259" s="41" t="inlineStr">
        <is>
          <t>Expected average share price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51" t="n"/>
      <c r="AH259" s="42">
        <f>AG259*(1+AH260)</f>
        <v>0</v>
      </c>
      <c r="AI259" s="42">
        <f>AH259*(1+AI260)</f>
        <v>0</v>
      </c>
      <c r="AJ259" s="42">
        <f>AI259*(1+AJ260)</f>
        <v>0</v>
      </c>
      <c r="AK259" s="42">
        <f>AJ259*(1+AK260)</f>
        <v>0</v>
      </c>
      <c r="AL259" s="22" t="n"/>
      <c r="AM259" s="42">
        <f>AK259*(1+AM260)</f>
        <v>0</v>
      </c>
      <c r="AN259" s="42">
        <f>AM259*(1+AN260)</f>
        <v>0</v>
      </c>
      <c r="AO259" s="42">
        <f>AN259*(1+AO260)</f>
        <v>0</v>
      </c>
      <c r="AP259" s="42">
        <f>AO259*(1+AP260)</f>
        <v>0</v>
      </c>
      <c r="AQ259" s="22" t="n"/>
      <c r="AR259" s="42">
        <f>AP259*(1+AR260)</f>
        <v>0</v>
      </c>
      <c r="AS259" s="42">
        <f>AR259*(1+AS260)</f>
        <v>0</v>
      </c>
      <c r="AT259" s="42">
        <f>AS259*(1+AT260)</f>
        <v>0</v>
      </c>
      <c r="AU259" s="42">
        <f>AT259*(1+AU260)</f>
        <v>0</v>
      </c>
      <c r="AV259" s="22" t="n"/>
      <c r="AW259" s="42">
        <f>AU259*(1+AW260)</f>
        <v>0</v>
      </c>
      <c r="AX259" s="42">
        <f>AW259*(1+AX260)</f>
        <v>0</v>
      </c>
      <c r="AY259" s="42">
        <f>AX259*(1+AY260)</f>
        <v>0</v>
      </c>
      <c r="AZ259" s="42">
        <f>AY259*(1+AZ260)</f>
        <v>0</v>
      </c>
      <c r="BA259" s="22" t="n"/>
      <c r="BB259" s="42">
        <f>AZ259*(1+BB260)</f>
        <v>0</v>
      </c>
      <c r="BC259" s="42">
        <f>BB259*(1+BC260)</f>
        <v>0</v>
      </c>
      <c r="BD259" s="42">
        <f>BC259*(1+BD260)</f>
        <v>0</v>
      </c>
      <c r="BE259" s="42">
        <f>BD259*(1+BE260)</f>
        <v>0</v>
      </c>
      <c r="BF259" s="22" t="n"/>
      <c r="BG259" s="42">
        <f>BE259*(1+BG260)</f>
        <v>0</v>
      </c>
      <c r="BH259" s="42">
        <f>BG259*(1+BH260)</f>
        <v>0</v>
      </c>
      <c r="BI259" s="42">
        <f>BH259*(1+BI260)</f>
        <v>0</v>
      </c>
      <c r="BJ259" s="42">
        <f>BI259*(1+BJ260)</f>
        <v>0</v>
      </c>
      <c r="BK259" s="22" t="n"/>
      <c r="BL259" s="42">
        <f>BJ259*(1+BL260)</f>
        <v>0</v>
      </c>
      <c r="BM259" s="42">
        <f>BL259*(1+BM260)</f>
        <v>0</v>
      </c>
      <c r="BN259" s="42">
        <f>BM259*(1+BN260)</f>
        <v>0</v>
      </c>
      <c r="BO259" s="42">
        <f>BN259*(1+BO260)</f>
        <v>0</v>
      </c>
      <c r="BP259" s="22" t="n"/>
      <c r="BQ259" s="42">
        <f>BO259*(1+BQ260)</f>
        <v>0</v>
      </c>
      <c r="BR259" s="42">
        <f>BQ259*(1+BR260)</f>
        <v>0</v>
      </c>
      <c r="BS259" s="42">
        <f>BR259*(1+BS260)</f>
        <v>0</v>
      </c>
      <c r="BT259" s="42">
        <f>BS259*(1+BT260)</f>
        <v>0</v>
      </c>
      <c r="BU259" s="22" t="n"/>
      <c r="BV259" s="42">
        <f>BT259*(1+BV260)</f>
        <v>0</v>
      </c>
      <c r="BW259" s="42">
        <f>BV259*(1+BW260)</f>
        <v>0</v>
      </c>
      <c r="BX259" s="42">
        <f>BW259*(1+BX260)</f>
        <v>0</v>
      </c>
      <c r="BY259" s="42">
        <f>BX259*(1+BY260)</f>
        <v>0</v>
      </c>
      <c r="BZ259" s="22" t="n"/>
      <c r="CA259" s="42">
        <f>BY259*(1+CA260)</f>
        <v>0</v>
      </c>
      <c r="CB259" s="42">
        <f>CA259*(1+CB260)</f>
        <v>0</v>
      </c>
      <c r="CC259" s="42">
        <f>CB259*(1+CC260)</f>
        <v>0</v>
      </c>
      <c r="CD259" s="42">
        <f>CC259*(1+CD260)</f>
        <v>0</v>
      </c>
      <c r="CE259" s="22" t="n"/>
      <c r="CF259" s="42">
        <f>CD259*(1+CF260)</f>
        <v>0</v>
      </c>
      <c r="CG259" s="42">
        <f>CF259*(1+CG260)</f>
        <v>0</v>
      </c>
      <c r="CH259" s="42">
        <f>CG259*(1+CH260)</f>
        <v>0</v>
      </c>
      <c r="CI259" s="42">
        <f>CH259*(1+CI260)</f>
        <v>0</v>
      </c>
      <c r="CJ259" s="22" t="n"/>
      <c r="CK259" s="42">
        <f>CI259*(1+CK260)</f>
        <v>0</v>
      </c>
      <c r="CL259" s="42">
        <f>CK259*(1+CL260)</f>
        <v>0</v>
      </c>
      <c r="CM259" s="42">
        <f>CL259*(1+CM260)</f>
        <v>0</v>
      </c>
      <c r="CN259" s="42">
        <f>CM259*(1+CN260)</f>
        <v>0</v>
      </c>
      <c r="CO259" s="22" t="n"/>
      <c r="CP259" s="42">
        <f>CN259*(1+CP260)</f>
        <v>0</v>
      </c>
      <c r="CQ259" s="42">
        <f>CP259*(1+CQ260)</f>
        <v>0</v>
      </c>
      <c r="CR259" s="42">
        <f>CQ259*(1+CR260)</f>
        <v>0</v>
      </c>
      <c r="CS259" s="42">
        <f>CR259*(1+CS260)</f>
        <v>0</v>
      </c>
      <c r="CT259" s="22" t="n"/>
      <c r="CU259" s="42">
        <f>CS259*(1+CU260)</f>
        <v>0</v>
      </c>
      <c r="CV259" s="42">
        <f>CU259*(1+CV260)</f>
        <v>0</v>
      </c>
      <c r="CW259" s="42">
        <f>CV259*(1+CW260)</f>
        <v>0</v>
      </c>
      <c r="CX259" s="42">
        <f>CW259*(1+CX260)</f>
        <v>0</v>
      </c>
      <c r="CY259" s="22" t="n"/>
      <c r="CZ259">
        <f>CX259*(1+CZ260)</f>
        <v>0</v>
      </c>
      <c r="DA259">
        <f>CZ259*(1+DA260)</f>
        <v>0</v>
      </c>
      <c r="DB259">
        <f>DA259*(1+DB260)</f>
        <v>0</v>
      </c>
      <c r="DC259">
        <f>DB259*(1+DC260)</f>
        <v>0</v>
      </c>
    </row>
    <row r="260" hidden="1" outlineLevel="1" customFormat="1" s="39">
      <c r="A260" s="19" t="n"/>
      <c r="B260" s="19" t="n"/>
      <c r="C260" s="41" t="inlineStr">
        <is>
          <t>Consensus EPS growth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40">
        <f>$AL$265</f>
        <v>0</v>
      </c>
      <c r="AI260" s="40">
        <f>$AL$265</f>
        <v>0</v>
      </c>
      <c r="AJ260" s="40">
        <f>$AL$265</f>
        <v>0</v>
      </c>
      <c r="AK260" s="40">
        <f>$AL$265</f>
        <v>0</v>
      </c>
      <c r="AL260" s="22" t="n"/>
      <c r="AM260" s="40">
        <f>$AL$265</f>
        <v>0</v>
      </c>
      <c r="AN260" s="40">
        <f>$AL$265</f>
        <v>0</v>
      </c>
      <c r="AO260" s="40">
        <f>$AL$265</f>
        <v>0</v>
      </c>
      <c r="AP260" s="40">
        <f>$AL$265</f>
        <v>0</v>
      </c>
      <c r="AQ260" s="22" t="n"/>
      <c r="AR260" s="40">
        <f>$AL$265</f>
        <v>0</v>
      </c>
      <c r="AS260" s="40">
        <f>$AL$265</f>
        <v>0</v>
      </c>
      <c r="AT260" s="40">
        <f>$AL$265</f>
        <v>0</v>
      </c>
      <c r="AU260" s="40">
        <f>$AL$265</f>
        <v>0</v>
      </c>
      <c r="AV260" s="22" t="n"/>
      <c r="AW260" s="40">
        <f>$AL$265</f>
        <v>0</v>
      </c>
      <c r="AX260" s="40">
        <f>$AL$265</f>
        <v>0</v>
      </c>
      <c r="AY260" s="40">
        <f>$AL$265</f>
        <v>0</v>
      </c>
      <c r="AZ260" s="40">
        <f>$AL$265</f>
        <v>0</v>
      </c>
      <c r="BA260" s="22" t="n"/>
      <c r="BB260" s="40">
        <f>$AL$265</f>
        <v>0</v>
      </c>
      <c r="BC260" s="40">
        <f>$AL$265</f>
        <v>0</v>
      </c>
      <c r="BD260" s="40">
        <f>$AL$265</f>
        <v>0</v>
      </c>
      <c r="BE260" s="40">
        <f>$AL$265</f>
        <v>0</v>
      </c>
      <c r="BF260" s="22" t="n"/>
      <c r="BG260" s="40">
        <f>$AL$265</f>
        <v>0</v>
      </c>
      <c r="BH260" s="40">
        <f>$AL$265</f>
        <v>0</v>
      </c>
      <c r="BI260" s="40">
        <f>$AL$265</f>
        <v>0</v>
      </c>
      <c r="BJ260" s="40">
        <f>$AL$265</f>
        <v>0</v>
      </c>
      <c r="BK260" s="22" t="n"/>
      <c r="BL260" s="40">
        <f>$AL$265</f>
        <v>0</v>
      </c>
      <c r="BM260" s="40">
        <f>$AL$265</f>
        <v>0</v>
      </c>
      <c r="BN260" s="40">
        <f>$AL$265</f>
        <v>0</v>
      </c>
      <c r="BO260" s="40">
        <f>$AL$265</f>
        <v>0</v>
      </c>
      <c r="BP260" s="22" t="n"/>
      <c r="BQ260" s="40">
        <f>$AL$265</f>
        <v>0</v>
      </c>
      <c r="BR260" s="40">
        <f>$AL$265</f>
        <v>0</v>
      </c>
      <c r="BS260" s="40">
        <f>$AL$265</f>
        <v>0</v>
      </c>
      <c r="BT260" s="40">
        <f>$AL$265</f>
        <v>0</v>
      </c>
      <c r="BU260" s="22" t="n"/>
      <c r="BV260" s="40">
        <f>$AL$265</f>
        <v>0</v>
      </c>
      <c r="BW260" s="40">
        <f>$AL$265</f>
        <v>0</v>
      </c>
      <c r="BX260" s="40">
        <f>$AL$265</f>
        <v>0</v>
      </c>
      <c r="BY260" s="40">
        <f>$AL$265</f>
        <v>0</v>
      </c>
      <c r="BZ260" s="22" t="n"/>
      <c r="CA260" s="40">
        <f>$AL$265</f>
        <v>0</v>
      </c>
      <c r="CB260" s="40">
        <f>$AL$265</f>
        <v>0</v>
      </c>
      <c r="CC260" s="40">
        <f>$AL$265</f>
        <v>0</v>
      </c>
      <c r="CD260" s="40">
        <f>$AL$265</f>
        <v>0</v>
      </c>
      <c r="CE260" s="22" t="n"/>
      <c r="CF260" s="40">
        <f>$AL$265</f>
        <v>0</v>
      </c>
      <c r="CG260" s="40">
        <f>$AL$265</f>
        <v>0</v>
      </c>
      <c r="CH260" s="40">
        <f>$AL$265</f>
        <v>0</v>
      </c>
      <c r="CI260" s="40">
        <f>$AL$265</f>
        <v>0</v>
      </c>
      <c r="CJ260" s="22" t="n"/>
      <c r="CK260" s="40">
        <f>$AL$265</f>
        <v>0</v>
      </c>
      <c r="CL260" s="40">
        <f>$AL$265</f>
        <v>0</v>
      </c>
      <c r="CM260" s="40">
        <f>$AL$265</f>
        <v>0</v>
      </c>
      <c r="CN260" s="40">
        <f>$AL$265</f>
        <v>0</v>
      </c>
      <c r="CO260" s="22" t="n"/>
      <c r="CP260" s="40">
        <f>$AL$265</f>
        <v>0</v>
      </c>
      <c r="CQ260" s="40">
        <f>$AL$265</f>
        <v>0</v>
      </c>
      <c r="CR260" s="40">
        <f>$AL$265</f>
        <v>0</v>
      </c>
      <c r="CS260" s="40">
        <f>$AL$265</f>
        <v>0</v>
      </c>
      <c r="CT260" s="22" t="n"/>
      <c r="CU260" s="40">
        <f>$AL$265</f>
        <v>0</v>
      </c>
      <c r="CV260" s="40">
        <f>$AL$265</f>
        <v>0</v>
      </c>
      <c r="CW260" s="40">
        <f>$AL$265</f>
        <v>0</v>
      </c>
      <c r="CX260" s="40">
        <f>$AL$265</f>
        <v>0</v>
      </c>
      <c r="CY260" s="22" t="n"/>
    </row>
    <row r="261" hidden="1" outlineLevel="1" customFormat="1" s="39">
      <c r="A261" s="19" t="n"/>
      <c r="B261" s="19" t="n"/>
      <c r="C261" s="41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3" t="n"/>
      <c r="AI261" s="3" t="n"/>
      <c r="AJ261" s="3" t="n"/>
      <c r="AK261" s="3" t="n"/>
      <c r="AL261" s="22" t="n"/>
      <c r="AM261" s="3" t="n"/>
      <c r="AN261" s="3" t="n"/>
      <c r="AO261" s="3" t="n"/>
      <c r="AP261" s="3" t="n"/>
      <c r="AQ261" s="22" t="n"/>
      <c r="AR261" s="3" t="n"/>
      <c r="AS261" s="3" t="n"/>
      <c r="AT261" s="3" t="n"/>
      <c r="AU261" s="3" t="n"/>
      <c r="AV261" s="22" t="n"/>
      <c r="AW261" s="3" t="n"/>
      <c r="AX261" s="3" t="n"/>
      <c r="AY261" s="3" t="n"/>
      <c r="AZ261" s="3" t="n"/>
      <c r="BA261" s="22" t="n"/>
      <c r="BB261" s="3" t="n"/>
      <c r="BC261" s="3" t="n"/>
      <c r="BD261" s="3" t="n"/>
      <c r="BE261" s="3" t="n"/>
      <c r="BF261" s="22" t="n"/>
      <c r="BG261" s="3" t="n"/>
      <c r="BH261" s="3" t="n"/>
      <c r="BI261" s="3" t="n"/>
      <c r="BJ261" s="3" t="n"/>
      <c r="BK261" s="22" t="n"/>
      <c r="BL261" s="3" t="n"/>
      <c r="BM261" s="3" t="n"/>
      <c r="BN261" s="3" t="n"/>
      <c r="BO261" s="3" t="n"/>
      <c r="BP261" s="22" t="n"/>
      <c r="BQ261" s="3" t="n"/>
      <c r="BR261" s="3" t="n"/>
      <c r="BS261" s="3" t="n"/>
      <c r="BT261" s="3" t="n"/>
      <c r="BU261" s="22" t="n"/>
      <c r="BV261" s="3" t="n"/>
      <c r="BW261" s="3" t="n"/>
      <c r="BX261" s="3" t="n"/>
      <c r="BY261" s="3" t="n"/>
      <c r="BZ261" s="22" t="n"/>
      <c r="CA261" s="3" t="n"/>
      <c r="CB261" s="3" t="n"/>
      <c r="CC261" s="3" t="n"/>
      <c r="CD261" s="3" t="n"/>
      <c r="CE261" s="22" t="n"/>
      <c r="CF261" s="3" t="n"/>
      <c r="CG261" s="3" t="n"/>
      <c r="CH261" s="3" t="n"/>
      <c r="CI261" s="3" t="n"/>
      <c r="CJ261" s="22" t="n"/>
      <c r="CK261" s="3" t="n"/>
      <c r="CL261" s="3" t="n"/>
      <c r="CM261" s="3" t="n"/>
      <c r="CN261" s="3" t="n"/>
      <c r="CO261" s="22" t="n"/>
      <c r="CP261" s="3" t="n"/>
      <c r="CQ261" s="3" t="n"/>
      <c r="CR261" s="3" t="n"/>
      <c r="CS261" s="3" t="n"/>
      <c r="CT261" s="22" t="n"/>
      <c r="CU261" s="3" t="n"/>
      <c r="CV261" s="3" t="n"/>
      <c r="CW261" s="3" t="n"/>
      <c r="CX261" s="3" t="n"/>
      <c r="CY261" s="22" t="n"/>
    </row>
    <row r="262" hidden="1" outlineLevel="1" customFormat="1" s="39">
      <c r="A262" s="19" t="n"/>
      <c r="B262" s="19" t="n"/>
      <c r="C262" s="41" t="inlineStr">
        <is>
          <t>Shares repurchased</t>
        </is>
      </c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43" t="n"/>
      <c r="AI262" s="43" t="n"/>
      <c r="AJ262" s="43" t="e">
        <f>-AJ257/AJ259</f>
        <v>#DIV/0!</v>
      </c>
      <c r="AK262" s="43" t="e">
        <f>-AK257/AK259</f>
        <v>#DIV/0!</v>
      </c>
      <c r="AL262" s="22" t="n"/>
      <c r="AM262" s="43" t="e">
        <f>-AM257/AM259</f>
        <v>#DIV/0!</v>
      </c>
      <c r="AN262" s="43" t="e">
        <f>-AN257/AN259</f>
        <v>#DIV/0!</v>
      </c>
      <c r="AO262" s="43" t="e">
        <f>-AO257/AO259</f>
        <v>#DIV/0!</v>
      </c>
      <c r="AP262" s="43" t="e">
        <f>-AP257/AP259</f>
        <v>#DIV/0!</v>
      </c>
      <c r="AQ262" s="22" t="n"/>
      <c r="AR262" s="43" t="e">
        <f>-AR257/AR259</f>
        <v>#DIV/0!</v>
      </c>
      <c r="AS262" s="43" t="e">
        <f>-AS257/AS259</f>
        <v>#DIV/0!</v>
      </c>
      <c r="AT262" s="43" t="e">
        <f>-AT257/AT259</f>
        <v>#DIV/0!</v>
      </c>
      <c r="AU262" s="43" t="e">
        <f>-AU257/AU259</f>
        <v>#DIV/0!</v>
      </c>
      <c r="AV262" s="22" t="n"/>
      <c r="AW262" s="43" t="e">
        <f>-AW257/AW259</f>
        <v>#DIV/0!</v>
      </c>
      <c r="AX262" s="43" t="e">
        <f>-AX257/AX259</f>
        <v>#DIV/0!</v>
      </c>
      <c r="AY262" s="43" t="e">
        <f>-AY257/AY259</f>
        <v>#DIV/0!</v>
      </c>
      <c r="AZ262" s="43" t="e">
        <f>-AZ257/AZ259</f>
        <v>#DIV/0!</v>
      </c>
      <c r="BA262" s="22" t="n"/>
      <c r="BB262" s="43" t="e">
        <f>-BB257/BB259</f>
        <v>#DIV/0!</v>
      </c>
      <c r="BC262" s="43" t="e">
        <f>-BC257/BC259</f>
        <v>#DIV/0!</v>
      </c>
      <c r="BD262" s="43" t="e">
        <f>-BD257/BD259</f>
        <v>#DIV/0!</v>
      </c>
      <c r="BE262" s="43" t="e">
        <f>-BE257/BE259</f>
        <v>#DIV/0!</v>
      </c>
      <c r="BF262" s="22" t="n"/>
      <c r="BG262" s="43" t="e">
        <f>-BG257/BG259</f>
        <v>#DIV/0!</v>
      </c>
      <c r="BH262" s="43" t="e">
        <f>-BH257/BH259</f>
        <v>#DIV/0!</v>
      </c>
      <c r="BI262" s="43" t="e">
        <f>-BI257/BI259</f>
        <v>#DIV/0!</v>
      </c>
      <c r="BJ262" s="43" t="e">
        <f>-BJ257/BJ259</f>
        <v>#DIV/0!</v>
      </c>
      <c r="BK262" s="22" t="n"/>
      <c r="BL262" s="43" t="e">
        <f>-BL257/BL259</f>
        <v>#DIV/0!</v>
      </c>
      <c r="BM262" s="43" t="e">
        <f>-BM257/BM259</f>
        <v>#DIV/0!</v>
      </c>
      <c r="BN262" s="43" t="e">
        <f>-BN257/BN259</f>
        <v>#DIV/0!</v>
      </c>
      <c r="BO262" s="43" t="e">
        <f>-BO257/BO259</f>
        <v>#DIV/0!</v>
      </c>
      <c r="BP262" s="22" t="n"/>
      <c r="BQ262" s="43" t="e">
        <f>-BQ257/BQ259</f>
        <v>#DIV/0!</v>
      </c>
      <c r="BR262" s="43" t="e">
        <f>-BR257/BR259</f>
        <v>#DIV/0!</v>
      </c>
      <c r="BS262" s="43" t="e">
        <f>-BS257/BS259</f>
        <v>#DIV/0!</v>
      </c>
      <c r="BT262" s="43" t="e">
        <f>-BT257/BT259</f>
        <v>#DIV/0!</v>
      </c>
      <c r="BU262" s="22" t="n"/>
      <c r="BV262" s="43" t="e">
        <f>-BV257/BV259</f>
        <v>#DIV/0!</v>
      </c>
      <c r="BW262" s="43" t="e">
        <f>-BW257/BW259</f>
        <v>#DIV/0!</v>
      </c>
      <c r="BX262" s="43" t="e">
        <f>-BX257/BX259</f>
        <v>#DIV/0!</v>
      </c>
      <c r="BY262" s="43" t="e">
        <f>-BY257/BY259</f>
        <v>#DIV/0!</v>
      </c>
      <c r="BZ262" s="22" t="n"/>
      <c r="CA262" s="43" t="e">
        <f>-CA257/CA259</f>
        <v>#DIV/0!</v>
      </c>
      <c r="CB262" s="43" t="e">
        <f>-CB257/CB259</f>
        <v>#DIV/0!</v>
      </c>
      <c r="CC262" s="43" t="e">
        <f>-CC257/CC259</f>
        <v>#DIV/0!</v>
      </c>
      <c r="CD262" s="43" t="e">
        <f>-CD257/CD259</f>
        <v>#DIV/0!</v>
      </c>
      <c r="CE262" s="22" t="n"/>
      <c r="CF262" s="43" t="e">
        <f>-CF257/CF259</f>
        <v>#DIV/0!</v>
      </c>
      <c r="CG262" s="43" t="e">
        <f>-CG257/CG259</f>
        <v>#DIV/0!</v>
      </c>
      <c r="CH262" s="43" t="e">
        <f>-CH257/CH259</f>
        <v>#DIV/0!</v>
      </c>
      <c r="CI262" s="43" t="e">
        <f>-CI257/CI259</f>
        <v>#DIV/0!</v>
      </c>
      <c r="CJ262" s="22" t="n"/>
      <c r="CK262" s="43" t="e">
        <f>-CK257/CK259</f>
        <v>#DIV/0!</v>
      </c>
      <c r="CL262" s="43" t="e">
        <f>-CL257/CL259</f>
        <v>#DIV/0!</v>
      </c>
      <c r="CM262" s="43" t="e">
        <f>-CM257/CM259</f>
        <v>#DIV/0!</v>
      </c>
      <c r="CN262" s="43" t="e">
        <f>-CN257/CN259</f>
        <v>#DIV/0!</v>
      </c>
      <c r="CO262" s="22" t="n"/>
      <c r="CP262" s="43" t="e">
        <f>-CP257/CP259</f>
        <v>#DIV/0!</v>
      </c>
      <c r="CQ262" s="43" t="e">
        <f>-CQ257/CQ259</f>
        <v>#DIV/0!</v>
      </c>
      <c r="CR262" s="43" t="e">
        <f>-CR257/CR259</f>
        <v>#DIV/0!</v>
      </c>
      <c r="CS262" s="43" t="e">
        <f>-CS257/CS259</f>
        <v>#DIV/0!</v>
      </c>
      <c r="CT262" s="22" t="n"/>
      <c r="CU262" s="43" t="e">
        <f>-CU257/CU259</f>
        <v>#DIV/0!</v>
      </c>
      <c r="CV262" s="43" t="e">
        <f>-CV257/CV259</f>
        <v>#DIV/0!</v>
      </c>
      <c r="CW262" s="43" t="e">
        <f>-CW257/CW259</f>
        <v>#DIV/0!</v>
      </c>
      <c r="CX262" s="43" t="e">
        <f>-CX257/CX259</f>
        <v>#DIV/0!</v>
      </c>
      <c r="CY262" s="22" t="n"/>
    </row>
    <row r="263" hidden="1" outlineLevel="1" customFormat="1" s="39">
      <c r="A263" s="19" t="n"/>
      <c r="B263" s="19" t="n"/>
      <c r="C263" s="41" t="inlineStr">
        <is>
          <t>Shares issued</t>
        </is>
      </c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46" t="n"/>
      <c r="AG263" s="22" t="n"/>
      <c r="AH263" s="43" t="n"/>
      <c r="AI263" s="43" t="n"/>
      <c r="AJ263" s="43" t="e">
        <f>AJ258/AJ259</f>
        <v>#DIV/0!</v>
      </c>
      <c r="AK263" s="43" t="e">
        <f>AK258/AK259</f>
        <v>#DIV/0!</v>
      </c>
      <c r="AL263" s="22" t="n"/>
      <c r="AM263" s="43" t="e">
        <f>AM258/AM259</f>
        <v>#DIV/0!</v>
      </c>
      <c r="AN263" s="43" t="e">
        <f>AN258/AN259</f>
        <v>#DIV/0!</v>
      </c>
      <c r="AO263" s="43" t="e">
        <f>AO258/AO259</f>
        <v>#DIV/0!</v>
      </c>
      <c r="AP263" s="43" t="e">
        <f>AP258/AP259</f>
        <v>#DIV/0!</v>
      </c>
      <c r="AQ263" s="22" t="n"/>
      <c r="AR263" s="43" t="e">
        <f>AR258/AR259</f>
        <v>#DIV/0!</v>
      </c>
      <c r="AS263" s="43" t="e">
        <f>AS258/AS259</f>
        <v>#DIV/0!</v>
      </c>
      <c r="AT263" s="43" t="e">
        <f>AT258/AT259</f>
        <v>#DIV/0!</v>
      </c>
      <c r="AU263" s="43" t="e">
        <f>AU258/AU259</f>
        <v>#DIV/0!</v>
      </c>
      <c r="AV263" s="22" t="n"/>
      <c r="AW263" s="43" t="e">
        <f>AW258/AW259</f>
        <v>#DIV/0!</v>
      </c>
      <c r="AX263" s="43" t="e">
        <f>AX258/AX259</f>
        <v>#DIV/0!</v>
      </c>
      <c r="AY263" s="43" t="e">
        <f>AY258/AY259</f>
        <v>#DIV/0!</v>
      </c>
      <c r="AZ263" s="43" t="e">
        <f>AZ258/AZ259</f>
        <v>#DIV/0!</v>
      </c>
      <c r="BA263" s="22" t="n"/>
      <c r="BB263" s="43" t="e">
        <f>BB258/BB259</f>
        <v>#DIV/0!</v>
      </c>
      <c r="BC263" s="43" t="e">
        <f>BC258/BC259</f>
        <v>#DIV/0!</v>
      </c>
      <c r="BD263" s="43" t="e">
        <f>BD258/BD259</f>
        <v>#DIV/0!</v>
      </c>
      <c r="BE263" s="43" t="e">
        <f>BE258/BE259</f>
        <v>#DIV/0!</v>
      </c>
      <c r="BF263" s="22" t="n"/>
      <c r="BG263" s="43" t="e">
        <f>BG258/BG259</f>
        <v>#DIV/0!</v>
      </c>
      <c r="BH263" s="43" t="e">
        <f>BH258/BH259</f>
        <v>#DIV/0!</v>
      </c>
      <c r="BI263" s="43" t="e">
        <f>BI258/BI259</f>
        <v>#DIV/0!</v>
      </c>
      <c r="BJ263" s="43" t="e">
        <f>BJ258/BJ259</f>
        <v>#DIV/0!</v>
      </c>
      <c r="BK263" s="22" t="n"/>
      <c r="BL263" s="43" t="e">
        <f>BL258/BL259</f>
        <v>#DIV/0!</v>
      </c>
      <c r="BM263" s="43" t="e">
        <f>BM258/BM259</f>
        <v>#DIV/0!</v>
      </c>
      <c r="BN263" s="43" t="e">
        <f>BN258/BN259</f>
        <v>#DIV/0!</v>
      </c>
      <c r="BO263" s="43" t="e">
        <f>BO258/BO259</f>
        <v>#DIV/0!</v>
      </c>
      <c r="BP263" s="22" t="n"/>
      <c r="BQ263" s="43" t="e">
        <f>BQ258/BQ259</f>
        <v>#DIV/0!</v>
      </c>
      <c r="BR263" s="43" t="e">
        <f>BR258/BR259</f>
        <v>#DIV/0!</v>
      </c>
      <c r="BS263" s="43" t="e">
        <f>BS258/BS259</f>
        <v>#DIV/0!</v>
      </c>
      <c r="BT263" s="43" t="e">
        <f>BT258/BT259</f>
        <v>#DIV/0!</v>
      </c>
      <c r="BU263" s="22" t="n"/>
      <c r="BV263" s="43" t="e">
        <f>BV258/BV259</f>
        <v>#DIV/0!</v>
      </c>
      <c r="BW263" s="43" t="e">
        <f>BW258/BW259</f>
        <v>#DIV/0!</v>
      </c>
      <c r="BX263" s="43" t="e">
        <f>BX258/BX259</f>
        <v>#DIV/0!</v>
      </c>
      <c r="BY263" s="43" t="e">
        <f>BY258/BY259</f>
        <v>#DIV/0!</v>
      </c>
      <c r="BZ263" s="22" t="n"/>
      <c r="CA263" s="43" t="e">
        <f>CA258/CA259</f>
        <v>#DIV/0!</v>
      </c>
      <c r="CB263" s="43" t="e">
        <f>CB258/CB259</f>
        <v>#DIV/0!</v>
      </c>
      <c r="CC263" s="43" t="e">
        <f>CC258/CC259</f>
        <v>#DIV/0!</v>
      </c>
      <c r="CD263" s="43" t="e">
        <f>CD258/CD259</f>
        <v>#DIV/0!</v>
      </c>
      <c r="CE263" s="22" t="n"/>
      <c r="CF263" s="43" t="e">
        <f>CF258/CF259</f>
        <v>#DIV/0!</v>
      </c>
      <c r="CG263" s="43" t="e">
        <f>CG258/CG259</f>
        <v>#DIV/0!</v>
      </c>
      <c r="CH263" s="43" t="e">
        <f>CH258/CH259</f>
        <v>#DIV/0!</v>
      </c>
      <c r="CI263" s="43" t="e">
        <f>CI258/CI259</f>
        <v>#DIV/0!</v>
      </c>
      <c r="CJ263" s="22" t="n"/>
      <c r="CK263" s="43" t="e">
        <f>CK258/CK259</f>
        <v>#DIV/0!</v>
      </c>
      <c r="CL263" s="43" t="e">
        <f>CL258/CL259</f>
        <v>#DIV/0!</v>
      </c>
      <c r="CM263" s="43" t="e">
        <f>CM258/CM259</f>
        <v>#DIV/0!</v>
      </c>
      <c r="CN263" s="43" t="e">
        <f>CN258/CN259</f>
        <v>#DIV/0!</v>
      </c>
      <c r="CO263" s="22" t="n"/>
      <c r="CP263" s="43" t="e">
        <f>CP258/CP259</f>
        <v>#DIV/0!</v>
      </c>
      <c r="CQ263" s="43" t="e">
        <f>CQ258/CQ259</f>
        <v>#DIV/0!</v>
      </c>
      <c r="CR263" s="43" t="e">
        <f>CR258/CR259</f>
        <v>#DIV/0!</v>
      </c>
      <c r="CS263" s="43" t="e">
        <f>CS258/CS259</f>
        <v>#DIV/0!</v>
      </c>
      <c r="CT263" s="22" t="n"/>
      <c r="CU263" s="43" t="e">
        <f>CU258/CU259</f>
        <v>#DIV/0!</v>
      </c>
      <c r="CV263" s="43" t="e">
        <f>CV258/CV259</f>
        <v>#DIV/0!</v>
      </c>
      <c r="CW263" s="43" t="e">
        <f>CW258/CW259</f>
        <v>#DIV/0!</v>
      </c>
      <c r="CX263" s="43" t="e">
        <f>CX258/CX259</f>
        <v>#DIV/0!</v>
      </c>
      <c r="CY263" s="22" t="n"/>
    </row>
    <row r="264" hidden="1" outlineLevel="1" customFormat="1" s="39">
      <c r="A264" s="19" t="n"/>
      <c r="B264" s="19" t="n"/>
      <c r="C264" s="41" t="inlineStr">
        <is>
          <t>End of period basic shares outstanding</t>
        </is>
      </c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51" t="n"/>
      <c r="AH264" s="1">
        <f>AG264+AH263-AH262</f>
        <v>0</v>
      </c>
      <c r="AI264" s="1">
        <f>AH264+AI263-AI262</f>
        <v>0</v>
      </c>
      <c r="AJ264" s="43" t="e">
        <f>AI264+AJ263-AJ262</f>
        <v>#DIV/0!</v>
      </c>
      <c r="AK264" s="43" t="e">
        <f>AJ264+AK263-AK262</f>
        <v>#DIV/0!</v>
      </c>
      <c r="AL264" s="22" t="n"/>
      <c r="AM264" s="1" t="e">
        <f>AK264+AM263-AM262</f>
        <v>#DIV/0!</v>
      </c>
      <c r="AN264" s="1" t="e">
        <f>AM264+AN263-AN262</f>
        <v>#DIV/0!</v>
      </c>
      <c r="AO264" s="43" t="e">
        <f>AN264+AO263-AO262</f>
        <v>#DIV/0!</v>
      </c>
      <c r="AP264" s="43" t="e">
        <f>AO264+AP263-AP262</f>
        <v>#DIV/0!</v>
      </c>
      <c r="AQ264" s="22" t="n"/>
      <c r="AR264" s="1" t="e">
        <f>AP264+AR263-AR262</f>
        <v>#DIV/0!</v>
      </c>
      <c r="AS264" s="1" t="e">
        <f>AR264+AS263-AS262</f>
        <v>#DIV/0!</v>
      </c>
      <c r="AT264" s="43" t="e">
        <f>AS264+AT263-AT262</f>
        <v>#DIV/0!</v>
      </c>
      <c r="AU264" s="43" t="e">
        <f>AT264+AU263-AU262</f>
        <v>#DIV/0!</v>
      </c>
      <c r="AV264" s="22" t="n"/>
      <c r="AW264" s="1" t="e">
        <f>AU264+AW263-AW262</f>
        <v>#DIV/0!</v>
      </c>
      <c r="AX264" s="1" t="e">
        <f>AW264+AX263-AX262</f>
        <v>#DIV/0!</v>
      </c>
      <c r="AY264" s="43" t="e">
        <f>AX264+AY263-AY262</f>
        <v>#DIV/0!</v>
      </c>
      <c r="AZ264" s="43" t="e">
        <f>AY264+AZ263-AZ262</f>
        <v>#DIV/0!</v>
      </c>
      <c r="BA264" s="22" t="n"/>
      <c r="BB264" s="1" t="e">
        <f>AZ264+BB263-BB262</f>
        <v>#DIV/0!</v>
      </c>
      <c r="BC264" s="1" t="e">
        <f>BB264+BC263-BC262</f>
        <v>#DIV/0!</v>
      </c>
      <c r="BD264" s="43" t="e">
        <f>BC264+BD263-BD262</f>
        <v>#DIV/0!</v>
      </c>
      <c r="BE264" s="43" t="e">
        <f>BD264+BE263-BE262</f>
        <v>#DIV/0!</v>
      </c>
      <c r="BF264" s="22" t="n"/>
      <c r="BG264" s="1" t="e">
        <f>BE264+BG263-BG262</f>
        <v>#DIV/0!</v>
      </c>
      <c r="BH264" s="1" t="e">
        <f>BG264+BH263-BH262</f>
        <v>#DIV/0!</v>
      </c>
      <c r="BI264" s="43" t="e">
        <f>BH264+BI263-BI262</f>
        <v>#DIV/0!</v>
      </c>
      <c r="BJ264" s="43" t="e">
        <f>BI264+BJ263-BJ262</f>
        <v>#DIV/0!</v>
      </c>
      <c r="BK264" s="22" t="n"/>
      <c r="BL264" s="1" t="e">
        <f>BJ264+BL263-BL262</f>
        <v>#DIV/0!</v>
      </c>
      <c r="BM264" s="1" t="e">
        <f>BL264+BM263-BM262</f>
        <v>#DIV/0!</v>
      </c>
      <c r="BN264" s="43" t="e">
        <f>BM264+BN263-BN262</f>
        <v>#DIV/0!</v>
      </c>
      <c r="BO264" s="43" t="e">
        <f>BN264+BO263-BO262</f>
        <v>#DIV/0!</v>
      </c>
      <c r="BP264" s="22" t="n"/>
      <c r="BQ264" s="1" t="e">
        <f>BO264+BQ263-BQ262</f>
        <v>#DIV/0!</v>
      </c>
      <c r="BR264" s="1" t="e">
        <f>BQ264+BR263-BR262</f>
        <v>#DIV/0!</v>
      </c>
      <c r="BS264" s="43" t="e">
        <f>BR264+BS263-BS262</f>
        <v>#DIV/0!</v>
      </c>
      <c r="BT264" s="43" t="e">
        <f>BS264+BT263-BT262</f>
        <v>#DIV/0!</v>
      </c>
      <c r="BU264" s="22" t="n"/>
      <c r="BV264" s="1" t="e">
        <f>BT264+BV263-BV262</f>
        <v>#DIV/0!</v>
      </c>
      <c r="BW264" s="1" t="e">
        <f>BV264+BW263-BW262</f>
        <v>#DIV/0!</v>
      </c>
      <c r="BX264" s="43" t="e">
        <f>BW264+BX263-BX262</f>
        <v>#DIV/0!</v>
      </c>
      <c r="BY264" s="43" t="e">
        <f>BX264+BY263-BY262</f>
        <v>#DIV/0!</v>
      </c>
      <c r="BZ264" s="22" t="n"/>
      <c r="CA264" s="1" t="e">
        <f>BY264+CA263-CA262</f>
        <v>#DIV/0!</v>
      </c>
      <c r="CB264" s="1" t="e">
        <f>CA264+CB263-CB262</f>
        <v>#DIV/0!</v>
      </c>
      <c r="CC264" s="43" t="e">
        <f>CB264+CC263-CC262</f>
        <v>#DIV/0!</v>
      </c>
      <c r="CD264" s="43" t="e">
        <f>CC264+CD263-CD262</f>
        <v>#DIV/0!</v>
      </c>
      <c r="CE264" s="22" t="n"/>
      <c r="CF264" s="1" t="e">
        <f>CD264+CF263-CF262</f>
        <v>#DIV/0!</v>
      </c>
      <c r="CG264" s="1" t="e">
        <f>CF264+CG263-CG262</f>
        <v>#DIV/0!</v>
      </c>
      <c r="CH264" s="43" t="e">
        <f>CG264+CH263-CH262</f>
        <v>#DIV/0!</v>
      </c>
      <c r="CI264" s="43" t="e">
        <f>CH264+CI263-CI262</f>
        <v>#DIV/0!</v>
      </c>
      <c r="CJ264" s="22" t="n"/>
      <c r="CK264" s="1" t="e">
        <f>CI264+CK263-CK262</f>
        <v>#DIV/0!</v>
      </c>
      <c r="CL264" s="1" t="e">
        <f>CK264+CL263-CL262</f>
        <v>#DIV/0!</v>
      </c>
      <c r="CM264" s="43" t="e">
        <f>CL264+CM263-CM262</f>
        <v>#DIV/0!</v>
      </c>
      <c r="CN264" s="43" t="e">
        <f>CM264+CN263-CN262</f>
        <v>#DIV/0!</v>
      </c>
      <c r="CO264" s="22" t="n"/>
      <c r="CP264" s="1" t="e">
        <f>CN264+CP263-CP262</f>
        <v>#DIV/0!</v>
      </c>
      <c r="CQ264" s="1" t="e">
        <f>CP264+CQ263-CQ262</f>
        <v>#DIV/0!</v>
      </c>
      <c r="CR264" s="43" t="e">
        <f>CQ264+CR263-CR262</f>
        <v>#DIV/0!</v>
      </c>
      <c r="CS264" s="43" t="e">
        <f>CR264+CS263-CS262</f>
        <v>#DIV/0!</v>
      </c>
      <c r="CT264" s="22" t="n"/>
      <c r="CU264" s="1" t="e">
        <f>CS264+CU263-CU262</f>
        <v>#DIV/0!</v>
      </c>
      <c r="CV264" s="1" t="e">
        <f>CU264+CV263-CV262</f>
        <v>#DIV/0!</v>
      </c>
      <c r="CW264" s="43" t="e">
        <f>CV264+CW263-CW262</f>
        <v>#DIV/0!</v>
      </c>
      <c r="CX264" s="43" t="e">
        <f>CW264+CX263-CX262</f>
        <v>#DIV/0!</v>
      </c>
      <c r="CY264" s="22" t="n"/>
      <c r="CZ264" t="e">
        <f>CX264+CZ263-CZ262</f>
        <v>#DIV/0!</v>
      </c>
      <c r="DA264" t="e">
        <f>CZ264+DA263-DA262</f>
        <v>#DIV/0!</v>
      </c>
      <c r="DB264" t="e">
        <f>DA264+DB263-DB262</f>
        <v>#DIV/0!</v>
      </c>
      <c r="DC264" t="e">
        <f>DB264+DC263-DC262</f>
        <v>#DIV/0!</v>
      </c>
    </row>
    <row r="265" hidden="1" outlineLevel="1" customFormat="1" s="39">
      <c r="A265" s="19" t="n"/>
      <c r="B265" s="19" t="n"/>
      <c r="C265" s="41" t="inlineStr">
        <is>
          <t>Weighted average basic shares outstanding</t>
        </is>
      </c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43">
        <f>AVERAGE(AG264,AH264)</f>
        <v>0</v>
      </c>
      <c r="AI265" s="43">
        <f>AVERAGE(AH264,AI264)</f>
        <v>0</v>
      </c>
      <c r="AJ265" s="43" t="e">
        <f>AVERAGE(AI264,AJ264)</f>
        <v>#DIV/0!</v>
      </c>
      <c r="AK265" s="43" t="e">
        <f>AVERAGE(AJ264,AK264)</f>
        <v>#DIV/0!</v>
      </c>
      <c r="AL265" s="22" t="n"/>
      <c r="AM265" s="43" t="e">
        <f>AVERAGE(AK264,AM264)</f>
        <v>#DIV/0!</v>
      </c>
      <c r="AN265" s="43" t="e">
        <f>AVERAGE(AM264,AN264)</f>
        <v>#DIV/0!</v>
      </c>
      <c r="AO265" s="43" t="e">
        <f>AVERAGE(AN264,AO264)</f>
        <v>#DIV/0!</v>
      </c>
      <c r="AP265" s="43" t="e">
        <f>AVERAGE(AO264,AP264)</f>
        <v>#DIV/0!</v>
      </c>
      <c r="AQ265" s="22" t="n"/>
      <c r="AR265" s="43" t="e">
        <f>AVERAGE(AP264,AR264)</f>
        <v>#DIV/0!</v>
      </c>
      <c r="AS265" s="43" t="e">
        <f>AVERAGE(AR264,AS264)</f>
        <v>#DIV/0!</v>
      </c>
      <c r="AT265" s="43" t="e">
        <f>AVERAGE(AS264,AT264)</f>
        <v>#DIV/0!</v>
      </c>
      <c r="AU265" s="43" t="e">
        <f>AVERAGE(AT264,AU264)</f>
        <v>#DIV/0!</v>
      </c>
      <c r="AV265" s="22" t="n"/>
      <c r="AW265" s="43" t="e">
        <f>AVERAGE(AU264,AW264)</f>
        <v>#DIV/0!</v>
      </c>
      <c r="AX265" s="43" t="e">
        <f>AVERAGE(AW264,AX264)</f>
        <v>#DIV/0!</v>
      </c>
      <c r="AY265" s="43" t="e">
        <f>AVERAGE(AX264,AY264)</f>
        <v>#DIV/0!</v>
      </c>
      <c r="AZ265" s="43" t="e">
        <f>AVERAGE(AY264,AZ264)</f>
        <v>#DIV/0!</v>
      </c>
      <c r="BA265" s="22" t="n"/>
      <c r="BB265" s="43" t="e">
        <f>AVERAGE(AZ264,BB264)</f>
        <v>#DIV/0!</v>
      </c>
      <c r="BC265" s="43" t="e">
        <f>AVERAGE(BB264,BC264)</f>
        <v>#DIV/0!</v>
      </c>
      <c r="BD265" s="43" t="e">
        <f>AVERAGE(BC264,BD264)</f>
        <v>#DIV/0!</v>
      </c>
      <c r="BE265" s="43" t="e">
        <f>AVERAGE(BD264,BE264)</f>
        <v>#DIV/0!</v>
      </c>
      <c r="BF265" s="22" t="n"/>
      <c r="BG265" s="43" t="e">
        <f>AVERAGE(BE264,BG264)</f>
        <v>#DIV/0!</v>
      </c>
      <c r="BH265" s="43" t="e">
        <f>AVERAGE(BG264,BH264)</f>
        <v>#DIV/0!</v>
      </c>
      <c r="BI265" s="43" t="e">
        <f>AVERAGE(BH264,BI264)</f>
        <v>#DIV/0!</v>
      </c>
      <c r="BJ265" s="43" t="e">
        <f>AVERAGE(BI264,BJ264)</f>
        <v>#DIV/0!</v>
      </c>
      <c r="BK265" s="22" t="n"/>
      <c r="BL265" s="43" t="e">
        <f>AVERAGE(BJ264,BL264)</f>
        <v>#DIV/0!</v>
      </c>
      <c r="BM265" s="43" t="e">
        <f>AVERAGE(BL264,BM264)</f>
        <v>#DIV/0!</v>
      </c>
      <c r="BN265" s="43" t="e">
        <f>AVERAGE(BM264,BN264)</f>
        <v>#DIV/0!</v>
      </c>
      <c r="BO265" s="43" t="e">
        <f>AVERAGE(BN264,BO264)</f>
        <v>#DIV/0!</v>
      </c>
      <c r="BP265" s="22" t="n"/>
      <c r="BQ265" s="43" t="e">
        <f>AVERAGE(BO264,BQ264)</f>
        <v>#DIV/0!</v>
      </c>
      <c r="BR265" s="43" t="e">
        <f>AVERAGE(BQ264,BR264)</f>
        <v>#DIV/0!</v>
      </c>
      <c r="BS265" s="43" t="e">
        <f>AVERAGE(BR264,BS264)</f>
        <v>#DIV/0!</v>
      </c>
      <c r="BT265" s="43" t="e">
        <f>AVERAGE(BS264,BT264)</f>
        <v>#DIV/0!</v>
      </c>
      <c r="BU265" s="22" t="n"/>
      <c r="BV265" s="43" t="e">
        <f>AVERAGE(BT264,BV264)</f>
        <v>#DIV/0!</v>
      </c>
      <c r="BW265" s="43" t="e">
        <f>AVERAGE(BV264,BW264)</f>
        <v>#DIV/0!</v>
      </c>
      <c r="BX265" s="43" t="e">
        <f>AVERAGE(BW264,BX264)</f>
        <v>#DIV/0!</v>
      </c>
      <c r="BY265" s="43" t="e">
        <f>AVERAGE(BX264,BY264)</f>
        <v>#DIV/0!</v>
      </c>
      <c r="BZ265" s="22" t="n"/>
      <c r="CA265" s="43" t="e">
        <f>AVERAGE(BY264,CA264)</f>
        <v>#DIV/0!</v>
      </c>
      <c r="CB265" s="43" t="e">
        <f>AVERAGE(CA264,CB264)</f>
        <v>#DIV/0!</v>
      </c>
      <c r="CC265" s="43" t="e">
        <f>AVERAGE(CB264,CC264)</f>
        <v>#DIV/0!</v>
      </c>
      <c r="CD265" s="43" t="e">
        <f>AVERAGE(CC264,CD264)</f>
        <v>#DIV/0!</v>
      </c>
      <c r="CE265" s="22" t="n"/>
      <c r="CF265" s="43" t="e">
        <f>AVERAGE(CD264,CF264)</f>
        <v>#DIV/0!</v>
      </c>
      <c r="CG265" s="43" t="e">
        <f>AVERAGE(CF264,CG264)</f>
        <v>#DIV/0!</v>
      </c>
      <c r="CH265" s="43" t="e">
        <f>AVERAGE(CG264,CH264)</f>
        <v>#DIV/0!</v>
      </c>
      <c r="CI265" s="43" t="e">
        <f>AVERAGE(CH264,CI264)</f>
        <v>#DIV/0!</v>
      </c>
      <c r="CJ265" s="22" t="n"/>
      <c r="CK265" s="43" t="e">
        <f>AVERAGE(CI264,CK264)</f>
        <v>#DIV/0!</v>
      </c>
      <c r="CL265" s="43" t="e">
        <f>AVERAGE(CK264,CL264)</f>
        <v>#DIV/0!</v>
      </c>
      <c r="CM265" s="43" t="e">
        <f>AVERAGE(CL264,CM264)</f>
        <v>#DIV/0!</v>
      </c>
      <c r="CN265" s="43" t="e">
        <f>AVERAGE(CM264,CN264)</f>
        <v>#DIV/0!</v>
      </c>
      <c r="CO265" s="22" t="n"/>
      <c r="CP265" s="43" t="e">
        <f>AVERAGE(CN264,CP264)</f>
        <v>#DIV/0!</v>
      </c>
      <c r="CQ265" s="43" t="e">
        <f>AVERAGE(CP264,CQ264)</f>
        <v>#DIV/0!</v>
      </c>
      <c r="CR265" s="43" t="e">
        <f>AVERAGE(CQ264,CR264)</f>
        <v>#DIV/0!</v>
      </c>
      <c r="CS265" s="43" t="e">
        <f>AVERAGE(CR264,CS264)</f>
        <v>#DIV/0!</v>
      </c>
      <c r="CT265" s="22" t="n"/>
      <c r="CU265" s="43" t="e">
        <f>AVERAGE(CS264,CU264)</f>
        <v>#DIV/0!</v>
      </c>
      <c r="CV265" s="43" t="e">
        <f>AVERAGE(CU264,CV264)</f>
        <v>#DIV/0!</v>
      </c>
      <c r="CW265" s="43" t="e">
        <f>AVERAGE(CV264,CW264)</f>
        <v>#DIV/0!</v>
      </c>
      <c r="CX265" s="43" t="e">
        <f>AVERAGE(CW264,CX264)</f>
        <v>#DIV/0!</v>
      </c>
      <c r="CY265" s="22" t="n"/>
      <c r="CZ265" t="e">
        <f>AVERAGE(CX264,CZ264)</f>
        <v>#DIV/0!</v>
      </c>
      <c r="DA265" t="e">
        <f>AVERAGE(CZ264,DA264)</f>
        <v>#DIV/0!</v>
      </c>
      <c r="DB265" t="e">
        <f>AVERAGE(DA264,DB264)</f>
        <v>#DIV/0!</v>
      </c>
      <c r="DC265" t="e">
        <f>AVERAGE(DB264,DC264)</f>
        <v>#DIV/0!</v>
      </c>
    </row>
    <row r="266" hidden="1" outlineLevel="1" customFormat="1" s="39">
      <c r="A266" s="19" t="n"/>
      <c r="B266" s="19" t="n"/>
      <c r="C266" s="41" t="n"/>
      <c r="D266" s="22" t="n"/>
      <c r="E266" s="22" t="n"/>
      <c r="F266" s="22" t="n"/>
      <c r="G266" s="22" t="n"/>
      <c r="H266" s="3" t="n"/>
      <c r="I266" s="22" t="n"/>
      <c r="J266" s="22" t="n"/>
      <c r="K266" s="22" t="n"/>
      <c r="L266" s="22" t="n"/>
      <c r="M266" s="3" t="n"/>
      <c r="N266" s="22" t="n"/>
      <c r="O266" s="22" t="n"/>
      <c r="P266" s="22" t="n"/>
      <c r="Q266" s="22" t="n"/>
      <c r="R266" s="3" t="n"/>
      <c r="S266" s="22" t="n"/>
      <c r="T266" s="22" t="n"/>
      <c r="U266" s="22" t="n"/>
      <c r="V266" s="22" t="n"/>
      <c r="W266" s="3" t="n"/>
      <c r="X266" s="22" t="n"/>
      <c r="Y266" s="22" t="n"/>
      <c r="Z266" s="22" t="n"/>
      <c r="AA266" s="22" t="n"/>
      <c r="AB266" s="3" t="n"/>
      <c r="AC266" s="22" t="n"/>
      <c r="AD266" s="22" t="n"/>
      <c r="AE266" s="22" t="n"/>
      <c r="AF266" s="22" t="n"/>
      <c r="AG266" s="3" t="n"/>
      <c r="AH266" s="22" t="n"/>
      <c r="AI266" s="22" t="n"/>
      <c r="AJ266" s="22" t="n"/>
      <c r="AK266" s="22" t="n"/>
      <c r="AL266" s="3" t="n"/>
      <c r="AM266" s="22" t="n"/>
      <c r="AN266" s="22" t="n"/>
      <c r="AO266" s="22" t="n"/>
      <c r="AP266" s="22" t="n"/>
      <c r="AQ266" s="3" t="n"/>
      <c r="AR266" s="22" t="n"/>
      <c r="AS266" s="22" t="n"/>
      <c r="AT266" s="22" t="n"/>
      <c r="AU266" s="22" t="n"/>
      <c r="AV266" s="3" t="n"/>
      <c r="AW266" s="22" t="n"/>
      <c r="AX266" s="22" t="n"/>
      <c r="AY266" s="22" t="n"/>
      <c r="AZ266" s="22" t="n"/>
      <c r="BA266" s="3" t="n"/>
      <c r="BB266" s="22" t="n"/>
      <c r="BC266" s="22" t="n"/>
      <c r="BD266" s="22" t="n"/>
      <c r="BE266" s="22" t="n"/>
      <c r="BF266" s="3" t="n"/>
      <c r="BG266" s="22" t="n"/>
      <c r="BH266" s="22" t="n"/>
      <c r="BI266" s="22" t="n"/>
      <c r="BJ266" s="22" t="n"/>
      <c r="BK266" s="3" t="n"/>
      <c r="BL266" s="22" t="n"/>
      <c r="BM266" s="22" t="n"/>
      <c r="BN266" s="22" t="n"/>
      <c r="BO266" s="22" t="n"/>
      <c r="BP266" s="3" t="n"/>
      <c r="BQ266" s="22" t="n"/>
      <c r="BR266" s="22" t="n"/>
      <c r="BS266" s="22" t="n"/>
      <c r="BT266" s="22" t="n"/>
      <c r="BU266" s="3" t="n"/>
      <c r="BV266" s="22" t="n"/>
      <c r="BW266" s="22" t="n"/>
      <c r="BX266" s="22" t="n"/>
      <c r="BY266" s="22" t="n"/>
      <c r="BZ266" s="3" t="n"/>
      <c r="CA266" s="22" t="n"/>
      <c r="CB266" s="22" t="n"/>
      <c r="CC266" s="22" t="n"/>
      <c r="CD266" s="22" t="n"/>
      <c r="CE266" s="3" t="n"/>
      <c r="CF266" s="22" t="n"/>
      <c r="CG266" s="22" t="n"/>
      <c r="CH266" s="22" t="n"/>
      <c r="CI266" s="22" t="n"/>
      <c r="CJ266" s="3" t="n"/>
      <c r="CK266" s="22" t="n"/>
      <c r="CL266" s="22" t="n"/>
      <c r="CM266" s="22" t="n"/>
      <c r="CN266" s="22" t="n"/>
      <c r="CO266" s="3" t="n"/>
      <c r="CP266" s="22" t="n"/>
      <c r="CQ266" s="22" t="n"/>
      <c r="CR266" s="22" t="n"/>
      <c r="CS266" s="22" t="n"/>
      <c r="CT266" s="3" t="n"/>
      <c r="CU266" s="22" t="n"/>
      <c r="CV266" s="22" t="n"/>
      <c r="CW266" s="22" t="n"/>
      <c r="CX266" s="22" t="n"/>
      <c r="CY266" s="3" t="n"/>
    </row>
    <row r="267" collapsed="1">
      <c r="C267" s="26" t="inlineStr">
        <is>
          <t>Treasury stock (contra account)</t>
        </is>
      </c>
      <c r="D267" s="25" t="n"/>
      <c r="E267" s="25" t="n"/>
      <c r="F267" s="25" t="n"/>
      <c r="G267" s="25" t="n"/>
      <c r="H267" s="3">
        <f>G267</f>
        <v>0</v>
      </c>
      <c r="I267" s="25" t="n"/>
      <c r="J267" s="25" t="n"/>
      <c r="K267" s="25" t="n"/>
      <c r="L267" s="25" t="n"/>
      <c r="M267" s="3">
        <f>L267</f>
        <v>0</v>
      </c>
      <c r="N267" s="25" t="n"/>
      <c r="O267" s="25" t="n"/>
      <c r="P267" s="25" t="n"/>
      <c r="Q267" s="25" t="n"/>
      <c r="R267" s="3">
        <f>Q267</f>
        <v>0</v>
      </c>
      <c r="S267" s="25" t="n"/>
      <c r="T267" s="25" t="n"/>
      <c r="U267" s="25" t="n"/>
      <c r="V267" s="25" t="n"/>
      <c r="W267" s="3">
        <f>V267</f>
        <v>0</v>
      </c>
      <c r="X267" s="25" t="n"/>
      <c r="Y267" s="25" t="n"/>
      <c r="Z267" s="25" t="n"/>
      <c r="AA267" s="25" t="n"/>
      <c r="AB267" s="3">
        <f>AA267</f>
        <v>0</v>
      </c>
      <c r="AC267" s="25" t="n"/>
      <c r="AD267" s="25" t="n"/>
      <c r="AE267" s="25" t="n"/>
      <c r="AF267" s="25" t="n"/>
      <c r="AG267" s="3">
        <f>AF267</f>
        <v>0</v>
      </c>
      <c r="AH267" s="3">
        <f>AG267+AH257</f>
        <v>0</v>
      </c>
      <c r="AI267" s="3">
        <f>AH267+AI257</f>
        <v>0</v>
      </c>
      <c r="AJ267" s="3">
        <f>AI267+AJ257</f>
        <v>0</v>
      </c>
      <c r="AK267" s="3">
        <f>AJ267+AK257</f>
        <v>0</v>
      </c>
      <c r="AL267" s="3">
        <f>AK267</f>
        <v>0</v>
      </c>
      <c r="AM267" s="3">
        <f>AL267+AM257</f>
        <v>0</v>
      </c>
      <c r="AN267" s="3">
        <f>AM267+AN257</f>
        <v>0</v>
      </c>
      <c r="AO267" s="3">
        <f>AN267+AO257</f>
        <v>0</v>
      </c>
      <c r="AP267" s="3">
        <f>AO267+AP257</f>
        <v>0</v>
      </c>
      <c r="AQ267" s="3">
        <f>AP267</f>
        <v>0</v>
      </c>
      <c r="AR267" s="3">
        <f>AQ267+AR257</f>
        <v>0</v>
      </c>
      <c r="AS267" s="3">
        <f>AR267+AS257</f>
        <v>0</v>
      </c>
      <c r="AT267" s="3">
        <f>AS267+AT257</f>
        <v>0</v>
      </c>
      <c r="AU267" s="3">
        <f>AT267+AU257</f>
        <v>0</v>
      </c>
      <c r="AV267" s="3">
        <f>AU267</f>
        <v>0</v>
      </c>
      <c r="AW267" s="3">
        <f>AV267+AW257</f>
        <v>0</v>
      </c>
      <c r="AX267" s="3">
        <f>AW267+AX257</f>
        <v>0</v>
      </c>
      <c r="AY267" s="3">
        <f>AX267+AY257</f>
        <v>0</v>
      </c>
      <c r="AZ267" s="3">
        <f>AY267+AZ257</f>
        <v>0</v>
      </c>
      <c r="BA267" s="3">
        <f>AZ267</f>
        <v>0</v>
      </c>
      <c r="BB267" s="3">
        <f>BA267+BB257</f>
        <v>0</v>
      </c>
      <c r="BC267" s="3">
        <f>BB267+BC257</f>
        <v>0</v>
      </c>
      <c r="BD267" s="3">
        <f>BC267+BD257</f>
        <v>0</v>
      </c>
      <c r="BE267" s="3">
        <f>BD267+BE257</f>
        <v>0</v>
      </c>
      <c r="BF267" s="3">
        <f>BE267</f>
        <v>0</v>
      </c>
      <c r="BG267" s="3">
        <f>BF267+BG257</f>
        <v>0</v>
      </c>
      <c r="BH267" s="3">
        <f>BG267+BH257</f>
        <v>0</v>
      </c>
      <c r="BI267" s="3">
        <f>BH267+BI257</f>
        <v>0</v>
      </c>
      <c r="BJ267" s="3">
        <f>BI267+BJ257</f>
        <v>0</v>
      </c>
      <c r="BK267" s="3">
        <f>BJ267</f>
        <v>0</v>
      </c>
      <c r="BL267" s="3">
        <f>BK267+BL257</f>
        <v>0</v>
      </c>
      <c r="BM267" s="3">
        <f>BL267+BM257</f>
        <v>0</v>
      </c>
      <c r="BN267" s="3">
        <f>BM267+BN257</f>
        <v>0</v>
      </c>
      <c r="BO267" s="3">
        <f>BN267+BO257</f>
        <v>0</v>
      </c>
      <c r="BP267" s="3">
        <f>BO267</f>
        <v>0</v>
      </c>
      <c r="BQ267" s="3">
        <f>BP267+BQ257</f>
        <v>0</v>
      </c>
      <c r="BR267" s="3">
        <f>BQ267+BR257</f>
        <v>0</v>
      </c>
      <c r="BS267" s="3">
        <f>BR267+BS257</f>
        <v>0</v>
      </c>
      <c r="BT267" s="3">
        <f>BS267+BT257</f>
        <v>0</v>
      </c>
      <c r="BU267" s="3">
        <f>BT267</f>
        <v>0</v>
      </c>
      <c r="BV267" s="3">
        <f>BU267+BV257</f>
        <v>0</v>
      </c>
      <c r="BW267" s="3">
        <f>BV267+BW257</f>
        <v>0</v>
      </c>
      <c r="BX267" s="3">
        <f>BW267+BX257</f>
        <v>0</v>
      </c>
      <c r="BY267" s="3">
        <f>BX267+BY257</f>
        <v>0</v>
      </c>
      <c r="BZ267" s="3">
        <f>BY267</f>
        <v>0</v>
      </c>
      <c r="CA267" s="3">
        <f>BZ267+CA257</f>
        <v>0</v>
      </c>
      <c r="CB267" s="3">
        <f>CA267+CB257</f>
        <v>0</v>
      </c>
      <c r="CC267" s="3">
        <f>CB267+CC257</f>
        <v>0</v>
      </c>
      <c r="CD267" s="3">
        <f>CC267+CD257</f>
        <v>0</v>
      </c>
      <c r="CE267" s="3">
        <f>CD267</f>
        <v>0</v>
      </c>
      <c r="CF267" s="3">
        <f>CE267+CF257</f>
        <v>0</v>
      </c>
      <c r="CG267" s="3">
        <f>CF267+CG257</f>
        <v>0</v>
      </c>
      <c r="CH267" s="3">
        <f>CG267+CH257</f>
        <v>0</v>
      </c>
      <c r="CI267" s="3">
        <f>CH267+CI257</f>
        <v>0</v>
      </c>
      <c r="CJ267" s="3">
        <f>CI267</f>
        <v>0</v>
      </c>
      <c r="CK267" s="3">
        <f>CJ267+CK257</f>
        <v>0</v>
      </c>
      <c r="CL267" s="3">
        <f>CK267+CL257</f>
        <v>0</v>
      </c>
      <c r="CM267" s="3">
        <f>CL267+CM257</f>
        <v>0</v>
      </c>
      <c r="CN267" s="3">
        <f>CM267+CN257</f>
        <v>0</v>
      </c>
      <c r="CO267" s="3">
        <f>CN267</f>
        <v>0</v>
      </c>
      <c r="CP267" s="3">
        <f>CO267+CP257</f>
        <v>0</v>
      </c>
      <c r="CQ267" s="3">
        <f>CP267+CQ257</f>
        <v>0</v>
      </c>
      <c r="CR267" s="3">
        <f>CQ267+CR257</f>
        <v>0</v>
      </c>
      <c r="CS267" s="3">
        <f>CR267+CS257</f>
        <v>0</v>
      </c>
      <c r="CT267" s="3">
        <f>CS267</f>
        <v>0</v>
      </c>
      <c r="CU267" s="3">
        <f>CT267+CU257</f>
        <v>0</v>
      </c>
      <c r="CV267" s="3">
        <f>CU267+CV257</f>
        <v>0</v>
      </c>
      <c r="CW267" s="3">
        <f>CV267+CW257</f>
        <v>0</v>
      </c>
      <c r="CX267" s="3">
        <f>CW267+CX257</f>
        <v>0</v>
      </c>
      <c r="CY267" s="3">
        <f>CX267</f>
        <v>0</v>
      </c>
    </row>
    <row r="268">
      <c r="C268" s="26" t="inlineStr">
        <is>
          <t>Comprehensive (accumulated) loss</t>
        </is>
      </c>
      <c r="D268" s="25">
        <f>INDEX('Inputs (2)'!$D$45:$AL$45,MATCH(D$7,'Inputs (2)'!$D$2:$AL$2,0))</f>
        <v>10.359</v>
      </c>
      <c r="E268" s="25">
        <f>INDEX('Inputs (2)'!$D$45:$AL$45,MATCH(E$7,'Inputs (2)'!$D$2:$AL$2,0))</f>
        <v>10.359</v>
      </c>
      <c r="F268" s="25">
        <f>INDEX('Inputs (2)'!$D$45:$AL$45,MATCH(F$7,'Inputs (2)'!$D$2:$AL$2,0))</f>
        <v>10.359</v>
      </c>
      <c r="G268" s="25">
        <f>INDEX('Inputs (2)'!$D$45:$AL$45,MATCH(G$7,'Inputs (2)'!$D$2:$AL$2,0))</f>
        <v>10.359</v>
      </c>
      <c r="H268" s="3">
        <f>G268</f>
        <v>10.359</v>
      </c>
      <c r="I268" s="25">
        <f>INDEX('Inputs (2)'!$D$45:$AL$45,MATCH(I$7,'Inputs (2)'!$D$2:$AL$2,0))</f>
        <v>10.359</v>
      </c>
      <c r="J268" s="25">
        <f>INDEX('Inputs (2)'!$D$45:$AL$45,MATCH(J$7,'Inputs (2)'!$D$2:$AL$2,0))</f>
        <v>10.359</v>
      </c>
      <c r="K268" s="25">
        <f>INDEX('Inputs (2)'!$D$45:$AL$45,MATCH(K$7,'Inputs (2)'!$D$2:$AL$2,0))</f>
        <v>10.359</v>
      </c>
      <c r="L268" s="25">
        <f>INDEX('Inputs (2)'!$D$45:$AL$45,MATCH(L$7,'Inputs (2)'!$D$2:$AL$2,0))</f>
        <v>10.359</v>
      </c>
      <c r="M268" s="3">
        <f>L268</f>
        <v>10.359</v>
      </c>
      <c r="N268" s="25">
        <f>INDEX('Inputs (2)'!$D$45:$AL$45,MATCH(N$7,'Inputs (2)'!$D$2:$AL$2,0))</f>
        <v>10.359</v>
      </c>
      <c r="O268" s="25">
        <f>INDEX('Inputs (2)'!$D$45:$AL$45,MATCH(O$7,'Inputs (2)'!$D$2:$AL$2,0))</f>
        <v>8.763</v>
      </c>
      <c r="P268" s="25">
        <f>INDEX('Inputs (2)'!$D$45:$AL$45,MATCH(P$7,'Inputs (2)'!$D$2:$AL$2,0))</f>
        <v>17.461</v>
      </c>
      <c r="Q268" s="25">
        <f>INDEX('Inputs (2)'!$D$45:$AL$45,MATCH(Q$7,'Inputs (2)'!$D$2:$AL$2,0))</f>
        <v>325.895</v>
      </c>
      <c r="R268" s="3">
        <f>Q268</f>
        <v>325.895</v>
      </c>
      <c r="S268" s="25">
        <f>INDEX('Inputs (2)'!$D$45:$AL$45,MATCH(S$7,'Inputs (2)'!$D$2:$AL$2,0))</f>
        <v>10.359</v>
      </c>
      <c r="T268" s="25">
        <f>INDEX('Inputs (2)'!$D$45:$AL$45,MATCH(T$7,'Inputs (2)'!$D$2:$AL$2,0))</f>
        <v>10.359</v>
      </c>
      <c r="U268" s="25">
        <f>INDEX('Inputs (2)'!$D$45:$AL$45,MATCH(U$7,'Inputs (2)'!$D$2:$AL$2,0))</f>
        <v>10.359</v>
      </c>
      <c r="V268" s="25">
        <f>INDEX('Inputs (2)'!$D$45:$AL$45,MATCH(V$7,'Inputs (2)'!$D$2:$AL$2,0))</f>
        <v>10.359</v>
      </c>
      <c r="W268" s="3">
        <f>V268</f>
        <v>10.359</v>
      </c>
      <c r="X268" s="25">
        <f>INDEX('Inputs (2)'!$D$45:$AL$45,MATCH(X$7,'Inputs (2)'!$D$2:$AL$2,0))</f>
        <v>10.359</v>
      </c>
      <c r="Y268" s="25">
        <f>INDEX('Inputs (2)'!$D$45:$AL$45,MATCH(Y$7,'Inputs (2)'!$D$2:$AL$2,0))</f>
        <v>17.026</v>
      </c>
      <c r="Z268" s="25">
        <f>INDEX('Inputs (2)'!$D$45:$AL$45,MATCH(Z$7,'Inputs (2)'!$D$2:$AL$2,0))</f>
        <v>10.359</v>
      </c>
      <c r="AA268" s="25">
        <f>INDEX('Inputs (2)'!$D$45:$AL$45,MATCH(AA$7,'Inputs (2)'!$D$2:$AL$2,0))</f>
        <v>21.613</v>
      </c>
      <c r="AB268" s="3">
        <f>AA268</f>
        <v>21.613</v>
      </c>
      <c r="AC268" s="25">
        <f>INDEX('Inputs (2)'!$D$45:$AL$45,MATCH(AC$7,'Inputs (2)'!$D$2:$AL$2,0))</f>
        <v>21.613</v>
      </c>
      <c r="AD268" s="25">
        <f>INDEX('Inputs (2)'!$D$45:$AL$45,MATCH(AD$7,'Inputs (2)'!$D$2:$AL$2,0))</f>
        <v>21.613</v>
      </c>
      <c r="AE268" s="25">
        <f>INDEX('Inputs (2)'!$D$45:$AL$45,MATCH(AE$7,'Inputs (2)'!$D$2:$AL$2,0))</f>
        <v>21.613</v>
      </c>
      <c r="AF268" s="25">
        <f>INDEX('Inputs (2)'!$D$45:$AL$45,MATCH(AF$7,'Inputs (2)'!$D$2:$AL$2,0))</f>
        <v>21.613</v>
      </c>
      <c r="AG268" s="3">
        <f>AF268</f>
        <v>21.613</v>
      </c>
      <c r="AH268" s="3">
        <f>INDEX('Inputs (2)'!$D$45:$AL$45,MATCH(AH$7,'Inputs (2)'!$D$2:$AL$2,0))</f>
        <v>21.613</v>
      </c>
      <c r="AI268" s="3">
        <f>INDEX('Inputs (2)'!$D$45:$AL$45,MATCH(AI$7,'Inputs (2)'!$D$2:$AL$2,0))</f>
        <v>-82.535</v>
      </c>
      <c r="AJ268" s="3">
        <f>AI268</f>
        <v>-82.535</v>
      </c>
      <c r="AK268" s="3">
        <f>AJ268</f>
        <v>-82.535</v>
      </c>
      <c r="AL268" s="3">
        <f>AK268</f>
        <v>-82.535</v>
      </c>
      <c r="AM268" s="3">
        <f>AL268</f>
        <v>-82.535</v>
      </c>
      <c r="AN268" s="3">
        <f>AM268</f>
        <v>-82.535</v>
      </c>
      <c r="AO268" s="3">
        <f>AN268</f>
        <v>-82.535</v>
      </c>
      <c r="AP268" s="3">
        <f>AO268</f>
        <v>-82.535</v>
      </c>
      <c r="AQ268" s="3">
        <f>AP268</f>
        <v>-82.535</v>
      </c>
      <c r="AR268" s="3">
        <f>AQ268</f>
        <v>-82.535</v>
      </c>
      <c r="AS268" s="3">
        <f>AR268</f>
        <v>-82.535</v>
      </c>
      <c r="AT268" s="3">
        <f>AS268</f>
        <v>-82.535</v>
      </c>
      <c r="AU268" s="3">
        <f>AT268</f>
        <v>-82.535</v>
      </c>
      <c r="AV268" s="3">
        <f>AU268</f>
        <v>-82.535</v>
      </c>
      <c r="AW268" s="3">
        <f>AV268</f>
        <v>-82.535</v>
      </c>
      <c r="AX268" s="3">
        <f>AW268</f>
        <v>-82.535</v>
      </c>
      <c r="AY268" s="3">
        <f>AX268</f>
        <v>-82.535</v>
      </c>
      <c r="AZ268" s="3">
        <f>AY268</f>
        <v>-82.535</v>
      </c>
      <c r="BA268" s="3">
        <f>AZ268</f>
        <v>-82.535</v>
      </c>
      <c r="BB268" s="3">
        <f>BA268</f>
        <v>-82.535</v>
      </c>
      <c r="BC268" s="3">
        <f>BB268</f>
        <v>-82.535</v>
      </c>
      <c r="BD268" s="3">
        <f>BC268</f>
        <v>-82.535</v>
      </c>
      <c r="BE268" s="3">
        <f>BD268</f>
        <v>-82.535</v>
      </c>
      <c r="BF268" s="3">
        <f>BE268</f>
        <v>-82.535</v>
      </c>
      <c r="BG268" s="3">
        <f>BF268</f>
        <v>-82.535</v>
      </c>
      <c r="BH268" s="3">
        <f>BG268</f>
        <v>-82.535</v>
      </c>
      <c r="BI268" s="3">
        <f>BH268</f>
        <v>-82.535</v>
      </c>
      <c r="BJ268" s="3">
        <f>BI268</f>
        <v>-82.535</v>
      </c>
      <c r="BK268" s="3">
        <f>BJ268</f>
        <v>-82.535</v>
      </c>
      <c r="BL268" s="3">
        <f>BK268</f>
        <v>-82.535</v>
      </c>
      <c r="BM268" s="3">
        <f>BL268</f>
        <v>-82.535</v>
      </c>
      <c r="BN268" s="3">
        <f>BM268</f>
        <v>-82.535</v>
      </c>
      <c r="BO268" s="3">
        <f>BN268</f>
        <v>-82.535</v>
      </c>
      <c r="BP268" s="3">
        <f>BO268</f>
        <v>-82.535</v>
      </c>
      <c r="BQ268" s="3">
        <f>BP268</f>
        <v>-82.535</v>
      </c>
      <c r="BR268" s="3">
        <f>BQ268</f>
        <v>-82.535</v>
      </c>
      <c r="BS268" s="3">
        <f>BR268</f>
        <v>-82.535</v>
      </c>
      <c r="BT268" s="3">
        <f>BS268</f>
        <v>-82.535</v>
      </c>
      <c r="BU268" s="3">
        <f>BT268</f>
        <v>-82.535</v>
      </c>
      <c r="BV268" s="3">
        <f>BU268</f>
        <v>-82.535</v>
      </c>
      <c r="BW268" s="3">
        <f>BV268</f>
        <v>-82.535</v>
      </c>
      <c r="BX268" s="3">
        <f>BW268</f>
        <v>-82.535</v>
      </c>
      <c r="BY268" s="3">
        <f>BX268</f>
        <v>-82.535</v>
      </c>
      <c r="BZ268" s="3">
        <f>BY268</f>
        <v>-82.535</v>
      </c>
      <c r="CA268" s="3">
        <f>BZ268</f>
        <v>-82.535</v>
      </c>
      <c r="CB268" s="3">
        <f>CA268</f>
        <v>-82.535</v>
      </c>
      <c r="CC268" s="3">
        <f>CB268</f>
        <v>-82.535</v>
      </c>
      <c r="CD268" s="3">
        <f>CC268</f>
        <v>-82.535</v>
      </c>
      <c r="CE268" s="3">
        <f>CD268</f>
        <v>-82.535</v>
      </c>
      <c r="CF268" s="3">
        <f>CE268</f>
        <v>-82.535</v>
      </c>
      <c r="CG268" s="3">
        <f>CF268</f>
        <v>-82.535</v>
      </c>
      <c r="CH268" s="3">
        <f>CG268</f>
        <v>-82.535</v>
      </c>
      <c r="CI268" s="3">
        <f>CH268</f>
        <v>-82.535</v>
      </c>
      <c r="CJ268" s="3">
        <f>CI268</f>
        <v>-82.535</v>
      </c>
      <c r="CK268" s="3">
        <f>CJ268</f>
        <v>-82.535</v>
      </c>
      <c r="CL268" s="3">
        <f>CK268</f>
        <v>-82.535</v>
      </c>
      <c r="CM268" s="3">
        <f>CL268</f>
        <v>-82.535</v>
      </c>
      <c r="CN268" s="3">
        <f>CM268</f>
        <v>-82.535</v>
      </c>
      <c r="CO268" s="3">
        <f>CN268</f>
        <v>-82.535</v>
      </c>
      <c r="CP268" s="3">
        <f>CO268</f>
        <v>-82.535</v>
      </c>
      <c r="CQ268" s="3">
        <f>CP268</f>
        <v>-82.535</v>
      </c>
      <c r="CR268" s="3">
        <f>CQ268</f>
        <v>-82.535</v>
      </c>
      <c r="CS268" s="3">
        <f>CR268</f>
        <v>-82.535</v>
      </c>
      <c r="CT268" s="3">
        <f>CS268</f>
        <v>-82.535</v>
      </c>
      <c r="CU268" s="3">
        <f>CT268</f>
        <v>-82.535</v>
      </c>
      <c r="CV268" s="3">
        <f>CU268</f>
        <v>-82.535</v>
      </c>
      <c r="CW268" s="3">
        <f>CV268</f>
        <v>-82.535</v>
      </c>
      <c r="CX268" s="3">
        <f>CW268</f>
        <v>-82.535</v>
      </c>
      <c r="CY268" s="3">
        <f>CX268</f>
        <v>-82.535</v>
      </c>
    </row>
    <row r="269">
      <c r="C269" s="26" t="inlineStr">
        <is>
          <t>Other equity account</t>
        </is>
      </c>
      <c r="D269" s="25">
        <f>INDEX('Inputs (2)'!$D$46:$AL$46,MATCH(D$7,'Inputs (2)'!$D$2:$AL$2,0))</f>
        <v>0</v>
      </c>
      <c r="E269" s="25">
        <f>INDEX('Inputs (2)'!$D$46:$AL$46,MATCH(E$7,'Inputs (2)'!$D$2:$AL$2,0))</f>
        <v>0</v>
      </c>
      <c r="F269" s="25">
        <f>INDEX('Inputs (2)'!$D$46:$AL$46,MATCH(F$7,'Inputs (2)'!$D$2:$AL$2,0))</f>
        <v>0</v>
      </c>
      <c r="G269" s="25">
        <f>INDEX('Inputs (2)'!$D$46:$AL$46,MATCH(G$7,'Inputs (2)'!$D$2:$AL$2,0))</f>
        <v>0</v>
      </c>
      <c r="H269" s="3">
        <f>G269</f>
        <v>0</v>
      </c>
      <c r="I269" s="25">
        <f>INDEX('Inputs (2)'!$D$46:$AL$46,MATCH(I$7,'Inputs (2)'!$D$2:$AL$2,0))</f>
        <v>0</v>
      </c>
      <c r="J269" s="25">
        <f>INDEX('Inputs (2)'!$D$46:$AL$46,MATCH(J$7,'Inputs (2)'!$D$2:$AL$2,0))</f>
        <v>0</v>
      </c>
      <c r="K269" s="25">
        <f>INDEX('Inputs (2)'!$D$46:$AL$46,MATCH(K$7,'Inputs (2)'!$D$2:$AL$2,0))</f>
        <v>0</v>
      </c>
      <c r="L269" s="25">
        <f>INDEX('Inputs (2)'!$D$46:$AL$46,MATCH(L$7,'Inputs (2)'!$D$2:$AL$2,0))</f>
        <v>0</v>
      </c>
      <c r="M269" s="3">
        <f>L269</f>
        <v>0</v>
      </c>
      <c r="N269" s="25">
        <f>INDEX('Inputs (2)'!$D$46:$AL$46,MATCH(N$7,'Inputs (2)'!$D$2:$AL$2,0))</f>
        <v>0</v>
      </c>
      <c r="O269" s="25">
        <f>INDEX('Inputs (2)'!$D$46:$AL$46,MATCH(O$7,'Inputs (2)'!$D$2:$AL$2,0))</f>
        <v>0</v>
      </c>
      <c r="P269" s="25">
        <f>INDEX('Inputs (2)'!$D$46:$AL$46,MATCH(P$7,'Inputs (2)'!$D$2:$AL$2,0))</f>
        <v>0</v>
      </c>
      <c r="Q269" s="25">
        <f>INDEX('Inputs (2)'!$D$46:$AL$46,MATCH(Q$7,'Inputs (2)'!$D$2:$AL$2,0))</f>
        <v>0</v>
      </c>
      <c r="R269" s="3">
        <f>Q269</f>
        <v>0</v>
      </c>
      <c r="S269" s="25">
        <f>INDEX('Inputs (2)'!$D$46:$AL$46,MATCH(S$7,'Inputs (2)'!$D$2:$AL$2,0))</f>
        <v>0</v>
      </c>
      <c r="T269" s="25">
        <f>INDEX('Inputs (2)'!$D$46:$AL$46,MATCH(T$7,'Inputs (2)'!$D$2:$AL$2,0))</f>
        <v>0</v>
      </c>
      <c r="U269" s="25">
        <f>INDEX('Inputs (2)'!$D$46:$AL$46,MATCH(U$7,'Inputs (2)'!$D$2:$AL$2,0))</f>
        <v>0</v>
      </c>
      <c r="V269" s="25">
        <f>INDEX('Inputs (2)'!$D$46:$AL$46,MATCH(V$7,'Inputs (2)'!$D$2:$AL$2,0))</f>
        <v>0</v>
      </c>
      <c r="W269" s="3">
        <f>V269</f>
        <v>0</v>
      </c>
      <c r="X269" s="25">
        <f>INDEX('Inputs (2)'!$D$46:$AL$46,MATCH(X$7,'Inputs (2)'!$D$2:$AL$2,0))</f>
        <v>0</v>
      </c>
      <c r="Y269" s="25">
        <f>INDEX('Inputs (2)'!$D$46:$AL$46,MATCH(Y$7,'Inputs (2)'!$D$2:$AL$2,0))</f>
        <v>0</v>
      </c>
      <c r="Z269" s="25">
        <f>INDEX('Inputs (2)'!$D$46:$AL$46,MATCH(Z$7,'Inputs (2)'!$D$2:$AL$2,0))</f>
        <v>6.667</v>
      </c>
      <c r="AA269" s="25">
        <f>INDEX('Inputs (2)'!$D$46:$AL$46,MATCH(AA$7,'Inputs (2)'!$D$2:$AL$2,0))</f>
        <v>0</v>
      </c>
      <c r="AB269" s="3">
        <f>AA269</f>
        <v>0</v>
      </c>
      <c r="AC269" s="25">
        <f>INDEX('Inputs (2)'!$D$46:$AL$46,MATCH(AC$7,'Inputs (2)'!$D$2:$AL$2,0))</f>
        <v>0</v>
      </c>
      <c r="AD269" s="25">
        <f>INDEX('Inputs (2)'!$D$46:$AL$46,MATCH(AD$7,'Inputs (2)'!$D$2:$AL$2,0))</f>
        <v>0</v>
      </c>
      <c r="AE269" s="25">
        <f>INDEX('Inputs (2)'!$D$46:$AL$46,MATCH(AE$7,'Inputs (2)'!$D$2:$AL$2,0))</f>
        <v>0</v>
      </c>
      <c r="AF269" s="25">
        <f>INDEX('Inputs (2)'!$D$46:$AL$46,MATCH(AF$7,'Inputs (2)'!$D$2:$AL$2,0))</f>
        <v>0</v>
      </c>
      <c r="AG269" s="3">
        <f>AF269</f>
        <v>0</v>
      </c>
      <c r="AH269" s="3">
        <f>INDEX('Inputs (2)'!$D$46:$AL$46,MATCH(AH$7,'Inputs (2)'!$D$2:$AL$2,0))</f>
        <v>0</v>
      </c>
      <c r="AI269" s="3">
        <f>INDEX('Inputs (2)'!$D$46:$AL$46,MATCH(AI$7,'Inputs (2)'!$D$2:$AL$2,0))</f>
        <v>0</v>
      </c>
      <c r="AJ269" s="3">
        <f>AI269</f>
        <v>0</v>
      </c>
      <c r="AK269" s="3">
        <f>AJ269</f>
        <v>0</v>
      </c>
      <c r="AL269" s="3">
        <f>AK269</f>
        <v>0</v>
      </c>
      <c r="AM269" s="3">
        <f>AL269</f>
        <v>0</v>
      </c>
      <c r="AN269" s="3">
        <f>AM269</f>
        <v>0</v>
      </c>
      <c r="AO269" s="3">
        <f>AN269</f>
        <v>0</v>
      </c>
      <c r="AP269" s="3">
        <f>AO269</f>
        <v>0</v>
      </c>
      <c r="AQ269" s="3">
        <f>AP269</f>
        <v>0</v>
      </c>
      <c r="AR269" s="3">
        <f>AQ269</f>
        <v>0</v>
      </c>
      <c r="AS269" s="3">
        <f>AR269</f>
        <v>0</v>
      </c>
      <c r="AT269" s="3">
        <f>AS269</f>
        <v>0</v>
      </c>
      <c r="AU269" s="3">
        <f>AT269</f>
        <v>0</v>
      </c>
      <c r="AV269" s="3">
        <f>AU269</f>
        <v>0</v>
      </c>
      <c r="AW269" s="3">
        <f>AV269</f>
        <v>0</v>
      </c>
      <c r="AX269" s="3">
        <f>AW269</f>
        <v>0</v>
      </c>
      <c r="AY269" s="3">
        <f>AX269</f>
        <v>0</v>
      </c>
      <c r="AZ269" s="3">
        <f>AY269</f>
        <v>0</v>
      </c>
      <c r="BA269" s="3">
        <f>AZ269</f>
        <v>0</v>
      </c>
      <c r="BB269" s="3">
        <f>BA269</f>
        <v>0</v>
      </c>
      <c r="BC269" s="3">
        <f>BB269</f>
        <v>0</v>
      </c>
      <c r="BD269" s="3">
        <f>BC269</f>
        <v>0</v>
      </c>
      <c r="BE269" s="3">
        <f>BD269</f>
        <v>0</v>
      </c>
      <c r="BF269" s="3">
        <f>BE269</f>
        <v>0</v>
      </c>
      <c r="BG269" s="3">
        <f>BF269</f>
        <v>0</v>
      </c>
      <c r="BH269" s="3">
        <f>BG269</f>
        <v>0</v>
      </c>
      <c r="BI269" s="3">
        <f>BH269</f>
        <v>0</v>
      </c>
      <c r="BJ269" s="3">
        <f>BI269</f>
        <v>0</v>
      </c>
      <c r="BK269" s="3">
        <f>BJ269</f>
        <v>0</v>
      </c>
      <c r="BL269" s="3">
        <f>BK269</f>
        <v>0</v>
      </c>
      <c r="BM269" s="3">
        <f>BL269</f>
        <v>0</v>
      </c>
      <c r="BN269" s="3">
        <f>BM269</f>
        <v>0</v>
      </c>
      <c r="BO269" s="3">
        <f>BN269</f>
        <v>0</v>
      </c>
      <c r="BP269" s="3">
        <f>BO269</f>
        <v>0</v>
      </c>
      <c r="BQ269" s="3">
        <f>BP269</f>
        <v>0</v>
      </c>
      <c r="BR269" s="3">
        <f>BQ269</f>
        <v>0</v>
      </c>
      <c r="BS269" s="3">
        <f>BR269</f>
        <v>0</v>
      </c>
      <c r="BT269" s="3">
        <f>BS269</f>
        <v>0</v>
      </c>
      <c r="BU269" s="3">
        <f>BT269</f>
        <v>0</v>
      </c>
      <c r="BV269" s="3">
        <f>BU269</f>
        <v>0</v>
      </c>
      <c r="BW269" s="3">
        <f>BV269</f>
        <v>0</v>
      </c>
      <c r="BX269" s="3">
        <f>BW269</f>
        <v>0</v>
      </c>
      <c r="BY269" s="3">
        <f>BX269</f>
        <v>0</v>
      </c>
      <c r="BZ269" s="3">
        <f>BY269</f>
        <v>0</v>
      </c>
      <c r="CA269" s="3">
        <f>BZ269</f>
        <v>0</v>
      </c>
      <c r="CB269" s="3">
        <f>CA269</f>
        <v>0</v>
      </c>
      <c r="CC269" s="3">
        <f>CB269</f>
        <v>0</v>
      </c>
      <c r="CD269" s="3">
        <f>CC269</f>
        <v>0</v>
      </c>
      <c r="CE269" s="3">
        <f>CD269</f>
        <v>0</v>
      </c>
      <c r="CF269" s="3">
        <f>CE269</f>
        <v>0</v>
      </c>
      <c r="CG269" s="3">
        <f>CF269</f>
        <v>0</v>
      </c>
      <c r="CH269" s="3">
        <f>CG269</f>
        <v>0</v>
      </c>
      <c r="CI269" s="3">
        <f>CH269</f>
        <v>0</v>
      </c>
      <c r="CJ269" s="3">
        <f>CI269</f>
        <v>0</v>
      </c>
      <c r="CK269" s="3">
        <f>CJ269</f>
        <v>0</v>
      </c>
      <c r="CL269" s="3">
        <f>CK269</f>
        <v>0</v>
      </c>
      <c r="CM269" s="3">
        <f>CL269</f>
        <v>0</v>
      </c>
      <c r="CN269" s="3">
        <f>CM269</f>
        <v>0</v>
      </c>
      <c r="CO269" s="3">
        <f>CN269</f>
        <v>0</v>
      </c>
      <c r="CP269" s="3">
        <f>CO269</f>
        <v>0</v>
      </c>
      <c r="CQ269" s="3">
        <f>CP269</f>
        <v>0</v>
      </c>
      <c r="CR269" s="3">
        <f>CQ269</f>
        <v>0</v>
      </c>
      <c r="CS269" s="3">
        <f>CR269</f>
        <v>0</v>
      </c>
      <c r="CT269" s="3">
        <f>CS269</f>
        <v>0</v>
      </c>
      <c r="CU269" s="3">
        <f>CT269</f>
        <v>0</v>
      </c>
      <c r="CV269" s="3">
        <f>CU269</f>
        <v>0</v>
      </c>
      <c r="CW269" s="3">
        <f>CV269</f>
        <v>0</v>
      </c>
      <c r="CX269" s="3">
        <f>CW269</f>
        <v>0</v>
      </c>
      <c r="CY269" s="3">
        <f>CX269</f>
        <v>0</v>
      </c>
    </row>
    <row r="270">
      <c r="C270" s="28" t="inlineStr">
        <is>
          <t>Retained earnings</t>
        </is>
      </c>
      <c r="D270" s="25">
        <f>INDEX('Inputs (2)'!$D$47:$AL$47,MATCH(D$7,'Inputs (2)'!$D$2:$AL$2,0))</f>
        <v>-707.898</v>
      </c>
      <c r="E270" s="25">
        <f>INDEX('Inputs (2)'!$D$47:$AL$47,MATCH(E$7,'Inputs (2)'!$D$2:$AL$2,0))</f>
        <v>-683.537</v>
      </c>
      <c r="F270" s="25">
        <f>INDEX('Inputs (2)'!$D$47:$AL$47,MATCH(F$7,'Inputs (2)'!$D$2:$AL$2,0))</f>
        <v>-683.49</v>
      </c>
      <c r="G270" s="25">
        <f>INDEX('Inputs (2)'!$D$47:$AL$47,MATCH(G$7,'Inputs (2)'!$D$2:$AL$2,0))</f>
        <v>-677.824</v>
      </c>
      <c r="H270" s="3">
        <f>G270</f>
        <v>-677.824</v>
      </c>
      <c r="I270" s="25">
        <f>INDEX('Inputs (2)'!$D$47:$AL$47,MATCH(I$7,'Inputs (2)'!$D$2:$AL$2,0))</f>
        <v>-455.462</v>
      </c>
      <c r="J270" s="25">
        <f>INDEX('Inputs (2)'!$D$47:$AL$47,MATCH(J$7,'Inputs (2)'!$D$2:$AL$2,0))</f>
        <v>-450.051</v>
      </c>
      <c r="K270" s="25">
        <f>INDEX('Inputs (2)'!$D$47:$AL$47,MATCH(K$7,'Inputs (2)'!$D$2:$AL$2,0))</f>
        <v>-452.259</v>
      </c>
      <c r="L270" s="25">
        <f>INDEX('Inputs (2)'!$D$47:$AL$47,MATCH(L$7,'Inputs (2)'!$D$2:$AL$2,0))</f>
        <v>-470.911</v>
      </c>
      <c r="M270" s="3">
        <f>L270</f>
        <v>-470.911</v>
      </c>
      <c r="N270" s="25">
        <f>INDEX('Inputs (2)'!$D$47:$AL$47,MATCH(N$7,'Inputs (2)'!$D$2:$AL$2,0))</f>
        <v>-491.058</v>
      </c>
      <c r="O270" s="25">
        <f>INDEX('Inputs (2)'!$D$47:$AL$47,MATCH(O$7,'Inputs (2)'!$D$2:$AL$2,0))</f>
        <v>-503.028</v>
      </c>
      <c r="P270" s="25">
        <f>INDEX('Inputs (2)'!$D$47:$AL$47,MATCH(P$7,'Inputs (2)'!$D$2:$AL$2,0))</f>
        <v>-534.121</v>
      </c>
      <c r="Q270" s="25">
        <f>INDEX('Inputs (2)'!$D$47:$AL$47,MATCH(Q$7,'Inputs (2)'!$D$2:$AL$2,0))</f>
        <v>-888.858</v>
      </c>
      <c r="R270" s="3">
        <f>Q270</f>
        <v>-888.858</v>
      </c>
      <c r="S270" s="25">
        <f>INDEX('Inputs (2)'!$D$47:$AL$47,MATCH(S$7,'Inputs (2)'!$D$2:$AL$2,0))</f>
        <v>-933.931</v>
      </c>
      <c r="T270" s="25">
        <f>INDEX('Inputs (2)'!$D$47:$AL$47,MATCH(T$7,'Inputs (2)'!$D$2:$AL$2,0))</f>
        <v>-939.08</v>
      </c>
      <c r="U270" s="25">
        <f>INDEX('Inputs (2)'!$D$47:$AL$47,MATCH(U$7,'Inputs (2)'!$D$2:$AL$2,0))</f>
        <v>-937.229</v>
      </c>
      <c r="V270" s="25">
        <f>INDEX('Inputs (2)'!$D$47:$AL$47,MATCH(V$7,'Inputs (2)'!$D$2:$AL$2,0))</f>
        <v>-848.743</v>
      </c>
      <c r="W270" s="3">
        <f>V270</f>
        <v>-848.743</v>
      </c>
      <c r="X270" s="25">
        <f>INDEX('Inputs (2)'!$D$47:$AL$47,MATCH(X$7,'Inputs (2)'!$D$2:$AL$2,0))</f>
        <v>-823.2</v>
      </c>
      <c r="Y270" s="25">
        <f>INDEX('Inputs (2)'!$D$47:$AL$47,MATCH(Y$7,'Inputs (2)'!$D$2:$AL$2,0))</f>
        <v>-814.394</v>
      </c>
      <c r="Z270" s="25">
        <f>INDEX('Inputs (2)'!$D$47:$AL$47,MATCH(Z$7,'Inputs (2)'!$D$2:$AL$2,0))</f>
        <v>-777.31</v>
      </c>
      <c r="AA270" s="25">
        <f>INDEX('Inputs (2)'!$D$47:$AL$47,MATCH(AA$7,'Inputs (2)'!$D$2:$AL$2,0))</f>
        <v>-787.846</v>
      </c>
      <c r="AB270" s="3">
        <f>AA270</f>
        <v>-787.846</v>
      </c>
      <c r="AC270" s="25">
        <f>INDEX('Inputs (2)'!$D$47:$AL$47,MATCH(AC$7,'Inputs (2)'!$D$2:$AL$2,0))</f>
        <v>-794.168</v>
      </c>
      <c r="AD270" s="25">
        <f>INDEX('Inputs (2)'!$D$47:$AL$47,MATCH(AD$7,'Inputs (2)'!$D$2:$AL$2,0))</f>
        <v>-770.322</v>
      </c>
      <c r="AE270" s="25">
        <f>INDEX('Inputs (2)'!$D$47:$AL$47,MATCH(AE$7,'Inputs (2)'!$D$2:$AL$2,0))</f>
        <v>-747.034</v>
      </c>
      <c r="AF270" s="25">
        <f>INDEX('Inputs (2)'!$D$47:$AL$47,MATCH(AF$7,'Inputs (2)'!$D$2:$AL$2,0))</f>
        <v>-727.704</v>
      </c>
      <c r="AG270" s="3">
        <f>AF270</f>
        <v>-727.704</v>
      </c>
      <c r="AH270" s="3">
        <f>INDEX('Inputs (2)'!$D$47:$AL$47,MATCH(AH$7,'Inputs (2)'!$D$2:$AL$2,0))</f>
        <v>-708.92</v>
      </c>
      <c r="AI270" s="3">
        <f>INDEX('Inputs (2)'!$D$47:$AL$47,MATCH(AI$7,'Inputs (2)'!$D$2:$AL$2,0))</f>
        <v>-720.067</v>
      </c>
      <c r="AJ270" s="3">
        <f>AI270+AJ137+AJ138</f>
        <v>-697.145</v>
      </c>
      <c r="AK270" s="3">
        <f>AJ270+AK137+AK138</f>
        <v>-666.031</v>
      </c>
      <c r="AL270" s="3">
        <f>AK270</f>
        <v>-666.031</v>
      </c>
      <c r="AM270" s="3">
        <f>AL270+AM137+AM138</f>
        <v>-635.16</v>
      </c>
      <c r="AN270" s="3">
        <f>AM270+AN137+AN138</f>
        <v>-534.792</v>
      </c>
      <c r="AO270" s="3">
        <f>AN270+AO137+AO138</f>
        <v>-502.652</v>
      </c>
      <c r="AP270" s="3">
        <f>AO270+AP137+AP138</f>
        <v>-384.464</v>
      </c>
      <c r="AQ270" s="3">
        <f>AP270</f>
        <v>-384.464</v>
      </c>
      <c r="AR270" s="3">
        <f>AQ270+AR137+AR138</f>
        <v>-266.519</v>
      </c>
      <c r="AS270" s="3">
        <f>AR270+AS137+AS138</f>
        <v>26.4330000000001</v>
      </c>
      <c r="AT270" s="3">
        <f>AS270+AT137+AT138</f>
        <v>145.647</v>
      </c>
      <c r="AU270" s="3">
        <f>AT270+AU137+AU138</f>
        <v>456.419</v>
      </c>
      <c r="AV270" s="3">
        <f>AU270</f>
        <v>456.419</v>
      </c>
      <c r="AW270" s="3">
        <f>AV270+AW137+AW138</f>
        <v>766.948</v>
      </c>
      <c r="AX270" s="3">
        <f>AW270+AX137+AX138</f>
        <v>1619.216</v>
      </c>
      <c r="AY270" s="3">
        <f>AX270+AY137+AY138</f>
        <v>1931.014</v>
      </c>
      <c r="AZ270" s="3">
        <f>AY270+AZ137+AZ138</f>
        <v>2801.102</v>
      </c>
      <c r="BA270" s="3">
        <f>AZ270</f>
        <v>2801.102</v>
      </c>
      <c r="BB270" s="3">
        <f>BA270+BB137+BB138</f>
        <v>3670.947</v>
      </c>
      <c r="BC270" s="3">
        <f>BB270+BC137+BC138</f>
        <v>6027.015</v>
      </c>
      <c r="BD270" s="3">
        <f>BC270+BD137+BD138</f>
        <v>6898.129</v>
      </c>
      <c r="BE270" s="3">
        <f>BD270+BE137+BE138</f>
        <v>9272.017</v>
      </c>
      <c r="BF270" s="3">
        <f>BE270</f>
        <v>9272.017</v>
      </c>
      <c r="BG270" s="3">
        <f>BF270+BG137+BG138</f>
        <v>11645.662</v>
      </c>
      <c r="BH270" s="3">
        <f>BG270+BH137+BH138</f>
        <v>18127.962</v>
      </c>
      <c r="BI270" s="3">
        <f>BH270+BI137+BI138</f>
        <v>20502.876</v>
      </c>
      <c r="BJ270" s="3">
        <f>BI270+BJ137+BJ138</f>
        <v>27002.996</v>
      </c>
      <c r="BK270" s="3">
        <f>BJ270</f>
        <v>27002.996</v>
      </c>
      <c r="BL270" s="3">
        <f>BK270+BL137+BL138</f>
        <v>33502.873</v>
      </c>
      <c r="BM270" s="3">
        <f>BL270+BM137+BM138</f>
        <v>51245.237</v>
      </c>
      <c r="BN270" s="3">
        <f>BM270+BN137+BN138</f>
        <v>57746.383</v>
      </c>
      <c r="BO270" s="3">
        <f>BN270+BO137+BO138</f>
        <v>75506.567</v>
      </c>
      <c r="BP270" s="3">
        <f>BO270</f>
        <v>75506.567</v>
      </c>
      <c r="BQ270" s="3">
        <f>BP270+BQ137+BQ138</f>
        <v>93266.508</v>
      </c>
      <c r="BR270" s="3">
        <f>BQ270+BR137+BR138</f>
        <v>141781.464</v>
      </c>
      <c r="BS270" s="3">
        <f>BR270+BS137+BS138</f>
        <v>159542.674</v>
      </c>
      <c r="BT270" s="3">
        <f>BS270+BT137+BT138</f>
        <v>208075.45</v>
      </c>
      <c r="BU270" s="3">
        <f>BT270</f>
        <v>208075.45</v>
      </c>
      <c r="BV270" s="3">
        <f>BU270+BV137+BV138</f>
        <v>256607.983</v>
      </c>
      <c r="BW270" s="3">
        <f>BV270+BW137+BW138</f>
        <v>389188.251</v>
      </c>
      <c r="BX270" s="3">
        <f>BW270+BX137+BX138</f>
        <v>437722.053</v>
      </c>
      <c r="BY270" s="3">
        <f>BX270+BY137+BY138</f>
        <v>570320.141</v>
      </c>
      <c r="BZ270" s="3">
        <f>BY270</f>
        <v>570320.141</v>
      </c>
      <c r="CA270" s="3">
        <f>BZ270+CA137+CA138</f>
        <v>702917.986</v>
      </c>
      <c r="CB270" s="3">
        <f>CA270+CB137+CB138</f>
        <v>1065174.062</v>
      </c>
      <c r="CC270" s="3">
        <f>CB270+CC137+CC138</f>
        <v>1197773.176</v>
      </c>
      <c r="CD270" s="3">
        <f>CC270+CD137+CD138</f>
        <v>1560047.072</v>
      </c>
      <c r="CE270" s="3">
        <f>CD270</f>
        <v>1560047.072</v>
      </c>
      <c r="CF270" s="3">
        <f>CE270+CF137+CF138</f>
        <v>1922320.725</v>
      </c>
      <c r="CG270" s="3">
        <f>CF270+CG137+CG138</f>
        <v>2912059.041</v>
      </c>
      <c r="CH270" s="3">
        <f>CG270+CH137+CH138</f>
        <v>3274333.963</v>
      </c>
      <c r="CI270" s="3">
        <f>CH270+CI137+CI138</f>
        <v>4264090.099</v>
      </c>
      <c r="CJ270" s="3">
        <f>CI270</f>
        <v>4264090.099</v>
      </c>
      <c r="CK270" s="3">
        <f>CJ270+CK137+CK138</f>
        <v>5253845.992</v>
      </c>
      <c r="CL270" s="3">
        <f>CK270+CL137+CL138</f>
        <v>7957900.404</v>
      </c>
      <c r="CM270" s="3">
        <f>CL270+CM137+CM138</f>
        <v>8947657.566</v>
      </c>
      <c r="CN270" s="3">
        <f>CM270+CN137+CN138</f>
        <v>11651729.798</v>
      </c>
      <c r="CO270" s="3">
        <f>CN270</f>
        <v>11651729.798</v>
      </c>
      <c r="CP270" s="3">
        <f>CO270+CP137+CP138</f>
        <v>14355801.787</v>
      </c>
      <c r="CQ270" s="3">
        <f>CP270+CQ137+CQ138</f>
        <v>21743452.871</v>
      </c>
      <c r="CR270" s="3">
        <f>CQ270+CR137+CR138</f>
        <v>24447526.129</v>
      </c>
      <c r="CS270" s="3">
        <f>CR270+CS137+CS138</f>
        <v>31835195.033</v>
      </c>
      <c r="CT270" s="3">
        <f>CS270</f>
        <v>31835195.033</v>
      </c>
      <c r="CU270" s="3">
        <f>CT270+CU137+CU138</f>
        <v>39222863.694</v>
      </c>
      <c r="CV270" s="3">
        <f>CU270+CV137+CV138</f>
        <v>59406340.314</v>
      </c>
      <c r="CW270" s="3">
        <f>CV270+CW137+CW138</f>
        <v>66794010.244</v>
      </c>
      <c r="CX270" s="3">
        <f>CW270+CX137+CX138</f>
        <v>86977504.684</v>
      </c>
      <c r="CY270" s="3">
        <f>CX270</f>
        <v>86977504.684</v>
      </c>
    </row>
    <row r="271" customFormat="1" s="17">
      <c r="A271" s="13" t="inlineStr">
        <is>
          <t xml:space="preserve"> </t>
        </is>
      </c>
      <c r="B271" s="13" t="n"/>
      <c r="C271" s="27" t="inlineStr">
        <is>
          <t>Total Shareholders' Equity</t>
        </is>
      </c>
      <c r="D271" s="16">
        <f>SUM(D248+D253+D254+D267+D268+D269+D270)</f>
        <v>-107.586</v>
      </c>
      <c r="E271" s="16">
        <f>SUM(E248+E253+E254+E267+E268+E269+E270)</f>
        <v>74.101</v>
      </c>
      <c r="F271" s="16">
        <f>SUM(F248+F253+F254+F267+F268+F269+F270)</f>
        <v>75.4159999999999</v>
      </c>
      <c r="G271" s="16">
        <f>SUM(G248+G253+G254+G267+G268+G269+G270)</f>
        <v>82.7259999999999</v>
      </c>
      <c r="H271" s="16">
        <f>SUM(H248,H253,H254,H267,H268,H269,H270)</f>
        <v>82.7259999999999</v>
      </c>
      <c r="I271" s="16">
        <f>SUM(I248+I253+I254+I267+I268+I269+I270)</f>
        <v>388.799</v>
      </c>
      <c r="J271" s="16">
        <f>SUM(J248+J253+J254+J267+J268+J269+J270)</f>
        <v>385.795</v>
      </c>
      <c r="K271" s="16">
        <f>SUM(K248+K253+K254+K267+K268+K269+K270)</f>
        <v>384.444</v>
      </c>
      <c r="L271" s="16">
        <f>SUM(L248+L253+L254+L267+L268+L269+L270)</f>
        <v>369.413</v>
      </c>
      <c r="M271" s="16">
        <f>SUM(M248,M253,M254,M267,M268,M269,M270)</f>
        <v>369.413</v>
      </c>
      <c r="N271" s="16">
        <f>SUM(N248+N253+N254+N267+N268+N269+N270)</f>
        <v>350.039</v>
      </c>
      <c r="O271" s="16">
        <f>SUM(O248+O253+O254+O267+O268+O269+O270)</f>
        <v>451.578</v>
      </c>
      <c r="P271" s="16">
        <f>SUM(P248+P253+P254+P267+P268+P269+P270)</f>
        <v>430.65</v>
      </c>
      <c r="Q271" s="16">
        <f>SUM(Q248+Q253+Q254+Q267+Q268+Q269+Q270)</f>
        <v>581.467</v>
      </c>
      <c r="R271" s="16">
        <f>SUM(R248,R253,R254,R267,R268,R269,R270)</f>
        <v>581.467</v>
      </c>
      <c r="S271" s="16">
        <f>SUM(S248+S253+S254+S267+S268+S269+S270)</f>
        <v>581.15</v>
      </c>
      <c r="T271" s="16">
        <f>SUM(T248+T253+T254+T267+T268+T269+T270)</f>
        <v>660.163</v>
      </c>
      <c r="U271" s="16">
        <f>SUM(U248+U253+U254+U267+U268+U269+U270)</f>
        <v>664.057</v>
      </c>
      <c r="V271" s="16">
        <f>SUM(V248+V253+V254+V267+V268+V269+V270)</f>
        <v>744.593</v>
      </c>
      <c r="W271" s="16">
        <f>SUM(W248,W253,W254,W267,W268,W269,W270)</f>
        <v>744.593</v>
      </c>
      <c r="X271" s="16">
        <f>SUM(X248+X253+X254+X267+X268+X269+X270)</f>
        <v>791.577</v>
      </c>
      <c r="Y271" s="16">
        <f>SUM(Y248+Y253+Y254+Y267+Y268+Y269+Y270)</f>
        <v>808.619</v>
      </c>
      <c r="Z271" s="16">
        <f>SUM(Z248+Z253+Z254+Z267+Z268+Z269+Z270)</f>
        <v>876.84</v>
      </c>
      <c r="AA271" s="16">
        <f>SUM(AA248+AA253+AA254+AA267+AA268+AA269+AA270)</f>
        <v>873.871</v>
      </c>
      <c r="AB271" s="16">
        <f>SUM(AB248,AB253,AB254,AB267,AB268,AB269,AB270)</f>
        <v>873.871</v>
      </c>
      <c r="AC271" s="16">
        <f>SUM(AC248+AC253+AC254+AC267+AC268+AC269+AC270)</f>
        <v>870.314</v>
      </c>
      <c r="AD271" s="16">
        <f>SUM(AD248+AD253+AD254+AD267+AD268+AD269+AD270)</f>
        <v>1504.243</v>
      </c>
      <c r="AE271" s="16">
        <f>SUM(AE248+AE253+AE254+AE267+AE268+AE269+AE270)</f>
        <v>1530.146</v>
      </c>
      <c r="AF271" s="16">
        <f>SUM(AF248+AF253+AF254+AF267+AF268+AF269+AF270)</f>
        <v>1551.637</v>
      </c>
      <c r="AG271" s="16">
        <f>SUM(AG248,AG253,AG254,AG267,AG268,AG269,AG270)</f>
        <v>1551.637</v>
      </c>
      <c r="AH271" s="16">
        <f>SUM(AH248+AH253+AH254+AH267+AH268+AH269+AH270)</f>
        <v>1573.365</v>
      </c>
      <c r="AI271" s="16">
        <f>SUM(AI248+AI253+AI254+AI267+AI268+AI269+AI270)</f>
        <v>5252.44</v>
      </c>
      <c r="AJ271" s="16">
        <f>SUM(AJ248+AJ253+AJ254+AJ267+AJ268+AJ269+AJ270)</f>
        <v>5279.416</v>
      </c>
      <c r="AK271" s="16">
        <f>SUM(AK248+AK253+AK254+AK267+AK268+AK269+AK270)</f>
        <v>5314.62</v>
      </c>
      <c r="AL271" s="16">
        <f>SUM(AL248,AL253,AL254,AL267,AL268,AL269,AL270)</f>
        <v>5314.62</v>
      </c>
      <c r="AM271" s="16">
        <f>SUM(AM248+AM253+AM254+AM267+AM268+AM269+AM270)</f>
        <v>5349.329</v>
      </c>
      <c r="AN271" s="16">
        <f>SUM(AN248+AN253+AN254+AN267+AN268+AN269+AN270)</f>
        <v>5467.195</v>
      </c>
      <c r="AO271" s="16">
        <f>SUM(AO248+AO253+AO254+AO267+AO268+AO269+AO270)</f>
        <v>5503.389</v>
      </c>
      <c r="AP271" s="16">
        <f>SUM(AP248+AP253+AP254+AP267+AP268+AP269+AP270)</f>
        <v>5625.667</v>
      </c>
      <c r="AQ271" s="16">
        <f>SUM(AQ248,AQ253,AQ254,AQ267,AQ268,AQ269,AQ270)</f>
        <v>5625.667</v>
      </c>
      <c r="AR271" s="16">
        <f>SUM(AR248+AR253+AR254+AR267+AR268+AR269+AR270)</f>
        <v>5747.45</v>
      </c>
      <c r="AS271" s="16">
        <f>SUM(AS248+AS253+AS254+AS267+AS268+AS269+AS270)</f>
        <v>6057.9</v>
      </c>
      <c r="AT271" s="16">
        <f>SUM(AT248+AT253+AT254+AT267+AT268+AT269+AT270)</f>
        <v>6181.168</v>
      </c>
      <c r="AU271" s="16">
        <f>SUM(AU248+AU253+AU254+AU267+AU268+AU269+AU270)</f>
        <v>6496.03</v>
      </c>
      <c r="AV271" s="16">
        <f>SUM(AV248,AV253,AV254,AV267,AV268,AV269,AV270)</f>
        <v>6496.03</v>
      </c>
      <c r="AW271" s="16">
        <f>SUM(AW248+AW253+AW254+AW267+AW268+AW269+AW270)</f>
        <v>6810.397</v>
      </c>
      <c r="AX271" s="16">
        <f>SUM(AX248+AX253+AX254+AX267+AX268+AX269+AX270)</f>
        <v>7680.163</v>
      </c>
      <c r="AY271" s="16">
        <f>SUM(AY248+AY253+AY254+AY267+AY268+AY269+AY270)</f>
        <v>7996.015</v>
      </c>
      <c r="AZ271" s="16">
        <f>SUM(AZ248+AZ253+AZ254+AZ267+AZ268+AZ269+AZ270)</f>
        <v>8870.193</v>
      </c>
      <c r="BA271" s="16">
        <f>SUM(BA248,BA253,BA254,BA267,BA268,BA269,BA270)</f>
        <v>8870.193</v>
      </c>
      <c r="BB271" s="16">
        <f>SUM(BB248+BB253+BB254+BB267+BB268+BB269+BB270)</f>
        <v>9743.876</v>
      </c>
      <c r="BC271" s="16">
        <f>SUM(BC248+BC253+BC254+BC267+BC268+BC269+BC270)</f>
        <v>12117.442</v>
      </c>
      <c r="BD271" s="16">
        <f>SUM(BD248+BD253+BD254+BD267+BD268+BD269+BD270)</f>
        <v>12992.61</v>
      </c>
      <c r="BE271" s="16">
        <f>SUM(BE248+BE253+BE254+BE267+BE268+BE269+BE270)</f>
        <v>15370.588</v>
      </c>
      <c r="BF271" s="16">
        <f>SUM(BF248,BF253,BF254,BF267,BF268,BF269,BF270)</f>
        <v>15370.588</v>
      </c>
      <c r="BG271" s="16">
        <f>SUM(BG248+BG253+BG254+BG267+BG268+BG269+BG270)</f>
        <v>17748.071</v>
      </c>
      <c r="BH271" s="16">
        <f>SUM(BH248+BH253+BH254+BH267+BH268+BH269+BH270)</f>
        <v>24247.869</v>
      </c>
      <c r="BI271" s="16">
        <f>SUM(BI248+BI253+BI254+BI267+BI268+BI269+BI270)</f>
        <v>26626.837</v>
      </c>
      <c r="BJ271" s="16">
        <f>SUM(BJ248+BJ253+BJ254+BJ267+BJ268+BJ269+BJ270)</f>
        <v>33131.047</v>
      </c>
      <c r="BK271" s="16">
        <f>SUM(BK248,BK253,BK254,BK267,BK268,BK269,BK270)</f>
        <v>33131.047</v>
      </c>
      <c r="BL271" s="16">
        <f>SUM(BL248+BL253+BL254+BL267+BL268+BL269+BL270)</f>
        <v>39634.762</v>
      </c>
      <c r="BM271" s="16">
        <f>SUM(BM248+BM253+BM254+BM267+BM268+BM269+BM270)</f>
        <v>57394.624</v>
      </c>
      <c r="BN271" s="16">
        <f>SUM(BN248+BN253+BN254+BN267+BN268+BN269+BN270)</f>
        <v>63899.824</v>
      </c>
      <c r="BO271" s="16">
        <f>SUM(BO248+BO253+BO254+BO267+BO268+BO269+BO270)</f>
        <v>81664.098</v>
      </c>
      <c r="BP271" s="16">
        <f>SUM(BP248,BP253,BP254,BP267,BP268,BP269,BP270)</f>
        <v>81664.098</v>
      </c>
      <c r="BQ271" s="16">
        <f>SUM(BQ248+BQ253+BQ254+BQ267+BQ268+BQ269+BQ270)</f>
        <v>99427.877</v>
      </c>
      <c r="BR271" s="16">
        <f>SUM(BR248+BR253+BR254+BR267+BR268+BR269+BR270)</f>
        <v>147960.331</v>
      </c>
      <c r="BS271" s="16">
        <f>SUM(BS248+BS253+BS254+BS267+BS268+BS269+BS270)</f>
        <v>165725.595</v>
      </c>
      <c r="BT271" s="16">
        <f>SUM(BT248+BT253+BT254+BT267+BT268+BT269+BT270)</f>
        <v>214262.461</v>
      </c>
      <c r="BU271" s="16">
        <f>SUM(BU248,BU253,BU254,BU267,BU268,BU269,BU270)</f>
        <v>214262.461</v>
      </c>
      <c r="BV271" s="16">
        <f>SUM(BV248+BV253+BV254+BV267+BV268+BV269+BV270)</f>
        <v>262798.832</v>
      </c>
      <c r="BW271" s="16">
        <f>SUM(BW248+BW253+BW254+BW267+BW268+BW269+BW270)</f>
        <v>395396.598</v>
      </c>
      <c r="BX271" s="16">
        <f>SUM(BX248+BX253+BX254+BX267+BX268+BX269+BX270)</f>
        <v>443934.454</v>
      </c>
      <c r="BY271" s="16">
        <f>SUM(BY248+BY253+BY254+BY267+BY268+BY269+BY270)</f>
        <v>576536.632</v>
      </c>
      <c r="BZ271" s="16">
        <f>SUM(BZ248,BZ253,BZ254,BZ267,BZ268,BZ269,BZ270)</f>
        <v>576536.632</v>
      </c>
      <c r="CA271" s="16">
        <f>SUM(CA248+CA253+CA254+CA267+CA268+CA269+CA270)</f>
        <v>709138.315</v>
      </c>
      <c r="CB271" s="16">
        <f>SUM(CB248+CB253+CB254+CB267+CB268+CB269+CB270)</f>
        <v>1071411.889</v>
      </c>
      <c r="CC271" s="16">
        <f>SUM(CC248+CC253+CC254+CC267+CC268+CC269+CC270)</f>
        <v>1204015.057</v>
      </c>
      <c r="CD271" s="16">
        <f>SUM(CD248+CD253+CD254+CD267+CD268+CD269+CD270)</f>
        <v>1566293.043</v>
      </c>
      <c r="CE271" s="16">
        <f>SUM(CE248,CE253,CE254,CE267,CE268,CE269,CE270)</f>
        <v>1566293.043</v>
      </c>
      <c r="CF271" s="16">
        <f>SUM(CF248+CF253+CF254+CF267+CF268+CF269+CF270)</f>
        <v>1928570.534</v>
      </c>
      <c r="CG271" s="16">
        <f>SUM(CG248+CG253+CG254+CG267+CG268+CG269+CG270)</f>
        <v>2918326.348</v>
      </c>
      <c r="CH271" s="16">
        <f>SUM(CH248+CH253+CH254+CH267+CH268+CH269+CH270)</f>
        <v>3280605.324</v>
      </c>
      <c r="CI271" s="16">
        <f>SUM(CI248+CI253+CI254+CI267+CI268+CI269+CI270)</f>
        <v>4270365.55</v>
      </c>
      <c r="CJ271" s="16">
        <f>SUM(CJ248,CJ253,CJ254,CJ267,CJ268,CJ269,CJ270)</f>
        <v>4270365.55</v>
      </c>
      <c r="CK271" s="16">
        <f>SUM(CK248+CK253+CK254+CK267+CK268+CK269+CK270)</f>
        <v>5260125.281</v>
      </c>
      <c r="CL271" s="16">
        <f>SUM(CL248+CL253+CL254+CL267+CL268+CL269+CL270)</f>
        <v>7964197.191</v>
      </c>
      <c r="CM271" s="16">
        <f>SUM(CM248+CM253+CM254+CM267+CM268+CM269+CM270)</f>
        <v>8953958.407</v>
      </c>
      <c r="CN271" s="16">
        <f>SUM(CN248+CN253+CN254+CN267+CN268+CN269+CN270)</f>
        <v>11658034.729</v>
      </c>
      <c r="CO271" s="16">
        <f>SUM(CO248,CO253,CO254,CO267,CO268,CO269,CO270)</f>
        <v>11658034.729</v>
      </c>
      <c r="CP271" s="16">
        <f>SUM(CP248+CP253+CP254+CP267+CP268+CP269+CP270)</f>
        <v>14362110.556</v>
      </c>
      <c r="CQ271" s="16">
        <f>SUM(CQ248+CQ253+CQ254+CQ267+CQ268+CQ269+CQ270)</f>
        <v>21749779.138</v>
      </c>
      <c r="CR271" s="16">
        <f>SUM(CR248+CR253+CR254+CR267+CR268+CR269+CR270)</f>
        <v>24453856.45</v>
      </c>
      <c r="CS271" s="16">
        <f>SUM(CS248+CS253+CS254+CS267+CS268+CS269+CS270)</f>
        <v>31841529.444</v>
      </c>
      <c r="CT271" s="16">
        <f>SUM(CT248,CT253,CT254,CT267,CT268,CT269,CT270)</f>
        <v>31841529.444</v>
      </c>
      <c r="CU271" s="16">
        <f>SUM(CU248+CU253+CU254+CU267+CU268+CU269+CU270)</f>
        <v>39229201.943</v>
      </c>
      <c r="CV271" s="16">
        <f>SUM(CV248+CV253+CV254+CV267+CV268+CV269+CV270)</f>
        <v>59412696.061</v>
      </c>
      <c r="CW271" s="16">
        <f>SUM(CW248+CW253+CW254+CW267+CW268+CW269+CW270)</f>
        <v>66800370.045</v>
      </c>
      <c r="CX271" s="16">
        <f>SUM(CX248+CX253+CX254+CX267+CX268+CX269+CX270)</f>
        <v>86983868.575</v>
      </c>
      <c r="CY271" s="16">
        <f>SUM(CY248,CY253,CY254,CY267,CY268,CY269,CY270)</f>
        <v>86983868.575</v>
      </c>
    </row>
    <row r="272">
      <c r="C272" s="29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  <c r="BO272" s="3" t="n"/>
      <c r="BP272" s="3" t="n"/>
      <c r="BQ272" s="3" t="n"/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  <c r="CG272" s="3" t="n"/>
      <c r="CH272" s="3" t="n"/>
      <c r="CI272" s="3" t="n"/>
      <c r="CJ272" s="3" t="n"/>
      <c r="CK272" s="3" t="n"/>
      <c r="CL272" s="3" t="n"/>
      <c r="CM272" s="3" t="n"/>
      <c r="CN272" s="3" t="n"/>
      <c r="CO272" s="3" t="n"/>
      <c r="CP272" s="3" t="n"/>
      <c r="CQ272" s="3" t="n"/>
      <c r="CR272" s="3" t="n"/>
      <c r="CS272" s="3" t="n"/>
      <c r="CT272" s="3" t="n"/>
      <c r="CU272" s="3" t="n"/>
      <c r="CV272" s="3" t="n"/>
      <c r="CW272" s="3" t="n"/>
      <c r="CX272" s="3" t="n"/>
      <c r="CY272" s="3" t="n"/>
    </row>
    <row r="273" customFormat="1" s="17">
      <c r="A273" s="13" t="n"/>
      <c r="B273" s="1" t="n"/>
      <c r="C273" s="14" t="inlineStr">
        <is>
          <t>Total Liabilities + Shareholders' Equity</t>
        </is>
      </c>
      <c r="D273" s="16">
        <f>D271+D247</f>
        <v>660.087</v>
      </c>
      <c r="E273" s="16">
        <f>E271+E247</f>
        <v>667.439</v>
      </c>
      <c r="F273" s="16">
        <f>F271+F247</f>
        <v>675.631</v>
      </c>
      <c r="G273" s="16">
        <f>G271+G247</f>
        <v>670.861</v>
      </c>
      <c r="H273" s="16">
        <f>H271+H247</f>
        <v>670.861</v>
      </c>
      <c r="I273" s="16">
        <f>I271+I247</f>
        <v>1026.589</v>
      </c>
      <c r="J273" s="16">
        <f>J271+J247</f>
        <v>966.787</v>
      </c>
      <c r="K273" s="16">
        <f>K271+K247</f>
        <v>924.473</v>
      </c>
      <c r="L273" s="16">
        <f>L271+L247</f>
        <v>1206.063</v>
      </c>
      <c r="M273" s="16">
        <f>M271+M247</f>
        <v>1206.063</v>
      </c>
      <c r="N273" s="16">
        <f>N271+N247</f>
        <v>1218.866</v>
      </c>
      <c r="O273" s="16">
        <f>O271+O247</f>
        <v>1654.061</v>
      </c>
      <c r="P273" s="16">
        <f>P271+P247</f>
        <v>1689.875</v>
      </c>
      <c r="Q273" s="16">
        <f>Q271+Q247</f>
        <v>2073.296</v>
      </c>
      <c r="R273" s="16">
        <f>R271+R247</f>
        <v>2073.296</v>
      </c>
      <c r="S273" s="16">
        <f>S271+S247</f>
        <v>2044.537</v>
      </c>
      <c r="T273" s="16">
        <f>T271+T247</f>
        <v>2099.356</v>
      </c>
      <c r="U273" s="16">
        <f>U271+U247</f>
        <v>2239.121</v>
      </c>
      <c r="V273" s="16">
        <f>V271+V247</f>
        <v>2262.344</v>
      </c>
      <c r="W273" s="16">
        <f>W271+W247</f>
        <v>2262.344</v>
      </c>
      <c r="X273" s="16">
        <f>X271+X247</f>
        <v>2296.704</v>
      </c>
      <c r="Y273" s="16">
        <f>Y271+Y247</f>
        <v>2458.471</v>
      </c>
      <c r="Z273" s="16">
        <f>Z271+Z247</f>
        <v>3325.011</v>
      </c>
      <c r="AA273" s="16">
        <f>AA271+AA247</f>
        <v>3334.198</v>
      </c>
      <c r="AB273" s="16">
        <f>AB271+AB247</f>
        <v>3334.198</v>
      </c>
      <c r="AC273" s="16">
        <f>AC271+AC247</f>
        <v>3387.08</v>
      </c>
      <c r="AD273" s="16">
        <f>AD271+AD247</f>
        <v>4045.501</v>
      </c>
      <c r="AE273" s="16">
        <f>AE271+AE247</f>
        <v>4224.165</v>
      </c>
      <c r="AF273" s="16">
        <f>AF271+AF247</f>
        <v>4293.945</v>
      </c>
      <c r="AG273" s="16">
        <f>AG271+AG247</f>
        <v>4293.945</v>
      </c>
      <c r="AH273" s="16">
        <f>AH271+AH247</f>
        <v>4446.961</v>
      </c>
      <c r="AI273" s="16">
        <f>AI271+AI247</f>
        <v>11325.751</v>
      </c>
      <c r="AJ273" s="16">
        <f>AJ271+AJ247</f>
        <v>10658.322</v>
      </c>
      <c r="AK273" s="16">
        <f>AK271+AK247</f>
        <v>10693.526</v>
      </c>
      <c r="AL273" s="16">
        <f>AL271+AL247</f>
        <v>10693.526</v>
      </c>
      <c r="AM273" s="16" t="e">
        <f>AM271+AM247</f>
        <v>#DIV/0!</v>
      </c>
      <c r="AN273" s="16">
        <f>AN271+AN247</f>
        <v>10846.101</v>
      </c>
      <c r="AO273" s="16" t="e">
        <f>AO271+AO247</f>
        <v>#DIV/0!</v>
      </c>
      <c r="AP273" s="16" t="e">
        <f>AP271+AP247</f>
        <v>#DIV/0!</v>
      </c>
      <c r="AQ273" s="16" t="e">
        <f>AQ271+AQ247</f>
        <v>#DIV/0!</v>
      </c>
      <c r="AR273" s="16" t="e">
        <f>AR271+AR247</f>
        <v>#DIV/0!</v>
      </c>
      <c r="AS273" s="16" t="e">
        <f>AS271+AS247</f>
        <v>#DIV/0!</v>
      </c>
      <c r="AT273" s="16" t="e">
        <f>AT271+AT247</f>
        <v>#DIV/0!</v>
      </c>
      <c r="AU273" s="16" t="e">
        <f>AU271+AU247</f>
        <v>#DIV/0!</v>
      </c>
      <c r="AV273" s="16" t="e">
        <f>AV271+AV247</f>
        <v>#DIV/0!</v>
      </c>
      <c r="AW273" s="16" t="e">
        <f>AW271+AW247</f>
        <v>#DIV/0!</v>
      </c>
      <c r="AX273" s="16" t="e">
        <f>AX271+AX247</f>
        <v>#DIV/0!</v>
      </c>
      <c r="AY273" s="16" t="e">
        <f>AY271+AY247</f>
        <v>#DIV/0!</v>
      </c>
      <c r="AZ273" s="16" t="e">
        <f>AZ271+AZ247</f>
        <v>#DIV/0!</v>
      </c>
      <c r="BA273" s="16" t="e">
        <f>BA271+BA247</f>
        <v>#DIV/0!</v>
      </c>
      <c r="BB273" s="16" t="e">
        <f>BB271+BB247</f>
        <v>#DIV/0!</v>
      </c>
      <c r="BC273" s="16" t="e">
        <f>BC271+BC247</f>
        <v>#DIV/0!</v>
      </c>
      <c r="BD273" s="16" t="e">
        <f>BD271+BD247</f>
        <v>#DIV/0!</v>
      </c>
      <c r="BE273" s="16" t="e">
        <f>BE271+BE247</f>
        <v>#DIV/0!</v>
      </c>
      <c r="BF273" s="16" t="e">
        <f>BF271+BF247</f>
        <v>#DIV/0!</v>
      </c>
      <c r="BG273" s="16" t="e">
        <f>BG271+BG247</f>
        <v>#DIV/0!</v>
      </c>
      <c r="BH273" s="16" t="e">
        <f>BH271+BH247</f>
        <v>#DIV/0!</v>
      </c>
      <c r="BI273" s="16" t="e">
        <f>BI271+BI247</f>
        <v>#DIV/0!</v>
      </c>
      <c r="BJ273" s="16" t="e">
        <f>BJ271+BJ247</f>
        <v>#DIV/0!</v>
      </c>
      <c r="BK273" s="16" t="e">
        <f>BK271+BK247</f>
        <v>#DIV/0!</v>
      </c>
      <c r="BL273" s="16" t="e">
        <f>BL271+BL247</f>
        <v>#DIV/0!</v>
      </c>
      <c r="BM273" s="16" t="e">
        <f>BM271+BM247</f>
        <v>#DIV/0!</v>
      </c>
      <c r="BN273" s="16" t="e">
        <f>BN271+BN247</f>
        <v>#DIV/0!</v>
      </c>
      <c r="BO273" s="16" t="e">
        <f>BO271+BO247</f>
        <v>#DIV/0!</v>
      </c>
      <c r="BP273" s="16" t="e">
        <f>BP271+BP247</f>
        <v>#DIV/0!</v>
      </c>
      <c r="BQ273" s="16" t="e">
        <f>BQ271+BQ247</f>
        <v>#DIV/0!</v>
      </c>
      <c r="BR273" s="16" t="e">
        <f>BR271+BR247</f>
        <v>#DIV/0!</v>
      </c>
      <c r="BS273" s="16" t="e">
        <f>BS271+BS247</f>
        <v>#DIV/0!</v>
      </c>
      <c r="BT273" s="16" t="e">
        <f>BT271+BT247</f>
        <v>#DIV/0!</v>
      </c>
      <c r="BU273" s="16" t="e">
        <f>BU271+BU247</f>
        <v>#DIV/0!</v>
      </c>
      <c r="BV273" s="16" t="e">
        <f>BV271+BV247</f>
        <v>#DIV/0!</v>
      </c>
      <c r="BW273" s="16" t="e">
        <f>BW271+BW247</f>
        <v>#DIV/0!</v>
      </c>
      <c r="BX273" s="16" t="e">
        <f>BX271+BX247</f>
        <v>#DIV/0!</v>
      </c>
      <c r="BY273" s="16" t="e">
        <f>BY271+BY247</f>
        <v>#DIV/0!</v>
      </c>
      <c r="BZ273" s="16" t="e">
        <f>BZ271+BZ247</f>
        <v>#DIV/0!</v>
      </c>
      <c r="CA273" s="16" t="e">
        <f>CA271+CA247</f>
        <v>#DIV/0!</v>
      </c>
      <c r="CB273" s="16" t="e">
        <f>CB271+CB247</f>
        <v>#DIV/0!</v>
      </c>
      <c r="CC273" s="16" t="e">
        <f>CC271+CC247</f>
        <v>#DIV/0!</v>
      </c>
      <c r="CD273" s="16" t="e">
        <f>CD271+CD247</f>
        <v>#DIV/0!</v>
      </c>
      <c r="CE273" s="16" t="e">
        <f>CE271+CE247</f>
        <v>#DIV/0!</v>
      </c>
      <c r="CF273" s="16" t="e">
        <f>CF271+CF247</f>
        <v>#DIV/0!</v>
      </c>
      <c r="CG273" s="16" t="e">
        <f>CG271+CG247</f>
        <v>#DIV/0!</v>
      </c>
      <c r="CH273" s="16" t="e">
        <f>CH271+CH247</f>
        <v>#DIV/0!</v>
      </c>
      <c r="CI273" s="16" t="e">
        <f>CI271+CI247</f>
        <v>#DIV/0!</v>
      </c>
      <c r="CJ273" s="16" t="e">
        <f>CJ271+CJ247</f>
        <v>#DIV/0!</v>
      </c>
      <c r="CK273" s="16" t="e">
        <f>CK271+CK247</f>
        <v>#DIV/0!</v>
      </c>
      <c r="CL273" s="16" t="e">
        <f>CL271+CL247</f>
        <v>#DIV/0!</v>
      </c>
      <c r="CM273" s="16" t="e">
        <f>CM271+CM247</f>
        <v>#DIV/0!</v>
      </c>
      <c r="CN273" s="16" t="e">
        <f>CN271+CN247</f>
        <v>#DIV/0!</v>
      </c>
      <c r="CO273" s="16" t="e">
        <f>CO271+CO247</f>
        <v>#DIV/0!</v>
      </c>
      <c r="CP273" s="16" t="e">
        <f>CP271+CP247</f>
        <v>#DIV/0!</v>
      </c>
      <c r="CQ273" s="16" t="e">
        <f>CQ271+CQ247</f>
        <v>#DIV/0!</v>
      </c>
      <c r="CR273" s="16" t="e">
        <f>CR271+CR247</f>
        <v>#DIV/0!</v>
      </c>
      <c r="CS273" s="16" t="e">
        <f>CS271+CS247</f>
        <v>#DIV/0!</v>
      </c>
      <c r="CT273" s="16" t="e">
        <f>CT271+CT247</f>
        <v>#DIV/0!</v>
      </c>
      <c r="CU273" s="16" t="e">
        <f>CU271+CU247</f>
        <v>#DIV/0!</v>
      </c>
      <c r="CV273" s="16" t="e">
        <f>CV271+CV247</f>
        <v>#DIV/0!</v>
      </c>
      <c r="CW273" s="16" t="e">
        <f>CW271+CW247</f>
        <v>#DIV/0!</v>
      </c>
      <c r="CX273" s="16" t="e">
        <f>CX271+CX247</f>
        <v>#DIV/0!</v>
      </c>
      <c r="CY273" s="16" t="e">
        <f>CY271+CY247</f>
        <v>#DIV/0!</v>
      </c>
    </row>
    <row r="274">
      <c r="C274" s="5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  <c r="BO274" s="1" t="n"/>
      <c r="BP274" s="1" t="n"/>
      <c r="BQ274" s="1" t="n"/>
      <c r="BR274" s="1" t="n"/>
      <c r="BS274" s="1" t="n"/>
      <c r="BT274" s="1" t="n"/>
      <c r="BU274" s="1" t="n"/>
      <c r="BV274" s="1" t="n"/>
      <c r="BW274" s="1" t="n"/>
      <c r="BX274" s="1" t="n"/>
      <c r="BY274" s="1" t="n"/>
      <c r="BZ274" s="1" t="n"/>
      <c r="CA274" s="1" t="n"/>
      <c r="CB274" s="1" t="n"/>
      <c r="CC274" s="1" t="n"/>
      <c r="CD274" s="1" t="n"/>
      <c r="CE274" s="1" t="n"/>
      <c r="CF274" s="1" t="n"/>
      <c r="CG274" s="1" t="n"/>
      <c r="CH274" s="1" t="n"/>
      <c r="CI274" s="1" t="n"/>
      <c r="CJ274" s="1" t="n"/>
      <c r="CK274" s="1" t="n"/>
      <c r="CL274" s="1" t="n"/>
      <c r="CM274" s="1" t="n"/>
      <c r="CN274" s="1" t="n"/>
      <c r="CO274" s="1" t="n"/>
      <c r="CP274" s="1" t="n"/>
      <c r="CQ274" s="1" t="n"/>
      <c r="CR274" s="1" t="n"/>
      <c r="CS274" s="1" t="n"/>
      <c r="CT274" s="1" t="n"/>
      <c r="CU274" s="1" t="n"/>
      <c r="CV274" s="1" t="n"/>
      <c r="CW274" s="1" t="n"/>
      <c r="CX274" s="1" t="n"/>
      <c r="CY274" s="1" t="n"/>
    </row>
    <row r="275" customFormat="1" s="17">
      <c r="A275" s="13" t="n"/>
      <c r="B275" s="13" t="n"/>
      <c r="C275" s="12" t="inlineStr">
        <is>
          <t>Cash Flow Statement</t>
        </is>
      </c>
      <c r="D275" s="232" t="str">
        <f>D142</f>
        <v>1Q20</v>
      </c>
      <c r="E275" s="232" t="str">
        <f>E142</f>
        <v>2Q20</v>
      </c>
      <c r="F275" s="232" t="str">
        <f>F142</f>
        <v>3Q20</v>
      </c>
      <c r="G275" s="232" t="str">
        <f>G142</f>
        <v>4Q20</v>
      </c>
      <c r="H275" s="232">
        <f>H142</f>
        <v>2020</v>
      </c>
      <c r="I275" s="232" t="str">
        <f>I142</f>
        <v>1Q21</v>
      </c>
      <c r="J275" s="232" t="str">
        <f>J142</f>
        <v>2Q21</v>
      </c>
      <c r="K275" s="232" t="str">
        <f>K142</f>
        <v>3Q21</v>
      </c>
      <c r="L275" s="232" t="str">
        <f>L142</f>
        <v>4Q21</v>
      </c>
      <c r="M275" s="232">
        <f>M142</f>
        <v>2021</v>
      </c>
      <c r="N275" s="232" t="str">
        <f>N142</f>
        <v>1Q22</v>
      </c>
      <c r="O275" s="232" t="str">
        <f>O142</f>
        <v>2Q22</v>
      </c>
      <c r="P275" s="232" t="str">
        <f>P142</f>
        <v>3Q22</v>
      </c>
      <c r="Q275" s="232" t="str">
        <f>Q142</f>
        <v>4Q22</v>
      </c>
      <c r="R275" s="232">
        <f>R142</f>
        <v>2022</v>
      </c>
      <c r="S275" s="232" t="str">
        <f>S142</f>
        <v>1Q23</v>
      </c>
      <c r="T275" s="232" t="str">
        <f>T142</f>
        <v>2Q23</v>
      </c>
      <c r="U275" s="232" t="str">
        <f>U142</f>
        <v>3Q23</v>
      </c>
      <c r="V275" s="232" t="str">
        <f>V142</f>
        <v>4Q23</v>
      </c>
      <c r="W275" s="232">
        <f>W142</f>
        <v>2023</v>
      </c>
      <c r="X275" s="232" t="str">
        <f>X142</f>
        <v>1Q24</v>
      </c>
      <c r="Y275" s="232" t="str">
        <f>Y142</f>
        <v>2Q24</v>
      </c>
      <c r="Z275" s="232" t="str">
        <f>Z142</f>
        <v>3Q24</v>
      </c>
      <c r="AA275" s="232" t="str">
        <f>AA142</f>
        <v>4Q24</v>
      </c>
      <c r="AB275" s="232">
        <f>AB142</f>
        <v>2024</v>
      </c>
      <c r="AC275" s="232" t="str">
        <f>AC142</f>
        <v>1Q25</v>
      </c>
      <c r="AD275" s="232" t="str">
        <f>AD142</f>
        <v>2Q25</v>
      </c>
      <c r="AE275" s="232" t="str">
        <f>AE142</f>
        <v>3Q25</v>
      </c>
      <c r="AF275" s="232" t="str">
        <f>AF142</f>
        <v>4Q25</v>
      </c>
      <c r="AG275" s="232">
        <f>AG142</f>
        <v>2025</v>
      </c>
      <c r="AH275" s="232" t="str">
        <f>AH142</f>
        <v>1Q26</v>
      </c>
      <c r="AI275" s="232" t="str">
        <f>AI142</f>
        <v>2Q26</v>
      </c>
      <c r="AJ275" s="232" t="str">
        <f>AJ142</f>
        <v>3Q26</v>
      </c>
      <c r="AK275" s="232" t="str">
        <f>AK142</f>
        <v>4Q26</v>
      </c>
      <c r="AL275" s="232">
        <f>AL142</f>
        <v>2026</v>
      </c>
      <c r="AM275" s="232" t="str">
        <f>AM142</f>
        <v>1Q27</v>
      </c>
      <c r="AN275" s="232" t="str">
        <f>AN142</f>
        <v>2Q27</v>
      </c>
      <c r="AO275" s="232" t="str">
        <f>AO142</f>
        <v>3Q27</v>
      </c>
      <c r="AP275" s="232" t="str">
        <f>AP142</f>
        <v>4Q27</v>
      </c>
      <c r="AQ275" s="232">
        <f>AQ142</f>
        <v>2027</v>
      </c>
      <c r="AR275" s="232" t="str">
        <f>AR142</f>
        <v>1Q28</v>
      </c>
      <c r="AS275" s="232" t="str">
        <f>AS142</f>
        <v>2Q28</v>
      </c>
      <c r="AT275" s="232" t="str">
        <f>AT142</f>
        <v>3Q28</v>
      </c>
      <c r="AU275" s="232" t="str">
        <f>AU142</f>
        <v>4Q28</v>
      </c>
      <c r="AV275" s="232">
        <f>AV142</f>
        <v>2028</v>
      </c>
      <c r="AW275" s="232" t="str">
        <f>AW142</f>
        <v>1Q29</v>
      </c>
      <c r="AX275" s="232" t="str">
        <f>AX142</f>
        <v>2Q29</v>
      </c>
      <c r="AY275" s="232" t="str">
        <f>AY142</f>
        <v>3Q29</v>
      </c>
      <c r="AZ275" s="232" t="str">
        <f>AZ142</f>
        <v>4Q29</v>
      </c>
      <c r="BA275" s="232">
        <f>BA142</f>
        <v>2029</v>
      </c>
      <c r="BB275" s="232" t="str">
        <f>BB142</f>
        <v>1Q30</v>
      </c>
      <c r="BC275" s="232" t="str">
        <f>BC142</f>
        <v>2Q30</v>
      </c>
      <c r="BD275" s="232" t="str">
        <f>BD142</f>
        <v>3Q30</v>
      </c>
      <c r="BE275" s="232" t="str">
        <f>BE142</f>
        <v>4Q30</v>
      </c>
      <c r="BF275" s="232">
        <f>BF142</f>
        <v>2030</v>
      </c>
      <c r="BG275" s="232" t="str">
        <f>BG142</f>
        <v>1Q31</v>
      </c>
      <c r="BH275" s="232" t="str">
        <f>BH142</f>
        <v>2Q31</v>
      </c>
      <c r="BI275" s="232" t="str">
        <f>BI142</f>
        <v>3Q31</v>
      </c>
      <c r="BJ275" s="232" t="str">
        <f>BJ142</f>
        <v>4Q31</v>
      </c>
      <c r="BK275" s="232">
        <f>BK142</f>
        <v>2031</v>
      </c>
      <c r="BL275" s="232" t="str">
        <f>BL142</f>
        <v>1Q32</v>
      </c>
      <c r="BM275" s="232" t="str">
        <f>BM142</f>
        <v>2Q32</v>
      </c>
      <c r="BN275" s="232" t="str">
        <f>BN142</f>
        <v>3Q32</v>
      </c>
      <c r="BO275" s="232" t="str">
        <f>BO142</f>
        <v>4Q32</v>
      </c>
      <c r="BP275" s="232">
        <f>BP142</f>
        <v>2032</v>
      </c>
      <c r="BQ275" s="232" t="str">
        <f>BQ142</f>
        <v>1Q33</v>
      </c>
      <c r="BR275" s="232" t="str">
        <f>BR142</f>
        <v>2Q33</v>
      </c>
      <c r="BS275" s="232" t="str">
        <f>BS142</f>
        <v>3Q33</v>
      </c>
      <c r="BT275" s="232" t="str">
        <f>BT142</f>
        <v>4Q33</v>
      </c>
      <c r="BU275" s="232">
        <f>BU142</f>
        <v>2033</v>
      </c>
      <c r="BV275" s="232" t="str">
        <f>BV142</f>
        <v>1Q34</v>
      </c>
      <c r="BW275" s="232" t="str">
        <f>BW142</f>
        <v>2Q34</v>
      </c>
      <c r="BX275" s="232" t="str">
        <f>BX142</f>
        <v>3Q34</v>
      </c>
      <c r="BY275" s="232" t="str">
        <f>BY142</f>
        <v>4Q34</v>
      </c>
      <c r="BZ275" s="232">
        <f>BZ142</f>
        <v>2034</v>
      </c>
      <c r="CA275" s="232" t="str">
        <f>CA142</f>
        <v>1Q35</v>
      </c>
      <c r="CB275" s="232" t="str">
        <f>CB142</f>
        <v>2Q35</v>
      </c>
      <c r="CC275" s="232" t="str">
        <f>CC142</f>
        <v>3Q35</v>
      </c>
      <c r="CD275" s="232" t="str">
        <f>CD142</f>
        <v>4Q35</v>
      </c>
      <c r="CE275" s="232">
        <f>CE142</f>
        <v>2035</v>
      </c>
      <c r="CF275" s="232" t="str">
        <f>CF142</f>
        <v>1Q36</v>
      </c>
      <c r="CG275" s="232" t="str">
        <f>CG142</f>
        <v>2Q36</v>
      </c>
      <c r="CH275" s="232" t="str">
        <f>CH142</f>
        <v>3Q36</v>
      </c>
      <c r="CI275" s="232" t="str">
        <f>CI142</f>
        <v>4Q36</v>
      </c>
      <c r="CJ275" s="232">
        <f>CJ142</f>
        <v>2036</v>
      </c>
      <c r="CK275" s="232" t="str">
        <f>CK142</f>
        <v>1Q37</v>
      </c>
      <c r="CL275" s="232" t="str">
        <f>CL142</f>
        <v>2Q37</v>
      </c>
      <c r="CM275" s="232" t="str">
        <f>CM142</f>
        <v>3Q37</v>
      </c>
      <c r="CN275" s="232" t="str">
        <f>CN142</f>
        <v>4Q37</v>
      </c>
      <c r="CO275" s="232">
        <f>CO142</f>
        <v>2037</v>
      </c>
      <c r="CP275" s="232" t="str">
        <f>CP142</f>
        <v>1Q38</v>
      </c>
      <c r="CQ275" s="232" t="str">
        <f>CQ142</f>
        <v>2Q38</v>
      </c>
      <c r="CR275" s="232" t="str">
        <f>CR142</f>
        <v>3Q38</v>
      </c>
      <c r="CS275" s="232" t="str">
        <f>CS142</f>
        <v>4Q38</v>
      </c>
      <c r="CT275" s="232">
        <f>CT142</f>
        <v>2038</v>
      </c>
      <c r="CU275" s="232" t="str">
        <f>CU142</f>
        <v>1Q39</v>
      </c>
      <c r="CV275" s="232" t="str">
        <f>CV142</f>
        <v>2Q39</v>
      </c>
      <c r="CW275" s="232" t="str">
        <f>CW142</f>
        <v>3Q39</v>
      </c>
      <c r="CX275" s="232" t="str">
        <f>CX142</f>
        <v>4Q39</v>
      </c>
      <c r="CY275" s="232">
        <f>CY142</f>
        <v>2039</v>
      </c>
    </row>
    <row r="276">
      <c r="C276" s="5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</row>
    <row r="277">
      <c r="C277" s="29" t="inlineStr">
        <is>
          <t>Net Income</t>
        </is>
      </c>
      <c r="D277" s="3" t="n"/>
      <c r="E277" s="3">
        <f>E137</f>
        <v>24.361</v>
      </c>
      <c r="F277" s="3">
        <f>F137</f>
        <v>0.0470000000000044</v>
      </c>
      <c r="G277" s="3">
        <f>G137</f>
        <v>-10.854</v>
      </c>
      <c r="H277" s="3">
        <f>SUM(D277:G277)</f>
        <v>13.554</v>
      </c>
      <c r="I277" s="3">
        <f>I137</f>
        <v>-46.579</v>
      </c>
      <c r="J277" s="3">
        <f>J137</f>
        <v>5.411</v>
      </c>
      <c r="K277" s="3">
        <f>K137</f>
        <v>-2.20799999999999</v>
      </c>
      <c r="L277" s="3">
        <f>L137</f>
        <v>-18.652</v>
      </c>
      <c r="M277" s="3">
        <f>SUM(I277:L277)</f>
        <v>-62.028</v>
      </c>
      <c r="N277" s="3">
        <f>N137</f>
        <v>-20.147</v>
      </c>
      <c r="O277" s="3">
        <f>O137</f>
        <v>-11.97</v>
      </c>
      <c r="P277" s="3">
        <f>P137</f>
        <v>-31.093</v>
      </c>
      <c r="Q277" s="3">
        <f>Q137</f>
        <v>-85.796</v>
      </c>
      <c r="R277" s="3">
        <f>SUM(N277:Q277)</f>
        <v>-149.006</v>
      </c>
      <c r="S277" s="3">
        <f>S137</f>
        <v>-45.073</v>
      </c>
      <c r="T277" s="3">
        <f>T137</f>
        <v>-5.14900000000002</v>
      </c>
      <c r="U277" s="3">
        <f>U137</f>
        <v>1.85100000000002</v>
      </c>
      <c r="V277" s="3">
        <f>V137</f>
        <v>88.486</v>
      </c>
      <c r="W277" s="3">
        <f>SUM(S277:V277)</f>
        <v>40.115</v>
      </c>
      <c r="X277" s="3">
        <f>X137</f>
        <v>25.543</v>
      </c>
      <c r="Y277" s="3">
        <f>Y137</f>
        <v>8.80599999999999</v>
      </c>
      <c r="Z277" s="3">
        <f>Z137</f>
        <v>37.084</v>
      </c>
      <c r="AA277" s="3">
        <f>AA137</f>
        <v>-10.536</v>
      </c>
      <c r="AB277" s="3">
        <f>SUM(X277:AA277)</f>
        <v>60.897</v>
      </c>
      <c r="AC277" s="3">
        <f>AC137</f>
        <v>-6.32199999999999</v>
      </c>
      <c r="AD277" s="3">
        <f>AD137</f>
        <v>23.846</v>
      </c>
      <c r="AE277" s="3">
        <f>AE137</f>
        <v>23.288</v>
      </c>
      <c r="AF277" s="3">
        <f>AF137</f>
        <v>19.33</v>
      </c>
      <c r="AG277" s="3">
        <f>SUM(AC277:AF277)</f>
        <v>60.142</v>
      </c>
      <c r="AH277" s="3">
        <f>AH137</f>
        <v>18.784</v>
      </c>
      <c r="AI277" s="3">
        <f>AI137</f>
        <v>-11.147</v>
      </c>
      <c r="AJ277" s="3">
        <f>AJ137</f>
        <v>22.922</v>
      </c>
      <c r="AK277" s="3">
        <f>AK137</f>
        <v>31.114</v>
      </c>
      <c r="AL277" s="3">
        <f>SUM(AH277:AK277)</f>
        <v>61.673</v>
      </c>
      <c r="AM277" s="3">
        <f>AM137</f>
        <v>30.871</v>
      </c>
      <c r="AN277" s="3">
        <f>AN137</f>
        <v>100.368</v>
      </c>
      <c r="AO277" s="3">
        <f>AO137</f>
        <v>32.14</v>
      </c>
      <c r="AP277" s="3">
        <f>AP137</f>
        <v>118.188</v>
      </c>
      <c r="AQ277" s="3">
        <f>SUM(AM277:AP277)</f>
        <v>281.567</v>
      </c>
      <c r="AR277" s="3">
        <f>AR137</f>
        <v>117.945</v>
      </c>
      <c r="AS277" s="3">
        <f>AS137</f>
        <v>292.952</v>
      </c>
      <c r="AT277" s="3">
        <f>AT137</f>
        <v>119.214</v>
      </c>
      <c r="AU277" s="3">
        <f>AU137</f>
        <v>310.772</v>
      </c>
      <c r="AV277" s="3">
        <f>SUM(AR277:AU277)</f>
        <v>840.883</v>
      </c>
      <c r="AW277" s="3">
        <f>AW137</f>
        <v>310.529</v>
      </c>
      <c r="AX277" s="3">
        <f>AX137</f>
        <v>852.268</v>
      </c>
      <c r="AY277" s="3">
        <f>AY137</f>
        <v>311.798</v>
      </c>
      <c r="AZ277" s="3">
        <f>AZ137</f>
        <v>870.088</v>
      </c>
      <c r="BA277" s="3">
        <f>SUM(AW277:AZ277)</f>
        <v>2344.683</v>
      </c>
      <c r="BB277" s="3">
        <f>BB137</f>
        <v>869.845</v>
      </c>
      <c r="BC277" s="3">
        <f>BC137</f>
        <v>2356.068</v>
      </c>
      <c r="BD277" s="3">
        <f>BD137</f>
        <v>871.114</v>
      </c>
      <c r="BE277" s="3">
        <f>BE137</f>
        <v>2373.888</v>
      </c>
      <c r="BF277" s="3">
        <f>SUM(BB277:BE277)</f>
        <v>6470.915</v>
      </c>
      <c r="BG277" s="3">
        <f>BG137</f>
        <v>2373.645</v>
      </c>
      <c r="BH277" s="3">
        <f>BH137</f>
        <v>6482.3</v>
      </c>
      <c r="BI277" s="3">
        <f>BI137</f>
        <v>2374.914</v>
      </c>
      <c r="BJ277" s="3">
        <f>BJ137</f>
        <v>6500.12</v>
      </c>
      <c r="BK277" s="3">
        <f>SUM(BG277:BJ277)</f>
        <v>17730.979</v>
      </c>
      <c r="BL277" s="3">
        <f>BL137</f>
        <v>6499.877</v>
      </c>
      <c r="BM277" s="3">
        <f>BM137</f>
        <v>17742.364</v>
      </c>
      <c r="BN277" s="3">
        <f>BN137</f>
        <v>6501.146</v>
      </c>
      <c r="BO277" s="3">
        <f>BO137</f>
        <v>17760.184</v>
      </c>
      <c r="BP277" s="3">
        <f>SUM(BL277:BO277)</f>
        <v>48503.571</v>
      </c>
      <c r="BQ277" s="3">
        <f>BQ137</f>
        <v>17759.941</v>
      </c>
      <c r="BR277" s="3">
        <f>BR137</f>
        <v>48514.956</v>
      </c>
      <c r="BS277" s="3">
        <f>BS137</f>
        <v>17761.21</v>
      </c>
      <c r="BT277" s="3">
        <f>BT137</f>
        <v>48532.776</v>
      </c>
      <c r="BU277" s="3">
        <f>SUM(BQ277:BT277)</f>
        <v>132568.883</v>
      </c>
      <c r="BV277" s="3">
        <f>BV137</f>
        <v>48532.533</v>
      </c>
      <c r="BW277" s="3">
        <f>BW137</f>
        <v>132580.268</v>
      </c>
      <c r="BX277" s="3">
        <f>BX137</f>
        <v>48533.802</v>
      </c>
      <c r="BY277" s="3">
        <f>BY137</f>
        <v>132598.088</v>
      </c>
      <c r="BZ277" s="3">
        <f>SUM(BV277:BY277)</f>
        <v>362244.691</v>
      </c>
      <c r="CA277" s="3">
        <f>CA137</f>
        <v>132597.845</v>
      </c>
      <c r="CB277" s="3">
        <f>CB137</f>
        <v>362256.076</v>
      </c>
      <c r="CC277" s="3">
        <f>CC137</f>
        <v>132599.114</v>
      </c>
      <c r="CD277" s="3">
        <f>CD137</f>
        <v>362273.896</v>
      </c>
      <c r="CE277" s="3">
        <f>SUM(CA277:CD277)</f>
        <v>989726.931</v>
      </c>
      <c r="CF277" s="3">
        <f>CF137</f>
        <v>362273.653</v>
      </c>
      <c r="CG277" s="3">
        <f>CG137</f>
        <v>989738.316</v>
      </c>
      <c r="CH277" s="3">
        <f>CH137</f>
        <v>362274.922</v>
      </c>
      <c r="CI277" s="3">
        <f>CI137</f>
        <v>989756.136</v>
      </c>
      <c r="CJ277" s="3">
        <f>SUM(CF277:CI277)</f>
        <v>2704043.027</v>
      </c>
      <c r="CK277" s="3">
        <f>CK137</f>
        <v>989755.893</v>
      </c>
      <c r="CL277" s="3">
        <f>CL137</f>
        <v>2704054.412</v>
      </c>
      <c r="CM277" s="3">
        <f>CM137</f>
        <v>989757.162</v>
      </c>
      <c r="CN277" s="3">
        <f>CN137</f>
        <v>2704072.232</v>
      </c>
      <c r="CO277" s="3">
        <f>SUM(CK277:CN277)</f>
        <v>7387639.699</v>
      </c>
      <c r="CP277" s="3">
        <f>CP137</f>
        <v>2704071.989</v>
      </c>
      <c r="CQ277" s="3">
        <f>CQ137</f>
        <v>7387651.084</v>
      </c>
      <c r="CR277" s="3">
        <f>CR137</f>
        <v>2704073.258</v>
      </c>
      <c r="CS277" s="3">
        <f>CS137</f>
        <v>7387668.904</v>
      </c>
      <c r="CT277" s="3">
        <f>SUM(CP277:CS277)</f>
        <v>20183465.235</v>
      </c>
      <c r="CU277" s="3">
        <f>CU137</f>
        <v>7387668.661</v>
      </c>
      <c r="CV277" s="3">
        <f>CV137</f>
        <v>20183476.62</v>
      </c>
      <c r="CW277" s="3">
        <f>CW137</f>
        <v>7387669.93</v>
      </c>
      <c r="CX277" s="3">
        <f>CX137</f>
        <v>20183494.44</v>
      </c>
      <c r="CY277" s="3">
        <f>SUM(CU277:CX277)</f>
        <v>55142309.651</v>
      </c>
    </row>
    <row r="278">
      <c r="C278" s="29" t="inlineStr">
        <is>
          <t>Depreciation &amp; amortization</t>
        </is>
      </c>
      <c r="D278" s="3" t="n"/>
      <c r="E278" s="3">
        <f>-E70</f>
        <v>14.679</v>
      </c>
      <c r="F278" s="3">
        <f>-F70</f>
        <v>10.102</v>
      </c>
      <c r="G278" s="3">
        <f>-G70</f>
        <v>13.165</v>
      </c>
      <c r="H278" s="3">
        <f>SUM(D278:G278)</f>
        <v>37.946</v>
      </c>
      <c r="I278" s="3">
        <f>-I70</f>
        <v>10.679</v>
      </c>
      <c r="J278" s="3">
        <f>-J70</f>
        <v>11.878</v>
      </c>
      <c r="K278" s="3">
        <f>-K70</f>
        <v>13.134</v>
      </c>
      <c r="L278" s="3">
        <f>-L70</f>
        <v>17.704</v>
      </c>
      <c r="M278" s="3">
        <f>SUM(I278:L278)</f>
        <v>53.395</v>
      </c>
      <c r="N278" s="3">
        <f>-N70</f>
        <v>15.688</v>
      </c>
      <c r="O278" s="3">
        <f>-O70</f>
        <v>30.096</v>
      </c>
      <c r="P278" s="3">
        <f>-P70</f>
        <v>48.076</v>
      </c>
      <c r="Q278" s="3">
        <f>-Q70</f>
        <v>41.858</v>
      </c>
      <c r="R278" s="3">
        <f>SUM(N278:Q278)</f>
        <v>135.718</v>
      </c>
      <c r="S278" s="3">
        <f>-S70</f>
        <v>60.225</v>
      </c>
      <c r="T278" s="3">
        <f>-T70</f>
        <v>35.636</v>
      </c>
      <c r="U278" s="3">
        <f>-U70</f>
        <v>37.234</v>
      </c>
      <c r="V278" s="3">
        <f>-V70</f>
        <v>32.565</v>
      </c>
      <c r="W278" s="3">
        <f>SUM(S278:V278)</f>
        <v>165.66</v>
      </c>
      <c r="X278" s="3">
        <f>-X70</f>
        <v>35.203</v>
      </c>
      <c r="Y278" s="3">
        <f>-Y70</f>
        <v>32.275</v>
      </c>
      <c r="Z278" s="3">
        <f>-Z70</f>
        <v>39.87</v>
      </c>
      <c r="AA278" s="3">
        <f>-AA70</f>
        <v>48.619</v>
      </c>
      <c r="AB278" s="3">
        <f>SUM(X278:AA278)</f>
        <v>155.967</v>
      </c>
      <c r="AC278" s="3">
        <f>-AC70</f>
        <v>48.663</v>
      </c>
      <c r="AD278" s="3">
        <f>-AD70</f>
        <v>42.936</v>
      </c>
      <c r="AE278" s="3">
        <f>-AE70</f>
        <v>44.612</v>
      </c>
      <c r="AF278" s="3">
        <f>-AF70</f>
        <v>44.967</v>
      </c>
      <c r="AG278" s="3">
        <f>SUM(AC278:AF278)</f>
        <v>181.178</v>
      </c>
      <c r="AH278" s="3">
        <f>-AH70</f>
        <v>51.389</v>
      </c>
      <c r="AI278" s="3">
        <f>-AI70</f>
        <v>57.892</v>
      </c>
      <c r="AJ278" s="3">
        <f>-AJ70</f>
        <v>0</v>
      </c>
      <c r="AK278" s="3">
        <f>-AK70</f>
        <v>0</v>
      </c>
      <c r="AL278" s="3">
        <f>SUM(AH278:AK278)</f>
        <v>109.281</v>
      </c>
      <c r="AM278" s="3">
        <f>-AM70</f>
        <v>0</v>
      </c>
      <c r="AN278" s="3">
        <f>-AN70</f>
        <v>0</v>
      </c>
      <c r="AO278" s="3">
        <f>-AO70</f>
        <v>0</v>
      </c>
      <c r="AP278" s="3">
        <f>-AP70</f>
        <v>0</v>
      </c>
      <c r="AQ278" s="3">
        <f>SUM(AM278:AP278)</f>
        <v>0</v>
      </c>
      <c r="AR278" s="3">
        <f>-AR70</f>
        <v>0</v>
      </c>
      <c r="AS278" s="3">
        <f>-AS70</f>
        <v>0</v>
      </c>
      <c r="AT278" s="3">
        <f>-AT70</f>
        <v>0</v>
      </c>
      <c r="AU278" s="3">
        <f>-AU70</f>
        <v>0</v>
      </c>
      <c r="AV278" s="3">
        <f>SUM(AR278:AU278)</f>
        <v>0</v>
      </c>
      <c r="AW278" s="3">
        <f>-AW70</f>
        <v>0</v>
      </c>
      <c r="AX278" s="3">
        <f>-AX70</f>
        <v>0</v>
      </c>
      <c r="AY278" s="3">
        <f>-AY70</f>
        <v>0</v>
      </c>
      <c r="AZ278" s="3">
        <f>-AZ70</f>
        <v>0</v>
      </c>
      <c r="BA278" s="3">
        <f>SUM(AW278:AZ278)</f>
        <v>0</v>
      </c>
      <c r="BB278" s="3">
        <f>-BB70</f>
        <v>0</v>
      </c>
      <c r="BC278" s="3">
        <f>-BC70</f>
        <v>0</v>
      </c>
      <c r="BD278" s="3">
        <f>-BD70</f>
        <v>0</v>
      </c>
      <c r="BE278" s="3">
        <f>-BE70</f>
        <v>0</v>
      </c>
      <c r="BF278" s="3">
        <f>SUM(BB278:BE278)</f>
        <v>0</v>
      </c>
      <c r="BG278" s="3">
        <f>-BG70</f>
        <v>0</v>
      </c>
      <c r="BH278" s="3">
        <f>-BH70</f>
        <v>0</v>
      </c>
      <c r="BI278" s="3">
        <f>-BI70</f>
        <v>0</v>
      </c>
      <c r="BJ278" s="3">
        <f>-BJ70</f>
        <v>0</v>
      </c>
      <c r="BK278" s="3">
        <f>SUM(BG278:BJ278)</f>
        <v>0</v>
      </c>
      <c r="BL278" s="3">
        <f>-BL70</f>
        <v>0</v>
      </c>
      <c r="BM278" s="3">
        <f>-BM70</f>
        <v>0</v>
      </c>
      <c r="BN278" s="3">
        <f>-BN70</f>
        <v>0</v>
      </c>
      <c r="BO278" s="3">
        <f>-BO70</f>
        <v>0</v>
      </c>
      <c r="BP278" s="3">
        <f>SUM(BL278:BO278)</f>
        <v>0</v>
      </c>
      <c r="BQ278" s="3">
        <f>-BQ70</f>
        <v>0</v>
      </c>
      <c r="BR278" s="3">
        <f>-BR70</f>
        <v>0</v>
      </c>
      <c r="BS278" s="3">
        <f>-BS70</f>
        <v>0</v>
      </c>
      <c r="BT278" s="3">
        <f>-BT70</f>
        <v>0</v>
      </c>
      <c r="BU278" s="3">
        <f>SUM(BQ278:BT278)</f>
        <v>0</v>
      </c>
      <c r="BV278" s="3">
        <f>-BV70</f>
        <v>0</v>
      </c>
      <c r="BW278" s="3">
        <f>-BW70</f>
        <v>0</v>
      </c>
      <c r="BX278" s="3">
        <f>-BX70</f>
        <v>0</v>
      </c>
      <c r="BY278" s="3">
        <f>-BY70</f>
        <v>0</v>
      </c>
      <c r="BZ278" s="3">
        <f>SUM(BV278:BY278)</f>
        <v>0</v>
      </c>
      <c r="CA278" s="3">
        <f>-CA70</f>
        <v>0</v>
      </c>
      <c r="CB278" s="3">
        <f>-CB70</f>
        <v>0</v>
      </c>
      <c r="CC278" s="3">
        <f>-CC70</f>
        <v>0</v>
      </c>
      <c r="CD278" s="3">
        <f>-CD70</f>
        <v>0</v>
      </c>
      <c r="CE278" s="3">
        <f>SUM(CA278:CD278)</f>
        <v>0</v>
      </c>
      <c r="CF278" s="3">
        <f>-CF70</f>
        <v>0</v>
      </c>
      <c r="CG278" s="3">
        <f>-CG70</f>
        <v>0</v>
      </c>
      <c r="CH278" s="3">
        <f>-CH70</f>
        <v>0</v>
      </c>
      <c r="CI278" s="3">
        <f>-CI70</f>
        <v>0</v>
      </c>
      <c r="CJ278" s="3">
        <f>SUM(CF278:CI278)</f>
        <v>0</v>
      </c>
      <c r="CK278" s="3">
        <f>-CK70</f>
        <v>0</v>
      </c>
      <c r="CL278" s="3">
        <f>-CL70</f>
        <v>0</v>
      </c>
      <c r="CM278" s="3">
        <f>-CM70</f>
        <v>0</v>
      </c>
      <c r="CN278" s="3">
        <f>-CN70</f>
        <v>0</v>
      </c>
      <c r="CO278" s="3">
        <f>SUM(CK278:CN278)</f>
        <v>0</v>
      </c>
      <c r="CP278" s="3">
        <f>-CP70</f>
        <v>0</v>
      </c>
      <c r="CQ278" s="3">
        <f>-CQ70</f>
        <v>0</v>
      </c>
      <c r="CR278" s="3">
        <f>-CR70</f>
        <v>0</v>
      </c>
      <c r="CS278" s="3">
        <f>-CS70</f>
        <v>0</v>
      </c>
      <c r="CT278" s="3">
        <f>SUM(CP278:CS278)</f>
        <v>0</v>
      </c>
      <c r="CU278" s="3">
        <f>-CU70</f>
        <v>0</v>
      </c>
      <c r="CV278" s="3">
        <f>-CV70</f>
        <v>0</v>
      </c>
      <c r="CW278" s="3">
        <f>-CW70</f>
        <v>0</v>
      </c>
      <c r="CX278" s="3">
        <f>-CX70</f>
        <v>0</v>
      </c>
      <c r="CY278" s="3">
        <f>SUM(CU278:CX278)</f>
        <v>0</v>
      </c>
    </row>
    <row r="279">
      <c r="C279" s="29" t="inlineStr">
        <is>
          <t xml:space="preserve">Changes in working capital </t>
        </is>
      </c>
      <c r="D279" s="3" t="n"/>
      <c r="E279" s="3">
        <f>SUM(E280:E289)</f>
        <v>8.701</v>
      </c>
      <c r="F279" s="3">
        <f>SUM(F280:F289)</f>
        <v>4.137</v>
      </c>
      <c r="G279" s="3">
        <f>SUM(G280:G289)</f>
        <v>-24.103</v>
      </c>
      <c r="H279" s="3">
        <f>SUM(D279:G279)</f>
        <v>-11.265</v>
      </c>
      <c r="I279" s="3">
        <f>SUM(I280:I289)</f>
        <v>16.305</v>
      </c>
      <c r="J279" s="3">
        <f>SUM(J280:J289)</f>
        <v>-17.699</v>
      </c>
      <c r="K279" s="3">
        <f>SUM(K280:K289)</f>
        <v>-27.406</v>
      </c>
      <c r="L279" s="3">
        <f>SUM(L280:L289)</f>
        <v>-22.537</v>
      </c>
      <c r="M279" s="3">
        <f>SUM(I279:L279)</f>
        <v>-51.337</v>
      </c>
      <c r="N279" s="3">
        <f>SUM(N280:N289)</f>
        <v>12.219</v>
      </c>
      <c r="O279" s="3">
        <f>SUM(O280:O289)</f>
        <v>-49.982</v>
      </c>
      <c r="P279" s="3">
        <f>SUM(P280:P289)</f>
        <v>-5.48800000000003</v>
      </c>
      <c r="Q279" s="3">
        <f>SUM(Q280:Q289)</f>
        <v>24.454</v>
      </c>
      <c r="R279" s="3">
        <f>SUM(N279:Q279)</f>
        <v>-18.797</v>
      </c>
      <c r="S279" s="3">
        <f>SUM(S280:S289)</f>
        <v>-29.9</v>
      </c>
      <c r="T279" s="3">
        <f>SUM(T280:T289)</f>
        <v>-4.88000000000001</v>
      </c>
      <c r="U279" s="3">
        <f>SUM(U280:U289)</f>
        <v>-46.878</v>
      </c>
      <c r="V279" s="3">
        <f>SUM(V280:V289)</f>
        <v>42.009</v>
      </c>
      <c r="W279" s="3">
        <f>SUM(S279:V279)</f>
        <v>-39.649</v>
      </c>
      <c r="X279" s="3">
        <f>SUM(X280:X289)</f>
        <v>-39.366</v>
      </c>
      <c r="Y279" s="3">
        <f>SUM(Y280:Y289)</f>
        <v>4.718</v>
      </c>
      <c r="Z279" s="3">
        <f>SUM(Z280:Z289)</f>
        <v>-4.13000000000001</v>
      </c>
      <c r="AA279" s="3">
        <f>SUM(AA280:AA289)</f>
        <v>47.336</v>
      </c>
      <c r="AB279" s="3">
        <f>SUM(X279:AA279)</f>
        <v>8.55799999999999</v>
      </c>
      <c r="AC279" s="3">
        <f>SUM(AC280:AC289)</f>
        <v>-30.29</v>
      </c>
      <c r="AD279" s="3">
        <f>SUM(AD280:AD289)</f>
        <v>51.251</v>
      </c>
      <c r="AE279" s="3">
        <f>SUM(AE280:AE289)</f>
        <v>-78.002</v>
      </c>
      <c r="AF279" s="3">
        <f>SUM(AF280:AF289)</f>
        <v>45.714</v>
      </c>
      <c r="AG279" s="3">
        <f>SUM(AC279:AF279)</f>
        <v>-11.327</v>
      </c>
      <c r="AH279" s="3">
        <f>SUM(AH280:AH289)</f>
        <v>-35.175</v>
      </c>
      <c r="AI279" s="3">
        <f>SUM(AI280:AI289)</f>
        <v>280.032</v>
      </c>
      <c r="AJ279" s="3">
        <f>SUM(AJ280:AJ289)</f>
        <v>128.481</v>
      </c>
      <c r="AK279" s="3">
        <f>SUM(AK280:AK289)</f>
        <v>0</v>
      </c>
      <c r="AL279" s="3">
        <f>SUM(AH279:AK279)</f>
        <v>373.338</v>
      </c>
      <c r="AM279" s="3" t="e">
        <f>SUM(AM280:AM289)</f>
        <v>#DIV/0!</v>
      </c>
      <c r="AN279" s="3" t="e">
        <f>SUM(AN280:AN289)</f>
        <v>#DIV/0!</v>
      </c>
      <c r="AO279" s="3" t="e">
        <f>SUM(AO280:AO289)</f>
        <v>#DIV/0!</v>
      </c>
      <c r="AP279" s="3" t="e">
        <f>SUM(AP280:AP289)</f>
        <v>#DIV/0!</v>
      </c>
      <c r="AQ279" s="3" t="e">
        <f>SUM(AM279:AP279)</f>
        <v>#DIV/0!</v>
      </c>
      <c r="AR279" s="3" t="e">
        <f>SUM(AR280:AR289)</f>
        <v>#DIV/0!</v>
      </c>
      <c r="AS279" s="3" t="e">
        <f>SUM(AS280:AS289)</f>
        <v>#DIV/0!</v>
      </c>
      <c r="AT279" s="3" t="e">
        <f>SUM(AT280:AT289)</f>
        <v>#DIV/0!</v>
      </c>
      <c r="AU279" s="3" t="e">
        <f>SUM(AU280:AU289)</f>
        <v>#DIV/0!</v>
      </c>
      <c r="AV279" s="3" t="e">
        <f>SUM(AR279:AU279)</f>
        <v>#DIV/0!</v>
      </c>
      <c r="AW279" s="3" t="e">
        <f>SUM(AW280:AW289)</f>
        <v>#DIV/0!</v>
      </c>
      <c r="AX279" s="3" t="e">
        <f>SUM(AX280:AX289)</f>
        <v>#DIV/0!</v>
      </c>
      <c r="AY279" s="3" t="e">
        <f>SUM(AY280:AY289)</f>
        <v>#DIV/0!</v>
      </c>
      <c r="AZ279" s="3" t="e">
        <f>SUM(AZ280:AZ289)</f>
        <v>#DIV/0!</v>
      </c>
      <c r="BA279" s="3" t="e">
        <f>SUM(AW279:AZ279)</f>
        <v>#DIV/0!</v>
      </c>
      <c r="BB279" s="3" t="e">
        <f>SUM(BB280:BB289)</f>
        <v>#DIV/0!</v>
      </c>
      <c r="BC279" s="3" t="e">
        <f>SUM(BC280:BC289)</f>
        <v>#DIV/0!</v>
      </c>
      <c r="BD279" s="3" t="e">
        <f>SUM(BD280:BD289)</f>
        <v>#DIV/0!</v>
      </c>
      <c r="BE279" s="3" t="e">
        <f>SUM(BE280:BE289)</f>
        <v>#DIV/0!</v>
      </c>
      <c r="BF279" s="3" t="e">
        <f>SUM(BB279:BE279)</f>
        <v>#DIV/0!</v>
      </c>
      <c r="BG279" s="3" t="e">
        <f>SUM(BG280:BG289)</f>
        <v>#DIV/0!</v>
      </c>
      <c r="BH279" s="3" t="e">
        <f>SUM(BH280:BH289)</f>
        <v>#DIV/0!</v>
      </c>
      <c r="BI279" s="3" t="e">
        <f>SUM(BI280:BI289)</f>
        <v>#DIV/0!</v>
      </c>
      <c r="BJ279" s="3" t="e">
        <f>SUM(BJ280:BJ289)</f>
        <v>#DIV/0!</v>
      </c>
      <c r="BK279" s="3" t="e">
        <f>SUM(BG279:BJ279)</f>
        <v>#DIV/0!</v>
      </c>
      <c r="BL279" s="3" t="e">
        <f>SUM(BL280:BL289)</f>
        <v>#DIV/0!</v>
      </c>
      <c r="BM279" s="3" t="e">
        <f>SUM(BM280:BM289)</f>
        <v>#DIV/0!</v>
      </c>
      <c r="BN279" s="3" t="e">
        <f>SUM(BN280:BN289)</f>
        <v>#DIV/0!</v>
      </c>
      <c r="BO279" s="3" t="e">
        <f>SUM(BO280:BO289)</f>
        <v>#DIV/0!</v>
      </c>
      <c r="BP279" s="3" t="e">
        <f>SUM(BL279:BO279)</f>
        <v>#DIV/0!</v>
      </c>
      <c r="BQ279" s="3" t="e">
        <f>SUM(BQ280:BQ289)</f>
        <v>#DIV/0!</v>
      </c>
      <c r="BR279" s="3" t="e">
        <f>SUM(BR280:BR289)</f>
        <v>#DIV/0!</v>
      </c>
      <c r="BS279" s="3" t="e">
        <f>SUM(BS280:BS289)</f>
        <v>#DIV/0!</v>
      </c>
      <c r="BT279" s="3" t="e">
        <f>SUM(BT280:BT289)</f>
        <v>#DIV/0!</v>
      </c>
      <c r="BU279" s="3" t="e">
        <f>SUM(BQ279:BT279)</f>
        <v>#DIV/0!</v>
      </c>
      <c r="BV279" s="3" t="e">
        <f>SUM(BV280:BV289)</f>
        <v>#DIV/0!</v>
      </c>
      <c r="BW279" s="3" t="e">
        <f>SUM(BW280:BW289)</f>
        <v>#DIV/0!</v>
      </c>
      <c r="BX279" s="3" t="e">
        <f>SUM(BX280:BX289)</f>
        <v>#DIV/0!</v>
      </c>
      <c r="BY279" s="3" t="e">
        <f>SUM(BY280:BY289)</f>
        <v>#DIV/0!</v>
      </c>
      <c r="BZ279" s="3" t="e">
        <f>SUM(BV279:BY279)</f>
        <v>#DIV/0!</v>
      </c>
      <c r="CA279" s="3" t="e">
        <f>SUM(CA280:CA289)</f>
        <v>#DIV/0!</v>
      </c>
      <c r="CB279" s="3" t="e">
        <f>SUM(CB280:CB289)</f>
        <v>#DIV/0!</v>
      </c>
      <c r="CC279" s="3" t="e">
        <f>SUM(CC280:CC289)</f>
        <v>#DIV/0!</v>
      </c>
      <c r="CD279" s="3" t="e">
        <f>SUM(CD280:CD289)</f>
        <v>#DIV/0!</v>
      </c>
      <c r="CE279" s="3" t="e">
        <f>SUM(CA279:CD279)</f>
        <v>#DIV/0!</v>
      </c>
      <c r="CF279" s="3" t="e">
        <f>SUM(CF280:CF289)</f>
        <v>#DIV/0!</v>
      </c>
      <c r="CG279" s="3" t="e">
        <f>SUM(CG280:CG289)</f>
        <v>#DIV/0!</v>
      </c>
      <c r="CH279" s="3" t="e">
        <f>SUM(CH280:CH289)</f>
        <v>#DIV/0!</v>
      </c>
      <c r="CI279" s="3" t="e">
        <f>SUM(CI280:CI289)</f>
        <v>#DIV/0!</v>
      </c>
      <c r="CJ279" s="3" t="e">
        <f>SUM(CF279:CI279)</f>
        <v>#DIV/0!</v>
      </c>
      <c r="CK279" s="3" t="e">
        <f>SUM(CK280:CK289)</f>
        <v>#DIV/0!</v>
      </c>
      <c r="CL279" s="3" t="e">
        <f>SUM(CL280:CL289)</f>
        <v>#DIV/0!</v>
      </c>
      <c r="CM279" s="3" t="e">
        <f>SUM(CM280:CM289)</f>
        <v>#DIV/0!</v>
      </c>
      <c r="CN279" s="3" t="e">
        <f>SUM(CN280:CN289)</f>
        <v>#DIV/0!</v>
      </c>
      <c r="CO279" s="3" t="e">
        <f>SUM(CK279:CN279)</f>
        <v>#DIV/0!</v>
      </c>
      <c r="CP279" s="3" t="e">
        <f>SUM(CP280:CP289)</f>
        <v>#DIV/0!</v>
      </c>
      <c r="CQ279" s="3" t="e">
        <f>SUM(CQ280:CQ289)</f>
        <v>#DIV/0!</v>
      </c>
      <c r="CR279" s="3" t="e">
        <f>SUM(CR280:CR289)</f>
        <v>#DIV/0!</v>
      </c>
      <c r="CS279" s="3" t="e">
        <f>SUM(CS280:CS289)</f>
        <v>#DIV/0!</v>
      </c>
      <c r="CT279" s="3" t="e">
        <f>SUM(CP279:CS279)</f>
        <v>#DIV/0!</v>
      </c>
      <c r="CU279" s="3" t="e">
        <f>SUM(CU280:CU289)</f>
        <v>#DIV/0!</v>
      </c>
      <c r="CV279" s="3" t="e">
        <f>SUM(CV280:CV289)</f>
        <v>#DIV/0!</v>
      </c>
      <c r="CW279" s="3" t="e">
        <f>SUM(CW280:CW289)</f>
        <v>#DIV/0!</v>
      </c>
      <c r="CX279" s="3" t="e">
        <f>SUM(CX280:CX289)</f>
        <v>#DIV/0!</v>
      </c>
      <c r="CY279" s="3" t="e">
        <f>SUM(CU279:CX279)</f>
        <v>#DIV/0!</v>
      </c>
    </row>
    <row r="280" hidden="1" outlineLevel="1">
      <c r="C280" s="29" t="inlineStr">
        <is>
          <t>Accounts receivable</t>
        </is>
      </c>
      <c r="D280" s="3" t="n"/>
      <c r="E280" s="3">
        <f>(E145-D145)*-1</f>
        <v>-18.21</v>
      </c>
      <c r="F280" s="3">
        <f>(F145-E145)*-1</f>
        <v>-12.52</v>
      </c>
      <c r="G280" s="3">
        <f>(G145-F145)*-1</f>
        <v>2.371</v>
      </c>
      <c r="H280" s="3">
        <f>SUM(D280:G280)</f>
        <v>-28.359</v>
      </c>
      <c r="I280" s="3">
        <f>(I145-H145)*-1</f>
        <v>-17.509</v>
      </c>
      <c r="J280" s="3">
        <f>(J145-I145)*-1</f>
        <v>-18.175</v>
      </c>
      <c r="K280" s="3">
        <f>(K145-J145)*-1</f>
        <v>16.811</v>
      </c>
      <c r="L280" s="3">
        <f>(L145-K145)*-1</f>
        <v>-32.346</v>
      </c>
      <c r="M280" s="3">
        <f>SUM(I280:L280)</f>
        <v>-51.219</v>
      </c>
      <c r="N280" s="3">
        <f>(N145-M145)*-1</f>
        <v>-3.31100000000001</v>
      </c>
      <c r="O280" s="3">
        <f>(O145-N145)*-1</f>
        <v>-82.683</v>
      </c>
      <c r="P280" s="3">
        <f>(P145-O145)*-1</f>
        <v>-34.778</v>
      </c>
      <c r="Q280" s="3">
        <f>(Q145-P145)*-1</f>
        <v>25.237</v>
      </c>
      <c r="R280" s="3">
        <f>SUM(N280:Q280)</f>
        <v>-95.535</v>
      </c>
      <c r="S280" s="3">
        <f>(S145-R145)*-1</f>
        <v>16.128</v>
      </c>
      <c r="T280" s="3">
        <f>(T145-S145)*-1</f>
        <v>26.529</v>
      </c>
      <c r="U280" s="3">
        <f>(U145-T145)*-1</f>
        <v>-20.265</v>
      </c>
      <c r="V280" s="3">
        <f>(V145-U145)*-1</f>
        <v>52.337</v>
      </c>
      <c r="W280" s="3">
        <f>SUM(S280:V280)</f>
        <v>74.729</v>
      </c>
      <c r="X280" s="3">
        <f>(X145-W145)*-1</f>
        <v>-23.322</v>
      </c>
      <c r="Y280" s="3">
        <f>(Y145-X145)*-1</f>
        <v>-2.255</v>
      </c>
      <c r="Z280" s="3">
        <f>(Z145-Y145)*-1</f>
        <v>-2.376</v>
      </c>
      <c r="AA280" s="3">
        <f>(AA145-Z145)*-1</f>
        <v>17.833</v>
      </c>
      <c r="AB280" s="3">
        <f>SUM(X280:AA280)</f>
        <v>-10.12</v>
      </c>
      <c r="AC280" s="3">
        <f>(AC145-AB145)*-1</f>
        <v>-16.487</v>
      </c>
      <c r="AD280" s="3">
        <f>(AD145-AC145)*-1</f>
        <v>-18.674</v>
      </c>
      <c r="AE280" s="3">
        <f>(AE145-AD145)*-1</f>
        <v>-32.048</v>
      </c>
      <c r="AF280" s="3">
        <f>(AF145-AE145)*-1</f>
        <v>-20.197</v>
      </c>
      <c r="AG280" s="3">
        <f>SUM(AC280:AF280)</f>
        <v>-87.406</v>
      </c>
      <c r="AH280" s="3">
        <f>(AH145-AG145)*-1</f>
        <v>-29.977</v>
      </c>
      <c r="AI280" s="3">
        <f>(AI145-AH145)*-1</f>
        <v>-511.215</v>
      </c>
      <c r="AJ280" s="3">
        <f>(AJ145-AI145)*-1</f>
        <v>822.886</v>
      </c>
      <c r="AK280" s="3">
        <f>(AK145-AJ145)*-1</f>
        <v>0</v>
      </c>
      <c r="AL280" s="3">
        <f>SUM(AH280:AK280)</f>
        <v>281.694</v>
      </c>
      <c r="AM280" s="3">
        <f>(AM145-AL145)*-1</f>
        <v>0</v>
      </c>
      <c r="AN280" s="3">
        <f>(AN145-AM145)*-1</f>
        <v>0</v>
      </c>
      <c r="AO280" s="3">
        <f>(AO145-AN145)*-1</f>
        <v>0</v>
      </c>
      <c r="AP280" s="3">
        <f>(AP145-AO145)*-1</f>
        <v>0</v>
      </c>
      <c r="AQ280" s="3">
        <f>SUM(AM280:AP280)</f>
        <v>0</v>
      </c>
      <c r="AR280" s="3">
        <f>(AR145-AQ145)*-1</f>
        <v>0</v>
      </c>
      <c r="AS280" s="3">
        <f>(AS145-AR145)*-1</f>
        <v>0</v>
      </c>
      <c r="AT280" s="3">
        <f>(AT145-AS145)*-1</f>
        <v>0</v>
      </c>
      <c r="AU280" s="3">
        <f>(AU145-AT145)*-1</f>
        <v>0</v>
      </c>
      <c r="AV280" s="3">
        <f>SUM(AR280:AU280)</f>
        <v>0</v>
      </c>
      <c r="AW280" s="3">
        <f>(AW145-AV145)*-1</f>
        <v>0</v>
      </c>
      <c r="AX280" s="3">
        <f>(AX145-AW145)*-1</f>
        <v>0</v>
      </c>
      <c r="AY280" s="3">
        <f>(AY145-AX145)*-1</f>
        <v>0</v>
      </c>
      <c r="AZ280" s="3">
        <f>(AZ145-AY145)*-1</f>
        <v>0</v>
      </c>
      <c r="BA280" s="3">
        <f>SUM(AW280:AZ280)</f>
        <v>0</v>
      </c>
      <c r="BB280" s="3">
        <f>(BB145-BA145)*-1</f>
        <v>0</v>
      </c>
      <c r="BC280" s="3">
        <f>(BC145-BB145)*-1</f>
        <v>0</v>
      </c>
      <c r="BD280" s="3">
        <f>(BD145-BC145)*-1</f>
        <v>0</v>
      </c>
      <c r="BE280" s="3">
        <f>(BE145-BD145)*-1</f>
        <v>0</v>
      </c>
      <c r="BF280" s="3">
        <f>SUM(BB280:BE280)</f>
        <v>0</v>
      </c>
      <c r="BG280" s="3">
        <f>(BG145-BF145)*-1</f>
        <v>0</v>
      </c>
      <c r="BH280" s="3">
        <f>(BH145-BG145)*-1</f>
        <v>0</v>
      </c>
      <c r="BI280" s="3">
        <f>(BI145-BH145)*-1</f>
        <v>0</v>
      </c>
      <c r="BJ280" s="3">
        <f>(BJ145-BI145)*-1</f>
        <v>0</v>
      </c>
      <c r="BK280" s="3">
        <f>SUM(BG280:BJ280)</f>
        <v>0</v>
      </c>
      <c r="BL280" s="3">
        <f>(BL145-BK145)*-1</f>
        <v>0</v>
      </c>
      <c r="BM280" s="3">
        <f>(BM145-BL145)*-1</f>
        <v>0</v>
      </c>
      <c r="BN280" s="3">
        <f>(BN145-BM145)*-1</f>
        <v>0</v>
      </c>
      <c r="BO280" s="3">
        <f>(BO145-BN145)*-1</f>
        <v>0</v>
      </c>
      <c r="BP280" s="3">
        <f>SUM(BL280:BO280)</f>
        <v>0</v>
      </c>
      <c r="BQ280" s="3">
        <f>(BQ145-BP145)*-1</f>
        <v>0</v>
      </c>
      <c r="BR280" s="3">
        <f>(BR145-BQ145)*-1</f>
        <v>0</v>
      </c>
      <c r="BS280" s="3">
        <f>(BS145-BR145)*-1</f>
        <v>0</v>
      </c>
      <c r="BT280" s="3">
        <f>(BT145-BS145)*-1</f>
        <v>0</v>
      </c>
      <c r="BU280" s="3">
        <f>SUM(BQ280:BT280)</f>
        <v>0</v>
      </c>
      <c r="BV280" s="3">
        <f>(BV145-BU145)*-1</f>
        <v>0</v>
      </c>
      <c r="BW280" s="3">
        <f>(BW145-BV145)*-1</f>
        <v>0</v>
      </c>
      <c r="BX280" s="3">
        <f>(BX145-BW145)*-1</f>
        <v>0</v>
      </c>
      <c r="BY280" s="3">
        <f>(BY145-BX145)*-1</f>
        <v>0</v>
      </c>
      <c r="BZ280" s="3">
        <f>SUM(BV280:BY280)</f>
        <v>0</v>
      </c>
      <c r="CA280" s="3">
        <f>(CA145-BZ145)*-1</f>
        <v>0</v>
      </c>
      <c r="CB280" s="3">
        <f>(CB145-CA145)*-1</f>
        <v>0</v>
      </c>
      <c r="CC280" s="3">
        <f>(CC145-CB145)*-1</f>
        <v>0</v>
      </c>
      <c r="CD280" s="3">
        <f>(CD145-CC145)*-1</f>
        <v>0</v>
      </c>
      <c r="CE280" s="3">
        <f>SUM(CA280:CD280)</f>
        <v>0</v>
      </c>
      <c r="CF280" s="3">
        <f>(CF145-CE145)*-1</f>
        <v>0</v>
      </c>
      <c r="CG280" s="3">
        <f>(CG145-CF145)*-1</f>
        <v>0</v>
      </c>
      <c r="CH280" s="3">
        <f>(CH145-CG145)*-1</f>
        <v>0</v>
      </c>
      <c r="CI280" s="3">
        <f>(CI145-CH145)*-1</f>
        <v>0</v>
      </c>
      <c r="CJ280" s="3">
        <f>SUM(CF280:CI280)</f>
        <v>0</v>
      </c>
      <c r="CK280" s="3">
        <f>(CK145-CJ145)*-1</f>
        <v>0</v>
      </c>
      <c r="CL280" s="3">
        <f>(CL145-CK145)*-1</f>
        <v>0</v>
      </c>
      <c r="CM280" s="3">
        <f>(CM145-CL145)*-1</f>
        <v>0</v>
      </c>
      <c r="CN280" s="3">
        <f>(CN145-CM145)*-1</f>
        <v>0</v>
      </c>
      <c r="CO280" s="3">
        <f>SUM(CK280:CN280)</f>
        <v>0</v>
      </c>
      <c r="CP280" s="3">
        <f>(CP145-CO145)*-1</f>
        <v>0</v>
      </c>
      <c r="CQ280" s="3">
        <f>(CQ145-CP145)*-1</f>
        <v>0</v>
      </c>
      <c r="CR280" s="3">
        <f>(CR145-CQ145)*-1</f>
        <v>0</v>
      </c>
      <c r="CS280" s="3">
        <f>(CS145-CR145)*-1</f>
        <v>0</v>
      </c>
      <c r="CT280" s="3">
        <f>SUM(CP280:CS280)</f>
        <v>0</v>
      </c>
      <c r="CU280" s="3">
        <f>(CU145-CT145)*-1</f>
        <v>0</v>
      </c>
      <c r="CV280" s="3">
        <f>(CV145-CU145)*-1</f>
        <v>0</v>
      </c>
      <c r="CW280" s="3">
        <f>(CW145-CV145)*-1</f>
        <v>0</v>
      </c>
      <c r="CX280" s="3">
        <f>(CX145-CW145)*-1</f>
        <v>0</v>
      </c>
      <c r="CY280" s="3">
        <f>SUM(CU280:CX280)</f>
        <v>0</v>
      </c>
    </row>
    <row r="281" hidden="1" outlineLevel="1">
      <c r="C281" s="29" t="inlineStr">
        <is>
          <t>Inventories</t>
        </is>
      </c>
      <c r="D281" s="3" t="n"/>
      <c r="E281" s="3">
        <f>(E149-D149)*-1</f>
        <v>0</v>
      </c>
      <c r="F281" s="3">
        <f>(F149-E149)*-1</f>
        <v>0</v>
      </c>
      <c r="G281" s="3">
        <f>(G149-F149)*-1</f>
        <v>0</v>
      </c>
      <c r="H281" s="3">
        <f>SUM(D281:G281)</f>
        <v>0</v>
      </c>
      <c r="I281" s="3">
        <f>(I149-H149)*-1</f>
        <v>0</v>
      </c>
      <c r="J281" s="3">
        <f>(J149-I149)*-1</f>
        <v>0</v>
      </c>
      <c r="K281" s="3">
        <f>(K149-J149)*-1</f>
        <v>0</v>
      </c>
      <c r="L281" s="3">
        <f>(L149-K149)*-1</f>
        <v>0</v>
      </c>
      <c r="M281" s="3">
        <f>SUM(I281:L281)</f>
        <v>0</v>
      </c>
      <c r="N281" s="3">
        <f>(N149-M149)*-1</f>
        <v>0</v>
      </c>
      <c r="O281" s="3">
        <f>(O149-N149)*-1</f>
        <v>0</v>
      </c>
      <c r="P281" s="3">
        <f>(P149-O149)*-1</f>
        <v>0</v>
      </c>
      <c r="Q281" s="3">
        <f>(Q149-P149)*-1</f>
        <v>0</v>
      </c>
      <c r="R281" s="3">
        <f>SUM(N281:Q281)</f>
        <v>0</v>
      </c>
      <c r="S281" s="3">
        <f>(S149-R149)*-1</f>
        <v>0</v>
      </c>
      <c r="T281" s="3">
        <f>(T149-S149)*-1</f>
        <v>0</v>
      </c>
      <c r="U281" s="3">
        <f>(U149-T149)*-1</f>
        <v>0</v>
      </c>
      <c r="V281" s="3">
        <f>(V149-U149)*-1</f>
        <v>0</v>
      </c>
      <c r="W281" s="3">
        <f>SUM(S281:V281)</f>
        <v>0</v>
      </c>
      <c r="X281" s="3">
        <f>(X149-W149)*-1</f>
        <v>0</v>
      </c>
      <c r="Y281" s="3">
        <f>(Y149-X149)*-1</f>
        <v>0</v>
      </c>
      <c r="Z281" s="3">
        <f>(Z149-Y149)*-1</f>
        <v>0</v>
      </c>
      <c r="AA281" s="3">
        <f>(AA149-Z149)*-1</f>
        <v>0</v>
      </c>
      <c r="AB281" s="3">
        <f>SUM(X281:AA281)</f>
        <v>0</v>
      </c>
      <c r="AC281" s="3">
        <f>(AC149-AB149)*-1</f>
        <v>0</v>
      </c>
      <c r="AD281" s="3">
        <f>(AD149-AC149)*-1</f>
        <v>0</v>
      </c>
      <c r="AE281" s="3">
        <f>(AE149-AD149)*-1</f>
        <v>0</v>
      </c>
      <c r="AF281" s="3">
        <f>(AF149-AE149)*-1</f>
        <v>0</v>
      </c>
      <c r="AG281" s="3">
        <f>SUM(AC281:AF281)</f>
        <v>0</v>
      </c>
      <c r="AH281" s="3">
        <f>(AH149-AG149)*-1</f>
        <v>0</v>
      </c>
      <c r="AI281" s="3">
        <f>(AI149-AH149)*-1</f>
        <v>0</v>
      </c>
      <c r="AJ281" s="3">
        <f>(AJ149-AI149)*-1</f>
        <v>0</v>
      </c>
      <c r="AK281" s="3">
        <f>(AK149-AJ149)*-1</f>
        <v>0</v>
      </c>
      <c r="AL281" s="3">
        <f>SUM(AH281:AK281)</f>
        <v>0</v>
      </c>
      <c r="AM281" s="3">
        <f>(AM149-AL149)*-1</f>
        <v>0</v>
      </c>
      <c r="AN281" s="3">
        <f>(AN149-AM149)*-1</f>
        <v>0</v>
      </c>
      <c r="AO281" s="3">
        <f>(AO149-AN149)*-1</f>
        <v>0</v>
      </c>
      <c r="AP281" s="3">
        <f>(AP149-AO149)*-1</f>
        <v>0</v>
      </c>
      <c r="AQ281" s="3">
        <f>SUM(AM281:AP281)</f>
        <v>0</v>
      </c>
      <c r="AR281" s="3">
        <f>(AR149-AQ149)*-1</f>
        <v>0</v>
      </c>
      <c r="AS281" s="3">
        <f>(AS149-AR149)*-1</f>
        <v>0</v>
      </c>
      <c r="AT281" s="3">
        <f>(AT149-AS149)*-1</f>
        <v>0</v>
      </c>
      <c r="AU281" s="3">
        <f>(AU149-AT149)*-1</f>
        <v>0</v>
      </c>
      <c r="AV281" s="3">
        <f>SUM(AR281:AU281)</f>
        <v>0</v>
      </c>
      <c r="AW281" s="3">
        <f>(AW149-AV149)*-1</f>
        <v>0</v>
      </c>
      <c r="AX281" s="3">
        <f>(AX149-AW149)*-1</f>
        <v>0</v>
      </c>
      <c r="AY281" s="3">
        <f>(AY149-AX149)*-1</f>
        <v>0</v>
      </c>
      <c r="AZ281" s="3">
        <f>(AZ149-AY149)*-1</f>
        <v>0</v>
      </c>
      <c r="BA281" s="3">
        <f>SUM(AW281:AZ281)</f>
        <v>0</v>
      </c>
      <c r="BB281" s="3">
        <f>(BB149-BA149)*-1</f>
        <v>0</v>
      </c>
      <c r="BC281" s="3">
        <f>(BC149-BB149)*-1</f>
        <v>0</v>
      </c>
      <c r="BD281" s="3">
        <f>(BD149-BC149)*-1</f>
        <v>0</v>
      </c>
      <c r="BE281" s="3">
        <f>(BE149-BD149)*-1</f>
        <v>0</v>
      </c>
      <c r="BF281" s="3">
        <f>SUM(BB281:BE281)</f>
        <v>0</v>
      </c>
      <c r="BG281" s="3">
        <f>(BG149-BF149)*-1</f>
        <v>0</v>
      </c>
      <c r="BH281" s="3">
        <f>(BH149-BG149)*-1</f>
        <v>0</v>
      </c>
      <c r="BI281" s="3">
        <f>(BI149-BH149)*-1</f>
        <v>0</v>
      </c>
      <c r="BJ281" s="3">
        <f>(BJ149-BI149)*-1</f>
        <v>0</v>
      </c>
      <c r="BK281" s="3">
        <f>SUM(BG281:BJ281)</f>
        <v>0</v>
      </c>
      <c r="BL281" s="3">
        <f>(BL149-BK149)*-1</f>
        <v>0</v>
      </c>
      <c r="BM281" s="3">
        <f>(BM149-BL149)*-1</f>
        <v>0</v>
      </c>
      <c r="BN281" s="3">
        <f>(BN149-BM149)*-1</f>
        <v>0</v>
      </c>
      <c r="BO281" s="3">
        <f>(BO149-BN149)*-1</f>
        <v>0</v>
      </c>
      <c r="BP281" s="3">
        <f>SUM(BL281:BO281)</f>
        <v>0</v>
      </c>
      <c r="BQ281" s="3">
        <f>(BQ149-BP149)*-1</f>
        <v>0</v>
      </c>
      <c r="BR281" s="3">
        <f>(BR149-BQ149)*-1</f>
        <v>0</v>
      </c>
      <c r="BS281" s="3">
        <f>(BS149-BR149)*-1</f>
        <v>0</v>
      </c>
      <c r="BT281" s="3">
        <f>(BT149-BS149)*-1</f>
        <v>0</v>
      </c>
      <c r="BU281" s="3">
        <f>SUM(BQ281:BT281)</f>
        <v>0</v>
      </c>
      <c r="BV281" s="3">
        <f>(BV149-BU149)*-1</f>
        <v>0</v>
      </c>
      <c r="BW281" s="3">
        <f>(BW149-BV149)*-1</f>
        <v>0</v>
      </c>
      <c r="BX281" s="3">
        <f>(BX149-BW149)*-1</f>
        <v>0</v>
      </c>
      <c r="BY281" s="3">
        <f>(BY149-BX149)*-1</f>
        <v>0</v>
      </c>
      <c r="BZ281" s="3">
        <f>SUM(BV281:BY281)</f>
        <v>0</v>
      </c>
      <c r="CA281" s="3">
        <f>(CA149-BZ149)*-1</f>
        <v>0</v>
      </c>
      <c r="CB281" s="3">
        <f>(CB149-CA149)*-1</f>
        <v>0</v>
      </c>
      <c r="CC281" s="3">
        <f>(CC149-CB149)*-1</f>
        <v>0</v>
      </c>
      <c r="CD281" s="3">
        <f>(CD149-CC149)*-1</f>
        <v>0</v>
      </c>
      <c r="CE281" s="3">
        <f>SUM(CA281:CD281)</f>
        <v>0</v>
      </c>
      <c r="CF281" s="3">
        <f>(CF149-CE149)*-1</f>
        <v>0</v>
      </c>
      <c r="CG281" s="3">
        <f>(CG149-CF149)*-1</f>
        <v>0</v>
      </c>
      <c r="CH281" s="3">
        <f>(CH149-CG149)*-1</f>
        <v>0</v>
      </c>
      <c r="CI281" s="3">
        <f>(CI149-CH149)*-1</f>
        <v>0</v>
      </c>
      <c r="CJ281" s="3">
        <f>SUM(CF281:CI281)</f>
        <v>0</v>
      </c>
      <c r="CK281" s="3">
        <f>(CK149-CJ149)*-1</f>
        <v>0</v>
      </c>
      <c r="CL281" s="3">
        <f>(CL149-CK149)*-1</f>
        <v>0</v>
      </c>
      <c r="CM281" s="3">
        <f>(CM149-CL149)*-1</f>
        <v>0</v>
      </c>
      <c r="CN281" s="3">
        <f>(CN149-CM149)*-1</f>
        <v>0</v>
      </c>
      <c r="CO281" s="3">
        <f>SUM(CK281:CN281)</f>
        <v>0</v>
      </c>
      <c r="CP281" s="3">
        <f>(CP149-CO149)*-1</f>
        <v>0</v>
      </c>
      <c r="CQ281" s="3">
        <f>(CQ149-CP149)*-1</f>
        <v>0</v>
      </c>
      <c r="CR281" s="3">
        <f>(CR149-CQ149)*-1</f>
        <v>0</v>
      </c>
      <c r="CS281" s="3">
        <f>(CS149-CR149)*-1</f>
        <v>0</v>
      </c>
      <c r="CT281" s="3">
        <f>SUM(CP281:CS281)</f>
        <v>0</v>
      </c>
      <c r="CU281" s="3">
        <f>(CU149-CT149)*-1</f>
        <v>0</v>
      </c>
      <c r="CV281" s="3">
        <f>(CV149-CU149)*-1</f>
        <v>0</v>
      </c>
      <c r="CW281" s="3">
        <f>(CW149-CV149)*-1</f>
        <v>0</v>
      </c>
      <c r="CX281" s="3">
        <f>(CX149-CW149)*-1</f>
        <v>0</v>
      </c>
      <c r="CY281" s="3">
        <f>SUM(CU281:CX281)</f>
        <v>0</v>
      </c>
    </row>
    <row r="282" hidden="1" outlineLevel="1">
      <c r="C282" s="29" t="inlineStr">
        <is>
          <t>Deferred income taxes</t>
        </is>
      </c>
      <c r="D282" s="3" t="n"/>
      <c r="E282" s="3">
        <f>(E153-D153)*-1</f>
        <v>1.673</v>
      </c>
      <c r="F282" s="3">
        <f>(F153-E153)*-1</f>
        <v>0</v>
      </c>
      <c r="G282" s="3">
        <f>(G153-F153)*-1</f>
        <v>28.594</v>
      </c>
      <c r="H282" s="3">
        <f>SUM(D282:G282)</f>
        <v>30.267</v>
      </c>
      <c r="I282" s="3">
        <f>(I153-H153)*-1</f>
        <v>5.172</v>
      </c>
      <c r="J282" s="3">
        <f>(J153-I153)*-1</f>
        <v>0.100000000000009</v>
      </c>
      <c r="K282" s="3">
        <f>(K153-J153)*-1</f>
        <v>-1.699</v>
      </c>
      <c r="L282" s="3">
        <f>(L153-K153)*-1</f>
        <v>9.59099999999999</v>
      </c>
      <c r="M282" s="3">
        <f>SUM(I282:L282)</f>
        <v>13.164</v>
      </c>
      <c r="N282" s="3">
        <f>(N153-M153)*-1</f>
        <v>0.0520000000000067</v>
      </c>
      <c r="O282" s="3">
        <f>(O153-N153)*-1</f>
        <v>6.83599999999999</v>
      </c>
      <c r="P282" s="3">
        <f>(P153-O153)*-1</f>
        <v>2.115</v>
      </c>
      <c r="Q282" s="3">
        <f>(Q153-P153)*-1</f>
        <v>7.47</v>
      </c>
      <c r="R282" s="3">
        <f>SUM(N282:Q282)</f>
        <v>16.473</v>
      </c>
      <c r="S282" s="3">
        <f>(S153-R153)*-1</f>
        <v>-9.882</v>
      </c>
      <c r="T282" s="3">
        <f>(T153-S153)*-1</f>
        <v>-0.567999999999998</v>
      </c>
      <c r="U282" s="3">
        <f>(U153-T153)*-1</f>
        <v>-0.588000000000001</v>
      </c>
      <c r="V282" s="3">
        <f>(V153-U153)*-1</f>
        <v>-12.159</v>
      </c>
      <c r="W282" s="3">
        <f>SUM(S282:V282)</f>
        <v>-23.197</v>
      </c>
      <c r="X282" s="3">
        <f>(X153-W153)*-1</f>
        <v>-0.467999999999989</v>
      </c>
      <c r="Y282" s="3">
        <f>(Y153-X153)*-1</f>
        <v>-0.52000000000001</v>
      </c>
      <c r="Z282" s="3">
        <f>(Z153-Y153)*-1</f>
        <v>-1.178</v>
      </c>
      <c r="AA282" s="3">
        <f>(AA153-Z153)*-1</f>
        <v>-1.52</v>
      </c>
      <c r="AB282" s="3">
        <f>SUM(X282:AA282)</f>
        <v>-3.68599999999999</v>
      </c>
      <c r="AC282" s="3">
        <f>(AC153-AB153)*-1</f>
        <v>-0.799999999999997</v>
      </c>
      <c r="AD282" s="3">
        <f>(AD153-AC153)*-1</f>
        <v>-0.504000000000005</v>
      </c>
      <c r="AE282" s="3">
        <f>(AE153-AD153)*-1</f>
        <v>-0.597999999999999</v>
      </c>
      <c r="AF282" s="3">
        <f>(AF153-AE153)*-1</f>
        <v>-0.450000000000003</v>
      </c>
      <c r="AG282" s="3">
        <f>SUM(AC282:AF282)</f>
        <v>-2.352</v>
      </c>
      <c r="AH282" s="3">
        <f>(AH153-AG153)*-1</f>
        <v>-2.661</v>
      </c>
      <c r="AI282" s="3">
        <f>(AI153-AH153)*-1</f>
        <v>-0.358999999999995</v>
      </c>
      <c r="AJ282" s="3">
        <f>(AJ153-AI153)*-1</f>
        <v>0</v>
      </c>
      <c r="AK282" s="3">
        <f>(AK153-AJ153)*-1</f>
        <v>0</v>
      </c>
      <c r="AL282" s="3">
        <f>SUM(AH282:AK282)</f>
        <v>-3.02</v>
      </c>
      <c r="AM282" s="3">
        <f>(AM153-AL153)*-1</f>
        <v>0</v>
      </c>
      <c r="AN282" s="3">
        <f>(AN153-AM153)*-1</f>
        <v>0</v>
      </c>
      <c r="AO282" s="3">
        <f>(AO153-AN153)*-1</f>
        <v>0</v>
      </c>
      <c r="AP282" s="3">
        <f>(AP153-AO153)*-1</f>
        <v>0</v>
      </c>
      <c r="AQ282" s="3">
        <f>SUM(AM282:AP282)</f>
        <v>0</v>
      </c>
      <c r="AR282" s="3">
        <f>(AR153-AQ153)*-1</f>
        <v>0</v>
      </c>
      <c r="AS282" s="3">
        <f>(AS153-AR153)*-1</f>
        <v>0</v>
      </c>
      <c r="AT282" s="3">
        <f>(AT153-AS153)*-1</f>
        <v>0</v>
      </c>
      <c r="AU282" s="3">
        <f>(AU153-AT153)*-1</f>
        <v>0</v>
      </c>
      <c r="AV282" s="3">
        <f>SUM(AR282:AU282)</f>
        <v>0</v>
      </c>
      <c r="AW282" s="3">
        <f>(AW153-AV153)*-1</f>
        <v>0</v>
      </c>
      <c r="AX282" s="3">
        <f>(AX153-AW153)*-1</f>
        <v>0</v>
      </c>
      <c r="AY282" s="3">
        <f>(AY153-AX153)*-1</f>
        <v>0</v>
      </c>
      <c r="AZ282" s="3">
        <f>(AZ153-AY153)*-1</f>
        <v>0</v>
      </c>
      <c r="BA282" s="3">
        <f>SUM(AW282:AZ282)</f>
        <v>0</v>
      </c>
      <c r="BB282" s="3">
        <f>(BB153-BA153)*-1</f>
        <v>0</v>
      </c>
      <c r="BC282" s="3">
        <f>(BC153-BB153)*-1</f>
        <v>0</v>
      </c>
      <c r="BD282" s="3">
        <f>(BD153-BC153)*-1</f>
        <v>0</v>
      </c>
      <c r="BE282" s="3">
        <f>(BE153-BD153)*-1</f>
        <v>0</v>
      </c>
      <c r="BF282" s="3">
        <f>SUM(BB282:BE282)</f>
        <v>0</v>
      </c>
      <c r="BG282" s="3">
        <f>(BG153-BF153)*-1</f>
        <v>0</v>
      </c>
      <c r="BH282" s="3">
        <f>(BH153-BG153)*-1</f>
        <v>0</v>
      </c>
      <c r="BI282" s="3">
        <f>(BI153-BH153)*-1</f>
        <v>0</v>
      </c>
      <c r="BJ282" s="3">
        <f>(BJ153-BI153)*-1</f>
        <v>0</v>
      </c>
      <c r="BK282" s="3">
        <f>SUM(BG282:BJ282)</f>
        <v>0</v>
      </c>
      <c r="BL282" s="3">
        <f>(BL153-BK153)*-1</f>
        <v>0</v>
      </c>
      <c r="BM282" s="3">
        <f>(BM153-BL153)*-1</f>
        <v>0</v>
      </c>
      <c r="BN282" s="3">
        <f>(BN153-BM153)*-1</f>
        <v>0</v>
      </c>
      <c r="BO282" s="3">
        <f>(BO153-BN153)*-1</f>
        <v>0</v>
      </c>
      <c r="BP282" s="3">
        <f>SUM(BL282:BO282)</f>
        <v>0</v>
      </c>
      <c r="BQ282" s="3">
        <f>(BQ153-BP153)*-1</f>
        <v>0</v>
      </c>
      <c r="BR282" s="3">
        <f>(BR153-BQ153)*-1</f>
        <v>0</v>
      </c>
      <c r="BS282" s="3">
        <f>(BS153-BR153)*-1</f>
        <v>0</v>
      </c>
      <c r="BT282" s="3">
        <f>(BT153-BS153)*-1</f>
        <v>0</v>
      </c>
      <c r="BU282" s="3">
        <f>SUM(BQ282:BT282)</f>
        <v>0</v>
      </c>
      <c r="BV282" s="3">
        <f>(BV153-BU153)*-1</f>
        <v>0</v>
      </c>
      <c r="BW282" s="3">
        <f>(BW153-BV153)*-1</f>
        <v>0</v>
      </c>
      <c r="BX282" s="3">
        <f>(BX153-BW153)*-1</f>
        <v>0</v>
      </c>
      <c r="BY282" s="3">
        <f>(BY153-BX153)*-1</f>
        <v>0</v>
      </c>
      <c r="BZ282" s="3">
        <f>SUM(BV282:BY282)</f>
        <v>0</v>
      </c>
      <c r="CA282" s="3">
        <f>(CA153-BZ153)*-1</f>
        <v>0</v>
      </c>
      <c r="CB282" s="3">
        <f>(CB153-CA153)*-1</f>
        <v>0</v>
      </c>
      <c r="CC282" s="3">
        <f>(CC153-CB153)*-1</f>
        <v>0</v>
      </c>
      <c r="CD282" s="3">
        <f>(CD153-CC153)*-1</f>
        <v>0</v>
      </c>
      <c r="CE282" s="3">
        <f>SUM(CA282:CD282)</f>
        <v>0</v>
      </c>
      <c r="CF282" s="3">
        <f>(CF153-CE153)*-1</f>
        <v>0</v>
      </c>
      <c r="CG282" s="3">
        <f>(CG153-CF153)*-1</f>
        <v>0</v>
      </c>
      <c r="CH282" s="3">
        <f>(CH153-CG153)*-1</f>
        <v>0</v>
      </c>
      <c r="CI282" s="3">
        <f>(CI153-CH153)*-1</f>
        <v>0</v>
      </c>
      <c r="CJ282" s="3">
        <f>SUM(CF282:CI282)</f>
        <v>0</v>
      </c>
      <c r="CK282" s="3">
        <f>(CK153-CJ153)*-1</f>
        <v>0</v>
      </c>
      <c r="CL282" s="3">
        <f>(CL153-CK153)*-1</f>
        <v>0</v>
      </c>
      <c r="CM282" s="3">
        <f>(CM153-CL153)*-1</f>
        <v>0</v>
      </c>
      <c r="CN282" s="3">
        <f>(CN153-CM153)*-1</f>
        <v>0</v>
      </c>
      <c r="CO282" s="3">
        <f>SUM(CK282:CN282)</f>
        <v>0</v>
      </c>
      <c r="CP282" s="3">
        <f>(CP153-CO153)*-1</f>
        <v>0</v>
      </c>
      <c r="CQ282" s="3">
        <f>(CQ153-CP153)*-1</f>
        <v>0</v>
      </c>
      <c r="CR282" s="3">
        <f>(CR153-CQ153)*-1</f>
        <v>0</v>
      </c>
      <c r="CS282" s="3">
        <f>(CS153-CR153)*-1</f>
        <v>0</v>
      </c>
      <c r="CT282" s="3">
        <f>SUM(CP282:CS282)</f>
        <v>0</v>
      </c>
      <c r="CU282" s="3">
        <f>(CU153-CT153)*-1</f>
        <v>0</v>
      </c>
      <c r="CV282" s="3">
        <f>(CV153-CU153)*-1</f>
        <v>0</v>
      </c>
      <c r="CW282" s="3">
        <f>(CW153-CV153)*-1</f>
        <v>0</v>
      </c>
      <c r="CX282" s="3">
        <f>(CX153-CW153)*-1</f>
        <v>0</v>
      </c>
      <c r="CY282" s="3">
        <f>SUM(CU282:CX282)</f>
        <v>0</v>
      </c>
    </row>
    <row r="283" hidden="1" outlineLevel="1">
      <c r="C283" s="29" t="inlineStr">
        <is>
          <t>Prepaid expenses</t>
        </is>
      </c>
      <c r="D283" s="3" t="n"/>
      <c r="E283" s="3">
        <f>(E154-D154)*-1</f>
        <v>3.218</v>
      </c>
      <c r="F283" s="3">
        <f>(F154-E154)*-1</f>
        <v>0.386000000000001</v>
      </c>
      <c r="G283" s="3">
        <f>(G154-F154)*-1</f>
        <v>-4.592</v>
      </c>
      <c r="H283" s="3">
        <f>SUM(D283:G283)</f>
        <v>-0.988</v>
      </c>
      <c r="I283" s="3">
        <f>(I154-H154)*-1</f>
        <v>1.565</v>
      </c>
      <c r="J283" s="3">
        <f>(J154-I154)*-1</f>
        <v>1.298</v>
      </c>
      <c r="K283" s="3">
        <f>(K154-J154)*-1</f>
        <v>3.08</v>
      </c>
      <c r="L283" s="3">
        <f>(L154-K154)*-1</f>
        <v>-20.158</v>
      </c>
      <c r="M283" s="3">
        <f>SUM(I283:L283)</f>
        <v>-14.215</v>
      </c>
      <c r="N283" s="3">
        <f>(N154-M154)*-1</f>
        <v>1.426</v>
      </c>
      <c r="O283" s="3">
        <f>(O154-N154)*-1</f>
        <v>-9.607</v>
      </c>
      <c r="P283" s="3">
        <f>(P154-O154)*-1</f>
        <v>6.937</v>
      </c>
      <c r="Q283" s="3">
        <f>(Q154-P154)*-1</f>
        <v>-34.09</v>
      </c>
      <c r="R283" s="3">
        <f>SUM(N283:Q283)</f>
        <v>-35.334</v>
      </c>
      <c r="S283" s="3">
        <f>(S154-R154)*-1</f>
        <v>-0.597999999999999</v>
      </c>
      <c r="T283" s="3">
        <f>(T154-S154)*-1</f>
        <v>7.34399999999999</v>
      </c>
      <c r="U283" s="3">
        <f>(U154-T154)*-1</f>
        <v>-13.12</v>
      </c>
      <c r="V283" s="3">
        <f>(V154-U154)*-1</f>
        <v>17.592</v>
      </c>
      <c r="W283" s="3">
        <f>SUM(S283:V283)</f>
        <v>11.218</v>
      </c>
      <c r="X283" s="3">
        <f>(X154-W154)*-1</f>
        <v>-5.615</v>
      </c>
      <c r="Y283" s="3">
        <f>(Y154-X154)*-1</f>
        <v>-9.192</v>
      </c>
      <c r="Z283" s="3">
        <f>(Z154-Y154)*-1</f>
        <v>0.760999999999996</v>
      </c>
      <c r="AA283" s="3">
        <f>(AA154-Z154)*-1</f>
        <v>4.72799999999999</v>
      </c>
      <c r="AB283" s="3">
        <f>SUM(X283:AA283)</f>
        <v>-9.31800000000001</v>
      </c>
      <c r="AC283" s="3">
        <f>(AC154-AB154)*-1</f>
        <v>-6.479</v>
      </c>
      <c r="AD283" s="3">
        <f>(AD154-AC154)*-1</f>
        <v>4.88200000000001</v>
      </c>
      <c r="AE283" s="3">
        <f>(AE154-AD154)*-1</f>
        <v>-2.16500000000001</v>
      </c>
      <c r="AF283" s="3">
        <f>(AF154-AE154)*-1</f>
        <v>-5.54599999999999</v>
      </c>
      <c r="AG283" s="3">
        <f>SUM(AC283:AF283)</f>
        <v>-9.30799999999999</v>
      </c>
      <c r="AH283" s="3">
        <f>(AH154-AG154)*-1</f>
        <v>-7.905</v>
      </c>
      <c r="AI283" s="3">
        <f>(AI154-AH154)*-1</f>
        <v>-119.229</v>
      </c>
      <c r="AJ283" s="3">
        <f>(AJ154-AI154)*-1</f>
        <v>0</v>
      </c>
      <c r="AK283" s="3">
        <f>(AK154-AJ154)*-1</f>
        <v>0</v>
      </c>
      <c r="AL283" s="3">
        <f>SUM(AH283:AK283)</f>
        <v>-127.134</v>
      </c>
      <c r="AM283" s="3">
        <f>(AM154-AL154)*-1</f>
        <v>0</v>
      </c>
      <c r="AN283" s="3">
        <f>(AN154-AM154)*-1</f>
        <v>0</v>
      </c>
      <c r="AO283" s="3">
        <f>(AO154-AN154)*-1</f>
        <v>0</v>
      </c>
      <c r="AP283" s="3">
        <f>(AP154-AO154)*-1</f>
        <v>0</v>
      </c>
      <c r="AQ283" s="3">
        <f>SUM(AM283:AP283)</f>
        <v>0</v>
      </c>
      <c r="AR283" s="3">
        <f>(AR154-AQ154)*-1</f>
        <v>0</v>
      </c>
      <c r="AS283" s="3">
        <f>(AS154-AR154)*-1</f>
        <v>0</v>
      </c>
      <c r="AT283" s="3">
        <f>(AT154-AS154)*-1</f>
        <v>0</v>
      </c>
      <c r="AU283" s="3">
        <f>(AU154-AT154)*-1</f>
        <v>0</v>
      </c>
      <c r="AV283" s="3">
        <f>SUM(AR283:AU283)</f>
        <v>0</v>
      </c>
      <c r="AW283" s="3">
        <f>(AW154-AV154)*-1</f>
        <v>0</v>
      </c>
      <c r="AX283" s="3">
        <f>(AX154-AW154)*-1</f>
        <v>0</v>
      </c>
      <c r="AY283" s="3">
        <f>(AY154-AX154)*-1</f>
        <v>0</v>
      </c>
      <c r="AZ283" s="3">
        <f>(AZ154-AY154)*-1</f>
        <v>0</v>
      </c>
      <c r="BA283" s="3">
        <f>SUM(AW283:AZ283)</f>
        <v>0</v>
      </c>
      <c r="BB283" s="3">
        <f>(BB154-BA154)*-1</f>
        <v>0</v>
      </c>
      <c r="BC283" s="3">
        <f>(BC154-BB154)*-1</f>
        <v>0</v>
      </c>
      <c r="BD283" s="3">
        <f>(BD154-BC154)*-1</f>
        <v>0</v>
      </c>
      <c r="BE283" s="3">
        <f>(BE154-BD154)*-1</f>
        <v>0</v>
      </c>
      <c r="BF283" s="3">
        <f>SUM(BB283:BE283)</f>
        <v>0</v>
      </c>
      <c r="BG283" s="3">
        <f>(BG154-BF154)*-1</f>
        <v>0</v>
      </c>
      <c r="BH283" s="3">
        <f>(BH154-BG154)*-1</f>
        <v>0</v>
      </c>
      <c r="BI283" s="3">
        <f>(BI154-BH154)*-1</f>
        <v>0</v>
      </c>
      <c r="BJ283" s="3">
        <f>(BJ154-BI154)*-1</f>
        <v>0</v>
      </c>
      <c r="BK283" s="3">
        <f>SUM(BG283:BJ283)</f>
        <v>0</v>
      </c>
      <c r="BL283" s="3">
        <f>(BL154-BK154)*-1</f>
        <v>0</v>
      </c>
      <c r="BM283" s="3">
        <f>(BM154-BL154)*-1</f>
        <v>0</v>
      </c>
      <c r="BN283" s="3">
        <f>(BN154-BM154)*-1</f>
        <v>0</v>
      </c>
      <c r="BO283" s="3">
        <f>(BO154-BN154)*-1</f>
        <v>0</v>
      </c>
      <c r="BP283" s="3">
        <f>SUM(BL283:BO283)</f>
        <v>0</v>
      </c>
      <c r="BQ283" s="3">
        <f>(BQ154-BP154)*-1</f>
        <v>0</v>
      </c>
      <c r="BR283" s="3">
        <f>(BR154-BQ154)*-1</f>
        <v>0</v>
      </c>
      <c r="BS283" s="3">
        <f>(BS154-BR154)*-1</f>
        <v>0</v>
      </c>
      <c r="BT283" s="3">
        <f>(BT154-BS154)*-1</f>
        <v>0</v>
      </c>
      <c r="BU283" s="3">
        <f>SUM(BQ283:BT283)</f>
        <v>0</v>
      </c>
      <c r="BV283" s="3">
        <f>(BV154-BU154)*-1</f>
        <v>0</v>
      </c>
      <c r="BW283" s="3">
        <f>(BW154-BV154)*-1</f>
        <v>0</v>
      </c>
      <c r="BX283" s="3">
        <f>(BX154-BW154)*-1</f>
        <v>0</v>
      </c>
      <c r="BY283" s="3">
        <f>(BY154-BX154)*-1</f>
        <v>0</v>
      </c>
      <c r="BZ283" s="3">
        <f>SUM(BV283:BY283)</f>
        <v>0</v>
      </c>
      <c r="CA283" s="3">
        <f>(CA154-BZ154)*-1</f>
        <v>0</v>
      </c>
      <c r="CB283" s="3">
        <f>(CB154-CA154)*-1</f>
        <v>0</v>
      </c>
      <c r="CC283" s="3">
        <f>(CC154-CB154)*-1</f>
        <v>0</v>
      </c>
      <c r="CD283" s="3">
        <f>(CD154-CC154)*-1</f>
        <v>0</v>
      </c>
      <c r="CE283" s="3">
        <f>SUM(CA283:CD283)</f>
        <v>0</v>
      </c>
      <c r="CF283" s="3">
        <f>(CF154-CE154)*-1</f>
        <v>0</v>
      </c>
      <c r="CG283" s="3">
        <f>(CG154-CF154)*-1</f>
        <v>0</v>
      </c>
      <c r="CH283" s="3">
        <f>(CH154-CG154)*-1</f>
        <v>0</v>
      </c>
      <c r="CI283" s="3">
        <f>(CI154-CH154)*-1</f>
        <v>0</v>
      </c>
      <c r="CJ283" s="3">
        <f>SUM(CF283:CI283)</f>
        <v>0</v>
      </c>
      <c r="CK283" s="3">
        <f>(CK154-CJ154)*-1</f>
        <v>0</v>
      </c>
      <c r="CL283" s="3">
        <f>(CL154-CK154)*-1</f>
        <v>0</v>
      </c>
      <c r="CM283" s="3">
        <f>(CM154-CL154)*-1</f>
        <v>0</v>
      </c>
      <c r="CN283" s="3">
        <f>(CN154-CM154)*-1</f>
        <v>0</v>
      </c>
      <c r="CO283" s="3">
        <f>SUM(CK283:CN283)</f>
        <v>0</v>
      </c>
      <c r="CP283" s="3">
        <f>(CP154-CO154)*-1</f>
        <v>0</v>
      </c>
      <c r="CQ283" s="3">
        <f>(CQ154-CP154)*-1</f>
        <v>0</v>
      </c>
      <c r="CR283" s="3">
        <f>(CR154-CQ154)*-1</f>
        <v>0</v>
      </c>
      <c r="CS283" s="3">
        <f>(CS154-CR154)*-1</f>
        <v>0</v>
      </c>
      <c r="CT283" s="3">
        <f>SUM(CP283:CS283)</f>
        <v>0</v>
      </c>
      <c r="CU283" s="3">
        <f>(CU154-CT154)*-1</f>
        <v>0</v>
      </c>
      <c r="CV283" s="3">
        <f>(CV154-CU154)*-1</f>
        <v>0</v>
      </c>
      <c r="CW283" s="3">
        <f>(CW154-CV154)*-1</f>
        <v>0</v>
      </c>
      <c r="CX283" s="3">
        <f>(CX154-CW154)*-1</f>
        <v>0</v>
      </c>
      <c r="CY283" s="3">
        <f>SUM(CU283:CX283)</f>
        <v>0</v>
      </c>
    </row>
    <row r="284" hidden="1" outlineLevel="1">
      <c r="C284" s="29" t="inlineStr">
        <is>
          <t>Other current assets</t>
        </is>
      </c>
      <c r="D284" s="3" t="n"/>
      <c r="E284" s="3">
        <f>(E155-D155)*-1</f>
        <v>7.304</v>
      </c>
      <c r="F284" s="3">
        <f>(F155-E155)*-1</f>
        <v>-2.225</v>
      </c>
      <c r="G284" s="3">
        <f>(G155-F155)*-1</f>
        <v>2</v>
      </c>
      <c r="H284" s="3">
        <f>SUM(D284:G284)</f>
        <v>7.079</v>
      </c>
      <c r="I284" s="3">
        <f>(I155-H155)*-1</f>
        <v>-1.332</v>
      </c>
      <c r="J284" s="3">
        <f>(J155-I155)*-1</f>
        <v>-2.837</v>
      </c>
      <c r="K284" s="3">
        <f>(K155-J155)*-1</f>
        <v>-4.02</v>
      </c>
      <c r="L284" s="3">
        <f>(L155-K155)*-1</f>
        <v>10.811</v>
      </c>
      <c r="M284" s="3">
        <f>SUM(I284:L284)</f>
        <v>2.622</v>
      </c>
      <c r="N284" s="3">
        <f>(N155-M155)*-1</f>
        <v>-3.975</v>
      </c>
      <c r="O284" s="3">
        <f>(O155-N155)*-1</f>
        <v>-0.450999999999999</v>
      </c>
      <c r="P284" s="3">
        <f>(P155-O155)*-1</f>
        <v>0.0429999999999993</v>
      </c>
      <c r="Q284" s="3">
        <f>(Q155-P155)*-1</f>
        <v>-2.388</v>
      </c>
      <c r="R284" s="3">
        <f>SUM(N284:Q284)</f>
        <v>-6.771</v>
      </c>
      <c r="S284" s="3">
        <f>(S155-R155)*-1</f>
        <v>-8.369</v>
      </c>
      <c r="T284" s="3">
        <f>(T155-S155)*-1</f>
        <v>-3.814</v>
      </c>
      <c r="U284" s="3">
        <f>(U155-T155)*-1</f>
        <v>-7.107</v>
      </c>
      <c r="V284" s="3">
        <f>(V155-U155)*-1</f>
        <v>3.155</v>
      </c>
      <c r="W284" s="3">
        <f>SUM(S284:V284)</f>
        <v>-16.135</v>
      </c>
      <c r="X284" s="3">
        <f>(X155-W155)*-1</f>
        <v>-14.185</v>
      </c>
      <c r="Y284" s="3">
        <f>(Y155-X155)*-1</f>
        <v>6.39</v>
      </c>
      <c r="Z284" s="3">
        <f>(Z155-Y155)*-1</f>
        <v>-2.168</v>
      </c>
      <c r="AA284" s="3">
        <f>(AA155-Z155)*-1</f>
        <v>-10.922</v>
      </c>
      <c r="AB284" s="3">
        <f>SUM(X284:AA284)</f>
        <v>-20.885</v>
      </c>
      <c r="AC284" s="3">
        <f>(AC155-AB155)*-1</f>
        <v>-0.441000000000003</v>
      </c>
      <c r="AD284" s="3">
        <f>(AD155-AC155)*-1</f>
        <v>-6.905</v>
      </c>
      <c r="AE284" s="3">
        <f>(AE155-AD155)*-1</f>
        <v>-6.198</v>
      </c>
      <c r="AF284" s="3">
        <f>(AF155-AE155)*-1</f>
        <v>-2.69499999999999</v>
      </c>
      <c r="AG284" s="3">
        <f>SUM(AC284:AF284)</f>
        <v>-16.239</v>
      </c>
      <c r="AH284" s="3">
        <f>(AH155-AG155)*-1</f>
        <v>-15.461</v>
      </c>
      <c r="AI284" s="3">
        <f>(AI155-AH155)*-1</f>
        <v>-148.19</v>
      </c>
      <c r="AJ284" s="3">
        <f>(AJ155-AI155)*-1</f>
        <v>0</v>
      </c>
      <c r="AK284" s="3">
        <f>(AK155-AJ155)*-1</f>
        <v>0</v>
      </c>
      <c r="AL284" s="3">
        <f>SUM(AH284:AK284)</f>
        <v>-163.651</v>
      </c>
      <c r="AM284" s="3">
        <f>(AM155-AL155)*-1</f>
        <v>0</v>
      </c>
      <c r="AN284" s="3">
        <f>(AN155-AM155)*-1</f>
        <v>0</v>
      </c>
      <c r="AO284" s="3">
        <f>(AO155-AN155)*-1</f>
        <v>0</v>
      </c>
      <c r="AP284" s="3">
        <f>(AP155-AO155)*-1</f>
        <v>0</v>
      </c>
      <c r="AQ284" s="3">
        <f>SUM(AM284:AP284)</f>
        <v>0</v>
      </c>
      <c r="AR284" s="3">
        <f>(AR155-AQ155)*-1</f>
        <v>0</v>
      </c>
      <c r="AS284" s="3">
        <f>(AS155-AR155)*-1</f>
        <v>0</v>
      </c>
      <c r="AT284" s="3">
        <f>(AT155-AS155)*-1</f>
        <v>0</v>
      </c>
      <c r="AU284" s="3">
        <f>(AU155-AT155)*-1</f>
        <v>0</v>
      </c>
      <c r="AV284" s="3">
        <f>SUM(AR284:AU284)</f>
        <v>0</v>
      </c>
      <c r="AW284" s="3">
        <f>(AW155-AV155)*-1</f>
        <v>0</v>
      </c>
      <c r="AX284" s="3">
        <f>(AX155-AW155)*-1</f>
        <v>0</v>
      </c>
      <c r="AY284" s="3">
        <f>(AY155-AX155)*-1</f>
        <v>0</v>
      </c>
      <c r="AZ284" s="3">
        <f>(AZ155-AY155)*-1</f>
        <v>0</v>
      </c>
      <c r="BA284" s="3">
        <f>SUM(AW284:AZ284)</f>
        <v>0</v>
      </c>
      <c r="BB284" s="3">
        <f>(BB155-BA155)*-1</f>
        <v>0</v>
      </c>
      <c r="BC284" s="3">
        <f>(BC155-BB155)*-1</f>
        <v>0</v>
      </c>
      <c r="BD284" s="3">
        <f>(BD155-BC155)*-1</f>
        <v>0</v>
      </c>
      <c r="BE284" s="3">
        <f>(BE155-BD155)*-1</f>
        <v>0</v>
      </c>
      <c r="BF284" s="3">
        <f>SUM(BB284:BE284)</f>
        <v>0</v>
      </c>
      <c r="BG284" s="3">
        <f>(BG155-BF155)*-1</f>
        <v>0</v>
      </c>
      <c r="BH284" s="3">
        <f>(BH155-BG155)*-1</f>
        <v>0</v>
      </c>
      <c r="BI284" s="3">
        <f>(BI155-BH155)*-1</f>
        <v>0</v>
      </c>
      <c r="BJ284" s="3">
        <f>(BJ155-BI155)*-1</f>
        <v>0</v>
      </c>
      <c r="BK284" s="3">
        <f>SUM(BG284:BJ284)</f>
        <v>0</v>
      </c>
      <c r="BL284" s="3">
        <f>(BL155-BK155)*-1</f>
        <v>0</v>
      </c>
      <c r="BM284" s="3">
        <f>(BM155-BL155)*-1</f>
        <v>0</v>
      </c>
      <c r="BN284" s="3">
        <f>(BN155-BM155)*-1</f>
        <v>0</v>
      </c>
      <c r="BO284" s="3">
        <f>(BO155-BN155)*-1</f>
        <v>0</v>
      </c>
      <c r="BP284" s="3">
        <f>SUM(BL284:BO284)</f>
        <v>0</v>
      </c>
      <c r="BQ284" s="3">
        <f>(BQ155-BP155)*-1</f>
        <v>0</v>
      </c>
      <c r="BR284" s="3">
        <f>(BR155-BQ155)*-1</f>
        <v>0</v>
      </c>
      <c r="BS284" s="3">
        <f>(BS155-BR155)*-1</f>
        <v>0</v>
      </c>
      <c r="BT284" s="3">
        <f>(BT155-BS155)*-1</f>
        <v>0</v>
      </c>
      <c r="BU284" s="3">
        <f>SUM(BQ284:BT284)</f>
        <v>0</v>
      </c>
      <c r="BV284" s="3">
        <f>(BV155-BU155)*-1</f>
        <v>0</v>
      </c>
      <c r="BW284" s="3">
        <f>(BW155-BV155)*-1</f>
        <v>0</v>
      </c>
      <c r="BX284" s="3">
        <f>(BX155-BW155)*-1</f>
        <v>0</v>
      </c>
      <c r="BY284" s="3">
        <f>(BY155-BX155)*-1</f>
        <v>0</v>
      </c>
      <c r="BZ284" s="3">
        <f>SUM(BV284:BY284)</f>
        <v>0</v>
      </c>
      <c r="CA284" s="3">
        <f>(CA155-BZ155)*-1</f>
        <v>0</v>
      </c>
      <c r="CB284" s="3">
        <f>(CB155-CA155)*-1</f>
        <v>0</v>
      </c>
      <c r="CC284" s="3">
        <f>(CC155-CB155)*-1</f>
        <v>0</v>
      </c>
      <c r="CD284" s="3">
        <f>(CD155-CC155)*-1</f>
        <v>0</v>
      </c>
      <c r="CE284" s="3">
        <f>SUM(CA284:CD284)</f>
        <v>0</v>
      </c>
      <c r="CF284" s="3">
        <f>(CF155-CE155)*-1</f>
        <v>0</v>
      </c>
      <c r="CG284" s="3">
        <f>(CG155-CF155)*-1</f>
        <v>0</v>
      </c>
      <c r="CH284" s="3">
        <f>(CH155-CG155)*-1</f>
        <v>0</v>
      </c>
      <c r="CI284" s="3">
        <f>(CI155-CH155)*-1</f>
        <v>0</v>
      </c>
      <c r="CJ284" s="3">
        <f>SUM(CF284:CI284)</f>
        <v>0</v>
      </c>
      <c r="CK284" s="3">
        <f>(CK155-CJ155)*-1</f>
        <v>0</v>
      </c>
      <c r="CL284" s="3">
        <f>(CL155-CK155)*-1</f>
        <v>0</v>
      </c>
      <c r="CM284" s="3">
        <f>(CM155-CL155)*-1</f>
        <v>0</v>
      </c>
      <c r="CN284" s="3">
        <f>(CN155-CM155)*-1</f>
        <v>0</v>
      </c>
      <c r="CO284" s="3">
        <f>SUM(CK284:CN284)</f>
        <v>0</v>
      </c>
      <c r="CP284" s="3">
        <f>(CP155-CO155)*-1</f>
        <v>0</v>
      </c>
      <c r="CQ284" s="3">
        <f>(CQ155-CP155)*-1</f>
        <v>0</v>
      </c>
      <c r="CR284" s="3">
        <f>(CR155-CQ155)*-1</f>
        <v>0</v>
      </c>
      <c r="CS284" s="3">
        <f>(CS155-CR155)*-1</f>
        <v>0</v>
      </c>
      <c r="CT284" s="3">
        <f>SUM(CP284:CS284)</f>
        <v>0</v>
      </c>
      <c r="CU284" s="3">
        <f>(CU155-CT155)*-1</f>
        <v>0</v>
      </c>
      <c r="CV284" s="3">
        <f>(CV155-CU155)*-1</f>
        <v>0</v>
      </c>
      <c r="CW284" s="3">
        <f>(CW155-CV155)*-1</f>
        <v>0</v>
      </c>
      <c r="CX284" s="3">
        <f>(CX155-CW155)*-1</f>
        <v>0</v>
      </c>
      <c r="CY284" s="3">
        <f>SUM(CU284:CX284)</f>
        <v>0</v>
      </c>
    </row>
    <row r="285" hidden="1" outlineLevel="1">
      <c r="C285" s="29" t="inlineStr">
        <is>
          <t>Accounts payable</t>
        </is>
      </c>
      <c r="D285" s="3" t="n"/>
      <c r="E285" s="3">
        <f>E198-D198</f>
        <v>2.235</v>
      </c>
      <c r="F285" s="3">
        <f>F198-E198</f>
        <v>-4.081</v>
      </c>
      <c r="G285" s="3">
        <f>G198-F198</f>
        <v>-5.295</v>
      </c>
      <c r="H285" s="3">
        <f>SUM(D285:G285)</f>
        <v>-7.141</v>
      </c>
      <c r="I285" s="3">
        <f>I198-H198</f>
        <v>-1.038</v>
      </c>
      <c r="J285" s="3">
        <f>J198-I198</f>
        <v>-9.688</v>
      </c>
      <c r="K285" s="3">
        <f>K198-J198</f>
        <v>-6.986</v>
      </c>
      <c r="L285" s="3">
        <f>L198-K198</f>
        <v>18.356</v>
      </c>
      <c r="M285" s="3">
        <f>SUM(I285:L285)</f>
        <v>0.643999999999998</v>
      </c>
      <c r="N285" s="3">
        <f>N198-M198</f>
        <v>18.271</v>
      </c>
      <c r="O285" s="3">
        <f>O198-N198</f>
        <v>10.441</v>
      </c>
      <c r="P285" s="3">
        <f>P198-O198</f>
        <v>-0.546000000000007</v>
      </c>
      <c r="Q285" s="3">
        <f>Q198-P198</f>
        <v>-6.155</v>
      </c>
      <c r="R285" s="3">
        <f>SUM(N285:Q285)</f>
        <v>22.011</v>
      </c>
      <c r="S285" s="3">
        <f>S198-R198</f>
        <v>-1.33199999999999</v>
      </c>
      <c r="T285" s="3">
        <f>T198-S198</f>
        <v>-13.509</v>
      </c>
      <c r="U285" s="3">
        <f>U198-T198</f>
        <v>0.0790000000000006</v>
      </c>
      <c r="V285" s="3">
        <f>V198-U198</f>
        <v>8.474</v>
      </c>
      <c r="W285" s="3">
        <f>SUM(S285:V285)</f>
        <v>-6.288</v>
      </c>
      <c r="X285" s="3">
        <f>X198-W198</f>
        <v>-6.584</v>
      </c>
      <c r="Y285" s="3">
        <f>Y198-X198</f>
        <v>14.05</v>
      </c>
      <c r="Z285" s="3">
        <f>Z198-Y198</f>
        <v>1.39700000000001</v>
      </c>
      <c r="AA285" s="3">
        <f>AA198-Z198</f>
        <v>38.327</v>
      </c>
      <c r="AB285" s="3">
        <f>SUM(X285:AA285)</f>
        <v>47.19</v>
      </c>
      <c r="AC285" s="3">
        <f>AC198-AB198</f>
        <v>5.137</v>
      </c>
      <c r="AD285" s="3">
        <f>AD198-AC198</f>
        <v>66.315</v>
      </c>
      <c r="AE285" s="3">
        <f>AE198-AD198</f>
        <v>-39.687</v>
      </c>
      <c r="AF285" s="3">
        <f>AF198-AE198</f>
        <v>7.30000000000001</v>
      </c>
      <c r="AG285" s="3">
        <f>SUM(AC285:AF285)</f>
        <v>39.065</v>
      </c>
      <c r="AH285" s="3">
        <f>AH198-AG198</f>
        <v>22.177</v>
      </c>
      <c r="AI285" s="3">
        <f>AI198-AH198</f>
        <v>197.068</v>
      </c>
      <c r="AJ285" s="3">
        <f>AJ198-AI198</f>
        <v>-365.033</v>
      </c>
      <c r="AK285" s="3">
        <f>AK198-AJ198</f>
        <v>0</v>
      </c>
      <c r="AL285" s="3">
        <f>SUM(AH285:AK285)</f>
        <v>-145.788</v>
      </c>
      <c r="AM285" s="3">
        <f>AM198-AL198</f>
        <v>0</v>
      </c>
      <c r="AN285" s="3">
        <f>AN198-AM198</f>
        <v>0</v>
      </c>
      <c r="AO285" s="3">
        <f>AO198-AN198</f>
        <v>0</v>
      </c>
      <c r="AP285" s="3">
        <f>AP198-AO198</f>
        <v>0</v>
      </c>
      <c r="AQ285" s="3">
        <f>SUM(AM285:AP285)</f>
        <v>0</v>
      </c>
      <c r="AR285" s="3">
        <f>AR198-AQ198</f>
        <v>0</v>
      </c>
      <c r="AS285" s="3">
        <f>AS198-AR198</f>
        <v>0</v>
      </c>
      <c r="AT285" s="3">
        <f>AT198-AS198</f>
        <v>0</v>
      </c>
      <c r="AU285" s="3">
        <f>AU198-AT198</f>
        <v>0</v>
      </c>
      <c r="AV285" s="3">
        <f>SUM(AR285:AU285)</f>
        <v>0</v>
      </c>
      <c r="AW285" s="3">
        <f>AW198-AV198</f>
        <v>0</v>
      </c>
      <c r="AX285" s="3">
        <f>AX198-AW198</f>
        <v>0</v>
      </c>
      <c r="AY285" s="3">
        <f>AY198-AX198</f>
        <v>0</v>
      </c>
      <c r="AZ285" s="3">
        <f>AZ198-AY198</f>
        <v>0</v>
      </c>
      <c r="BA285" s="3">
        <f>SUM(AW285:AZ285)</f>
        <v>0</v>
      </c>
      <c r="BB285" s="3">
        <f>BB198-BA198</f>
        <v>0</v>
      </c>
      <c r="BC285" s="3">
        <f>BC198-BB198</f>
        <v>0</v>
      </c>
      <c r="BD285" s="3">
        <f>BD198-BC198</f>
        <v>0</v>
      </c>
      <c r="BE285" s="3">
        <f>BE198-BD198</f>
        <v>0</v>
      </c>
      <c r="BF285" s="3">
        <f>SUM(BB285:BE285)</f>
        <v>0</v>
      </c>
      <c r="BG285" s="3">
        <f>BG198-BF198</f>
        <v>0</v>
      </c>
      <c r="BH285" s="3">
        <f>BH198-BG198</f>
        <v>0</v>
      </c>
      <c r="BI285" s="3">
        <f>BI198-BH198</f>
        <v>0</v>
      </c>
      <c r="BJ285" s="3">
        <f>BJ198-BI198</f>
        <v>0</v>
      </c>
      <c r="BK285" s="3">
        <f>SUM(BG285:BJ285)</f>
        <v>0</v>
      </c>
      <c r="BL285" s="3">
        <f>BL198-BK198</f>
        <v>0</v>
      </c>
      <c r="BM285" s="3">
        <f>BM198-BL198</f>
        <v>0</v>
      </c>
      <c r="BN285" s="3">
        <f>BN198-BM198</f>
        <v>0</v>
      </c>
      <c r="BO285" s="3">
        <f>BO198-BN198</f>
        <v>0</v>
      </c>
      <c r="BP285" s="3">
        <f>SUM(BL285:BO285)</f>
        <v>0</v>
      </c>
      <c r="BQ285" s="3">
        <f>BQ198-BP198</f>
        <v>0</v>
      </c>
      <c r="BR285" s="3">
        <f>BR198-BQ198</f>
        <v>0</v>
      </c>
      <c r="BS285" s="3">
        <f>BS198-BR198</f>
        <v>0</v>
      </c>
      <c r="BT285" s="3">
        <f>BT198-BS198</f>
        <v>0</v>
      </c>
      <c r="BU285" s="3">
        <f>SUM(BQ285:BT285)</f>
        <v>0</v>
      </c>
      <c r="BV285" s="3">
        <f>BV198-BU198</f>
        <v>0</v>
      </c>
      <c r="BW285" s="3">
        <f>BW198-BV198</f>
        <v>0</v>
      </c>
      <c r="BX285" s="3">
        <f>BX198-BW198</f>
        <v>0</v>
      </c>
      <c r="BY285" s="3">
        <f>BY198-BX198</f>
        <v>0</v>
      </c>
      <c r="BZ285" s="3">
        <f>SUM(BV285:BY285)</f>
        <v>0</v>
      </c>
      <c r="CA285" s="3">
        <f>CA198-BZ198</f>
        <v>0</v>
      </c>
      <c r="CB285" s="3">
        <f>CB198-CA198</f>
        <v>0</v>
      </c>
      <c r="CC285" s="3">
        <f>CC198-CB198</f>
        <v>0</v>
      </c>
      <c r="CD285" s="3">
        <f>CD198-CC198</f>
        <v>0</v>
      </c>
      <c r="CE285" s="3">
        <f>SUM(CA285:CD285)</f>
        <v>0</v>
      </c>
      <c r="CF285" s="3">
        <f>CF198-CE198</f>
        <v>0</v>
      </c>
      <c r="CG285" s="3">
        <f>CG198-CF198</f>
        <v>0</v>
      </c>
      <c r="CH285" s="3">
        <f>CH198-CG198</f>
        <v>0</v>
      </c>
      <c r="CI285" s="3">
        <f>CI198-CH198</f>
        <v>0</v>
      </c>
      <c r="CJ285" s="3">
        <f>SUM(CF285:CI285)</f>
        <v>0</v>
      </c>
      <c r="CK285" s="3">
        <f>CK198-CJ198</f>
        <v>0</v>
      </c>
      <c r="CL285" s="3">
        <f>CL198-CK198</f>
        <v>0</v>
      </c>
      <c r="CM285" s="3">
        <f>CM198-CL198</f>
        <v>0</v>
      </c>
      <c r="CN285" s="3">
        <f>CN198-CM198</f>
        <v>0</v>
      </c>
      <c r="CO285" s="3">
        <f>SUM(CK285:CN285)</f>
        <v>0</v>
      </c>
      <c r="CP285" s="3">
        <f>CP198-CO198</f>
        <v>0</v>
      </c>
      <c r="CQ285" s="3">
        <f>CQ198-CP198</f>
        <v>0</v>
      </c>
      <c r="CR285" s="3">
        <f>CR198-CQ198</f>
        <v>0</v>
      </c>
      <c r="CS285" s="3">
        <f>CS198-CR198</f>
        <v>0</v>
      </c>
      <c r="CT285" s="3">
        <f>SUM(CP285:CS285)</f>
        <v>0</v>
      </c>
      <c r="CU285" s="3">
        <f>CU198-CT198</f>
        <v>0</v>
      </c>
      <c r="CV285" s="3">
        <f>CV198-CU198</f>
        <v>0</v>
      </c>
      <c r="CW285" s="3">
        <f>CW198-CV198</f>
        <v>0</v>
      </c>
      <c r="CX285" s="3">
        <f>CX198-CW198</f>
        <v>0</v>
      </c>
      <c r="CY285" s="3">
        <f>SUM(CU285:CX285)</f>
        <v>0</v>
      </c>
    </row>
    <row r="286" hidden="1" outlineLevel="1">
      <c r="C286" s="29" t="inlineStr">
        <is>
          <t>Accrued expenses</t>
        </is>
      </c>
      <c r="D286" s="3" t="n"/>
      <c r="E286" s="3">
        <f>E202-D202</f>
        <v>3.302</v>
      </c>
      <c r="F286" s="3">
        <f>F202-E202</f>
        <v>0.227</v>
      </c>
      <c r="G286" s="3">
        <f>G202-F202</f>
        <v>-4.323</v>
      </c>
      <c r="H286" s="3">
        <f>SUM(D286:G286)</f>
        <v>-0.794000000000001</v>
      </c>
      <c r="I286" s="3">
        <f>I202-H202</f>
        <v>26.05</v>
      </c>
      <c r="J286" s="3">
        <f>J202-I202</f>
        <v>0.210000000000001</v>
      </c>
      <c r="K286" s="3">
        <f>K202-J202</f>
        <v>-19.716</v>
      </c>
      <c r="L286" s="3">
        <f>L202-K202</f>
        <v>-3.623</v>
      </c>
      <c r="M286" s="3">
        <f>SUM(I286:L286)</f>
        <v>2.921</v>
      </c>
      <c r="N286" s="3">
        <f>N202-M202</f>
        <v>2.901</v>
      </c>
      <c r="O286" s="3">
        <f>O202-N202</f>
        <v>12.348</v>
      </c>
      <c r="P286" s="3">
        <f>P202-O202</f>
        <v>4.1</v>
      </c>
      <c r="Q286" s="3">
        <f>Q202-P202</f>
        <v>-7.21</v>
      </c>
      <c r="R286" s="3">
        <f>SUM(N286:Q286)</f>
        <v>12.139</v>
      </c>
      <c r="S286" s="3">
        <f>S202-R202</f>
        <v>3.776</v>
      </c>
      <c r="T286" s="3">
        <f>T202-S202</f>
        <v>2.396</v>
      </c>
      <c r="U286" s="3">
        <f>U202-T202</f>
        <v>3.11</v>
      </c>
      <c r="V286" s="3">
        <f>V202-U202</f>
        <v>-8.883</v>
      </c>
      <c r="W286" s="3">
        <f>SUM(S286:V286)</f>
        <v>0.399000000000001</v>
      </c>
      <c r="X286" s="3">
        <f>X202-W202</f>
        <v>3.743</v>
      </c>
      <c r="Y286" s="3">
        <f>Y202-X202</f>
        <v>5.022</v>
      </c>
      <c r="Z286" s="3">
        <f>Z202-Y202</f>
        <v>2.183</v>
      </c>
      <c r="AA286" s="3">
        <f>AA202-Z202</f>
        <v>-4.10299999999999</v>
      </c>
      <c r="AB286" s="3">
        <f>SUM(X286:AA286)</f>
        <v>6.845</v>
      </c>
      <c r="AC286" s="3">
        <f>AC202-AB202</f>
        <v>1.556</v>
      </c>
      <c r="AD286" s="3">
        <f>AD202-AC202</f>
        <v>4.995</v>
      </c>
      <c r="AE286" s="3">
        <f>AE202-AD202</f>
        <v>2.08300000000001</v>
      </c>
      <c r="AF286" s="3">
        <f>AF202-AE202</f>
        <v>-8.833</v>
      </c>
      <c r="AG286" s="3">
        <f>SUM(AC286:AF286)</f>
        <v>-0.199000000000002</v>
      </c>
      <c r="AH286" s="3">
        <f>AH202-AG202</f>
        <v>3.826</v>
      </c>
      <c r="AI286" s="3">
        <f>AI202-AH202</f>
        <v>183.908</v>
      </c>
      <c r="AJ286" s="3">
        <f>AJ202-AI202</f>
        <v>-219.628</v>
      </c>
      <c r="AK286" s="3">
        <f>AK202-AJ202</f>
        <v>0</v>
      </c>
      <c r="AL286" s="3">
        <f>SUM(AH286:AK286)</f>
        <v>-31.894</v>
      </c>
      <c r="AM286" s="3" t="e">
        <f>AM202-AL202</f>
        <v>#DIV/0!</v>
      </c>
      <c r="AN286" s="3" t="e">
        <f>AN202-AM202</f>
        <v>#DIV/0!</v>
      </c>
      <c r="AO286" s="3" t="e">
        <f>AO202-AN202</f>
        <v>#DIV/0!</v>
      </c>
      <c r="AP286" s="3" t="e">
        <f>AP202-AO202</f>
        <v>#DIV/0!</v>
      </c>
      <c r="AQ286" s="3" t="e">
        <f>SUM(AM286:AP286)</f>
        <v>#DIV/0!</v>
      </c>
      <c r="AR286" s="3" t="e">
        <f>AR202-AQ202</f>
        <v>#DIV/0!</v>
      </c>
      <c r="AS286" s="3" t="e">
        <f>AS202-AR202</f>
        <v>#DIV/0!</v>
      </c>
      <c r="AT286" s="3" t="e">
        <f>AT202-AS202</f>
        <v>#DIV/0!</v>
      </c>
      <c r="AU286" s="3" t="e">
        <f>AU202-AT202</f>
        <v>#DIV/0!</v>
      </c>
      <c r="AV286" s="3" t="e">
        <f>SUM(AR286:AU286)</f>
        <v>#DIV/0!</v>
      </c>
      <c r="AW286" s="3" t="e">
        <f>AW202-AV202</f>
        <v>#DIV/0!</v>
      </c>
      <c r="AX286" s="3" t="e">
        <f>AX202-AW202</f>
        <v>#DIV/0!</v>
      </c>
      <c r="AY286" s="3" t="e">
        <f>AY202-AX202</f>
        <v>#DIV/0!</v>
      </c>
      <c r="AZ286" s="3" t="e">
        <f>AZ202-AY202</f>
        <v>#DIV/0!</v>
      </c>
      <c r="BA286" s="3" t="e">
        <f>SUM(AW286:AZ286)</f>
        <v>#DIV/0!</v>
      </c>
      <c r="BB286" s="3" t="e">
        <f>BB202-BA202</f>
        <v>#DIV/0!</v>
      </c>
      <c r="BC286" s="3" t="e">
        <f>BC202-BB202</f>
        <v>#DIV/0!</v>
      </c>
      <c r="BD286" s="3" t="e">
        <f>BD202-BC202</f>
        <v>#DIV/0!</v>
      </c>
      <c r="BE286" s="3" t="e">
        <f>BE202-BD202</f>
        <v>#DIV/0!</v>
      </c>
      <c r="BF286" s="3" t="e">
        <f>SUM(BB286:BE286)</f>
        <v>#DIV/0!</v>
      </c>
      <c r="BG286" s="3" t="e">
        <f>BG202-BF202</f>
        <v>#DIV/0!</v>
      </c>
      <c r="BH286" s="3" t="e">
        <f>BH202-BG202</f>
        <v>#DIV/0!</v>
      </c>
      <c r="BI286" s="3" t="e">
        <f>BI202-BH202</f>
        <v>#DIV/0!</v>
      </c>
      <c r="BJ286" s="3" t="e">
        <f>BJ202-BI202</f>
        <v>#DIV/0!</v>
      </c>
      <c r="BK286" s="3" t="e">
        <f>SUM(BG286:BJ286)</f>
        <v>#DIV/0!</v>
      </c>
      <c r="BL286" s="3" t="e">
        <f>BL202-BK202</f>
        <v>#DIV/0!</v>
      </c>
      <c r="BM286" s="3" t="e">
        <f>BM202-BL202</f>
        <v>#DIV/0!</v>
      </c>
      <c r="BN286" s="3" t="e">
        <f>BN202-BM202</f>
        <v>#DIV/0!</v>
      </c>
      <c r="BO286" s="3" t="e">
        <f>BO202-BN202</f>
        <v>#DIV/0!</v>
      </c>
      <c r="BP286" s="3" t="e">
        <f>SUM(BL286:BO286)</f>
        <v>#DIV/0!</v>
      </c>
      <c r="BQ286" s="3" t="e">
        <f>BQ202-BP202</f>
        <v>#DIV/0!</v>
      </c>
      <c r="BR286" s="3" t="e">
        <f>BR202-BQ202</f>
        <v>#DIV/0!</v>
      </c>
      <c r="BS286" s="3" t="e">
        <f>BS202-BR202</f>
        <v>#DIV/0!</v>
      </c>
      <c r="BT286" s="3" t="e">
        <f>BT202-BS202</f>
        <v>#DIV/0!</v>
      </c>
      <c r="BU286" s="3" t="e">
        <f>SUM(BQ286:BT286)</f>
        <v>#DIV/0!</v>
      </c>
      <c r="BV286" s="3" t="e">
        <f>BV202-BU202</f>
        <v>#DIV/0!</v>
      </c>
      <c r="BW286" s="3" t="e">
        <f>BW202-BV202</f>
        <v>#DIV/0!</v>
      </c>
      <c r="BX286" s="3" t="e">
        <f>BX202-BW202</f>
        <v>#DIV/0!</v>
      </c>
      <c r="BY286" s="3" t="e">
        <f>BY202-BX202</f>
        <v>#DIV/0!</v>
      </c>
      <c r="BZ286" s="3" t="e">
        <f>SUM(BV286:BY286)</f>
        <v>#DIV/0!</v>
      </c>
      <c r="CA286" s="3" t="e">
        <f>CA202-BZ202</f>
        <v>#DIV/0!</v>
      </c>
      <c r="CB286" s="3" t="e">
        <f>CB202-CA202</f>
        <v>#DIV/0!</v>
      </c>
      <c r="CC286" s="3" t="e">
        <f>CC202-CB202</f>
        <v>#DIV/0!</v>
      </c>
      <c r="CD286" s="3" t="e">
        <f>CD202-CC202</f>
        <v>#DIV/0!</v>
      </c>
      <c r="CE286" s="3" t="e">
        <f>SUM(CA286:CD286)</f>
        <v>#DIV/0!</v>
      </c>
      <c r="CF286" s="3" t="e">
        <f>CF202-CE202</f>
        <v>#DIV/0!</v>
      </c>
      <c r="CG286" s="3" t="e">
        <f>CG202-CF202</f>
        <v>#DIV/0!</v>
      </c>
      <c r="CH286" s="3" t="e">
        <f>CH202-CG202</f>
        <v>#DIV/0!</v>
      </c>
      <c r="CI286" s="3" t="e">
        <f>CI202-CH202</f>
        <v>#DIV/0!</v>
      </c>
      <c r="CJ286" s="3" t="e">
        <f>SUM(CF286:CI286)</f>
        <v>#DIV/0!</v>
      </c>
      <c r="CK286" s="3" t="e">
        <f>CK202-CJ202</f>
        <v>#DIV/0!</v>
      </c>
      <c r="CL286" s="3" t="e">
        <f>CL202-CK202</f>
        <v>#DIV/0!</v>
      </c>
      <c r="CM286" s="3" t="e">
        <f>CM202-CL202</f>
        <v>#DIV/0!</v>
      </c>
      <c r="CN286" s="3" t="e">
        <f>CN202-CM202</f>
        <v>#DIV/0!</v>
      </c>
      <c r="CO286" s="3" t="e">
        <f>SUM(CK286:CN286)</f>
        <v>#DIV/0!</v>
      </c>
      <c r="CP286" s="3" t="e">
        <f>CP202-CO202</f>
        <v>#DIV/0!</v>
      </c>
      <c r="CQ286" s="3" t="e">
        <f>CQ202-CP202</f>
        <v>#DIV/0!</v>
      </c>
      <c r="CR286" s="3" t="e">
        <f>CR202-CQ202</f>
        <v>#DIV/0!</v>
      </c>
      <c r="CS286" s="3" t="e">
        <f>CS202-CR202</f>
        <v>#DIV/0!</v>
      </c>
      <c r="CT286" s="3" t="e">
        <f>SUM(CP286:CS286)</f>
        <v>#DIV/0!</v>
      </c>
      <c r="CU286" s="3" t="e">
        <f>CU202-CT202</f>
        <v>#DIV/0!</v>
      </c>
      <c r="CV286" s="3" t="e">
        <f>CV202-CU202</f>
        <v>#DIV/0!</v>
      </c>
      <c r="CW286" s="3" t="e">
        <f>CW202-CV202</f>
        <v>#DIV/0!</v>
      </c>
      <c r="CX286" s="3" t="e">
        <f>CX202-CW202</f>
        <v>#DIV/0!</v>
      </c>
      <c r="CY286" s="3" t="e">
        <f>SUM(CU286:CX286)</f>
        <v>#DIV/0!</v>
      </c>
    </row>
    <row r="287" hidden="1" outlineLevel="1">
      <c r="C287" s="29" t="inlineStr">
        <is>
          <t>Taxes payable</t>
        </is>
      </c>
      <c r="D287" s="3" t="n"/>
      <c r="E287" s="3">
        <f>E204-D204</f>
        <v>8.75</v>
      </c>
      <c r="F287" s="3">
        <f>F204-E204</f>
        <v>6.979</v>
      </c>
      <c r="G287" s="3">
        <f>G204-F204</f>
        <v>1.047</v>
      </c>
      <c r="H287" s="3">
        <f>SUM(D287:G287)</f>
        <v>16.776</v>
      </c>
      <c r="I287" s="3">
        <f>I204-H204</f>
        <v>-3.906</v>
      </c>
      <c r="J287" s="3">
        <f>J204-I204</f>
        <v>-0.0969999999999942</v>
      </c>
      <c r="K287" s="3">
        <f>K204-J204</f>
        <v>-1.042</v>
      </c>
      <c r="L287" s="3">
        <f>L204-K204</f>
        <v>-2.484</v>
      </c>
      <c r="M287" s="3">
        <f>SUM(I287:L287)</f>
        <v>-7.529</v>
      </c>
      <c r="N287" s="3">
        <f>N204-M204</f>
        <v>-6.264</v>
      </c>
      <c r="O287" s="3">
        <f>O204-N204</f>
        <v>13.785</v>
      </c>
      <c r="P287" s="3">
        <f>P204-O204</f>
        <v>6.474</v>
      </c>
      <c r="Q287" s="3">
        <f>Q204-P204</f>
        <v>13.708</v>
      </c>
      <c r="R287" s="3">
        <f>SUM(N287:Q287)</f>
        <v>27.703</v>
      </c>
      <c r="S287" s="3">
        <f>S204-R204</f>
        <v>-2.961</v>
      </c>
      <c r="T287" s="3">
        <f>T204-S204</f>
        <v>-7.903</v>
      </c>
      <c r="U287" s="3">
        <f>U204-T204</f>
        <v>0.244</v>
      </c>
      <c r="V287" s="3">
        <f>V204-U204</f>
        <v>0.174</v>
      </c>
      <c r="W287" s="3">
        <f>SUM(S287:V287)</f>
        <v>-10.446</v>
      </c>
      <c r="X287" s="3">
        <f>X204-W204</f>
        <v>8.482</v>
      </c>
      <c r="Y287" s="3">
        <f>Y204-X204</f>
        <v>-5.91199999999999</v>
      </c>
      <c r="Z287" s="3">
        <f>Z204-Y204</f>
        <v>-2.77300000000001</v>
      </c>
      <c r="AA287" s="3">
        <f>AA204-Z204</f>
        <v>11.521</v>
      </c>
      <c r="AB287" s="3">
        <f>SUM(X287:AA287)</f>
        <v>11.318</v>
      </c>
      <c r="AC287" s="3">
        <f>AC204-AB204</f>
        <v>-6.305</v>
      </c>
      <c r="AD287" s="3">
        <f>AD204-AC204</f>
        <v>-1.767</v>
      </c>
      <c r="AE287" s="3">
        <f>AE204-AD204</f>
        <v>2.594</v>
      </c>
      <c r="AF287" s="3">
        <f>AF204-AE204</f>
        <v>-4.274</v>
      </c>
      <c r="AG287" s="3">
        <f>SUM(AC287:AF287)</f>
        <v>-9.752</v>
      </c>
      <c r="AH287" s="3">
        <f>AH204-AG204</f>
        <v>11.767</v>
      </c>
      <c r="AI287" s="3">
        <f>AI204-AH204</f>
        <v>40.28</v>
      </c>
      <c r="AJ287" s="3">
        <f>AJ204-AI204</f>
        <v>-109.744</v>
      </c>
      <c r="AK287" s="3">
        <f>AK204-AJ204</f>
        <v>0</v>
      </c>
      <c r="AL287" s="3">
        <f>SUM(AH287:AK287)</f>
        <v>-57.697</v>
      </c>
      <c r="AM287" s="3" t="e">
        <f>AM204-AL204</f>
        <v>#DIV/0!</v>
      </c>
      <c r="AN287" s="3" t="e">
        <f>AN204-AM204</f>
        <v>#DIV/0!</v>
      </c>
      <c r="AO287" s="3" t="e">
        <f>AO204-AN204</f>
        <v>#DIV/0!</v>
      </c>
      <c r="AP287" s="3" t="e">
        <f>AP204-AO204</f>
        <v>#DIV/0!</v>
      </c>
      <c r="AQ287" s="3" t="e">
        <f>SUM(AM287:AP287)</f>
        <v>#DIV/0!</v>
      </c>
      <c r="AR287" s="3" t="e">
        <f>AR204-AQ204</f>
        <v>#DIV/0!</v>
      </c>
      <c r="AS287" s="3" t="e">
        <f>AS204-AR204</f>
        <v>#DIV/0!</v>
      </c>
      <c r="AT287" s="3" t="e">
        <f>AT204-AS204</f>
        <v>#DIV/0!</v>
      </c>
      <c r="AU287" s="3" t="e">
        <f>AU204-AT204</f>
        <v>#DIV/0!</v>
      </c>
      <c r="AV287" s="3" t="e">
        <f>SUM(AR287:AU287)</f>
        <v>#DIV/0!</v>
      </c>
      <c r="AW287" s="3" t="e">
        <f>AW204-AV204</f>
        <v>#DIV/0!</v>
      </c>
      <c r="AX287" s="3" t="e">
        <f>AX204-AW204</f>
        <v>#DIV/0!</v>
      </c>
      <c r="AY287" s="3" t="e">
        <f>AY204-AX204</f>
        <v>#DIV/0!</v>
      </c>
      <c r="AZ287" s="3" t="e">
        <f>AZ204-AY204</f>
        <v>#DIV/0!</v>
      </c>
      <c r="BA287" s="3" t="e">
        <f>SUM(AW287:AZ287)</f>
        <v>#DIV/0!</v>
      </c>
      <c r="BB287" s="3" t="e">
        <f>BB204-BA204</f>
        <v>#DIV/0!</v>
      </c>
      <c r="BC287" s="3" t="e">
        <f>BC204-BB204</f>
        <v>#DIV/0!</v>
      </c>
      <c r="BD287" s="3" t="e">
        <f>BD204-BC204</f>
        <v>#DIV/0!</v>
      </c>
      <c r="BE287" s="3" t="e">
        <f>BE204-BD204</f>
        <v>#DIV/0!</v>
      </c>
      <c r="BF287" s="3" t="e">
        <f>SUM(BB287:BE287)</f>
        <v>#DIV/0!</v>
      </c>
      <c r="BG287" s="3" t="e">
        <f>BG204-BF204</f>
        <v>#DIV/0!</v>
      </c>
      <c r="BH287" s="3" t="e">
        <f>BH204-BG204</f>
        <v>#DIV/0!</v>
      </c>
      <c r="BI287" s="3" t="e">
        <f>BI204-BH204</f>
        <v>#DIV/0!</v>
      </c>
      <c r="BJ287" s="3" t="e">
        <f>BJ204-BI204</f>
        <v>#DIV/0!</v>
      </c>
      <c r="BK287" s="3" t="e">
        <f>SUM(BG287:BJ287)</f>
        <v>#DIV/0!</v>
      </c>
      <c r="BL287" s="3" t="e">
        <f>BL204-BK204</f>
        <v>#DIV/0!</v>
      </c>
      <c r="BM287" s="3" t="e">
        <f>BM204-BL204</f>
        <v>#DIV/0!</v>
      </c>
      <c r="BN287" s="3" t="e">
        <f>BN204-BM204</f>
        <v>#DIV/0!</v>
      </c>
      <c r="BO287" s="3" t="e">
        <f>BO204-BN204</f>
        <v>#DIV/0!</v>
      </c>
      <c r="BP287" s="3" t="e">
        <f>SUM(BL287:BO287)</f>
        <v>#DIV/0!</v>
      </c>
      <c r="BQ287" s="3" t="e">
        <f>BQ204-BP204</f>
        <v>#DIV/0!</v>
      </c>
      <c r="BR287" s="3" t="e">
        <f>BR204-BQ204</f>
        <v>#DIV/0!</v>
      </c>
      <c r="BS287" s="3" t="e">
        <f>BS204-BR204</f>
        <v>#DIV/0!</v>
      </c>
      <c r="BT287" s="3" t="e">
        <f>BT204-BS204</f>
        <v>#DIV/0!</v>
      </c>
      <c r="BU287" s="3" t="e">
        <f>SUM(BQ287:BT287)</f>
        <v>#DIV/0!</v>
      </c>
      <c r="BV287" s="3" t="e">
        <f>BV204-BU204</f>
        <v>#DIV/0!</v>
      </c>
      <c r="BW287" s="3" t="e">
        <f>BW204-BV204</f>
        <v>#DIV/0!</v>
      </c>
      <c r="BX287" s="3" t="e">
        <f>BX204-BW204</f>
        <v>#DIV/0!</v>
      </c>
      <c r="BY287" s="3" t="e">
        <f>BY204-BX204</f>
        <v>#DIV/0!</v>
      </c>
      <c r="BZ287" s="3" t="e">
        <f>SUM(BV287:BY287)</f>
        <v>#DIV/0!</v>
      </c>
      <c r="CA287" s="3" t="e">
        <f>CA204-BZ204</f>
        <v>#DIV/0!</v>
      </c>
      <c r="CB287" s="3" t="e">
        <f>CB204-CA204</f>
        <v>#DIV/0!</v>
      </c>
      <c r="CC287" s="3" t="e">
        <f>CC204-CB204</f>
        <v>#DIV/0!</v>
      </c>
      <c r="CD287" s="3" t="e">
        <f>CD204-CC204</f>
        <v>#DIV/0!</v>
      </c>
      <c r="CE287" s="3" t="e">
        <f>SUM(CA287:CD287)</f>
        <v>#DIV/0!</v>
      </c>
      <c r="CF287" s="3" t="e">
        <f>CF204-CE204</f>
        <v>#DIV/0!</v>
      </c>
      <c r="CG287" s="3" t="e">
        <f>CG204-CF204</f>
        <v>#DIV/0!</v>
      </c>
      <c r="CH287" s="3" t="e">
        <f>CH204-CG204</f>
        <v>#DIV/0!</v>
      </c>
      <c r="CI287" s="3" t="e">
        <f>CI204-CH204</f>
        <v>#DIV/0!</v>
      </c>
      <c r="CJ287" s="3" t="e">
        <f>SUM(CF287:CI287)</f>
        <v>#DIV/0!</v>
      </c>
      <c r="CK287" s="3" t="e">
        <f>CK204-CJ204</f>
        <v>#DIV/0!</v>
      </c>
      <c r="CL287" s="3" t="e">
        <f>CL204-CK204</f>
        <v>#DIV/0!</v>
      </c>
      <c r="CM287" s="3" t="e">
        <f>CM204-CL204</f>
        <v>#DIV/0!</v>
      </c>
      <c r="CN287" s="3" t="e">
        <f>CN204-CM204</f>
        <v>#DIV/0!</v>
      </c>
      <c r="CO287" s="3" t="e">
        <f>SUM(CK287:CN287)</f>
        <v>#DIV/0!</v>
      </c>
      <c r="CP287" s="3" t="e">
        <f>CP204-CO204</f>
        <v>#DIV/0!</v>
      </c>
      <c r="CQ287" s="3" t="e">
        <f>CQ204-CP204</f>
        <v>#DIV/0!</v>
      </c>
      <c r="CR287" s="3" t="e">
        <f>CR204-CQ204</f>
        <v>#DIV/0!</v>
      </c>
      <c r="CS287" s="3" t="e">
        <f>CS204-CR204</f>
        <v>#DIV/0!</v>
      </c>
      <c r="CT287" s="3" t="e">
        <f>SUM(CP287:CS287)</f>
        <v>#DIV/0!</v>
      </c>
      <c r="CU287" s="3" t="e">
        <f>CU204-CT204</f>
        <v>#DIV/0!</v>
      </c>
      <c r="CV287" s="3" t="e">
        <f>CV204-CU204</f>
        <v>#DIV/0!</v>
      </c>
      <c r="CW287" s="3" t="e">
        <f>CW204-CV204</f>
        <v>#DIV/0!</v>
      </c>
      <c r="CX287" s="3" t="e">
        <f>CX204-CW204</f>
        <v>#DIV/0!</v>
      </c>
      <c r="CY287" s="3" t="e">
        <f>SUM(CU287:CX287)</f>
        <v>#DIV/0!</v>
      </c>
    </row>
    <row r="288" hidden="1" outlineLevel="1">
      <c r="C288" s="29" t="inlineStr">
        <is>
          <t>Other current liabilities (non-debt)</t>
        </is>
      </c>
      <c r="D288" s="3" t="n"/>
      <c r="E288" s="3">
        <f>E205-D205</f>
        <v>0.428999999999995</v>
      </c>
      <c r="F288" s="3">
        <f>F205-E205</f>
        <v>15.371</v>
      </c>
      <c r="G288" s="3">
        <f>G205-F205</f>
        <v>-14.152</v>
      </c>
      <c r="H288" s="3">
        <f>SUM(D288:G288)</f>
        <v>1.648</v>
      </c>
      <c r="I288" s="3">
        <f>I205-H205</f>
        <v>13.275</v>
      </c>
      <c r="J288" s="3">
        <f>J205-I205</f>
        <v>11.811</v>
      </c>
      <c r="K288" s="3">
        <f>K205-J205</f>
        <v>-16.32</v>
      </c>
      <c r="L288" s="3">
        <f>L205-K205</f>
        <v>8.193</v>
      </c>
      <c r="M288" s="3">
        <f>SUM(I288:L288)</f>
        <v>16.959</v>
      </c>
      <c r="N288" s="3">
        <f>N205-M205</f>
        <v>3.119</v>
      </c>
      <c r="O288" s="3">
        <f>O205-N205</f>
        <v>-0.650999999999996</v>
      </c>
      <c r="P288" s="3">
        <f>P205-O205</f>
        <v>10.167</v>
      </c>
      <c r="Q288" s="3">
        <f>Q205-P205</f>
        <v>32.848</v>
      </c>
      <c r="R288" s="3">
        <f>SUM(N288:Q288)</f>
        <v>45.483</v>
      </c>
      <c r="S288" s="3">
        <f>S205-R205</f>
        <v>-26.662</v>
      </c>
      <c r="T288" s="3">
        <f>T205-S205</f>
        <v>-15.355</v>
      </c>
      <c r="U288" s="3">
        <f>U205-T205</f>
        <v>-9.231</v>
      </c>
      <c r="V288" s="3">
        <f>V205-U205</f>
        <v>-18.681</v>
      </c>
      <c r="W288" s="3">
        <f>SUM(S288:V288)</f>
        <v>-69.929</v>
      </c>
      <c r="X288" s="3">
        <f>X205-W205</f>
        <v>-1.417</v>
      </c>
      <c r="Y288" s="3">
        <f>Y205-X205</f>
        <v>-2.865</v>
      </c>
      <c r="Z288" s="3">
        <f>Z205-Y205</f>
        <v>0.0240000000000009</v>
      </c>
      <c r="AA288" s="3">
        <f>AA205-Z205</f>
        <v>-8.069</v>
      </c>
      <c r="AB288" s="3">
        <f>SUM(X288:AA288)</f>
        <v>-12.327</v>
      </c>
      <c r="AC288" s="3">
        <f>AC205-AB205</f>
        <v>-6.471</v>
      </c>
      <c r="AD288" s="3">
        <f>AD205-AC205</f>
        <v>2.909</v>
      </c>
      <c r="AE288" s="3">
        <f>AE205-AD205</f>
        <v>-1.983</v>
      </c>
      <c r="AF288" s="3">
        <f>AF205-AE205</f>
        <v>81.361</v>
      </c>
      <c r="AG288" s="3">
        <f>SUM(AC288:AF288)</f>
        <v>75.816</v>
      </c>
      <c r="AH288" s="3">
        <f>AH205-AG205</f>
        <v>-16.941</v>
      </c>
      <c r="AI288" s="3">
        <f>AI205-AH205</f>
        <v>43.211</v>
      </c>
      <c r="AJ288" s="3">
        <f>AJ205-AI205</f>
        <v>0</v>
      </c>
      <c r="AK288" s="3">
        <f>AK205-AJ205</f>
        <v>0</v>
      </c>
      <c r="AL288" s="3">
        <f>SUM(AH288:AK288)</f>
        <v>26.27</v>
      </c>
      <c r="AM288" s="3">
        <f>AM205-AL205</f>
        <v>0</v>
      </c>
      <c r="AN288" s="3">
        <f>AN205-AM205</f>
        <v>0</v>
      </c>
      <c r="AO288" s="3">
        <f>AO205-AN205</f>
        <v>0</v>
      </c>
      <c r="AP288" s="3">
        <f>AP205-AO205</f>
        <v>0</v>
      </c>
      <c r="AQ288" s="3">
        <f>SUM(AM288:AP288)</f>
        <v>0</v>
      </c>
      <c r="AR288" s="3">
        <f>AR205-AQ205</f>
        <v>0</v>
      </c>
      <c r="AS288" s="3">
        <f>AS205-AR205</f>
        <v>0</v>
      </c>
      <c r="AT288" s="3">
        <f>AT205-AS205</f>
        <v>0</v>
      </c>
      <c r="AU288" s="3">
        <f>AU205-AT205</f>
        <v>0</v>
      </c>
      <c r="AV288" s="3">
        <f>SUM(AR288:AU288)</f>
        <v>0</v>
      </c>
      <c r="AW288" s="3">
        <f>AW205-AV205</f>
        <v>0</v>
      </c>
      <c r="AX288" s="3">
        <f>AX205-AW205</f>
        <v>0</v>
      </c>
      <c r="AY288" s="3">
        <f>AY205-AX205</f>
        <v>0</v>
      </c>
      <c r="AZ288" s="3">
        <f>AZ205-AY205</f>
        <v>0</v>
      </c>
      <c r="BA288" s="3">
        <f>SUM(AW288:AZ288)</f>
        <v>0</v>
      </c>
      <c r="BB288" s="3">
        <f>BB205-BA205</f>
        <v>0</v>
      </c>
      <c r="BC288" s="3">
        <f>BC205-BB205</f>
        <v>0</v>
      </c>
      <c r="BD288" s="3">
        <f>BD205-BC205</f>
        <v>0</v>
      </c>
      <c r="BE288" s="3">
        <f>BE205-BD205</f>
        <v>0</v>
      </c>
      <c r="BF288" s="3">
        <f>SUM(BB288:BE288)</f>
        <v>0</v>
      </c>
      <c r="BG288" s="3">
        <f>BG205-BF205</f>
        <v>0</v>
      </c>
      <c r="BH288" s="3">
        <f>BH205-BG205</f>
        <v>0</v>
      </c>
      <c r="BI288" s="3">
        <f>BI205-BH205</f>
        <v>0</v>
      </c>
      <c r="BJ288" s="3">
        <f>BJ205-BI205</f>
        <v>0</v>
      </c>
      <c r="BK288" s="3">
        <f>SUM(BG288:BJ288)</f>
        <v>0</v>
      </c>
      <c r="BL288" s="3">
        <f>BL205-BK205</f>
        <v>0</v>
      </c>
      <c r="BM288" s="3">
        <f>BM205-BL205</f>
        <v>0</v>
      </c>
      <c r="BN288" s="3">
        <f>BN205-BM205</f>
        <v>0</v>
      </c>
      <c r="BO288" s="3">
        <f>BO205-BN205</f>
        <v>0</v>
      </c>
      <c r="BP288" s="3">
        <f>SUM(BL288:BO288)</f>
        <v>0</v>
      </c>
      <c r="BQ288" s="3">
        <f>BQ205-BP205</f>
        <v>0</v>
      </c>
      <c r="BR288" s="3">
        <f>BR205-BQ205</f>
        <v>0</v>
      </c>
      <c r="BS288" s="3">
        <f>BS205-BR205</f>
        <v>0</v>
      </c>
      <c r="BT288" s="3">
        <f>BT205-BS205</f>
        <v>0</v>
      </c>
      <c r="BU288" s="3">
        <f>SUM(BQ288:BT288)</f>
        <v>0</v>
      </c>
      <c r="BV288" s="3">
        <f>BV205-BU205</f>
        <v>0</v>
      </c>
      <c r="BW288" s="3">
        <f>BW205-BV205</f>
        <v>0</v>
      </c>
      <c r="BX288" s="3">
        <f>BX205-BW205</f>
        <v>0</v>
      </c>
      <c r="BY288" s="3">
        <f>BY205-BX205</f>
        <v>0</v>
      </c>
      <c r="BZ288" s="3">
        <f>SUM(BV288:BY288)</f>
        <v>0</v>
      </c>
      <c r="CA288" s="3">
        <f>CA205-BZ205</f>
        <v>0</v>
      </c>
      <c r="CB288" s="3">
        <f>CB205-CA205</f>
        <v>0</v>
      </c>
      <c r="CC288" s="3">
        <f>CC205-CB205</f>
        <v>0</v>
      </c>
      <c r="CD288" s="3">
        <f>CD205-CC205</f>
        <v>0</v>
      </c>
      <c r="CE288" s="3">
        <f>SUM(CA288:CD288)</f>
        <v>0</v>
      </c>
      <c r="CF288" s="3">
        <f>CF205-CE205</f>
        <v>0</v>
      </c>
      <c r="CG288" s="3">
        <f>CG205-CF205</f>
        <v>0</v>
      </c>
      <c r="CH288" s="3">
        <f>CH205-CG205</f>
        <v>0</v>
      </c>
      <c r="CI288" s="3">
        <f>CI205-CH205</f>
        <v>0</v>
      </c>
      <c r="CJ288" s="3">
        <f>SUM(CF288:CI288)</f>
        <v>0</v>
      </c>
      <c r="CK288" s="3">
        <f>CK205-CJ205</f>
        <v>0</v>
      </c>
      <c r="CL288" s="3">
        <f>CL205-CK205</f>
        <v>0</v>
      </c>
      <c r="CM288" s="3">
        <f>CM205-CL205</f>
        <v>0</v>
      </c>
      <c r="CN288" s="3">
        <f>CN205-CM205</f>
        <v>0</v>
      </c>
      <c r="CO288" s="3">
        <f>SUM(CK288:CN288)</f>
        <v>0</v>
      </c>
      <c r="CP288" s="3">
        <f>CP205-CO205</f>
        <v>0</v>
      </c>
      <c r="CQ288" s="3">
        <f>CQ205-CP205</f>
        <v>0</v>
      </c>
      <c r="CR288" s="3">
        <f>CR205-CQ205</f>
        <v>0</v>
      </c>
      <c r="CS288" s="3">
        <f>CS205-CR205</f>
        <v>0</v>
      </c>
      <c r="CT288" s="3">
        <f>SUM(CP288:CS288)</f>
        <v>0</v>
      </c>
      <c r="CU288" s="3">
        <f>CU205-CT205</f>
        <v>0</v>
      </c>
      <c r="CV288" s="3">
        <f>CV205-CU205</f>
        <v>0</v>
      </c>
      <c r="CW288" s="3">
        <f>CW205-CV205</f>
        <v>0</v>
      </c>
      <c r="CX288" s="3">
        <f>CX205-CW205</f>
        <v>0</v>
      </c>
      <c r="CY288" s="3">
        <f>SUM(CU288:CX288)</f>
        <v>0</v>
      </c>
    </row>
    <row r="289" hidden="1" outlineLevel="1">
      <c r="C289" s="29" t="inlineStr">
        <is>
          <t>Deferred income taxes</t>
        </is>
      </c>
      <c r="D289" s="3" t="n"/>
      <c r="E289" s="3">
        <f>E239-D239</f>
        <v>0</v>
      </c>
      <c r="F289" s="3">
        <f>F239-E239</f>
        <v>0</v>
      </c>
      <c r="G289" s="3">
        <f>G239-F239</f>
        <v>-29.753</v>
      </c>
      <c r="H289" s="3">
        <f>SUM(D289:G289)</f>
        <v>-29.753</v>
      </c>
      <c r="I289" s="3">
        <f>I239-H239</f>
        <v>-5.972</v>
      </c>
      <c r="J289" s="3">
        <f>J239-I239</f>
        <v>-0.320999999999998</v>
      </c>
      <c r="K289" s="3">
        <f>K239-J239</f>
        <v>2.486</v>
      </c>
      <c r="L289" s="3">
        <f>L239-K239</f>
        <v>-10.877</v>
      </c>
      <c r="M289" s="3">
        <f>SUM(I289:L289)</f>
        <v>-14.684</v>
      </c>
      <c r="N289" s="3">
        <f>N239-M239</f>
        <v>0</v>
      </c>
      <c r="O289" s="3">
        <f>O239-N239</f>
        <v>0</v>
      </c>
      <c r="P289" s="3">
        <f>P239-O239</f>
        <v>0</v>
      </c>
      <c r="Q289" s="3">
        <f>Q239-P239</f>
        <v>-4.966</v>
      </c>
      <c r="R289" s="3">
        <f>SUM(N289:Q289)</f>
        <v>-4.966</v>
      </c>
      <c r="S289" s="3">
        <f>S239-R239</f>
        <v>0</v>
      </c>
      <c r="T289" s="3">
        <f>T239-S239</f>
        <v>0</v>
      </c>
      <c r="U289" s="3">
        <f>U239-T239</f>
        <v>0</v>
      </c>
      <c r="V289" s="3">
        <f>V239-U239</f>
        <v>0</v>
      </c>
      <c r="W289" s="3">
        <f>SUM(S289:V289)</f>
        <v>0</v>
      </c>
      <c r="X289" s="3">
        <f>X239-W239</f>
        <v>0</v>
      </c>
      <c r="Y289" s="3">
        <f>Y239-X239</f>
        <v>0</v>
      </c>
      <c r="Z289" s="3">
        <f>Z239-Y239</f>
        <v>0</v>
      </c>
      <c r="AA289" s="3">
        <f>AA239-Z239</f>
        <v>-0.459</v>
      </c>
      <c r="AB289" s="3">
        <f>SUM(X289:AA289)</f>
        <v>-0.459</v>
      </c>
      <c r="AC289" s="3">
        <f>AC239-AB239</f>
        <v>0</v>
      </c>
      <c r="AD289" s="3">
        <f>AD239-AC239</f>
        <v>0</v>
      </c>
      <c r="AE289" s="3">
        <f>AE239-AD239</f>
        <v>0</v>
      </c>
      <c r="AF289" s="3">
        <f>AF239-AE239</f>
        <v>-0.952</v>
      </c>
      <c r="AG289" s="3">
        <f>SUM(AC289:AF289)</f>
        <v>-0.952</v>
      </c>
      <c r="AH289" s="3">
        <f>AH239-AG239</f>
        <v>0</v>
      </c>
      <c r="AI289" s="3">
        <f>AI239-AH239</f>
        <v>594.558</v>
      </c>
      <c r="AJ289" s="3">
        <f>AJ239-AI239</f>
        <v>0</v>
      </c>
      <c r="AK289" s="3">
        <f>AK239-AJ239</f>
        <v>0</v>
      </c>
      <c r="AL289" s="3">
        <f>SUM(AH289:AK289)</f>
        <v>594.558</v>
      </c>
      <c r="AM289" s="3">
        <f>AM239-AL239</f>
        <v>0</v>
      </c>
      <c r="AN289" s="3">
        <f>AN239-AM239</f>
        <v>0</v>
      </c>
      <c r="AO289" s="3">
        <f>AO239-AN239</f>
        <v>0</v>
      </c>
      <c r="AP289" s="3">
        <f>AP239-AO239</f>
        <v>0</v>
      </c>
      <c r="AQ289" s="3">
        <f>SUM(AM289:AP289)</f>
        <v>0</v>
      </c>
      <c r="AR289" s="3">
        <f>AR239-AQ239</f>
        <v>0</v>
      </c>
      <c r="AS289" s="3">
        <f>AS239-AR239</f>
        <v>0</v>
      </c>
      <c r="AT289" s="3">
        <f>AT239-AS239</f>
        <v>0</v>
      </c>
      <c r="AU289" s="3">
        <f>AU239-AT239</f>
        <v>0</v>
      </c>
      <c r="AV289" s="3">
        <f>SUM(AR289:AU289)</f>
        <v>0</v>
      </c>
      <c r="AW289" s="3">
        <f>AW239-AV239</f>
        <v>0</v>
      </c>
      <c r="AX289" s="3">
        <f>AX239-AW239</f>
        <v>0</v>
      </c>
      <c r="AY289" s="3">
        <f>AY239-AX239</f>
        <v>0</v>
      </c>
      <c r="AZ289" s="3">
        <f>AZ239-AY239</f>
        <v>0</v>
      </c>
      <c r="BA289" s="3">
        <f>SUM(AW289:AZ289)</f>
        <v>0</v>
      </c>
      <c r="BB289" s="3">
        <f>BB239-BA239</f>
        <v>0</v>
      </c>
      <c r="BC289" s="3">
        <f>BC239-BB239</f>
        <v>0</v>
      </c>
      <c r="BD289" s="3">
        <f>BD239-BC239</f>
        <v>0</v>
      </c>
      <c r="BE289" s="3">
        <f>BE239-BD239</f>
        <v>0</v>
      </c>
      <c r="BF289" s="3">
        <f>SUM(BB289:BE289)</f>
        <v>0</v>
      </c>
      <c r="BG289" s="3">
        <f>BG239-BF239</f>
        <v>0</v>
      </c>
      <c r="BH289" s="3">
        <f>BH239-BG239</f>
        <v>0</v>
      </c>
      <c r="BI289" s="3">
        <f>BI239-BH239</f>
        <v>0</v>
      </c>
      <c r="BJ289" s="3">
        <f>BJ239-BI239</f>
        <v>0</v>
      </c>
      <c r="BK289" s="3">
        <f>SUM(BG289:BJ289)</f>
        <v>0</v>
      </c>
      <c r="BL289" s="3">
        <f>BL239-BK239</f>
        <v>0</v>
      </c>
      <c r="BM289" s="3">
        <f>BM239-BL239</f>
        <v>0</v>
      </c>
      <c r="BN289" s="3">
        <f>BN239-BM239</f>
        <v>0</v>
      </c>
      <c r="BO289" s="3">
        <f>BO239-BN239</f>
        <v>0</v>
      </c>
      <c r="BP289" s="3">
        <f>SUM(BL289:BO289)</f>
        <v>0</v>
      </c>
      <c r="BQ289" s="3">
        <f>BQ239-BP239</f>
        <v>0</v>
      </c>
      <c r="BR289" s="3">
        <f>BR239-BQ239</f>
        <v>0</v>
      </c>
      <c r="BS289" s="3">
        <f>BS239-BR239</f>
        <v>0</v>
      </c>
      <c r="BT289" s="3">
        <f>BT239-BS239</f>
        <v>0</v>
      </c>
      <c r="BU289" s="3">
        <f>SUM(BQ289:BT289)</f>
        <v>0</v>
      </c>
      <c r="BV289" s="3">
        <f>BV239-BU239</f>
        <v>0</v>
      </c>
      <c r="BW289" s="3">
        <f>BW239-BV239</f>
        <v>0</v>
      </c>
      <c r="BX289" s="3">
        <f>BX239-BW239</f>
        <v>0</v>
      </c>
      <c r="BY289" s="3">
        <f>BY239-BX239</f>
        <v>0</v>
      </c>
      <c r="BZ289" s="3">
        <f>SUM(BV289:BY289)</f>
        <v>0</v>
      </c>
      <c r="CA289" s="3">
        <f>CA239-BZ239</f>
        <v>0</v>
      </c>
      <c r="CB289" s="3">
        <f>CB239-CA239</f>
        <v>0</v>
      </c>
      <c r="CC289" s="3">
        <f>CC239-CB239</f>
        <v>0</v>
      </c>
      <c r="CD289" s="3">
        <f>CD239-CC239</f>
        <v>0</v>
      </c>
      <c r="CE289" s="3">
        <f>SUM(CA289:CD289)</f>
        <v>0</v>
      </c>
      <c r="CF289" s="3">
        <f>CF239-CE239</f>
        <v>0</v>
      </c>
      <c r="CG289" s="3">
        <f>CG239-CF239</f>
        <v>0</v>
      </c>
      <c r="CH289" s="3">
        <f>CH239-CG239</f>
        <v>0</v>
      </c>
      <c r="CI289" s="3">
        <f>CI239-CH239</f>
        <v>0</v>
      </c>
      <c r="CJ289" s="3">
        <f>SUM(CF289:CI289)</f>
        <v>0</v>
      </c>
      <c r="CK289" s="3">
        <f>CK239-CJ239</f>
        <v>0</v>
      </c>
      <c r="CL289" s="3">
        <f>CL239-CK239</f>
        <v>0</v>
      </c>
      <c r="CM289" s="3">
        <f>CM239-CL239</f>
        <v>0</v>
      </c>
      <c r="CN289" s="3">
        <f>CN239-CM239</f>
        <v>0</v>
      </c>
      <c r="CO289" s="3">
        <f>SUM(CK289:CN289)</f>
        <v>0</v>
      </c>
      <c r="CP289" s="3">
        <f>CP239-CO239</f>
        <v>0</v>
      </c>
      <c r="CQ289" s="3">
        <f>CQ239-CP239</f>
        <v>0</v>
      </c>
      <c r="CR289" s="3">
        <f>CR239-CQ239</f>
        <v>0</v>
      </c>
      <c r="CS289" s="3">
        <f>CS239-CR239</f>
        <v>0</v>
      </c>
      <c r="CT289" s="3">
        <f>SUM(CP289:CS289)</f>
        <v>0</v>
      </c>
      <c r="CU289" s="3">
        <f>CU239-CT239</f>
        <v>0</v>
      </c>
      <c r="CV289" s="3">
        <f>CV239-CU239</f>
        <v>0</v>
      </c>
      <c r="CW289" s="3">
        <f>CW239-CV239</f>
        <v>0</v>
      </c>
      <c r="CX289" s="3">
        <f>CX239-CW239</f>
        <v>0</v>
      </c>
      <c r="CY289" s="3">
        <f>SUM(CU289:CX289)</f>
        <v>0</v>
      </c>
    </row>
    <row r="290" collapsed="1">
      <c r="C290" s="29" t="inlineStr">
        <is>
          <t>Equity income in affiliates</t>
        </is>
      </c>
      <c r="D290" s="3" t="n"/>
      <c r="E290" s="3">
        <f>(E161-D161)*-1</f>
        <v>0</v>
      </c>
      <c r="F290" s="3">
        <f>(F161-E161)*-1</f>
        <v>0</v>
      </c>
      <c r="G290" s="3">
        <f>(G161-F161)*-1</f>
        <v>0</v>
      </c>
      <c r="H290" s="3">
        <f>SUM(D290:G290)</f>
        <v>0</v>
      </c>
      <c r="I290" s="3">
        <f>(I161-H161)*-1</f>
        <v>0</v>
      </c>
      <c r="J290" s="3">
        <f>(J161-I161)*-1</f>
        <v>0</v>
      </c>
      <c r="K290" s="3">
        <f>(K161-J161)*-1</f>
        <v>-1.623</v>
      </c>
      <c r="L290" s="3">
        <f>(L161-K161)*-1</f>
        <v>-2.799</v>
      </c>
      <c r="M290" s="3">
        <f>SUM(I290:L290)</f>
        <v>-4.422</v>
      </c>
      <c r="N290" s="3">
        <f>(N161-M161)*-1</f>
        <v>-11.017</v>
      </c>
      <c r="O290" s="3">
        <f>(O161-N161)*-1</f>
        <v>-15.48</v>
      </c>
      <c r="P290" s="3">
        <f>(P161-O161)*-1</f>
        <v>-8.941</v>
      </c>
      <c r="Q290" s="3">
        <f>(Q161-P161)*-1</f>
        <v>-4.224</v>
      </c>
      <c r="R290" s="3">
        <f>SUM(N290:Q290)</f>
        <v>-39.662</v>
      </c>
      <c r="S290" s="3">
        <f>(S161-R161)*-1</f>
        <v>-3.085</v>
      </c>
      <c r="T290" s="3">
        <f>(T161-S161)*-1</f>
        <v>-32.131</v>
      </c>
      <c r="U290" s="3">
        <f>(U161-T161)*-1</f>
        <v>1.32799999999999</v>
      </c>
      <c r="V290" s="3">
        <f>(V161-U161)*-1</f>
        <v>-20.985</v>
      </c>
      <c r="W290" s="3">
        <f>SUM(S290:V290)</f>
        <v>-54.873</v>
      </c>
      <c r="X290" s="3">
        <f>(X161-W161)*-1</f>
        <v>-3.49</v>
      </c>
      <c r="Y290" s="3">
        <f>(Y161-X161)*-1</f>
        <v>0.590999999999994</v>
      </c>
      <c r="Z290" s="3">
        <f>(Z161-Y161)*-1</f>
        <v>-4.69999999999999</v>
      </c>
      <c r="AA290" s="3">
        <f>(AA161-Z161)*-1</f>
        <v>-6.245</v>
      </c>
      <c r="AB290" s="3">
        <f>SUM(X290:AA290)</f>
        <v>-13.844</v>
      </c>
      <c r="AC290" s="3">
        <f>(AC161-AB161)*-1</f>
        <v>-4.024</v>
      </c>
      <c r="AD290" s="3">
        <f>(AD161-AC161)*-1</f>
        <v>-1.84699999999999</v>
      </c>
      <c r="AE290" s="3">
        <f>(AE161-AD161)*-1</f>
        <v>-1.03400000000001</v>
      </c>
      <c r="AF290" s="3">
        <f>(AF161-AE161)*-1</f>
        <v>2.245</v>
      </c>
      <c r="AG290" s="3">
        <f>SUM(AC290:AF290)</f>
        <v>-4.66</v>
      </c>
      <c r="AH290" s="3">
        <f>(AH161-AG161)*-1</f>
        <v>0.424999999999997</v>
      </c>
      <c r="AI290" s="3">
        <f>(AI161-AH161)*-1</f>
        <v>-25.503</v>
      </c>
      <c r="AJ290" s="3">
        <f>(AJ161-AI161)*-1</f>
        <v>-1.024</v>
      </c>
      <c r="AK290" s="3">
        <f>(AK161-AJ161)*-1</f>
        <v>-0.0339999999999918</v>
      </c>
      <c r="AL290" s="3">
        <f>SUM(AH290:AK290)</f>
        <v>-26.136</v>
      </c>
      <c r="AM290" s="3">
        <f>(AM161-AL161)*-1</f>
        <v>0.461000000000013</v>
      </c>
      <c r="AN290" s="3">
        <f>(AN161-AM161)*-1</f>
        <v>4.37800000000001</v>
      </c>
      <c r="AO290" s="3">
        <f>(AO161-AN161)*-1</f>
        <v>-1.024</v>
      </c>
      <c r="AP290" s="3">
        <f>(AP161-AO161)*-1</f>
        <v>-0.0339999999999918</v>
      </c>
      <c r="AQ290" s="3">
        <f>SUM(AM290:AP290)</f>
        <v>3.78100000000003</v>
      </c>
      <c r="AR290" s="3">
        <f>(AR161-AQ161)*-1</f>
        <v>0.461000000000013</v>
      </c>
      <c r="AS290" s="3">
        <f>(AS161-AR161)*-1</f>
        <v>4.37799999999999</v>
      </c>
      <c r="AT290" s="3">
        <f>(AT161-AS161)*-1</f>
        <v>-1.024</v>
      </c>
      <c r="AU290" s="3">
        <f>(AU161-AT161)*-1</f>
        <v>-0.0339999999999918</v>
      </c>
      <c r="AV290" s="3">
        <f>SUM(AR290:AU290)</f>
        <v>3.78100000000001</v>
      </c>
      <c r="AW290" s="3">
        <f>(AW161-AV161)*-1</f>
        <v>0.461000000000013</v>
      </c>
      <c r="AX290" s="3">
        <f>(AX161-AW161)*-1</f>
        <v>4.37799999999999</v>
      </c>
      <c r="AY290" s="3">
        <f>(AY161-AX161)*-1</f>
        <v>-1.024</v>
      </c>
      <c r="AZ290" s="3">
        <f>(AZ161-AY161)*-1</f>
        <v>-0.0339999999999918</v>
      </c>
      <c r="BA290" s="3">
        <f>SUM(AW290:AZ290)</f>
        <v>3.78100000000001</v>
      </c>
      <c r="BB290" s="3">
        <f>(BB161-BA161)*-1</f>
        <v>0.461000000000013</v>
      </c>
      <c r="BC290" s="3">
        <f>(BC161-BB161)*-1</f>
        <v>4.378</v>
      </c>
      <c r="BD290" s="3">
        <f>(BD161-BC161)*-1</f>
        <v>-1.02399999999999</v>
      </c>
      <c r="BE290" s="3">
        <f>(BE161-BD161)*-1</f>
        <v>-0.0339999999999918</v>
      </c>
      <c r="BF290" s="3">
        <f>SUM(BB290:BE290)</f>
        <v>3.78100000000003</v>
      </c>
      <c r="BG290" s="3">
        <f>(BG161-BF161)*-1</f>
        <v>0.461000000000013</v>
      </c>
      <c r="BH290" s="3">
        <f>(BH161-BG161)*-1</f>
        <v>4.378</v>
      </c>
      <c r="BI290" s="3">
        <f>(BI161-BH161)*-1</f>
        <v>-1.024</v>
      </c>
      <c r="BJ290" s="3">
        <f>(BJ161-BI161)*-1</f>
        <v>-0.034000000000006</v>
      </c>
      <c r="BK290" s="3">
        <f>SUM(BG290:BJ290)</f>
        <v>3.78100000000001</v>
      </c>
      <c r="BL290" s="3">
        <f>(BL161-BK161)*-1</f>
        <v>0.460999999999999</v>
      </c>
      <c r="BM290" s="3">
        <f>(BM161-BL161)*-1</f>
        <v>4.378</v>
      </c>
      <c r="BN290" s="3">
        <f>(BN161-BM161)*-1</f>
        <v>-1.024</v>
      </c>
      <c r="BO290" s="3">
        <f>(BO161-BN161)*-1</f>
        <v>-0.034000000000006</v>
      </c>
      <c r="BP290" s="3">
        <f>SUM(BL290:BO290)</f>
        <v>3.78099999999999</v>
      </c>
      <c r="BQ290" s="3">
        <f>(BQ161-BP161)*-1</f>
        <v>0.460999999999999</v>
      </c>
      <c r="BR290" s="3">
        <f>(BR161-BQ161)*-1</f>
        <v>4.378</v>
      </c>
      <c r="BS290" s="3">
        <f>(BS161-BR161)*-1</f>
        <v>-1.024</v>
      </c>
      <c r="BT290" s="3">
        <f>(BT161-BS161)*-1</f>
        <v>-0.034000000000006</v>
      </c>
      <c r="BU290" s="3">
        <f>SUM(BQ290:BT290)</f>
        <v>3.78099999999999</v>
      </c>
      <c r="BV290" s="3">
        <f>(BV161-BU161)*-1</f>
        <v>0.460999999999999</v>
      </c>
      <c r="BW290" s="3">
        <f>(BW161-BV161)*-1</f>
        <v>4.378</v>
      </c>
      <c r="BX290" s="3">
        <f>(BX161-BW161)*-1</f>
        <v>-1.024</v>
      </c>
      <c r="BY290" s="3">
        <f>(BY161-BX161)*-1</f>
        <v>-0.034000000000006</v>
      </c>
      <c r="BZ290" s="3">
        <f>SUM(BV290:BY290)</f>
        <v>3.78099999999999</v>
      </c>
      <c r="CA290" s="3">
        <f>(CA161-BZ161)*-1</f>
        <v>0.460999999999999</v>
      </c>
      <c r="CB290" s="3">
        <f>(CB161-CA161)*-1</f>
        <v>4.378</v>
      </c>
      <c r="CC290" s="3">
        <f>(CC161-CB161)*-1</f>
        <v>-1.024</v>
      </c>
      <c r="CD290" s="3">
        <f>(CD161-CC161)*-1</f>
        <v>-0.034000000000006</v>
      </c>
      <c r="CE290" s="3">
        <f>SUM(CA290:CD290)</f>
        <v>3.78099999999999</v>
      </c>
      <c r="CF290" s="3">
        <f>(CF161-CE161)*-1</f>
        <v>0.460999999999999</v>
      </c>
      <c r="CG290" s="3">
        <f>(CG161-CF161)*-1</f>
        <v>4.378</v>
      </c>
      <c r="CH290" s="3">
        <f>(CH161-CG161)*-1</f>
        <v>-1.024</v>
      </c>
      <c r="CI290" s="3">
        <f>(CI161-CH161)*-1</f>
        <v>-0.034000000000006</v>
      </c>
      <c r="CJ290" s="3">
        <f>SUM(CF290:CI290)</f>
        <v>3.78099999999999</v>
      </c>
      <c r="CK290" s="3">
        <f>(CK161-CJ161)*-1</f>
        <v>0.460999999999999</v>
      </c>
      <c r="CL290" s="3">
        <f>(CL161-CK161)*-1</f>
        <v>4.378</v>
      </c>
      <c r="CM290" s="3">
        <f>(CM161-CL161)*-1</f>
        <v>-1.024</v>
      </c>
      <c r="CN290" s="3">
        <f>(CN161-CM161)*-1</f>
        <v>-0.034000000000006</v>
      </c>
      <c r="CO290" s="3">
        <f>SUM(CK290:CN290)</f>
        <v>3.78099999999999</v>
      </c>
      <c r="CP290" s="3">
        <f>(CP161-CO161)*-1</f>
        <v>0.460999999999999</v>
      </c>
      <c r="CQ290" s="3">
        <f>(CQ161-CP161)*-1</f>
        <v>4.378</v>
      </c>
      <c r="CR290" s="3">
        <f>(CR161-CQ161)*-1</f>
        <v>-1.024</v>
      </c>
      <c r="CS290" s="3">
        <f>(CS161-CR161)*-1</f>
        <v>-0.034000000000006</v>
      </c>
      <c r="CT290" s="3">
        <f>SUM(CP290:CS290)</f>
        <v>3.78099999999999</v>
      </c>
      <c r="CU290" s="3">
        <f>(CU161-CT161)*-1</f>
        <v>0.460999999999999</v>
      </c>
      <c r="CV290" s="3">
        <f>(CV161-CU161)*-1</f>
        <v>4.378</v>
      </c>
      <c r="CW290" s="3">
        <f>(CW161-CV161)*-1</f>
        <v>-1.024</v>
      </c>
      <c r="CX290" s="3">
        <f>(CX161-CW161)*-1</f>
        <v>-0.034000000000006</v>
      </c>
      <c r="CY290" s="3">
        <f>SUM(CU290:CX290)</f>
        <v>3.78099999999999</v>
      </c>
    </row>
    <row r="291">
      <c r="C291" s="29" t="inlineStr">
        <is>
          <t>Dividends received from affiliates</t>
        </is>
      </c>
      <c r="D291" s="3" t="n"/>
      <c r="E291" s="3">
        <f>-E164</f>
        <v>0</v>
      </c>
      <c r="F291" s="3">
        <f>-F164</f>
        <v>0</v>
      </c>
      <c r="G291" s="3">
        <f>-G164</f>
        <v>0</v>
      </c>
      <c r="H291" s="3">
        <f>SUM(D291:G291)</f>
        <v>0</v>
      </c>
      <c r="I291" s="3">
        <f>-I164</f>
        <v>0</v>
      </c>
      <c r="J291" s="3">
        <f>-J164</f>
        <v>0</v>
      </c>
      <c r="K291" s="3">
        <f>-K164</f>
        <v>0</v>
      </c>
      <c r="L291" s="3">
        <f>-L164</f>
        <v>0</v>
      </c>
      <c r="M291" s="3">
        <f>SUM(I291:L291)</f>
        <v>0</v>
      </c>
      <c r="N291" s="3">
        <f>-N164</f>
        <v>0</v>
      </c>
      <c r="O291" s="3">
        <f>-O164</f>
        <v>0</v>
      </c>
      <c r="P291" s="3">
        <f>-P164</f>
        <v>0</v>
      </c>
      <c r="Q291" s="3">
        <f>-Q164</f>
        <v>0</v>
      </c>
      <c r="R291" s="3">
        <f>SUM(N291:Q291)</f>
        <v>0</v>
      </c>
      <c r="S291" s="3">
        <f>-S164</f>
        <v>0</v>
      </c>
      <c r="T291" s="3">
        <f>-T164</f>
        <v>0</v>
      </c>
      <c r="U291" s="3">
        <f>-U164</f>
        <v>0</v>
      </c>
      <c r="V291" s="3">
        <f>-V164</f>
        <v>0</v>
      </c>
      <c r="W291" s="3">
        <f>SUM(S291:V291)</f>
        <v>0</v>
      </c>
      <c r="X291" s="3">
        <f>-X164</f>
        <v>0</v>
      </c>
      <c r="Y291" s="3">
        <f>-Y164</f>
        <v>0</v>
      </c>
      <c r="Z291" s="3">
        <f>-Z164</f>
        <v>0</v>
      </c>
      <c r="AA291" s="3">
        <f>-AA164</f>
        <v>0</v>
      </c>
      <c r="AB291" s="3">
        <f>SUM(X291:AA291)</f>
        <v>0</v>
      </c>
      <c r="AC291" s="3">
        <f>-AC164</f>
        <v>0</v>
      </c>
      <c r="AD291" s="3">
        <f>-AD164</f>
        <v>0</v>
      </c>
      <c r="AE291" s="3">
        <f>-AE164</f>
        <v>0</v>
      </c>
      <c r="AF291" s="3">
        <f>-AF164</f>
        <v>0</v>
      </c>
      <c r="AG291" s="3">
        <f>SUM(AC291:AF291)</f>
        <v>0</v>
      </c>
      <c r="AH291" s="3">
        <f>-AH164</f>
        <v>0</v>
      </c>
      <c r="AI291" s="3">
        <f>-AI164</f>
        <v>0</v>
      </c>
      <c r="AJ291" s="3">
        <f>-AJ164</f>
        <v>0</v>
      </c>
      <c r="AK291" s="3">
        <f>-AK164</f>
        <v>0</v>
      </c>
      <c r="AL291" s="3">
        <f>SUM(AH291:AK291)</f>
        <v>0</v>
      </c>
      <c r="AM291" s="3">
        <f>-AM164</f>
        <v>0</v>
      </c>
      <c r="AN291" s="3">
        <f>-AN164</f>
        <v>0</v>
      </c>
      <c r="AO291" s="3">
        <f>-AO164</f>
        <v>0</v>
      </c>
      <c r="AP291" s="3">
        <f>-AP164</f>
        <v>0</v>
      </c>
      <c r="AQ291" s="3">
        <f>SUM(AM291:AP291)</f>
        <v>0</v>
      </c>
      <c r="AR291" s="3">
        <f>-AR164</f>
        <v>0</v>
      </c>
      <c r="AS291" s="3">
        <f>-AS164</f>
        <v>0</v>
      </c>
      <c r="AT291" s="3">
        <f>-AT164</f>
        <v>0</v>
      </c>
      <c r="AU291" s="3">
        <f>-AU164</f>
        <v>0</v>
      </c>
      <c r="AV291" s="3">
        <f>SUM(AR291:AU291)</f>
        <v>0</v>
      </c>
      <c r="AW291" s="3">
        <f>-AW164</f>
        <v>0</v>
      </c>
      <c r="AX291" s="3">
        <f>-AX164</f>
        <v>0</v>
      </c>
      <c r="AY291" s="3">
        <f>-AY164</f>
        <v>0</v>
      </c>
      <c r="AZ291" s="3">
        <f>-AZ164</f>
        <v>0</v>
      </c>
      <c r="BA291" s="3">
        <f>SUM(AW291:AZ291)</f>
        <v>0</v>
      </c>
      <c r="BB291" s="3">
        <f>-BB164</f>
        <v>0</v>
      </c>
      <c r="BC291" s="3">
        <f>-BC164</f>
        <v>0</v>
      </c>
      <c r="BD291" s="3">
        <f>-BD164</f>
        <v>0</v>
      </c>
      <c r="BE291" s="3">
        <f>-BE164</f>
        <v>0</v>
      </c>
      <c r="BF291" s="3">
        <f>SUM(BB291:BE291)</f>
        <v>0</v>
      </c>
      <c r="BG291" s="3">
        <f>-BG164</f>
        <v>0</v>
      </c>
      <c r="BH291" s="3">
        <f>-BH164</f>
        <v>0</v>
      </c>
      <c r="BI291" s="3">
        <f>-BI164</f>
        <v>0</v>
      </c>
      <c r="BJ291" s="3">
        <f>-BJ164</f>
        <v>0</v>
      </c>
      <c r="BK291" s="3">
        <f>SUM(BG291:BJ291)</f>
        <v>0</v>
      </c>
      <c r="BL291" s="3">
        <f>-BL164</f>
        <v>0</v>
      </c>
      <c r="BM291" s="3">
        <f>-BM164</f>
        <v>0</v>
      </c>
      <c r="BN291" s="3">
        <f>-BN164</f>
        <v>0</v>
      </c>
      <c r="BO291" s="3">
        <f>-BO164</f>
        <v>0</v>
      </c>
      <c r="BP291" s="3">
        <f>SUM(BL291:BO291)</f>
        <v>0</v>
      </c>
      <c r="BQ291" s="3">
        <f>-BQ164</f>
        <v>0</v>
      </c>
      <c r="BR291" s="3">
        <f>-BR164</f>
        <v>0</v>
      </c>
      <c r="BS291" s="3">
        <f>-BS164</f>
        <v>0</v>
      </c>
      <c r="BT291" s="3">
        <f>-BT164</f>
        <v>0</v>
      </c>
      <c r="BU291" s="3">
        <f>SUM(BQ291:BT291)</f>
        <v>0</v>
      </c>
      <c r="BV291" s="3">
        <f>-BV164</f>
        <v>0</v>
      </c>
      <c r="BW291" s="3">
        <f>-BW164</f>
        <v>0</v>
      </c>
      <c r="BX291" s="3">
        <f>-BX164</f>
        <v>0</v>
      </c>
      <c r="BY291" s="3">
        <f>-BY164</f>
        <v>0</v>
      </c>
      <c r="BZ291" s="3">
        <f>SUM(BV291:BY291)</f>
        <v>0</v>
      </c>
      <c r="CA291" s="3">
        <f>-CA164</f>
        <v>0</v>
      </c>
      <c r="CB291" s="3">
        <f>-CB164</f>
        <v>0</v>
      </c>
      <c r="CC291" s="3">
        <f>-CC164</f>
        <v>0</v>
      </c>
      <c r="CD291" s="3">
        <f>-CD164</f>
        <v>0</v>
      </c>
      <c r="CE291" s="3">
        <f>SUM(CA291:CD291)</f>
        <v>0</v>
      </c>
      <c r="CF291" s="3">
        <f>-CF164</f>
        <v>0</v>
      </c>
      <c r="CG291" s="3">
        <f>-CG164</f>
        <v>0</v>
      </c>
      <c r="CH291" s="3">
        <f>-CH164</f>
        <v>0</v>
      </c>
      <c r="CI291" s="3">
        <f>-CI164</f>
        <v>0</v>
      </c>
      <c r="CJ291" s="3">
        <f>SUM(CF291:CI291)</f>
        <v>0</v>
      </c>
      <c r="CK291" s="3">
        <f>-CK164</f>
        <v>0</v>
      </c>
      <c r="CL291" s="3">
        <f>-CL164</f>
        <v>0</v>
      </c>
      <c r="CM291" s="3">
        <f>-CM164</f>
        <v>0</v>
      </c>
      <c r="CN291" s="3">
        <f>-CN164</f>
        <v>0</v>
      </c>
      <c r="CO291" s="3">
        <f>SUM(CK291:CN291)</f>
        <v>0</v>
      </c>
      <c r="CP291" s="3">
        <f>-CP164</f>
        <v>0</v>
      </c>
      <c r="CQ291" s="3">
        <f>-CQ164</f>
        <v>0</v>
      </c>
      <c r="CR291" s="3">
        <f>-CR164</f>
        <v>0</v>
      </c>
      <c r="CS291" s="3">
        <f>-CS164</f>
        <v>0</v>
      </c>
      <c r="CT291" s="3">
        <f>SUM(CP291:CS291)</f>
        <v>0</v>
      </c>
      <c r="CU291" s="3">
        <f>-CU164</f>
        <v>0</v>
      </c>
      <c r="CV291" s="3">
        <f>-CV164</f>
        <v>0</v>
      </c>
      <c r="CW291" s="3">
        <f>-CW164</f>
        <v>0</v>
      </c>
      <c r="CX291" s="3">
        <f>-CX164</f>
        <v>0</v>
      </c>
      <c r="CY291" s="3">
        <f>SUM(CU291:CX291)</f>
        <v>0</v>
      </c>
    </row>
    <row r="292">
      <c r="C292" s="30" t="inlineStr">
        <is>
          <t>Minority interest expense</t>
        </is>
      </c>
      <c r="D292" s="3" t="n"/>
      <c r="E292" s="3">
        <f>-E136</f>
        <v>0.662</v>
      </c>
      <c r="F292" s="3">
        <f>-F136</f>
        <v>1.268</v>
      </c>
      <c r="G292" s="3">
        <f>-G136</f>
        <v>17.289</v>
      </c>
      <c r="H292" s="3">
        <f>SUM(D292:G292)</f>
        <v>19.219</v>
      </c>
      <c r="I292" s="3">
        <f>-I136</f>
        <v>1.054</v>
      </c>
      <c r="J292" s="3">
        <f>-J136</f>
        <v>0.988</v>
      </c>
      <c r="K292" s="3">
        <f>-K136</f>
        <v>0.859</v>
      </c>
      <c r="L292" s="3">
        <f>-L136</f>
        <v>3.618</v>
      </c>
      <c r="M292" s="3">
        <f>SUM(I292:L292)</f>
        <v>6.519</v>
      </c>
      <c r="N292" s="3">
        <f>-N136</f>
        <v>0.773</v>
      </c>
      <c r="O292" s="3">
        <f>-O136</f>
        <v>1.65</v>
      </c>
      <c r="P292" s="3">
        <f>-P136</f>
        <v>1.467</v>
      </c>
      <c r="Q292" s="3">
        <f>-Q136</f>
        <v>1.652</v>
      </c>
      <c r="R292" s="3">
        <f>SUM(N292:Q292)</f>
        <v>5.542</v>
      </c>
      <c r="S292" s="3">
        <f>-S136</f>
        <v>1.893</v>
      </c>
      <c r="T292" s="3">
        <f>-T136</f>
        <v>2.298</v>
      </c>
      <c r="U292" s="3">
        <f>-U136</f>
        <v>2.043</v>
      </c>
      <c r="V292" s="3">
        <f>-V136</f>
        <v>3.818</v>
      </c>
      <c r="W292" s="3">
        <f>SUM(S292:V292)</f>
        <v>10.052</v>
      </c>
      <c r="X292" s="3">
        <f>-X136</f>
        <v>4.651</v>
      </c>
      <c r="Y292" s="3">
        <f>-Y136</f>
        <v>2.353</v>
      </c>
      <c r="Z292" s="3">
        <f>-Z136</f>
        <v>4.172</v>
      </c>
      <c r="AA292" s="3">
        <f>-AA136</f>
        <v>2.403</v>
      </c>
      <c r="AB292" s="3">
        <f>SUM(X292:AA292)</f>
        <v>13.579</v>
      </c>
      <c r="AC292" s="3">
        <f>-AC136</f>
        <v>2.765</v>
      </c>
      <c r="AD292" s="3">
        <f>-AD136</f>
        <v>2.911</v>
      </c>
      <c r="AE292" s="3">
        <f>-AE136</f>
        <v>4.054</v>
      </c>
      <c r="AF292" s="3">
        <f>-AF136</f>
        <v>4.09</v>
      </c>
      <c r="AG292" s="3">
        <f>SUM(AC292:AF292)</f>
        <v>13.82</v>
      </c>
      <c r="AH292" s="3">
        <f>-AH136</f>
        <v>3.838</v>
      </c>
      <c r="AI292" s="3">
        <f>-AI136</f>
        <v>17.498</v>
      </c>
      <c r="AJ292" s="3">
        <f>-AJ136</f>
        <v>4.054</v>
      </c>
      <c r="AK292" s="3">
        <f>-AK136</f>
        <v>4.09</v>
      </c>
      <c r="AL292" s="3">
        <f>SUM(AH292:AK292)</f>
        <v>29.48</v>
      </c>
      <c r="AM292" s="3">
        <f>-AM136</f>
        <v>3.838</v>
      </c>
      <c r="AN292" s="3">
        <f>-AN136</f>
        <v>17.498</v>
      </c>
      <c r="AO292" s="3">
        <f>-AO136</f>
        <v>4.054</v>
      </c>
      <c r="AP292" s="3">
        <f>-AP136</f>
        <v>4.09</v>
      </c>
      <c r="AQ292" s="3">
        <f>SUM(AM292:AP292)</f>
        <v>29.48</v>
      </c>
      <c r="AR292" s="3">
        <f>-AR136</f>
        <v>3.838</v>
      </c>
      <c r="AS292" s="3">
        <f>-AS136</f>
        <v>17.498</v>
      </c>
      <c r="AT292" s="3">
        <f>-AT136</f>
        <v>4.054</v>
      </c>
      <c r="AU292" s="3">
        <f>-AU136</f>
        <v>4.09</v>
      </c>
      <c r="AV292" s="3">
        <f>SUM(AR292:AU292)</f>
        <v>29.48</v>
      </c>
      <c r="AW292" s="3">
        <f>-AW136</f>
        <v>3.838</v>
      </c>
      <c r="AX292" s="3">
        <f>-AX136</f>
        <v>17.498</v>
      </c>
      <c r="AY292" s="3">
        <f>-AY136</f>
        <v>4.054</v>
      </c>
      <c r="AZ292" s="3">
        <f>-AZ136</f>
        <v>4.09</v>
      </c>
      <c r="BA292" s="3">
        <f>SUM(AW292:AZ292)</f>
        <v>29.48</v>
      </c>
      <c r="BB292" s="3">
        <f>-BB136</f>
        <v>3.838</v>
      </c>
      <c r="BC292" s="3">
        <f>-BC136</f>
        <v>17.498</v>
      </c>
      <c r="BD292" s="3">
        <f>-BD136</f>
        <v>4.054</v>
      </c>
      <c r="BE292" s="3">
        <f>-BE136</f>
        <v>4.09</v>
      </c>
      <c r="BF292" s="3">
        <f>SUM(BB292:BE292)</f>
        <v>29.48</v>
      </c>
      <c r="BG292" s="3">
        <f>-BG136</f>
        <v>3.838</v>
      </c>
      <c r="BH292" s="3">
        <f>-BH136</f>
        <v>17.498</v>
      </c>
      <c r="BI292" s="3">
        <f>-BI136</f>
        <v>4.054</v>
      </c>
      <c r="BJ292" s="3">
        <f>-BJ136</f>
        <v>4.09</v>
      </c>
      <c r="BK292" s="3">
        <f>SUM(BG292:BJ292)</f>
        <v>29.48</v>
      </c>
      <c r="BL292" s="3">
        <f>-BL136</f>
        <v>3.838</v>
      </c>
      <c r="BM292" s="3">
        <f>-BM136</f>
        <v>17.498</v>
      </c>
      <c r="BN292" s="3">
        <f>-BN136</f>
        <v>4.054</v>
      </c>
      <c r="BO292" s="3">
        <f>-BO136</f>
        <v>4.09</v>
      </c>
      <c r="BP292" s="3">
        <f>SUM(BL292:BO292)</f>
        <v>29.48</v>
      </c>
      <c r="BQ292" s="3">
        <f>-BQ136</f>
        <v>3.838</v>
      </c>
      <c r="BR292" s="3">
        <f>-BR136</f>
        <v>17.498</v>
      </c>
      <c r="BS292" s="3">
        <f>-BS136</f>
        <v>4.054</v>
      </c>
      <c r="BT292" s="3">
        <f>-BT136</f>
        <v>4.09</v>
      </c>
      <c r="BU292" s="3">
        <f>SUM(BQ292:BT292)</f>
        <v>29.48</v>
      </c>
      <c r="BV292" s="3">
        <f>-BV136</f>
        <v>3.838</v>
      </c>
      <c r="BW292" s="3">
        <f>-BW136</f>
        <v>17.498</v>
      </c>
      <c r="BX292" s="3">
        <f>-BX136</f>
        <v>4.054</v>
      </c>
      <c r="BY292" s="3">
        <f>-BY136</f>
        <v>4.09</v>
      </c>
      <c r="BZ292" s="3">
        <f>SUM(BV292:BY292)</f>
        <v>29.48</v>
      </c>
      <c r="CA292" s="3">
        <f>-CA136</f>
        <v>3.838</v>
      </c>
      <c r="CB292" s="3">
        <f>-CB136</f>
        <v>17.498</v>
      </c>
      <c r="CC292" s="3">
        <f>-CC136</f>
        <v>4.054</v>
      </c>
      <c r="CD292" s="3">
        <f>-CD136</f>
        <v>4.09</v>
      </c>
      <c r="CE292" s="3">
        <f>SUM(CA292:CD292)</f>
        <v>29.48</v>
      </c>
      <c r="CF292" s="3">
        <f>-CF136</f>
        <v>3.838</v>
      </c>
      <c r="CG292" s="3">
        <f>-CG136</f>
        <v>17.498</v>
      </c>
      <c r="CH292" s="3">
        <f>-CH136</f>
        <v>4.054</v>
      </c>
      <c r="CI292" s="3">
        <f>-CI136</f>
        <v>4.09</v>
      </c>
      <c r="CJ292" s="3">
        <f>SUM(CF292:CI292)</f>
        <v>29.48</v>
      </c>
      <c r="CK292" s="3">
        <f>-CK136</f>
        <v>3.838</v>
      </c>
      <c r="CL292" s="3">
        <f>-CL136</f>
        <v>17.498</v>
      </c>
      <c r="CM292" s="3">
        <f>-CM136</f>
        <v>4.054</v>
      </c>
      <c r="CN292" s="3">
        <f>-CN136</f>
        <v>4.09</v>
      </c>
      <c r="CO292" s="3">
        <f>SUM(CK292:CN292)</f>
        <v>29.48</v>
      </c>
      <c r="CP292" s="3">
        <f>-CP136</f>
        <v>3.838</v>
      </c>
      <c r="CQ292" s="3">
        <f>-CQ136</f>
        <v>17.498</v>
      </c>
      <c r="CR292" s="3">
        <f>-CR136</f>
        <v>4.054</v>
      </c>
      <c r="CS292" s="3">
        <f>-CS136</f>
        <v>4.09</v>
      </c>
      <c r="CT292" s="3">
        <f>SUM(CP292:CS292)</f>
        <v>29.48</v>
      </c>
      <c r="CU292" s="3">
        <f>-CU136</f>
        <v>3.838</v>
      </c>
      <c r="CV292" s="3">
        <f>-CV136</f>
        <v>17.498</v>
      </c>
      <c r="CW292" s="3">
        <f>-CW136</f>
        <v>4.054</v>
      </c>
      <c r="CX292" s="3">
        <f>-CX136</f>
        <v>4.09</v>
      </c>
      <c r="CY292" s="3">
        <f>SUM(CU292:CX292)</f>
        <v>29.48</v>
      </c>
    </row>
    <row r="293">
      <c r="C293" s="26" t="inlineStr">
        <is>
          <t>Cash from operations</t>
        </is>
      </c>
      <c r="D293" s="3" t="n"/>
      <c r="E293" s="3">
        <f>SUM(E277,E278,E279,E290,E291,E292)</f>
        <v>48.403</v>
      </c>
      <c r="F293" s="3">
        <f>SUM(F277,F278,F279,F290,F291,F292)</f>
        <v>15.554</v>
      </c>
      <c r="G293" s="3">
        <f>SUM(G277,G278,G279,G290,G291,G292)</f>
        <v>-4.50300000000001</v>
      </c>
      <c r="H293" s="3">
        <f>SUM(H277,H278,H279,H290,H291,H292)</f>
        <v>59.454</v>
      </c>
      <c r="I293" s="3">
        <f>SUM(I277,I278,I279,I290,I291,I292)</f>
        <v>-18.541</v>
      </c>
      <c r="J293" s="3">
        <f>SUM(J277,J278,J279,J290,J291,J292)</f>
        <v>0.578000000000021</v>
      </c>
      <c r="K293" s="3">
        <f>SUM(K277,K278,K279,K290,K291,K292)</f>
        <v>-17.244</v>
      </c>
      <c r="L293" s="3">
        <f>SUM(L277,L278,L279,L290,L291,L292)</f>
        <v>-22.666</v>
      </c>
      <c r="M293" s="3">
        <f>SUM(M277,M278,M279,M290,M291,M292)</f>
        <v>-57.873</v>
      </c>
      <c r="N293" s="3">
        <f>SUM(N277,N278,N279,N290,N291,N292)</f>
        <v>-2.48400000000002</v>
      </c>
      <c r="O293" s="3">
        <f>SUM(O277,O278,O279,O290,O291,O292)</f>
        <v>-45.686</v>
      </c>
      <c r="P293" s="3">
        <f>SUM(P277,P278,P279,P290,P291,P292)</f>
        <v>4.02099999999996</v>
      </c>
      <c r="Q293" s="3">
        <f>SUM(Q277,Q278,Q279,Q290,Q291,Q292)</f>
        <v>-22.056</v>
      </c>
      <c r="R293" s="3">
        <f>SUM(R277,R278,R279,R290,R291,R292)</f>
        <v>-66.205</v>
      </c>
      <c r="S293" s="3">
        <f>SUM(S277,S278,S279,S290,S291,S292)</f>
        <v>-15.94</v>
      </c>
      <c r="T293" s="3">
        <f>SUM(T277,T278,T279,T290,T291,T292)</f>
        <v>-4.22600000000002</v>
      </c>
      <c r="U293" s="3">
        <f>SUM(U277,U278,U279,U290,U291,U292)</f>
        <v>-4.42199999999996</v>
      </c>
      <c r="V293" s="3">
        <f>SUM(V277,V278,V279,V290,V291,V292)</f>
        <v>145.893</v>
      </c>
      <c r="W293" s="3">
        <f>SUM(W277,W278,W279,W290,W291,W292)</f>
        <v>121.305</v>
      </c>
      <c r="X293" s="3">
        <f>SUM(X277,X278,X279,X290,X291,X292)</f>
        <v>22.541</v>
      </c>
      <c r="Y293" s="3">
        <f>SUM(Y277,Y278,Y279,Y290,Y291,Y292)</f>
        <v>48.743</v>
      </c>
      <c r="Z293" s="3">
        <f>SUM(Z277,Z278,Z279,Z290,Z291,Z292)</f>
        <v>72.296</v>
      </c>
      <c r="AA293" s="3">
        <f>SUM(AA277,AA278,AA279,AA290,AA291,AA292)</f>
        <v>81.577</v>
      </c>
      <c r="AB293" s="3">
        <f>SUM(AB277,AB278,AB279,AB290,AB291,AB292)</f>
        <v>225.157</v>
      </c>
      <c r="AC293" s="3">
        <f>SUM(AC277,AC278,AC279,AC290,AC291,AC292)</f>
        <v>10.792</v>
      </c>
      <c r="AD293" s="3">
        <f>SUM(AD277,AD278,AD279,AD290,AD291,AD292)</f>
        <v>119.097</v>
      </c>
      <c r="AE293" s="3">
        <f>SUM(AE277,AE278,AE279,AE290,AE291,AE292)</f>
        <v>-7.08199999999999</v>
      </c>
      <c r="AF293" s="3">
        <f>SUM(AF277,AF278,AF279,AF290,AF291,AF292)</f>
        <v>116.346</v>
      </c>
      <c r="AG293" s="3">
        <f>SUM(AG277,AG278,AG279,AG290,AG291,AG292)</f>
        <v>239.153</v>
      </c>
      <c r="AH293" s="3">
        <f>SUM(AH277,AH278,AH279,AH290,AH291,AH292)</f>
        <v>39.261</v>
      </c>
      <c r="AI293" s="3">
        <f>SUM(AI277,AI278,AI279,AI290,AI291,AI292)</f>
        <v>318.772</v>
      </c>
      <c r="AJ293" s="3">
        <f>SUM(AJ277,AJ278,AJ279,AJ290,AJ291,AJ292)</f>
        <v>154.433</v>
      </c>
      <c r="AK293" s="3">
        <f>SUM(AK277,AK278,AK279,AK290,AK291,AK292)</f>
        <v>35.17</v>
      </c>
      <c r="AL293" s="3">
        <f>SUM(AL277,AL278,AL279,AL290,AL291,AL292)</f>
        <v>547.636</v>
      </c>
      <c r="AM293" s="3" t="e">
        <f>SUM(AM277,AM278,AM279,AM290,AM291,AM292)</f>
        <v>#DIV/0!</v>
      </c>
      <c r="AN293" s="3" t="e">
        <f>SUM(AN277,AN278,AN279,AN290,AN291,AN292)</f>
        <v>#DIV/0!</v>
      </c>
      <c r="AO293" s="3" t="e">
        <f>SUM(AO277,AO278,AO279,AO290,AO291,AO292)</f>
        <v>#DIV/0!</v>
      </c>
      <c r="AP293" s="3" t="e">
        <f>SUM(AP277,AP278,AP279,AP290,AP291,AP292)</f>
        <v>#DIV/0!</v>
      </c>
      <c r="AQ293" s="3" t="e">
        <f>SUM(AQ277,AQ278,AQ279,AQ290,AQ291,AQ292)</f>
        <v>#DIV/0!</v>
      </c>
      <c r="AR293" s="3" t="e">
        <f>SUM(AR277,AR278,AR279,AR290,AR291,AR292)</f>
        <v>#DIV/0!</v>
      </c>
      <c r="AS293" s="3" t="e">
        <f>SUM(AS277,AS278,AS279,AS290,AS291,AS292)</f>
        <v>#DIV/0!</v>
      </c>
      <c r="AT293" s="3" t="e">
        <f>SUM(AT277,AT278,AT279,AT290,AT291,AT292)</f>
        <v>#DIV/0!</v>
      </c>
      <c r="AU293" s="3" t="e">
        <f>SUM(AU277,AU278,AU279,AU290,AU291,AU292)</f>
        <v>#DIV/0!</v>
      </c>
      <c r="AV293" s="3" t="e">
        <f>SUM(AV277,AV278,AV279,AV290,AV291,AV292)</f>
        <v>#DIV/0!</v>
      </c>
      <c r="AW293" s="3" t="e">
        <f>SUM(AW277,AW278,AW279,AW290,AW291,AW292)</f>
        <v>#DIV/0!</v>
      </c>
      <c r="AX293" s="3" t="e">
        <f>SUM(AX277,AX278,AX279,AX290,AX291,AX292)</f>
        <v>#DIV/0!</v>
      </c>
      <c r="AY293" s="3" t="e">
        <f>SUM(AY277,AY278,AY279,AY290,AY291,AY292)</f>
        <v>#DIV/0!</v>
      </c>
      <c r="AZ293" s="3" t="e">
        <f>SUM(AZ277,AZ278,AZ279,AZ290,AZ291,AZ292)</f>
        <v>#DIV/0!</v>
      </c>
      <c r="BA293" s="3" t="e">
        <f>SUM(BA277,BA278,BA279,BA290,BA291,BA292)</f>
        <v>#DIV/0!</v>
      </c>
      <c r="BB293" s="3" t="e">
        <f>SUM(BB277,BB278,BB279,BB290,BB291,BB292)</f>
        <v>#DIV/0!</v>
      </c>
      <c r="BC293" s="3" t="e">
        <f>SUM(BC277,BC278,BC279,BC290,BC291,BC292)</f>
        <v>#DIV/0!</v>
      </c>
      <c r="BD293" s="3" t="e">
        <f>SUM(BD277,BD278,BD279,BD290,BD291,BD292)</f>
        <v>#DIV/0!</v>
      </c>
      <c r="BE293" s="3" t="e">
        <f>SUM(BE277,BE278,BE279,BE290,BE291,BE292)</f>
        <v>#DIV/0!</v>
      </c>
      <c r="BF293" s="3" t="e">
        <f>SUM(BF277,BF278,BF279,BF290,BF291,BF292)</f>
        <v>#DIV/0!</v>
      </c>
      <c r="BG293" s="3" t="e">
        <f>SUM(BG277,BG278,BG279,BG290,BG291,BG292)</f>
        <v>#DIV/0!</v>
      </c>
      <c r="BH293" s="3" t="e">
        <f>SUM(BH277,BH278,BH279,BH290,BH291,BH292)</f>
        <v>#DIV/0!</v>
      </c>
      <c r="BI293" s="3" t="e">
        <f>SUM(BI277,BI278,BI279,BI290,BI291,BI292)</f>
        <v>#DIV/0!</v>
      </c>
      <c r="BJ293" s="3" t="e">
        <f>SUM(BJ277,BJ278,BJ279,BJ290,BJ291,BJ292)</f>
        <v>#DIV/0!</v>
      </c>
      <c r="BK293" s="3" t="e">
        <f>SUM(BK277,BK278,BK279,BK290,BK291,BK292)</f>
        <v>#DIV/0!</v>
      </c>
      <c r="BL293" s="3" t="e">
        <f>SUM(BL277,BL278,BL279,BL290,BL291,BL292)</f>
        <v>#DIV/0!</v>
      </c>
      <c r="BM293" s="3" t="e">
        <f>SUM(BM277,BM278,BM279,BM290,BM291,BM292)</f>
        <v>#DIV/0!</v>
      </c>
      <c r="BN293" s="3" t="e">
        <f>SUM(BN277,BN278,BN279,BN290,BN291,BN292)</f>
        <v>#DIV/0!</v>
      </c>
      <c r="BO293" s="3" t="e">
        <f>SUM(BO277,BO278,BO279,BO290,BO291,BO292)</f>
        <v>#DIV/0!</v>
      </c>
      <c r="BP293" s="3" t="e">
        <f>SUM(BP277,BP278,BP279,BP290,BP291,BP292)</f>
        <v>#DIV/0!</v>
      </c>
      <c r="BQ293" s="3" t="e">
        <f>SUM(BQ277,BQ278,BQ279,BQ290,BQ291,BQ292)</f>
        <v>#DIV/0!</v>
      </c>
      <c r="BR293" s="3" t="e">
        <f>SUM(BR277,BR278,BR279,BR290,BR291,BR292)</f>
        <v>#DIV/0!</v>
      </c>
      <c r="BS293" s="3" t="e">
        <f>SUM(BS277,BS278,BS279,BS290,BS291,BS292)</f>
        <v>#DIV/0!</v>
      </c>
      <c r="BT293" s="3" t="e">
        <f>SUM(BT277,BT278,BT279,BT290,BT291,BT292)</f>
        <v>#DIV/0!</v>
      </c>
      <c r="BU293" s="3" t="e">
        <f>SUM(BU277,BU278,BU279,BU290,BU291,BU292)</f>
        <v>#DIV/0!</v>
      </c>
      <c r="BV293" s="3" t="e">
        <f>SUM(BV277,BV278,BV279,BV290,BV291,BV292)</f>
        <v>#DIV/0!</v>
      </c>
      <c r="BW293" s="3" t="e">
        <f>SUM(BW277,BW278,BW279,BW290,BW291,BW292)</f>
        <v>#DIV/0!</v>
      </c>
      <c r="BX293" s="3" t="e">
        <f>SUM(BX277,BX278,BX279,BX290,BX291,BX292)</f>
        <v>#DIV/0!</v>
      </c>
      <c r="BY293" s="3" t="e">
        <f>SUM(BY277,BY278,BY279,BY290,BY291,BY292)</f>
        <v>#DIV/0!</v>
      </c>
      <c r="BZ293" s="3" t="e">
        <f>SUM(BZ277,BZ278,BZ279,BZ290,BZ291,BZ292)</f>
        <v>#DIV/0!</v>
      </c>
      <c r="CA293" s="3" t="e">
        <f>SUM(CA277,CA278,CA279,CA290,CA291,CA292)</f>
        <v>#DIV/0!</v>
      </c>
      <c r="CB293" s="3" t="e">
        <f>SUM(CB277,CB278,CB279,CB290,CB291,CB292)</f>
        <v>#DIV/0!</v>
      </c>
      <c r="CC293" s="3" t="e">
        <f>SUM(CC277,CC278,CC279,CC290,CC291,CC292)</f>
        <v>#DIV/0!</v>
      </c>
      <c r="CD293" s="3" t="e">
        <f>SUM(CD277,CD278,CD279,CD290,CD291,CD292)</f>
        <v>#DIV/0!</v>
      </c>
      <c r="CE293" s="3" t="e">
        <f>SUM(CE277,CE278,CE279,CE290,CE291,CE292)</f>
        <v>#DIV/0!</v>
      </c>
      <c r="CF293" s="3" t="e">
        <f>SUM(CF277,CF278,CF279,CF290,CF291,CF292)</f>
        <v>#DIV/0!</v>
      </c>
      <c r="CG293" s="3" t="e">
        <f>SUM(CG277,CG278,CG279,CG290,CG291,CG292)</f>
        <v>#DIV/0!</v>
      </c>
      <c r="CH293" s="3" t="e">
        <f>SUM(CH277,CH278,CH279,CH290,CH291,CH292)</f>
        <v>#DIV/0!</v>
      </c>
      <c r="CI293" s="3" t="e">
        <f>SUM(CI277,CI278,CI279,CI290,CI291,CI292)</f>
        <v>#DIV/0!</v>
      </c>
      <c r="CJ293" s="3" t="e">
        <f>SUM(CJ277,CJ278,CJ279,CJ290,CJ291,CJ292)</f>
        <v>#DIV/0!</v>
      </c>
      <c r="CK293" s="3" t="e">
        <f>SUM(CK277,CK278,CK279,CK290,CK291,CK292)</f>
        <v>#DIV/0!</v>
      </c>
      <c r="CL293" s="3" t="e">
        <f>SUM(CL277,CL278,CL279,CL290,CL291,CL292)</f>
        <v>#DIV/0!</v>
      </c>
      <c r="CM293" s="3" t="e">
        <f>SUM(CM277,CM278,CM279,CM290,CM291,CM292)</f>
        <v>#DIV/0!</v>
      </c>
      <c r="CN293" s="3" t="e">
        <f>SUM(CN277,CN278,CN279,CN290,CN291,CN292)</f>
        <v>#DIV/0!</v>
      </c>
      <c r="CO293" s="3" t="e">
        <f>SUM(CO277,CO278,CO279,CO290,CO291,CO292)</f>
        <v>#DIV/0!</v>
      </c>
      <c r="CP293" s="3" t="e">
        <f>SUM(CP277,CP278,CP279,CP290,CP291,CP292)</f>
        <v>#DIV/0!</v>
      </c>
      <c r="CQ293" s="3" t="e">
        <f>SUM(CQ277,CQ278,CQ279,CQ290,CQ291,CQ292)</f>
        <v>#DIV/0!</v>
      </c>
      <c r="CR293" s="3" t="e">
        <f>SUM(CR277,CR278,CR279,CR290,CR291,CR292)</f>
        <v>#DIV/0!</v>
      </c>
      <c r="CS293" s="3" t="e">
        <f>SUM(CS277,CS278,CS279,CS290,CS291,CS292)</f>
        <v>#DIV/0!</v>
      </c>
      <c r="CT293" s="3" t="e">
        <f>SUM(CT277,CT278,CT279,CT290,CT291,CT292)</f>
        <v>#DIV/0!</v>
      </c>
      <c r="CU293" s="3" t="e">
        <f>SUM(CU277,CU278,CU279,CU290,CU291,CU292)</f>
        <v>#DIV/0!</v>
      </c>
      <c r="CV293" s="3" t="e">
        <f>SUM(CV277,CV278,CV279,CV290,CV291,CV292)</f>
        <v>#DIV/0!</v>
      </c>
      <c r="CW293" s="3" t="e">
        <f>SUM(CW277,CW278,CW279,CW290,CW291,CW292)</f>
        <v>#DIV/0!</v>
      </c>
      <c r="CX293" s="3" t="e">
        <f>SUM(CX277,CX278,CX279,CX290,CX291,CX292)</f>
        <v>#DIV/0!</v>
      </c>
      <c r="CY293" s="3" t="e">
        <f>SUM(CY277,CY278,CY279,CY290,CY291,CY292)</f>
        <v>#DIV/0!</v>
      </c>
    </row>
    <row r="294">
      <c r="C294" s="26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  <c r="CU294" s="3" t="n"/>
      <c r="CV294" s="3" t="n"/>
      <c r="CW294" s="3" t="n"/>
      <c r="CX294" s="3" t="n"/>
      <c r="CY294" s="3" t="n"/>
    </row>
    <row r="295">
      <c r="C295" s="29" t="inlineStr">
        <is>
          <t>Purchase of fixed assets (capital expenditures)</t>
        </is>
      </c>
      <c r="D295" s="3" t="n"/>
      <c r="E295" s="3">
        <f>-E168</f>
        <v>-23.68</v>
      </c>
      <c r="F295" s="3">
        <f>-F168</f>
        <v>-7.86700000000004</v>
      </c>
      <c r="G295" s="3">
        <f>-G168</f>
        <v>-22.419</v>
      </c>
      <c r="H295" s="3">
        <f>SUM(D295:G295)</f>
        <v>-53.966</v>
      </c>
      <c r="I295" s="3">
        <f>-I168</f>
        <v>-11.055</v>
      </c>
      <c r="J295" s="3">
        <f>-J168</f>
        <v>-22.313</v>
      </c>
      <c r="K295" s="3">
        <f>-K168</f>
        <v>-28.72</v>
      </c>
      <c r="L295" s="3">
        <f>-L168</f>
        <v>-82.901</v>
      </c>
      <c r="M295" s="3">
        <f>SUM(I295:L295)</f>
        <v>-144.989</v>
      </c>
      <c r="N295" s="3">
        <f>-N168</f>
        <v>-76.212</v>
      </c>
      <c r="O295" s="3">
        <f>-O168</f>
        <v>-336.807</v>
      </c>
      <c r="P295" s="3">
        <f>-P168</f>
        <v>-50.151</v>
      </c>
      <c r="Q295" s="3">
        <f>-Q168</f>
        <v>-81.838</v>
      </c>
      <c r="R295" s="3">
        <f>SUM(N295:Q295)</f>
        <v>-545.008</v>
      </c>
      <c r="S295" s="3">
        <f>-S168</f>
        <v>-90.5129999999999</v>
      </c>
      <c r="T295" s="3">
        <f>-T168</f>
        <v>-62.889</v>
      </c>
      <c r="U295" s="3">
        <f>-U168</f>
        <v>-99.603</v>
      </c>
      <c r="V295" s="3">
        <f>-V168</f>
        <v>-48.343</v>
      </c>
      <c r="W295" s="3">
        <f>SUM(S295:V295)</f>
        <v>-301.348</v>
      </c>
      <c r="X295" s="3">
        <f>-X168</f>
        <v>-77.6099999999999</v>
      </c>
      <c r="Y295" s="3">
        <f>-Y168</f>
        <v>-149.952</v>
      </c>
      <c r="Z295" s="3">
        <f>-Z168</f>
        <v>-322.592</v>
      </c>
      <c r="AA295" s="3">
        <f>-AA168</f>
        <v>-241.315</v>
      </c>
      <c r="AB295" s="3">
        <f>SUM(X295:AA295)</f>
        <v>-791.469</v>
      </c>
      <c r="AC295" s="3">
        <f>-AC168</f>
        <v>-134.602</v>
      </c>
      <c r="AD295" s="3">
        <f>-AD168</f>
        <v>-229.218</v>
      </c>
      <c r="AE295" s="3">
        <f>-AE168</f>
        <v>-153.227</v>
      </c>
      <c r="AF295" s="3">
        <f>-AF168</f>
        <v>-178.387</v>
      </c>
      <c r="AG295" s="3">
        <f>SUM(AC295:AF295)</f>
        <v>-695.434</v>
      </c>
      <c r="AH295" s="3">
        <f>-AH168</f>
        <v>-199.494</v>
      </c>
      <c r="AI295" s="3">
        <f>-AI168</f>
        <v>-1145.971</v>
      </c>
      <c r="AJ295" s="3">
        <f>-AJ168</f>
        <v>0</v>
      </c>
      <c r="AK295" s="3">
        <f>-AK168</f>
        <v>0</v>
      </c>
      <c r="AL295" s="3">
        <f>SUM(AH295:AK295)</f>
        <v>-1345.465</v>
      </c>
      <c r="AM295" s="3">
        <f>-AM168</f>
        <v>0</v>
      </c>
      <c r="AN295" s="3">
        <f>-AN168</f>
        <v>0</v>
      </c>
      <c r="AO295" s="3">
        <f>-AO168</f>
        <v>0</v>
      </c>
      <c r="AP295" s="3">
        <f>-AP168</f>
        <v>0</v>
      </c>
      <c r="AQ295" s="3">
        <f>SUM(AM295:AP295)</f>
        <v>0</v>
      </c>
      <c r="AR295" s="3">
        <f>-AR168</f>
        <v>0</v>
      </c>
      <c r="AS295" s="3">
        <f>-AS168</f>
        <v>0</v>
      </c>
      <c r="AT295" s="3">
        <f>-AT168</f>
        <v>0</v>
      </c>
      <c r="AU295" s="3">
        <f>-AU168</f>
        <v>0</v>
      </c>
      <c r="AV295" s="3">
        <f>SUM(AR295:AU295)</f>
        <v>0</v>
      </c>
      <c r="AW295" s="3">
        <f>-AW168</f>
        <v>0</v>
      </c>
      <c r="AX295" s="3">
        <f>-AX168</f>
        <v>0</v>
      </c>
      <c r="AY295" s="3">
        <f>-AY168</f>
        <v>0</v>
      </c>
      <c r="AZ295" s="3">
        <f>-AZ168</f>
        <v>0</v>
      </c>
      <c r="BA295" s="3">
        <f>SUM(AW295:AZ295)</f>
        <v>0</v>
      </c>
      <c r="BB295" s="3">
        <f>-BB168</f>
        <v>0</v>
      </c>
      <c r="BC295" s="3">
        <f>-BC168</f>
        <v>0</v>
      </c>
      <c r="BD295" s="3">
        <f>-BD168</f>
        <v>0</v>
      </c>
      <c r="BE295" s="3">
        <f>-BE168</f>
        <v>0</v>
      </c>
      <c r="BF295" s="3">
        <f>SUM(BB295:BE295)</f>
        <v>0</v>
      </c>
      <c r="BG295" s="3">
        <f>-BG168</f>
        <v>0</v>
      </c>
      <c r="BH295" s="3">
        <f>-BH168</f>
        <v>0</v>
      </c>
      <c r="BI295" s="3">
        <f>-BI168</f>
        <v>0</v>
      </c>
      <c r="BJ295" s="3">
        <f>-BJ168</f>
        <v>0</v>
      </c>
      <c r="BK295" s="3">
        <f>SUM(BG295:BJ295)</f>
        <v>0</v>
      </c>
      <c r="BL295" s="3">
        <f>-BL168</f>
        <v>0</v>
      </c>
      <c r="BM295" s="3">
        <f>-BM168</f>
        <v>0</v>
      </c>
      <c r="BN295" s="3">
        <f>-BN168</f>
        <v>0</v>
      </c>
      <c r="BO295" s="3">
        <f>-BO168</f>
        <v>0</v>
      </c>
      <c r="BP295" s="3">
        <f>SUM(BL295:BO295)</f>
        <v>0</v>
      </c>
      <c r="BQ295" s="3">
        <f>-BQ168</f>
        <v>0</v>
      </c>
      <c r="BR295" s="3">
        <f>-BR168</f>
        <v>0</v>
      </c>
      <c r="BS295" s="3">
        <f>-BS168</f>
        <v>0</v>
      </c>
      <c r="BT295" s="3">
        <f>-BT168</f>
        <v>0</v>
      </c>
      <c r="BU295" s="3">
        <f>SUM(BQ295:BT295)</f>
        <v>0</v>
      </c>
      <c r="BV295" s="3">
        <f>-BV168</f>
        <v>0</v>
      </c>
      <c r="BW295" s="3">
        <f>-BW168</f>
        <v>0</v>
      </c>
      <c r="BX295" s="3">
        <f>-BX168</f>
        <v>0</v>
      </c>
      <c r="BY295" s="3">
        <f>-BY168</f>
        <v>0</v>
      </c>
      <c r="BZ295" s="3">
        <f>SUM(BV295:BY295)</f>
        <v>0</v>
      </c>
      <c r="CA295" s="3">
        <f>-CA168</f>
        <v>0</v>
      </c>
      <c r="CB295" s="3">
        <f>-CB168</f>
        <v>0</v>
      </c>
      <c r="CC295" s="3">
        <f>-CC168</f>
        <v>0</v>
      </c>
      <c r="CD295" s="3">
        <f>-CD168</f>
        <v>0</v>
      </c>
      <c r="CE295" s="3">
        <f>SUM(CA295:CD295)</f>
        <v>0</v>
      </c>
      <c r="CF295" s="3">
        <f>-CF168</f>
        <v>0</v>
      </c>
      <c r="CG295" s="3">
        <f>-CG168</f>
        <v>0</v>
      </c>
      <c r="CH295" s="3">
        <f>-CH168</f>
        <v>0</v>
      </c>
      <c r="CI295" s="3">
        <f>-CI168</f>
        <v>0</v>
      </c>
      <c r="CJ295" s="3">
        <f>SUM(CF295:CI295)</f>
        <v>0</v>
      </c>
      <c r="CK295" s="3">
        <f>-CK168</f>
        <v>0</v>
      </c>
      <c r="CL295" s="3">
        <f>-CL168</f>
        <v>0</v>
      </c>
      <c r="CM295" s="3">
        <f>-CM168</f>
        <v>0</v>
      </c>
      <c r="CN295" s="3">
        <f>-CN168</f>
        <v>0</v>
      </c>
      <c r="CO295" s="3">
        <f>SUM(CK295:CN295)</f>
        <v>0</v>
      </c>
      <c r="CP295" s="3">
        <f>-CP168</f>
        <v>0</v>
      </c>
      <c r="CQ295" s="3">
        <f>-CQ168</f>
        <v>0</v>
      </c>
      <c r="CR295" s="3">
        <f>-CR168</f>
        <v>0</v>
      </c>
      <c r="CS295" s="3">
        <f>-CS168</f>
        <v>0</v>
      </c>
      <c r="CT295" s="3">
        <f>SUM(CP295:CS295)</f>
        <v>0</v>
      </c>
      <c r="CU295" s="3">
        <f>-CU168</f>
        <v>0</v>
      </c>
      <c r="CV295" s="3">
        <f>-CV168</f>
        <v>0</v>
      </c>
      <c r="CW295" s="3">
        <f>-CW168</f>
        <v>0</v>
      </c>
      <c r="CX295" s="3">
        <f>-CX168</f>
        <v>0</v>
      </c>
      <c r="CY295" s="3">
        <f>SUM(CU295:CX295)</f>
        <v>0</v>
      </c>
    </row>
    <row r="296">
      <c r="C296" s="29" t="inlineStr">
        <is>
          <t>Proceeds from sale of fixed assets</t>
        </is>
      </c>
      <c r="D296" s="3" t="n"/>
      <c r="E296" s="3">
        <f>-E169</f>
        <v>0</v>
      </c>
      <c r="F296" s="3">
        <f>-F169</f>
        <v>0</v>
      </c>
      <c r="G296" s="3">
        <f>-G169</f>
        <v>0</v>
      </c>
      <c r="H296" s="3">
        <f>SUM(D296:G296)</f>
        <v>0</v>
      </c>
      <c r="I296" s="3">
        <f>-I169</f>
        <v>0</v>
      </c>
      <c r="J296" s="3">
        <f>-J169</f>
        <v>0</v>
      </c>
      <c r="K296" s="3">
        <f>-K169</f>
        <v>0</v>
      </c>
      <c r="L296" s="3">
        <f>-L169</f>
        <v>0</v>
      </c>
      <c r="M296" s="3">
        <f>SUM(I296:L296)</f>
        <v>0</v>
      </c>
      <c r="N296" s="3">
        <f>-N169</f>
        <v>0</v>
      </c>
      <c r="O296" s="3">
        <f>-O169</f>
        <v>0</v>
      </c>
      <c r="P296" s="3">
        <f>-P169</f>
        <v>0</v>
      </c>
      <c r="Q296" s="3">
        <f>-Q169</f>
        <v>0</v>
      </c>
      <c r="R296" s="3">
        <f>SUM(N296:Q296)</f>
        <v>0</v>
      </c>
      <c r="S296" s="3">
        <f>-S169</f>
        <v>0</v>
      </c>
      <c r="T296" s="3">
        <f>-T169</f>
        <v>0</v>
      </c>
      <c r="U296" s="3">
        <f>-U169</f>
        <v>0</v>
      </c>
      <c r="V296" s="3">
        <f>-V169</f>
        <v>0</v>
      </c>
      <c r="W296" s="3">
        <f>SUM(S296:V296)</f>
        <v>0</v>
      </c>
      <c r="X296" s="3">
        <f>-X169</f>
        <v>0</v>
      </c>
      <c r="Y296" s="3">
        <f>-Y169</f>
        <v>0</v>
      </c>
      <c r="Z296" s="3">
        <f>-Z169</f>
        <v>0</v>
      </c>
      <c r="AA296" s="3">
        <f>-AA169</f>
        <v>0</v>
      </c>
      <c r="AB296" s="3">
        <f>SUM(X296:AA296)</f>
        <v>0</v>
      </c>
      <c r="AC296" s="3">
        <f>-AC169</f>
        <v>0</v>
      </c>
      <c r="AD296" s="3">
        <f>-AD169</f>
        <v>0</v>
      </c>
      <c r="AE296" s="3">
        <f>-AE169</f>
        <v>0</v>
      </c>
      <c r="AF296" s="3">
        <f>-AF169</f>
        <v>0</v>
      </c>
      <c r="AG296" s="3">
        <f>SUM(AC296:AF296)</f>
        <v>0</v>
      </c>
      <c r="AH296" s="3">
        <f>-AH169</f>
        <v>0</v>
      </c>
      <c r="AI296" s="3">
        <f>-AI169</f>
        <v>0</v>
      </c>
      <c r="AJ296" s="3">
        <f>-AJ169</f>
        <v>0</v>
      </c>
      <c r="AK296" s="3">
        <f>-AK169</f>
        <v>0</v>
      </c>
      <c r="AL296" s="3">
        <f>SUM(AH296:AK296)</f>
        <v>0</v>
      </c>
      <c r="AM296" s="3">
        <f>-AM169</f>
        <v>0</v>
      </c>
      <c r="AN296" s="3">
        <f>-AN169</f>
        <v>0</v>
      </c>
      <c r="AO296" s="3">
        <f>-AO169</f>
        <v>0</v>
      </c>
      <c r="AP296" s="3">
        <f>-AP169</f>
        <v>0</v>
      </c>
      <c r="AQ296" s="3">
        <f>SUM(AM296:AP296)</f>
        <v>0</v>
      </c>
      <c r="AR296" s="3">
        <f>-AR169</f>
        <v>0</v>
      </c>
      <c r="AS296" s="3">
        <f>-AS169</f>
        <v>0</v>
      </c>
      <c r="AT296" s="3">
        <f>-AT169</f>
        <v>0</v>
      </c>
      <c r="AU296" s="3">
        <f>-AU169</f>
        <v>0</v>
      </c>
      <c r="AV296" s="3">
        <f>SUM(AR296:AU296)</f>
        <v>0</v>
      </c>
      <c r="AW296" s="3">
        <f>-AW169</f>
        <v>0</v>
      </c>
      <c r="AX296" s="3">
        <f>-AX169</f>
        <v>0</v>
      </c>
      <c r="AY296" s="3">
        <f>-AY169</f>
        <v>0</v>
      </c>
      <c r="AZ296" s="3">
        <f>-AZ169</f>
        <v>0</v>
      </c>
      <c r="BA296" s="3">
        <f>SUM(AW296:AZ296)</f>
        <v>0</v>
      </c>
      <c r="BB296" s="3">
        <f>-BB169</f>
        <v>0</v>
      </c>
      <c r="BC296" s="3">
        <f>-BC169</f>
        <v>0</v>
      </c>
      <c r="BD296" s="3">
        <f>-BD169</f>
        <v>0</v>
      </c>
      <c r="BE296" s="3">
        <f>-BE169</f>
        <v>0</v>
      </c>
      <c r="BF296" s="3">
        <f>SUM(BB296:BE296)</f>
        <v>0</v>
      </c>
      <c r="BG296" s="3">
        <f>-BG169</f>
        <v>0</v>
      </c>
      <c r="BH296" s="3">
        <f>-BH169</f>
        <v>0</v>
      </c>
      <c r="BI296" s="3">
        <f>-BI169</f>
        <v>0</v>
      </c>
      <c r="BJ296" s="3">
        <f>-BJ169</f>
        <v>0</v>
      </c>
      <c r="BK296" s="3">
        <f>SUM(BG296:BJ296)</f>
        <v>0</v>
      </c>
      <c r="BL296" s="3">
        <f>-BL169</f>
        <v>0</v>
      </c>
      <c r="BM296" s="3">
        <f>-BM169</f>
        <v>0</v>
      </c>
      <c r="BN296" s="3">
        <f>-BN169</f>
        <v>0</v>
      </c>
      <c r="BO296" s="3">
        <f>-BO169</f>
        <v>0</v>
      </c>
      <c r="BP296" s="3">
        <f>SUM(BL296:BO296)</f>
        <v>0</v>
      </c>
      <c r="BQ296" s="3">
        <f>-BQ169</f>
        <v>0</v>
      </c>
      <c r="BR296" s="3">
        <f>-BR169</f>
        <v>0</v>
      </c>
      <c r="BS296" s="3">
        <f>-BS169</f>
        <v>0</v>
      </c>
      <c r="BT296" s="3">
        <f>-BT169</f>
        <v>0</v>
      </c>
      <c r="BU296" s="3">
        <f>SUM(BQ296:BT296)</f>
        <v>0</v>
      </c>
      <c r="BV296" s="3">
        <f>-BV169</f>
        <v>0</v>
      </c>
      <c r="BW296" s="3">
        <f>-BW169</f>
        <v>0</v>
      </c>
      <c r="BX296" s="3">
        <f>-BX169</f>
        <v>0</v>
      </c>
      <c r="BY296" s="3">
        <f>-BY169</f>
        <v>0</v>
      </c>
      <c r="BZ296" s="3">
        <f>SUM(BV296:BY296)</f>
        <v>0</v>
      </c>
      <c r="CA296" s="3">
        <f>-CA169</f>
        <v>0</v>
      </c>
      <c r="CB296" s="3">
        <f>-CB169</f>
        <v>0</v>
      </c>
      <c r="CC296" s="3">
        <f>-CC169</f>
        <v>0</v>
      </c>
      <c r="CD296" s="3">
        <f>-CD169</f>
        <v>0</v>
      </c>
      <c r="CE296" s="3">
        <f>SUM(CA296:CD296)</f>
        <v>0</v>
      </c>
      <c r="CF296" s="3">
        <f>-CF169</f>
        <v>0</v>
      </c>
      <c r="CG296" s="3">
        <f>-CG169</f>
        <v>0</v>
      </c>
      <c r="CH296" s="3">
        <f>-CH169</f>
        <v>0</v>
      </c>
      <c r="CI296" s="3">
        <f>-CI169</f>
        <v>0</v>
      </c>
      <c r="CJ296" s="3">
        <f>SUM(CF296:CI296)</f>
        <v>0</v>
      </c>
      <c r="CK296" s="3">
        <f>-CK169</f>
        <v>0</v>
      </c>
      <c r="CL296" s="3">
        <f>-CL169</f>
        <v>0</v>
      </c>
      <c r="CM296" s="3">
        <f>-CM169</f>
        <v>0</v>
      </c>
      <c r="CN296" s="3">
        <f>-CN169</f>
        <v>0</v>
      </c>
      <c r="CO296" s="3">
        <f>SUM(CK296:CN296)</f>
        <v>0</v>
      </c>
      <c r="CP296" s="3">
        <f>-CP169</f>
        <v>0</v>
      </c>
      <c r="CQ296" s="3">
        <f>-CQ169</f>
        <v>0</v>
      </c>
      <c r="CR296" s="3">
        <f>-CR169</f>
        <v>0</v>
      </c>
      <c r="CS296" s="3">
        <f>-CS169</f>
        <v>0</v>
      </c>
      <c r="CT296" s="3">
        <f>SUM(CP296:CS296)</f>
        <v>0</v>
      </c>
      <c r="CU296" s="3">
        <f>-CU169</f>
        <v>0</v>
      </c>
      <c r="CV296" s="3">
        <f>-CV169</f>
        <v>0</v>
      </c>
      <c r="CW296" s="3">
        <f>-CW169</f>
        <v>0</v>
      </c>
      <c r="CX296" s="3">
        <f>-CX169</f>
        <v>0</v>
      </c>
      <c r="CY296" s="3">
        <f>SUM(CU296:CX296)</f>
        <v>0</v>
      </c>
    </row>
    <row r="297">
      <c r="C297" s="29" t="inlineStr">
        <is>
          <t>Var.Right-of-use-assets</t>
        </is>
      </c>
      <c r="D297" s="3" t="n"/>
      <c r="E297" s="3">
        <f>(E176-D176)*-1</f>
        <v>1.468</v>
      </c>
      <c r="F297" s="3">
        <f>(F176-E176)*-1</f>
        <v>0.721</v>
      </c>
      <c r="G297" s="3">
        <f>(G176-F176)*-1</f>
        <v>-2.211</v>
      </c>
      <c r="H297" s="3">
        <f>SUM(D297:G297)</f>
        <v>-0.0220000000000002</v>
      </c>
      <c r="I297" s="3">
        <f>(I176-H176)*-1</f>
        <v>-6.808</v>
      </c>
      <c r="J297" s="3">
        <f>(J176-I176)*-1</f>
        <v>0.148</v>
      </c>
      <c r="K297" s="3">
        <f>(K176-J176)*-1</f>
        <v>-4.355</v>
      </c>
      <c r="L297" s="3">
        <f>(L176-K176)*-1</f>
        <v>3.406</v>
      </c>
      <c r="M297" s="3">
        <f>SUM(I297:L297)</f>
        <v>-7.609</v>
      </c>
      <c r="N297" s="3">
        <f>(N176-M176)*-1</f>
        <v>-1.539</v>
      </c>
      <c r="O297" s="3">
        <f>(O176-N176)*-1</f>
        <v>-11.834</v>
      </c>
      <c r="P297" s="3">
        <f>(P176-O176)*-1</f>
        <v>-12.538</v>
      </c>
      <c r="Q297" s="3">
        <f>(Q176-P176)*-1</f>
        <v>2.063</v>
      </c>
      <c r="R297" s="3">
        <f>SUM(N297:Q297)</f>
        <v>-23.848</v>
      </c>
      <c r="S297" s="3">
        <f>(S176-R176)*-1</f>
        <v>5.986</v>
      </c>
      <c r="T297" s="3">
        <f>(T176-S176)*-1</f>
        <v>-10.176</v>
      </c>
      <c r="U297" s="3">
        <f>(U176-T176)*-1</f>
        <v>7.97</v>
      </c>
      <c r="V297" s="3">
        <f>(V176-U176)*-1</f>
        <v>-1.792</v>
      </c>
      <c r="W297" s="3">
        <f>SUM(S297:V297)</f>
        <v>1.988</v>
      </c>
      <c r="X297" s="3">
        <f>(X176-W176)*-1</f>
        <v>-0.955999999999996</v>
      </c>
      <c r="Y297" s="3">
        <f>(Y176-X176)*-1</f>
        <v>-3.378</v>
      </c>
      <c r="Z297" s="3">
        <f>(Z176-Y176)*-1</f>
        <v>-51.139</v>
      </c>
      <c r="AA297" s="3">
        <f>(AA176-Z176)*-1</f>
        <v>-2.40600000000001</v>
      </c>
      <c r="AB297" s="3">
        <f>SUM(X297:AA297)</f>
        <v>-57.879</v>
      </c>
      <c r="AC297" s="3">
        <f>(AC176-AB176)*-1</f>
        <v>-1.729</v>
      </c>
      <c r="AD297" s="3">
        <f>(AD176-AC176)*-1</f>
        <v>19.494</v>
      </c>
      <c r="AE297" s="3">
        <f>(AE176-AD176)*-1</f>
        <v>7.762</v>
      </c>
      <c r="AF297" s="3">
        <f>(AF176-AE176)*-1</f>
        <v>-24.992</v>
      </c>
      <c r="AG297" s="3">
        <f>SUM(AC297:AF297)</f>
        <v>0.535000000000011</v>
      </c>
      <c r="AH297" s="3">
        <f>(AH176-AG176)*-1</f>
        <v>10.641</v>
      </c>
      <c r="AI297" s="3">
        <f>(AI176-AH176)*-1</f>
        <v>-5.535</v>
      </c>
      <c r="AJ297" s="3">
        <f>(AJ176-AI176)*-1</f>
        <v>0</v>
      </c>
      <c r="AK297" s="3">
        <f>(AK176-AJ176)*-1</f>
        <v>0</v>
      </c>
      <c r="AL297" s="3">
        <f>SUM(AH297:AK297)</f>
        <v>5.10599999999999</v>
      </c>
      <c r="AM297" s="3">
        <f>(AM176-AL176)*-1</f>
        <v>0</v>
      </c>
      <c r="AN297" s="3">
        <f>(AN176-AM176)*-1</f>
        <v>0</v>
      </c>
      <c r="AO297" s="3">
        <f>(AO176-AN176)*-1</f>
        <v>0</v>
      </c>
      <c r="AP297" s="3">
        <f>(AP176-AO176)*-1</f>
        <v>0</v>
      </c>
      <c r="AQ297" s="3">
        <f>SUM(AM297:AP297)</f>
        <v>0</v>
      </c>
      <c r="AR297" s="3">
        <f>(AR176-AQ176)*-1</f>
        <v>0</v>
      </c>
      <c r="AS297" s="3">
        <f>(AS176-AR176)*-1</f>
        <v>0</v>
      </c>
      <c r="AT297" s="3">
        <f>(AT176-AS176)*-1</f>
        <v>0</v>
      </c>
      <c r="AU297" s="3">
        <f>(AU176-AT176)*-1</f>
        <v>0</v>
      </c>
      <c r="AV297" s="3">
        <f>SUM(AR297:AU297)</f>
        <v>0</v>
      </c>
      <c r="AW297" s="3">
        <f>(AW176-AV176)*-1</f>
        <v>0</v>
      </c>
      <c r="AX297" s="3">
        <f>(AX176-AW176)*-1</f>
        <v>0</v>
      </c>
      <c r="AY297" s="3">
        <f>(AY176-AX176)*-1</f>
        <v>0</v>
      </c>
      <c r="AZ297" s="3">
        <f>(AZ176-AY176)*-1</f>
        <v>0</v>
      </c>
      <c r="BA297" s="3">
        <f>SUM(AW297:AZ297)</f>
        <v>0</v>
      </c>
      <c r="BB297" s="3">
        <f>(BB176-BA176)*-1</f>
        <v>0</v>
      </c>
      <c r="BC297" s="3">
        <f>(BC176-BB176)*-1</f>
        <v>0</v>
      </c>
      <c r="BD297" s="3">
        <f>(BD176-BC176)*-1</f>
        <v>0</v>
      </c>
      <c r="BE297" s="3">
        <f>(BE176-BD176)*-1</f>
        <v>0</v>
      </c>
      <c r="BF297" s="3">
        <f>SUM(BB297:BE297)</f>
        <v>0</v>
      </c>
      <c r="BG297" s="3">
        <f>(BG176-BF176)*-1</f>
        <v>0</v>
      </c>
      <c r="BH297" s="3">
        <f>(BH176-BG176)*-1</f>
        <v>0</v>
      </c>
      <c r="BI297" s="3">
        <f>(BI176-BH176)*-1</f>
        <v>0</v>
      </c>
      <c r="BJ297" s="3">
        <f>(BJ176-BI176)*-1</f>
        <v>0</v>
      </c>
      <c r="BK297" s="3">
        <f>SUM(BG297:BJ297)</f>
        <v>0</v>
      </c>
      <c r="BL297" s="3">
        <f>(BL176-BK176)*-1</f>
        <v>0</v>
      </c>
      <c r="BM297" s="3">
        <f>(BM176-BL176)*-1</f>
        <v>0</v>
      </c>
      <c r="BN297" s="3">
        <f>(BN176-BM176)*-1</f>
        <v>0</v>
      </c>
      <c r="BO297" s="3">
        <f>(BO176-BN176)*-1</f>
        <v>0</v>
      </c>
      <c r="BP297" s="3">
        <f>SUM(BL297:BO297)</f>
        <v>0</v>
      </c>
      <c r="BQ297" s="3">
        <f>(BQ176-BP176)*-1</f>
        <v>0</v>
      </c>
      <c r="BR297" s="3">
        <f>(BR176-BQ176)*-1</f>
        <v>0</v>
      </c>
      <c r="BS297" s="3">
        <f>(BS176-BR176)*-1</f>
        <v>0</v>
      </c>
      <c r="BT297" s="3">
        <f>(BT176-BS176)*-1</f>
        <v>0</v>
      </c>
      <c r="BU297" s="3">
        <f>SUM(BQ297:BT297)</f>
        <v>0</v>
      </c>
      <c r="BV297" s="3">
        <f>(BV176-BU176)*-1</f>
        <v>0</v>
      </c>
      <c r="BW297" s="3">
        <f>(BW176-BV176)*-1</f>
        <v>0</v>
      </c>
      <c r="BX297" s="3">
        <f>(BX176-BW176)*-1</f>
        <v>0</v>
      </c>
      <c r="BY297" s="3">
        <f>(BY176-BX176)*-1</f>
        <v>0</v>
      </c>
      <c r="BZ297" s="3">
        <f>SUM(BV297:BY297)</f>
        <v>0</v>
      </c>
      <c r="CA297" s="3">
        <f>(CA176-BZ176)*-1</f>
        <v>0</v>
      </c>
      <c r="CB297" s="3">
        <f>(CB176-CA176)*-1</f>
        <v>0</v>
      </c>
      <c r="CC297" s="3">
        <f>(CC176-CB176)*-1</f>
        <v>0</v>
      </c>
      <c r="CD297" s="3">
        <f>(CD176-CC176)*-1</f>
        <v>0</v>
      </c>
      <c r="CE297" s="3">
        <f>SUM(CA297:CD297)</f>
        <v>0</v>
      </c>
      <c r="CF297" s="3">
        <f>(CF176-CE176)*-1</f>
        <v>0</v>
      </c>
      <c r="CG297" s="3">
        <f>(CG176-CF176)*-1</f>
        <v>0</v>
      </c>
      <c r="CH297" s="3">
        <f>(CH176-CG176)*-1</f>
        <v>0</v>
      </c>
      <c r="CI297" s="3">
        <f>(CI176-CH176)*-1</f>
        <v>0</v>
      </c>
      <c r="CJ297" s="3">
        <f>SUM(CF297:CI297)</f>
        <v>0</v>
      </c>
      <c r="CK297" s="3">
        <f>(CK176-CJ176)*-1</f>
        <v>0</v>
      </c>
      <c r="CL297" s="3">
        <f>(CL176-CK176)*-1</f>
        <v>0</v>
      </c>
      <c r="CM297" s="3">
        <f>(CM176-CL176)*-1</f>
        <v>0</v>
      </c>
      <c r="CN297" s="3">
        <f>(CN176-CM176)*-1</f>
        <v>0</v>
      </c>
      <c r="CO297" s="3">
        <f>SUM(CK297:CN297)</f>
        <v>0</v>
      </c>
      <c r="CP297" s="3">
        <f>(CP176-CO176)*-1</f>
        <v>0</v>
      </c>
      <c r="CQ297" s="3">
        <f>(CQ176-CP176)*-1</f>
        <v>0</v>
      </c>
      <c r="CR297" s="3">
        <f>(CR176-CQ176)*-1</f>
        <v>0</v>
      </c>
      <c r="CS297" s="3">
        <f>(CS176-CR176)*-1</f>
        <v>0</v>
      </c>
      <c r="CT297" s="3">
        <f>SUM(CP297:CS297)</f>
        <v>0</v>
      </c>
      <c r="CU297" s="3">
        <f>(CU176-CT176)*-1</f>
        <v>0</v>
      </c>
      <c r="CV297" s="3">
        <f>(CV176-CU176)*-1</f>
        <v>0</v>
      </c>
      <c r="CW297" s="3">
        <f>(CW176-CV176)*-1</f>
        <v>0</v>
      </c>
      <c r="CX297" s="3">
        <f>(CX176-CW176)*-1</f>
        <v>0</v>
      </c>
      <c r="CY297" s="3">
        <f>SUM(CU297:CX297)</f>
        <v>0</v>
      </c>
      <c r="CZ297" s="3" t="n"/>
      <c r="DA297" s="3" t="n"/>
      <c r="DB297" s="3" t="n"/>
      <c r="DC297" s="3" t="n"/>
    </row>
    <row r="298">
      <c r="C298" s="29" t="inlineStr">
        <is>
          <t>Purchases of intangible assets</t>
        </is>
      </c>
      <c r="D298" s="3" t="n"/>
      <c r="E298" s="3">
        <f>((E180-D180)*-1)+((E179-D179)*-1)</f>
        <v>3.743</v>
      </c>
      <c r="F298" s="3">
        <f>((F180-E180)*-1)+((F179-E179)*-1)</f>
        <v>1.634</v>
      </c>
      <c r="G298" s="3">
        <f>((G180-F180)*-1)+((G179-F179)*-1)</f>
        <v>1.17500000000001</v>
      </c>
      <c r="H298" s="3">
        <f>SUM(D298:G298)</f>
        <v>6.55200000000001</v>
      </c>
      <c r="I298" s="3">
        <f>((I180-H180)*-1)+((I179-H179)*-1)</f>
        <v>1.127</v>
      </c>
      <c r="J298" s="3">
        <f>((J180-I180)*-1)+((J179-I179)*-1)</f>
        <v>1.068</v>
      </c>
      <c r="K298" s="3">
        <f>((K180-J180)*-1)+((K179-J179)*-1)</f>
        <v>1.099</v>
      </c>
      <c r="L298" s="3">
        <f>((L180-K180)*-1)+((L179-K179)*-1)</f>
        <v>2.23899999999999</v>
      </c>
      <c r="M298" s="3">
        <f>SUM(I298:L298)</f>
        <v>5.53299999999999</v>
      </c>
      <c r="N298" s="3">
        <f>((N180-M180)*-1)+((N179-M179)*-1)</f>
        <v>-61.627</v>
      </c>
      <c r="O298" s="3">
        <f>((O180-N180)*-1)+((O179-N179)*-1)</f>
        <v>-236.157</v>
      </c>
      <c r="P298" s="3">
        <f>((P180-O180)*-1)+((P179-O179)*-1)</f>
        <v>5.197</v>
      </c>
      <c r="Q298" s="3">
        <f>((Q180-P180)*-1)+((Q179-P179)*-1)</f>
        <v>-142.094</v>
      </c>
      <c r="R298" s="3">
        <f>SUM(N298:Q298)</f>
        <v>-434.681</v>
      </c>
      <c r="S298" s="3">
        <f>((S180-R180)*-1)+((S179-R179)*-1)</f>
        <v>12.6410000000001</v>
      </c>
      <c r="T298" s="3">
        <f>((T180-S180)*-1)+((T179-S179)*-1)</f>
        <v>1.36699999999996</v>
      </c>
      <c r="U298" s="3">
        <f>((U180-T180)*-1)+((U179-T179)*-1)</f>
        <v>6.06900000000002</v>
      </c>
      <c r="V298" s="3">
        <f>((V180-U180)*-1)+((V179-U179)*-1)</f>
        <v>39.575</v>
      </c>
      <c r="W298" s="3">
        <f>SUM(S298:V298)</f>
        <v>59.652</v>
      </c>
      <c r="X298" s="3">
        <f>((X180-W180)*-1)+((X179-W179)*-1)</f>
        <v>6.50200000000001</v>
      </c>
      <c r="Y298" s="3">
        <f>((Y180-X180)*-1)+((Y179-X179)*-1)</f>
        <v>6.43399999999997</v>
      </c>
      <c r="Z298" s="3">
        <f>((Z180-Y180)*-1)+((Z179-Y179)*-1)</f>
        <v>-28.304</v>
      </c>
      <c r="AA298" s="3">
        <f>((AA180-Z180)*-1)+((AA179-Z179)*-1)</f>
        <v>30.371</v>
      </c>
      <c r="AB298" s="3">
        <f>SUM(X298:AA298)</f>
        <v>15.003</v>
      </c>
      <c r="AC298" s="3">
        <f>((AC180-AB180)*-1)+((AC179-AB179)*-1)</f>
        <v>-2.48699999999997</v>
      </c>
      <c r="AD298" s="3">
        <f>((AD180-AC180)*-1)+((AD179-AC179)*-1)</f>
        <v>5.25599999999997</v>
      </c>
      <c r="AE298" s="3">
        <f>((AE180-AD180)*-1)+((AE179-AD179)*-1)</f>
        <v>5.68099999999998</v>
      </c>
      <c r="AF298" s="3">
        <f>((AF180-AE180)*-1)+((AF179-AE179)*-1)</f>
        <v>-48.581</v>
      </c>
      <c r="AG298" s="3">
        <f>SUM(AC298:AF298)</f>
        <v>-40.131</v>
      </c>
      <c r="AH298" s="3">
        <f>((AH180-AG180)*-1)+((AH179-AG179)*-1)</f>
        <v>5.21600000000001</v>
      </c>
      <c r="AI298" s="3">
        <f>((AI180-AH180)*-1)+((AI179-AH179)*-1)</f>
        <v>-3344.218</v>
      </c>
      <c r="AJ298" s="3">
        <f>((AJ180-AI180)*-1)+((AJ179-AI179)*-1)</f>
        <v>3830</v>
      </c>
      <c r="AK298" s="3">
        <f>((AK180-AJ180)*-1)+((AK179-AJ179)*-1)</f>
        <v>0</v>
      </c>
      <c r="AL298" s="3">
        <f>SUM(AH298:AK298)</f>
        <v>490.998</v>
      </c>
      <c r="AM298" s="3">
        <f>((AM180-AL180)*-1)+((AM179-AL179)*-1)</f>
        <v>0</v>
      </c>
      <c r="AN298" s="3">
        <f>((AN180-AM180)*-1)+((AN179-AM179)*-1)</f>
        <v>0</v>
      </c>
      <c r="AO298" s="3">
        <f>((AO180-AN180)*-1)+((AO179-AN179)*-1)</f>
        <v>0</v>
      </c>
      <c r="AP298" s="3">
        <f>((AP180-AO180)*-1)+((AP179-AO179)*-1)</f>
        <v>0</v>
      </c>
      <c r="AQ298" s="3">
        <f>SUM(AM298:AP298)</f>
        <v>0</v>
      </c>
      <c r="AR298" s="3">
        <f>((AR180-AQ180)*-1)+((AR179-AQ179)*-1)</f>
        <v>0</v>
      </c>
      <c r="AS298" s="3">
        <f>((AS180-AR180)*-1)+((AS179-AR179)*-1)</f>
        <v>0</v>
      </c>
      <c r="AT298" s="3">
        <f>((AT180-AS180)*-1)+((AT179-AS179)*-1)</f>
        <v>0</v>
      </c>
      <c r="AU298" s="3">
        <f>((AU180-AT180)*-1)+((AU179-AT179)*-1)</f>
        <v>0</v>
      </c>
      <c r="AV298" s="3">
        <f>SUM(AR298:AU298)</f>
        <v>0</v>
      </c>
      <c r="AW298" s="3">
        <f>((AW180-AV180)*-1)+((AW179-AV179)*-1)</f>
        <v>0</v>
      </c>
      <c r="AX298" s="3">
        <f>((AX180-AW180)*-1)+((AX179-AW179)*-1)</f>
        <v>0</v>
      </c>
      <c r="AY298" s="3">
        <f>((AY180-AX180)*-1)+((AY179-AX179)*-1)</f>
        <v>0</v>
      </c>
      <c r="AZ298" s="3">
        <f>((AZ180-AY180)*-1)+((AZ179-AY179)*-1)</f>
        <v>0</v>
      </c>
      <c r="BA298" s="3">
        <f>SUM(AW298:AZ298)</f>
        <v>0</v>
      </c>
      <c r="BB298" s="3">
        <f>((BB180-BA180)*-1)+((BB179-BA179)*-1)</f>
        <v>0</v>
      </c>
      <c r="BC298" s="3">
        <f>((BC180-BB180)*-1)+((BC179-BB179)*-1)</f>
        <v>0</v>
      </c>
      <c r="BD298" s="3">
        <f>((BD180-BC180)*-1)+((BD179-BC179)*-1)</f>
        <v>0</v>
      </c>
      <c r="BE298" s="3">
        <f>((BE180-BD180)*-1)+((BE179-BD179)*-1)</f>
        <v>0</v>
      </c>
      <c r="BF298" s="3">
        <f>SUM(BB298:BE298)</f>
        <v>0</v>
      </c>
      <c r="BG298" s="3">
        <f>((BG180-BF180)*-1)+((BG179-BF179)*-1)</f>
        <v>0</v>
      </c>
      <c r="BH298" s="3">
        <f>((BH180-BG180)*-1)+((BH179-BG179)*-1)</f>
        <v>0</v>
      </c>
      <c r="BI298" s="3">
        <f>((BI180-BH180)*-1)+((BI179-BH179)*-1)</f>
        <v>0</v>
      </c>
      <c r="BJ298" s="3">
        <f>((BJ180-BI180)*-1)+((BJ179-BI179)*-1)</f>
        <v>0</v>
      </c>
      <c r="BK298" s="3">
        <f>SUM(BG298:BJ298)</f>
        <v>0</v>
      </c>
      <c r="BL298" s="3">
        <f>((BL180-BK180)*-1)+((BL179-BK179)*-1)</f>
        <v>0</v>
      </c>
      <c r="BM298" s="3">
        <f>((BM180-BL180)*-1)+((BM179-BL179)*-1)</f>
        <v>0</v>
      </c>
      <c r="BN298" s="3">
        <f>((BN180-BM180)*-1)+((BN179-BM179)*-1)</f>
        <v>0</v>
      </c>
      <c r="BO298" s="3">
        <f>((BO180-BN180)*-1)+((BO179-BN179)*-1)</f>
        <v>0</v>
      </c>
      <c r="BP298" s="3">
        <f>SUM(BL298:BO298)</f>
        <v>0</v>
      </c>
      <c r="BQ298" s="3">
        <f>((BQ180-BP180)*-1)+((BQ179-BP179)*-1)</f>
        <v>0</v>
      </c>
      <c r="BR298" s="3">
        <f>((BR180-BQ180)*-1)+((BR179-BQ179)*-1)</f>
        <v>0</v>
      </c>
      <c r="BS298" s="3">
        <f>((BS180-BR180)*-1)+((BS179-BR179)*-1)</f>
        <v>0</v>
      </c>
      <c r="BT298" s="3">
        <f>((BT180-BS180)*-1)+((BT179-BS179)*-1)</f>
        <v>0</v>
      </c>
      <c r="BU298" s="3">
        <f>SUM(BQ298:BT298)</f>
        <v>0</v>
      </c>
      <c r="BV298" s="3">
        <f>((BV180-BU180)*-1)+((BV179-BU179)*-1)</f>
        <v>0</v>
      </c>
      <c r="BW298" s="3">
        <f>((BW180-BV180)*-1)+((BW179-BV179)*-1)</f>
        <v>0</v>
      </c>
      <c r="BX298" s="3">
        <f>((BX180-BW180)*-1)+((BX179-BW179)*-1)</f>
        <v>0</v>
      </c>
      <c r="BY298" s="3">
        <f>((BY180-BX180)*-1)+((BY179-BX179)*-1)</f>
        <v>0</v>
      </c>
      <c r="BZ298" s="3">
        <f>SUM(BV298:BY298)</f>
        <v>0</v>
      </c>
      <c r="CA298" s="3">
        <f>((CA180-BZ180)*-1)+((CA179-BZ179)*-1)</f>
        <v>0</v>
      </c>
      <c r="CB298" s="3">
        <f>((CB180-CA180)*-1)+((CB179-CA179)*-1)</f>
        <v>0</v>
      </c>
      <c r="CC298" s="3">
        <f>((CC180-CB180)*-1)+((CC179-CB179)*-1)</f>
        <v>0</v>
      </c>
      <c r="CD298" s="3">
        <f>((CD180-CC180)*-1)+((CD179-CC179)*-1)</f>
        <v>0</v>
      </c>
      <c r="CE298" s="3">
        <f>SUM(CA298:CD298)</f>
        <v>0</v>
      </c>
      <c r="CF298" s="3">
        <f>((CF180-CE180)*-1)+((CF179-CE179)*-1)</f>
        <v>0</v>
      </c>
      <c r="CG298" s="3">
        <f>((CG180-CF180)*-1)+((CG179-CF179)*-1)</f>
        <v>0</v>
      </c>
      <c r="CH298" s="3">
        <f>((CH180-CG180)*-1)+((CH179-CG179)*-1)</f>
        <v>0</v>
      </c>
      <c r="CI298" s="3">
        <f>((CI180-CH180)*-1)+((CI179-CH179)*-1)</f>
        <v>0</v>
      </c>
      <c r="CJ298" s="3">
        <f>SUM(CF298:CI298)</f>
        <v>0</v>
      </c>
      <c r="CK298" s="3">
        <f>((CK180-CJ180)*-1)+((CK179-CJ179)*-1)</f>
        <v>0</v>
      </c>
      <c r="CL298" s="3">
        <f>((CL180-CK180)*-1)+((CL179-CK179)*-1)</f>
        <v>0</v>
      </c>
      <c r="CM298" s="3">
        <f>((CM180-CL180)*-1)+((CM179-CL179)*-1)</f>
        <v>0</v>
      </c>
      <c r="CN298" s="3">
        <f>((CN180-CM180)*-1)+((CN179-CM179)*-1)</f>
        <v>0</v>
      </c>
      <c r="CO298" s="3">
        <f>SUM(CK298:CN298)</f>
        <v>0</v>
      </c>
      <c r="CP298" s="3">
        <f>((CP180-CO180)*-1)+((CP179-CO179)*-1)</f>
        <v>0</v>
      </c>
      <c r="CQ298" s="3">
        <f>((CQ180-CP180)*-1)+((CQ179-CP179)*-1)</f>
        <v>0</v>
      </c>
      <c r="CR298" s="3">
        <f>((CR180-CQ180)*-1)+((CR179-CQ179)*-1)</f>
        <v>0</v>
      </c>
      <c r="CS298" s="3">
        <f>((CS180-CR180)*-1)+((CS179-CR179)*-1)</f>
        <v>0</v>
      </c>
      <c r="CT298" s="3">
        <f>SUM(CP298:CS298)</f>
        <v>0</v>
      </c>
      <c r="CU298" s="3">
        <f>((CU180-CT180)*-1)+((CU179-CT179)*-1)</f>
        <v>0</v>
      </c>
      <c r="CV298" s="3">
        <f>((CV180-CU180)*-1)+((CV179-CU179)*-1)</f>
        <v>0</v>
      </c>
      <c r="CW298" s="3">
        <f>((CW180-CV180)*-1)+((CW179-CV179)*-1)</f>
        <v>0</v>
      </c>
      <c r="CX298" s="3">
        <f>((CX180-CW180)*-1)+((CX179-CW179)*-1)</f>
        <v>0</v>
      </c>
      <c r="CY298" s="3">
        <f>SUM(CU298:CX298)</f>
        <v>0</v>
      </c>
      <c r="CZ298" s="3" t="n"/>
      <c r="DA298" s="3" t="n"/>
      <c r="DB298" s="3" t="n"/>
      <c r="DC298" s="3" t="n"/>
    </row>
    <row r="299">
      <c r="C299" s="30" t="inlineStr">
        <is>
          <t>Purchases/Proceeds from other long-term assets</t>
        </is>
      </c>
      <c r="D299" s="3" t="n"/>
      <c r="E299" s="3">
        <f>((E189-D189)*-1)+(E240-D240)</f>
        <v>-62.834</v>
      </c>
      <c r="F299" s="3">
        <f>((F189-E189)*-1)+(F240-E240)</f>
        <v>-8.221</v>
      </c>
      <c r="G299" s="3">
        <f>((G189-F189)*-1)+(G240-F240)</f>
        <v>22.544</v>
      </c>
      <c r="H299" s="3">
        <f>SUM(D299:G299)</f>
        <v>-48.511</v>
      </c>
      <c r="I299" s="3">
        <f>((I189-H189)*-1)+(I240-H240)</f>
        <v>5.83799999999999</v>
      </c>
      <c r="J299" s="3">
        <f>((J189-I189)*-1)+(J240-I240)</f>
        <v>-6.472</v>
      </c>
      <c r="K299" s="3">
        <f>((K189-J189)*-1)+(K240-J240)</f>
        <v>6.94100000000001</v>
      </c>
      <c r="L299" s="3">
        <f>((L189-K189)*-1)+(L240-K240)</f>
        <v>1.39899999999999</v>
      </c>
      <c r="M299" s="3">
        <f>SUM(I299:L299)</f>
        <v>7.706</v>
      </c>
      <c r="N299" s="3">
        <f>((N189-M189)*-1)+(N240-M240)</f>
        <v>4.04600000000001</v>
      </c>
      <c r="O299" s="3">
        <f>((O189-N189)*-1)+(O240-N240)</f>
        <v>271.184</v>
      </c>
      <c r="P299" s="3">
        <f>((P189-O189)*-1)+(P240-O240)</f>
        <v>-4.75199999999999</v>
      </c>
      <c r="Q299" s="3">
        <f>((Q189-P189)*-1)+(Q240-P240)</f>
        <v>-210.764</v>
      </c>
      <c r="R299" s="3">
        <f>SUM(N299:Q299)</f>
        <v>59.7140000000001</v>
      </c>
      <c r="S299" s="3">
        <f>((S189-R189)*-1)+(S240-R240)</f>
        <v>-0.301000000000009</v>
      </c>
      <c r="T299" s="3">
        <f>((T189-S189)*-1)+(T240-S240)</f>
        <v>19.972</v>
      </c>
      <c r="U299" s="3">
        <f>((U189-T189)*-1)+(U240-T240)</f>
        <v>6.962</v>
      </c>
      <c r="V299" s="3">
        <f>((V189-U189)*-1)+(V240-U240)</f>
        <v>-45.562</v>
      </c>
      <c r="W299" s="3">
        <f>SUM(S299:V299)</f>
        <v>-18.929</v>
      </c>
      <c r="X299" s="3">
        <f>((X189-W189)*-1)+(X240-W240)</f>
        <v>-24.484</v>
      </c>
      <c r="Y299" s="3">
        <f>((Y189-X189)*-1)+(Y240-X240)</f>
        <v>-13.357</v>
      </c>
      <c r="Z299" s="3">
        <f>((Z189-Y189)*-1)+(Z240-Y240)</f>
        <v>122.635</v>
      </c>
      <c r="AA299" s="3">
        <f>((AA189-Z189)*-1)+(AA240-Z240)</f>
        <v>-48.843</v>
      </c>
      <c r="AB299" s="3">
        <f>SUM(X299:AA299)</f>
        <v>35.9510000000001</v>
      </c>
      <c r="AC299" s="3">
        <f>((AC189-AB189)*-1)+(AC240-AB240)</f>
        <v>12.645</v>
      </c>
      <c r="AD299" s="3">
        <f>((AD189-AC189)*-1)+(AD240-AC240)</f>
        <v>-10.902</v>
      </c>
      <c r="AE299" s="3">
        <f>((AE189-AD189)*-1)+(AE240-AD240)</f>
        <v>-1.81800000000004</v>
      </c>
      <c r="AF299" s="3">
        <f>((AF189-AE189)*-1)+(AF240-AE240)</f>
        <v>-38.796</v>
      </c>
      <c r="AG299" s="3">
        <f>SUM(AC299:AF299)</f>
        <v>-38.871</v>
      </c>
      <c r="AH299" s="3">
        <f>((AH189-AG189)*-1)+(AH240-AG240)</f>
        <v>-13.646</v>
      </c>
      <c r="AI299" s="3">
        <f>((AI189-AH189)*-1)+(AI240-AH240)</f>
        <v>-371.647</v>
      </c>
      <c r="AJ299" s="3">
        <f>((AJ189-AI189)*-1)+(AJ240-AI240)</f>
        <v>0</v>
      </c>
      <c r="AK299" s="3">
        <f>((AK189-AJ189)*-1)+(AK240-AJ240)</f>
        <v>0</v>
      </c>
      <c r="AL299" s="3">
        <f>SUM(AH299:AK299)</f>
        <v>-385.293</v>
      </c>
      <c r="AM299" s="3">
        <f>((AM189-AL189)*-1)+(AM240-AL240)</f>
        <v>0</v>
      </c>
      <c r="AN299" s="3">
        <f>((AN189-AM189)*-1)+(AN240-AM240)</f>
        <v>0</v>
      </c>
      <c r="AO299" s="3">
        <f>((AO189-AN189)*-1)+(AO240-AN240)</f>
        <v>0</v>
      </c>
      <c r="AP299" s="3">
        <f>((AP189-AO189)*-1)+(AP240-AO240)</f>
        <v>0</v>
      </c>
      <c r="AQ299" s="3">
        <f>SUM(AM299:AP299)</f>
        <v>0</v>
      </c>
      <c r="AR299" s="3">
        <f>((AR189-AQ189)*-1)+(AR240-AQ240)</f>
        <v>0</v>
      </c>
      <c r="AS299" s="3">
        <f>((AS189-AR189)*-1)+(AS240-AR240)</f>
        <v>0</v>
      </c>
      <c r="AT299" s="3">
        <f>((AT189-AS189)*-1)+(AT240-AS240)</f>
        <v>0</v>
      </c>
      <c r="AU299" s="3">
        <f>((AU189-AT189)*-1)+(AU240-AT240)</f>
        <v>0</v>
      </c>
      <c r="AV299" s="3">
        <f>SUM(AR299:AU299)</f>
        <v>0</v>
      </c>
      <c r="AW299" s="3">
        <f>((AW189-AV189)*-1)+(AW240-AV240)</f>
        <v>0</v>
      </c>
      <c r="AX299" s="3">
        <f>((AX189-AW189)*-1)+(AX240-AW240)</f>
        <v>0</v>
      </c>
      <c r="AY299" s="3">
        <f>((AY189-AX189)*-1)+(AY240-AX240)</f>
        <v>0</v>
      </c>
      <c r="AZ299" s="3">
        <f>((AZ189-AY189)*-1)+(AZ240-AY240)</f>
        <v>0</v>
      </c>
      <c r="BA299" s="3">
        <f>SUM(AW299:AZ299)</f>
        <v>0</v>
      </c>
      <c r="BB299" s="3">
        <f>((BB189-BA189)*-1)+(BB240-BA240)</f>
        <v>0</v>
      </c>
      <c r="BC299" s="3">
        <f>((BC189-BB189)*-1)+(BC240-BB240)</f>
        <v>0</v>
      </c>
      <c r="BD299" s="3">
        <f>((BD189-BC189)*-1)+(BD240-BC240)</f>
        <v>0</v>
      </c>
      <c r="BE299" s="3">
        <f>((BE189-BD189)*-1)+(BE240-BD240)</f>
        <v>0</v>
      </c>
      <c r="BF299" s="3">
        <f>SUM(BB299:BE299)</f>
        <v>0</v>
      </c>
      <c r="BG299" s="3">
        <f>((BG189-BF189)*-1)+(BG240-BF240)</f>
        <v>0</v>
      </c>
      <c r="BH299" s="3">
        <f>((BH189-BG189)*-1)+(BH240-BG240)</f>
        <v>0</v>
      </c>
      <c r="BI299" s="3">
        <f>((BI189-BH189)*-1)+(BI240-BH240)</f>
        <v>0</v>
      </c>
      <c r="BJ299" s="3">
        <f>((BJ189-BI189)*-1)+(BJ240-BI240)</f>
        <v>0</v>
      </c>
      <c r="BK299" s="3">
        <f>SUM(BG299:BJ299)</f>
        <v>0</v>
      </c>
      <c r="BL299" s="3">
        <f>((BL189-BK189)*-1)+(BL240-BK240)</f>
        <v>0</v>
      </c>
      <c r="BM299" s="3">
        <f>((BM189-BL189)*-1)+(BM240-BL240)</f>
        <v>0</v>
      </c>
      <c r="BN299" s="3">
        <f>((BN189-BM189)*-1)+(BN240-BM240)</f>
        <v>0</v>
      </c>
      <c r="BO299" s="3">
        <f>((BO189-BN189)*-1)+(BO240-BN240)</f>
        <v>0</v>
      </c>
      <c r="BP299" s="3">
        <f>SUM(BL299:BO299)</f>
        <v>0</v>
      </c>
      <c r="BQ299" s="3">
        <f>((BQ189-BP189)*-1)+(BQ240-BP240)</f>
        <v>0</v>
      </c>
      <c r="BR299" s="3">
        <f>((BR189-BQ189)*-1)+(BR240-BQ240)</f>
        <v>0</v>
      </c>
      <c r="BS299" s="3">
        <f>((BS189-BR189)*-1)+(BS240-BR240)</f>
        <v>0</v>
      </c>
      <c r="BT299" s="3">
        <f>((BT189-BS189)*-1)+(BT240-BS240)</f>
        <v>0</v>
      </c>
      <c r="BU299" s="3">
        <f>SUM(BQ299:BT299)</f>
        <v>0</v>
      </c>
      <c r="BV299" s="3">
        <f>((BV189-BU189)*-1)+(BV240-BU240)</f>
        <v>0</v>
      </c>
      <c r="BW299" s="3">
        <f>((BW189-BV189)*-1)+(BW240-BV240)</f>
        <v>0</v>
      </c>
      <c r="BX299" s="3">
        <f>((BX189-BW189)*-1)+(BX240-BW240)</f>
        <v>0</v>
      </c>
      <c r="BY299" s="3">
        <f>((BY189-BX189)*-1)+(BY240-BX240)</f>
        <v>0</v>
      </c>
      <c r="BZ299" s="3">
        <f>SUM(BV299:BY299)</f>
        <v>0</v>
      </c>
      <c r="CA299" s="3">
        <f>((CA189-BZ189)*-1)+(CA240-BZ240)</f>
        <v>0</v>
      </c>
      <c r="CB299" s="3">
        <f>((CB189-CA189)*-1)+(CB240-CA240)</f>
        <v>0</v>
      </c>
      <c r="CC299" s="3">
        <f>((CC189-CB189)*-1)+(CC240-CB240)</f>
        <v>0</v>
      </c>
      <c r="CD299" s="3">
        <f>((CD189-CC189)*-1)+(CD240-CC240)</f>
        <v>0</v>
      </c>
      <c r="CE299" s="3">
        <f>SUM(CA299:CD299)</f>
        <v>0</v>
      </c>
      <c r="CF299" s="3">
        <f>((CF189-CE189)*-1)+(CF240-CE240)</f>
        <v>0</v>
      </c>
      <c r="CG299" s="3">
        <f>((CG189-CF189)*-1)+(CG240-CF240)</f>
        <v>0</v>
      </c>
      <c r="CH299" s="3">
        <f>((CH189-CG189)*-1)+(CH240-CG240)</f>
        <v>0</v>
      </c>
      <c r="CI299" s="3">
        <f>((CI189-CH189)*-1)+(CI240-CH240)</f>
        <v>0</v>
      </c>
      <c r="CJ299" s="3">
        <f>SUM(CF299:CI299)</f>
        <v>0</v>
      </c>
      <c r="CK299" s="3">
        <f>((CK189-CJ189)*-1)+(CK240-CJ240)</f>
        <v>0</v>
      </c>
      <c r="CL299" s="3">
        <f>((CL189-CK189)*-1)+(CL240-CK240)</f>
        <v>0</v>
      </c>
      <c r="CM299" s="3">
        <f>((CM189-CL189)*-1)+(CM240-CL240)</f>
        <v>0</v>
      </c>
      <c r="CN299" s="3">
        <f>((CN189-CM189)*-1)+(CN240-CM240)</f>
        <v>0</v>
      </c>
      <c r="CO299" s="3">
        <f>SUM(CK299:CN299)</f>
        <v>0</v>
      </c>
      <c r="CP299" s="3">
        <f>((CP189-CO189)*-1)+(CP240-CO240)</f>
        <v>0</v>
      </c>
      <c r="CQ299" s="3">
        <f>((CQ189-CP189)*-1)+(CQ240-CP240)</f>
        <v>0</v>
      </c>
      <c r="CR299" s="3">
        <f>((CR189-CQ189)*-1)+(CR240-CQ240)</f>
        <v>0</v>
      </c>
      <c r="CS299" s="3">
        <f>((CS189-CR189)*-1)+(CS240-CR240)</f>
        <v>0</v>
      </c>
      <c r="CT299" s="3">
        <f>SUM(CP299:CS299)</f>
        <v>0</v>
      </c>
      <c r="CU299" s="3">
        <f>((CU189-CT189)*-1)+(CU240-CT240)</f>
        <v>0</v>
      </c>
      <c r="CV299" s="3">
        <f>((CV189-CU189)*-1)+(CV240-CU240)</f>
        <v>0</v>
      </c>
      <c r="CW299" s="3">
        <f>((CW189-CV189)*-1)+(CW240-CV240)</f>
        <v>0</v>
      </c>
      <c r="CX299" s="3">
        <f>((CX189-CW189)*-1)+(CX240-CW240)</f>
        <v>0</v>
      </c>
      <c r="CY299" s="3">
        <f>SUM(CU299:CX299)</f>
        <v>0</v>
      </c>
    </row>
    <row r="300">
      <c r="C300" s="26" t="inlineStr">
        <is>
          <t>Cash from investing</t>
        </is>
      </c>
      <c r="D300" s="3" t="n"/>
      <c r="E300" s="3">
        <f>SUM(E295,E296,E298,E299,E297)</f>
        <v>-81.303</v>
      </c>
      <c r="F300" s="3">
        <f>SUM(F295,F296,F298,F299,F297)</f>
        <v>-13.733</v>
      </c>
      <c r="G300" s="3">
        <f>SUM(G295,G296,G298,G299,G297)</f>
        <v>-0.910999999999946</v>
      </c>
      <c r="H300" s="3">
        <f>SUM(H295,H296,H298,H299)</f>
        <v>-95.925</v>
      </c>
      <c r="I300" s="3">
        <f>SUM(I295,I296,I298,I299,I297)</f>
        <v>-10.898</v>
      </c>
      <c r="J300" s="3">
        <f>SUM(J295,J296,J298,J299,J297)</f>
        <v>-27.569</v>
      </c>
      <c r="K300" s="3">
        <f>SUM(K295,K296,K298,K299,K297)</f>
        <v>-25.0349999999999</v>
      </c>
      <c r="L300" s="3">
        <f>SUM(L295,L296,L298,L299,L297)</f>
        <v>-75.857</v>
      </c>
      <c r="M300" s="3">
        <f>SUM(M295,M296,M298,M299)</f>
        <v>-131.75</v>
      </c>
      <c r="N300" s="3">
        <f>SUM(N295,N296,N298,N299,N297)</f>
        <v>-135.332</v>
      </c>
      <c r="O300" s="3">
        <f>SUM(O295,O296,O298,O299,O297)</f>
        <v>-313.614</v>
      </c>
      <c r="P300" s="3">
        <f>SUM(P295,P296,P298,P299,P297)</f>
        <v>-62.244</v>
      </c>
      <c r="Q300" s="3">
        <f>SUM(Q295,Q296,Q298,Q299,Q297)</f>
        <v>-432.633</v>
      </c>
      <c r="R300" s="3">
        <f>SUM(R295,R296,R298,R299)</f>
        <v>-919.975</v>
      </c>
      <c r="S300" s="3">
        <f>SUM(S295,S296,S298,S299,S297)</f>
        <v>-72.1869999999998</v>
      </c>
      <c r="T300" s="3">
        <f>SUM(T295,T296,T298,T299,T297)</f>
        <v>-51.7260000000001</v>
      </c>
      <c r="U300" s="3">
        <f>SUM(U295,U296,U298,U299,U297)</f>
        <v>-78.602</v>
      </c>
      <c r="V300" s="3">
        <f>SUM(V295,V296,V298,V299,V297)</f>
        <v>-56.1220000000001</v>
      </c>
      <c r="W300" s="3">
        <f>SUM(W295,W296,W298,W299)</f>
        <v>-260.625</v>
      </c>
      <c r="X300" s="3">
        <f>SUM(X295,X296,X298,X299,X297)</f>
        <v>-96.5479999999999</v>
      </c>
      <c r="Y300" s="3">
        <f>SUM(Y295,Y296,Y298,Y299,Y297)</f>
        <v>-160.253</v>
      </c>
      <c r="Z300" s="3">
        <f>SUM(Z295,Z296,Z298,Z299,Z297)</f>
        <v>-279.4</v>
      </c>
      <c r="AA300" s="3">
        <f>SUM(AA295,AA296,AA298,AA299,AA297)</f>
        <v>-262.193</v>
      </c>
      <c r="AB300" s="3">
        <f>SUM(AB295,AB296,AB298,AB299)</f>
        <v>-740.515</v>
      </c>
      <c r="AC300" s="3">
        <f>SUM(AC295,AC296,AC298,AC299,AC297)</f>
        <v>-126.173</v>
      </c>
      <c r="AD300" s="3">
        <f>SUM(AD295,AD296,AD298,AD299,AD297)</f>
        <v>-215.37</v>
      </c>
      <c r="AE300" s="3">
        <f>SUM(AE295,AE296,AE298,AE299,AE297)</f>
        <v>-141.602</v>
      </c>
      <c r="AF300" s="3">
        <f>SUM(AF295,AF296,AF298,AF299,AF297)</f>
        <v>-290.756</v>
      </c>
      <c r="AG300" s="3">
        <f>SUM(AG295,AG296,AG298,AG299)</f>
        <v>-774.436</v>
      </c>
      <c r="AH300" s="3">
        <f>SUM(AH295,AH296,AH298,AH299,AH297)</f>
        <v>-197.283</v>
      </c>
      <c r="AI300" s="3">
        <f>SUM(AI295,AI296,AI298,AI299,AI297)</f>
        <v>-4867.371</v>
      </c>
      <c r="AJ300" s="3">
        <f>SUM(AJ295,AJ296,AJ298,AJ299,AJ297)</f>
        <v>3830</v>
      </c>
      <c r="AK300" s="3">
        <f>SUM(AK295,AK296,AK298,AK299,AK297)</f>
        <v>0</v>
      </c>
      <c r="AL300" s="3">
        <f>SUM(AL295,AL296,AL298,AL299)</f>
        <v>-1239.76</v>
      </c>
      <c r="AM300" s="3">
        <f>SUM(AM295,AM296,AM298,AM299,AM297)</f>
        <v>0</v>
      </c>
      <c r="AN300" s="3">
        <f>SUM(AN295,AN296,AN298,AN299,AN297)</f>
        <v>0</v>
      </c>
      <c r="AO300" s="3">
        <f>SUM(AO295,AO296,AO298,AO299,AO297)</f>
        <v>0</v>
      </c>
      <c r="AP300" s="3">
        <f>SUM(AP295,AP296,AP298,AP299,AP297)</f>
        <v>0</v>
      </c>
      <c r="AQ300" s="3">
        <f>SUM(AQ295,AQ296,AQ298,AQ299)</f>
        <v>0</v>
      </c>
      <c r="AR300" s="3">
        <f>SUM(AR295,AR296,AR298,AR299,AR297)</f>
        <v>0</v>
      </c>
      <c r="AS300" s="3">
        <f>SUM(AS295,AS296,AS298,AS299,AS297)</f>
        <v>0</v>
      </c>
      <c r="AT300" s="3">
        <f>SUM(AT295,AT296,AT298,AT299,AT297)</f>
        <v>0</v>
      </c>
      <c r="AU300" s="3">
        <f>SUM(AU295,AU296,AU298,AU299,AU297)</f>
        <v>0</v>
      </c>
      <c r="AV300" s="3">
        <f>SUM(AV295,AV296,AV298,AV299)</f>
        <v>0</v>
      </c>
      <c r="AW300" s="3">
        <f>SUM(AW295,AW296,AW298,AW299,AW297)</f>
        <v>0</v>
      </c>
      <c r="AX300" s="3">
        <f>SUM(AX295,AX296,AX298,AX299,AX297)</f>
        <v>0</v>
      </c>
      <c r="AY300" s="3">
        <f>SUM(AY295,AY296,AY298,AY299,AY297)</f>
        <v>0</v>
      </c>
      <c r="AZ300" s="3">
        <f>SUM(AZ295,AZ296,AZ298,AZ299,AZ297)</f>
        <v>0</v>
      </c>
      <c r="BA300" s="3">
        <f>SUM(BA295,BA296,BA298,BA299)</f>
        <v>0</v>
      </c>
      <c r="BB300" s="3">
        <f>SUM(BB295,BB296,BB298,BB299,BB297)</f>
        <v>0</v>
      </c>
      <c r="BC300" s="3">
        <f>SUM(BC295,BC296,BC298,BC299,BC297)</f>
        <v>0</v>
      </c>
      <c r="BD300" s="3">
        <f>SUM(BD295,BD296,BD298,BD299,BD297)</f>
        <v>0</v>
      </c>
      <c r="BE300" s="3">
        <f>SUM(BE295,BE296,BE298,BE299,BE297)</f>
        <v>0</v>
      </c>
      <c r="BF300" s="3">
        <f>SUM(BF295,BF296,BF298,BF299)</f>
        <v>0</v>
      </c>
      <c r="BG300" s="3">
        <f>SUM(BG295,BG296,BG298,BG299,BG297)</f>
        <v>0</v>
      </c>
      <c r="BH300" s="3">
        <f>SUM(BH295,BH296,BH298,BH299,BH297)</f>
        <v>0</v>
      </c>
      <c r="BI300" s="3">
        <f>SUM(BI295,BI296,BI298,BI299,BI297)</f>
        <v>0</v>
      </c>
      <c r="BJ300" s="3">
        <f>SUM(BJ295,BJ296,BJ298,BJ299,BJ297)</f>
        <v>0</v>
      </c>
      <c r="BK300" s="3">
        <f>SUM(BK295,BK296,BK298,BK299)</f>
        <v>0</v>
      </c>
      <c r="BL300" s="3">
        <f>SUM(BL295,BL296,BL298,BL299,BL297)</f>
        <v>0</v>
      </c>
      <c r="BM300" s="3">
        <f>SUM(BM295,BM296,BM298,BM299,BM297)</f>
        <v>0</v>
      </c>
      <c r="BN300" s="3">
        <f>SUM(BN295,BN296,BN298,BN299,BN297)</f>
        <v>0</v>
      </c>
      <c r="BO300" s="3">
        <f>SUM(BO295,BO296,BO298,BO299,BO297)</f>
        <v>0</v>
      </c>
      <c r="BP300" s="3">
        <f>SUM(BP295,BP296,BP298,BP299)</f>
        <v>0</v>
      </c>
      <c r="BQ300" s="3">
        <f>SUM(BQ295,BQ296,BQ298,BQ299,BQ297)</f>
        <v>0</v>
      </c>
      <c r="BR300" s="3">
        <f>SUM(BR295,BR296,BR298,BR299,BR297)</f>
        <v>0</v>
      </c>
      <c r="BS300" s="3">
        <f>SUM(BS295,BS296,BS298,BS299,BS297)</f>
        <v>0</v>
      </c>
      <c r="BT300" s="3">
        <f>SUM(BT295,BT296,BT298,BT299,BT297)</f>
        <v>0</v>
      </c>
      <c r="BU300" s="3">
        <f>SUM(BU295,BU296,BU298,BU299)</f>
        <v>0</v>
      </c>
      <c r="BV300" s="3">
        <f>SUM(BV295,BV296,BV298,BV299,BV297)</f>
        <v>0</v>
      </c>
      <c r="BW300" s="3">
        <f>SUM(BW295,BW296,BW298,BW299,BW297)</f>
        <v>0</v>
      </c>
      <c r="BX300" s="3">
        <f>SUM(BX295,BX296,BX298,BX299,BX297)</f>
        <v>0</v>
      </c>
      <c r="BY300" s="3">
        <f>SUM(BY295,BY296,BY298,BY299,BY297)</f>
        <v>0</v>
      </c>
      <c r="BZ300" s="3">
        <f>SUM(BZ295,BZ296,BZ298,BZ299)</f>
        <v>0</v>
      </c>
      <c r="CA300" s="3">
        <f>SUM(CA295,CA296,CA298,CA299,CA297)</f>
        <v>0</v>
      </c>
      <c r="CB300" s="3">
        <f>SUM(CB295,CB296,CB298,CB299,CB297)</f>
        <v>0</v>
      </c>
      <c r="CC300" s="3">
        <f>SUM(CC295,CC296,CC298,CC299,CC297)</f>
        <v>0</v>
      </c>
      <c r="CD300" s="3">
        <f>SUM(CD295,CD296,CD298,CD299,CD297)</f>
        <v>0</v>
      </c>
      <c r="CE300" s="3">
        <f>SUM(CE295,CE296,CE298,CE299)</f>
        <v>0</v>
      </c>
      <c r="CF300" s="3">
        <f>SUM(CF295,CF296,CF298,CF299,CF297)</f>
        <v>0</v>
      </c>
      <c r="CG300" s="3">
        <f>SUM(CG295,CG296,CG298,CG299,CG297)</f>
        <v>0</v>
      </c>
      <c r="CH300" s="3">
        <f>SUM(CH295,CH296,CH298,CH299,CH297)</f>
        <v>0</v>
      </c>
      <c r="CI300" s="3">
        <f>SUM(CI295,CI296,CI298,CI299,CI297)</f>
        <v>0</v>
      </c>
      <c r="CJ300" s="3">
        <f>SUM(CJ295,CJ296,CJ298,CJ299)</f>
        <v>0</v>
      </c>
      <c r="CK300" s="3">
        <f>SUM(CK295,CK296,CK298,CK299,CK297)</f>
        <v>0</v>
      </c>
      <c r="CL300" s="3">
        <f>SUM(CL295,CL296,CL298,CL299,CL297)</f>
        <v>0</v>
      </c>
      <c r="CM300" s="3">
        <f>SUM(CM295,CM296,CM298,CM299,CM297)</f>
        <v>0</v>
      </c>
      <c r="CN300" s="3">
        <f>SUM(CN295,CN296,CN298,CN299,CN297)</f>
        <v>0</v>
      </c>
      <c r="CO300" s="3">
        <f>SUM(CO295,CO296,CO298,CO299)</f>
        <v>0</v>
      </c>
      <c r="CP300" s="3">
        <f>SUM(CP295,CP296,CP298,CP299,CP297)</f>
        <v>0</v>
      </c>
      <c r="CQ300" s="3">
        <f>SUM(CQ295,CQ296,CQ298,CQ299,CQ297)</f>
        <v>0</v>
      </c>
      <c r="CR300" s="3">
        <f>SUM(CR295,CR296,CR298,CR299,CR297)</f>
        <v>0</v>
      </c>
      <c r="CS300" s="3">
        <f>SUM(CS295,CS296,CS298,CS299,CS297)</f>
        <v>0</v>
      </c>
      <c r="CT300" s="3">
        <f>SUM(CT295,CT296,CT298,CT299)</f>
        <v>0</v>
      </c>
      <c r="CU300" s="3">
        <f>SUM(CU295,CU296,CU298,CU299,CU297)</f>
        <v>0</v>
      </c>
      <c r="CV300" s="3">
        <f>SUM(CV295,CV296,CV298,CV299,CV297)</f>
        <v>0</v>
      </c>
      <c r="CW300" s="3">
        <f>SUM(CW295,CW296,CW298,CW299,CW297)</f>
        <v>0</v>
      </c>
      <c r="CX300" s="3">
        <f>SUM(CX295,CX296,CX298,CX299,CX297)</f>
        <v>0</v>
      </c>
      <c r="CY300" s="3">
        <f>SUM(CY295,CY296,CY298,CY299)</f>
        <v>0</v>
      </c>
    </row>
    <row r="301">
      <c r="C301" s="26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  <c r="CG301" s="3" t="n"/>
      <c r="CH301" s="3" t="n"/>
      <c r="CI301" s="3" t="n"/>
      <c r="CJ301" s="3" t="n"/>
      <c r="CK301" s="3" t="n"/>
      <c r="CL301" s="3" t="n"/>
      <c r="CM301" s="3" t="n"/>
      <c r="CN301" s="3" t="n"/>
      <c r="CO301" s="3" t="n"/>
      <c r="CP301" s="3" t="n"/>
      <c r="CQ301" s="3" t="n"/>
      <c r="CR301" s="3" t="n"/>
      <c r="CS301" s="3" t="n"/>
      <c r="CT301" s="3" t="n"/>
      <c r="CU301" s="3" t="n"/>
      <c r="CV301" s="3" t="n"/>
      <c r="CW301" s="3" t="n"/>
      <c r="CX301" s="3" t="n"/>
      <c r="CY301" s="3" t="n"/>
    </row>
    <row r="302">
      <c r="C302" s="26" t="inlineStr">
        <is>
          <t>Convertible preferred stock</t>
        </is>
      </c>
      <c r="D302" s="3" t="n"/>
      <c r="E302" s="3">
        <f>E253-D253</f>
        <v>0</v>
      </c>
      <c r="F302" s="3">
        <f>F253-E253</f>
        <v>0</v>
      </c>
      <c r="G302" s="3">
        <f>G253-F253</f>
        <v>0</v>
      </c>
      <c r="H302" s="3">
        <f>SUM(D302:G302)</f>
        <v>0</v>
      </c>
      <c r="I302" s="3">
        <f>I253-H253</f>
        <v>0</v>
      </c>
      <c r="J302" s="3">
        <f>J253-I253</f>
        <v>0</v>
      </c>
      <c r="K302" s="3">
        <f>K253-J253</f>
        <v>0</v>
      </c>
      <c r="L302" s="3">
        <f>L253-K253</f>
        <v>0</v>
      </c>
      <c r="M302" s="3">
        <f>SUM(I302:L302)</f>
        <v>0</v>
      </c>
      <c r="N302" s="3">
        <f>N253-M253</f>
        <v>0</v>
      </c>
      <c r="O302" s="3">
        <f>O253-N253</f>
        <v>0</v>
      </c>
      <c r="P302" s="3">
        <f>P253-O253</f>
        <v>0</v>
      </c>
      <c r="Q302" s="3">
        <f>Q253-P253</f>
        <v>0</v>
      </c>
      <c r="R302" s="3">
        <f>SUM(N302:Q302)</f>
        <v>0</v>
      </c>
      <c r="S302" s="3">
        <f>S253-R253</f>
        <v>0</v>
      </c>
      <c r="T302" s="3">
        <f>T253-S253</f>
        <v>0</v>
      </c>
      <c r="U302" s="3">
        <f>U253-T253</f>
        <v>0</v>
      </c>
      <c r="V302" s="3">
        <f>V253-U253</f>
        <v>0</v>
      </c>
      <c r="W302" s="3">
        <f>SUM(S302:V302)</f>
        <v>0</v>
      </c>
      <c r="X302" s="3">
        <f>X253-W253</f>
        <v>0</v>
      </c>
      <c r="Y302" s="3">
        <f>Y253-X253</f>
        <v>0</v>
      </c>
      <c r="Z302" s="3">
        <f>Z253-Y253</f>
        <v>0</v>
      </c>
      <c r="AA302" s="3">
        <f>AA253-Z253</f>
        <v>0</v>
      </c>
      <c r="AB302" s="3">
        <f>SUM(X302:AA302)</f>
        <v>0</v>
      </c>
      <c r="AC302" s="3">
        <f>AC253-AB253</f>
        <v>0</v>
      </c>
      <c r="AD302" s="3">
        <f>AD253-AC253</f>
        <v>0</v>
      </c>
      <c r="AE302" s="3">
        <f>AE253-AD253</f>
        <v>0</v>
      </c>
      <c r="AF302" s="3">
        <f>AF253-AE253</f>
        <v>0</v>
      </c>
      <c r="AG302" s="3">
        <f>SUM(AC302:AF302)</f>
        <v>0</v>
      </c>
      <c r="AH302" s="3">
        <f>AH253-AG253</f>
        <v>0</v>
      </c>
      <c r="AI302" s="3">
        <f>AI253-AH253</f>
        <v>0</v>
      </c>
      <c r="AJ302" s="3">
        <f>AJ253-AI253</f>
        <v>0</v>
      </c>
      <c r="AK302" s="3">
        <f>AK253-AJ253</f>
        <v>0</v>
      </c>
      <c r="AL302" s="3">
        <f>SUM(AH302:AK302)</f>
        <v>0</v>
      </c>
      <c r="AM302" s="3">
        <f>AM253-AL253</f>
        <v>0</v>
      </c>
      <c r="AN302" s="3">
        <f>AN253-AM253</f>
        <v>0</v>
      </c>
      <c r="AO302" s="3">
        <f>AO253-AN253</f>
        <v>0</v>
      </c>
      <c r="AP302" s="3">
        <f>AP253-AO253</f>
        <v>0</v>
      </c>
      <c r="AQ302" s="3">
        <f>SUM(AM302:AP302)</f>
        <v>0</v>
      </c>
      <c r="AR302" s="3">
        <f>AR253-AQ253</f>
        <v>0</v>
      </c>
      <c r="AS302" s="3">
        <f>AS253-AR253</f>
        <v>0</v>
      </c>
      <c r="AT302" s="3">
        <f>AT253-AS253</f>
        <v>0</v>
      </c>
      <c r="AU302" s="3">
        <f>AU253-AT253</f>
        <v>0</v>
      </c>
      <c r="AV302" s="3">
        <f>SUM(AR302:AU302)</f>
        <v>0</v>
      </c>
      <c r="AW302" s="3">
        <f>AW253-AV253</f>
        <v>0</v>
      </c>
      <c r="AX302" s="3">
        <f>AX253-AW253</f>
        <v>0</v>
      </c>
      <c r="AY302" s="3">
        <f>AY253-AX253</f>
        <v>0</v>
      </c>
      <c r="AZ302" s="3">
        <f>AZ253-AY253</f>
        <v>0</v>
      </c>
      <c r="BA302" s="3">
        <f>SUM(AW302:AZ302)</f>
        <v>0</v>
      </c>
      <c r="BB302" s="3">
        <f>BB253-BA253</f>
        <v>0</v>
      </c>
      <c r="BC302" s="3">
        <f>BC253-BB253</f>
        <v>0</v>
      </c>
      <c r="BD302" s="3">
        <f>BD253-BC253</f>
        <v>0</v>
      </c>
      <c r="BE302" s="3">
        <f>BE253-BD253</f>
        <v>0</v>
      </c>
      <c r="BF302" s="3">
        <f>SUM(BB302:BE302)</f>
        <v>0</v>
      </c>
      <c r="BG302" s="3">
        <f>BG253-BF253</f>
        <v>0</v>
      </c>
      <c r="BH302" s="3">
        <f>BH253-BG253</f>
        <v>0</v>
      </c>
      <c r="BI302" s="3">
        <f>BI253-BH253</f>
        <v>0</v>
      </c>
      <c r="BJ302" s="3">
        <f>BJ253-BI253</f>
        <v>0</v>
      </c>
      <c r="BK302" s="3">
        <f>SUM(BG302:BJ302)</f>
        <v>0</v>
      </c>
      <c r="BL302" s="3">
        <f>BL253-BK253</f>
        <v>0</v>
      </c>
      <c r="BM302" s="3">
        <f>BM253-BL253</f>
        <v>0</v>
      </c>
      <c r="BN302" s="3">
        <f>BN253-BM253</f>
        <v>0</v>
      </c>
      <c r="BO302" s="3">
        <f>BO253-BN253</f>
        <v>0</v>
      </c>
      <c r="BP302" s="3">
        <f>SUM(BL302:BO302)</f>
        <v>0</v>
      </c>
      <c r="BQ302" s="3">
        <f>BQ253-BP253</f>
        <v>0</v>
      </c>
      <c r="BR302" s="3">
        <f>BR253-BQ253</f>
        <v>0</v>
      </c>
      <c r="BS302" s="3">
        <f>BS253-BR253</f>
        <v>0</v>
      </c>
      <c r="BT302" s="3">
        <f>BT253-BS253</f>
        <v>0</v>
      </c>
      <c r="BU302" s="3">
        <f>SUM(BQ302:BT302)</f>
        <v>0</v>
      </c>
      <c r="BV302" s="3">
        <f>BV253-BU253</f>
        <v>0</v>
      </c>
      <c r="BW302" s="3">
        <f>BW253-BV253</f>
        <v>0</v>
      </c>
      <c r="BX302" s="3">
        <f>BX253-BW253</f>
        <v>0</v>
      </c>
      <c r="BY302" s="3">
        <f>BY253-BX253</f>
        <v>0</v>
      </c>
      <c r="BZ302" s="3">
        <f>SUM(BV302:BY302)</f>
        <v>0</v>
      </c>
      <c r="CA302" s="3">
        <f>CA253-BZ253</f>
        <v>0</v>
      </c>
      <c r="CB302" s="3">
        <f>CB253-CA253</f>
        <v>0</v>
      </c>
      <c r="CC302" s="3">
        <f>CC253-CB253</f>
        <v>0</v>
      </c>
      <c r="CD302" s="3">
        <f>CD253-CC253</f>
        <v>0</v>
      </c>
      <c r="CE302" s="3">
        <f>SUM(CA302:CD302)</f>
        <v>0</v>
      </c>
      <c r="CF302" s="3">
        <f>CF253-CE253</f>
        <v>0</v>
      </c>
      <c r="CG302" s="3">
        <f>CG253-CF253</f>
        <v>0</v>
      </c>
      <c r="CH302" s="3">
        <f>CH253-CG253</f>
        <v>0</v>
      </c>
      <c r="CI302" s="3">
        <f>CI253-CH253</f>
        <v>0</v>
      </c>
      <c r="CJ302" s="3">
        <f>SUM(CF302:CI302)</f>
        <v>0</v>
      </c>
      <c r="CK302" s="3">
        <f>CK253-CJ253</f>
        <v>0</v>
      </c>
      <c r="CL302" s="3">
        <f>CL253-CK253</f>
        <v>0</v>
      </c>
      <c r="CM302" s="3">
        <f>CM253-CL253</f>
        <v>0</v>
      </c>
      <c r="CN302" s="3">
        <f>CN253-CM253</f>
        <v>0</v>
      </c>
      <c r="CO302" s="3">
        <f>SUM(CK302:CN302)</f>
        <v>0</v>
      </c>
      <c r="CP302" s="3">
        <f>CP253-CO253</f>
        <v>0</v>
      </c>
      <c r="CQ302" s="3">
        <f>CQ253-CP253</f>
        <v>0</v>
      </c>
      <c r="CR302" s="3">
        <f>CR253-CQ253</f>
        <v>0</v>
      </c>
      <c r="CS302" s="3">
        <f>CS253-CR253</f>
        <v>0</v>
      </c>
      <c r="CT302" s="3">
        <f>SUM(CP302:CS302)</f>
        <v>0</v>
      </c>
      <c r="CU302" s="3">
        <f>CU253-CT253</f>
        <v>0</v>
      </c>
      <c r="CV302" s="3">
        <f>CV253-CU253</f>
        <v>0</v>
      </c>
      <c r="CW302" s="3">
        <f>CW253-CV253</f>
        <v>0</v>
      </c>
      <c r="CX302" s="3">
        <f>CX253-CW253</f>
        <v>0</v>
      </c>
      <c r="CY302" s="3">
        <f>SUM(CU302:CX302)</f>
        <v>0</v>
      </c>
    </row>
    <row r="303">
      <c r="C303" s="26" t="inlineStr">
        <is>
          <t>Common stock and APIC</t>
        </is>
      </c>
      <c r="D303" s="3" t="n"/>
      <c r="E303" s="3">
        <f>E254-D254</f>
        <v>156.664</v>
      </c>
      <c r="F303" s="3">
        <f>F254-E254</f>
        <v>0</v>
      </c>
      <c r="G303" s="3">
        <f>G254-F254</f>
        <v>0.875</v>
      </c>
      <c r="H303" s="3">
        <f>SUM(D303:G303)</f>
        <v>157.539</v>
      </c>
      <c r="I303" s="3">
        <f>I254-H254</f>
        <v>82.657</v>
      </c>
      <c r="J303" s="3">
        <f>J254-I254</f>
        <v>-1.34400000000005</v>
      </c>
      <c r="K303" s="3">
        <f>K254-J254</f>
        <v>0</v>
      </c>
      <c r="L303" s="3">
        <f>L254-K254</f>
        <v>0</v>
      </c>
      <c r="M303" s="3">
        <f>SUM(I303:L303)</f>
        <v>81.313</v>
      </c>
      <c r="N303" s="3">
        <f>N254-M254</f>
        <v>0</v>
      </c>
      <c r="O303" s="3">
        <f>O254-N254</f>
        <v>113.455</v>
      </c>
      <c r="P303" s="3">
        <f>P254-O254</f>
        <v>0</v>
      </c>
      <c r="Q303" s="3">
        <f>Q254-P254</f>
        <v>183.799</v>
      </c>
      <c r="R303" s="3">
        <f>SUM(N303:Q303)</f>
        <v>297.254</v>
      </c>
      <c r="S303" s="3">
        <f>S254-R254</f>
        <v>348.204</v>
      </c>
      <c r="T303" s="3">
        <f>T254-S254</f>
        <v>82.731</v>
      </c>
      <c r="U303" s="3">
        <f>U254-T254</f>
        <v>0</v>
      </c>
      <c r="V303" s="3">
        <f>V254-U254</f>
        <v>0</v>
      </c>
      <c r="W303" s="3">
        <f>SUM(S303:V303)</f>
        <v>430.935</v>
      </c>
      <c r="X303" s="3">
        <f>X254-W254</f>
        <v>0</v>
      </c>
      <c r="Y303" s="3">
        <f>Y254-X254</f>
        <v>0</v>
      </c>
      <c r="Z303" s="3">
        <f>Z254-Y254</f>
        <v>0</v>
      </c>
      <c r="AA303" s="3">
        <f>AA254-Z254</f>
        <v>0</v>
      </c>
      <c r="AB303" s="3">
        <f>SUM(X303:AA303)</f>
        <v>0</v>
      </c>
      <c r="AC303" s="3">
        <f>AC254-AB254</f>
        <v>0</v>
      </c>
      <c r="AD303" s="3">
        <f>AD254-AC254</f>
        <v>607.172</v>
      </c>
      <c r="AE303" s="3">
        <f>AE254-AD254</f>
        <v>-1.43899999999985</v>
      </c>
      <c r="AF303" s="3">
        <f>AF254-AE254</f>
        <v>-1.92899999999963</v>
      </c>
      <c r="AG303" s="3">
        <f>SUM(AC303:AF303)</f>
        <v>603.804</v>
      </c>
      <c r="AH303" s="3">
        <f>AH254-AG254</f>
        <v>-0.894000000000233</v>
      </c>
      <c r="AI303" s="3">
        <f>AI254-AH254</f>
        <v>3507.027</v>
      </c>
      <c r="AJ303" s="3">
        <f>AJ254-AI254</f>
        <v>0</v>
      </c>
      <c r="AK303" s="3">
        <f>AK254-AJ254</f>
        <v>0</v>
      </c>
      <c r="AL303" s="3">
        <f>SUM(AH303:AK303)</f>
        <v>3506.133</v>
      </c>
      <c r="AM303" s="3">
        <f>AM254-AL254</f>
        <v>0</v>
      </c>
      <c r="AN303" s="3">
        <f>AN254-AM254</f>
        <v>0</v>
      </c>
      <c r="AO303" s="3">
        <f>AO254-AN254</f>
        <v>0</v>
      </c>
      <c r="AP303" s="3">
        <f>AP254-AO254</f>
        <v>0</v>
      </c>
      <c r="AQ303" s="3">
        <f>SUM(AM303:AP303)</f>
        <v>0</v>
      </c>
      <c r="AR303" s="3">
        <f>AR254-AQ254</f>
        <v>0</v>
      </c>
      <c r="AS303" s="3">
        <f>AS254-AR254</f>
        <v>0</v>
      </c>
      <c r="AT303" s="3">
        <f>AT254-AS254</f>
        <v>0</v>
      </c>
      <c r="AU303" s="3">
        <f>AU254-AT254</f>
        <v>0</v>
      </c>
      <c r="AV303" s="3">
        <f>SUM(AR303:AU303)</f>
        <v>0</v>
      </c>
      <c r="AW303" s="3">
        <f>AW254-AV254</f>
        <v>0</v>
      </c>
      <c r="AX303" s="3">
        <f>AX254-AW254</f>
        <v>0</v>
      </c>
      <c r="AY303" s="3">
        <f>AY254-AX254</f>
        <v>0</v>
      </c>
      <c r="AZ303" s="3">
        <f>AZ254-AY254</f>
        <v>0</v>
      </c>
      <c r="BA303" s="3">
        <f>SUM(AW303:AZ303)</f>
        <v>0</v>
      </c>
      <c r="BB303" s="3">
        <f>BB254-BA254</f>
        <v>0</v>
      </c>
      <c r="BC303" s="3">
        <f>BC254-BB254</f>
        <v>0</v>
      </c>
      <c r="BD303" s="3">
        <f>BD254-BC254</f>
        <v>0</v>
      </c>
      <c r="BE303" s="3">
        <f>BE254-BD254</f>
        <v>0</v>
      </c>
      <c r="BF303" s="3">
        <f>SUM(BB303:BE303)</f>
        <v>0</v>
      </c>
      <c r="BG303" s="3">
        <f>BG254-BF254</f>
        <v>0</v>
      </c>
      <c r="BH303" s="3">
        <f>BH254-BG254</f>
        <v>0</v>
      </c>
      <c r="BI303" s="3">
        <f>BI254-BH254</f>
        <v>0</v>
      </c>
      <c r="BJ303" s="3">
        <f>BJ254-BI254</f>
        <v>0</v>
      </c>
      <c r="BK303" s="3">
        <f>SUM(BG303:BJ303)</f>
        <v>0</v>
      </c>
      <c r="BL303" s="3">
        <f>BL254-BK254</f>
        <v>0</v>
      </c>
      <c r="BM303" s="3">
        <f>BM254-BL254</f>
        <v>0</v>
      </c>
      <c r="BN303" s="3">
        <f>BN254-BM254</f>
        <v>0</v>
      </c>
      <c r="BO303" s="3">
        <f>BO254-BN254</f>
        <v>0</v>
      </c>
      <c r="BP303" s="3">
        <f>SUM(BL303:BO303)</f>
        <v>0</v>
      </c>
      <c r="BQ303" s="3">
        <f>BQ254-BP254</f>
        <v>0</v>
      </c>
      <c r="BR303" s="3">
        <f>BR254-BQ254</f>
        <v>0</v>
      </c>
      <c r="BS303" s="3">
        <f>BS254-BR254</f>
        <v>0</v>
      </c>
      <c r="BT303" s="3">
        <f>BT254-BS254</f>
        <v>0</v>
      </c>
      <c r="BU303" s="3">
        <f>SUM(BQ303:BT303)</f>
        <v>0</v>
      </c>
      <c r="BV303" s="3">
        <f>BV254-BU254</f>
        <v>0</v>
      </c>
      <c r="BW303" s="3">
        <f>BW254-BV254</f>
        <v>0</v>
      </c>
      <c r="BX303" s="3">
        <f>BX254-BW254</f>
        <v>0</v>
      </c>
      <c r="BY303" s="3">
        <f>BY254-BX254</f>
        <v>0</v>
      </c>
      <c r="BZ303" s="3">
        <f>SUM(BV303:BY303)</f>
        <v>0</v>
      </c>
      <c r="CA303" s="3">
        <f>CA254-BZ254</f>
        <v>0</v>
      </c>
      <c r="CB303" s="3">
        <f>CB254-CA254</f>
        <v>0</v>
      </c>
      <c r="CC303" s="3">
        <f>CC254-CB254</f>
        <v>0</v>
      </c>
      <c r="CD303" s="3">
        <f>CD254-CC254</f>
        <v>0</v>
      </c>
      <c r="CE303" s="3">
        <f>SUM(CA303:CD303)</f>
        <v>0</v>
      </c>
      <c r="CF303" s="3">
        <f>CF254-CE254</f>
        <v>0</v>
      </c>
      <c r="CG303" s="3">
        <f>CG254-CF254</f>
        <v>0</v>
      </c>
      <c r="CH303" s="3">
        <f>CH254-CG254</f>
        <v>0</v>
      </c>
      <c r="CI303" s="3">
        <f>CI254-CH254</f>
        <v>0</v>
      </c>
      <c r="CJ303" s="3">
        <f>SUM(CF303:CI303)</f>
        <v>0</v>
      </c>
      <c r="CK303" s="3">
        <f>CK254-CJ254</f>
        <v>0</v>
      </c>
      <c r="CL303" s="3">
        <f>CL254-CK254</f>
        <v>0</v>
      </c>
      <c r="CM303" s="3">
        <f>CM254-CL254</f>
        <v>0</v>
      </c>
      <c r="CN303" s="3">
        <f>CN254-CM254</f>
        <v>0</v>
      </c>
      <c r="CO303" s="3">
        <f>SUM(CK303:CN303)</f>
        <v>0</v>
      </c>
      <c r="CP303" s="3">
        <f>CP254-CO254</f>
        <v>0</v>
      </c>
      <c r="CQ303" s="3">
        <f>CQ254-CP254</f>
        <v>0</v>
      </c>
      <c r="CR303" s="3">
        <f>CR254-CQ254</f>
        <v>0</v>
      </c>
      <c r="CS303" s="3">
        <f>CS254-CR254</f>
        <v>0</v>
      </c>
      <c r="CT303" s="3">
        <f>SUM(CP303:CS303)</f>
        <v>0</v>
      </c>
      <c r="CU303" s="3">
        <f>CU254-CT254</f>
        <v>0</v>
      </c>
      <c r="CV303" s="3">
        <f>CV254-CU254</f>
        <v>0</v>
      </c>
      <c r="CW303" s="3">
        <f>CW254-CV254</f>
        <v>0</v>
      </c>
      <c r="CX303" s="3">
        <f>CX254-CW254</f>
        <v>0</v>
      </c>
      <c r="CY303" s="3">
        <f>SUM(CU303:CX303)</f>
        <v>0</v>
      </c>
    </row>
    <row r="304">
      <c r="C304" s="26" t="inlineStr">
        <is>
          <t>Treasury stock repurchases</t>
        </is>
      </c>
      <c r="D304" s="3" t="n"/>
      <c r="E304" s="3">
        <f>E267-D267</f>
        <v>0</v>
      </c>
      <c r="F304" s="3">
        <f>F267-E267</f>
        <v>0</v>
      </c>
      <c r="G304" s="3">
        <f>G267-F267</f>
        <v>0</v>
      </c>
      <c r="H304" s="3">
        <f>SUM(D304:G304)</f>
        <v>0</v>
      </c>
      <c r="I304" s="3">
        <f>I267-H267</f>
        <v>0</v>
      </c>
      <c r="J304" s="3">
        <f>J267-I267</f>
        <v>0</v>
      </c>
      <c r="K304" s="3">
        <f>K267-J267</f>
        <v>0</v>
      </c>
      <c r="L304" s="3">
        <f>L267-K267</f>
        <v>0</v>
      </c>
      <c r="M304" s="3">
        <f>SUM(I304:L304)</f>
        <v>0</v>
      </c>
      <c r="N304" s="3">
        <f>N267-M267</f>
        <v>0</v>
      </c>
      <c r="O304" s="3">
        <f>O267-N267</f>
        <v>0</v>
      </c>
      <c r="P304" s="3">
        <f>P267-O267</f>
        <v>0</v>
      </c>
      <c r="Q304" s="3">
        <f>Q267-P267</f>
        <v>0</v>
      </c>
      <c r="R304" s="3">
        <f>SUM(N304:Q304)</f>
        <v>0</v>
      </c>
      <c r="S304" s="3">
        <f>S267-R267</f>
        <v>0</v>
      </c>
      <c r="T304" s="3">
        <f>T267-S267</f>
        <v>0</v>
      </c>
      <c r="U304" s="3">
        <f>U267-T267</f>
        <v>0</v>
      </c>
      <c r="V304" s="3">
        <f>V267-U267</f>
        <v>0</v>
      </c>
      <c r="W304" s="3">
        <f>SUM(S304:V304)</f>
        <v>0</v>
      </c>
      <c r="X304" s="3">
        <f>X267-W267</f>
        <v>0</v>
      </c>
      <c r="Y304" s="3">
        <f>Y267-X267</f>
        <v>0</v>
      </c>
      <c r="Z304" s="3">
        <f>Z267-Y267</f>
        <v>0</v>
      </c>
      <c r="AA304" s="3">
        <f>AA267-Z267</f>
        <v>0</v>
      </c>
      <c r="AB304" s="3">
        <f>SUM(X304:AA304)</f>
        <v>0</v>
      </c>
      <c r="AC304" s="3">
        <f>AC267-AB267</f>
        <v>0</v>
      </c>
      <c r="AD304" s="3">
        <f>AD267-AC267</f>
        <v>0</v>
      </c>
      <c r="AE304" s="3">
        <f>AE267-AD267</f>
        <v>0</v>
      </c>
      <c r="AF304" s="3">
        <f>AF267-AE267</f>
        <v>0</v>
      </c>
      <c r="AG304" s="3">
        <f>SUM(AC304:AF304)</f>
        <v>0</v>
      </c>
      <c r="AH304" s="3">
        <f>AH267-AG267</f>
        <v>0</v>
      </c>
      <c r="AI304" s="3">
        <f>AI267-AH267</f>
        <v>0</v>
      </c>
      <c r="AJ304" s="3">
        <f>AJ267-AI267</f>
        <v>0</v>
      </c>
      <c r="AK304" s="3">
        <f>AK267-AJ267</f>
        <v>0</v>
      </c>
      <c r="AL304" s="3">
        <f>SUM(AH304:AK304)</f>
        <v>0</v>
      </c>
      <c r="AM304" s="3">
        <f>AM267-AL267</f>
        <v>0</v>
      </c>
      <c r="AN304" s="3">
        <f>AN267-AM267</f>
        <v>0</v>
      </c>
      <c r="AO304" s="3">
        <f>AO267-AN267</f>
        <v>0</v>
      </c>
      <c r="AP304" s="3">
        <f>AP267-AO267</f>
        <v>0</v>
      </c>
      <c r="AQ304" s="3">
        <f>SUM(AM304:AP304)</f>
        <v>0</v>
      </c>
      <c r="AR304" s="3">
        <f>AR267-AQ267</f>
        <v>0</v>
      </c>
      <c r="AS304" s="3">
        <f>AS267-AR267</f>
        <v>0</v>
      </c>
      <c r="AT304" s="3">
        <f>AT267-AS267</f>
        <v>0</v>
      </c>
      <c r="AU304" s="3">
        <f>AU267-AT267</f>
        <v>0</v>
      </c>
      <c r="AV304" s="3">
        <f>SUM(AR304:AU304)</f>
        <v>0</v>
      </c>
      <c r="AW304" s="3">
        <f>AW267-AV267</f>
        <v>0</v>
      </c>
      <c r="AX304" s="3">
        <f>AX267-AW267</f>
        <v>0</v>
      </c>
      <c r="AY304" s="3">
        <f>AY267-AX267</f>
        <v>0</v>
      </c>
      <c r="AZ304" s="3">
        <f>AZ267-AY267</f>
        <v>0</v>
      </c>
      <c r="BA304" s="3">
        <f>SUM(AW304:AZ304)</f>
        <v>0</v>
      </c>
      <c r="BB304" s="3">
        <f>BB267-BA267</f>
        <v>0</v>
      </c>
      <c r="BC304" s="3">
        <f>BC267-BB267</f>
        <v>0</v>
      </c>
      <c r="BD304" s="3">
        <f>BD267-BC267</f>
        <v>0</v>
      </c>
      <c r="BE304" s="3">
        <f>BE267-BD267</f>
        <v>0</v>
      </c>
      <c r="BF304" s="3">
        <f>SUM(BB304:BE304)</f>
        <v>0</v>
      </c>
      <c r="BG304" s="3">
        <f>BG267-BF267</f>
        <v>0</v>
      </c>
      <c r="BH304" s="3">
        <f>BH267-BG267</f>
        <v>0</v>
      </c>
      <c r="BI304" s="3">
        <f>BI267-BH267</f>
        <v>0</v>
      </c>
      <c r="BJ304" s="3">
        <f>BJ267-BI267</f>
        <v>0</v>
      </c>
      <c r="BK304" s="3">
        <f>SUM(BG304:BJ304)</f>
        <v>0</v>
      </c>
      <c r="BL304" s="3">
        <f>BL267-BK267</f>
        <v>0</v>
      </c>
      <c r="BM304" s="3">
        <f>BM267-BL267</f>
        <v>0</v>
      </c>
      <c r="BN304" s="3">
        <f>BN267-BM267</f>
        <v>0</v>
      </c>
      <c r="BO304" s="3">
        <f>BO267-BN267</f>
        <v>0</v>
      </c>
      <c r="BP304" s="3">
        <f>SUM(BL304:BO304)</f>
        <v>0</v>
      </c>
      <c r="BQ304" s="3">
        <f>BQ267-BP267</f>
        <v>0</v>
      </c>
      <c r="BR304" s="3">
        <f>BR267-BQ267</f>
        <v>0</v>
      </c>
      <c r="BS304" s="3">
        <f>BS267-BR267</f>
        <v>0</v>
      </c>
      <c r="BT304" s="3">
        <f>BT267-BS267</f>
        <v>0</v>
      </c>
      <c r="BU304" s="3">
        <f>SUM(BQ304:BT304)</f>
        <v>0</v>
      </c>
      <c r="BV304" s="3">
        <f>BV267-BU267</f>
        <v>0</v>
      </c>
      <c r="BW304" s="3">
        <f>BW267-BV267</f>
        <v>0</v>
      </c>
      <c r="BX304" s="3">
        <f>BX267-BW267</f>
        <v>0</v>
      </c>
      <c r="BY304" s="3">
        <f>BY267-BX267</f>
        <v>0</v>
      </c>
      <c r="BZ304" s="3">
        <f>SUM(BV304:BY304)</f>
        <v>0</v>
      </c>
      <c r="CA304" s="3">
        <f>CA267-BZ267</f>
        <v>0</v>
      </c>
      <c r="CB304" s="3">
        <f>CB267-CA267</f>
        <v>0</v>
      </c>
      <c r="CC304" s="3">
        <f>CC267-CB267</f>
        <v>0</v>
      </c>
      <c r="CD304" s="3">
        <f>CD267-CC267</f>
        <v>0</v>
      </c>
      <c r="CE304" s="3">
        <f>SUM(CA304:CD304)</f>
        <v>0</v>
      </c>
      <c r="CF304" s="3">
        <f>CF267-CE267</f>
        <v>0</v>
      </c>
      <c r="CG304" s="3">
        <f>CG267-CF267</f>
        <v>0</v>
      </c>
      <c r="CH304" s="3">
        <f>CH267-CG267</f>
        <v>0</v>
      </c>
      <c r="CI304" s="3">
        <f>CI267-CH267</f>
        <v>0</v>
      </c>
      <c r="CJ304" s="3">
        <f>SUM(CF304:CI304)</f>
        <v>0</v>
      </c>
      <c r="CK304" s="3">
        <f>CK267-CJ267</f>
        <v>0</v>
      </c>
      <c r="CL304" s="3">
        <f>CL267-CK267</f>
        <v>0</v>
      </c>
      <c r="CM304" s="3">
        <f>CM267-CL267</f>
        <v>0</v>
      </c>
      <c r="CN304" s="3">
        <f>CN267-CM267</f>
        <v>0</v>
      </c>
      <c r="CO304" s="3">
        <f>SUM(CK304:CN304)</f>
        <v>0</v>
      </c>
      <c r="CP304" s="3">
        <f>CP267-CO267</f>
        <v>0</v>
      </c>
      <c r="CQ304" s="3">
        <f>CQ267-CP267</f>
        <v>0</v>
      </c>
      <c r="CR304" s="3">
        <f>CR267-CQ267</f>
        <v>0</v>
      </c>
      <c r="CS304" s="3">
        <f>CS267-CR267</f>
        <v>0</v>
      </c>
      <c r="CT304" s="3">
        <f>SUM(CP304:CS304)</f>
        <v>0</v>
      </c>
      <c r="CU304" s="3">
        <f>CU267-CT267</f>
        <v>0</v>
      </c>
      <c r="CV304" s="3">
        <f>CV267-CU267</f>
        <v>0</v>
      </c>
      <c r="CW304" s="3">
        <f>CW267-CV267</f>
        <v>0</v>
      </c>
      <c r="CX304" s="3">
        <f>CX267-CW267</f>
        <v>0</v>
      </c>
      <c r="CY304" s="3">
        <f>SUM(CU304:CX304)</f>
        <v>0</v>
      </c>
    </row>
    <row r="305">
      <c r="C305" s="26" t="inlineStr">
        <is>
          <t>Comprehensive accumulated loss</t>
        </is>
      </c>
      <c r="D305" s="3" t="n"/>
      <c r="E305" s="3">
        <f>E268-D268</f>
        <v>0</v>
      </c>
      <c r="F305" s="3">
        <f>F268-E268</f>
        <v>0</v>
      </c>
      <c r="G305" s="3">
        <f>G268-F268</f>
        <v>0</v>
      </c>
      <c r="H305" s="3">
        <f>SUM(D305:G305)</f>
        <v>0</v>
      </c>
      <c r="I305" s="3">
        <f>I268-H268</f>
        <v>0</v>
      </c>
      <c r="J305" s="3">
        <f>J268-I268</f>
        <v>0</v>
      </c>
      <c r="K305" s="3">
        <f>K268-J268</f>
        <v>0</v>
      </c>
      <c r="L305" s="3">
        <f>L268-K268</f>
        <v>0</v>
      </c>
      <c r="M305" s="3">
        <f>SUM(I305:L305)</f>
        <v>0</v>
      </c>
      <c r="N305" s="3">
        <f>N268-M268</f>
        <v>0</v>
      </c>
      <c r="O305" s="3">
        <f>O268-N268</f>
        <v>-1.596</v>
      </c>
      <c r="P305" s="3">
        <f>P268-O268</f>
        <v>8.698</v>
      </c>
      <c r="Q305" s="3">
        <f>Q268-P268</f>
        <v>308.434</v>
      </c>
      <c r="R305" s="3">
        <f>SUM(N305:Q305)</f>
        <v>315.536</v>
      </c>
      <c r="S305" s="3">
        <f>S268-R268</f>
        <v>-315.536</v>
      </c>
      <c r="T305" s="3">
        <f>T268-S268</f>
        <v>0</v>
      </c>
      <c r="U305" s="3">
        <f>U268-T268</f>
        <v>0</v>
      </c>
      <c r="V305" s="3">
        <f>V268-U268</f>
        <v>0</v>
      </c>
      <c r="W305" s="3">
        <f>SUM(S305:V305)</f>
        <v>-315.536</v>
      </c>
      <c r="X305" s="3">
        <f>X268-W268</f>
        <v>0</v>
      </c>
      <c r="Y305" s="3">
        <f>Y268-X268</f>
        <v>6.667</v>
      </c>
      <c r="Z305" s="3">
        <f>Z268-Y268</f>
        <v>-6.667</v>
      </c>
      <c r="AA305" s="3">
        <f>AA268-Z268</f>
        <v>11.254</v>
      </c>
      <c r="AB305" s="3">
        <f>SUM(X305:AA305)</f>
        <v>11.254</v>
      </c>
      <c r="AC305" s="3">
        <f>AC268-AB268</f>
        <v>0</v>
      </c>
      <c r="AD305" s="3">
        <f>AD268-AC268</f>
        <v>0</v>
      </c>
      <c r="AE305" s="3">
        <f>AE268-AD268</f>
        <v>0</v>
      </c>
      <c r="AF305" s="3">
        <f>AF268-AE268</f>
        <v>0</v>
      </c>
      <c r="AG305" s="3">
        <f>SUM(AC305:AF305)</f>
        <v>0</v>
      </c>
      <c r="AH305" s="3">
        <f>AH268-AG268</f>
        <v>0</v>
      </c>
      <c r="AI305" s="3">
        <f>AI268-AH268</f>
        <v>-104.148</v>
      </c>
      <c r="AJ305" s="3">
        <f>AJ268-AI268</f>
        <v>0</v>
      </c>
      <c r="AK305" s="3">
        <f>AK268-AJ268</f>
        <v>0</v>
      </c>
      <c r="AL305" s="3">
        <f>SUM(AH305:AK305)</f>
        <v>-104.148</v>
      </c>
      <c r="AM305" s="3">
        <f>AM268-AL268</f>
        <v>0</v>
      </c>
      <c r="AN305" s="3">
        <f>AN268-AM268</f>
        <v>0</v>
      </c>
      <c r="AO305" s="3">
        <f>AO268-AN268</f>
        <v>0</v>
      </c>
      <c r="AP305" s="3">
        <f>AP268-AO268</f>
        <v>0</v>
      </c>
      <c r="AQ305" s="3">
        <f>SUM(AM305:AP305)</f>
        <v>0</v>
      </c>
      <c r="AR305" s="3">
        <f>AR268-AQ268</f>
        <v>0</v>
      </c>
      <c r="AS305" s="3">
        <f>AS268-AR268</f>
        <v>0</v>
      </c>
      <c r="AT305" s="3">
        <f>AT268-AS268</f>
        <v>0</v>
      </c>
      <c r="AU305" s="3">
        <f>AU268-AT268</f>
        <v>0</v>
      </c>
      <c r="AV305" s="3">
        <f>SUM(AR305:AU305)</f>
        <v>0</v>
      </c>
      <c r="AW305" s="3">
        <f>AW268-AV268</f>
        <v>0</v>
      </c>
      <c r="AX305" s="3">
        <f>AX268-AW268</f>
        <v>0</v>
      </c>
      <c r="AY305" s="3">
        <f>AY268-AX268</f>
        <v>0</v>
      </c>
      <c r="AZ305" s="3">
        <f>AZ268-AY268</f>
        <v>0</v>
      </c>
      <c r="BA305" s="3">
        <f>SUM(AW305:AZ305)</f>
        <v>0</v>
      </c>
      <c r="BB305" s="3">
        <f>BB268-BA268</f>
        <v>0</v>
      </c>
      <c r="BC305" s="3">
        <f>BC268-BB268</f>
        <v>0</v>
      </c>
      <c r="BD305" s="3">
        <f>BD268-BC268</f>
        <v>0</v>
      </c>
      <c r="BE305" s="3">
        <f>BE268-BD268</f>
        <v>0</v>
      </c>
      <c r="BF305" s="3">
        <f>SUM(BB305:BE305)</f>
        <v>0</v>
      </c>
      <c r="BG305" s="3">
        <f>BG268-BF268</f>
        <v>0</v>
      </c>
      <c r="BH305" s="3">
        <f>BH268-BG268</f>
        <v>0</v>
      </c>
      <c r="BI305" s="3">
        <f>BI268-BH268</f>
        <v>0</v>
      </c>
      <c r="BJ305" s="3">
        <f>BJ268-BI268</f>
        <v>0</v>
      </c>
      <c r="BK305" s="3">
        <f>SUM(BG305:BJ305)</f>
        <v>0</v>
      </c>
      <c r="BL305" s="3">
        <f>BL268-BK268</f>
        <v>0</v>
      </c>
      <c r="BM305" s="3">
        <f>BM268-BL268</f>
        <v>0</v>
      </c>
      <c r="BN305" s="3">
        <f>BN268-BM268</f>
        <v>0</v>
      </c>
      <c r="BO305" s="3">
        <f>BO268-BN268</f>
        <v>0</v>
      </c>
      <c r="BP305" s="3">
        <f>SUM(BL305:BO305)</f>
        <v>0</v>
      </c>
      <c r="BQ305" s="3">
        <f>BQ268-BP268</f>
        <v>0</v>
      </c>
      <c r="BR305" s="3">
        <f>BR268-BQ268</f>
        <v>0</v>
      </c>
      <c r="BS305" s="3">
        <f>BS268-BR268</f>
        <v>0</v>
      </c>
      <c r="BT305" s="3">
        <f>BT268-BS268</f>
        <v>0</v>
      </c>
      <c r="BU305" s="3">
        <f>SUM(BQ305:BT305)</f>
        <v>0</v>
      </c>
      <c r="BV305" s="3">
        <f>BV268-BU268</f>
        <v>0</v>
      </c>
      <c r="BW305" s="3">
        <f>BW268-BV268</f>
        <v>0</v>
      </c>
      <c r="BX305" s="3">
        <f>BX268-BW268</f>
        <v>0</v>
      </c>
      <c r="BY305" s="3">
        <f>BY268-BX268</f>
        <v>0</v>
      </c>
      <c r="BZ305" s="3">
        <f>SUM(BV305:BY305)</f>
        <v>0</v>
      </c>
      <c r="CA305" s="3">
        <f>CA268-BZ268</f>
        <v>0</v>
      </c>
      <c r="CB305" s="3">
        <f>CB268-CA268</f>
        <v>0</v>
      </c>
      <c r="CC305" s="3">
        <f>CC268-CB268</f>
        <v>0</v>
      </c>
      <c r="CD305" s="3">
        <f>CD268-CC268</f>
        <v>0</v>
      </c>
      <c r="CE305" s="3">
        <f>SUM(CA305:CD305)</f>
        <v>0</v>
      </c>
      <c r="CF305" s="3">
        <f>CF268-CE268</f>
        <v>0</v>
      </c>
      <c r="CG305" s="3">
        <f>CG268-CF268</f>
        <v>0</v>
      </c>
      <c r="CH305" s="3">
        <f>CH268-CG268</f>
        <v>0</v>
      </c>
      <c r="CI305" s="3">
        <f>CI268-CH268</f>
        <v>0</v>
      </c>
      <c r="CJ305" s="3">
        <f>SUM(CF305:CI305)</f>
        <v>0</v>
      </c>
      <c r="CK305" s="3">
        <f>CK268-CJ268</f>
        <v>0</v>
      </c>
      <c r="CL305" s="3">
        <f>CL268-CK268</f>
        <v>0</v>
      </c>
      <c r="CM305" s="3">
        <f>CM268-CL268</f>
        <v>0</v>
      </c>
      <c r="CN305" s="3">
        <f>CN268-CM268</f>
        <v>0</v>
      </c>
      <c r="CO305" s="3">
        <f>SUM(CK305:CN305)</f>
        <v>0</v>
      </c>
      <c r="CP305" s="3">
        <f>CP268-CO268</f>
        <v>0</v>
      </c>
      <c r="CQ305" s="3">
        <f>CQ268-CP268</f>
        <v>0</v>
      </c>
      <c r="CR305" s="3">
        <f>CR268-CQ268</f>
        <v>0</v>
      </c>
      <c r="CS305" s="3">
        <f>CS268-CR268</f>
        <v>0</v>
      </c>
      <c r="CT305" s="3">
        <f>SUM(CP305:CS305)</f>
        <v>0</v>
      </c>
      <c r="CU305" s="3">
        <f>CU268-CT268</f>
        <v>0</v>
      </c>
      <c r="CV305" s="3">
        <f>CV268-CU268</f>
        <v>0</v>
      </c>
      <c r="CW305" s="3">
        <f>CW268-CV268</f>
        <v>0</v>
      </c>
      <c r="CX305" s="3">
        <f>CX268-CW268</f>
        <v>0</v>
      </c>
      <c r="CY305" s="3">
        <f>SUM(CU305:CX305)</f>
        <v>0</v>
      </c>
    </row>
    <row r="306">
      <c r="C306" s="26" t="inlineStr">
        <is>
          <t>Other equity account</t>
        </is>
      </c>
      <c r="D306" s="3" t="n"/>
      <c r="E306" s="3">
        <f>E269-D269</f>
        <v>0</v>
      </c>
      <c r="F306" s="3">
        <f>F269-E269</f>
        <v>0</v>
      </c>
      <c r="G306" s="3">
        <f>G269-F269</f>
        <v>0</v>
      </c>
      <c r="H306" s="3">
        <f>SUM(D306:G306)</f>
        <v>0</v>
      </c>
      <c r="I306" s="3">
        <f>I269-H269</f>
        <v>0</v>
      </c>
      <c r="J306" s="3">
        <f>J269-I269</f>
        <v>0</v>
      </c>
      <c r="K306" s="3">
        <f>K269-J269</f>
        <v>0</v>
      </c>
      <c r="L306" s="3">
        <f>L269-K269</f>
        <v>0</v>
      </c>
      <c r="M306" s="3">
        <f>SUM(I306:L306)</f>
        <v>0</v>
      </c>
      <c r="N306" s="3">
        <f>N269-M269</f>
        <v>0</v>
      </c>
      <c r="O306" s="3">
        <f>O269-N269</f>
        <v>0</v>
      </c>
      <c r="P306" s="3">
        <f>P269-O269</f>
        <v>0</v>
      </c>
      <c r="Q306" s="3">
        <f>Q269-P269</f>
        <v>0</v>
      </c>
      <c r="R306" s="3">
        <f>SUM(N306:Q306)</f>
        <v>0</v>
      </c>
      <c r="S306" s="3">
        <f>S269-R269</f>
        <v>0</v>
      </c>
      <c r="T306" s="3">
        <f>T269-S269</f>
        <v>0</v>
      </c>
      <c r="U306" s="3">
        <f>U269-T269</f>
        <v>0</v>
      </c>
      <c r="V306" s="3">
        <f>V269-U269</f>
        <v>0</v>
      </c>
      <c r="W306" s="3">
        <f>SUM(S306:V306)</f>
        <v>0</v>
      </c>
      <c r="X306" s="3">
        <f>X269-W269</f>
        <v>0</v>
      </c>
      <c r="Y306" s="3">
        <f>Y269-X269</f>
        <v>0</v>
      </c>
      <c r="Z306" s="3">
        <f>Z269-Y269</f>
        <v>6.667</v>
      </c>
      <c r="AA306" s="3">
        <f>AA269-Z269</f>
        <v>-6.667</v>
      </c>
      <c r="AB306" s="3">
        <f>SUM(X306:AA306)</f>
        <v>0</v>
      </c>
      <c r="AC306" s="3">
        <f>AC269-AB269</f>
        <v>0</v>
      </c>
      <c r="AD306" s="3">
        <f>AD269-AC269</f>
        <v>0</v>
      </c>
      <c r="AE306" s="3">
        <f>AE269-AD269</f>
        <v>0</v>
      </c>
      <c r="AF306" s="3">
        <f>AF269-AE269</f>
        <v>0</v>
      </c>
      <c r="AG306" s="3">
        <f>SUM(AC306:AF306)</f>
        <v>0</v>
      </c>
      <c r="AH306" s="3">
        <f>AH269-AG269</f>
        <v>0</v>
      </c>
      <c r="AI306" s="3">
        <f>AI269-AH269</f>
        <v>0</v>
      </c>
      <c r="AJ306" s="3">
        <f>AJ269-AI269</f>
        <v>0</v>
      </c>
      <c r="AK306" s="3">
        <f>AK269-AJ269</f>
        <v>0</v>
      </c>
      <c r="AL306" s="3">
        <f>SUM(AH306:AK306)</f>
        <v>0</v>
      </c>
      <c r="AM306" s="3">
        <f>AM269-AL269</f>
        <v>0</v>
      </c>
      <c r="AN306" s="3">
        <f>AN269-AM269</f>
        <v>0</v>
      </c>
      <c r="AO306" s="3">
        <f>AO269-AN269</f>
        <v>0</v>
      </c>
      <c r="AP306" s="3">
        <f>AP269-AO269</f>
        <v>0</v>
      </c>
      <c r="AQ306" s="3">
        <f>SUM(AM306:AP306)</f>
        <v>0</v>
      </c>
      <c r="AR306" s="3">
        <f>AR269-AQ269</f>
        <v>0</v>
      </c>
      <c r="AS306" s="3">
        <f>AS269-AR269</f>
        <v>0</v>
      </c>
      <c r="AT306" s="3">
        <f>AT269-AS269</f>
        <v>0</v>
      </c>
      <c r="AU306" s="3">
        <f>AU269-AT269</f>
        <v>0</v>
      </c>
      <c r="AV306" s="3">
        <f>SUM(AR306:AU306)</f>
        <v>0</v>
      </c>
      <c r="AW306" s="3">
        <f>AW269-AV269</f>
        <v>0</v>
      </c>
      <c r="AX306" s="3">
        <f>AX269-AW269</f>
        <v>0</v>
      </c>
      <c r="AY306" s="3">
        <f>AY269-AX269</f>
        <v>0</v>
      </c>
      <c r="AZ306" s="3">
        <f>AZ269-AY269</f>
        <v>0</v>
      </c>
      <c r="BA306" s="3">
        <f>SUM(AW306:AZ306)</f>
        <v>0</v>
      </c>
      <c r="BB306" s="3">
        <f>BB269-BA269</f>
        <v>0</v>
      </c>
      <c r="BC306" s="3">
        <f>BC269-BB269</f>
        <v>0</v>
      </c>
      <c r="BD306" s="3">
        <f>BD269-BC269</f>
        <v>0</v>
      </c>
      <c r="BE306" s="3">
        <f>BE269-BD269</f>
        <v>0</v>
      </c>
      <c r="BF306" s="3">
        <f>SUM(BB306:BE306)</f>
        <v>0</v>
      </c>
      <c r="BG306" s="3">
        <f>BG269-BF269</f>
        <v>0</v>
      </c>
      <c r="BH306" s="3">
        <f>BH269-BG269</f>
        <v>0</v>
      </c>
      <c r="BI306" s="3">
        <f>BI269-BH269</f>
        <v>0</v>
      </c>
      <c r="BJ306" s="3">
        <f>BJ269-BI269</f>
        <v>0</v>
      </c>
      <c r="BK306" s="3">
        <f>SUM(BG306:BJ306)</f>
        <v>0</v>
      </c>
      <c r="BL306" s="3">
        <f>BL269-BK269</f>
        <v>0</v>
      </c>
      <c r="BM306" s="3">
        <f>BM269-BL269</f>
        <v>0</v>
      </c>
      <c r="BN306" s="3">
        <f>BN269-BM269</f>
        <v>0</v>
      </c>
      <c r="BO306" s="3">
        <f>BO269-BN269</f>
        <v>0</v>
      </c>
      <c r="BP306" s="3">
        <f>SUM(BL306:BO306)</f>
        <v>0</v>
      </c>
      <c r="BQ306" s="3">
        <f>BQ269-BP269</f>
        <v>0</v>
      </c>
      <c r="BR306" s="3">
        <f>BR269-BQ269</f>
        <v>0</v>
      </c>
      <c r="BS306" s="3">
        <f>BS269-BR269</f>
        <v>0</v>
      </c>
      <c r="BT306" s="3">
        <f>BT269-BS269</f>
        <v>0</v>
      </c>
      <c r="BU306" s="3">
        <f>SUM(BQ306:BT306)</f>
        <v>0</v>
      </c>
      <c r="BV306" s="3">
        <f>BV269-BU269</f>
        <v>0</v>
      </c>
      <c r="BW306" s="3">
        <f>BW269-BV269</f>
        <v>0</v>
      </c>
      <c r="BX306" s="3">
        <f>BX269-BW269</f>
        <v>0</v>
      </c>
      <c r="BY306" s="3">
        <f>BY269-BX269</f>
        <v>0</v>
      </c>
      <c r="BZ306" s="3">
        <f>SUM(BV306:BY306)</f>
        <v>0</v>
      </c>
      <c r="CA306" s="3">
        <f>CA269-BZ269</f>
        <v>0</v>
      </c>
      <c r="CB306" s="3">
        <f>CB269-CA269</f>
        <v>0</v>
      </c>
      <c r="CC306" s="3">
        <f>CC269-CB269</f>
        <v>0</v>
      </c>
      <c r="CD306" s="3">
        <f>CD269-CC269</f>
        <v>0</v>
      </c>
      <c r="CE306" s="3">
        <f>SUM(CA306:CD306)</f>
        <v>0</v>
      </c>
      <c r="CF306" s="3">
        <f>CF269-CE269</f>
        <v>0</v>
      </c>
      <c r="CG306" s="3">
        <f>CG269-CF269</f>
        <v>0</v>
      </c>
      <c r="CH306" s="3">
        <f>CH269-CG269</f>
        <v>0</v>
      </c>
      <c r="CI306" s="3">
        <f>CI269-CH269</f>
        <v>0</v>
      </c>
      <c r="CJ306" s="3">
        <f>SUM(CF306:CI306)</f>
        <v>0</v>
      </c>
      <c r="CK306" s="3">
        <f>CK269-CJ269</f>
        <v>0</v>
      </c>
      <c r="CL306" s="3">
        <f>CL269-CK269</f>
        <v>0</v>
      </c>
      <c r="CM306" s="3">
        <f>CM269-CL269</f>
        <v>0</v>
      </c>
      <c r="CN306" s="3">
        <f>CN269-CM269</f>
        <v>0</v>
      </c>
      <c r="CO306" s="3">
        <f>SUM(CK306:CN306)</f>
        <v>0</v>
      </c>
      <c r="CP306" s="3">
        <f>CP269-CO269</f>
        <v>0</v>
      </c>
      <c r="CQ306" s="3">
        <f>CQ269-CP269</f>
        <v>0</v>
      </c>
      <c r="CR306" s="3">
        <f>CR269-CQ269</f>
        <v>0</v>
      </c>
      <c r="CS306" s="3">
        <f>CS269-CR269</f>
        <v>0</v>
      </c>
      <c r="CT306" s="3">
        <f>SUM(CP306:CS306)</f>
        <v>0</v>
      </c>
      <c r="CU306" s="3">
        <f>CU269-CT269</f>
        <v>0</v>
      </c>
      <c r="CV306" s="3">
        <f>CV269-CU269</f>
        <v>0</v>
      </c>
      <c r="CW306" s="3">
        <f>CW269-CV269</f>
        <v>0</v>
      </c>
      <c r="CX306" s="3">
        <f>CX269-CW269</f>
        <v>0</v>
      </c>
      <c r="CY306" s="3">
        <f>SUM(CU306:CX306)</f>
        <v>0</v>
      </c>
    </row>
    <row r="307">
      <c r="C307" s="29" t="inlineStr">
        <is>
          <t>Common and preferred dividends</t>
        </is>
      </c>
      <c r="D307" s="3" t="n"/>
      <c r="E307" s="3">
        <f>(E270-D270)-E277</f>
        <v>0</v>
      </c>
      <c r="F307" s="3">
        <f>(F270-E270)-F277</f>
        <v>2.10387263166467e-14</v>
      </c>
      <c r="G307" s="3">
        <f>(G270-F270)-G277</f>
        <v>16.5199999999999</v>
      </c>
      <c r="H307" s="3">
        <f>SUM(D307:G307)</f>
        <v>16.52</v>
      </c>
      <c r="I307" s="3">
        <f>(I270-H270)-I277</f>
        <v>268.941</v>
      </c>
      <c r="J307" s="3">
        <f>(J270-I270)-J277</f>
        <v>6.03961325396085e-14</v>
      </c>
      <c r="K307" s="3">
        <f>(K270-J270)-K277</f>
        <v>-9.41469124882133e-14</v>
      </c>
      <c r="L307" s="3">
        <f>(L270-K270)-L277</f>
        <v>7.8159700933611e-14</v>
      </c>
      <c r="M307" s="3">
        <f>SUM(I307:L307)</f>
        <v>268.941</v>
      </c>
      <c r="N307" s="3">
        <f>(N270-M270)-N277</f>
        <v>0</v>
      </c>
      <c r="O307" s="3">
        <f>(O270-N270)-O277</f>
        <v>0</v>
      </c>
      <c r="P307" s="3">
        <f>(P270-O270)-P277</f>
        <v>0</v>
      </c>
      <c r="Q307" s="3">
        <f>(Q270-P270)-Q277</f>
        <v>-268.941</v>
      </c>
      <c r="R307" s="3">
        <f>SUM(N307:Q307)</f>
        <v>-268.941</v>
      </c>
      <c r="S307" s="3">
        <f>(S270-R270)-S277</f>
        <v>0</v>
      </c>
      <c r="T307" s="3">
        <f>(T270-S270)-T277</f>
        <v>2.22044604925031e-14</v>
      </c>
      <c r="U307" s="3">
        <f>(U270-T270)-U277</f>
        <v>-1.79856129989275e-14</v>
      </c>
      <c r="V307" s="3">
        <f>(V270-U270)-V277</f>
        <v>0</v>
      </c>
      <c r="W307" s="3">
        <f>SUM(S307:V307)</f>
        <v>4.2188474935756e-15</v>
      </c>
      <c r="X307" s="3">
        <f>(X270-W270)-X277</f>
        <v>0</v>
      </c>
      <c r="Y307" s="3">
        <f>(Y270-X270)-Y277</f>
        <v>5.32907051820075e-14</v>
      </c>
      <c r="Z307" s="3">
        <f>(Z270-Y270)-Z277</f>
        <v>0</v>
      </c>
      <c r="AA307" s="3">
        <f>(AA270-Z270)-AA277</f>
        <v>3.90798504668055e-14</v>
      </c>
      <c r="AB307" s="3">
        <f>SUM(X307:AA307)</f>
        <v>9.2370555648813e-14</v>
      </c>
      <c r="AC307" s="3">
        <f>(AC270-AB270)-AC277</f>
        <v>0</v>
      </c>
      <c r="AD307" s="3">
        <f>(AD270-AC270)-AD277</f>
        <v>0</v>
      </c>
      <c r="AE307" s="3">
        <f>(AE270-AD270)-AE277</f>
        <v>0</v>
      </c>
      <c r="AF307" s="3">
        <f>(AF270-AE270)-AF277</f>
        <v>-1.03028696685215e-13</v>
      </c>
      <c r="AG307" s="3">
        <f>SUM(AC307:AF307)</f>
        <v>-1.03028696685215e-13</v>
      </c>
      <c r="AH307" s="3">
        <f>(AH270-AG270)-AH277</f>
        <v>7.46069872548105e-14</v>
      </c>
      <c r="AI307" s="3">
        <f>(AI270-AH270)-AI277</f>
        <v>0</v>
      </c>
      <c r="AJ307" s="3">
        <f>(AJ270-AI270)-AJ277</f>
        <v>0</v>
      </c>
      <c r="AK307" s="3">
        <f>(AK270-AJ270)-AK277</f>
        <v>0</v>
      </c>
      <c r="AL307" s="3">
        <f>SUM(AH307:AK307)</f>
        <v>7.46069872548105e-14</v>
      </c>
      <c r="AM307" s="3">
        <f>(AM270-AL270)-AM277</f>
        <v>0</v>
      </c>
      <c r="AN307" s="3">
        <f>(AN270-AM270)-AN277</f>
        <v>0</v>
      </c>
      <c r="AO307" s="3">
        <f>(AO270-AN270)-AO277</f>
        <v>0</v>
      </c>
      <c r="AP307" s="3">
        <f>(AP270-AO270)-AP277</f>
        <v>0</v>
      </c>
      <c r="AQ307" s="3">
        <f>SUM(AM307:AP307)</f>
        <v>0</v>
      </c>
      <c r="AR307" s="3">
        <f>(AR270-AQ270)-AR277</f>
        <v>0</v>
      </c>
      <c r="AS307" s="3">
        <f>(AS270-AR270)-AS277</f>
        <v>0</v>
      </c>
      <c r="AT307" s="3">
        <f>(AT270-AS270)-AT277</f>
        <v>0</v>
      </c>
      <c r="AU307" s="3">
        <f>(AU270-AT270)-AU277</f>
        <v>0</v>
      </c>
      <c r="AV307" s="3">
        <f>SUM(AR307:AU307)</f>
        <v>0</v>
      </c>
      <c r="AW307" s="3">
        <f>(AW270-AV270)-AW277</f>
        <v>0</v>
      </c>
      <c r="AX307" s="3">
        <f>(AX270-AW270)-AX277</f>
        <v>0</v>
      </c>
      <c r="AY307" s="3">
        <f>(AY270-AX270)-AY277</f>
        <v>0</v>
      </c>
      <c r="AZ307" s="3">
        <f>(AZ270-AY270)-AZ277</f>
        <v>0</v>
      </c>
      <c r="BA307" s="3">
        <f>SUM(AW307:AZ307)</f>
        <v>0</v>
      </c>
      <c r="BB307" s="3">
        <f>(BB270-BA270)-BB277</f>
        <v>0</v>
      </c>
      <c r="BC307" s="3">
        <f>(BC270-BB270)-BC277</f>
        <v>0</v>
      </c>
      <c r="BD307" s="3">
        <f>(BD270-BC270)-BD277</f>
        <v>0</v>
      </c>
      <c r="BE307" s="3">
        <f>(BE270-BD270)-BE277</f>
        <v>0</v>
      </c>
      <c r="BF307" s="3">
        <f>SUM(BB307:BE307)</f>
        <v>0</v>
      </c>
      <c r="BG307" s="3">
        <f>(BG270-BF270)-BG277</f>
        <v>0</v>
      </c>
      <c r="BH307" s="3">
        <f>(BH270-BG270)-BH277</f>
        <v>0</v>
      </c>
      <c r="BI307" s="3">
        <f>(BI270-BH270)-BI277</f>
        <v>0</v>
      </c>
      <c r="BJ307" s="3">
        <f>(BJ270-BI270)-BJ277</f>
        <v>0</v>
      </c>
      <c r="BK307" s="3">
        <f>SUM(BG307:BJ307)</f>
        <v>0</v>
      </c>
      <c r="BL307" s="3">
        <f>(BL270-BK270)-BL277</f>
        <v>0</v>
      </c>
      <c r="BM307" s="3">
        <f>(BM270-BL270)-BM277</f>
        <v>0</v>
      </c>
      <c r="BN307" s="3">
        <f>(BN270-BM270)-BN277</f>
        <v>0</v>
      </c>
      <c r="BO307" s="3">
        <f>(BO270-BN270)-BO277</f>
        <v>0</v>
      </c>
      <c r="BP307" s="3">
        <f>SUM(BL307:BO307)</f>
        <v>0</v>
      </c>
      <c r="BQ307" s="3">
        <f>(BQ270-BP270)-BQ277</f>
        <v>0</v>
      </c>
      <c r="BR307" s="3">
        <f>(BR270-BQ270)-BR277</f>
        <v>0</v>
      </c>
      <c r="BS307" s="3">
        <f>(BS270-BR270)-BS277</f>
        <v>0</v>
      </c>
      <c r="BT307" s="3">
        <f>(BT270-BS270)-BT277</f>
        <v>0</v>
      </c>
      <c r="BU307" s="3">
        <f>SUM(BQ307:BT307)</f>
        <v>0</v>
      </c>
      <c r="BV307" s="3">
        <f>(BV270-BU270)-BV277</f>
        <v>0</v>
      </c>
      <c r="BW307" s="3">
        <f>(BW270-BV270)-BW277</f>
        <v>0</v>
      </c>
      <c r="BX307" s="3">
        <f>(BX270-BW270)-BX277</f>
        <v>0</v>
      </c>
      <c r="BY307" s="3">
        <f>(BY270-BX270)-BY277</f>
        <v>0</v>
      </c>
      <c r="BZ307" s="3">
        <f>SUM(BV307:BY307)</f>
        <v>0</v>
      </c>
      <c r="CA307" s="3">
        <f>(CA270-BZ270)-CA277</f>
        <v>0</v>
      </c>
      <c r="CB307" s="3">
        <f>(CB270-CA270)-CB277</f>
        <v>0</v>
      </c>
      <c r="CC307" s="3">
        <f>(CC270-CB270)-CC277</f>
        <v>0</v>
      </c>
      <c r="CD307" s="3">
        <f>(CD270-CC270)-CD277</f>
        <v>0</v>
      </c>
      <c r="CE307" s="3">
        <f>SUM(CA307:CD307)</f>
        <v>0</v>
      </c>
      <c r="CF307" s="3">
        <f>(CF270-CE270)-CF277</f>
        <v>0</v>
      </c>
      <c r="CG307" s="3">
        <f>(CG270-CF270)-CG277</f>
        <v>0</v>
      </c>
      <c r="CH307" s="3">
        <f>(CH270-CG270)-CH277</f>
        <v>0</v>
      </c>
      <c r="CI307" s="3">
        <f>(CI270-CH270)-CI277</f>
        <v>0</v>
      </c>
      <c r="CJ307" s="3">
        <f>SUM(CF307:CI307)</f>
        <v>0</v>
      </c>
      <c r="CK307" s="3">
        <f>(CK270-CJ270)-CK277</f>
        <v>0</v>
      </c>
      <c r="CL307" s="3">
        <f>(CL270-CK270)-CL277</f>
        <v>0</v>
      </c>
      <c r="CM307" s="3">
        <f>(CM270-CL270)-CM277</f>
        <v>0</v>
      </c>
      <c r="CN307" s="3">
        <f>(CN270-CM270)-CN277</f>
        <v>0</v>
      </c>
      <c r="CO307" s="3">
        <f>SUM(CK307:CN307)</f>
        <v>0</v>
      </c>
      <c r="CP307" s="3">
        <f>(CP270-CO270)-CP277</f>
        <v>0</v>
      </c>
      <c r="CQ307" s="3">
        <f>(CQ270-CP270)-CQ277</f>
        <v>0</v>
      </c>
      <c r="CR307" s="3">
        <f>(CR270-CQ270)-CR277</f>
        <v>0</v>
      </c>
      <c r="CS307" s="3">
        <f>(CS270-CR270)-CS277</f>
        <v>0</v>
      </c>
      <c r="CT307" s="3">
        <f>SUM(CP307:CS307)</f>
        <v>0</v>
      </c>
      <c r="CU307" s="3">
        <f>(CU270-CT270)-CU277</f>
        <v>0</v>
      </c>
      <c r="CV307" s="3">
        <f>(CV270-CU270)-CV277</f>
        <v>0</v>
      </c>
      <c r="CW307" s="3">
        <f>(CW270-CV270)-CW277</f>
        <v>0</v>
      </c>
      <c r="CX307" s="3">
        <f>(CX270-CW270)-CX277</f>
        <v>0</v>
      </c>
      <c r="CY307" s="3">
        <f>SUM(CU307:CX307)</f>
        <v>0</v>
      </c>
    </row>
    <row r="308">
      <c r="C308" s="26" t="inlineStr">
        <is>
          <t>Dividends to minority interests</t>
        </is>
      </c>
      <c r="D308" s="3" t="n"/>
      <c r="E308" s="3">
        <f>(E248-D248)+E136</f>
        <v>0</v>
      </c>
      <c r="F308" s="3">
        <f>(F248-E248)+F136</f>
        <v>0</v>
      </c>
      <c r="G308" s="3">
        <f>(G248-F248)+G136</f>
        <v>-16.52</v>
      </c>
      <c r="H308" s="3">
        <f>SUM(D308:G308)</f>
        <v>-16.52</v>
      </c>
      <c r="I308" s="3">
        <f>(I248-H248)+I136</f>
        <v>0</v>
      </c>
      <c r="J308" s="3">
        <f>(J248-I248)+J136</f>
        <v>-8.059</v>
      </c>
      <c r="K308" s="3">
        <f>(K248-J248)+K136</f>
        <v>-0.00200000000000067</v>
      </c>
      <c r="L308" s="3">
        <f>(L248-K248)+L136</f>
        <v>0.00300000000000056</v>
      </c>
      <c r="M308" s="3">
        <f>SUM(I308:L308)</f>
        <v>-8.058</v>
      </c>
      <c r="N308" s="3">
        <f>(N248-M248)+N136</f>
        <v>0</v>
      </c>
      <c r="O308" s="3">
        <f>(O248-N248)+O136</f>
        <v>0</v>
      </c>
      <c r="P308" s="3">
        <f>(P248-O248)+P136</f>
        <v>0</v>
      </c>
      <c r="Q308" s="3">
        <f>(Q248-P248)+Q136</f>
        <v>11.669</v>
      </c>
      <c r="R308" s="3">
        <f>SUM(N308:Q308)</f>
        <v>11.669</v>
      </c>
      <c r="S308" s="3">
        <f>(S248-R248)+S136</f>
        <v>10.195</v>
      </c>
      <c r="T308" s="3">
        <f>(T248-S248)+T136</f>
        <v>-0.867000000000003</v>
      </c>
      <c r="U308" s="3">
        <f>(U248-T248)+U136</f>
        <v>0</v>
      </c>
      <c r="V308" s="3">
        <f>(V248-U248)+V136</f>
        <v>-11.768</v>
      </c>
      <c r="W308" s="3">
        <f>SUM(S308:V308)</f>
        <v>-2.44000000000001</v>
      </c>
      <c r="X308" s="3">
        <f>(X248-W248)+X136</f>
        <v>16.79</v>
      </c>
      <c r="Y308" s="3">
        <f>(Y248-X248)+Y136</f>
        <v>-0.784000000000005</v>
      </c>
      <c r="Z308" s="3">
        <f>(Z248-Y248)+Z136</f>
        <v>26.965</v>
      </c>
      <c r="AA308" s="3">
        <f>(AA248-Z248)+AA136</f>
        <v>0.577000000000004</v>
      </c>
      <c r="AB308" s="3">
        <f>SUM(X308:AA308)</f>
        <v>43.548</v>
      </c>
      <c r="AC308" s="3">
        <f>(AC248-AB248)+AC136</f>
        <v>0</v>
      </c>
      <c r="AD308" s="3">
        <f>(AD248-AC248)+AD136</f>
        <v>0</v>
      </c>
      <c r="AE308" s="3">
        <f>(AE248-AD248)+AE136</f>
        <v>0</v>
      </c>
      <c r="AF308" s="3">
        <f>(AF248-AE248)+AF136</f>
        <v>0</v>
      </c>
      <c r="AG308" s="3">
        <f>SUM(AC308:AF308)</f>
        <v>0</v>
      </c>
      <c r="AH308" s="3">
        <f>(AH248-AG248)+AH136</f>
        <v>0</v>
      </c>
      <c r="AI308" s="3">
        <f>(AI248-AH248)+AI136</f>
        <v>269.845</v>
      </c>
      <c r="AJ308" s="3">
        <f>(AJ248-AI248)+AJ136</f>
        <v>-2.66453525910038e-14</v>
      </c>
      <c r="AK308" s="3">
        <f>(AK248-AJ248)+AK136</f>
        <v>-2.48689957516035e-14</v>
      </c>
      <c r="AL308" s="3">
        <f>SUM(AH308:AK308)</f>
        <v>269.845</v>
      </c>
      <c r="AM308" s="3">
        <f>(AM248-AL248)+AM136</f>
        <v>2.22044604925031e-14</v>
      </c>
      <c r="AN308" s="3">
        <f>(AN248-AM248)+AN136</f>
        <v>0</v>
      </c>
      <c r="AO308" s="3">
        <f>(AO248-AN248)+AO136</f>
        <v>-2.66453525910038e-14</v>
      </c>
      <c r="AP308" s="3">
        <f>(AP248-AO248)+AP136</f>
        <v>-2.48689957516035e-14</v>
      </c>
      <c r="AQ308" s="3">
        <f>SUM(AM308:AP308)</f>
        <v>-2.93098878501041e-14</v>
      </c>
      <c r="AR308" s="3">
        <f>(AR248-AQ248)+AR136</f>
        <v>2.22044604925031e-14</v>
      </c>
      <c r="AS308" s="3">
        <f>(AS248-AR248)+AS136</f>
        <v>0</v>
      </c>
      <c r="AT308" s="3">
        <f>(AT248-AS248)+AT136</f>
        <v>-2.66453525910038e-14</v>
      </c>
      <c r="AU308" s="3">
        <f>(AU248-AT248)+AU136</f>
        <v>-2.48689957516035e-14</v>
      </c>
      <c r="AV308" s="3">
        <f>SUM(AR308:AU308)</f>
        <v>-2.93098878501041e-14</v>
      </c>
      <c r="AW308" s="3">
        <f>(AW248-AV248)+AW136</f>
        <v>2.22044604925031e-14</v>
      </c>
      <c r="AX308" s="3">
        <f>(AX248-AW248)+AX136</f>
        <v>0</v>
      </c>
      <c r="AY308" s="3">
        <f>(AY248-AX248)+AY136</f>
        <v>-2.66453525910038e-14</v>
      </c>
      <c r="AZ308" s="3">
        <f>(AZ248-AY248)+AZ136</f>
        <v>-2.48689957516035e-14</v>
      </c>
      <c r="BA308" s="3">
        <f>SUM(AW308:AZ308)</f>
        <v>-2.93098878501041e-14</v>
      </c>
      <c r="BB308" s="3">
        <f>(BB248-BA248)+BB136</f>
        <v>2.22044604925031e-14</v>
      </c>
      <c r="BC308" s="3">
        <f>(BC248-BB248)+BC136</f>
        <v>0</v>
      </c>
      <c r="BD308" s="3">
        <f>(BD248-BC248)+BD136</f>
        <v>-2.66453525910038e-14</v>
      </c>
      <c r="BE308" s="3">
        <f>(BE248-BD248)+BE136</f>
        <v>3.19744231092045e-14</v>
      </c>
      <c r="BF308" s="3">
        <f>SUM(BB308:BE308)</f>
        <v>2.75335310107039e-14</v>
      </c>
      <c r="BG308" s="3">
        <f>(BG248-BF248)+BG136</f>
        <v>-3.46389583683049e-14</v>
      </c>
      <c r="BH308" s="3">
        <f>(BH248-BG248)+BH136</f>
        <v>0</v>
      </c>
      <c r="BI308" s="3">
        <f>(BI248-BH248)+BI136</f>
        <v>-2.66453525910038e-14</v>
      </c>
      <c r="BJ308" s="3">
        <f>(BJ248-BI248)+BJ136</f>
        <v>3.19744231092045e-14</v>
      </c>
      <c r="BK308" s="3">
        <f>SUM(BG308:BJ308)</f>
        <v>-2.93098878501041e-14</v>
      </c>
      <c r="BL308" s="3">
        <f>(BL248-BK248)+BL136</f>
        <v>-3.46389583683049e-14</v>
      </c>
      <c r="BM308" s="3">
        <f>(BM248-BL248)+BM136</f>
        <v>0</v>
      </c>
      <c r="BN308" s="3">
        <f>(BN248-BM248)+BN136</f>
        <v>-2.66453525910038e-14</v>
      </c>
      <c r="BO308" s="3">
        <f>(BO248-BN248)+BO136</f>
        <v>3.19744231092045e-14</v>
      </c>
      <c r="BP308" s="3">
        <f>SUM(BL308:BO308)</f>
        <v>-2.93098878501041e-14</v>
      </c>
      <c r="BQ308" s="3">
        <f>(BQ248-BP248)+BQ136</f>
        <v>-3.46389583683049e-14</v>
      </c>
      <c r="BR308" s="3">
        <f>(BR248-BQ248)+BR136</f>
        <v>0</v>
      </c>
      <c r="BS308" s="3">
        <f>(BS248-BR248)+BS136</f>
        <v>-2.66453525910038e-14</v>
      </c>
      <c r="BT308" s="3">
        <f>(BT248-BS248)+BT136</f>
        <v>3.19744231092045e-14</v>
      </c>
      <c r="BU308" s="3">
        <f>SUM(BQ308:BT308)</f>
        <v>-2.93098878501041e-14</v>
      </c>
      <c r="BV308" s="3">
        <f>(BV248-BU248)+BV136</f>
        <v>-3.46389583683049e-14</v>
      </c>
      <c r="BW308" s="3">
        <f>(BW248-BV248)+BW136</f>
        <v>0</v>
      </c>
      <c r="BX308" s="3">
        <f>(BX248-BW248)+BX136</f>
        <v>-2.66453525910038e-14</v>
      </c>
      <c r="BY308" s="3">
        <f>(BY248-BX248)+BY136</f>
        <v>3.19744231092045e-14</v>
      </c>
      <c r="BZ308" s="3">
        <f>SUM(BV308:BY308)</f>
        <v>-2.93098878501041e-14</v>
      </c>
      <c r="CA308" s="3">
        <f>(CA248-BZ248)+CA136</f>
        <v>-3.46389583683049e-14</v>
      </c>
      <c r="CB308" s="3">
        <f>(CB248-CA248)+CB136</f>
        <v>0</v>
      </c>
      <c r="CC308" s="3">
        <f>(CC248-CB248)+CC136</f>
        <v>-2.66453525910038e-14</v>
      </c>
      <c r="CD308" s="3">
        <f>(CD248-CC248)+CD136</f>
        <v>3.19744231092045e-14</v>
      </c>
      <c r="CE308" s="3">
        <f>SUM(CA308:CD308)</f>
        <v>-2.93098878501041e-14</v>
      </c>
      <c r="CF308" s="3">
        <f>(CF248-CE248)+CF136</f>
        <v>-3.46389583683049e-14</v>
      </c>
      <c r="CG308" s="3">
        <f>(CG248-CF248)+CG136</f>
        <v>0</v>
      </c>
      <c r="CH308" s="3">
        <f>(CH248-CG248)+CH136</f>
        <v>-2.66453525910038e-14</v>
      </c>
      <c r="CI308" s="3">
        <f>(CI248-CH248)+CI136</f>
        <v>3.19744231092045e-14</v>
      </c>
      <c r="CJ308" s="3">
        <f>SUM(CF308:CI308)</f>
        <v>-2.93098878501041e-14</v>
      </c>
      <c r="CK308" s="3">
        <f>(CK248-CJ248)+CK136</f>
        <v>-3.46389583683049e-14</v>
      </c>
      <c r="CL308" s="3">
        <f>(CL248-CK248)+CL136</f>
        <v>0</v>
      </c>
      <c r="CM308" s="3">
        <f>(CM248-CL248)+CM136</f>
        <v>-2.66453525910038e-14</v>
      </c>
      <c r="CN308" s="3">
        <f>(CN248-CM248)+CN136</f>
        <v>3.19744231092045e-14</v>
      </c>
      <c r="CO308" s="3">
        <f>SUM(CK308:CN308)</f>
        <v>-2.93098878501041e-14</v>
      </c>
      <c r="CP308" s="3">
        <f>(CP248-CO248)+CP136</f>
        <v>-3.46389583683049e-14</v>
      </c>
      <c r="CQ308" s="3">
        <f>(CQ248-CP248)+CQ136</f>
        <v>0</v>
      </c>
      <c r="CR308" s="3">
        <f>(CR248-CQ248)+CR136</f>
        <v>-2.66453525910038e-14</v>
      </c>
      <c r="CS308" s="3">
        <f>(CS248-CR248)+CS136</f>
        <v>3.19744231092045e-14</v>
      </c>
      <c r="CT308" s="3">
        <f>SUM(CP308:CS308)</f>
        <v>-2.93098878501041e-14</v>
      </c>
      <c r="CU308" s="3">
        <f>(CU248-CT248)+CU136</f>
        <v>-3.46389583683049e-14</v>
      </c>
      <c r="CV308" s="3">
        <f>(CV248-CU248)+CV136</f>
        <v>0</v>
      </c>
      <c r="CW308" s="3">
        <f>(CW248-CV248)+CW136</f>
        <v>-2.66453525910038e-14</v>
      </c>
      <c r="CX308" s="3">
        <f>(CX248-CW248)+CX136</f>
        <v>3.19744231092045e-14</v>
      </c>
      <c r="CY308" s="3">
        <f>SUM(CU308:CX308)</f>
        <v>-2.93098878501041e-14</v>
      </c>
    </row>
    <row r="309">
      <c r="C309" s="28" t="inlineStr">
        <is>
          <t>Increases / (decreases) in debt</t>
        </is>
      </c>
      <c r="D309" s="3" t="n"/>
      <c r="E309" s="3">
        <f>SUM(E212:E214,E217,E238,E235)-SUM(D212:D214,D217,D238,D235)</f>
        <v>-127.299</v>
      </c>
      <c r="F309" s="3">
        <f>SUM(F212:F214,F217,F238,F235)-SUM(E212:E214,E217,E238,E235)</f>
        <v>0.557999999999993</v>
      </c>
      <c r="G309" s="3">
        <f>SUM(G212:G214,G217,G238,G235)-SUM(F212:F214,F217,F238,F235)</f>
        <v>4.16700000000003</v>
      </c>
      <c r="H309" s="3">
        <f>SUM(D309:G309)</f>
        <v>-122.574</v>
      </c>
      <c r="I309" s="3">
        <f>SUM(I212:I214,I217,I238,I235)-SUM(H212:H214,H217,H238,H235)</f>
        <v>12.836</v>
      </c>
      <c r="J309" s="3">
        <f>SUM(J212:J214,J217,J238,J235)-SUM(I212:I214,I217,I238,I235)</f>
        <v>-49.54</v>
      </c>
      <c r="K309" s="3">
        <f>SUM(K212:K214,K217,K238,K235)-SUM(J212:J214,J217,J238,J235)</f>
        <v>-12.595</v>
      </c>
      <c r="L309" s="3">
        <f>SUM(L212:L214,L217,L238,L235)-SUM(K212:K214,K217,K238,K235)</f>
        <v>289.155</v>
      </c>
      <c r="M309" s="3">
        <f>SUM(I309:L309)</f>
        <v>239.856</v>
      </c>
      <c r="N309" s="3">
        <f>SUM(N212:N214,N217,N238,N235)-SUM(M212:M214,M217,M238,M235)</f>
        <v>11.326</v>
      </c>
      <c r="O309" s="3">
        <f>SUM(O212:O214,O217,O238,O235)-SUM(N212:N214,N217,N238,N235)</f>
        <v>34.4019999999999</v>
      </c>
      <c r="P309" s="3">
        <f>SUM(P212:P214,P217,P238,P235)-SUM(O212:O214,O217,O238,O235)</f>
        <v>34.586</v>
      </c>
      <c r="Q309" s="3">
        <f>SUM(Q212:Q214,Q217,Q238,Q235)-SUM(P212:P214,P217,P238,P235)</f>
        <v>413.618</v>
      </c>
      <c r="R309" s="3">
        <f>SUM(N309:Q309)</f>
        <v>493.932</v>
      </c>
      <c r="S309" s="3">
        <f>SUM(S212:S214,S217,S238,S235)-SUM(R212:R214,R217,R238,R235)</f>
        <v>-2.60599999999999</v>
      </c>
      <c r="T309" s="3">
        <f>SUM(T212:T214,T217,T238,T235)-SUM(S212:S214,S217,S238,S235)</f>
        <v>-1.10599999999999</v>
      </c>
      <c r="U309" s="3">
        <f>SUM(U212:U214,U217,U238,U235)-SUM(T212:T214,T217,T238,T235)</f>
        <v>128.65</v>
      </c>
      <c r="V309" s="3">
        <f>SUM(V212:V214,V217,V238,V235)-SUM(U212:U214,U217,U238,U235)</f>
        <v>-18.328</v>
      </c>
      <c r="W309" s="3">
        <f>SUM(S309:V309)</f>
        <v>106.61</v>
      </c>
      <c r="X309" s="3">
        <f>SUM(X212:X214,X217,X238,X235)-SUM(W212:W214,W217,W238,W235)</f>
        <v>7.11500000000001</v>
      </c>
      <c r="Y309" s="3">
        <f>SUM(Y212:Y214,Y217,Y238,Y235)-SUM(X212:X214,X217,X238,X235)</f>
        <v>142.282</v>
      </c>
      <c r="Z309" s="3">
        <f>SUM(Z212:Z214,Z217,Z238,Z235)-SUM(Y212:Y214,Y217,Y238,Y235)</f>
        <v>664.731</v>
      </c>
      <c r="AA309" s="3">
        <f>SUM(AA212:AA214,AA217,AA238,AA235)-SUM(Z212:Z214,Z217,Z238,Z235)</f>
        <v>-16.9040000000002</v>
      </c>
      <c r="AB309" s="3">
        <f>SUM(X309:AA309)</f>
        <v>797.224</v>
      </c>
      <c r="AC309" s="3">
        <f>SUM(AC212:AC214,AC217,AC238,AC235)-SUM(AB212:AB214,AB217,AB238,AB235)</f>
        <v>63.1949999999999</v>
      </c>
      <c r="AD309" s="3">
        <f>SUM(AD212:AD214,AD217,AD238,AD235)-SUM(AC212:AC214,AC217,AC238,AC235)</f>
        <v>-47.626</v>
      </c>
      <c r="AE309" s="3">
        <f>SUM(AE212:AE214,AE217,AE238,AE235)-SUM(AD212:AD214,AD217,AD238,AD235)</f>
        <v>196.069</v>
      </c>
      <c r="AF309" s="3">
        <f>SUM(AF212:AF214,AF217,AF238,AF235)-SUM(AE212:AE214,AE217,AE238,AE235)</f>
        <v>39.8520000000003</v>
      </c>
      <c r="AG309" s="3">
        <f>SUM(AC309:AF309)</f>
        <v>251.49</v>
      </c>
      <c r="AH309" s="3">
        <f>SUM(AH212:AH214,AH217,AH238,AH235)-SUM(AG212:AG214,AG217,AG238,AG235)</f>
        <v>106.661</v>
      </c>
      <c r="AI309" s="3">
        <f>SUM(AI212:AI214,AI217,AI238,AI235)-SUM(AH212:AH214,AH217,AH238,AH235)</f>
        <v>1550.064</v>
      </c>
      <c r="AJ309" s="3">
        <f>SUM(AJ212:AJ214,AJ217,AJ238,AJ235)-SUM(AI212:AI214,AI217,AI238,AI235)</f>
        <v>0</v>
      </c>
      <c r="AK309" s="3">
        <f>SUM(AK212:AK214,AK217,AK238,AK235)-SUM(AJ212:AJ214,AJ217,AJ238,AJ235)</f>
        <v>0</v>
      </c>
      <c r="AL309" s="3">
        <f>SUM(AH309:AK309)</f>
        <v>1656.725</v>
      </c>
      <c r="AM309" s="3">
        <f>SUM(AM212:AM214,AM217,AM238,AM235)-SUM(AL212:AL214,AL217,AL238,AL235)</f>
        <v>0</v>
      </c>
      <c r="AN309" s="3">
        <f>SUM(AN212:AN214,AN217,AN238,AN235)-SUM(AM212:AM214,AM217,AM238,AM235)</f>
        <v>0</v>
      </c>
      <c r="AO309" s="3">
        <f>SUM(AO212:AO214,AO217,AO238,AO235)-SUM(AN212:AN214,AN217,AN238,AN235)</f>
        <v>0</v>
      </c>
      <c r="AP309" s="3">
        <f>SUM(AP212:AP214,AP217,AP238,AP235)-SUM(AO212:AO214,AO217,AO238,AO235)</f>
        <v>0</v>
      </c>
      <c r="AQ309" s="3">
        <f>SUM(AM309:AP309)</f>
        <v>0</v>
      </c>
      <c r="AR309" s="3">
        <f>SUM(AR212:AR214,AR217,AR238,AR235)-SUM(AQ212:AQ214,AQ217,AQ238,AQ235)</f>
        <v>0</v>
      </c>
      <c r="AS309" s="3">
        <f>SUM(AS212:AS214,AS217,AS238,AS235)-SUM(AR212:AR214,AR217,AR238,AR235)</f>
        <v>0</v>
      </c>
      <c r="AT309" s="3">
        <f>SUM(AT212:AT214,AT217,AT238,AT235)-SUM(AS212:AS214,AS217,AS238,AS235)</f>
        <v>0</v>
      </c>
      <c r="AU309" s="3">
        <f>SUM(AU212:AU214,AU217,AU238,AU235)-SUM(AT212:AT214,AT217,AT238,AT235)</f>
        <v>0</v>
      </c>
      <c r="AV309" s="3">
        <f>SUM(AR309:AU309)</f>
        <v>0</v>
      </c>
      <c r="AW309" s="3">
        <f>SUM(AW212:AW214,AW217,AW238,AW235)-SUM(AV212:AV214,AV217,AV238,AV235)</f>
        <v>0</v>
      </c>
      <c r="AX309" s="3">
        <f>SUM(AX212:AX214,AX217,AX238,AX235)-SUM(AW212:AW214,AW217,AW238,AW235)</f>
        <v>0</v>
      </c>
      <c r="AY309" s="3">
        <f>SUM(AY212:AY214,AY217,AY238,AY235)-SUM(AX212:AX214,AX217,AX238,AX235)</f>
        <v>0</v>
      </c>
      <c r="AZ309" s="3">
        <f>SUM(AZ212:AZ214,AZ217,AZ238,AZ235)-SUM(AY212:AY214,AY217,AY238,AY235)</f>
        <v>0</v>
      </c>
      <c r="BA309" s="3">
        <f>SUM(AW309:AZ309)</f>
        <v>0</v>
      </c>
      <c r="BB309" s="3">
        <f>SUM(BB212:BB214,BB217,BB238,BB235)-SUM(BA212:BA214,BA217,BA238,BA235)</f>
        <v>0</v>
      </c>
      <c r="BC309" s="3">
        <f>SUM(BC212:BC214,BC217,BC238,BC235)-SUM(BB212:BB214,BB217,BB238,BB235)</f>
        <v>0</v>
      </c>
      <c r="BD309" s="3">
        <f>SUM(BD212:BD214,BD217,BD238,BD235)-SUM(BC212:BC214,BC217,BC238,BC235)</f>
        <v>0</v>
      </c>
      <c r="BE309" s="3">
        <f>SUM(BE212:BE214,BE217,BE238,BE235)-SUM(BD212:BD214,BD217,BD238,BD235)</f>
        <v>0</v>
      </c>
      <c r="BF309" s="3">
        <f>SUM(BB309:BE309)</f>
        <v>0</v>
      </c>
      <c r="BG309" s="3">
        <f>SUM(BG212:BG214,BG217,BG238,BG235)-SUM(BF212:BF214,BF217,BF238,BF235)</f>
        <v>0</v>
      </c>
      <c r="BH309" s="3">
        <f>SUM(BH212:BH214,BH217,BH238,BH235)-SUM(BG212:BG214,BG217,BG238,BG235)</f>
        <v>0</v>
      </c>
      <c r="BI309" s="3">
        <f>SUM(BI212:BI214,BI217,BI238,BI235)-SUM(BH212:BH214,BH217,BH238,BH235)</f>
        <v>0</v>
      </c>
      <c r="BJ309" s="3">
        <f>SUM(BJ212:BJ214,BJ217,BJ238,BJ235)-SUM(BI212:BI214,BI217,BI238,BI235)</f>
        <v>0</v>
      </c>
      <c r="BK309" s="3">
        <f>SUM(BG309:BJ309)</f>
        <v>0</v>
      </c>
      <c r="BL309" s="3">
        <f>SUM(BL212:BL214,BL217,BL238,BL235)-SUM(BK212:BK214,BK217,BK238,BK235)</f>
        <v>0</v>
      </c>
      <c r="BM309" s="3">
        <f>SUM(BM212:BM214,BM217,BM238,BM235)-SUM(BL212:BL214,BL217,BL238,BL235)</f>
        <v>0</v>
      </c>
      <c r="BN309" s="3">
        <f>SUM(BN212:BN214,BN217,BN238,BN235)-SUM(BM212:BM214,BM217,BM238,BM235)</f>
        <v>0</v>
      </c>
      <c r="BO309" s="3">
        <f>SUM(BO212:BO214,BO217,BO238,BO235)-SUM(BN212:BN214,BN217,BN238,BN235)</f>
        <v>0</v>
      </c>
      <c r="BP309" s="3">
        <f>SUM(BL309:BO309)</f>
        <v>0</v>
      </c>
      <c r="BQ309" s="3">
        <f>SUM(BQ212:BQ214,BQ217,BQ238,BQ235)-SUM(BP212:BP214,BP217,BP238,BP235)</f>
        <v>0</v>
      </c>
      <c r="BR309" s="3">
        <f>SUM(BR212:BR214,BR217,BR238,BR235)-SUM(BQ212:BQ214,BQ217,BQ238,BQ235)</f>
        <v>0</v>
      </c>
      <c r="BS309" s="3">
        <f>SUM(BS212:BS214,BS217,BS238,BS235)-SUM(BR212:BR214,BR217,BR238,BR235)</f>
        <v>0</v>
      </c>
      <c r="BT309" s="3">
        <f>SUM(BT212:BT214,BT217,BT238,BT235)-SUM(BS212:BS214,BS217,BS238,BS235)</f>
        <v>0</v>
      </c>
      <c r="BU309" s="3">
        <f>SUM(BQ309:BT309)</f>
        <v>0</v>
      </c>
      <c r="BV309" s="3">
        <f>SUM(BV212:BV214,BV217,BV238,BV235)-SUM(BU212:BU214,BU217,BU238,BU235)</f>
        <v>0</v>
      </c>
      <c r="BW309" s="3">
        <f>SUM(BW212:BW214,BW217,BW238,BW235)-SUM(BV212:BV214,BV217,BV238,BV235)</f>
        <v>0</v>
      </c>
      <c r="BX309" s="3">
        <f>SUM(BX212:BX214,BX217,BX238,BX235)-SUM(BW212:BW214,BW217,BW238,BW235)</f>
        <v>0</v>
      </c>
      <c r="BY309" s="3">
        <f>SUM(BY212:BY214,BY217,BY238,BY235)-SUM(BX212:BX214,BX217,BX238,BX235)</f>
        <v>0</v>
      </c>
      <c r="BZ309" s="3">
        <f>SUM(BV309:BY309)</f>
        <v>0</v>
      </c>
      <c r="CA309" s="3">
        <f>SUM(CA212:CA214,CA217,CA238,CA235)-SUM(BZ212:BZ214,BZ217,BZ238,BZ235)</f>
        <v>0</v>
      </c>
      <c r="CB309" s="3">
        <f>SUM(CB212:CB214,CB217,CB238,CB235)-SUM(CA212:CA214,CA217,CA238,CA235)</f>
        <v>0</v>
      </c>
      <c r="CC309" s="3">
        <f>SUM(CC212:CC214,CC217,CC238,CC235)-SUM(CB212:CB214,CB217,CB238,CB235)</f>
        <v>0</v>
      </c>
      <c r="CD309" s="3">
        <f>SUM(CD212:CD214,CD217,CD238,CD235)-SUM(CC212:CC214,CC217,CC238,CC235)</f>
        <v>0</v>
      </c>
      <c r="CE309" s="3">
        <f>SUM(CA309:CD309)</f>
        <v>0</v>
      </c>
      <c r="CF309" s="3">
        <f>SUM(CF212:CF214,CF217,CF238,CF235)-SUM(CE212:CE214,CE217,CE238,CE235)</f>
        <v>0</v>
      </c>
      <c r="CG309" s="3">
        <f>SUM(CG212:CG214,CG217,CG238,CG235)-SUM(CF212:CF214,CF217,CF238,CF235)</f>
        <v>0</v>
      </c>
      <c r="CH309" s="3">
        <f>SUM(CH212:CH214,CH217,CH238,CH235)-SUM(CG212:CG214,CG217,CG238,CG235)</f>
        <v>0</v>
      </c>
      <c r="CI309" s="3">
        <f>SUM(CI212:CI214,CI217,CI238,CI235)-SUM(CH212:CH214,CH217,CH238,CH235)</f>
        <v>0</v>
      </c>
      <c r="CJ309" s="3">
        <f>SUM(CF309:CI309)</f>
        <v>0</v>
      </c>
      <c r="CK309" s="3">
        <f>SUM(CK212:CK214,CK217,CK238,CK235)-SUM(CJ212:CJ214,CJ217,CJ238,CJ235)</f>
        <v>0</v>
      </c>
      <c r="CL309" s="3">
        <f>SUM(CL212:CL214,CL217,CL238,CL235)-SUM(CK212:CK214,CK217,CK238,CK235)</f>
        <v>0</v>
      </c>
      <c r="CM309" s="3">
        <f>SUM(CM212:CM214,CM217,CM238,CM235)-SUM(CL212:CL214,CL217,CL238,CL235)</f>
        <v>0</v>
      </c>
      <c r="CN309" s="3">
        <f>SUM(CN212:CN214,CN217,CN238,CN235)-SUM(CM212:CM214,CM217,CM238,CM235)</f>
        <v>0</v>
      </c>
      <c r="CO309" s="3">
        <f>SUM(CK309:CN309)</f>
        <v>0</v>
      </c>
      <c r="CP309" s="3">
        <f>SUM(CP212:CP214,CP217,CP238,CP235)-SUM(CO212:CO214,CO217,CO238,CO235)</f>
        <v>0</v>
      </c>
      <c r="CQ309" s="3">
        <f>SUM(CQ212:CQ214,CQ217,CQ238,CQ235)-SUM(CP212:CP214,CP217,CP238,CP235)</f>
        <v>0</v>
      </c>
      <c r="CR309" s="3">
        <f>SUM(CR212:CR214,CR217,CR238,CR235)-SUM(CQ212:CQ214,CQ217,CQ238,CQ235)</f>
        <v>0</v>
      </c>
      <c r="CS309" s="3">
        <f>SUM(CS212:CS214,CS217,CS238,CS235)-SUM(CR212:CR214,CR217,CR238,CR235)</f>
        <v>0</v>
      </c>
      <c r="CT309" s="3">
        <f>SUM(CP309:CS309)</f>
        <v>0</v>
      </c>
      <c r="CU309" s="3">
        <f>SUM(CU212:CU214,CU217,CU238,CU235)-SUM(CT212:CT214,CT217,CT238,CT235)</f>
        <v>0</v>
      </c>
      <c r="CV309" s="3">
        <f>SUM(CV212:CV214,CV217,CV238,CV235)-SUM(CU212:CU214,CU217,CU238,CU235)</f>
        <v>0</v>
      </c>
      <c r="CW309" s="3">
        <f>SUM(CW212:CW214,CW217,CW238,CW235)-SUM(CV212:CV214,CV217,CV238,CV235)</f>
        <v>0</v>
      </c>
      <c r="CX309" s="3">
        <f>SUM(CX212:CX214,CX217,CX238,CX235)-SUM(CW212:CW214,CW217,CW238,CW235)</f>
        <v>0</v>
      </c>
      <c r="CY309" s="3">
        <f>SUM(CU309:CX309)</f>
        <v>0</v>
      </c>
      <c r="CZ309" s="3" t="n"/>
      <c r="DA309" s="3" t="n"/>
      <c r="DB309" s="3" t="n"/>
      <c r="DC309" s="3" t="n"/>
    </row>
    <row r="310">
      <c r="C310" s="26" t="inlineStr">
        <is>
          <t>Cash from financing</t>
        </is>
      </c>
      <c r="D310" s="3" t="n"/>
      <c r="E310" s="3">
        <f>SUM(E302,E303,E304,E305,E306,E307,E308,E309)</f>
        <v>29.365</v>
      </c>
      <c r="F310" s="3">
        <f>SUM(F302,F303,F304,F305,F306,F307,F308,F309)</f>
        <v>0.558000000000014</v>
      </c>
      <c r="G310" s="3">
        <f>SUM(G302,G303,G304,G305,G306,G307,G308,G309)</f>
        <v>5.04199999999997</v>
      </c>
      <c r="H310" s="3">
        <f>SUM(H302,H303,H304,H305,H306,H307,H308,H309)</f>
        <v>34.965</v>
      </c>
      <c r="I310" s="3">
        <f>SUM(I302,I303,I304,I305,I306,I307,I308,I309)</f>
        <v>364.434</v>
      </c>
      <c r="J310" s="3">
        <f>SUM(J302,J303,J304,J305,J306,J307,J308,J309)</f>
        <v>-58.943</v>
      </c>
      <c r="K310" s="3">
        <f>SUM(K302,K303,K304,K305,K306,K307,K308,K309)</f>
        <v>-12.5970000000001</v>
      </c>
      <c r="L310" s="3">
        <f>SUM(L302,L303,L304,L305,L306,L307,L308,L309)</f>
        <v>289.158</v>
      </c>
      <c r="M310" s="3">
        <f>SUM(M302,M303,M304,M305,M306,M307,M308,M309)</f>
        <v>582.052</v>
      </c>
      <c r="N310" s="3">
        <f>SUM(N302,N303,N304,N305,N306,N307,N308,N309)</f>
        <v>11.326</v>
      </c>
      <c r="O310" s="3">
        <f>SUM(O302,O303,O304,O305,O306,O307,O308,O309)</f>
        <v>146.261</v>
      </c>
      <c r="P310" s="3">
        <f>SUM(P302,P303,P304,P305,P306,P307,P308,P309)</f>
        <v>43.284</v>
      </c>
      <c r="Q310" s="3">
        <f>SUM(Q302,Q303,Q304,Q305,Q306,Q307,Q308,Q309)</f>
        <v>648.579</v>
      </c>
      <c r="R310" s="3">
        <f>SUM(R302,R303,R304,R305,R306,R307,R308,R309)</f>
        <v>849.45</v>
      </c>
      <c r="S310" s="3">
        <f>SUM(S302,S303,S304,S305,S306,S307,S308,S309)</f>
        <v>40.257</v>
      </c>
      <c r="T310" s="3">
        <f>SUM(T302,T303,T304,T305,T306,T307,T308,T309)</f>
        <v>80.758</v>
      </c>
      <c r="U310" s="3">
        <f>SUM(U302,U303,U304,U305,U306,U307,U308,U309)</f>
        <v>128.65</v>
      </c>
      <c r="V310" s="3">
        <f>SUM(V302,V303,V304,V305,V306,V307,V308,V309)</f>
        <v>-30.096</v>
      </c>
      <c r="W310" s="3">
        <f>SUM(W302,W303,W304,W305,W306,W307,W308,W309)</f>
        <v>219.569</v>
      </c>
      <c r="X310" s="3">
        <f>SUM(X302,X303,X304,X305,X306,X307,X308,X309)</f>
        <v>23.905</v>
      </c>
      <c r="Y310" s="3">
        <f>SUM(Y302,Y303,Y304,Y305,Y306,Y307,Y308,Y309)</f>
        <v>148.165</v>
      </c>
      <c r="Z310" s="3">
        <f>SUM(Z302,Z303,Z304,Z305,Z306,Z307,Z308,Z309)</f>
        <v>691.696</v>
      </c>
      <c r="AA310" s="3">
        <f>SUM(AA302,AA303,AA304,AA305,AA306,AA307,AA308,AA309)</f>
        <v>-11.7400000000002</v>
      </c>
      <c r="AB310" s="3">
        <f>SUM(AB302,AB303,AB304,AB305,AB306,AB307,AB308,AB309)</f>
        <v>852.026</v>
      </c>
      <c r="AC310" s="3">
        <f>SUM(AC302,AC303,AC304,AC305,AC306,AC307,AC308,AC309)</f>
        <v>63.1949999999999</v>
      </c>
      <c r="AD310" s="3">
        <f>SUM(AD302,AD303,AD304,AD305,AD306,AD307,AD308,AD309)</f>
        <v>559.546</v>
      </c>
      <c r="AE310" s="3">
        <f>SUM(AE302,AE303,AE304,AE305,AE306,AE307,AE308,AE309)</f>
        <v>194.63</v>
      </c>
      <c r="AF310" s="3">
        <f>SUM(AF302,AF303,AF304,AF305,AF306,AF307,AF308,AF309)</f>
        <v>37.9230000000006</v>
      </c>
      <c r="AG310" s="3">
        <f>SUM(AG302,AG303,AG304,AG305,AG306,AG307,AG308,AG309)</f>
        <v>855.294</v>
      </c>
      <c r="AH310" s="3">
        <f>SUM(AH302,AH303,AH304,AH305,AH306,AH307,AH308,AH309)</f>
        <v>105.767</v>
      </c>
      <c r="AI310" s="3">
        <f>SUM(AI302,AI303,AI304,AI305,AI306,AI307,AI308,AI309)</f>
        <v>5222.788</v>
      </c>
      <c r="AJ310" s="3">
        <f>SUM(AJ302,AJ303,AJ304,AJ305,AJ306,AJ307,AJ308,AJ309)</f>
        <v>-2.66453525910038e-14</v>
      </c>
      <c r="AK310" s="3">
        <f>SUM(AK302,AK303,AK304,AK305,AK306,AK307,AK308,AK309)</f>
        <v>-2.48689957516035e-14</v>
      </c>
      <c r="AL310" s="3">
        <f>SUM(AL302,AL303,AL304,AL305,AL306,AL307,AL308,AL309)</f>
        <v>5328.555</v>
      </c>
      <c r="AM310" s="3">
        <f>SUM(AM302,AM303,AM304,AM305,AM306,AM307,AM308,AM309)</f>
        <v>2.22044604925031e-14</v>
      </c>
      <c r="AN310" s="3">
        <f>SUM(AN302,AN303,AN304,AN305,AN306,AN307,AN308,AN309)</f>
        <v>0</v>
      </c>
      <c r="AO310" s="3">
        <f>SUM(AO302,AO303,AO304,AO305,AO306,AO307,AO308,AO309)</f>
        <v>-2.66453525910038e-14</v>
      </c>
      <c r="AP310" s="3">
        <f>SUM(AP302,AP303,AP304,AP305,AP306,AP307,AP308,AP309)</f>
        <v>-2.48689957516035e-14</v>
      </c>
      <c r="AQ310" s="3">
        <f>SUM(AQ302,AQ303,AQ304,AQ305,AQ306,AQ307,AQ308,AQ309)</f>
        <v>-2.93098878501041e-14</v>
      </c>
      <c r="AR310" s="3">
        <f>SUM(AR302,AR303,AR304,AR305,AR306,AR307,AR308,AR309)</f>
        <v>2.22044604925031e-14</v>
      </c>
      <c r="AS310" s="3">
        <f>SUM(AS302,AS303,AS304,AS305,AS306,AS307,AS308,AS309)</f>
        <v>0</v>
      </c>
      <c r="AT310" s="3">
        <f>SUM(AT302,AT303,AT304,AT305,AT306,AT307,AT308,AT309)</f>
        <v>-2.66453525910038e-14</v>
      </c>
      <c r="AU310" s="3">
        <f>SUM(AU302,AU303,AU304,AU305,AU306,AU307,AU308,AU309)</f>
        <v>-2.48689957516035e-14</v>
      </c>
      <c r="AV310" s="3">
        <f>SUM(AV302,AV303,AV304,AV305,AV306,AV307,AV308,AV309)</f>
        <v>-2.93098878501041e-14</v>
      </c>
      <c r="AW310" s="3">
        <f>SUM(AW302,AW303,AW304,AW305,AW306,AW307,AW308,AW309)</f>
        <v>2.22044604925031e-14</v>
      </c>
      <c r="AX310" s="3">
        <f>SUM(AX302,AX303,AX304,AX305,AX306,AX307,AX308,AX309)</f>
        <v>0</v>
      </c>
      <c r="AY310" s="3">
        <f>SUM(AY302,AY303,AY304,AY305,AY306,AY307,AY308,AY309)</f>
        <v>-2.66453525910038e-14</v>
      </c>
      <c r="AZ310" s="3">
        <f>SUM(AZ302,AZ303,AZ304,AZ305,AZ306,AZ307,AZ308,AZ309)</f>
        <v>-2.48689957516035e-14</v>
      </c>
      <c r="BA310" s="3">
        <f>SUM(BA302,BA303,BA304,BA305,BA306,BA307,BA308,BA309)</f>
        <v>-2.93098878501041e-14</v>
      </c>
      <c r="BB310" s="3">
        <f>SUM(BB302,BB303,BB304,BB305,BB306,BB307,BB308,BB309)</f>
        <v>2.22044604925031e-14</v>
      </c>
      <c r="BC310" s="3">
        <f>SUM(BC302,BC303,BC304,BC305,BC306,BC307,BC308,BC309)</f>
        <v>0</v>
      </c>
      <c r="BD310" s="3">
        <f>SUM(BD302,BD303,BD304,BD305,BD306,BD307,BD308,BD309)</f>
        <v>-2.66453525910038e-14</v>
      </c>
      <c r="BE310" s="3">
        <f>SUM(BE302,BE303,BE304,BE305,BE306,BE307,BE308,BE309)</f>
        <v>3.19744231092045e-14</v>
      </c>
      <c r="BF310" s="3">
        <f>SUM(BF302,BF303,BF304,BF305,BF306,BF307,BF308,BF309)</f>
        <v>2.75335310107039e-14</v>
      </c>
      <c r="BG310" s="3">
        <f>SUM(BG302,BG303,BG304,BG305,BG306,BG307,BG308,BG309)</f>
        <v>-3.46389583683049e-14</v>
      </c>
      <c r="BH310" s="3">
        <f>SUM(BH302,BH303,BH304,BH305,BH306,BH307,BH308,BH309)</f>
        <v>0</v>
      </c>
      <c r="BI310" s="3">
        <f>SUM(BI302,BI303,BI304,BI305,BI306,BI307,BI308,BI309)</f>
        <v>-2.66453525910038e-14</v>
      </c>
      <c r="BJ310" s="3">
        <f>SUM(BJ302,BJ303,BJ304,BJ305,BJ306,BJ307,BJ308,BJ309)</f>
        <v>3.19744231092045e-14</v>
      </c>
      <c r="BK310" s="3">
        <f>SUM(BK302,BK303,BK304,BK305,BK306,BK307,BK308,BK309)</f>
        <v>-2.93098878501041e-14</v>
      </c>
      <c r="BL310" s="3">
        <f>SUM(BL302,BL303,BL304,BL305,BL306,BL307,BL308,BL309)</f>
        <v>-3.46389583683049e-14</v>
      </c>
      <c r="BM310" s="3">
        <f>SUM(BM302,BM303,BM304,BM305,BM306,BM307,BM308,BM309)</f>
        <v>0</v>
      </c>
      <c r="BN310" s="3">
        <f>SUM(BN302,BN303,BN304,BN305,BN306,BN307,BN308,BN309)</f>
        <v>-2.66453525910038e-14</v>
      </c>
      <c r="BO310" s="3">
        <f>SUM(BO302,BO303,BO304,BO305,BO306,BO307,BO308,BO309)</f>
        <v>3.19744231092045e-14</v>
      </c>
      <c r="BP310" s="3">
        <f>SUM(BP302,BP303,BP304,BP305,BP306,BP307,BP308,BP309)</f>
        <v>-2.93098878501041e-14</v>
      </c>
      <c r="BQ310" s="3">
        <f>SUM(BQ302,BQ303,BQ304,BQ305,BQ306,BQ307,BQ308,BQ309)</f>
        <v>-3.46389583683049e-14</v>
      </c>
      <c r="BR310" s="3">
        <f>SUM(BR302,BR303,BR304,BR305,BR306,BR307,BR308,BR309)</f>
        <v>0</v>
      </c>
      <c r="BS310" s="3">
        <f>SUM(BS302,BS303,BS304,BS305,BS306,BS307,BS308,BS309)</f>
        <v>-2.66453525910038e-14</v>
      </c>
      <c r="BT310" s="3">
        <f>SUM(BT302,BT303,BT304,BT305,BT306,BT307,BT308,BT309)</f>
        <v>3.19744231092045e-14</v>
      </c>
      <c r="BU310" s="3">
        <f>SUM(BU302,BU303,BU304,BU305,BU306,BU307,BU308,BU309)</f>
        <v>-2.93098878501041e-14</v>
      </c>
      <c r="BV310" s="3">
        <f>SUM(BV302,BV303,BV304,BV305,BV306,BV307,BV308,BV309)</f>
        <v>-3.46389583683049e-14</v>
      </c>
      <c r="BW310" s="3">
        <f>SUM(BW302,BW303,BW304,BW305,BW306,BW307,BW308,BW309)</f>
        <v>0</v>
      </c>
      <c r="BX310" s="3">
        <f>SUM(BX302,BX303,BX304,BX305,BX306,BX307,BX308,BX309)</f>
        <v>-2.66453525910038e-14</v>
      </c>
      <c r="BY310" s="3">
        <f>SUM(BY302,BY303,BY304,BY305,BY306,BY307,BY308,BY309)</f>
        <v>3.19744231092045e-14</v>
      </c>
      <c r="BZ310" s="3">
        <f>SUM(BZ302,BZ303,BZ304,BZ305,BZ306,BZ307,BZ308,BZ309)</f>
        <v>-2.93098878501041e-14</v>
      </c>
      <c r="CA310" s="3">
        <f>SUM(CA302,CA303,CA304,CA305,CA306,CA307,CA308,CA309)</f>
        <v>-3.46389583683049e-14</v>
      </c>
      <c r="CB310" s="3">
        <f>SUM(CB302,CB303,CB304,CB305,CB306,CB307,CB308,CB309)</f>
        <v>0</v>
      </c>
      <c r="CC310" s="3">
        <f>SUM(CC302,CC303,CC304,CC305,CC306,CC307,CC308,CC309)</f>
        <v>-2.66453525910038e-14</v>
      </c>
      <c r="CD310" s="3">
        <f>SUM(CD302,CD303,CD304,CD305,CD306,CD307,CD308,CD309)</f>
        <v>3.19744231092045e-14</v>
      </c>
      <c r="CE310" s="3">
        <f>SUM(CE302,CE303,CE304,CE305,CE306,CE307,CE308,CE309)</f>
        <v>-2.93098878501041e-14</v>
      </c>
      <c r="CF310" s="3">
        <f>SUM(CF302,CF303,CF304,CF305,CF306,CF307,CF308,CF309)</f>
        <v>-3.46389583683049e-14</v>
      </c>
      <c r="CG310" s="3">
        <f>SUM(CG302,CG303,CG304,CG305,CG306,CG307,CG308,CG309)</f>
        <v>0</v>
      </c>
      <c r="CH310" s="3">
        <f>SUM(CH302,CH303,CH304,CH305,CH306,CH307,CH308,CH309)</f>
        <v>-2.66453525910038e-14</v>
      </c>
      <c r="CI310" s="3">
        <f>SUM(CI302,CI303,CI304,CI305,CI306,CI307,CI308,CI309)</f>
        <v>3.19744231092045e-14</v>
      </c>
      <c r="CJ310" s="3">
        <f>SUM(CJ302,CJ303,CJ304,CJ305,CJ306,CJ307,CJ308,CJ309)</f>
        <v>-2.93098878501041e-14</v>
      </c>
      <c r="CK310" s="3">
        <f>SUM(CK302,CK303,CK304,CK305,CK306,CK307,CK308,CK309)</f>
        <v>-3.46389583683049e-14</v>
      </c>
      <c r="CL310" s="3">
        <f>SUM(CL302,CL303,CL304,CL305,CL306,CL307,CL308,CL309)</f>
        <v>0</v>
      </c>
      <c r="CM310" s="3">
        <f>SUM(CM302,CM303,CM304,CM305,CM306,CM307,CM308,CM309)</f>
        <v>-2.66453525910038e-14</v>
      </c>
      <c r="CN310" s="3">
        <f>SUM(CN302,CN303,CN304,CN305,CN306,CN307,CN308,CN309)</f>
        <v>3.19744231092045e-14</v>
      </c>
      <c r="CO310" s="3">
        <f>SUM(CO302,CO303,CO304,CO305,CO306,CO307,CO308,CO309)</f>
        <v>-2.93098878501041e-14</v>
      </c>
      <c r="CP310" s="3">
        <f>SUM(CP302,CP303,CP304,CP305,CP306,CP307,CP308,CP309)</f>
        <v>-3.46389583683049e-14</v>
      </c>
      <c r="CQ310" s="3">
        <f>SUM(CQ302,CQ303,CQ304,CQ305,CQ306,CQ307,CQ308,CQ309)</f>
        <v>0</v>
      </c>
      <c r="CR310" s="3">
        <f>SUM(CR302,CR303,CR304,CR305,CR306,CR307,CR308,CR309)</f>
        <v>-2.66453525910038e-14</v>
      </c>
      <c r="CS310" s="3">
        <f>SUM(CS302,CS303,CS304,CS305,CS306,CS307,CS308,CS309)</f>
        <v>3.19744231092045e-14</v>
      </c>
      <c r="CT310" s="3">
        <f>SUM(CT302,CT303,CT304,CT305,CT306,CT307,CT308,CT309)</f>
        <v>-2.93098878501041e-14</v>
      </c>
      <c r="CU310" s="3">
        <f>SUM(CU302,CU303,CU304,CU305,CU306,CU307,CU308,CU309)</f>
        <v>-3.46389583683049e-14</v>
      </c>
      <c r="CV310" s="3">
        <f>SUM(CV302,CV303,CV304,CV305,CV306,CV307,CV308,CV309)</f>
        <v>0</v>
      </c>
      <c r="CW310" s="3">
        <f>SUM(CW302,CW303,CW304,CW305,CW306,CW307,CW308,CW309)</f>
        <v>-2.66453525910038e-14</v>
      </c>
      <c r="CX310" s="3">
        <f>SUM(CX302,CX303,CX304,CX305,CX306,CX307,CX308,CX309)</f>
        <v>3.19744231092045e-14</v>
      </c>
      <c r="CY310" s="3">
        <f>SUM(CY302,CY303,CY304,CY305,CY306,CY307,CY308,CY309)</f>
        <v>-2.93098878501041e-14</v>
      </c>
    </row>
    <row r="311">
      <c r="C311" s="26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  <c r="CG311" s="3" t="n"/>
      <c r="CH311" s="3" t="n"/>
      <c r="CI311" s="3" t="n"/>
      <c r="CJ311" s="3" t="n"/>
      <c r="CK311" s="3" t="n"/>
      <c r="CL311" s="3" t="n"/>
      <c r="CM311" s="3" t="n"/>
      <c r="CN311" s="3" t="n"/>
      <c r="CO311" s="3" t="n"/>
      <c r="CP311" s="3" t="n"/>
      <c r="CQ311" s="3" t="n"/>
      <c r="CR311" s="3" t="n"/>
      <c r="CS311" s="3" t="n"/>
      <c r="CT311" s="3" t="n"/>
      <c r="CU311" s="3" t="n"/>
      <c r="CV311" s="3" t="n"/>
      <c r="CW311" s="3" t="n"/>
      <c r="CX311" s="3" t="n"/>
      <c r="CY311" s="3" t="n"/>
    </row>
    <row r="312">
      <c r="C312" s="26" t="inlineStr">
        <is>
          <t>Others</t>
        </is>
      </c>
      <c r="D312" s="3" t="n"/>
      <c r="E312" s="3" t="n"/>
      <c r="F312" s="3" t="n"/>
      <c r="G312" s="3" t="n"/>
      <c r="H312" s="3">
        <f>SUM(D312:G312)</f>
        <v>0</v>
      </c>
      <c r="I312" s="3" t="n"/>
      <c r="J312" s="3" t="n"/>
      <c r="K312" s="3" t="n"/>
      <c r="L312" s="3" t="n"/>
      <c r="M312" s="3">
        <f>SUM(I312:L312)</f>
        <v>0</v>
      </c>
      <c r="N312" s="3" t="n"/>
      <c r="O312" s="3" t="n"/>
      <c r="P312" s="3" t="n"/>
      <c r="Q312" s="3" t="n"/>
      <c r="R312" s="3">
        <f>SUM(N312:Q312)</f>
        <v>0</v>
      </c>
      <c r="S312" s="3" t="n"/>
      <c r="T312" s="3" t="n"/>
      <c r="U312" s="3" t="n"/>
      <c r="V312" s="3" t="n"/>
      <c r="W312" s="3">
        <f>SUM(S312:V312)</f>
        <v>0</v>
      </c>
      <c r="X312" s="3" t="n"/>
      <c r="Y312" s="3" t="n"/>
      <c r="Z312" s="3" t="n"/>
      <c r="AA312" s="3" t="n"/>
      <c r="AB312" s="3">
        <f>SUM(X312:AA312)</f>
        <v>0</v>
      </c>
      <c r="AC312" s="3" t="n"/>
      <c r="AD312" s="3" t="n"/>
      <c r="AE312" s="3" t="n"/>
      <c r="AF312" s="3" t="n"/>
      <c r="AG312" s="3">
        <f>SUM(AC312:AF312)</f>
        <v>0</v>
      </c>
      <c r="AH312" s="3" t="n"/>
      <c r="AI312" s="3" t="n"/>
      <c r="AJ312" s="3" t="n"/>
      <c r="AK312" s="3" t="n"/>
      <c r="AL312" s="3">
        <f>SUM(AH312:AK312)</f>
        <v>0</v>
      </c>
      <c r="AM312" s="3" t="n"/>
      <c r="AN312" s="3" t="n"/>
      <c r="AO312" s="3" t="n"/>
      <c r="AP312" s="3" t="n"/>
      <c r="AQ312" s="3">
        <f>SUM(AM312:AP312)</f>
        <v>0</v>
      </c>
      <c r="AR312" s="3" t="n"/>
      <c r="AS312" s="3" t="n"/>
      <c r="AT312" s="3" t="n"/>
      <c r="AU312" s="3" t="n"/>
      <c r="AV312" s="3">
        <f>SUM(AR312:AU312)</f>
        <v>0</v>
      </c>
      <c r="AW312" s="3" t="n"/>
      <c r="AX312" s="3" t="n"/>
      <c r="AY312" s="3" t="n"/>
      <c r="AZ312" s="3" t="n"/>
      <c r="BA312" s="3">
        <f>SUM(AW312:AZ312)</f>
        <v>0</v>
      </c>
      <c r="BB312" s="3" t="n"/>
      <c r="BC312" s="3" t="n"/>
      <c r="BD312" s="3" t="n"/>
      <c r="BE312" s="3" t="n"/>
      <c r="BF312" s="3">
        <f>SUM(BB312:BE312)</f>
        <v>0</v>
      </c>
      <c r="BG312" s="3" t="n"/>
      <c r="BH312" s="3" t="n"/>
      <c r="BI312" s="3" t="n"/>
      <c r="BJ312" s="3" t="n"/>
      <c r="BK312" s="3">
        <f>SUM(BG312:BJ312)</f>
        <v>0</v>
      </c>
      <c r="BL312" s="3" t="n"/>
      <c r="BM312" s="3" t="n"/>
      <c r="BN312" s="3" t="n"/>
      <c r="BO312" s="3" t="n"/>
      <c r="BP312" s="3">
        <f>SUM(BL312:BO312)</f>
        <v>0</v>
      </c>
      <c r="BQ312" s="3" t="n"/>
      <c r="BR312" s="3" t="n"/>
      <c r="BS312" s="3" t="n"/>
      <c r="BT312" s="3" t="n"/>
      <c r="BU312" s="3">
        <f>SUM(BQ312:BT312)</f>
        <v>0</v>
      </c>
      <c r="BV312" s="3" t="n"/>
      <c r="BW312" s="3" t="n"/>
      <c r="BX312" s="3" t="n"/>
      <c r="BY312" s="3" t="n"/>
      <c r="BZ312" s="3">
        <f>SUM(BV312:BY312)</f>
        <v>0</v>
      </c>
      <c r="CA312" s="3" t="n"/>
      <c r="CB312" s="3" t="n"/>
      <c r="CC312" s="3" t="n"/>
      <c r="CD312" s="3" t="n"/>
      <c r="CE312" s="3">
        <f>SUM(CA312:CD312)</f>
        <v>0</v>
      </c>
      <c r="CF312" s="3" t="n"/>
      <c r="CG312" s="3" t="n"/>
      <c r="CH312" s="3" t="n"/>
      <c r="CI312" s="3" t="n"/>
      <c r="CJ312" s="3">
        <f>SUM(CF312:CI312)</f>
        <v>0</v>
      </c>
      <c r="CK312" s="3" t="n"/>
      <c r="CL312" s="3" t="n"/>
      <c r="CM312" s="3" t="n"/>
      <c r="CN312" s="3" t="n"/>
      <c r="CO312" s="3">
        <f>SUM(CK312:CN312)</f>
        <v>0</v>
      </c>
      <c r="CP312" s="3" t="n"/>
      <c r="CQ312" s="3" t="n"/>
      <c r="CR312" s="3" t="n"/>
      <c r="CS312" s="3" t="n"/>
      <c r="CT312" s="3">
        <f>SUM(CP312:CS312)</f>
        <v>0</v>
      </c>
      <c r="CU312" s="3" t="n"/>
      <c r="CV312" s="3" t="n"/>
      <c r="CW312" s="3" t="n"/>
      <c r="CX312" s="3" t="n"/>
      <c r="CY312" s="3">
        <f>SUM(CU312:CX312)</f>
        <v>0</v>
      </c>
    </row>
    <row r="313">
      <c r="C313" s="26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  <c r="CG313" s="3" t="n"/>
      <c r="CH313" s="3" t="n"/>
      <c r="CI313" s="3" t="n"/>
      <c r="CJ313" s="3" t="n"/>
      <c r="CK313" s="3" t="n"/>
      <c r="CL313" s="3" t="n"/>
      <c r="CM313" s="3" t="n"/>
      <c r="CN313" s="3" t="n"/>
      <c r="CO313" s="3" t="n"/>
      <c r="CP313" s="3" t="n"/>
      <c r="CQ313" s="3" t="n"/>
      <c r="CR313" s="3" t="n"/>
      <c r="CS313" s="3" t="n"/>
      <c r="CT313" s="3" t="n"/>
      <c r="CU313" s="3" t="n"/>
      <c r="CV313" s="3" t="n"/>
      <c r="CW313" s="3" t="n"/>
      <c r="CX313" s="3" t="n"/>
      <c r="CY313" s="3" t="n"/>
    </row>
    <row r="314">
      <c r="C314" s="26" t="inlineStr">
        <is>
          <t>Total increase/decrease of cash</t>
        </is>
      </c>
      <c r="D314" s="3" t="n"/>
      <c r="E314" s="3">
        <f>SUM(E293,E300,E310,E312)</f>
        <v>-3.53499999999999</v>
      </c>
      <c r="F314" s="3">
        <f>SUM(F293,F300,F310,F312)</f>
        <v>2.37899999999998</v>
      </c>
      <c r="G314" s="3">
        <f>SUM(G293,G300,G310,G312)</f>
        <v>-0.371999999999986</v>
      </c>
      <c r="H314" s="3">
        <f>SUM(D314:G314)</f>
        <v>-1.52799999999999</v>
      </c>
      <c r="I314" s="3">
        <f>SUM(I293,I300,I310,I312)</f>
        <v>334.995</v>
      </c>
      <c r="J314" s="3">
        <f>SUM(J293,J300,J310,J312)</f>
        <v>-85.934</v>
      </c>
      <c r="K314" s="3">
        <f>SUM(K293,K300,K310,K312)</f>
        <v>-54.876</v>
      </c>
      <c r="L314" s="3">
        <f>SUM(L293,L300,L310,L312)</f>
        <v>190.635</v>
      </c>
      <c r="M314" s="3">
        <f>SUM(I314:L314)</f>
        <v>384.82</v>
      </c>
      <c r="N314" s="3">
        <f>SUM(N293,N300,N310,N312)</f>
        <v>-126.49</v>
      </c>
      <c r="O314" s="3">
        <f>SUM(O293,O300,O310,O312)</f>
        <v>-213.039</v>
      </c>
      <c r="P314" s="3">
        <f>SUM(P293,P300,P310,P312)</f>
        <v>-14.9390000000001</v>
      </c>
      <c r="Q314" s="3">
        <f>SUM(Q293,Q300,Q310,Q312)</f>
        <v>193.89</v>
      </c>
      <c r="R314" s="3">
        <f>SUM(N314:Q314)</f>
        <v>-160.578</v>
      </c>
      <c r="S314" s="3">
        <f>SUM(S293,S300,S310,S312)</f>
        <v>-47.8699999999999</v>
      </c>
      <c r="T314" s="3">
        <f>SUM(T293,T300,T310,T312)</f>
        <v>24.8059999999999</v>
      </c>
      <c r="U314" s="3">
        <f>SUM(U293,U300,U310,U312)</f>
        <v>45.6260000000001</v>
      </c>
      <c r="V314" s="3">
        <f>SUM(V293,V300,V310,V312)</f>
        <v>59.675</v>
      </c>
      <c r="W314" s="3">
        <f>SUM(S314:V314)</f>
        <v>82.2370000000001</v>
      </c>
      <c r="X314" s="3">
        <f>SUM(X293,X300,X310,X312)</f>
        <v>-50.1019999999999</v>
      </c>
      <c r="Y314" s="3">
        <f>SUM(Y293,Y300,Y310,Y312)</f>
        <v>36.6549999999998</v>
      </c>
      <c r="Z314" s="3">
        <f>SUM(Z293,Z300,Z310,Z312)</f>
        <v>484.592</v>
      </c>
      <c r="AA314" s="3">
        <f>SUM(AA293,AA300,AA310,AA312)</f>
        <v>-192.356</v>
      </c>
      <c r="AB314" s="3">
        <f>SUM(X314:AA314)</f>
        <v>278.789</v>
      </c>
      <c r="AC314" s="3">
        <f>SUM(AC293,AC300,AC310,AC312)</f>
        <v>-52.1860000000001</v>
      </c>
      <c r="AD314" s="3">
        <f>SUM(AD293,AD300,AD310,AD312)</f>
        <v>463.273</v>
      </c>
      <c r="AE314" s="3">
        <f>SUM(AE293,AE300,AE310,AE312)</f>
        <v>45.9459999999998</v>
      </c>
      <c r="AF314" s="3">
        <f>SUM(AF293,AF300,AF310,AF312)</f>
        <v>-136.486999999999</v>
      </c>
      <c r="AG314" s="3">
        <f>SUM(AC314:AF314)</f>
        <v>320.546</v>
      </c>
      <c r="AH314" s="3">
        <f>SUM(AH293,AH300,AH310,AH312)</f>
        <v>-52.2550000000001</v>
      </c>
      <c r="AI314" s="3">
        <f>SUM(AI293,AI300,AI310,AI312)</f>
        <v>674.189000000001</v>
      </c>
      <c r="AJ314" s="3">
        <f>SUM(AJ293,AJ300,AJ310,AJ312)</f>
        <v>3984.433</v>
      </c>
      <c r="AK314" s="3">
        <f>SUM(AK293,AK300,AK310,AK312)</f>
        <v>35.17</v>
      </c>
      <c r="AL314" s="3">
        <f>SUM(AH314:AK314)</f>
        <v>4641.537</v>
      </c>
      <c r="AM314" s="3" t="e">
        <f>SUM(AM293,AM300,AM310,AM312)</f>
        <v>#DIV/0!</v>
      </c>
      <c r="AN314" s="3" t="e">
        <f>SUM(AN293,AN300,AN310,AN312)</f>
        <v>#DIV/0!</v>
      </c>
      <c r="AO314" s="3" t="e">
        <f>SUM(AO293,AO300,AO310,AO312)</f>
        <v>#DIV/0!</v>
      </c>
      <c r="AP314" s="3" t="e">
        <f>SUM(AP293,AP300,AP310,AP312)</f>
        <v>#DIV/0!</v>
      </c>
      <c r="AQ314" s="3" t="e">
        <f>SUM(AM314:AP314)</f>
        <v>#DIV/0!</v>
      </c>
      <c r="AR314" s="3" t="e">
        <f>SUM(AR293,AR300,AR310,AR312)</f>
        <v>#DIV/0!</v>
      </c>
      <c r="AS314" s="3" t="e">
        <f>SUM(AS293,AS300,AS310,AS312)</f>
        <v>#DIV/0!</v>
      </c>
      <c r="AT314" s="3" t="e">
        <f>SUM(AT293,AT300,AT310,AT312)</f>
        <v>#DIV/0!</v>
      </c>
      <c r="AU314" s="3" t="e">
        <f>SUM(AU293,AU300,AU310,AU312)</f>
        <v>#DIV/0!</v>
      </c>
      <c r="AV314" s="3" t="e">
        <f>SUM(AR314:AU314)</f>
        <v>#DIV/0!</v>
      </c>
      <c r="AW314" s="3" t="e">
        <f>SUM(AW293,AW300,AW310,AW312)</f>
        <v>#DIV/0!</v>
      </c>
      <c r="AX314" s="3" t="e">
        <f>SUM(AX293,AX300,AX310,AX312)</f>
        <v>#DIV/0!</v>
      </c>
      <c r="AY314" s="3" t="e">
        <f>SUM(AY293,AY300,AY310,AY312)</f>
        <v>#DIV/0!</v>
      </c>
      <c r="AZ314" s="3" t="e">
        <f>SUM(AZ293,AZ300,AZ310,AZ312)</f>
        <v>#DIV/0!</v>
      </c>
      <c r="BA314" s="3" t="e">
        <f>SUM(AW314:AZ314)</f>
        <v>#DIV/0!</v>
      </c>
      <c r="BB314" s="3" t="e">
        <f>SUM(BB293,BB300,BB310,BB312)</f>
        <v>#DIV/0!</v>
      </c>
      <c r="BC314" s="3" t="e">
        <f>SUM(BC293,BC300,BC310,BC312)</f>
        <v>#DIV/0!</v>
      </c>
      <c r="BD314" s="3" t="e">
        <f>SUM(BD293,BD300,BD310,BD312)</f>
        <v>#DIV/0!</v>
      </c>
      <c r="BE314" s="3" t="e">
        <f>SUM(BE293,BE300,BE310,BE312)</f>
        <v>#DIV/0!</v>
      </c>
      <c r="BF314" s="3" t="e">
        <f>SUM(BB314:BE314)</f>
        <v>#DIV/0!</v>
      </c>
      <c r="BG314" s="3" t="e">
        <f>SUM(BG293,BG300,BG310,BG312)</f>
        <v>#DIV/0!</v>
      </c>
      <c r="BH314" s="3" t="e">
        <f>SUM(BH293,BH300,BH310,BH312)</f>
        <v>#DIV/0!</v>
      </c>
      <c r="BI314" s="3" t="e">
        <f>SUM(BI293,BI300,BI310,BI312)</f>
        <v>#DIV/0!</v>
      </c>
      <c r="BJ314" s="3" t="e">
        <f>SUM(BJ293,BJ300,BJ310,BJ312)</f>
        <v>#DIV/0!</v>
      </c>
      <c r="BK314" s="3" t="e">
        <f>SUM(BG314:BJ314)</f>
        <v>#DIV/0!</v>
      </c>
      <c r="BL314" s="3" t="e">
        <f>SUM(BL293,BL300,BL310,BL312)</f>
        <v>#DIV/0!</v>
      </c>
      <c r="BM314" s="3" t="e">
        <f>SUM(BM293,BM300,BM310,BM312)</f>
        <v>#DIV/0!</v>
      </c>
      <c r="BN314" s="3" t="e">
        <f>SUM(BN293,BN300,BN310,BN312)</f>
        <v>#DIV/0!</v>
      </c>
      <c r="BO314" s="3" t="e">
        <f>SUM(BO293,BO300,BO310,BO312)</f>
        <v>#DIV/0!</v>
      </c>
      <c r="BP314" s="3" t="e">
        <f>SUM(BL314:BO314)</f>
        <v>#DIV/0!</v>
      </c>
      <c r="BQ314" s="3" t="e">
        <f>SUM(BQ293,BQ300,BQ310,BQ312)</f>
        <v>#DIV/0!</v>
      </c>
      <c r="BR314" s="3" t="e">
        <f>SUM(BR293,BR300,BR310,BR312)</f>
        <v>#DIV/0!</v>
      </c>
      <c r="BS314" s="3" t="e">
        <f>SUM(BS293,BS300,BS310,BS312)</f>
        <v>#DIV/0!</v>
      </c>
      <c r="BT314" s="3" t="e">
        <f>SUM(BT293,BT300,BT310,BT312)</f>
        <v>#DIV/0!</v>
      </c>
      <c r="BU314" s="3" t="e">
        <f>SUM(BQ314:BT314)</f>
        <v>#DIV/0!</v>
      </c>
      <c r="BV314" s="3" t="e">
        <f>SUM(BV293,BV300,BV310,BV312)</f>
        <v>#DIV/0!</v>
      </c>
      <c r="BW314" s="3" t="e">
        <f>SUM(BW293,BW300,BW310,BW312)</f>
        <v>#DIV/0!</v>
      </c>
      <c r="BX314" s="3" t="e">
        <f>SUM(BX293,BX300,BX310,BX312)</f>
        <v>#DIV/0!</v>
      </c>
      <c r="BY314" s="3" t="e">
        <f>SUM(BY293,BY300,BY310,BY312)</f>
        <v>#DIV/0!</v>
      </c>
      <c r="BZ314" s="3" t="e">
        <f>SUM(BV314:BY314)</f>
        <v>#DIV/0!</v>
      </c>
      <c r="CA314" s="3" t="e">
        <f>SUM(CA293,CA300,CA310,CA312)</f>
        <v>#DIV/0!</v>
      </c>
      <c r="CB314" s="3" t="e">
        <f>SUM(CB293,CB300,CB310,CB312)</f>
        <v>#DIV/0!</v>
      </c>
      <c r="CC314" s="3" t="e">
        <f>SUM(CC293,CC300,CC310,CC312)</f>
        <v>#DIV/0!</v>
      </c>
      <c r="CD314" s="3" t="e">
        <f>SUM(CD293,CD300,CD310,CD312)</f>
        <v>#DIV/0!</v>
      </c>
      <c r="CE314" s="3" t="e">
        <f>SUM(CA314:CD314)</f>
        <v>#DIV/0!</v>
      </c>
      <c r="CF314" s="3" t="e">
        <f>SUM(CF293,CF300,CF310,CF312)</f>
        <v>#DIV/0!</v>
      </c>
      <c r="CG314" s="3" t="e">
        <f>SUM(CG293,CG300,CG310,CG312)</f>
        <v>#DIV/0!</v>
      </c>
      <c r="CH314" s="3" t="e">
        <f>SUM(CH293,CH300,CH310,CH312)</f>
        <v>#DIV/0!</v>
      </c>
      <c r="CI314" s="3" t="e">
        <f>SUM(CI293,CI300,CI310,CI312)</f>
        <v>#DIV/0!</v>
      </c>
      <c r="CJ314" s="3" t="e">
        <f>SUM(CF314:CI314)</f>
        <v>#DIV/0!</v>
      </c>
      <c r="CK314" s="3" t="e">
        <f>SUM(CK293,CK300,CK310,CK312)</f>
        <v>#DIV/0!</v>
      </c>
      <c r="CL314" s="3" t="e">
        <f>SUM(CL293,CL300,CL310,CL312)</f>
        <v>#DIV/0!</v>
      </c>
      <c r="CM314" s="3" t="e">
        <f>SUM(CM293,CM300,CM310,CM312)</f>
        <v>#DIV/0!</v>
      </c>
      <c r="CN314" s="3" t="e">
        <f>SUM(CN293,CN300,CN310,CN312)</f>
        <v>#DIV/0!</v>
      </c>
      <c r="CO314" s="3" t="e">
        <f>SUM(CK314:CN314)</f>
        <v>#DIV/0!</v>
      </c>
      <c r="CP314" s="3" t="e">
        <f>SUM(CP293,CP300,CP310,CP312)</f>
        <v>#DIV/0!</v>
      </c>
      <c r="CQ314" s="3" t="e">
        <f>SUM(CQ293,CQ300,CQ310,CQ312)</f>
        <v>#DIV/0!</v>
      </c>
      <c r="CR314" s="3" t="e">
        <f>SUM(CR293,CR300,CR310,CR312)</f>
        <v>#DIV/0!</v>
      </c>
      <c r="CS314" s="3" t="e">
        <f>SUM(CS293,CS300,CS310,CS312)</f>
        <v>#DIV/0!</v>
      </c>
      <c r="CT314" s="3" t="e">
        <f>SUM(CP314:CS314)</f>
        <v>#DIV/0!</v>
      </c>
      <c r="CU314" s="3" t="e">
        <f>SUM(CU293,CU300,CU310,CU312)</f>
        <v>#DIV/0!</v>
      </c>
      <c r="CV314" s="3" t="e">
        <f>SUM(CV293,CV300,CV310,CV312)</f>
        <v>#DIV/0!</v>
      </c>
      <c r="CW314" s="3" t="e">
        <f>SUM(CW293,CW300,CW310,CW312)</f>
        <v>#DIV/0!</v>
      </c>
      <c r="CX314" s="3" t="e">
        <f>SUM(CX293,CX300,CX310,CX312)</f>
        <v>#DIV/0!</v>
      </c>
      <c r="CY314" s="3" t="e">
        <f>SUM(CU314:CX314)</f>
        <v>#DIV/0!</v>
      </c>
    </row>
    <row r="315">
      <c r="C315" s="4" t="inlineStr">
        <is>
          <t>Check</t>
        </is>
      </c>
      <c r="E315" s="51">
        <f>(E314)-(E144-D144)</f>
        <v>1.4210854715202e-14</v>
      </c>
      <c r="F315" s="51">
        <f>(F314)-(F144-E144)</f>
        <v>-1.95399252334028e-14</v>
      </c>
      <c r="G315" s="51">
        <f>(G314)-(G144-F144)</f>
        <v>1.4210854715202e-14</v>
      </c>
      <c r="I315" s="51">
        <f>(I314)-(I144-H144)</f>
        <v>0</v>
      </c>
      <c r="J315" s="51">
        <f>(J314)-(J144-I144)</f>
        <v>0</v>
      </c>
      <c r="K315" s="51">
        <f>(K314)-(K144-J144)</f>
        <v>0</v>
      </c>
      <c r="L315" s="51">
        <f>(L314)-(L144-K144)</f>
        <v>0</v>
      </c>
      <c r="N315" s="51">
        <f>(N314)-(N144-M144)</f>
        <v>0</v>
      </c>
      <c r="O315" s="51">
        <f>(O314)-(O144-N144)</f>
        <v>0</v>
      </c>
      <c r="P315" s="51">
        <f>(P314)-(P144-O144)</f>
        <v>-6.57252030578093e-14</v>
      </c>
      <c r="Q315" s="51">
        <f>(Q314)-(Q144-P144)</f>
        <v>0</v>
      </c>
      <c r="S315" s="51">
        <f>(S314)-(S144-R144)</f>
        <v>0</v>
      </c>
      <c r="T315" s="51">
        <f>(T314)-(T144-S144)</f>
        <v>0</v>
      </c>
      <c r="U315" s="51">
        <f>(U314)-(U144-T144)</f>
        <v>0</v>
      </c>
      <c r="V315" s="51">
        <f>(V314)-(V144-U144)</f>
        <v>0</v>
      </c>
      <c r="X315" s="51">
        <f>(X314)-(X144-W144)</f>
        <v>0</v>
      </c>
      <c r="Y315" s="51">
        <f>(Y314)-(Y144-X144)</f>
        <v>-1.91846538655227e-13</v>
      </c>
      <c r="Z315" s="51">
        <f>(Z314)-(Z144-Y144)</f>
        <v>0</v>
      </c>
      <c r="AA315" s="51">
        <f>(AA314)-(AA144-Z144)</f>
        <v>0</v>
      </c>
      <c r="AC315" s="51">
        <f>(AC314)-(AC144-AB144)</f>
        <v>0</v>
      </c>
      <c r="AD315" s="51">
        <f>(AD314)-(AD144-AC144)</f>
        <v>0</v>
      </c>
      <c r="AE315" s="51">
        <f>(AE314)-(AE144-AD144)</f>
        <v>0</v>
      </c>
      <c r="AF315" s="51">
        <f>(AF314)-(AF144-AE144)</f>
        <v>6.25277607468888e-13</v>
      </c>
      <c r="AH315" s="51">
        <f>(AH314)-(AH144-AG144)</f>
        <v>0</v>
      </c>
      <c r="AI315" s="51">
        <f>(AI314)-(AI144-AH144)</f>
        <v>0</v>
      </c>
      <c r="AJ315" s="51">
        <f>(AJ314)-(AJ144-AI144)</f>
        <v>0</v>
      </c>
      <c r="AK315" s="51">
        <f>(AK314)-(AK144-AJ144)</f>
        <v>0</v>
      </c>
      <c r="AM315" s="51" t="e">
        <f>(AM314)-(AM144-AL144)</f>
        <v>#DIV/0!</v>
      </c>
      <c r="AN315" s="51" t="e">
        <f>(AN314)-(AN144-AM144)</f>
        <v>#DIV/0!</v>
      </c>
      <c r="AO315" s="51" t="e">
        <f>(AO314)-(AO144-AN144)</f>
        <v>#DIV/0!</v>
      </c>
      <c r="AP315" s="51" t="e">
        <f>(AP314)-(AP144-AO144)</f>
        <v>#DIV/0!</v>
      </c>
      <c r="AR315" s="51" t="e">
        <f>(AR314)-(AR144-AQ144)</f>
        <v>#DIV/0!</v>
      </c>
      <c r="AS315" s="51" t="e">
        <f>(AS314)-(AS144-AR144)</f>
        <v>#DIV/0!</v>
      </c>
      <c r="AT315" s="51" t="e">
        <f>(AT314)-(AT144-AS144)</f>
        <v>#DIV/0!</v>
      </c>
      <c r="AU315" s="51" t="e">
        <f>(AU314)-(AU144-AT144)</f>
        <v>#DIV/0!</v>
      </c>
      <c r="AW315" s="51" t="e">
        <f>(AW314)-(AW144-AV144)</f>
        <v>#DIV/0!</v>
      </c>
      <c r="AX315" s="51" t="e">
        <f>(AX314)-(AX144-AW144)</f>
        <v>#DIV/0!</v>
      </c>
      <c r="AY315" s="51" t="e">
        <f>(AY314)-(AY144-AX144)</f>
        <v>#DIV/0!</v>
      </c>
      <c r="AZ315" s="51" t="e">
        <f>(AZ314)-(AZ144-AY144)</f>
        <v>#DIV/0!</v>
      </c>
      <c r="BB315" s="51" t="e">
        <f>(BB314)-(BB144-BA144)</f>
        <v>#DIV/0!</v>
      </c>
      <c r="BC315" s="51" t="e">
        <f>(BC314)-(BC144-BB144)</f>
        <v>#DIV/0!</v>
      </c>
      <c r="BD315" s="51" t="e">
        <f>(BD314)-(BD144-BC144)</f>
        <v>#DIV/0!</v>
      </c>
      <c r="BE315" s="51" t="e">
        <f>(BE314)-(BE144-BD144)</f>
        <v>#DIV/0!</v>
      </c>
      <c r="BG315" s="51" t="e">
        <f>(BG314)-(BG144-BF144)</f>
        <v>#DIV/0!</v>
      </c>
      <c r="BH315" s="51" t="e">
        <f>(BH314)-(BH144-BG144)</f>
        <v>#DIV/0!</v>
      </c>
      <c r="BI315" s="51" t="e">
        <f>(BI314)-(BI144-BH144)</f>
        <v>#DIV/0!</v>
      </c>
      <c r="BJ315" s="51" t="e">
        <f>(BJ314)-(BJ144-BI144)</f>
        <v>#DIV/0!</v>
      </c>
      <c r="BL315" s="51" t="e">
        <f>(BL314)-(BL144-BK144)</f>
        <v>#DIV/0!</v>
      </c>
      <c r="BM315" s="51" t="e">
        <f>(BM314)-(BM144-BL144)</f>
        <v>#DIV/0!</v>
      </c>
      <c r="BN315" s="51" t="e">
        <f>(BN314)-(BN144-BM144)</f>
        <v>#DIV/0!</v>
      </c>
      <c r="BO315" s="51" t="e">
        <f>(BO314)-(BO144-BN144)</f>
        <v>#DIV/0!</v>
      </c>
      <c r="BQ315" s="51" t="e">
        <f>(BQ314)-(BQ144-BP144)</f>
        <v>#DIV/0!</v>
      </c>
      <c r="BR315" s="51" t="e">
        <f>(BR314)-(BR144-BQ144)</f>
        <v>#DIV/0!</v>
      </c>
      <c r="BS315" s="51" t="e">
        <f>(BS314)-(BS144-BR144)</f>
        <v>#DIV/0!</v>
      </c>
      <c r="BT315" s="51" t="e">
        <f>(BT314)-(BT144-BS144)</f>
        <v>#DIV/0!</v>
      </c>
      <c r="BV315" s="51" t="e">
        <f>(BV314)-(BV144-BU144)</f>
        <v>#DIV/0!</v>
      </c>
      <c r="BW315" s="51" t="e">
        <f>(BW314)-(BW144-BV144)</f>
        <v>#DIV/0!</v>
      </c>
      <c r="BX315" s="51" t="e">
        <f>(BX314)-(BX144-BW144)</f>
        <v>#DIV/0!</v>
      </c>
      <c r="BY315" s="51" t="e">
        <f>(BY314)-(BY144-BX144)</f>
        <v>#DIV/0!</v>
      </c>
      <c r="CA315" s="51" t="e">
        <f>(CA314)-(CA144-BZ144)</f>
        <v>#DIV/0!</v>
      </c>
      <c r="CB315" s="51" t="e">
        <f>(CB314)-(CB144-CA144)</f>
        <v>#DIV/0!</v>
      </c>
      <c r="CC315" s="51" t="e">
        <f>(CC314)-(CC144-CB144)</f>
        <v>#DIV/0!</v>
      </c>
      <c r="CD315" s="51" t="e">
        <f>(CD314)-(CD144-CC144)</f>
        <v>#DIV/0!</v>
      </c>
      <c r="CF315" s="51" t="e">
        <f>(CF314)-(CF144-CE144)</f>
        <v>#DIV/0!</v>
      </c>
      <c r="CG315" s="51" t="e">
        <f>(CG314)-(CG144-CF144)</f>
        <v>#DIV/0!</v>
      </c>
      <c r="CH315" s="51" t="e">
        <f>(CH314)-(CH144-CG144)</f>
        <v>#DIV/0!</v>
      </c>
      <c r="CI315" s="51" t="e">
        <f>(CI314)-(CI144-CH144)</f>
        <v>#DIV/0!</v>
      </c>
      <c r="CK315" s="51" t="e">
        <f>(CK314)-(CK144-CJ144)</f>
        <v>#DIV/0!</v>
      </c>
      <c r="CL315" s="51" t="e">
        <f>(CL314)-(CL144-CK144)</f>
        <v>#DIV/0!</v>
      </c>
      <c r="CM315" s="51" t="e">
        <f>(CM314)-(CM144-CL144)</f>
        <v>#DIV/0!</v>
      </c>
      <c r="CN315" s="51" t="e">
        <f>(CN314)-(CN144-CM144)</f>
        <v>#DIV/0!</v>
      </c>
      <c r="CP315" s="51" t="e">
        <f>(CP314)-(CP144-CO144)</f>
        <v>#DIV/0!</v>
      </c>
      <c r="CQ315" s="51" t="e">
        <f>(CQ314)-(CQ144-CP144)</f>
        <v>#DIV/0!</v>
      </c>
      <c r="CR315" s="51" t="e">
        <f>(CR314)-(CR144-CQ144)</f>
        <v>#DIV/0!</v>
      </c>
      <c r="CS315" s="51" t="e">
        <f>(CS314)-(CS144-CR144)</f>
        <v>#DIV/0!</v>
      </c>
      <c r="CU315" s="51" t="e">
        <f>(CU314)-(CU144-CT144)</f>
        <v>#DIV/0!</v>
      </c>
      <c r="CV315" s="51" t="e">
        <f>(CV314)-(CV144-CU144)</f>
        <v>#DIV/0!</v>
      </c>
      <c r="CW315" s="51" t="e">
        <f>(CW314)-(CW144-CV144)</f>
        <v>#DIV/0!</v>
      </c>
      <c r="CX315" s="51" t="e">
        <f>(CX314)-(CX144-CW144)</f>
        <v>#DIV/0!</v>
      </c>
    </row>
    <row r="317">
      <c r="C317" s="53" t="inlineStr">
        <is>
          <t>Ratio Analysis</t>
        </is>
      </c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  <c r="AE317" s="53" t="n"/>
      <c r="AF317" s="53" t="n"/>
      <c r="AG317" s="53" t="n"/>
      <c r="AH317" s="53" t="n"/>
      <c r="AI317" s="53" t="n"/>
      <c r="AJ317" s="53" t="n"/>
      <c r="AK317" s="53" t="n"/>
      <c r="AL317" s="53" t="n"/>
      <c r="AM317" s="53" t="n"/>
      <c r="AN317" s="53" t="n"/>
      <c r="AO317" s="53" t="n"/>
      <c r="AP317" s="53" t="n"/>
      <c r="AQ317" s="53" t="n"/>
      <c r="AR317" s="53" t="n"/>
      <c r="AS317" s="53" t="n"/>
      <c r="AT317" s="53" t="n"/>
      <c r="AU317" s="53" t="n"/>
      <c r="AV317" s="53" t="n"/>
      <c r="AW317" s="53" t="n"/>
      <c r="AX317" s="53" t="n"/>
      <c r="AY317" s="53" t="n"/>
      <c r="AZ317" s="53" t="n"/>
      <c r="BA317" s="53" t="n"/>
      <c r="BB317" s="53" t="n"/>
      <c r="BC317" s="53" t="n"/>
      <c r="BD317" s="53" t="n"/>
      <c r="BE317" s="53" t="n"/>
      <c r="BF317" s="53" t="n"/>
      <c r="BG317" s="53" t="n"/>
      <c r="BH317" s="53" t="n"/>
      <c r="BI317" s="53" t="n"/>
      <c r="BJ317" s="53" t="n"/>
      <c r="BK317" s="53" t="n"/>
      <c r="BL317" s="53" t="n"/>
      <c r="BM317" s="53" t="n"/>
      <c r="BN317" s="53" t="n"/>
      <c r="BO317" s="53" t="n"/>
      <c r="BP317" s="53" t="n"/>
      <c r="BQ317" s="53" t="n"/>
      <c r="BR317" s="53" t="n"/>
      <c r="BS317" s="53" t="n"/>
      <c r="BT317" s="53" t="n"/>
      <c r="BU317" s="53" t="n"/>
      <c r="BV317" s="53" t="n"/>
      <c r="BW317" s="53" t="n"/>
      <c r="BX317" s="53" t="n"/>
      <c r="BY317" s="53" t="n"/>
      <c r="BZ317" s="53" t="n"/>
      <c r="CA317" s="53" t="n"/>
      <c r="CB317" s="53" t="n"/>
      <c r="CC317" s="53" t="n"/>
      <c r="CD317" s="53" t="n"/>
      <c r="CE317" s="53" t="n"/>
      <c r="CF317" s="53" t="n"/>
      <c r="CG317" s="53" t="n"/>
      <c r="CH317" s="53" t="n"/>
      <c r="CI317" s="53" t="n"/>
      <c r="CJ317" s="53" t="n"/>
      <c r="CK317" s="53" t="n"/>
      <c r="CL317" s="53" t="n"/>
      <c r="CM317" s="53" t="n"/>
      <c r="CN317" s="53" t="n"/>
      <c r="CO317" s="53" t="n"/>
      <c r="CP317" s="53" t="n"/>
      <c r="CQ317" s="53" t="n"/>
      <c r="CR317" s="53" t="n"/>
      <c r="CS317" s="53" t="n"/>
      <c r="CT317" s="53" t="n"/>
      <c r="CU317" s="53" t="n"/>
      <c r="CV317" s="53" t="n"/>
      <c r="CW317" s="53" t="n"/>
      <c r="CX317" s="53" t="n"/>
      <c r="CY317" s="53" t="n"/>
    </row>
    <row r="319" customFormat="1" s="234">
      <c r="C319" s="234" t="inlineStr">
        <is>
          <t>YEAR</t>
        </is>
      </c>
      <c r="D319" s="234" t="str">
        <f>D275</f>
        <v>1Q20</v>
      </c>
      <c r="E319" s="235" t="str">
        <f>E275</f>
        <v>2Q20</v>
      </c>
      <c r="F319" s="235" t="str">
        <f>F275</f>
        <v>3Q20</v>
      </c>
      <c r="G319" s="235" t="str">
        <f>G275</f>
        <v>4Q20</v>
      </c>
      <c r="H319" s="235">
        <f>H275</f>
        <v>2020</v>
      </c>
      <c r="I319" s="235" t="str">
        <f>I275</f>
        <v>1Q21</v>
      </c>
      <c r="J319" s="235" t="str">
        <f>J275</f>
        <v>2Q21</v>
      </c>
      <c r="K319" s="235" t="str">
        <f>K275</f>
        <v>3Q21</v>
      </c>
      <c r="L319" s="235" t="str">
        <f>L275</f>
        <v>4Q21</v>
      </c>
      <c r="M319" s="235">
        <f>M275</f>
        <v>2021</v>
      </c>
      <c r="N319" s="235" t="str">
        <f>N275</f>
        <v>1Q22</v>
      </c>
      <c r="O319" s="235" t="str">
        <f>O275</f>
        <v>2Q22</v>
      </c>
      <c r="P319" s="235" t="str">
        <f>P275</f>
        <v>3Q22</v>
      </c>
      <c r="Q319" s="235" t="str">
        <f>Q275</f>
        <v>4Q22</v>
      </c>
      <c r="R319" s="235">
        <f>R275</f>
        <v>2022</v>
      </c>
      <c r="S319" s="235" t="str">
        <f>S275</f>
        <v>1Q23</v>
      </c>
      <c r="T319" s="235" t="str">
        <f>T275</f>
        <v>2Q23</v>
      </c>
      <c r="U319" s="235" t="str">
        <f>U275</f>
        <v>3Q23</v>
      </c>
      <c r="V319" s="235" t="str">
        <f>V275</f>
        <v>4Q23</v>
      </c>
      <c r="W319" s="235">
        <f>W275</f>
        <v>2023</v>
      </c>
      <c r="X319" s="235" t="str">
        <f>X275</f>
        <v>1Q24</v>
      </c>
      <c r="Y319" s="235" t="str">
        <f>Y275</f>
        <v>2Q24</v>
      </c>
      <c r="Z319" s="235" t="str">
        <f>Z275</f>
        <v>3Q24</v>
      </c>
      <c r="AA319" s="235" t="str">
        <f>AA275</f>
        <v>4Q24</v>
      </c>
      <c r="AB319" s="235">
        <f>AB275</f>
        <v>2024</v>
      </c>
      <c r="AC319" s="235" t="str">
        <f>AC275</f>
        <v>1Q25</v>
      </c>
      <c r="AD319" s="235" t="str">
        <f>AD275</f>
        <v>2Q25</v>
      </c>
      <c r="AE319" s="235" t="str">
        <f>AE275</f>
        <v>3Q25</v>
      </c>
      <c r="AF319" s="235" t="str">
        <f>AF275</f>
        <v>4Q25</v>
      </c>
      <c r="AG319" s="235">
        <f>AG275</f>
        <v>2025</v>
      </c>
      <c r="AH319" s="235" t="str">
        <f>AH275</f>
        <v>1Q26</v>
      </c>
      <c r="AI319" s="235" t="str">
        <f>AI275</f>
        <v>2Q26</v>
      </c>
      <c r="AJ319" s="235" t="str">
        <f>AJ275</f>
        <v>3Q26</v>
      </c>
      <c r="AK319" s="235" t="str">
        <f>AK275</f>
        <v>4Q26</v>
      </c>
      <c r="AL319" s="235">
        <f>AL275</f>
        <v>2026</v>
      </c>
      <c r="AM319" s="235" t="str">
        <f>AM275</f>
        <v>1Q27</v>
      </c>
      <c r="AN319" s="235" t="str">
        <f>AN275</f>
        <v>2Q27</v>
      </c>
      <c r="AO319" s="235" t="str">
        <f>AO275</f>
        <v>3Q27</v>
      </c>
      <c r="AP319" s="235" t="str">
        <f>AP275</f>
        <v>4Q27</v>
      </c>
      <c r="AQ319" s="235">
        <f>AQ275</f>
        <v>2027</v>
      </c>
      <c r="AR319" s="235" t="str">
        <f>AR275</f>
        <v>1Q28</v>
      </c>
      <c r="AS319" s="235" t="str">
        <f>AS275</f>
        <v>2Q28</v>
      </c>
      <c r="AT319" s="235" t="str">
        <f>AT275</f>
        <v>3Q28</v>
      </c>
      <c r="AU319" s="235" t="str">
        <f>AU275</f>
        <v>4Q28</v>
      </c>
      <c r="AV319" s="235">
        <f>AV275</f>
        <v>2028</v>
      </c>
      <c r="AW319" s="235" t="str">
        <f>AW275</f>
        <v>1Q29</v>
      </c>
      <c r="AX319" s="235" t="str">
        <f>AX275</f>
        <v>2Q29</v>
      </c>
      <c r="AY319" s="235" t="str">
        <f>AY275</f>
        <v>3Q29</v>
      </c>
      <c r="AZ319" s="235" t="str">
        <f>AZ275</f>
        <v>4Q29</v>
      </c>
      <c r="BA319" s="235">
        <f>BA275</f>
        <v>2029</v>
      </c>
      <c r="BB319" s="235" t="str">
        <f>BB275</f>
        <v>1Q30</v>
      </c>
      <c r="BC319" s="235" t="str">
        <f>BC275</f>
        <v>2Q30</v>
      </c>
      <c r="BD319" s="235" t="str">
        <f>BD275</f>
        <v>3Q30</v>
      </c>
      <c r="BE319" s="235" t="str">
        <f>BE275</f>
        <v>4Q30</v>
      </c>
      <c r="BF319" s="235">
        <f>BF275</f>
        <v>2030</v>
      </c>
      <c r="BG319" s="235" t="str">
        <f>BG275</f>
        <v>1Q31</v>
      </c>
      <c r="BH319" s="235" t="str">
        <f>BH275</f>
        <v>2Q31</v>
      </c>
      <c r="BI319" s="235" t="str">
        <f>BI275</f>
        <v>3Q31</v>
      </c>
      <c r="BJ319" s="235" t="str">
        <f>BJ275</f>
        <v>4Q31</v>
      </c>
      <c r="BK319" s="235">
        <f>BK275</f>
        <v>2031</v>
      </c>
      <c r="BL319" s="235" t="str">
        <f>BL275</f>
        <v>1Q32</v>
      </c>
      <c r="BM319" s="235" t="str">
        <f>BM275</f>
        <v>2Q32</v>
      </c>
      <c r="BN319" s="235" t="str">
        <f>BN275</f>
        <v>3Q32</v>
      </c>
      <c r="BO319" s="235" t="str">
        <f>BO275</f>
        <v>4Q32</v>
      </c>
      <c r="BP319" s="235">
        <f>BP275</f>
        <v>2032</v>
      </c>
      <c r="BQ319" s="235" t="str">
        <f>BQ275</f>
        <v>1Q33</v>
      </c>
      <c r="BR319" s="235" t="str">
        <f>BR275</f>
        <v>2Q33</v>
      </c>
      <c r="BS319" s="235" t="str">
        <f>BS275</f>
        <v>3Q33</v>
      </c>
      <c r="BT319" s="235" t="str">
        <f>BT275</f>
        <v>4Q33</v>
      </c>
      <c r="BU319" s="235">
        <f>BU275</f>
        <v>2033</v>
      </c>
      <c r="BV319" s="235" t="str">
        <f>BV275</f>
        <v>1Q34</v>
      </c>
      <c r="BW319" s="235" t="str">
        <f>BW275</f>
        <v>2Q34</v>
      </c>
      <c r="BX319" s="235" t="str">
        <f>BX275</f>
        <v>3Q34</v>
      </c>
      <c r="BY319" s="235" t="str">
        <f>BY275</f>
        <v>4Q34</v>
      </c>
      <c r="BZ319" s="235">
        <f>BZ275</f>
        <v>2034</v>
      </c>
      <c r="CA319" s="235" t="str">
        <f>CA275</f>
        <v>1Q35</v>
      </c>
      <c r="CB319" s="235" t="str">
        <f>CB275</f>
        <v>2Q35</v>
      </c>
      <c r="CC319" s="235" t="str">
        <f>CC275</f>
        <v>3Q35</v>
      </c>
      <c r="CD319" s="235" t="str">
        <f>CD275</f>
        <v>4Q35</v>
      </c>
      <c r="CE319" s="235">
        <f>CE275</f>
        <v>2035</v>
      </c>
      <c r="CF319" s="235" t="str">
        <f>CF275</f>
        <v>1Q36</v>
      </c>
      <c r="CG319" s="235" t="str">
        <f>CG275</f>
        <v>2Q36</v>
      </c>
      <c r="CH319" s="235" t="str">
        <f>CH275</f>
        <v>3Q36</v>
      </c>
      <c r="CI319" s="235" t="str">
        <f>CI275</f>
        <v>4Q36</v>
      </c>
      <c r="CJ319" s="235">
        <f>CJ275</f>
        <v>2036</v>
      </c>
      <c r="CK319" s="235" t="str">
        <f>CK275</f>
        <v>1Q37</v>
      </c>
      <c r="CL319" s="235" t="str">
        <f>CL275</f>
        <v>2Q37</v>
      </c>
      <c r="CM319" s="235" t="str">
        <f>CM275</f>
        <v>3Q37</v>
      </c>
      <c r="CN319" s="235" t="str">
        <f>CN275</f>
        <v>4Q37</v>
      </c>
      <c r="CO319" s="235">
        <f>CO275</f>
        <v>2037</v>
      </c>
      <c r="CP319" s="235" t="str">
        <f>CP275</f>
        <v>1Q38</v>
      </c>
      <c r="CQ319" s="235" t="str">
        <f>CQ275</f>
        <v>2Q38</v>
      </c>
      <c r="CR319" s="235" t="str">
        <f>CR275</f>
        <v>3Q38</v>
      </c>
      <c r="CS319" s="235" t="str">
        <f>CS275</f>
        <v>4Q38</v>
      </c>
      <c r="CT319" s="235">
        <f>CT275</f>
        <v>2038</v>
      </c>
      <c r="CU319" s="235" t="str">
        <f>CU275</f>
        <v>1Q39</v>
      </c>
      <c r="CV319" s="235" t="str">
        <f>CV275</f>
        <v>2Q39</v>
      </c>
      <c r="CW319" s="235" t="str">
        <f>CW275</f>
        <v>3Q39</v>
      </c>
      <c r="CX319" s="235" t="str">
        <f>CX275</f>
        <v>4Q39</v>
      </c>
      <c r="CY319" s="235">
        <f>CY275</f>
        <v>2039</v>
      </c>
    </row>
    <row r="320" customFormat="1" s="233">
      <c r="A320" s="224" t="n"/>
      <c r="B320" s="224" t="n"/>
      <c r="C320" s="234" t="inlineStr">
        <is>
          <t>GROWTH &amp; MARGINS</t>
        </is>
      </c>
    </row>
    <row r="321" customFormat="1" s="233">
      <c r="A321" s="224" t="n"/>
      <c r="B321" s="224" t="n"/>
      <c r="C321" s="233" t="inlineStr">
        <is>
          <t>NET REVENUE GROWTH</t>
        </is>
      </c>
      <c r="E321" s="236">
        <f>E15/D15-1</f>
        <v>0.0909965140040869</v>
      </c>
      <c r="F321" s="236">
        <f>F15/E15-1</f>
        <v>-0.0223466485035457</v>
      </c>
      <c r="G321" s="236">
        <f>G15/F15-1</f>
        <v>0.0554582244762052</v>
      </c>
      <c r="H321" s="236" t="n"/>
      <c r="I321" s="220">
        <f>I15/H15-1</f>
        <v>-0.776448587639807</v>
      </c>
      <c r="J321" s="220">
        <f>J15/I15-1</f>
        <v>0.0577689015691869</v>
      </c>
      <c r="K321" s="220">
        <f>K15/J15-1</f>
        <v>0.0771845026810665</v>
      </c>
      <c r="L321" s="220">
        <f>L15/K15-1</f>
        <v>0.556104205687042</v>
      </c>
      <c r="M321" s="236" t="n"/>
      <c r="N321" s="220">
        <f>N15/M15-1</f>
        <v>-0.772164512899641</v>
      </c>
      <c r="O321" s="220">
        <f>O15/N15-1</f>
        <v>0.517868300647008</v>
      </c>
      <c r="P321" s="220">
        <f>P15/O15-1</f>
        <v>0.309171911932648</v>
      </c>
      <c r="Q321" s="220">
        <f>Q15/P15-1</f>
        <v>-0.0911262469760671</v>
      </c>
      <c r="R321" s="236" t="n"/>
      <c r="S321" s="220">
        <f>S15/R15-1</f>
        <v>-0.698438577889062</v>
      </c>
      <c r="T321" s="220">
        <f>T15/S15-1</f>
        <v>0.0391855754719479</v>
      </c>
      <c r="U321" s="220">
        <f>U15/T15-1</f>
        <v>-0.0185788172947081</v>
      </c>
      <c r="V321" s="220">
        <f>V15/U15-1</f>
        <v>0.0310905041043827</v>
      </c>
      <c r="W321" s="236" t="n"/>
      <c r="X321" s="220">
        <f>X15/W15-1</f>
        <v>-0.730577784190159</v>
      </c>
      <c r="Y321" s="220">
        <f>Y15/X15-1</f>
        <v>0.0282147399424324</v>
      </c>
      <c r="Z321" s="220">
        <f>Z15/Y15-1</f>
        <v>0.158230526350054</v>
      </c>
      <c r="AA321" s="220">
        <f>AA15/Z15-1</f>
        <v>-0.0757525875844126</v>
      </c>
      <c r="AB321" s="236" t="n"/>
      <c r="AC321" s="220">
        <f>AC15/AB15-1</f>
        <v>-0.733472942744277</v>
      </c>
      <c r="AD321" s="220">
        <f>AD15/AC15-1</f>
        <v>0.0970971760797341</v>
      </c>
      <c r="AE321" s="220">
        <f>AE15/AD15-1</f>
        <v>0.063853948618561</v>
      </c>
      <c r="AF321" s="220">
        <f>AF15/AE15-1</f>
        <v>-0.0595659135385163</v>
      </c>
      <c r="AG321" s="236" t="n"/>
      <c r="AH321" s="220">
        <f>AH15/AG15-1</f>
        <v>-0.684791591294248</v>
      </c>
      <c r="AI321" s="220">
        <f>AI15/AH15-1</f>
        <v>0.881247810170474</v>
      </c>
      <c r="AJ321" s="220">
        <f>AJ15/AI15-1</f>
        <v>-0.548757618377872</v>
      </c>
      <c r="AK321" s="220">
        <f>AK15/AJ15-1</f>
        <v>-0.0595659135385163</v>
      </c>
      <c r="AL321" s="236" t="n"/>
      <c r="AM321" s="220">
        <f>AM15/AL15-1</f>
        <v>-0.779175345884767</v>
      </c>
      <c r="AN321" s="220">
        <f>AN15/AM15-1</f>
        <v>0.881247810170474</v>
      </c>
      <c r="AO321" s="220">
        <f>AO15/AN15-1</f>
        <v>-0.548757618377872</v>
      </c>
      <c r="AP321" s="220">
        <f>AP15/AO15-1</f>
        <v>-0.0595659135385163</v>
      </c>
      <c r="AQ321" s="236" t="n"/>
      <c r="AR321" s="220">
        <f>AR15/AQ15-1</f>
        <v>-0.779175345884767</v>
      </c>
      <c r="AS321" s="220">
        <f>AS15/AR15-1</f>
        <v>0.881247810170474</v>
      </c>
      <c r="AT321" s="220">
        <f>AT15/AS15-1</f>
        <v>-0.548757618377872</v>
      </c>
      <c r="AU321" s="220">
        <f>AU15/AT15-1</f>
        <v>-0.0595659135385163</v>
      </c>
      <c r="AV321" s="236" t="n"/>
      <c r="AW321" s="220">
        <f>AW15/AV15-1</f>
        <v>-0.779175345884767</v>
      </c>
      <c r="AX321" s="220">
        <f>AX15/AW15-1</f>
        <v>0.881247810170474</v>
      </c>
      <c r="AY321" s="220">
        <f>AY15/AX15-1</f>
        <v>-0.548757618377872</v>
      </c>
      <c r="AZ321" s="220">
        <f>AZ15/AY15-1</f>
        <v>-0.0595659135385163</v>
      </c>
      <c r="BA321" s="236" t="n"/>
      <c r="BB321" s="220">
        <f>BB15/BA15-1</f>
        <v>-0.779175345884767</v>
      </c>
      <c r="BC321" s="220">
        <f>BC15/BB15-1</f>
        <v>0.881247810170474</v>
      </c>
      <c r="BD321" s="220">
        <f>BD15/BC15-1</f>
        <v>-0.548757618377872</v>
      </c>
      <c r="BE321" s="220">
        <f>BE15/BD15-1</f>
        <v>-0.0595659135385163</v>
      </c>
      <c r="BF321" s="236" t="n"/>
      <c r="BG321" s="220">
        <f>BG15/BF15-1</f>
        <v>-0.779175345884767</v>
      </c>
      <c r="BH321" s="220">
        <f>BH15/BG15-1</f>
        <v>0.881247810170474</v>
      </c>
      <c r="BI321" s="220">
        <f>BI15/BH15-1</f>
        <v>-0.548757618377872</v>
      </c>
      <c r="BJ321" s="220">
        <f>BJ15/BI15-1</f>
        <v>-0.0595659135385163</v>
      </c>
      <c r="BK321" s="236" t="n"/>
      <c r="BL321" s="220">
        <f>BL15/BK15-1</f>
        <v>-0.779175345884767</v>
      </c>
      <c r="BM321" s="220">
        <f>BM15/BL15-1</f>
        <v>0.881247810170474</v>
      </c>
      <c r="BN321" s="220">
        <f>BN15/BM15-1</f>
        <v>-0.548757618377872</v>
      </c>
      <c r="BO321" s="220">
        <f>BO15/BN15-1</f>
        <v>-0.0595659135385163</v>
      </c>
      <c r="BP321" s="236" t="n"/>
      <c r="BQ321" s="220">
        <f>BQ15/BP15-1</f>
        <v>-0.779175345884767</v>
      </c>
      <c r="BR321" s="220">
        <f>BR15/BQ15-1</f>
        <v>0.881247810170474</v>
      </c>
      <c r="BS321" s="220">
        <f>BS15/BR15-1</f>
        <v>-0.548757618377872</v>
      </c>
      <c r="BT321" s="220">
        <f>BT15/BS15-1</f>
        <v>-0.0595659135385163</v>
      </c>
      <c r="BU321" s="236" t="n"/>
      <c r="BV321" s="220">
        <f>BV15/BU15-1</f>
        <v>-0.779175345884767</v>
      </c>
      <c r="BW321" s="220">
        <f>BW15/BV15-1</f>
        <v>0.881247810170474</v>
      </c>
      <c r="BX321" s="220">
        <f>BX15/BW15-1</f>
        <v>-0.548757618377872</v>
      </c>
      <c r="BY321" s="220">
        <f>BY15/BX15-1</f>
        <v>-0.0595659135385163</v>
      </c>
      <c r="BZ321" s="236" t="n"/>
      <c r="CA321" s="220">
        <f>CA15/BZ15-1</f>
        <v>-0.779175345884767</v>
      </c>
      <c r="CB321" s="220">
        <f>CB15/CA15-1</f>
        <v>0.881247810170474</v>
      </c>
      <c r="CC321" s="220">
        <f>CC15/CB15-1</f>
        <v>-0.548757618377872</v>
      </c>
      <c r="CD321" s="220">
        <f>CD15/CC15-1</f>
        <v>-0.0595659135385163</v>
      </c>
      <c r="CE321" s="236" t="n"/>
      <c r="CF321" s="220">
        <f>CF15/CE15-1</f>
        <v>-0.779175345884767</v>
      </c>
      <c r="CG321" s="220">
        <f>CG15/CF15-1</f>
        <v>0.881247810170474</v>
      </c>
      <c r="CH321" s="220">
        <f>CH15/CG15-1</f>
        <v>-0.548757618377872</v>
      </c>
      <c r="CI321" s="220">
        <f>CI15/CH15-1</f>
        <v>-0.0595659135385163</v>
      </c>
      <c r="CJ321" s="236" t="n"/>
      <c r="CK321" s="220">
        <f>CK15/CJ15-1</f>
        <v>-0.779175345884767</v>
      </c>
      <c r="CL321" s="220">
        <f>CL15/CK15-1</f>
        <v>0.881247810170474</v>
      </c>
      <c r="CM321" s="220">
        <f>CM15/CL15-1</f>
        <v>-0.548757618377872</v>
      </c>
      <c r="CN321" s="220">
        <f>CN15/CM15-1</f>
        <v>-0.0595659135385163</v>
      </c>
      <c r="CO321" s="236" t="n"/>
      <c r="CP321" s="220">
        <f>CP15/CO15-1</f>
        <v>-0.779175345884767</v>
      </c>
      <c r="CQ321" s="220">
        <f>CQ15/CP15-1</f>
        <v>0.881247810170474</v>
      </c>
      <c r="CR321" s="220">
        <f>CR15/CQ15-1</f>
        <v>-0.548757618377872</v>
      </c>
      <c r="CS321" s="220">
        <f>CS15/CR15-1</f>
        <v>-0.0595659135385163</v>
      </c>
      <c r="CT321" s="236" t="n"/>
      <c r="CU321" s="220">
        <f>CU15/CT15-1</f>
        <v>-0.779175345884767</v>
      </c>
      <c r="CV321" s="220">
        <f>CV15/CU15-1</f>
        <v>0.881247810170474</v>
      </c>
      <c r="CW321" s="220">
        <f>CW15/CV15-1</f>
        <v>-0.548757618377872</v>
      </c>
      <c r="CX321" s="220">
        <f>CX15/CW15-1</f>
        <v>-0.0595659135385163</v>
      </c>
      <c r="CY321" s="236" t="n"/>
    </row>
    <row r="322" customFormat="1" s="233">
      <c r="A322" s="224" t="n"/>
      <c r="B322" s="224" t="n"/>
      <c r="C322" s="233" t="inlineStr">
        <is>
          <t>GROSS MARGIN</t>
        </is>
      </c>
      <c r="D322" s="220">
        <f>SUM(D15,D54)/D15</f>
        <v>0.49938257439159</v>
      </c>
      <c r="E322" s="220">
        <f>SUM(E15,E54)/E15</f>
        <v>0.475019031211186</v>
      </c>
      <c r="F322" s="220">
        <f>SUM(F15,F54)/F15</f>
        <v>0.480446698427335</v>
      </c>
      <c r="G322" s="220">
        <f>SUM(G15,G54)/G15</f>
        <v>0.551466733968821</v>
      </c>
      <c r="I322" s="221">
        <f>SUM(I15,I54)/I15</f>
        <v>0.44416547788873</v>
      </c>
      <c r="J322" s="221">
        <f>SUM(J15,J54)/J15</f>
        <v>0.48961558794653</v>
      </c>
      <c r="K322" s="221">
        <f>SUM(K15,K54)/K15</f>
        <v>0.516751635099809</v>
      </c>
      <c r="L322" s="221">
        <f>SUM(L15,L54)/L15</f>
        <v>0.620598211929481</v>
      </c>
      <c r="N322" s="221">
        <f>SUM(N15,N54)/N15</f>
        <v>0.500886864329914</v>
      </c>
      <c r="O322" s="221">
        <f>SUM(O15,O54)/O15</f>
        <v>0.49272302339787</v>
      </c>
      <c r="P322" s="221">
        <f>SUM(P15,P54)/P15</f>
        <v>0.540925158613834</v>
      </c>
      <c r="Q322" s="221">
        <f>SUM(Q15,Q54)/Q15</f>
        <v>0.519192674475054</v>
      </c>
      <c r="S322" s="221">
        <f>SUM(S15,S54)/S15</f>
        <v>0.542767878418809</v>
      </c>
      <c r="T322" s="221">
        <f>SUM(T15,T54)/T15</f>
        <v>0.52065530331983</v>
      </c>
      <c r="U322" s="221">
        <f>SUM(U15,U54)/U15</f>
        <v>0.566155587516031</v>
      </c>
      <c r="V322" s="221">
        <f>SUM(V15,V54)/V15</f>
        <v>0.501649151253607</v>
      </c>
      <c r="X322" s="221">
        <f>SUM(X15,X54)/X15</f>
        <v>0.630071815860691</v>
      </c>
      <c r="Y322" s="221">
        <f>SUM(Y15,Y54)/Y15</f>
        <v>0.5868531065302</v>
      </c>
      <c r="Z322" s="221">
        <f>SUM(Z15,Z54)/Z15</f>
        <v>0.661650754394277</v>
      </c>
      <c r="AA322" s="221">
        <f>SUM(AA15,AA54)/AA15</f>
        <v>0.63741170951235</v>
      </c>
      <c r="AC322" s="221">
        <f>SUM(AC15,AC54)/AC15</f>
        <v>0.621108803986711</v>
      </c>
      <c r="AD322" s="221">
        <f>SUM(AD15,AD54)/AD15</f>
        <v>0.632218062616161</v>
      </c>
      <c r="AE322" s="221">
        <f>SUM(AE15,AE54)/AE15</f>
        <v>0.645379825653798</v>
      </c>
      <c r="AF322" s="221">
        <f>SUM(AF15,AF54)/AF15</f>
        <v>0.637413027933215</v>
      </c>
      <c r="AH322" s="221">
        <f>SUM(AH15,AH54)/AH15</f>
        <v>0.556092860853701</v>
      </c>
      <c r="AI322" s="221">
        <f>SUM(AI15,AI54)/AI15</f>
        <v>0.402499213276047</v>
      </c>
      <c r="AJ322" s="221">
        <f>SUM(AJ15,AJ54)/AJ15</f>
        <v>0</v>
      </c>
      <c r="AK322" s="221">
        <f>SUM(AK15,AK54)/AK15</f>
        <v>0</v>
      </c>
      <c r="AM322" s="221">
        <f>SUM(AM15,AM54)/AM15</f>
        <v>0</v>
      </c>
      <c r="AN322" s="221">
        <f>SUM(AN15,AN54)/AN15</f>
        <v>0</v>
      </c>
      <c r="AO322" s="221">
        <f>SUM(AO15,AO54)/AO15</f>
        <v>0</v>
      </c>
      <c r="AP322" s="221">
        <f>SUM(AP15,AP54)/AP15</f>
        <v>0</v>
      </c>
      <c r="AR322" s="221">
        <f>SUM(AR15,AR54)/AR15</f>
        <v>0</v>
      </c>
      <c r="AS322" s="221">
        <f>SUM(AS15,AS54)/AS15</f>
        <v>0</v>
      </c>
      <c r="AT322" s="221">
        <f>SUM(AT15,AT54)/AT15</f>
        <v>0</v>
      </c>
      <c r="AU322" s="221">
        <f>SUM(AU15,AU54)/AU15</f>
        <v>0</v>
      </c>
      <c r="AW322" s="221">
        <f>SUM(AW15,AW54)/AW15</f>
        <v>0</v>
      </c>
      <c r="AX322" s="221">
        <f>SUM(AX15,AX54)/AX15</f>
        <v>0</v>
      </c>
      <c r="AY322" s="221">
        <f>SUM(AY15,AY54)/AY15</f>
        <v>0</v>
      </c>
      <c r="AZ322" s="221">
        <f>SUM(AZ15,AZ54)/AZ15</f>
        <v>0</v>
      </c>
      <c r="BB322" s="221">
        <f>SUM(BB15,BB54)/BB15</f>
        <v>0</v>
      </c>
      <c r="BC322" s="221">
        <f>SUM(BC15,BC54)/BC15</f>
        <v>0</v>
      </c>
      <c r="BD322" s="221">
        <f>SUM(BD15,BD54)/BD15</f>
        <v>0</v>
      </c>
      <c r="BE322" s="221">
        <f>SUM(BE15,BE54)/BE15</f>
        <v>0</v>
      </c>
      <c r="BG322" s="221">
        <f>SUM(BG15,BG54)/BG15</f>
        <v>0</v>
      </c>
      <c r="BH322" s="221">
        <f>SUM(BH15,BH54)/BH15</f>
        <v>0</v>
      </c>
      <c r="BI322" s="221">
        <f>SUM(BI15,BI54)/BI15</f>
        <v>0</v>
      </c>
      <c r="BJ322" s="221">
        <f>SUM(BJ15,BJ54)/BJ15</f>
        <v>0</v>
      </c>
      <c r="BL322" s="221">
        <f>SUM(BL15,BL54)/BL15</f>
        <v>0</v>
      </c>
      <c r="BM322" s="221">
        <f>SUM(BM15,BM54)/BM15</f>
        <v>0</v>
      </c>
      <c r="BN322" s="221">
        <f>SUM(BN15,BN54)/BN15</f>
        <v>0</v>
      </c>
      <c r="BO322" s="221">
        <f>SUM(BO15,BO54)/BO15</f>
        <v>0</v>
      </c>
      <c r="BQ322" s="221">
        <f>SUM(BQ15,BQ54)/BQ15</f>
        <v>0</v>
      </c>
      <c r="BR322" s="221">
        <f>SUM(BR15,BR54)/BR15</f>
        <v>0</v>
      </c>
      <c r="BS322" s="221">
        <f>SUM(BS15,BS54)/BS15</f>
        <v>0</v>
      </c>
      <c r="BT322" s="221">
        <f>SUM(BT15,BT54)/BT15</f>
        <v>0</v>
      </c>
      <c r="BV322" s="221">
        <f>SUM(BV15,BV54)/BV15</f>
        <v>0</v>
      </c>
      <c r="BW322" s="221">
        <f>SUM(BW15,BW54)/BW15</f>
        <v>0</v>
      </c>
      <c r="BX322" s="221">
        <f>SUM(BX15,BX54)/BX15</f>
        <v>0</v>
      </c>
      <c r="BY322" s="221">
        <f>SUM(BY15,BY54)/BY15</f>
        <v>0</v>
      </c>
      <c r="CA322" s="221">
        <f>SUM(CA15,CA54)/CA15</f>
        <v>0</v>
      </c>
      <c r="CB322" s="221">
        <f>SUM(CB15,CB54)/CB15</f>
        <v>0</v>
      </c>
      <c r="CC322" s="221">
        <f>SUM(CC15,CC54)/CC15</f>
        <v>0</v>
      </c>
      <c r="CD322" s="221">
        <f>SUM(CD15,CD54)/CD15</f>
        <v>0</v>
      </c>
      <c r="CF322" s="221">
        <f>SUM(CF15,CF54)/CF15</f>
        <v>0</v>
      </c>
      <c r="CG322" s="221">
        <f>SUM(CG15,CG54)/CG15</f>
        <v>0</v>
      </c>
      <c r="CH322" s="221">
        <f>SUM(CH15,CH54)/CH15</f>
        <v>0</v>
      </c>
      <c r="CI322" s="221">
        <f>SUM(CI15,CI54)/CI15</f>
        <v>0</v>
      </c>
      <c r="CK322" s="221">
        <f>SUM(CK15,CK54)/CK15</f>
        <v>0</v>
      </c>
      <c r="CL322" s="221">
        <f>SUM(CL15,CL54)/CL15</f>
        <v>0</v>
      </c>
      <c r="CM322" s="221">
        <f>SUM(CM15,CM54)/CM15</f>
        <v>0</v>
      </c>
      <c r="CN322" s="221">
        <f>SUM(CN15,CN54)/CN15</f>
        <v>0</v>
      </c>
      <c r="CP322" s="221">
        <f>SUM(CP15,CP54)/CP15</f>
        <v>0</v>
      </c>
      <c r="CQ322" s="221">
        <f>SUM(CQ15,CQ54)/CQ15</f>
        <v>0</v>
      </c>
      <c r="CR322" s="221">
        <f>SUM(CR15,CR54)/CR15</f>
        <v>0</v>
      </c>
      <c r="CS322" s="221">
        <f>SUM(CS15,CS54)/CS15</f>
        <v>0</v>
      </c>
      <c r="CU322" s="221">
        <f>SUM(CU15,CU54)/CU15</f>
        <v>0</v>
      </c>
      <c r="CV322" s="221">
        <f>SUM(CV15,CV54)/CV15</f>
        <v>0</v>
      </c>
      <c r="CW322" s="221">
        <f>SUM(CW15,CW54)/CW15</f>
        <v>0</v>
      </c>
      <c r="CX322" s="221">
        <f>SUM(CX15,CX54)/CX15</f>
        <v>0</v>
      </c>
    </row>
    <row r="323" customFormat="1" s="233">
      <c r="A323" s="224" t="n"/>
      <c r="B323" s="224" t="n"/>
      <c r="C323" s="233" t="inlineStr">
        <is>
          <t>EBIT MARGIN</t>
        </is>
      </c>
      <c r="D323" s="236">
        <f>(D73/D15)</f>
        <v>0.223912402058814</v>
      </c>
      <c r="E323" s="236">
        <f>(E73/E15)</f>
        <v>0.246404102728475</v>
      </c>
      <c r="F323" s="236">
        <f>(F73/F15)</f>
        <v>0.233891706367502</v>
      </c>
      <c r="G323" s="236">
        <f>(G73/G15)</f>
        <v>0.337620609990487</v>
      </c>
      <c r="I323" s="222">
        <f>(I73/I15)</f>
        <v>-0.274031383737518</v>
      </c>
      <c r="J323" s="222">
        <f>(J73/J15)</f>
        <v>0.269012914432445</v>
      </c>
      <c r="K323" s="222">
        <f>(K73/K15)</f>
        <v>0.196242024819463</v>
      </c>
      <c r="L323" s="222">
        <f>(L73/L15)</f>
        <v>0.376170645520491</v>
      </c>
      <c r="N323" s="222">
        <f>(N73/N15)</f>
        <v>0.119857698587064</v>
      </c>
      <c r="O323" s="222">
        <f>(O73/O15)</f>
        <v>0.165790242477359</v>
      </c>
      <c r="P323" s="222">
        <f>(P73/P15)</f>
        <v>0.063501321148004</v>
      </c>
      <c r="Q323" s="222">
        <f>(Q73/Q15)</f>
        <v>0.00223761083427736</v>
      </c>
      <c r="S323" s="222">
        <f>(S73/S15)</f>
        <v>0.0468956022134554</v>
      </c>
      <c r="T323" s="222">
        <f>(T73/T15)</f>
        <v>0.208545440648169</v>
      </c>
      <c r="U323" s="222">
        <f>(U73/U15)</f>
        <v>0.221823581638534</v>
      </c>
      <c r="V323" s="222">
        <f>(V73/V15)</f>
        <v>0.433840080166376</v>
      </c>
      <c r="X323" s="222">
        <f>(X73/X15)</f>
        <v>0.317228156407486</v>
      </c>
      <c r="Y323" s="222">
        <f>(Y73/Y15)</f>
        <v>0.287723148893033</v>
      </c>
      <c r="Z323" s="222">
        <f>(Z73/Z15)</f>
        <v>0.344668652689562</v>
      </c>
      <c r="AA323" s="222">
        <f>(AA73/AA15)</f>
        <v>0.192705663623016</v>
      </c>
      <c r="AC323" s="222">
        <f>(AC73/AC15)</f>
        <v>0.230573089700997</v>
      </c>
      <c r="AD323" s="222">
        <f>(AD73/AD15)</f>
        <v>0.301213940442348</v>
      </c>
      <c r="AE323" s="222">
        <f>(AE73/AE15)</f>
        <v>0.296947162426615</v>
      </c>
      <c r="AF323" s="222">
        <f>(AF73/AF15)</f>
        <v>0.320011804365345</v>
      </c>
      <c r="AH323" s="222">
        <f>(AH73/AH15)</f>
        <v>0.262024429436142</v>
      </c>
      <c r="AI323" s="222">
        <f>(AI73/AI15)</f>
        <v>0.155347475097779</v>
      </c>
      <c r="AJ323" s="222">
        <f>(AJ73/AJ15)</f>
        <v>0</v>
      </c>
      <c r="AK323" s="222">
        <f>(AK73/AK15)</f>
        <v>0</v>
      </c>
      <c r="AM323" s="222">
        <f>(AM73/AM15)</f>
        <v>0</v>
      </c>
      <c r="AN323" s="222">
        <f>(AN73/AN15)</f>
        <v>0</v>
      </c>
      <c r="AO323" s="222">
        <f>(AO73/AO15)</f>
        <v>0</v>
      </c>
      <c r="AP323" s="222">
        <f>(AP73/AP15)</f>
        <v>0</v>
      </c>
      <c r="AR323" s="222">
        <f>(AR73/AR15)</f>
        <v>0</v>
      </c>
      <c r="AS323" s="222">
        <f>(AS73/AS15)</f>
        <v>0</v>
      </c>
      <c r="AT323" s="222">
        <f>(AT73/AT15)</f>
        <v>0</v>
      </c>
      <c r="AU323" s="222">
        <f>(AU73/AU15)</f>
        <v>0</v>
      </c>
      <c r="AW323" s="222">
        <f>(AW73/AW15)</f>
        <v>0</v>
      </c>
      <c r="AX323" s="222">
        <f>(AX73/AX15)</f>
        <v>0</v>
      </c>
      <c r="AY323" s="222">
        <f>(AY73/AY15)</f>
        <v>0</v>
      </c>
      <c r="AZ323" s="222">
        <f>(AZ73/AZ15)</f>
        <v>0</v>
      </c>
      <c r="BB323" s="222">
        <f>(BB73/BB15)</f>
        <v>0</v>
      </c>
      <c r="BC323" s="222">
        <f>(BC73/BC15)</f>
        <v>0</v>
      </c>
      <c r="BD323" s="222">
        <f>(BD73/BD15)</f>
        <v>0</v>
      </c>
      <c r="BE323" s="222">
        <f>(BE73/BE15)</f>
        <v>0</v>
      </c>
      <c r="BG323" s="222">
        <f>(BG73/BG15)</f>
        <v>0</v>
      </c>
      <c r="BH323" s="222">
        <f>(BH73/BH15)</f>
        <v>0</v>
      </c>
      <c r="BI323" s="222">
        <f>(BI73/BI15)</f>
        <v>0</v>
      </c>
      <c r="BJ323" s="222">
        <f>(BJ73/BJ15)</f>
        <v>0</v>
      </c>
      <c r="BL323" s="222">
        <f>(BL73/BL15)</f>
        <v>0</v>
      </c>
      <c r="BM323" s="222">
        <f>(BM73/BM15)</f>
        <v>0</v>
      </c>
      <c r="BN323" s="222">
        <f>(BN73/BN15)</f>
        <v>0</v>
      </c>
      <c r="BO323" s="222">
        <f>(BO73/BO15)</f>
        <v>0</v>
      </c>
      <c r="BQ323" s="222">
        <f>(BQ73/BQ15)</f>
        <v>0</v>
      </c>
      <c r="BR323" s="222">
        <f>(BR73/BR15)</f>
        <v>0</v>
      </c>
      <c r="BS323" s="222">
        <f>(BS73/BS15)</f>
        <v>0</v>
      </c>
      <c r="BT323" s="222">
        <f>(BT73/BT15)</f>
        <v>0</v>
      </c>
      <c r="BV323" s="222">
        <f>(BV73/BV15)</f>
        <v>0</v>
      </c>
      <c r="BW323" s="222">
        <f>(BW73/BW15)</f>
        <v>0</v>
      </c>
      <c r="BX323" s="222">
        <f>(BX73/BX15)</f>
        <v>0</v>
      </c>
      <c r="BY323" s="222">
        <f>(BY73/BY15)</f>
        <v>0</v>
      </c>
      <c r="CA323" s="222">
        <f>(CA73/CA15)</f>
        <v>0</v>
      </c>
      <c r="CB323" s="222">
        <f>(CB73/CB15)</f>
        <v>0</v>
      </c>
      <c r="CC323" s="222">
        <f>(CC73/CC15)</f>
        <v>0</v>
      </c>
      <c r="CD323" s="222">
        <f>(CD73/CD15)</f>
        <v>0</v>
      </c>
      <c r="CF323" s="222">
        <f>(CF73/CF15)</f>
        <v>0</v>
      </c>
      <c r="CG323" s="222">
        <f>(CG73/CG15)</f>
        <v>0</v>
      </c>
      <c r="CH323" s="222">
        <f>(CH73/CH15)</f>
        <v>0</v>
      </c>
      <c r="CI323" s="222">
        <f>(CI73/CI15)</f>
        <v>0</v>
      </c>
      <c r="CK323" s="222">
        <f>(CK73/CK15)</f>
        <v>0</v>
      </c>
      <c r="CL323" s="222">
        <f>(CL73/CL15)</f>
        <v>0</v>
      </c>
      <c r="CM323" s="222">
        <f>(CM73/CM15)</f>
        <v>0</v>
      </c>
      <c r="CN323" s="222">
        <f>(CN73/CN15)</f>
        <v>0</v>
      </c>
      <c r="CP323" s="222">
        <f>(CP73/CP15)</f>
        <v>0</v>
      </c>
      <c r="CQ323" s="222">
        <f>(CQ73/CQ15)</f>
        <v>0</v>
      </c>
      <c r="CR323" s="222">
        <f>(CR73/CR15)</f>
        <v>0</v>
      </c>
      <c r="CS323" s="222">
        <f>(CS73/CS15)</f>
        <v>0</v>
      </c>
      <c r="CU323" s="222">
        <f>(CU73/CU15)</f>
        <v>0</v>
      </c>
      <c r="CV323" s="222">
        <f>(CV73/CV15)</f>
        <v>0</v>
      </c>
      <c r="CW323" s="222">
        <f>(CW73/CW15)</f>
        <v>0</v>
      </c>
      <c r="CX323" s="222">
        <f>(CX73/CX15)</f>
        <v>0</v>
      </c>
    </row>
    <row r="324" customFormat="1" s="233">
      <c r="A324" s="224" t="n"/>
      <c r="B324" s="224" t="n"/>
      <c r="C324" s="233" t="inlineStr">
        <is>
          <t>EBITDA MARTGIN</t>
        </is>
      </c>
      <c r="D324" s="236">
        <f>D69/D15</f>
        <v>0.35595405916358</v>
      </c>
      <c r="E324" s="236">
        <f>E69/E15</f>
        <v>0.393435233783405</v>
      </c>
      <c r="F324" s="236">
        <f>F69/F15</f>
        <v>0.337390502535731</v>
      </c>
      <c r="G324" s="236">
        <f>G69/G15</f>
        <v>0.465413811178629</v>
      </c>
      <c r="I324" s="222">
        <f>I69/I15</f>
        <v>-0.152159771754636</v>
      </c>
      <c r="J324" s="222">
        <f>J69/J15</f>
        <v>0.39716465092192</v>
      </c>
      <c r="K324" s="222">
        <f>K69/K15</f>
        <v>0.327791187988902</v>
      </c>
      <c r="L324" s="222">
        <f>L69/L15</f>
        <v>0.490123130990004</v>
      </c>
      <c r="N324" s="222">
        <f>N69/N15</f>
        <v>0.277961421401649</v>
      </c>
      <c r="O324" s="222">
        <f>O69/O15</f>
        <v>0.365614957639498</v>
      </c>
      <c r="P324" s="222">
        <f>P69/P15</f>
        <v>0.307322862199952</v>
      </c>
      <c r="Q324" s="222">
        <f>Q69/Q15</f>
        <v>0.235808469440709</v>
      </c>
      <c r="S324" s="222">
        <f>S69/S15</f>
        <v>0.365807937726707</v>
      </c>
      <c r="T324" s="222">
        <f>T69/T15</f>
        <v>0.390134780503962</v>
      </c>
      <c r="U324" s="222">
        <f>U69/U15</f>
        <v>0.415147534514717</v>
      </c>
      <c r="V324" s="222">
        <f>V69/V15</f>
        <v>0.597823623902874</v>
      </c>
      <c r="X324" s="222">
        <f>X69/X15</f>
        <v>0.485545982232507</v>
      </c>
      <c r="Y324" s="222">
        <f>Y69/Y15</f>
        <v>0.437806619018168</v>
      </c>
      <c r="Z324" s="222">
        <f>Z69/Z15</f>
        <v>0.50474156274842</v>
      </c>
      <c r="AA324" s="222">
        <f>AA69/AA15</f>
        <v>0.403903460378965</v>
      </c>
      <c r="AC324" s="222">
        <f>AC69/AC15</f>
        <v>0.43266196013289</v>
      </c>
      <c r="AD324" s="222">
        <f>AD69/AD15</f>
        <v>0.463738875997895</v>
      </c>
      <c r="AE324" s="222">
        <f>AE69/AE15</f>
        <v>0.455680483899662</v>
      </c>
      <c r="AF324" s="222">
        <f>AF69/AF15</f>
        <v>0.490142219901706</v>
      </c>
      <c r="AH324" s="222">
        <f>AH69/AH15</f>
        <v>0.417242566661431</v>
      </c>
      <c r="AI324" s="222">
        <f>AI69/AI15</f>
        <v>0.248296501807859</v>
      </c>
      <c r="AJ324" s="222">
        <f>AJ69/AJ15</f>
        <v>0</v>
      </c>
      <c r="AK324" s="222">
        <f>AK69/AK15</f>
        <v>0</v>
      </c>
      <c r="AM324" s="222">
        <f>AM69/AM15</f>
        <v>0</v>
      </c>
      <c r="AN324" s="222">
        <f>AN69/AN15</f>
        <v>0</v>
      </c>
      <c r="AO324" s="222">
        <f>AO69/AO15</f>
        <v>0</v>
      </c>
      <c r="AP324" s="222">
        <f>AP69/AP15</f>
        <v>0</v>
      </c>
      <c r="AR324" s="222">
        <f>AR69/AR15</f>
        <v>0</v>
      </c>
      <c r="AS324" s="222">
        <f>AS69/AS15</f>
        <v>0</v>
      </c>
      <c r="AT324" s="222">
        <f>AT69/AT15</f>
        <v>0</v>
      </c>
      <c r="AU324" s="222">
        <f>AU69/AU15</f>
        <v>0</v>
      </c>
      <c r="AW324" s="222">
        <f>AW69/AW15</f>
        <v>0</v>
      </c>
      <c r="AX324" s="222">
        <f>AX69/AX15</f>
        <v>0</v>
      </c>
      <c r="AY324" s="222">
        <f>AY69/AY15</f>
        <v>0</v>
      </c>
      <c r="AZ324" s="222">
        <f>AZ69/AZ15</f>
        <v>0</v>
      </c>
      <c r="BB324" s="222">
        <f>BB69/BB15</f>
        <v>0</v>
      </c>
      <c r="BC324" s="222">
        <f>BC69/BC15</f>
        <v>0</v>
      </c>
      <c r="BD324" s="222">
        <f>BD69/BD15</f>
        <v>0</v>
      </c>
      <c r="BE324" s="222">
        <f>BE69/BE15</f>
        <v>0</v>
      </c>
      <c r="BG324" s="222">
        <f>BG69/BG15</f>
        <v>0</v>
      </c>
      <c r="BH324" s="222">
        <f>BH69/BH15</f>
        <v>0</v>
      </c>
      <c r="BI324" s="222">
        <f>BI69/BI15</f>
        <v>0</v>
      </c>
      <c r="BJ324" s="222">
        <f>BJ69/BJ15</f>
        <v>0</v>
      </c>
      <c r="BL324" s="222">
        <f>BL69/BL15</f>
        <v>0</v>
      </c>
      <c r="BM324" s="222">
        <f>BM69/BM15</f>
        <v>0</v>
      </c>
      <c r="BN324" s="222">
        <f>BN69/BN15</f>
        <v>0</v>
      </c>
      <c r="BO324" s="222">
        <f>BO69/BO15</f>
        <v>0</v>
      </c>
      <c r="BQ324" s="222">
        <f>BQ69/BQ15</f>
        <v>0</v>
      </c>
      <c r="BR324" s="222">
        <f>BR69/BR15</f>
        <v>0</v>
      </c>
      <c r="BS324" s="222">
        <f>BS69/BS15</f>
        <v>0</v>
      </c>
      <c r="BT324" s="222">
        <f>BT69/BT15</f>
        <v>0</v>
      </c>
      <c r="BV324" s="222">
        <f>BV69/BV15</f>
        <v>0</v>
      </c>
      <c r="BW324" s="222">
        <f>BW69/BW15</f>
        <v>0</v>
      </c>
      <c r="BX324" s="222">
        <f>BX69/BX15</f>
        <v>0</v>
      </c>
      <c r="BY324" s="222">
        <f>BY69/BY15</f>
        <v>0</v>
      </c>
      <c r="CA324" s="222">
        <f>CA69/CA15</f>
        <v>0</v>
      </c>
      <c r="CB324" s="222">
        <f>CB69/CB15</f>
        <v>0</v>
      </c>
      <c r="CC324" s="222">
        <f>CC69/CC15</f>
        <v>0</v>
      </c>
      <c r="CD324" s="222">
        <f>CD69/CD15</f>
        <v>0</v>
      </c>
      <c r="CF324" s="222">
        <f>CF69/CF15</f>
        <v>0</v>
      </c>
      <c r="CG324" s="222">
        <f>CG69/CG15</f>
        <v>0</v>
      </c>
      <c r="CH324" s="222">
        <f>CH69/CH15</f>
        <v>0</v>
      </c>
      <c r="CI324" s="222">
        <f>CI69/CI15</f>
        <v>0</v>
      </c>
      <c r="CK324" s="222">
        <f>CK69/CK15</f>
        <v>0</v>
      </c>
      <c r="CL324" s="222">
        <f>CL69/CL15</f>
        <v>0</v>
      </c>
      <c r="CM324" s="222">
        <f>CM69/CM15</f>
        <v>0</v>
      </c>
      <c r="CN324" s="222">
        <f>CN69/CN15</f>
        <v>0</v>
      </c>
      <c r="CP324" s="222">
        <f>CP69/CP15</f>
        <v>0</v>
      </c>
      <c r="CQ324" s="222">
        <f>CQ69/CQ15</f>
        <v>0</v>
      </c>
      <c r="CR324" s="222">
        <f>CR69/CR15</f>
        <v>0</v>
      </c>
      <c r="CS324" s="222">
        <f>CS69/CS15</f>
        <v>0</v>
      </c>
      <c r="CU324" s="222">
        <f>CU69/CU15</f>
        <v>0</v>
      </c>
      <c r="CV324" s="222">
        <f>CV69/CV15</f>
        <v>0</v>
      </c>
      <c r="CW324" s="222">
        <f>CW69/CW15</f>
        <v>0</v>
      </c>
      <c r="CX324" s="222">
        <f>CX69/CX15</f>
        <v>0</v>
      </c>
    </row>
    <row r="325" customFormat="1" s="233">
      <c r="A325" s="224" t="n"/>
      <c r="B325" s="224" t="n"/>
      <c r="C325" s="233" t="inlineStr">
        <is>
          <t>ETR</t>
        </is>
      </c>
      <c r="D325" s="236">
        <f>-D131/D130</f>
        <v>-0.628836545324768</v>
      </c>
      <c r="E325" s="236">
        <f>-E131/E130</f>
        <v>0.182724035414421</v>
      </c>
      <c r="F325" s="236">
        <f>-F131/F130</f>
        <v>0.835093108082165</v>
      </c>
      <c r="G325" s="236">
        <f>-G131/G130</f>
        <v>0.622045823561249</v>
      </c>
      <c r="I325" s="222">
        <f>-I131/I130</f>
        <v>-0.050538773254743</v>
      </c>
      <c r="J325" s="222">
        <f>-J131/J130</f>
        <v>0.436593562079944</v>
      </c>
      <c r="K325" s="222">
        <f>-K131/K130</f>
        <v>1.29184549356223</v>
      </c>
      <c r="L325" s="222">
        <f>-L131/L130</f>
        <v>3.35456767491598</v>
      </c>
      <c r="N325" s="222">
        <f>-N131/N130</f>
        <v>-0.279421476687359</v>
      </c>
      <c r="O325" s="222">
        <f>-O131/O130</f>
        <v>1.32803306248249</v>
      </c>
      <c r="P325" s="222">
        <f>-P131/P130</f>
        <v>-0.605365553962728</v>
      </c>
      <c r="Q325" s="222">
        <f>-Q131/Q130</f>
        <v>-0.108962960160418</v>
      </c>
      <c r="S325" s="222">
        <f>-S131/S130</f>
        <v>-0.185233692860811</v>
      </c>
      <c r="T325" s="222">
        <f>-T131/T130</f>
        <v>2.48679909479509</v>
      </c>
      <c r="U325" s="222">
        <f>-U131/U130</f>
        <v>0.743262927895119</v>
      </c>
      <c r="V325" s="222">
        <f>-V131/V130</f>
        <v>-0.0286090481745418</v>
      </c>
      <c r="X325" s="222">
        <f>-X131/X130</f>
        <v>0.0634579677431099</v>
      </c>
      <c r="Y325" s="222">
        <f>-Y131/Y130</f>
        <v>0.65752308527974</v>
      </c>
      <c r="Z325" s="222">
        <f>-Z131/Z130</f>
        <v>0.0791512207592995</v>
      </c>
      <c r="AA325" s="222">
        <f>-AA131/AA130</f>
        <v>-1.29627263045794</v>
      </c>
      <c r="AC325" s="222">
        <f>-AC131/AC130</f>
        <v>27.954703832752</v>
      </c>
      <c r="AD325" s="222">
        <f>-AD131/AD130</f>
        <v>0.185672703751617</v>
      </c>
      <c r="AE325" s="222">
        <f>-AE131/AE130</f>
        <v>0.113931721769578</v>
      </c>
      <c r="AF325" s="222">
        <f>-AF131/AF130</f>
        <v>0.197598215817464</v>
      </c>
      <c r="AH325" s="222">
        <f>-AH131/AH130</f>
        <v>0.346830786644029</v>
      </c>
      <c r="AI325" s="222">
        <f>-AI131/AI130</f>
        <v>0.750366458037647</v>
      </c>
      <c r="AJ325" s="222">
        <f>-AJ131/AJ130</f>
        <v>0</v>
      </c>
      <c r="AK325" s="222">
        <f>-AK131/AK130</f>
        <v>0</v>
      </c>
      <c r="AM325" s="222">
        <f>-AM131/AM130</f>
        <v>0</v>
      </c>
      <c r="AN325" s="222">
        <f>-AN131/AN130</f>
        <v>0</v>
      </c>
      <c r="AO325" s="222">
        <f>-AO131/AO130</f>
        <v>0</v>
      </c>
      <c r="AP325" s="222">
        <f>-AP131/AP130</f>
        <v>0</v>
      </c>
      <c r="AR325" s="222">
        <f>-AR131/AR130</f>
        <v>0</v>
      </c>
      <c r="AS325" s="222">
        <f>-AS131/AS130</f>
        <v>0</v>
      </c>
      <c r="AT325" s="222">
        <f>-AT131/AT130</f>
        <v>0</v>
      </c>
      <c r="AU325" s="222">
        <f>-AU131/AU130</f>
        <v>0</v>
      </c>
      <c r="AW325" s="222">
        <f>-AW131/AW130</f>
        <v>0</v>
      </c>
      <c r="AX325" s="222">
        <f>-AX131/AX130</f>
        <v>0</v>
      </c>
      <c r="AY325" s="222">
        <f>-AY131/AY130</f>
        <v>0</v>
      </c>
      <c r="AZ325" s="222">
        <f>-AZ131/AZ130</f>
        <v>0</v>
      </c>
      <c r="BB325" s="222">
        <f>-BB131/BB130</f>
        <v>0</v>
      </c>
      <c r="BC325" s="222">
        <f>-BC131/BC130</f>
        <v>0</v>
      </c>
      <c r="BD325" s="222">
        <f>-BD131/BD130</f>
        <v>0</v>
      </c>
      <c r="BE325" s="222">
        <f>-BE131/BE130</f>
        <v>0</v>
      </c>
      <c r="BG325" s="222">
        <f>-BG131/BG130</f>
        <v>0</v>
      </c>
      <c r="BH325" s="222">
        <f>-BH131/BH130</f>
        <v>0</v>
      </c>
      <c r="BI325" s="222">
        <f>-BI131/BI130</f>
        <v>0</v>
      </c>
      <c r="BJ325" s="222">
        <f>-BJ131/BJ130</f>
        <v>0</v>
      </c>
      <c r="BL325" s="222">
        <f>-BL131/BL130</f>
        <v>0</v>
      </c>
      <c r="BM325" s="222">
        <f>-BM131/BM130</f>
        <v>0</v>
      </c>
      <c r="BN325" s="222">
        <f>-BN131/BN130</f>
        <v>0</v>
      </c>
      <c r="BO325" s="222">
        <f>-BO131/BO130</f>
        <v>0</v>
      </c>
      <c r="BQ325" s="222">
        <f>-BQ131/BQ130</f>
        <v>0</v>
      </c>
      <c r="BR325" s="222">
        <f>-BR131/BR130</f>
        <v>0</v>
      </c>
      <c r="BS325" s="222">
        <f>-BS131/BS130</f>
        <v>0</v>
      </c>
      <c r="BT325" s="222">
        <f>-BT131/BT130</f>
        <v>0</v>
      </c>
      <c r="BV325" s="222">
        <f>-BV131/BV130</f>
        <v>0</v>
      </c>
      <c r="BW325" s="222">
        <f>-BW131/BW130</f>
        <v>0</v>
      </c>
      <c r="BX325" s="222">
        <f>-BX131/BX130</f>
        <v>0</v>
      </c>
      <c r="BY325" s="222">
        <f>-BY131/BY130</f>
        <v>0</v>
      </c>
      <c r="CA325" s="222">
        <f>-CA131/CA130</f>
        <v>0</v>
      </c>
      <c r="CB325" s="222">
        <f>-CB131/CB130</f>
        <v>0</v>
      </c>
      <c r="CC325" s="222">
        <f>-CC131/CC130</f>
        <v>0</v>
      </c>
      <c r="CD325" s="222">
        <f>-CD131/CD130</f>
        <v>0</v>
      </c>
      <c r="CF325" s="222">
        <f>-CF131/CF130</f>
        <v>0</v>
      </c>
      <c r="CG325" s="222">
        <f>-CG131/CG130</f>
        <v>0</v>
      </c>
      <c r="CH325" s="222">
        <f>-CH131/CH130</f>
        <v>0</v>
      </c>
      <c r="CI325" s="222">
        <f>-CI131/CI130</f>
        <v>0</v>
      </c>
      <c r="CK325" s="222">
        <f>-CK131/CK130</f>
        <v>0</v>
      </c>
      <c r="CL325" s="222">
        <f>-CL131/CL130</f>
        <v>0</v>
      </c>
      <c r="CM325" s="222">
        <f>-CM131/CM130</f>
        <v>0</v>
      </c>
      <c r="CN325" s="222">
        <f>-CN131/CN130</f>
        <v>0</v>
      </c>
      <c r="CP325" s="222">
        <f>-CP131/CP130</f>
        <v>0</v>
      </c>
      <c r="CQ325" s="222">
        <f>-CQ131/CQ130</f>
        <v>0</v>
      </c>
      <c r="CR325" s="222">
        <f>-CR131/CR130</f>
        <v>0</v>
      </c>
      <c r="CS325" s="222">
        <f>-CS131/CS130</f>
        <v>0</v>
      </c>
      <c r="CU325" s="222">
        <f>-CU131/CU130</f>
        <v>0</v>
      </c>
      <c r="CV325" s="222">
        <f>-CV131/CV130</f>
        <v>0</v>
      </c>
      <c r="CW325" s="222">
        <f>-CW131/CW130</f>
        <v>0</v>
      </c>
      <c r="CX325" s="222">
        <f>-CX131/CX130</f>
        <v>0</v>
      </c>
    </row>
    <row r="326" customFormat="1" s="233">
      <c r="A326" s="224" t="n"/>
      <c r="B326" s="224" t="n"/>
    </row>
    <row r="327" customFormat="1" s="233">
      <c r="A327" s="224" t="n"/>
      <c r="B327" s="224" t="n"/>
      <c r="C327" s="234" t="inlineStr">
        <is>
          <t>CAPITAL STRUCTURE</t>
        </is>
      </c>
    </row>
    <row r="328" customFormat="1" s="233">
      <c r="A328" s="224" t="n"/>
      <c r="B328" s="224" t="n"/>
      <c r="C328" s="233" t="inlineStr">
        <is>
          <t>MARKET DEBT / EQUITY</t>
        </is>
      </c>
    </row>
    <row r="329" customFormat="1" s="233">
      <c r="A329" s="224" t="n"/>
      <c r="B329" s="224" t="n"/>
      <c r="C329" s="233" t="inlineStr">
        <is>
          <t>NET DEBT / (NET DEBT + MARKET CAP)</t>
        </is>
      </c>
    </row>
    <row r="330" customFormat="1" s="233">
      <c r="A330" s="224" t="n"/>
      <c r="B330" s="224" t="n"/>
    </row>
    <row r="331" customFormat="1" s="233">
      <c r="A331" s="224" t="n"/>
      <c r="B331" s="224" t="n"/>
      <c r="C331" s="234" t="inlineStr">
        <is>
          <t>FINANCIAL RISK RATIOS</t>
        </is>
      </c>
    </row>
    <row r="332" customFormat="1" s="233">
      <c r="A332" s="224" t="n"/>
      <c r="B332" s="224" t="n"/>
      <c r="C332" s="233" t="inlineStr">
        <is>
          <t>EBITDA / TOTAL INTEREST</t>
        </is>
      </c>
      <c r="D332" s="219">
        <f>D69/-D74</f>
        <v>1.21531975225729</v>
      </c>
      <c r="E332" s="219">
        <f>E69/-E74</f>
        <v>1.9794889885602</v>
      </c>
      <c r="F332" s="219">
        <f>F69/-F74</f>
        <v>1.58306893567926</v>
      </c>
      <c r="G332" s="219">
        <f>G69/-G74</f>
        <v>3.22131147540984</v>
      </c>
      <c r="I332" s="219">
        <f>I69/-I74</f>
        <v>-0.551702735134688</v>
      </c>
      <c r="J332" s="219">
        <f>J69/-J74</f>
        <v>1.6384920105043</v>
      </c>
      <c r="K332" s="219">
        <f>K69/-K74</f>
        <v>1.36944514185288</v>
      </c>
      <c r="L332" s="219">
        <f>L69/-L74</f>
        <v>1.38034985951237</v>
      </c>
      <c r="N332" s="219">
        <f>N69/-N74</f>
        <v>0.667029432392561</v>
      </c>
      <c r="O332" s="219">
        <f>O69/-O74</f>
        <v>0.79760714958212</v>
      </c>
      <c r="P332" s="219">
        <f>P69/-P74</f>
        <v>1.61734326207062</v>
      </c>
      <c r="Q332" s="219">
        <f>Q69/-Q74</f>
        <v>0.504735742012541</v>
      </c>
      <c r="S332" s="219">
        <f>S69/-S74</f>
        <v>1.31899415740635</v>
      </c>
      <c r="T332" s="219">
        <f>T69/-T74</f>
        <v>1.67891759133371</v>
      </c>
      <c r="U332" s="219">
        <f>U69/-U74</f>
        <v>1.75617738144919</v>
      </c>
      <c r="V332" s="219">
        <f>V69/-V74</f>
        <v>2.13195417160507</v>
      </c>
      <c r="X332" s="219">
        <f>X69/-X74</f>
        <v>2.18002661972436</v>
      </c>
      <c r="Y332" s="219">
        <f>Y69/-Y74</f>
        <v>1.93288714611263</v>
      </c>
      <c r="Z332" s="219">
        <f>Z69/-Z74</f>
        <v>2.24192167772309</v>
      </c>
      <c r="AA332" s="219">
        <f>AA69/-AA74</f>
        <v>1.19136150475361</v>
      </c>
      <c r="AC332" s="219">
        <f>AC69/-AC74</f>
        <v>1.40657486161739</v>
      </c>
      <c r="AD332" s="219">
        <f>AD69/-AD74</f>
        <v>1.66482306897864</v>
      </c>
      <c r="AE332" s="219">
        <f>AE69/-AE74</f>
        <v>1.42507900476254</v>
      </c>
      <c r="AF332" s="219">
        <f>AF69/-AF74</f>
        <v>1.47827922633651</v>
      </c>
      <c r="AH332" s="219">
        <f>AH69/-AH74</f>
        <v>1.78561826219591</v>
      </c>
      <c r="AI332" s="219">
        <f>AI69/-AI74</f>
        <v>1.73865335536893</v>
      </c>
      <c r="AJ332" s="219" t="e">
        <f>AJ69/-AJ74</f>
        <v>#DIV/0!</v>
      </c>
      <c r="AK332" s="219" t="e">
        <f>AK69/-AK74</f>
        <v>#DIV/0!</v>
      </c>
      <c r="AM332" s="219" t="e">
        <f>AM69/-AM74</f>
        <v>#DIV/0!</v>
      </c>
      <c r="AN332" s="219" t="e">
        <f>AN69/-AN74</f>
        <v>#DIV/0!</v>
      </c>
      <c r="AO332" s="219" t="e">
        <f>AO69/-AO74</f>
        <v>#DIV/0!</v>
      </c>
      <c r="AP332" s="219" t="e">
        <f>AP69/-AP74</f>
        <v>#DIV/0!</v>
      </c>
      <c r="AR332" s="219" t="e">
        <f>AR69/-AR74</f>
        <v>#DIV/0!</v>
      </c>
      <c r="AS332" s="219" t="e">
        <f>AS69/-AS74</f>
        <v>#DIV/0!</v>
      </c>
      <c r="AT332" s="219" t="e">
        <f>AT69/-AT74</f>
        <v>#DIV/0!</v>
      </c>
      <c r="AU332" s="219" t="e">
        <f>AU69/-AU74</f>
        <v>#DIV/0!</v>
      </c>
      <c r="AW332" s="219" t="e">
        <f>AW69/-AW74</f>
        <v>#DIV/0!</v>
      </c>
      <c r="AX332" s="219" t="e">
        <f>AX69/-AX74</f>
        <v>#DIV/0!</v>
      </c>
      <c r="AY332" s="219" t="e">
        <f>AY69/-AY74</f>
        <v>#DIV/0!</v>
      </c>
      <c r="AZ332" s="219" t="e">
        <f>AZ69/-AZ74</f>
        <v>#DIV/0!</v>
      </c>
      <c r="BB332" s="219" t="e">
        <f>BB69/-BB74</f>
        <v>#DIV/0!</v>
      </c>
      <c r="BC332" s="219" t="e">
        <f>BC69/-BC74</f>
        <v>#DIV/0!</v>
      </c>
      <c r="BD332" s="219" t="e">
        <f>BD69/-BD74</f>
        <v>#DIV/0!</v>
      </c>
      <c r="BE332" s="219" t="e">
        <f>BE69/-BE74</f>
        <v>#DIV/0!</v>
      </c>
      <c r="BG332" s="219" t="e">
        <f>BG69/-BG74</f>
        <v>#DIV/0!</v>
      </c>
      <c r="BH332" s="219" t="e">
        <f>BH69/-BH74</f>
        <v>#DIV/0!</v>
      </c>
      <c r="BI332" s="219" t="e">
        <f>BI69/-BI74</f>
        <v>#DIV/0!</v>
      </c>
      <c r="BJ332" s="219" t="e">
        <f>BJ69/-BJ74</f>
        <v>#DIV/0!</v>
      </c>
      <c r="BL332" s="219" t="e">
        <f>BL69/-BL74</f>
        <v>#DIV/0!</v>
      </c>
      <c r="BM332" s="219" t="e">
        <f>BM69/-BM74</f>
        <v>#DIV/0!</v>
      </c>
      <c r="BN332" s="219" t="e">
        <f>BN69/-BN74</f>
        <v>#DIV/0!</v>
      </c>
      <c r="BO332" s="219" t="e">
        <f>BO69/-BO74</f>
        <v>#DIV/0!</v>
      </c>
      <c r="BQ332" s="219" t="e">
        <f>BQ69/-BQ74</f>
        <v>#DIV/0!</v>
      </c>
      <c r="BR332" s="219" t="e">
        <f>BR69/-BR74</f>
        <v>#DIV/0!</v>
      </c>
      <c r="BS332" s="219" t="e">
        <f>BS69/-BS74</f>
        <v>#DIV/0!</v>
      </c>
      <c r="BT332" s="219" t="e">
        <f>BT69/-BT74</f>
        <v>#DIV/0!</v>
      </c>
      <c r="BV332" s="219" t="e">
        <f>BV69/-BV74</f>
        <v>#DIV/0!</v>
      </c>
      <c r="BW332" s="219" t="e">
        <f>BW69/-BW74</f>
        <v>#DIV/0!</v>
      </c>
      <c r="BX332" s="219" t="e">
        <f>BX69/-BX74</f>
        <v>#DIV/0!</v>
      </c>
      <c r="BY332" s="219" t="e">
        <f>BY69/-BY74</f>
        <v>#DIV/0!</v>
      </c>
      <c r="CA332" s="219" t="e">
        <f>CA69/-CA74</f>
        <v>#DIV/0!</v>
      </c>
      <c r="CB332" s="219" t="e">
        <f>CB69/-CB74</f>
        <v>#DIV/0!</v>
      </c>
      <c r="CC332" s="219" t="e">
        <f>CC69/-CC74</f>
        <v>#DIV/0!</v>
      </c>
      <c r="CD332" s="219" t="e">
        <f>CD69/-CD74</f>
        <v>#DIV/0!</v>
      </c>
      <c r="CF332" s="219" t="e">
        <f>CF69/-CF74</f>
        <v>#DIV/0!</v>
      </c>
      <c r="CG332" s="219" t="e">
        <f>CG69/-CG74</f>
        <v>#DIV/0!</v>
      </c>
      <c r="CH332" s="219" t="e">
        <f>CH69/-CH74</f>
        <v>#DIV/0!</v>
      </c>
      <c r="CI332" s="219" t="e">
        <f>CI69/-CI74</f>
        <v>#DIV/0!</v>
      </c>
      <c r="CK332" s="219" t="e">
        <f>CK69/-CK74</f>
        <v>#DIV/0!</v>
      </c>
      <c r="CL332" s="219" t="e">
        <f>CL69/-CL74</f>
        <v>#DIV/0!</v>
      </c>
      <c r="CM332" s="219" t="e">
        <f>CM69/-CM74</f>
        <v>#DIV/0!</v>
      </c>
      <c r="CN332" s="219" t="e">
        <f>CN69/-CN74</f>
        <v>#DIV/0!</v>
      </c>
      <c r="CP332" s="219" t="e">
        <f>CP69/-CP74</f>
        <v>#DIV/0!</v>
      </c>
      <c r="CQ332" s="219" t="e">
        <f>CQ69/-CQ74</f>
        <v>#DIV/0!</v>
      </c>
      <c r="CR332" s="219" t="e">
        <f>CR69/-CR74</f>
        <v>#DIV/0!</v>
      </c>
      <c r="CS332" s="219" t="e">
        <f>CS69/-CS74</f>
        <v>#DIV/0!</v>
      </c>
      <c r="CU332" s="219" t="e">
        <f>CU69/-CU74</f>
        <v>#DIV/0!</v>
      </c>
      <c r="CV332" s="219" t="e">
        <f>CV69/-CV74</f>
        <v>#DIV/0!</v>
      </c>
      <c r="CW332" s="219" t="e">
        <f>CW69/-CW74</f>
        <v>#DIV/0!</v>
      </c>
      <c r="CX332" s="219" t="e">
        <f>CX69/-CX74</f>
        <v>#DIV/0!</v>
      </c>
    </row>
    <row r="333" customFormat="1" s="233">
      <c r="A333" s="224" t="n"/>
      <c r="B333" s="224" t="n"/>
      <c r="C333" s="233" t="inlineStr">
        <is>
          <t>(EBITDA - CAPEX) / TOTAL INTEREST</t>
        </is>
      </c>
      <c r="D333" s="219">
        <f>(D69-D168)/-D74</f>
        <v>1.21531975225729</v>
      </c>
      <c r="E333" s="219">
        <f>(E69-E168)/-E74</f>
        <v>0.78612105024442</v>
      </c>
      <c r="F333" s="219">
        <f>(F69-F168)/-F74</f>
        <v>1.20488414575521</v>
      </c>
      <c r="G333" s="219">
        <f>(G69-G168)/-G74</f>
        <v>1.71506315506584</v>
      </c>
      <c r="I333" s="219">
        <f>(I69-I168)/-I74</f>
        <v>-1.0091447014524</v>
      </c>
      <c r="J333" s="219">
        <f>(J69-J168)/-J74</f>
        <v>0.645346508212044</v>
      </c>
      <c r="K333" s="219">
        <f>(K69-K168)/-K74</f>
        <v>0.167670934806262</v>
      </c>
      <c r="L333" s="219">
        <f>(L69-L168)/-L74</f>
        <v>-0.122432701894317</v>
      </c>
      <c r="N333" s="219">
        <f>(N69-N168)/-N74</f>
        <v>-1.17611066773078</v>
      </c>
      <c r="O333" s="219">
        <f>(O69-O168)/-O74</f>
        <v>-4.08089630498704</v>
      </c>
      <c r="P333" s="219">
        <f>(P69-P168)/-P74</f>
        <v>0.27880534870686</v>
      </c>
      <c r="Q333" s="219">
        <f>(Q69-Q168)/-Q74</f>
        <v>-0.472726186921469</v>
      </c>
      <c r="S333" s="219">
        <f>(S69-S168)/-S74</f>
        <v>-0.409210677053498</v>
      </c>
      <c r="T333" s="219">
        <f>(T69-T168)/-T74</f>
        <v>0.299833340642953</v>
      </c>
      <c r="U333" s="219">
        <f>(U69-U168)/-U74</f>
        <v>-0.431505194491423</v>
      </c>
      <c r="V333" s="219">
        <f>(V69-V168)/-V74</f>
        <v>1.26381855403513</v>
      </c>
      <c r="X333" s="219">
        <f>(X69-X168)/-X74</f>
        <v>0.513932420248166</v>
      </c>
      <c r="Y333" s="219">
        <f>(Y69-Y168)/-Y74</f>
        <v>-1.14564043605905</v>
      </c>
      <c r="Z333" s="219">
        <f>(Z69-Z168)/-Z74</f>
        <v>-3.51084242813325</v>
      </c>
      <c r="AA333" s="219">
        <f>(AA69-AA168)/-AA74</f>
        <v>-1.90059708377111</v>
      </c>
      <c r="AC333" s="219">
        <f>(AC69-AC168)/-AC74</f>
        <v>-0.410652085864724</v>
      </c>
      <c r="AD333" s="219">
        <f>(AD69-AD168)/-AD74</f>
        <v>-1.45005979235745</v>
      </c>
      <c r="AE333" s="219">
        <f>(AE69-AE168)/-AE74</f>
        <v>-0.279943917746027</v>
      </c>
      <c r="AF333" s="219">
        <f>(AF69-AF168)/-AF74</f>
        <v>-0.557288754493068</v>
      </c>
      <c r="AH333" s="219">
        <f>(AH69-AH168)/-AH74</f>
        <v>-0.793089630567979</v>
      </c>
      <c r="AI333" s="219">
        <f>(AI69-AI168)/-AI74</f>
        <v>-11.1450976424163</v>
      </c>
      <c r="AJ333" s="219" t="e">
        <f>(AJ69-AJ168)/-AJ74</f>
        <v>#DIV/0!</v>
      </c>
      <c r="AK333" s="219" t="e">
        <f>(AK69-AK168)/-AK74</f>
        <v>#DIV/0!</v>
      </c>
      <c r="AM333" s="219" t="e">
        <f>(AM69-AM168)/-AM74</f>
        <v>#DIV/0!</v>
      </c>
      <c r="AN333" s="219" t="e">
        <f>(AN69-AN168)/-AN74</f>
        <v>#DIV/0!</v>
      </c>
      <c r="AO333" s="219" t="e">
        <f>(AO69-AO168)/-AO74</f>
        <v>#DIV/0!</v>
      </c>
      <c r="AP333" s="219" t="e">
        <f>(AP69-AP168)/-AP74</f>
        <v>#DIV/0!</v>
      </c>
      <c r="AR333" s="219" t="e">
        <f>(AR69-AR168)/-AR74</f>
        <v>#DIV/0!</v>
      </c>
      <c r="AS333" s="219" t="e">
        <f>(AS69-AS168)/-AS74</f>
        <v>#DIV/0!</v>
      </c>
      <c r="AT333" s="219" t="e">
        <f>(AT69-AT168)/-AT74</f>
        <v>#DIV/0!</v>
      </c>
      <c r="AU333" s="219" t="e">
        <f>(AU69-AU168)/-AU74</f>
        <v>#DIV/0!</v>
      </c>
      <c r="AW333" s="219" t="e">
        <f>(AW69-AW168)/-AW74</f>
        <v>#DIV/0!</v>
      </c>
      <c r="AX333" s="219" t="e">
        <f>(AX69-AX168)/-AX74</f>
        <v>#DIV/0!</v>
      </c>
      <c r="AY333" s="219" t="e">
        <f>(AY69-AY168)/-AY74</f>
        <v>#DIV/0!</v>
      </c>
      <c r="AZ333" s="219" t="e">
        <f>(AZ69-AZ168)/-AZ74</f>
        <v>#DIV/0!</v>
      </c>
      <c r="BB333" s="219" t="e">
        <f>(BB69-BB168)/-BB74</f>
        <v>#DIV/0!</v>
      </c>
      <c r="BC333" s="219" t="e">
        <f>(BC69-BC168)/-BC74</f>
        <v>#DIV/0!</v>
      </c>
      <c r="BD333" s="219" t="e">
        <f>(BD69-BD168)/-BD74</f>
        <v>#DIV/0!</v>
      </c>
      <c r="BE333" s="219" t="e">
        <f>(BE69-BE168)/-BE74</f>
        <v>#DIV/0!</v>
      </c>
      <c r="BG333" s="219" t="e">
        <f>(BG69-BG168)/-BG74</f>
        <v>#DIV/0!</v>
      </c>
      <c r="BH333" s="219" t="e">
        <f>(BH69-BH168)/-BH74</f>
        <v>#DIV/0!</v>
      </c>
      <c r="BI333" s="219" t="e">
        <f>(BI69-BI168)/-BI74</f>
        <v>#DIV/0!</v>
      </c>
      <c r="BJ333" s="219" t="e">
        <f>(BJ69-BJ168)/-BJ74</f>
        <v>#DIV/0!</v>
      </c>
      <c r="BL333" s="219" t="e">
        <f>(BL69-BL168)/-BL74</f>
        <v>#DIV/0!</v>
      </c>
      <c r="BM333" s="219" t="e">
        <f>(BM69-BM168)/-BM74</f>
        <v>#DIV/0!</v>
      </c>
      <c r="BN333" s="219" t="e">
        <f>(BN69-BN168)/-BN74</f>
        <v>#DIV/0!</v>
      </c>
      <c r="BO333" s="219" t="e">
        <f>(BO69-BO168)/-BO74</f>
        <v>#DIV/0!</v>
      </c>
      <c r="BQ333" s="219" t="e">
        <f>(BQ69-BQ168)/-BQ74</f>
        <v>#DIV/0!</v>
      </c>
      <c r="BR333" s="219" t="e">
        <f>(BR69-BR168)/-BR74</f>
        <v>#DIV/0!</v>
      </c>
      <c r="BS333" s="219" t="e">
        <f>(BS69-BS168)/-BS74</f>
        <v>#DIV/0!</v>
      </c>
      <c r="BT333" s="219" t="e">
        <f>(BT69-BT168)/-BT74</f>
        <v>#DIV/0!</v>
      </c>
      <c r="BV333" s="219" t="e">
        <f>(BV69-BV168)/-BV74</f>
        <v>#DIV/0!</v>
      </c>
      <c r="BW333" s="219" t="e">
        <f>(BW69-BW168)/-BW74</f>
        <v>#DIV/0!</v>
      </c>
      <c r="BX333" s="219" t="e">
        <f>(BX69-BX168)/-BX74</f>
        <v>#DIV/0!</v>
      </c>
      <c r="BY333" s="219" t="e">
        <f>(BY69-BY168)/-BY74</f>
        <v>#DIV/0!</v>
      </c>
      <c r="CA333" s="219" t="e">
        <f>(CA69-CA168)/-CA74</f>
        <v>#DIV/0!</v>
      </c>
      <c r="CB333" s="219" t="e">
        <f>(CB69-CB168)/-CB74</f>
        <v>#DIV/0!</v>
      </c>
      <c r="CC333" s="219" t="e">
        <f>(CC69-CC168)/-CC74</f>
        <v>#DIV/0!</v>
      </c>
      <c r="CD333" s="219" t="e">
        <f>(CD69-CD168)/-CD74</f>
        <v>#DIV/0!</v>
      </c>
      <c r="CF333" s="219" t="e">
        <f>(CF69-CF168)/-CF74</f>
        <v>#DIV/0!</v>
      </c>
      <c r="CG333" s="219" t="e">
        <f>(CG69-CG168)/-CG74</f>
        <v>#DIV/0!</v>
      </c>
      <c r="CH333" s="219" t="e">
        <f>(CH69-CH168)/-CH74</f>
        <v>#DIV/0!</v>
      </c>
      <c r="CI333" s="219" t="e">
        <f>(CI69-CI168)/-CI74</f>
        <v>#DIV/0!</v>
      </c>
      <c r="CK333" s="219" t="e">
        <f>(CK69-CK168)/-CK74</f>
        <v>#DIV/0!</v>
      </c>
      <c r="CL333" s="219" t="e">
        <f>(CL69-CL168)/-CL74</f>
        <v>#DIV/0!</v>
      </c>
      <c r="CM333" s="219" t="e">
        <f>(CM69-CM168)/-CM74</f>
        <v>#DIV/0!</v>
      </c>
      <c r="CN333" s="219" t="e">
        <f>(CN69-CN168)/-CN74</f>
        <v>#DIV/0!</v>
      </c>
      <c r="CP333" s="219" t="e">
        <f>(CP69-CP168)/-CP74</f>
        <v>#DIV/0!</v>
      </c>
      <c r="CQ333" s="219" t="e">
        <f>(CQ69-CQ168)/-CQ74</f>
        <v>#DIV/0!</v>
      </c>
      <c r="CR333" s="219" t="e">
        <f>(CR69-CR168)/-CR74</f>
        <v>#DIV/0!</v>
      </c>
      <c r="CS333" s="219" t="e">
        <f>(CS69-CS168)/-CS74</f>
        <v>#DIV/0!</v>
      </c>
      <c r="CU333" s="219" t="e">
        <f>(CU69-CU168)/-CU74</f>
        <v>#DIV/0!</v>
      </c>
      <c r="CV333" s="219" t="e">
        <f>(CV69-CV168)/-CV74</f>
        <v>#DIV/0!</v>
      </c>
      <c r="CW333" s="219" t="e">
        <f>(CW69-CW168)/-CW74</f>
        <v>#DIV/0!</v>
      </c>
      <c r="CX333" s="219" t="e">
        <f>(CX69-CX168)/-CX74</f>
        <v>#DIV/0!</v>
      </c>
    </row>
    <row r="334" customFormat="1" s="233">
      <c r="A334" s="224" t="n"/>
      <c r="B334" s="224" t="n"/>
      <c r="C334" s="233" t="inlineStr">
        <is>
          <t>TOTAL DEBT / EBITDA LTM</t>
        </is>
      </c>
      <c r="D334" s="219" t="str">
        <f>""</f>
        <v/>
      </c>
      <c r="E334" s="219" t="str">
        <f>""</f>
        <v/>
      </c>
      <c r="F334" s="219" t="str">
        <f>""</f>
        <v/>
      </c>
      <c r="G334" s="219">
        <f>IFERROR(SUM(G212,G213,G214,G217,G235,G238)/(G69+F69+E69+D69),"")</f>
        <v>2.20899108879126</v>
      </c>
      <c r="I334" s="219">
        <f>IFERROR(SUM(I212,I213,I214,I217,I235,I238)/(I69+G69+F69+E69),"")</f>
        <v>3.27844190857774</v>
      </c>
      <c r="J334" s="219">
        <f>IFERROR(SUM(J212,J213,J214,J217,J235,J238)/(J69+I69+G69+F69),"")</f>
        <v>2.88122388746215</v>
      </c>
      <c r="K334" s="219">
        <f>IFERROR(SUM(K212,K213,K214,K217,K235,K238)/(K69+J69+I69+G69),"")</f>
        <v>2.76593824410477</v>
      </c>
      <c r="L334" s="219">
        <f>IFERROR(SUM(L212,L213,L214,L217,L235,L238)/(L69+K69+J69+I69),"")</f>
        <v>4.3613140616382</v>
      </c>
      <c r="N334" s="219">
        <f>IFERROR(SUM(N212,N213,N214,N217,N235,N238)/(N69+L69+K69+J69),"")</f>
        <v>3.39683263402725</v>
      </c>
      <c r="O334" s="219">
        <f>IFERROR(SUM(O212,O213,O214,O217,O235,O238)/(O69+N69+L69+K69),"")</f>
        <v>3.25270335890059</v>
      </c>
      <c r="P334" s="219">
        <f>IFERROR(SUM(P212,P213,P214,P217,P235,P238)/(P69+O69+N69+L69),"")</f>
        <v>2.99714664685425</v>
      </c>
      <c r="Q334" s="219">
        <f>IFERROR(SUM(Q212,Q213,Q214,Q217,Q235,Q238)/(Q69+P69+O69+N69),"")</f>
        <v>5.77438100731525</v>
      </c>
      <c r="S334" s="219">
        <f>IFERROR(SUM(S212,S213,S214,S217,S235,S238)/(S69+Q69+P69+O69),"")</f>
        <v>4.70724615974238</v>
      </c>
      <c r="T334" s="219">
        <f>IFERROR(SUM(T212,T213,T214,T217,T235,T238)/(T69+S69+Q69+P69),"")</f>
        <v>4.29560279920644</v>
      </c>
      <c r="U334" s="219">
        <f>IFERROR(SUM(U212,U213,U214,U217,U235,U238)/(U69+T69+S69+Q69),"")</f>
        <v>4.465420239753</v>
      </c>
      <c r="V334" s="219">
        <f>IFERROR(SUM(V212,V213,V214,V217,V235,V238)/(V69+U69+T69+S69),"")</f>
        <v>3.42058259758364</v>
      </c>
      <c r="X334" s="219">
        <f>IFERROR(SUM(X212,X213,X214,X217,X235,X238)/(X69+V69+U69+T69),"")</f>
        <v>3.14470433054043</v>
      </c>
      <c r="Y334" s="219">
        <f>IFERROR(SUM(Y212,Y213,Y214,Y217,Y235,Y238)/(Y69+X69+V69+U69),"")</f>
        <v>3.36524534961559</v>
      </c>
      <c r="Z334" s="219">
        <f>IFERROR(SUM(Z212,Z213,Z214,Z217,Z235,Z238)/(Z69+Y69+X69+V69),"")</f>
        <v>4.52564315201858</v>
      </c>
      <c r="AA334" s="219">
        <f>IFERROR(SUM(AA212,AA213,AA214,AA217,AA235,AA238)/(AA69+Z69+Y69+X69),"")</f>
        <v>4.76594722947505</v>
      </c>
      <c r="AC334" s="219">
        <f>IFERROR(SUM(AC212,AC213,AC214,AC217,AC235,AC238)/(AC69+AA69+Z69+Y69),"")</f>
        <v>4.88736862550446</v>
      </c>
      <c r="AD334" s="219">
        <f>IFERROR(SUM(AD212,AD213,AD214,AD217,AD235,AD238)/(AD69+AC69+AA69+Z69),"")</f>
        <v>4.46921945688658</v>
      </c>
      <c r="AE334" s="219">
        <f>IFERROR(SUM(AE212,AE213,AE214,AE217,AE235,AE238)/(AE69+AD69+AC69+AA69),"")</f>
        <v>4.88365501869363</v>
      </c>
      <c r="AF334" s="219">
        <f>IFERROR(SUM(AF212,AF213,AF214,AF217,AF235,AF238)/(AF69+AE69+AD69+AC69),"")</f>
        <v>4.59720140239597</v>
      </c>
      <c r="AH334" s="219">
        <f>IFERROR(SUM(AH212,AH213,AH214,AH217,AH235,AH238)/(AH69+AF69+AE69+AD69),"")</f>
        <v>4.50182145144983</v>
      </c>
      <c r="AI334" s="219">
        <f>IFERROR(SUM(AI212,AI213,AI214,AI217,AI235,AI238)/(AI69+AH69+AF69+AE69),"")</f>
        <v>7.05519390267167</v>
      </c>
      <c r="AJ334" s="219">
        <f>IFERROR(SUM(AJ212,AJ213,AJ214,AJ217,AJ235,AJ238)/(AJ69+AI69+AH69+AF69),"")</f>
        <v>9.19460808455827</v>
      </c>
      <c r="AK334" s="219">
        <f>IFERROR(SUM(AK212,AK213,AK214,AK217,AK235,AK238)/(AK69+AJ69+AI69+AH69),"")</f>
        <v>13.2629317558498</v>
      </c>
      <c r="AM334" s="219">
        <f>IFERROR(SUM(AM212,AM213,AM214,AM217,AM235,AM238)/(AM69+AK69+AJ69+AI69),"")</f>
        <v>25.1100175883296</v>
      </c>
      <c r="AN334" s="219" t="str">
        <f>IFERROR(SUM(AN212,AN213,AN214,AN217,AN235,AN238)/(AN69+AM69+AK69+AJ69),"")</f>
        <v/>
      </c>
      <c r="AO334" s="219" t="str">
        <f>IFERROR(SUM(AO212,AO213,AO214,AO217,AO235,AO238)/(AO69+AN69+AM69+AK69),"")</f>
        <v/>
      </c>
      <c r="AP334" s="219" t="str">
        <f>IFERROR(SUM(AP212,AP213,AP214,AP217,AP235,AP238)/(AP69+AO69+AN69+AM69),"")</f>
        <v/>
      </c>
      <c r="AR334" s="219" t="str">
        <f>IFERROR(SUM(AR212,AR213,AR214,AR217,AR235,AR238)/(AR69+AP69+AO69+AN69),"")</f>
        <v/>
      </c>
      <c r="AS334" s="219" t="str">
        <f>IFERROR(SUM(AS212,AS213,AS214,AS217,AS235,AS238)/(AS69+AR69+AP69+AO69),"")</f>
        <v/>
      </c>
      <c r="AT334" s="219" t="str">
        <f>IFERROR(SUM(AT212,AT213,AT214,AT217,AT235,AT238)/(AT69+AS69+AR69+AP69),"")</f>
        <v/>
      </c>
      <c r="AU334" s="219" t="str">
        <f>IFERROR(SUM(AU212,AU213,AU214,AU217,AU235,AU238)/(AU69+AT69+AS69+AR69),"")</f>
        <v/>
      </c>
      <c r="AW334" s="219" t="str">
        <f>IFERROR(SUM(AW212,AW213,AW214,AW217,AW235,AW238)/(AW69+AU69+AT69+AS69),"")</f>
        <v/>
      </c>
      <c r="AX334" s="219" t="str">
        <f>IFERROR(SUM(AX212,AX213,AX214,AX217,AX235,AX238)/(AX69+AW69+AU69+AT69),"")</f>
        <v/>
      </c>
      <c r="AY334" s="219" t="str">
        <f>IFERROR(SUM(AY212,AY213,AY214,AY217,AY235,AY238)/(AY69+AX69+AW69+AU69),"")</f>
        <v/>
      </c>
      <c r="AZ334" s="219" t="str">
        <f>IFERROR(SUM(AZ212,AZ213,AZ214,AZ217,AZ235,AZ238)/(AZ69+AY69+AX69+AW69),"")</f>
        <v/>
      </c>
      <c r="BB334" s="219" t="str">
        <f>IFERROR(SUM(BB212,BB213,BB214,BB217,BB235,BB238)/(BB69+AZ69+AY69+AX69),"")</f>
        <v/>
      </c>
      <c r="BC334" s="219" t="str">
        <f>IFERROR(SUM(BC212,BC213,BC214,BC217,BC235,BC238)/(BC69+BB69+AZ69+AY69),"")</f>
        <v/>
      </c>
      <c r="BD334" s="219" t="str">
        <f>IFERROR(SUM(BD212,BD213,BD214,BD217,BD235,BD238)/(BD69+BC69+BB69+AZ69),"")</f>
        <v/>
      </c>
      <c r="BE334" s="219" t="str">
        <f>IFERROR(SUM(BE212,BE213,BE214,BE217,BE235,BE238)/(BE69+BD69+BC69+BB69),"")</f>
        <v/>
      </c>
      <c r="BG334" s="219" t="str">
        <f>IFERROR(SUM(BG212,BG213,BG214,BG217,BG235,BG238)/(BG69+BE69+BD69+BC69),"")</f>
        <v/>
      </c>
      <c r="BH334" s="219" t="str">
        <f>IFERROR(SUM(BH212,BH213,BH214,BH217,BH235,BH238)/(BH69+BG69+BE69+BD69),"")</f>
        <v/>
      </c>
      <c r="BI334" s="219" t="str">
        <f>IFERROR(SUM(BI212,BI213,BI214,BI217,BI235,BI238)/(BI69+BH69+BG69+BE69),"")</f>
        <v/>
      </c>
      <c r="BJ334" s="219" t="str">
        <f>IFERROR(SUM(BJ212,BJ213,BJ214,BJ217,BJ235,BJ238)/(BJ69+BI69+BH69+BG69),"")</f>
        <v/>
      </c>
      <c r="BL334" s="219" t="str">
        <f>IFERROR(SUM(BL212,BL213,BL214,BL217,BL235,BL238)/(BL69+BJ69+BI69+BH69),"")</f>
        <v/>
      </c>
      <c r="BM334" s="219" t="str">
        <f>IFERROR(SUM(BM212,BM213,BM214,BM217,BM235,BM238)/(BM69+BL69+BJ69+BI69),"")</f>
        <v/>
      </c>
      <c r="BN334" s="219" t="str">
        <f>IFERROR(SUM(BN212,BN213,BN214,BN217,BN235,BN238)/(BN69+BM69+BL69+BJ69),"")</f>
        <v/>
      </c>
      <c r="BO334" s="219" t="str">
        <f>IFERROR(SUM(BO212,BO213,BO214,BO217,BO235,BO238)/(BO69+BN69+BM69+BL69),"")</f>
        <v/>
      </c>
      <c r="BQ334" s="219" t="str">
        <f>IFERROR(SUM(BQ212,BQ213,BQ214,BQ217,BQ235,BQ238)/(BQ69+BO69+BN69+BM69),"")</f>
        <v/>
      </c>
      <c r="BR334" s="219" t="str">
        <f>IFERROR(SUM(BR212,BR213,BR214,BR217,BR235,BR238)/(BR69+BQ69+BO69+BN69),"")</f>
        <v/>
      </c>
      <c r="BS334" s="219" t="str">
        <f>IFERROR(SUM(BS212,BS213,BS214,BS217,BS235,BS238)/(BS69+BR69+BQ69+BO69),"")</f>
        <v/>
      </c>
      <c r="BT334" s="219" t="str">
        <f>IFERROR(SUM(BT212,BT213,BT214,BT217,BT235,BT238)/(BT69+BS69+BR69+BQ69),"")</f>
        <v/>
      </c>
      <c r="BV334" s="219" t="str">
        <f>IFERROR(SUM(BV212,BV213,BV214,BV217,BV235,BV238)/(BV69+BT69+BS69+BR69),"")</f>
        <v/>
      </c>
      <c r="BW334" s="219" t="str">
        <f>IFERROR(SUM(BW212,BW213,BW214,BW217,BW235,BW238)/(BW69+BV69+BT69+BS69),"")</f>
        <v/>
      </c>
      <c r="BX334" s="219" t="str">
        <f>IFERROR(SUM(BX212,BX213,BX214,BX217,BX235,BX238)/(BX69+BW69+BV69+BT69),"")</f>
        <v/>
      </c>
      <c r="BY334" s="219" t="str">
        <f>IFERROR(SUM(BY212,BY213,BY214,BY217,BY235,BY238)/(BY69+BX69+BW69+BV69),"")</f>
        <v/>
      </c>
      <c r="CA334" s="219" t="str">
        <f>IFERROR(SUM(CA212,CA213,CA214,CA217,CA235,CA238)/(CA69+BY69+BX69+BW69),"")</f>
        <v/>
      </c>
      <c r="CB334" s="219" t="str">
        <f>IFERROR(SUM(CB212,CB213,CB214,CB217,CB235,CB238)/(CB69+CA69+BY69+BX69),"")</f>
        <v/>
      </c>
      <c r="CC334" s="219" t="str">
        <f>IFERROR(SUM(CC212,CC213,CC214,CC217,CC235,CC238)/(CC69+CB69+CA69+BY69),"")</f>
        <v/>
      </c>
      <c r="CD334" s="219" t="str">
        <f>IFERROR(SUM(CD212,CD213,CD214,CD217,CD235,CD238)/(CD69+CC69+CB69+CA69),"")</f>
        <v/>
      </c>
      <c r="CF334" s="219" t="str">
        <f>IFERROR(SUM(CF212,CF213,CF214,CF217,CF235,CF238)/(CF69+CD69+CC69+CB69),"")</f>
        <v/>
      </c>
      <c r="CG334" s="219" t="str">
        <f>IFERROR(SUM(CG212,CG213,CG214,CG217,CG235,CG238)/(CG69+CF69+CD69+CC69),"")</f>
        <v/>
      </c>
      <c r="CH334" s="219" t="str">
        <f>IFERROR(SUM(CH212,CH213,CH214,CH217,CH235,CH238)/(CH69+CG69+CF69+CD69),"")</f>
        <v/>
      </c>
      <c r="CI334" s="219" t="str">
        <f>IFERROR(SUM(CI212,CI213,CI214,CI217,CI235,CI238)/(CI69+CH69+CG69+CF69),"")</f>
        <v/>
      </c>
      <c r="CK334" s="219" t="str">
        <f>IFERROR(SUM(CK212,CK213,CK214,CK217,CK235,CK238)/(CK69+CI69+CH69+CG69),"")</f>
        <v/>
      </c>
      <c r="CL334" s="219" t="str">
        <f>IFERROR(SUM(CL212,CL213,CL214,CL217,CL235,CL238)/(CL69+CK69+CI69+CH69),"")</f>
        <v/>
      </c>
      <c r="CM334" s="219" t="str">
        <f>IFERROR(SUM(CM212,CM213,CM214,CM217,CM235,CM238)/(CM69+CL69+CK69+CI69),"")</f>
        <v/>
      </c>
      <c r="CN334" s="219" t="str">
        <f>IFERROR(SUM(CN212,CN213,CN214,CN217,CN235,CN238)/(CN69+CM69+CL69+CK69),"")</f>
        <v/>
      </c>
      <c r="CP334" s="219" t="str">
        <f>IFERROR(SUM(CP212,CP213,CP214,CP217,CP235,CP238)/(CP69+CN69+CM69+CL69),"")</f>
        <v/>
      </c>
      <c r="CQ334" s="219" t="str">
        <f>IFERROR(SUM(CQ212,CQ213,CQ214,CQ217,CQ235,CQ238)/(CQ69+CP69+CN69+CM69),"")</f>
        <v/>
      </c>
      <c r="CR334" s="219" t="str">
        <f>IFERROR(SUM(CR212,CR213,CR214,CR217,CR235,CR238)/(CR69+CQ69+CP69+CN69),"")</f>
        <v/>
      </c>
      <c r="CS334" s="219" t="str">
        <f>IFERROR(SUM(CS212,CS213,CS214,CS217,CS235,CS238)/(CS69+CR69+CQ69+CP69),"")</f>
        <v/>
      </c>
      <c r="CU334" s="219" t="str">
        <f>IFERROR(SUM(CU212,CU213,CU214,CU217,CU235,CU238)/(CU69+CS69+CR69+CQ69),"")</f>
        <v/>
      </c>
      <c r="CV334" s="219" t="str">
        <f>IFERROR(SUM(CV212,CV213,CV214,CV217,CV235,CV238)/(CV69+CU69+CS69+CR69),"")</f>
        <v/>
      </c>
      <c r="CW334" s="219" t="str">
        <f>IFERROR(SUM(CW212,CW213,CW214,CW217,CW235,CW238)/(CW69+CV69+CU69+CS69),"")</f>
        <v/>
      </c>
      <c r="CX334" s="219" t="str">
        <f>IFERROR(SUM(CX212,CX213,CX214,CX217,CX235,CX238)/(CX69+CW69+CV69+CU69),"")</f>
        <v/>
      </c>
    </row>
    <row r="335" customFormat="1" s="233">
      <c r="A335" s="224" t="n"/>
      <c r="B335" s="224" t="n"/>
      <c r="C335" s="233" t="inlineStr">
        <is>
          <t>TOTAL DEBT / TOTAL CAPITALIZATION</t>
        </is>
      </c>
      <c r="D335" s="221">
        <f>SUM(D212+D213+D214+D217+D235+D238)/(SUM(D212+D213+D214+D217+D235+D238)+D271)</f>
        <v>1.30532544378698</v>
      </c>
      <c r="E335" s="221">
        <f>SUM(E212+E213+E214+E217+E235+E238)/(SUM(E212+E213+E214+E217+E235+E238)+E271)</f>
        <v>0.81782310148911</v>
      </c>
      <c r="F335" s="221">
        <f>SUM(F212+F213+F214+F217+F235+F238)/(SUM(F212+F213+F214+F217+F235+F238)+F271)</f>
        <v>0.815440035631605</v>
      </c>
      <c r="G335" s="221">
        <f>SUM(G212+G213+G214+G217+G235+G238)/(SUM(G212+G213+G214+G217+G235+G238)+G271)</f>
        <v>0.803081625220482</v>
      </c>
      <c r="I335" s="221">
        <f>SUM(I212+I213+I214+I217+I235+I238)/(SUM(I212+I213+I214+I217+I235+I238)+I271)</f>
        <v>0.473893522703285</v>
      </c>
      <c r="J335" s="221">
        <f>SUM(J212+J213+J214+J217+J235+J238)/(SUM(J212+J213+J214+J217+J235+J238)+J271)</f>
        <v>0.438000023307714</v>
      </c>
      <c r="K335" s="221">
        <f>SUM(K212+K213+K214+K217+K235+K238)/(SUM(K212+K213+K214+K217+K235+K238)+K271)</f>
        <v>0.428354760141676</v>
      </c>
      <c r="L335" s="221">
        <f>SUM(L212+L213+L214+L217+L235+L238)/(SUM(L212+L213+L214+L217+L235+L238)+L271)</f>
        <v>0.609766480817539</v>
      </c>
      <c r="N335" s="221">
        <f>SUM(N212+N213+N214+N217+N235+N238)/(SUM(N212+N213+N214+N217+N235+N238)+N271)</f>
        <v>0.627061851825808</v>
      </c>
      <c r="O335" s="221">
        <f>SUM(O212+O213+O214+O217+O235+O238)/(SUM(O212+O213+O214+O217+O235+O238)+O271)</f>
        <v>0.579747221831874</v>
      </c>
      <c r="P335" s="221">
        <f>SUM(P212+P213+P214+P217+P235+P238)/(SUM(P212+P213+P214+P217+P235+P238)+P271)</f>
        <v>0.60425364157409</v>
      </c>
      <c r="Q335" s="221">
        <f>SUM(Q212+Q213+Q214+Q217+Q235+Q238)/(SUM(Q212+Q213+Q214+Q217+Q235+Q238)+Q271)</f>
        <v>0.648157000469554</v>
      </c>
      <c r="S335" s="221">
        <f>SUM(S212+S213+S214+S217+S235+S238)/(SUM(S212+S213+S214+S217+S235+S238)+S271)</f>
        <v>0.647725750420226</v>
      </c>
      <c r="T335" s="221">
        <f>SUM(T212+T213+T214+T217+T235+T238)/(SUM(T212+T213+T214+T217+T235+T238)+T271)</f>
        <v>0.617876310476402</v>
      </c>
      <c r="U335" s="221">
        <f>SUM(U212+U213+U214+U217+U235+U238)/(SUM(U212+U213+U214+U217+U235+U238)+U271)</f>
        <v>0.643010816273869</v>
      </c>
      <c r="V335" s="221">
        <f>SUM(V212+V213+V214+V217+V235+V238)/(SUM(V212+V213+V214+V217+V235+V238)+V271)</f>
        <v>0.61266885424643</v>
      </c>
      <c r="X335" s="221">
        <f>SUM(X212+X213+X214+X217+X235+X238)/(SUM(X212+X213+X214+X217+X235+X238)+X271)</f>
        <v>0.599499005042837</v>
      </c>
      <c r="Y335" s="221">
        <f>SUM(Y212+Y213+Y214+Y217+Y235+Y238)/(SUM(Y212+Y213+Y214+Y217+Y235+Y238)+Y271)</f>
        <v>0.621396007380872</v>
      </c>
      <c r="Z335" s="221">
        <f>SUM(Z212+Z213+Z214+Z217+Z235+Z238)/(SUM(Z212+Z213+Z214+Z217+Z235+Z238)+Z271)</f>
        <v>0.694346966598263</v>
      </c>
      <c r="AA335" s="221">
        <f>SUM(AA212+AA213+AA214+AA217+AA235+AA238)/(SUM(AA212+AA213+AA214+AA217+AA235+AA238)+AA271)</f>
        <v>0.693256975572771</v>
      </c>
      <c r="AC335" s="221">
        <f>SUM(AC212+AC213+AC214+AC217+AC235+AC238)/(SUM(AC212+AC213+AC214+AC217+AC235+AC238)+AC271)</f>
        <v>0.700769604209444</v>
      </c>
      <c r="AD335" s="221">
        <f>SUM(AD212+AD213+AD214+AD217+AD235+AD238)/(SUM(AD212+AD213+AD214+AD217+AD235+AD238)+AD271)</f>
        <v>0.569578154584039</v>
      </c>
      <c r="AE335" s="221">
        <f>SUM(AE212+AE213+AE214+AE217+AE235+AE238)/(SUM(AE212+AE213+AE214+AE217+AE235+AE238)+AE271)</f>
        <v>0.588314410607238</v>
      </c>
      <c r="AF335" s="221">
        <f>SUM(AF212+AF213+AF214+AF217+AF235+AF238)/(SUM(AF212+AF213+AF214+AF217+AF235+AF238)+AF271)</f>
        <v>0.589310414740006</v>
      </c>
      <c r="AH335" s="221">
        <f>SUM(AH212+AH213+AH214+AH217+AH235+AH238)/(SUM(AH212+AH213+AH214+AH217+AH235+AH238)+AH271)</f>
        <v>0.597245882839308</v>
      </c>
      <c r="AI335" s="221">
        <f>SUM(AI212+AI213+AI214+AI217+AI235+AI238)/(SUM(AI212+AI213+AI214+AI217+AI235+AI238)+AI271)</f>
        <v>0.425061413227778</v>
      </c>
      <c r="AJ335" s="221">
        <f>SUM(AJ212+AJ213+AJ214+AJ217+AJ235+AJ238)/(SUM(AJ212+AJ213+AJ214+AJ217+AJ235+AJ238)+AJ271)</f>
        <v>0.423809975956685</v>
      </c>
      <c r="AK335" s="221">
        <f>SUM(AK212+AK213+AK214+AK217+AK235+AK238)/(SUM(AK212+AK213+AK214+AK217+AK235+AK238)+AK271)</f>
        <v>0.422187875971669</v>
      </c>
      <c r="AM335" s="221">
        <f>SUM(AM212+AM213+AM214+AM217+AM235+AM238)/(SUM(AM212+AM213+AM214+AM217+AM235+AM238)+AM271)</f>
        <v>0.420600694738167</v>
      </c>
      <c r="AN335" s="221">
        <f>SUM(AN212+AN213+AN214+AN217+AN235+AN238)/(SUM(AN212+AN213+AN214+AN217+AN235+AN238)+AN271)</f>
        <v>0.415298838799458</v>
      </c>
      <c r="AO335" s="221">
        <f>SUM(AO212+AO213+AO214+AO217+AO235+AO238)/(SUM(AO212+AO213+AO214+AO217+AO235+AO238)+AO271)</f>
        <v>0.413697479269124</v>
      </c>
      <c r="AP335" s="221">
        <f>SUM(AP212+AP213+AP214+AP217+AP235+AP238)/(SUM(AP212+AP213+AP214+AP217+AP235+AP238)+AP271)</f>
        <v>0.40837759984587</v>
      </c>
      <c r="AR335" s="221">
        <f>SUM(AR212+AR213+AR214+AR217+AR235+AR238)/(SUM(AR212+AR213+AR214+AR217+AR235+AR238)+AR271)</f>
        <v>0.40321352712544</v>
      </c>
      <c r="AS335" s="221">
        <f>SUM(AS212+AS213+AS214+AS217+AS235+AS238)/(SUM(AS212+AS213+AS214+AS217+AS235+AS238)+AS271)</f>
        <v>0.390621614438784</v>
      </c>
      <c r="AT335" s="221">
        <f>SUM(AT212+AT213+AT214+AT217+AT235+AT238)/(SUM(AT212+AT213+AT214+AT217+AT235+AT238)+AT271)</f>
        <v>0.385837302280458</v>
      </c>
      <c r="AU335" s="221">
        <f>SUM(AU212+AU213+AU214+AU217+AU235+AU238)/(SUM(AU212+AU213+AU214+AU217+AU235+AU238)+AU271)</f>
        <v>0.374132643957498</v>
      </c>
      <c r="AW335" s="221">
        <f>SUM(AW212+AW213+AW214+AW217+AW235+AW238)/(SUM(AW212+AW213+AW214+AW217+AW235+AW238)+AW271)</f>
        <v>0.363134024605907</v>
      </c>
      <c r="AX335" s="221">
        <f>SUM(AX212+AX213+AX214+AX217+AX235+AX238)/(SUM(AX212+AX213+AX214+AX217+AX235+AX238)+AX271)</f>
        <v>0.335820063637119</v>
      </c>
      <c r="AY335" s="221">
        <f>SUM(AY212+AY213+AY214+AY217+AY235+AY238)/(SUM(AY212+AY213+AY214+AY217+AY235+AY238)+AY271)</f>
        <v>0.326891080220779</v>
      </c>
      <c r="AZ335" s="221">
        <f>SUM(AZ212+AZ213+AZ214+AZ217+AZ235+AZ238)/(SUM(AZ212+AZ213+AZ214+AZ217+AZ235+AZ238)+AZ271)</f>
        <v>0.304484440902733</v>
      </c>
      <c r="BB335" s="221">
        <f>SUM(BB212+BB213+BB214+BB217+BB235+BB238)/(SUM(BB212+BB213+BB214+BB217+BB235+BB238)+BB271)</f>
        <v>0.284962820382048</v>
      </c>
      <c r="BC335" s="221">
        <f>SUM(BC212+BC213+BC214+BC217+BC235+BC238)/(SUM(BC212+BC213+BC214+BC217+BC235+BC238)+BC271)</f>
        <v>0.242690924672088</v>
      </c>
      <c r="BD335" s="221">
        <f>SUM(BD212+BD213+BD214+BD217+BD235+BD238)/(SUM(BD212+BD213+BD214+BD217+BD235+BD238)+BD271)</f>
        <v>0.230105149235972</v>
      </c>
      <c r="BE335" s="221">
        <f>SUM(BE212+BE213+BE214+BE217+BE235+BE238)/(SUM(BE212+BE213+BE214+BE217+BE235+BE238)+BE271)</f>
        <v>0.201685568387999</v>
      </c>
      <c r="BG335" s="221">
        <f>SUM(BG212+BG213+BG214+BG217+BG235+BG238)/(SUM(BG212+BG213+BG214+BG217+BG235+BG238)+BG271)</f>
        <v>0.179518415110337</v>
      </c>
      <c r="BH335" s="221">
        <f>SUM(BH212+BH213+BH214+BH217+BH235+BH238)/(SUM(BH212+BH213+BH214+BH217+BH235+BH238)+BH271)</f>
        <v>0.138039975211761</v>
      </c>
      <c r="BI335" s="221">
        <f>SUM(BI212+BI213+BI214+BI217+BI235+BI238)/(SUM(BI212+BI213+BI214+BI217+BI235+BI238)+BI271)</f>
        <v>0.127276548964143</v>
      </c>
      <c r="BJ335" s="221">
        <f>SUM(BJ212+BJ213+BJ214+BJ217+BJ235+BJ238)/(SUM(BJ212+BJ213+BJ214+BJ217+BJ235+BJ238)+BJ271)</f>
        <v>0.104911293514681</v>
      </c>
      <c r="BL335" s="221">
        <f>SUM(BL212+BL213+BL214+BL217+BL235+BL238)/(SUM(BL212+BL213+BL214+BL217+BL235+BL238)+BL271)</f>
        <v>0.0892324128309644</v>
      </c>
      <c r="BM335" s="221">
        <f>SUM(BM212+BM213+BM214+BM217+BM235+BM238)/(SUM(BM212+BM213+BM214+BM217+BM235+BM238)+BM271)</f>
        <v>0.0633706104317845</v>
      </c>
      <c r="BN335" s="221">
        <f>SUM(BN212+BN213+BN214+BN217+BN235+BN238)/(SUM(BN212+BN213+BN214+BN217+BN235+BN238)+BN271)</f>
        <v>0.0572888751312681</v>
      </c>
      <c r="BO335" s="221">
        <f>SUM(BO212+BO213+BO214+BO217+BO235+BO238)/(SUM(BO212+BO213+BO214+BO217+BO235+BO238)+BO271)</f>
        <v>0.0453925893077739</v>
      </c>
      <c r="BQ335" s="221">
        <f>SUM(BQ212+BQ213+BQ214+BQ217+BQ235+BQ238)/(SUM(BQ212+BQ213+BQ214+BQ217+BQ235+BQ238)+BQ271)</f>
        <v>0.0375875809887633</v>
      </c>
      <c r="BR335" s="221">
        <f>SUM(BR212+BR213+BR214+BR217+BR235+BR238)/(SUM(BR212+BR213+BR214+BR217+BR235+BR238)+BR271)</f>
        <v>0.0255737838575884</v>
      </c>
      <c r="BS335" s="221">
        <f>SUM(BS212+BS213+BS214+BS217+BS235+BS238)/(SUM(BS212+BS213+BS214+BS217+BS235+BS238)+BS271)</f>
        <v>0.022895119792982</v>
      </c>
      <c r="BT335" s="221">
        <f>SUM(BT212+BT213+BT214+BT217+BT235+BT238)/(SUM(BT212+BT213+BT214+BT217+BT235+BT238)+BT271)</f>
        <v>0.0178010130157291</v>
      </c>
      <c r="BV335" s="221">
        <f>SUM(BV212+BV213+BV214+BV217+BV235+BV238)/(SUM(BV212+BV213+BV214+BV217+BV235+BV238)+BV271)</f>
        <v>0.0145612127184595</v>
      </c>
      <c r="BW335" s="221">
        <f>SUM(BW212+BW213+BW214+BW217+BW235+BW238)/(SUM(BW212+BW213+BW214+BW217+BW235+BW238)+BW271)</f>
        <v>0.00972554555300181</v>
      </c>
      <c r="BX335" s="221">
        <f>SUM(BX212+BX213+BX214+BX217+BX235+BX238)/(SUM(BX212+BX213+BX214+BX217+BX235+BX238)+BX271)</f>
        <v>0.0086714175823898</v>
      </c>
      <c r="BY335" s="221">
        <f>SUM(BY212+BY213+BY214+BY217+BY235+BY238)/(SUM(BY212+BY213+BY214+BY217+BY235+BY238)+BY271)</f>
        <v>0.0066903535893223</v>
      </c>
      <c r="CA335" s="221">
        <f>SUM(CA212+CA213+CA214+CA217+CA235+CA238)/(SUM(CA212+CA213+CA214+CA217+CA235+CA238)+CA271)</f>
        <v>0.00544613849941689</v>
      </c>
      <c r="CB335" s="221">
        <f>SUM(CB212+CB213+CB214+CB217+CB235+CB238)/(SUM(CB212+CB213+CB214+CB217+CB235+CB238)+CB271)</f>
        <v>0.00361130073890051</v>
      </c>
      <c r="CC335" s="221">
        <f>SUM(CC212+CC213+CC214+CC217+CC235+CC238)/(SUM(CC212+CC213+CC214+CC217+CC235+CC238)+CC271)</f>
        <v>0.00321485185733824</v>
      </c>
      <c r="CD335" s="221">
        <f>SUM(CD212+CD213+CD214+CD217+CD235+CD238)/(SUM(CD212+CD213+CD214+CD217+CD235+CD238)+CD271)</f>
        <v>0.00247310706851428</v>
      </c>
      <c r="CF335" s="221">
        <f>SUM(CF212+CF213+CF214+CF217+CF235+CF238)/(SUM(CF212+CF213+CF214+CF217+CF235+CF238)+CF271)</f>
        <v>0.00200947319128282</v>
      </c>
      <c r="CG335" s="221">
        <f>SUM(CG212+CG213+CG214+CG217+CG235+CG238)/(SUM(CG212+CG213+CG214+CG217+CG235+CG238)+CG271)</f>
        <v>0.00132886225905793</v>
      </c>
      <c r="CH335" s="221">
        <f>SUM(CH212+CH213+CH214+CH217+CH235+CH238)/(SUM(CH212+CH213+CH214+CH217+CH235+CH238)+CH271)</f>
        <v>0.00118228879628381</v>
      </c>
      <c r="CI335" s="221">
        <f>SUM(CI212+CI213+CI214+CI217+CI235+CI238)/(SUM(CI212+CI213+CI214+CI217+CI235+CI238)+CI271)</f>
        <v>0.000908513803105354</v>
      </c>
      <c r="CK335" s="221">
        <f>SUM(CK212+CK213+CK214+CK217+CK235+CK238)/(SUM(CK212+CK213+CK214+CK217+CK235+CK238)+CK271)</f>
        <v>0.000737691438698942</v>
      </c>
      <c r="CL335" s="221">
        <f>SUM(CL212+CL213+CL214+CL217+CL235+CL238)/(SUM(CL212+CL213+CL214+CL217+CL235+CL238)+CL271)</f>
        <v>0.000487346236812981</v>
      </c>
      <c r="CM335" s="221">
        <f>SUM(CM212+CM213+CM214+CM217+CM235+CM238)/(SUM(CM212+CM213+CM214+CM217+CM235+CM238)+CM271)</f>
        <v>0.000433498845402281</v>
      </c>
      <c r="CN335" s="221">
        <f>SUM(CN212+CN213+CN214+CN217+CN235+CN238)/(SUM(CN212+CN213+CN214+CN217+CN235+CN238)+CN271)</f>
        <v>0.000332982449283214</v>
      </c>
      <c r="CP335" s="221">
        <f>SUM(CP212+CP213+CP214+CP217+CP235+CP238)/(SUM(CP212+CP213+CP214+CP217+CP235+CP238)+CP271)</f>
        <v>0.00027030597828249</v>
      </c>
      <c r="CQ335" s="221">
        <f>SUM(CQ212+CQ213+CQ214+CQ217+CQ235+CQ238)/(SUM(CQ212+CQ213+CQ214+CQ217+CQ235+CQ238)+CQ271)</f>
        <v>0.000178508516734562</v>
      </c>
      <c r="CR335" s="221">
        <f>SUM(CR212+CR213+CR214+CR217+CR235+CR238)/(SUM(CR212+CR213+CR214+CR217+CR235+CR238)+CR271)</f>
        <v>0.000158772398976664</v>
      </c>
      <c r="CS335" s="221">
        <f>SUM(CS212+CS213+CS214+CS217+CS235+CS238)/(SUM(CS212+CS213+CS214+CS217+CS235+CS238)+CS271)</f>
        <v>0.000121939509520675</v>
      </c>
      <c r="CU335" s="221">
        <f>SUM(CU212+CU213+CU214+CU217+CU235+CU238)/(SUM(CU212+CU213+CU214+CU217+CU235+CU238)+CU271)</f>
        <v>9.89780432627321e-05</v>
      </c>
      <c r="CV335" s="221">
        <f>SUM(CV212+CV213+CV214+CV217+CV235+CV238)/(SUM(CV212+CV213+CV214+CV217+CV235+CV238)+CV271)</f>
        <v>6.53557314706249e-05</v>
      </c>
      <c r="CW335" s="221">
        <f>SUM(CW212+CW213+CW214+CW217+CW235+CW238)/(SUM(CW212+CW213+CW214+CW217+CW235+CW238)+CW271)</f>
        <v>5.81282449927969e-05</v>
      </c>
      <c r="CX335" s="221">
        <f>SUM(CX212+CX213+CX214+CX217+CX235+CX238)/(SUM(CX212+CX213+CX214+CX217+CX235+CX238)+CX271)</f>
        <v>4.46409284081653e-05</v>
      </c>
    </row>
    <row r="336" customFormat="1" s="233">
      <c r="A336" s="224" t="n"/>
      <c r="B336" s="224" t="n"/>
      <c r="C336" s="233" t="inlineStr">
        <is>
          <t>NET DEBT / EBITDA LTM (com arrendamentos)</t>
        </is>
      </c>
      <c r="D336" s="219" t="str">
        <f>""</f>
        <v/>
      </c>
      <c r="E336" s="219" t="str">
        <f>""</f>
        <v/>
      </c>
      <c r="F336" s="219" t="str">
        <f>""</f>
        <v/>
      </c>
      <c r="G336" s="219">
        <f>IFERROR((SUM(G212,G213,G214,G217,G235,G238)-G144)/(G69+F69+E69+D69),"")</f>
        <v>2.10059648134932</v>
      </c>
      <c r="I336" s="219">
        <f>IFERROR((SUM(I212,I213,I214,I217,I235,I238)-I144)/(I69+G69+F69+E69),"")</f>
        <v>-0.0125160311917844</v>
      </c>
      <c r="J336" s="219">
        <f>IFERROR((SUM(J212,J213,J214,J217,J235,J238)-J144)/(J69+I69+G69+F69),"")</f>
        <v>0.335936601632872</v>
      </c>
      <c r="K336" s="219">
        <f>IFERROR((SUM(K212,K213,K214,K217,K235,K238)-K144)/(K69+J69+I69+G69),"")</f>
        <v>0.742549350948614</v>
      </c>
      <c r="L336" s="219">
        <f>IFERROR((SUM(L212,L213,L214,L217,L235,L238)-L144)/(L69+K69+J69+I69),"")</f>
        <v>1.32870429835365</v>
      </c>
      <c r="N336" s="219">
        <f>IFERROR((SUM(N212,N213,N214,N217,N235,N238)-N144)/(N69+L69+K69+J69),"")</f>
        <v>1.81035049951809</v>
      </c>
      <c r="O336" s="219">
        <f>IFERROR((SUM(O212,O213,O214,O217,O235,O238)-O144)/(O69+N69+L69+K69),"")</f>
        <v>2.9297831569384</v>
      </c>
      <c r="P336" s="219">
        <f>IFERROR((SUM(P212,P213,P214,P217,P235,P238)-P144)/(P69+O69+N69+L69),"")</f>
        <v>2.7833411580238</v>
      </c>
      <c r="Q336" s="219">
        <f>IFERROR((SUM(Q212,Q213,Q214,Q217,Q235,Q238)-Q144)/(Q69+P69+O69+N69),"")</f>
        <v>4.47630496541835</v>
      </c>
      <c r="S336" s="219">
        <f>IFERROR((SUM(S212,S213,S214,S217,S235,S238)-S144)/(S69+Q69+P69+O69),"")</f>
        <v>3.85735871332097</v>
      </c>
      <c r="T336" s="219">
        <f>IFERROR((SUM(T212,T213,T214,T217,T235,T238)-T144)/(T69+S69+Q69+P69),"")</f>
        <v>3.41941013847138</v>
      </c>
      <c r="U336" s="219">
        <f>IFERROR((SUM(U212,U213,U214,U217,U235,U238)-U144)/(U69+T69+S69+Q69),"")</f>
        <v>3.48222012327381</v>
      </c>
      <c r="V336" s="219">
        <f>IFERROR((SUM(V212,V213,V214,V217,V235,V238)-V144)/(V69+U69+T69+S69),"")</f>
        <v>2.4824029972119</v>
      </c>
      <c r="X336" s="219">
        <f>IFERROR((SUM(X212,X213,X214,X217,X235,X238)-X144)/(X69+V69+U69+T69),"")</f>
        <v>2.42034135816067</v>
      </c>
      <c r="Y336" s="219">
        <f>IFERROR((SUM(Y212,Y213,Y214,Y217,Y235,Y238)-Y144)/(Y69+X69+V69+U69),"")</f>
        <v>2.58024068401728</v>
      </c>
      <c r="Z336" s="219">
        <f>IFERROR((SUM(Z212,Z213,Z214,Z217,Z235,Z238)-Z144)/(Z69+Y69+X69+V69),"")</f>
        <v>2.7212527008636</v>
      </c>
      <c r="AA336" s="219">
        <f>IFERROR((SUM(AA212,AA213,AA214,AA217,AA235,AA238)-AA144)/(AA69+Z69+Y69+X69),"")</f>
        <v>3.31366464123862</v>
      </c>
      <c r="AC336" s="219">
        <f>IFERROR((SUM(AC212,AC213,AC214,AC217,AC235,AC238)-AC144)/(AC69+AA69+Z69+Y69),"")</f>
        <v>3.56939858476428</v>
      </c>
      <c r="AD336" s="219">
        <f>IFERROR((SUM(AD212,AD213,AD214,AD217,AD235,AD238)-AD144)/(AD69+AC69+AA69+Z69),"")</f>
        <v>2.19503586703937</v>
      </c>
      <c r="AE336" s="219">
        <f>IFERROR((SUM(AE212,AE213,AE214,AE217,AE235,AE238)-AE144)/(AE69+AD69+AC69+AA69),"")</f>
        <v>2.51879637115686</v>
      </c>
      <c r="AF336" s="219">
        <f>IFERROR((SUM(AF212,AF213,AF214,AF217,AF235,AF238)-AF144)/(AF69+AE69+AD69+AC69),"")</f>
        <v>2.69271588267116</v>
      </c>
      <c r="AH336" s="219">
        <f>IFERROR((SUM(AH212,AH213,AH214,AH217,AH235,AH238)-AH144)/(AH69+AF69+AE69+AD69),"")</f>
        <v>2.82293330863569</v>
      </c>
      <c r="AI336" s="219">
        <f>IFERROR((SUM(AI212,AI213,AI214,AI217,AI235,AI238)-AI144)/(AI69+AH69+AF69+AE69),"")</f>
        <v>4.2494363241613</v>
      </c>
      <c r="AJ336" s="219">
        <f>IFERROR((SUM(AJ212,AJ213,AJ214,AJ217,AJ235,AJ238)-AJ144)/(AJ69+AI69+AH69+AF69),"")</f>
        <v>-3.89623901348689</v>
      </c>
      <c r="AK336" s="219">
        <f>IFERROR((SUM(AK212,AK213,AK214,AK217,AK235,AK238)-AK144)/(AK69+AJ69+AI69+AH69),"")</f>
        <v>-5.7403231700861</v>
      </c>
      <c r="AM336" s="219" t="str">
        <f>IFERROR((SUM(AM212,AM213,AM214,AM217,AM235,AM238)-AM144)/(AM69+AK69+AJ69+AI69),"")</f>
        <v/>
      </c>
      <c r="AN336" s="219" t="str">
        <f>IFERROR((SUM(AN212,AN213,AN214,AN217,AN235,AN238)-AN144)/(AN69+AM69+AK69+AJ69),"")</f>
        <v/>
      </c>
      <c r="AO336" s="219" t="str">
        <f>IFERROR((SUM(AO212,AO213,AO214,AO217,AO235,AO238)-AO144)/(AO69+AN69+AM69+AK69),"")</f>
        <v/>
      </c>
      <c r="AP336" s="219" t="str">
        <f>IFERROR((SUM(AP212,AP213,AP214,AP217,AP235,AP238)-AP144)/(AP69+AO69+AN69+AM69),"")</f>
        <v/>
      </c>
      <c r="AR336" s="219" t="str">
        <f>IFERROR((SUM(AR212,AR213,AR214,AR217,AR235,AR238)-AR144)/(AR69+AP69+AO69+AN69),"")</f>
        <v/>
      </c>
      <c r="AS336" s="219" t="str">
        <f>IFERROR((SUM(AS212,AS213,AS214,AS217,AS235,AS238)-AS144)/(AS69+AR69+AP69+AO69),"")</f>
        <v/>
      </c>
      <c r="AT336" s="219" t="str">
        <f>IFERROR((SUM(AT212,AT213,AT214,AT217,AT235,AT238)-AT144)/(AT69+AS69+AR69+AP69),"")</f>
        <v/>
      </c>
      <c r="AU336" s="219" t="str">
        <f>IFERROR((SUM(AU212,AU213,AU214,AU217,AU235,AU238)-AU144)/(AU69+AT69+AS69+AR69),"")</f>
        <v/>
      </c>
      <c r="AW336" s="219" t="str">
        <f>IFERROR((SUM(AW212,AW213,AW214,AW217,AW235,AW238)-AW144)/(AW69+AU69+AT69+AS69),"")</f>
        <v/>
      </c>
      <c r="AX336" s="219" t="str">
        <f>IFERROR((SUM(AX212,AX213,AX214,AX217,AX235,AX238)-AX144)/(AX69+AW69+AU69+AT69),"")</f>
        <v/>
      </c>
      <c r="AY336" s="219" t="str">
        <f>IFERROR((SUM(AY212,AY213,AY214,AY217,AY235,AY238)-AY144)/(AY69+AX69+AW69+AU69),"")</f>
        <v/>
      </c>
      <c r="AZ336" s="219" t="str">
        <f>IFERROR((SUM(AZ212,AZ213,AZ214,AZ217,AZ235,AZ238)-AZ144)/(AZ69+AY69+AX69+AW69),"")</f>
        <v/>
      </c>
      <c r="BB336" s="219" t="str">
        <f>IFERROR((SUM(BB212,BB213,BB214,BB217,BB235,BB238)-BB144)/(BB69+AZ69+AY69+AX69),"")</f>
        <v/>
      </c>
      <c r="BC336" s="219" t="str">
        <f>IFERROR((SUM(BC212,BC213,BC214,BC217,BC235,BC238)-BC144)/(BC69+BB69+AZ69+AY69),"")</f>
        <v/>
      </c>
      <c r="BD336" s="219" t="str">
        <f>IFERROR((SUM(BD212,BD213,BD214,BD217,BD235,BD238)-BD144)/(BD69+BC69+BB69+AZ69),"")</f>
        <v/>
      </c>
      <c r="BE336" s="219" t="str">
        <f>IFERROR((SUM(BE212,BE213,BE214,BE217,BE235,BE238)-BE144)/(BE69+BD69+BC69+BB69),"")</f>
        <v/>
      </c>
      <c r="BG336" s="219" t="str">
        <f>IFERROR((SUM(BG212,BG213,BG214,BG217,BG235,BG238)-BG144)/(BG69+BE69+BD69+BC69),"")</f>
        <v/>
      </c>
      <c r="BH336" s="219" t="str">
        <f>IFERROR((SUM(BH212,BH213,BH214,BH217,BH235,BH238)-BH144)/(BH69+BG69+BE69+BD69),"")</f>
        <v/>
      </c>
      <c r="BI336" s="219" t="str">
        <f>IFERROR((SUM(BI212,BI213,BI214,BI217,BI235,BI238)-BI144)/(BI69+BH69+BG69+BE69),"")</f>
        <v/>
      </c>
      <c r="BJ336" s="219" t="str">
        <f>IFERROR((SUM(BJ212,BJ213,BJ214,BJ217,BJ235,BJ238)-BJ144)/(BJ69+BI69+BH69+BG69),"")</f>
        <v/>
      </c>
      <c r="BL336" s="219" t="str">
        <f>IFERROR((SUM(BL212,BL213,BL214,BL217,BL235,BL238)-BL144)/(BL69+BJ69+BI69+BH69),"")</f>
        <v/>
      </c>
      <c r="BM336" s="219" t="str">
        <f>IFERROR((SUM(BM212,BM213,BM214,BM217,BM235,BM238)-BM144)/(BM69+BL69+BJ69+BI69),"")</f>
        <v/>
      </c>
      <c r="BN336" s="219" t="str">
        <f>IFERROR((SUM(BN212,BN213,BN214,BN217,BN235,BN238)-BN144)/(BN69+BM69+BL69+BJ69),"")</f>
        <v/>
      </c>
      <c r="BO336" s="219" t="str">
        <f>IFERROR((SUM(BO212,BO213,BO214,BO217,BO235,BO238)-BO144)/(BO69+BN69+BM69+BL69),"")</f>
        <v/>
      </c>
      <c r="BQ336" s="219" t="str">
        <f>IFERROR((SUM(BQ212,BQ213,BQ214,BQ217,BQ235,BQ238)-BQ144)/(BQ69+BO69+BN69+BM69),"")</f>
        <v/>
      </c>
      <c r="BR336" s="219" t="str">
        <f>IFERROR((SUM(BR212,BR213,BR214,BR217,BR235,BR238)-BR144)/(BR69+BQ69+BO69+BN69),"")</f>
        <v/>
      </c>
      <c r="BS336" s="219" t="str">
        <f>IFERROR((SUM(BS212,BS213,BS214,BS217,BS235,BS238)-BS144)/(BS69+BR69+BQ69+BO69),"")</f>
        <v/>
      </c>
      <c r="BT336" s="219" t="str">
        <f>IFERROR((SUM(BT212,BT213,BT214,BT217,BT235,BT238)-BT144)/(BT69+BS69+BR69+BQ69),"")</f>
        <v/>
      </c>
      <c r="BV336" s="219" t="str">
        <f>IFERROR((SUM(BV212,BV213,BV214,BV217,BV235,BV238)-BV144)/(BV69+BT69+BS69+BR69),"")</f>
        <v/>
      </c>
      <c r="BW336" s="219" t="str">
        <f>IFERROR((SUM(BW212,BW213,BW214,BW217,BW235,BW238)-BW144)/(BW69+BV69+BT69+BS69),"")</f>
        <v/>
      </c>
      <c r="BX336" s="219" t="str">
        <f>IFERROR((SUM(BX212,BX213,BX214,BX217,BX235,BX238)-BX144)/(BX69+BW69+BV69+BT69),"")</f>
        <v/>
      </c>
      <c r="BY336" s="219" t="str">
        <f>IFERROR((SUM(BY212,BY213,BY214,BY217,BY235,BY238)-BY144)/(BY69+BX69+BW69+BV69),"")</f>
        <v/>
      </c>
      <c r="CA336" s="219" t="str">
        <f>IFERROR((SUM(CA212,CA213,CA214,CA217,CA235,CA238)-CA144)/(CA69+BY69+BX69+BW69),"")</f>
        <v/>
      </c>
      <c r="CB336" s="219" t="str">
        <f>IFERROR((SUM(CB212,CB213,CB214,CB217,CB235,CB238)-CB144)/(CB69+CA69+BY69+BX69),"")</f>
        <v/>
      </c>
      <c r="CC336" s="219" t="str">
        <f>IFERROR((SUM(CC212,CC213,CC214,CC217,CC235,CC238)-CC144)/(CC69+CB69+CA69+BY69),"")</f>
        <v/>
      </c>
      <c r="CD336" s="219" t="str">
        <f>IFERROR((SUM(CD212,CD213,CD214,CD217,CD235,CD238)-CD144)/(CD69+CC69+CB69+CA69),"")</f>
        <v/>
      </c>
      <c r="CF336" s="219" t="str">
        <f>IFERROR((SUM(CF212,CF213,CF214,CF217,CF235,CF238)-CF144)/(CF69+CD69+CC69+CB69),"")</f>
        <v/>
      </c>
      <c r="CG336" s="219" t="str">
        <f>IFERROR((SUM(CG212,CG213,CG214,CG217,CG235,CG238)-CG144)/(CG69+CF69+CD69+CC69),"")</f>
        <v/>
      </c>
      <c r="CH336" s="219" t="str">
        <f>IFERROR((SUM(CH212,CH213,CH214,CH217,CH235,CH238)-CH144)/(CH69+CG69+CF69+CD69),"")</f>
        <v/>
      </c>
      <c r="CI336" s="219" t="str">
        <f>IFERROR((SUM(CI212,CI213,CI214,CI217,CI235,CI238)-CI144)/(CI69+CH69+CG69+CF69),"")</f>
        <v/>
      </c>
      <c r="CK336" s="219" t="str">
        <f>IFERROR((SUM(CK212,CK213,CK214,CK217,CK235,CK238)-CK144)/(CK69+CI69+CH69+CG69),"")</f>
        <v/>
      </c>
      <c r="CL336" s="219" t="str">
        <f>IFERROR((SUM(CL212,CL213,CL214,CL217,CL235,CL238)-CL144)/(CL69+CK69+CI69+CH69),"")</f>
        <v/>
      </c>
      <c r="CM336" s="219" t="str">
        <f>IFERROR((SUM(CM212,CM213,CM214,CM217,CM235,CM238)-CM144)/(CM69+CL69+CK69+CI69),"")</f>
        <v/>
      </c>
      <c r="CN336" s="219" t="str">
        <f>IFERROR((SUM(CN212,CN213,CN214,CN217,CN235,CN238)-CN144)/(CN69+CM69+CL69+CK69),"")</f>
        <v/>
      </c>
      <c r="CP336" s="219" t="str">
        <f>IFERROR((SUM(CP212,CP213,CP214,CP217,CP235,CP238)-CP144)/(CP69+CN69+CM69+CL69),"")</f>
        <v/>
      </c>
      <c r="CQ336" s="219" t="str">
        <f>IFERROR((SUM(CQ212,CQ213,CQ214,CQ217,CQ235,CQ238)-CQ144)/(CQ69+CP69+CN69+CM69),"")</f>
        <v/>
      </c>
      <c r="CR336" s="219" t="str">
        <f>IFERROR((SUM(CR212,CR213,CR214,CR217,CR235,CR238)-CR144)/(CR69+CQ69+CP69+CN69),"")</f>
        <v/>
      </c>
      <c r="CS336" s="219" t="str">
        <f>IFERROR((SUM(CS212,CS213,CS214,CS217,CS235,CS238)-CS144)/(CS69+CR69+CQ69+CP69),"")</f>
        <v/>
      </c>
      <c r="CU336" s="219" t="str">
        <f>IFERROR((SUM(CU212,CU213,CU214,CU217,CU235,CU238)-CU144)/(CU69+CS69+CR69+CQ69),"")</f>
        <v/>
      </c>
      <c r="CV336" s="219" t="str">
        <f>IFERROR((SUM(CV212,CV213,CV214,CV217,CV235,CV238)-CV144)/(CV69+CU69+CS69+CR69),"")</f>
        <v/>
      </c>
      <c r="CW336" s="219" t="str">
        <f>IFERROR((SUM(CW212,CW213,CW214,CW217,CW235,CW238)-CW144)/(CW69+CV69+CU69+CS69),"")</f>
        <v/>
      </c>
      <c r="CX336" s="219" t="str">
        <f>IFERROR((SUM(CX212,CX213,CX214,CX217,CX235,CX238)-CX144)/(CX69+CW69+CV69+CU69),"")</f>
        <v/>
      </c>
    </row>
    <row r="337" customFormat="1" s="233">
      <c r="A337" s="224" t="n"/>
      <c r="B337" s="224" t="n"/>
      <c r="C337" s="237" t="inlineStr">
        <is>
          <t>NET DEBT (EX IFRS 16) / EBITDA LTM</t>
        </is>
      </c>
      <c r="D337" s="219" t="str">
        <f>""</f>
        <v/>
      </c>
      <c r="E337" s="219" t="str">
        <f>""</f>
        <v/>
      </c>
      <c r="F337" s="219" t="str">
        <f>""</f>
        <v/>
      </c>
      <c r="G337" s="219">
        <f>IFERROR((SUM(G212,G213,G217,G238)-G144)/(G69+F69+E69+D69),"")</f>
        <v>2.02386580151772</v>
      </c>
      <c r="I337" s="219">
        <f>IFERROR((SUM(I212,I213,I217,I238)-I144)/(I69+G69+F69+E69),"")</f>
        <v>-0.203476779345272</v>
      </c>
      <c r="J337" s="219">
        <f>IFERROR((SUM(J212,J213,J217,J238)-J144)/(J69+I69+G69+F69),"")</f>
        <v>0.154155007857717</v>
      </c>
      <c r="K337" s="219">
        <f>IFERROR((SUM(K212,K213,K217,K238)-K144)/(K69+J69+I69+G69),"")</f>
        <v>0.517503264459636</v>
      </c>
      <c r="L337" s="219">
        <f>IFERROR((SUM(L212,L213,L217,L238)-L144)/(L69+K69+J69+I69),"")</f>
        <v>1.17036259094996</v>
      </c>
      <c r="N337" s="219">
        <f>IFERROR((SUM(N212,N213,N217,N238)-N144)/(N69+L69+K69+J69),"")</f>
        <v>1.68095482694339</v>
      </c>
      <c r="O337" s="219">
        <f>IFERROR((SUM(O212,O213,O217,O238)-O144)/(O69+N69+L69+K69),"")</f>
        <v>2.75009006845202</v>
      </c>
      <c r="P337" s="219">
        <f>IFERROR((SUM(P212,P213,P217,P238)-P144)/(P69+O69+N69+L69),"")</f>
        <v>2.56536503320556</v>
      </c>
      <c r="Q337" s="219">
        <f>IFERROR((SUM(Q212,Q213,Q217,Q238)-Q144)/(Q69+P69+O69+N69),"")</f>
        <v>4.17436375692037</v>
      </c>
      <c r="S337" s="219">
        <f>IFERROR((SUM(S212,S213,S217,S238)-S144)/(S69+Q69+P69+O69),"")</f>
        <v>3.63691669273093</v>
      </c>
      <c r="T337" s="219">
        <f>IFERROR((SUM(T212,T213,T217,T238)-T144)/(T69+S69+Q69+P69),"")</f>
        <v>3.17831057670252</v>
      </c>
      <c r="U337" s="219">
        <f>IFERROR((SUM(U212,U213,U217,U238)-U144)/(U69+T69+S69+Q69),"")</f>
        <v>3.29016012155649</v>
      </c>
      <c r="V337" s="219">
        <f>IFERROR((SUM(V212,V213,V217,V238)-V144)/(V69+U69+T69+S69),"")</f>
        <v>2.33025964219331</v>
      </c>
      <c r="X337" s="219">
        <f>IFERROR((SUM(X212,X213,X217,X238)-X144)/(X69+V69+U69+T69),"")</f>
        <v>2.28143337517815</v>
      </c>
      <c r="Y337" s="219">
        <f>IFERROR((SUM(Y212,Y213,Y217,Y238)-Y144)/(Y69+X69+V69+U69),"")</f>
        <v>2.44219982960424</v>
      </c>
      <c r="Z337" s="219">
        <f>IFERROR((SUM(Z212,Z213,Z217,Z238)-Z144)/(Z69+Y69+X69+V69),"")</f>
        <v>2.49950129164328</v>
      </c>
      <c r="AA337" s="219">
        <f>IFERROR((SUM(AA212,AA213,AA217,AA238)-AA144)/(AA69+Z69+Y69+X69),"")</f>
        <v>3.05376715138587</v>
      </c>
      <c r="AC337" s="219">
        <f>IFERROR((SUM(AC212,AC213,AC217,AC238)-AC144)/(AC69+AA69+Z69+Y69),"")</f>
        <v>3.30826097694907</v>
      </c>
      <c r="AD337" s="219">
        <f>IFERROR((SUM(AD212,AD213,AD217,AD238)-AD144)/(AD69+AC69+AA69+Z69),"")</f>
        <v>1.99669282322433</v>
      </c>
      <c r="AE337" s="219">
        <f>IFERROR((SUM(AE212,AE213,AE217,AE238)-AE144)/(AE69+AD69+AC69+AA69),"")</f>
        <v>2.3403313485771</v>
      </c>
      <c r="AF337" s="219">
        <f>IFERROR((SUM(AF212,AF213,AF217,AF238)-AF144)/(AF69+AE69+AD69+AC69),"")</f>
        <v>2.47782017451488</v>
      </c>
      <c r="AH337" s="219">
        <f>IFERROR((SUM(AH212,AH213,AH217,AH238)-AH144)/(AH69+AF69+AE69+AD69),"")</f>
        <v>2.64424004569065</v>
      </c>
      <c r="AI337" s="219">
        <f>IFERROR((SUM(AI212,AI213,AI217,AI238)-AI144)/(AI69+AH69+AF69+AE69),"")</f>
        <v>4.07188706497942</v>
      </c>
      <c r="AJ337" s="219">
        <f>IFERROR((SUM(AJ212,AJ213,AJ217,AJ238)-AJ144)/(AJ69+AI69+AH69+AF69),"")</f>
        <v>-4.12762823912714</v>
      </c>
      <c r="AK337" s="219">
        <f>IFERROR((SUM(AK212,AK213,AK217,AK238)-AK144)/(AK69+AJ69+AI69+AH69),"")</f>
        <v>-6.07409481978366</v>
      </c>
      <c r="AM337" s="219" t="str">
        <f>IFERROR((SUM(AM212,AM213,AM217,AM238)-AM144)/(AM69+AK69+AJ69+AI69),"")</f>
        <v/>
      </c>
      <c r="AN337" s="219" t="str">
        <f>IFERROR((SUM(AN212,AN213,AN217,AN238)-AN144)/(AN69+AM69+AK69+AJ69),"")</f>
        <v/>
      </c>
      <c r="AO337" s="219" t="str">
        <f>IFERROR((SUM(AO212,AO213,AO217,AO238)-AO144)/(AO69+AN69+AM69+AK69),"")</f>
        <v/>
      </c>
      <c r="AP337" s="219" t="str">
        <f>IFERROR((SUM(AP212,AP213,AP217,AP238)-AP144)/(AP69+AO69+AN69+AM69),"")</f>
        <v/>
      </c>
      <c r="AR337" s="219" t="str">
        <f>IFERROR((SUM(AR212,AR213,AR217,AR238)-AR144)/(AR69+AP69+AO69+AN69),"")</f>
        <v/>
      </c>
      <c r="AS337" s="219" t="str">
        <f>IFERROR((SUM(AS212,AS213,AS217,AS238)-AS144)/(AS69+AR69+AP69+AO69),"")</f>
        <v/>
      </c>
      <c r="AT337" s="219" t="str">
        <f>IFERROR((SUM(AT212,AT213,AT217,AT238)-AT144)/(AT69+AS69+AR69+AP69),"")</f>
        <v/>
      </c>
      <c r="AU337" s="219" t="str">
        <f>IFERROR((SUM(AU212,AU213,AU217,AU238)-AU144)/(AU69+AT69+AS69+AR69),"")</f>
        <v/>
      </c>
      <c r="AW337" s="219" t="str">
        <f>IFERROR((SUM(AW212,AW213,AW217,AW238)-AW144)/(AW69+AU69+AT69+AS69),"")</f>
        <v/>
      </c>
      <c r="AX337" s="219" t="str">
        <f>IFERROR((SUM(AX212,AX213,AX217,AX238)-AX144)/(AX69+AW69+AU69+AT69),"")</f>
        <v/>
      </c>
      <c r="AY337" s="219" t="str">
        <f>IFERROR((SUM(AY212,AY213,AY217,AY238)-AY144)/(AY69+AX69+AW69+AU69),"")</f>
        <v/>
      </c>
      <c r="AZ337" s="219" t="str">
        <f>IFERROR((SUM(AZ212,AZ213,AZ217,AZ238)-AZ144)/(AZ69+AY69+AX69+AW69),"")</f>
        <v/>
      </c>
      <c r="BB337" s="219" t="str">
        <f>IFERROR((SUM(BB212,BB213,BB217,BB238)-BB144)/(BB69+AZ69+AY69+AX69),"")</f>
        <v/>
      </c>
      <c r="BC337" s="219" t="str">
        <f>IFERROR((SUM(BC212,BC213,BC217,BC238)-BC144)/(BC69+BB69+AZ69+AY69),"")</f>
        <v/>
      </c>
      <c r="BD337" s="219" t="str">
        <f>IFERROR((SUM(BD212,BD213,BD217,BD238)-BD144)/(BD69+BC69+BB69+AZ69),"")</f>
        <v/>
      </c>
      <c r="BE337" s="219" t="str">
        <f>IFERROR((SUM(BE212,BE213,BE217,BE238)-BE144)/(BE69+BD69+BC69+BB69),"")</f>
        <v/>
      </c>
      <c r="BG337" s="219" t="str">
        <f>IFERROR((SUM(BG212,BG213,BG217,BG238)-BG144)/(BG69+BE69+BD69+BC69),"")</f>
        <v/>
      </c>
      <c r="BH337" s="219" t="str">
        <f>IFERROR((SUM(BH212,BH213,BH217,BH238)-BH144)/(BH69+BG69+BE69+BD69),"")</f>
        <v/>
      </c>
      <c r="BI337" s="219" t="str">
        <f>IFERROR((SUM(BI212,BI213,BI217,BI238)-BI144)/(BI69+BH69+BG69+BE69),"")</f>
        <v/>
      </c>
      <c r="BJ337" s="219" t="str">
        <f>IFERROR((SUM(BJ212,BJ213,BJ217,BJ238)-BJ144)/(BJ69+BI69+BH69+BG69),"")</f>
        <v/>
      </c>
      <c r="BL337" s="219" t="str">
        <f>IFERROR((SUM(BL212,BL213,BL217,BL238)-BL144)/(BL69+BJ69+BI69+BH69),"")</f>
        <v/>
      </c>
      <c r="BM337" s="219" t="str">
        <f>IFERROR((SUM(BM212,BM213,BM217,BM238)-BM144)/(BM69+BL69+BJ69+BI69),"")</f>
        <v/>
      </c>
      <c r="BN337" s="219" t="str">
        <f>IFERROR((SUM(BN212,BN213,BN217,BN238)-BN144)/(BN69+BM69+BL69+BJ69),"")</f>
        <v/>
      </c>
      <c r="BO337" s="219" t="str">
        <f>IFERROR((SUM(BO212,BO213,BO217,BO238)-BO144)/(BO69+BN69+BM69+BL69),"")</f>
        <v/>
      </c>
      <c r="BQ337" s="219" t="str">
        <f>IFERROR((SUM(BQ212,BQ213,BQ217,BQ238)-BQ144)/(BQ69+BO69+BN69+BM69),"")</f>
        <v/>
      </c>
      <c r="BR337" s="219" t="str">
        <f>IFERROR((SUM(BR212,BR213,BR217,BR238)-BR144)/(BR69+BQ69+BO69+BN69),"")</f>
        <v/>
      </c>
      <c r="BS337" s="219" t="str">
        <f>IFERROR((SUM(BS212,BS213,BS217,BS238)-BS144)/(BS69+BR69+BQ69+BO69),"")</f>
        <v/>
      </c>
      <c r="BT337" s="219" t="str">
        <f>IFERROR((SUM(BT212,BT213,BT217,BT238)-BT144)/(BT69+BS69+BR69+BQ69),"")</f>
        <v/>
      </c>
      <c r="BV337" s="219" t="str">
        <f>IFERROR((SUM(BV212,BV213,BV217,BV238)-BV144)/(BV69+BT69+BS69+BR69),"")</f>
        <v/>
      </c>
      <c r="BW337" s="219" t="str">
        <f>IFERROR((SUM(BW212,BW213,BW217,BW238)-BW144)/(BW69+BV69+BT69+BS69),"")</f>
        <v/>
      </c>
      <c r="BX337" s="219" t="str">
        <f>IFERROR((SUM(BX212,BX213,BX217,BX238)-BX144)/(BX69+BW69+BV69+BT69),"")</f>
        <v/>
      </c>
      <c r="BY337" s="219" t="str">
        <f>IFERROR((SUM(BY212,BY213,BY217,BY238)-BY144)/(BY69+BX69+BW69+BV69),"")</f>
        <v/>
      </c>
      <c r="CA337" s="219" t="str">
        <f>IFERROR((SUM(CA212,CA213,CA217,CA238)-CA144)/(CA69+BY69+BX69+BW69),"")</f>
        <v/>
      </c>
      <c r="CB337" s="219" t="str">
        <f>IFERROR((SUM(CB212,CB213,CB217,CB238)-CB144)/(CB69+CA69+BY69+BX69),"")</f>
        <v/>
      </c>
      <c r="CC337" s="219" t="str">
        <f>IFERROR((SUM(CC212,CC213,CC217,CC238)-CC144)/(CC69+CB69+CA69+BY69),"")</f>
        <v/>
      </c>
      <c r="CD337" s="219" t="str">
        <f>IFERROR((SUM(CD212,CD213,CD217,CD238)-CD144)/(CD69+CC69+CB69+CA69),"")</f>
        <v/>
      </c>
      <c r="CF337" s="219" t="str">
        <f>IFERROR((SUM(CF212,CF213,CF217,CF238)-CF144)/(CF69+CD69+CC69+CB69),"")</f>
        <v/>
      </c>
      <c r="CG337" s="219" t="str">
        <f>IFERROR((SUM(CG212,CG213,CG217,CG238)-CG144)/(CG69+CF69+CD69+CC69),"")</f>
        <v/>
      </c>
      <c r="CH337" s="219" t="str">
        <f>IFERROR((SUM(CH212,CH213,CH217,CH238)-CH144)/(CH69+CG69+CF69+CD69),"")</f>
        <v/>
      </c>
      <c r="CI337" s="219" t="str">
        <f>IFERROR((SUM(CI212,CI213,CI217,CI238)-CI144)/(CI69+CH69+CG69+CF69),"")</f>
        <v/>
      </c>
      <c r="CK337" s="219" t="str">
        <f>IFERROR((SUM(CK212,CK213,CK217,CK238)-CK144)/(CK69+CI69+CH69+CG69),"")</f>
        <v/>
      </c>
      <c r="CL337" s="219" t="str">
        <f>IFERROR((SUM(CL212,CL213,CL217,CL238)-CL144)/(CL69+CK69+CI69+CH69),"")</f>
        <v/>
      </c>
      <c r="CM337" s="219" t="str">
        <f>IFERROR((SUM(CM212,CM213,CM217,CM238)-CM144)/(CM69+CL69+CK69+CI69),"")</f>
        <v/>
      </c>
      <c r="CN337" s="219" t="str">
        <f>IFERROR((SUM(CN212,CN213,CN217,CN238)-CN144)/(CN69+CM69+CL69+CK69),"")</f>
        <v/>
      </c>
      <c r="CP337" s="219" t="str">
        <f>IFERROR((SUM(CP212,CP213,CP217,CP238)-CP144)/(CP69+CN69+CM69+CL69),"")</f>
        <v/>
      </c>
      <c r="CQ337" s="219" t="str">
        <f>IFERROR((SUM(CQ212,CQ213,CQ217,CQ238)-CQ144)/(CQ69+CP69+CN69+CM69),"")</f>
        <v/>
      </c>
      <c r="CR337" s="219" t="str">
        <f>IFERROR((SUM(CR212,CR213,CR217,CR238)-CR144)/(CR69+CQ69+CP69+CN69),"")</f>
        <v/>
      </c>
      <c r="CS337" s="219" t="str">
        <f>IFERROR((SUM(CS212,CS213,CS217,CS238)-CS144)/(CS69+CR69+CQ69+CP69),"")</f>
        <v/>
      </c>
      <c r="CU337" s="219" t="str">
        <f>IFERROR((SUM(CU212,CU213,CU217,CU238)-CU144)/(CU69+CS69+CR69+CQ69),"")</f>
        <v/>
      </c>
      <c r="CV337" s="219" t="str">
        <f>IFERROR((SUM(CV212,CV213,CV217,CV238)-CV144)/(CV69+CU69+CS69+CR69),"")</f>
        <v/>
      </c>
      <c r="CW337" s="219" t="str">
        <f>IFERROR((SUM(CW212,CW213,CW217,CW238)-CW144)/(CW69+CV69+CU69+CS69),"")</f>
        <v/>
      </c>
      <c r="CX337" s="219" t="str">
        <f>IFERROR((SUM(CX212,CX213,CX217,CX238)-CX144)/(CX69+CW69+CV69+CU69),"")</f>
        <v/>
      </c>
    </row>
    <row r="338" customFormat="1" s="233">
      <c r="A338" s="224" t="n"/>
      <c r="B338" s="224" t="n"/>
      <c r="C338" s="233" t="inlineStr">
        <is>
          <t>INTEREST COVERAGE</t>
        </is>
      </c>
      <c r="D338" s="219">
        <f>D73/-D74</f>
        <v>0.764495186926349</v>
      </c>
      <c r="E338" s="219">
        <f>E73/-E74</f>
        <v>1.23973189537872</v>
      </c>
      <c r="F338" s="219">
        <f>F73/-F74</f>
        <v>1.09744255360062</v>
      </c>
      <c r="G338" s="219">
        <f>G73/-G74</f>
        <v>2.33680462241333</v>
      </c>
      <c r="I338" s="219">
        <f>I73/-I74</f>
        <v>-0.993586295361443</v>
      </c>
      <c r="J338" s="219">
        <f>J73/-J74</f>
        <v>1.10980549250011</v>
      </c>
      <c r="K338" s="219">
        <f>K73/-K74</f>
        <v>0.819859402460457</v>
      </c>
      <c r="L338" s="219">
        <f>L73/-L74</f>
        <v>1.05942173479561</v>
      </c>
      <c r="N338" s="219">
        <f>N73/-N74</f>
        <v>0.287624851870662</v>
      </c>
      <c r="O338" s="219">
        <f>O73/-O74</f>
        <v>0.361679630353858</v>
      </c>
      <c r="P338" s="219">
        <f>P73/-P74</f>
        <v>0.334187418261403</v>
      </c>
      <c r="Q338" s="219">
        <f>Q73/-Q74</f>
        <v>0.00478948939982097</v>
      </c>
      <c r="S338" s="219">
        <f>S73/-S74</f>
        <v>0.169091533967235</v>
      </c>
      <c r="T338" s="219">
        <f>T73/-T74</f>
        <v>0.897460637691329</v>
      </c>
      <c r="U338" s="219">
        <f>U73/-U74</f>
        <v>0.938368951657186</v>
      </c>
      <c r="V338" s="219">
        <f>V73/-V74</f>
        <v>1.54715727471896</v>
      </c>
      <c r="X338" s="219">
        <f>X73/-X74</f>
        <v>1.42430552573956</v>
      </c>
      <c r="Y338" s="219">
        <f>Y73/-Y74</f>
        <v>1.27027859327845</v>
      </c>
      <c r="Z338" s="219">
        <f>Z73/-Z74</f>
        <v>1.53092231970897</v>
      </c>
      <c r="AA338" s="219">
        <f>AA73/-AA74</f>
        <v>0.568408374548344</v>
      </c>
      <c r="AC338" s="219">
        <f>AC73/-AC74</f>
        <v>0.749588227352505</v>
      </c>
      <c r="AD338" s="219">
        <f>AD73/-AD74</f>
        <v>1.08135837364788</v>
      </c>
      <c r="AE338" s="219">
        <f>AE73/-AE74</f>
        <v>0.928662037655228</v>
      </c>
      <c r="AF338" s="219">
        <f>AF73/-AF74</f>
        <v>0.965162320990472</v>
      </c>
      <c r="AH338" s="219">
        <f>AH73/-AH74</f>
        <v>1.12135156795326</v>
      </c>
      <c r="AI338" s="219">
        <f>AI73/-AI74</f>
        <v>1.08779385476745</v>
      </c>
      <c r="AJ338" s="219" t="e">
        <f>AJ73/-AJ74</f>
        <v>#DIV/0!</v>
      </c>
      <c r="AK338" s="219" t="e">
        <f>AK73/-AK74</f>
        <v>#DIV/0!</v>
      </c>
      <c r="AM338" s="219" t="e">
        <f>AM73/-AM74</f>
        <v>#DIV/0!</v>
      </c>
      <c r="AN338" s="219" t="e">
        <f>AN73/-AN74</f>
        <v>#DIV/0!</v>
      </c>
      <c r="AO338" s="219" t="e">
        <f>AO73/-AO74</f>
        <v>#DIV/0!</v>
      </c>
      <c r="AP338" s="219" t="e">
        <f>AP73/-AP74</f>
        <v>#DIV/0!</v>
      </c>
      <c r="AR338" s="219" t="e">
        <f>AR73/-AR74</f>
        <v>#DIV/0!</v>
      </c>
      <c r="AS338" s="219" t="e">
        <f>AS73/-AS74</f>
        <v>#DIV/0!</v>
      </c>
      <c r="AT338" s="219" t="e">
        <f>AT73/-AT74</f>
        <v>#DIV/0!</v>
      </c>
      <c r="AU338" s="219" t="e">
        <f>AU73/-AU74</f>
        <v>#DIV/0!</v>
      </c>
      <c r="AW338" s="219" t="e">
        <f>AW73/-AW74</f>
        <v>#DIV/0!</v>
      </c>
      <c r="AX338" s="219" t="e">
        <f>AX73/-AX74</f>
        <v>#DIV/0!</v>
      </c>
      <c r="AY338" s="219" t="e">
        <f>AY73/-AY74</f>
        <v>#DIV/0!</v>
      </c>
      <c r="AZ338" s="219" t="e">
        <f>AZ73/-AZ74</f>
        <v>#DIV/0!</v>
      </c>
      <c r="BB338" s="219" t="e">
        <f>BB73/-BB74</f>
        <v>#DIV/0!</v>
      </c>
      <c r="BC338" s="219" t="e">
        <f>BC73/-BC74</f>
        <v>#DIV/0!</v>
      </c>
      <c r="BD338" s="219" t="e">
        <f>BD73/-BD74</f>
        <v>#DIV/0!</v>
      </c>
      <c r="BE338" s="219" t="e">
        <f>BE73/-BE74</f>
        <v>#DIV/0!</v>
      </c>
      <c r="BG338" s="219" t="e">
        <f>BG73/-BG74</f>
        <v>#DIV/0!</v>
      </c>
      <c r="BH338" s="219" t="e">
        <f>BH73/-BH74</f>
        <v>#DIV/0!</v>
      </c>
      <c r="BI338" s="219" t="e">
        <f>BI73/-BI74</f>
        <v>#DIV/0!</v>
      </c>
      <c r="BJ338" s="219" t="e">
        <f>BJ73/-BJ74</f>
        <v>#DIV/0!</v>
      </c>
      <c r="BL338" s="219" t="e">
        <f>BL73/-BL74</f>
        <v>#DIV/0!</v>
      </c>
      <c r="BM338" s="219" t="e">
        <f>BM73/-BM74</f>
        <v>#DIV/0!</v>
      </c>
      <c r="BN338" s="219" t="e">
        <f>BN73/-BN74</f>
        <v>#DIV/0!</v>
      </c>
      <c r="BO338" s="219" t="e">
        <f>BO73/-BO74</f>
        <v>#DIV/0!</v>
      </c>
      <c r="BQ338" s="219" t="e">
        <f>BQ73/-BQ74</f>
        <v>#DIV/0!</v>
      </c>
      <c r="BR338" s="219" t="e">
        <f>BR73/-BR74</f>
        <v>#DIV/0!</v>
      </c>
      <c r="BS338" s="219" t="e">
        <f>BS73/-BS74</f>
        <v>#DIV/0!</v>
      </c>
      <c r="BT338" s="219" t="e">
        <f>BT73/-BT74</f>
        <v>#DIV/0!</v>
      </c>
      <c r="BV338" s="219" t="e">
        <f>BV73/-BV74</f>
        <v>#DIV/0!</v>
      </c>
      <c r="BW338" s="219" t="e">
        <f>BW73/-BW74</f>
        <v>#DIV/0!</v>
      </c>
      <c r="BX338" s="219" t="e">
        <f>BX73/-BX74</f>
        <v>#DIV/0!</v>
      </c>
      <c r="BY338" s="219" t="e">
        <f>BY73/-BY74</f>
        <v>#DIV/0!</v>
      </c>
      <c r="CA338" s="219" t="e">
        <f>CA73/-CA74</f>
        <v>#DIV/0!</v>
      </c>
      <c r="CB338" s="219" t="e">
        <f>CB73/-CB74</f>
        <v>#DIV/0!</v>
      </c>
      <c r="CC338" s="219" t="e">
        <f>CC73/-CC74</f>
        <v>#DIV/0!</v>
      </c>
      <c r="CD338" s="219" t="e">
        <f>CD73/-CD74</f>
        <v>#DIV/0!</v>
      </c>
      <c r="CF338" s="219" t="e">
        <f>CF73/-CF74</f>
        <v>#DIV/0!</v>
      </c>
      <c r="CG338" s="219" t="e">
        <f>CG73/-CG74</f>
        <v>#DIV/0!</v>
      </c>
      <c r="CH338" s="219" t="e">
        <f>CH73/-CH74</f>
        <v>#DIV/0!</v>
      </c>
      <c r="CI338" s="219" t="e">
        <f>CI73/-CI74</f>
        <v>#DIV/0!</v>
      </c>
      <c r="CK338" s="219" t="e">
        <f>CK73/-CK74</f>
        <v>#DIV/0!</v>
      </c>
      <c r="CL338" s="219" t="e">
        <f>CL73/-CL74</f>
        <v>#DIV/0!</v>
      </c>
      <c r="CM338" s="219" t="e">
        <f>CM73/-CM74</f>
        <v>#DIV/0!</v>
      </c>
      <c r="CN338" s="219" t="e">
        <f>CN73/-CN74</f>
        <v>#DIV/0!</v>
      </c>
      <c r="CP338" s="219" t="e">
        <f>CP73/-CP74</f>
        <v>#DIV/0!</v>
      </c>
      <c r="CQ338" s="219" t="e">
        <f>CQ73/-CQ74</f>
        <v>#DIV/0!</v>
      </c>
      <c r="CR338" s="219" t="e">
        <f>CR73/-CR74</f>
        <v>#DIV/0!</v>
      </c>
      <c r="CS338" s="219" t="e">
        <f>CS73/-CS74</f>
        <v>#DIV/0!</v>
      </c>
      <c r="CU338" s="219" t="e">
        <f>CU73/-CU74</f>
        <v>#DIV/0!</v>
      </c>
      <c r="CV338" s="219" t="e">
        <f>CV73/-CV74</f>
        <v>#DIV/0!</v>
      </c>
      <c r="CW338" s="219" t="e">
        <f>CW73/-CW74</f>
        <v>#DIV/0!</v>
      </c>
      <c r="CX338" s="219" t="e">
        <f>CX73/-CX74</f>
        <v>#DIV/0!</v>
      </c>
    </row>
    <row r="339" customFormat="1" s="233">
      <c r="A339" s="224" t="n"/>
      <c r="B339" s="224" t="n"/>
    </row>
    <row r="340" customFormat="1" s="233">
      <c r="A340" s="224" t="n"/>
      <c r="B340" s="224" t="n"/>
      <c r="C340" s="234" t="inlineStr">
        <is>
          <t>INTERNAL LIQUIDITY</t>
        </is>
      </c>
    </row>
    <row r="341" customFormat="1" s="233">
      <c r="A341" s="224" t="n"/>
      <c r="B341" s="224" t="n"/>
      <c r="C341" s="233" t="inlineStr">
        <is>
          <t>CURRENT RATIO</t>
        </is>
      </c>
      <c r="D341" s="219">
        <f>SUM(D144,D145,D149,D153,D154,D155)/SUM(D198,D202,D204,D205)</f>
        <v>1.77951664452185</v>
      </c>
      <c r="E341" s="219">
        <f>SUM(E144,E145,E149,E153,E154,E155)/SUM(E198,E202,E204,E205)</f>
        <v>1.62552370559464</v>
      </c>
      <c r="F341" s="219">
        <f>SUM(F144,F145,F149,F153,F154,F155)/SUM(F198,F202,F204,F205)</f>
        <v>1.5482380093594</v>
      </c>
      <c r="G341" s="219">
        <f>SUM(G144,G145,G149,G153,G154,G155)/SUM(G198,G202,G204,G205)</f>
        <v>1.59122118030509</v>
      </c>
      <c r="I341" s="219">
        <f>SUM(I144,I145,I149,I153,I154,I155)/SUM(I198,I202,I204,I205)</f>
        <v>3.17939762635453</v>
      </c>
      <c r="J341" s="219">
        <f>SUM(J144,J145,J149,J153,J154,J155)/SUM(J198,J202,J204,J205)</f>
        <v>2.78533978029527</v>
      </c>
      <c r="K341" s="219">
        <f>SUM(K144,K145,K149,K153,K154,K155)/SUM(K198,K202,K204,K205)</f>
        <v>3.16266859717312</v>
      </c>
      <c r="L341" s="219">
        <f>SUM(L144,L145,L149,L153,L154,L155)/SUM(L198,L202,L204,L205)</f>
        <v>4.13419453167731</v>
      </c>
      <c r="N341" s="219">
        <f>SUM(N144,N145,N149,N153,N154,N155)/SUM(N198,N202,N204,N205)</f>
        <v>3.05417547276288</v>
      </c>
      <c r="O341" s="219">
        <f>SUM(O144,O145,O149,O153,O154,O155)/SUM(O198,O202,O204,O205)</f>
        <v>1.96103734267477</v>
      </c>
      <c r="P341" s="219">
        <f>SUM(P144,P145,P149,P153,P154,P155)/SUM(P198,P202,P204,P205)</f>
        <v>1.83919886517158</v>
      </c>
      <c r="Q341" s="219">
        <f>SUM(Q144,Q145,Q149,Q153,Q154,Q155)/SUM(Q198,Q202,Q204,Q205)</f>
        <v>2.34508155746052</v>
      </c>
      <c r="S341" s="219">
        <f>SUM(S144,S145,S149,S153,S154,S155)/SUM(S198,S202,S204,S205)</f>
        <v>2.42161432171149</v>
      </c>
      <c r="T341" s="219">
        <f>SUM(T144,T145,T149,T153,T154,T155)/SUM(T198,T202,T204,T205)</f>
        <v>2.79833577132443</v>
      </c>
      <c r="U341" s="219">
        <f>SUM(U144,U145,U149,U153,U154,U155)/SUM(U198,U202,U204,U205)</f>
        <v>3.30611671032574</v>
      </c>
      <c r="V341" s="219">
        <f>SUM(V144,V145,V149,V153,V154,V155)/SUM(V198,V202,V204,V205)</f>
        <v>3.63958518099363</v>
      </c>
      <c r="X341" s="219">
        <f>SUM(X144,X145,X149,X153,X154,X155)/SUM(X198,X202,X204,X205)</f>
        <v>3.52318166103768</v>
      </c>
      <c r="Y341" s="219">
        <f>SUM(Y144,Y145,Y149,Y153,Y154,Y155)/SUM(Y198,Y202,Y204,Y205)</f>
        <v>3.55323987696031</v>
      </c>
      <c r="Z341" s="219">
        <f>SUM(Z144,Z145,Z149,Z153,Z154,Z155)/SUM(Z198,Z202,Z204,Z205)</f>
        <v>5.99673598103856</v>
      </c>
      <c r="AA341" s="219">
        <f>SUM(AA144,AA145,AA149,AA153,AA154,AA155)/SUM(AA198,AA202,AA204,AA205)</f>
        <v>4.18771034174067</v>
      </c>
      <c r="AC341" s="219">
        <f>SUM(AC144,AC145,AC149,AC153,AC154,AC155)/SUM(AC198,AC202,AC204,AC205)</f>
        <v>4.17685299955793</v>
      </c>
      <c r="AD341" s="219">
        <f>SUM(AD144,AD145,AD149,AD153,AD154,AD155)/SUM(AD198,AD202,AD204,AD205)</f>
        <v>4.77665855283555</v>
      </c>
      <c r="AE341" s="219">
        <f>SUM(AE144,AE145,AE149,AE153,AE154,AE155)/SUM(AE198,AE202,AE204,AE205)</f>
        <v>5.76713512376359</v>
      </c>
      <c r="AF341" s="219">
        <f>SUM(AF144,AF145,AF149,AF153,AF154,AF155)/SUM(AF198,AF202,AF204,AF205)</f>
        <v>4.17727734259555</v>
      </c>
      <c r="AH341" s="219">
        <f>SUM(AH144,AH145,AH149,AH153,AH154,AH155)/SUM(AH198,AH202,AH204,AH205)</f>
        <v>3.94764408013768</v>
      </c>
      <c r="AI341" s="219">
        <f>SUM(AI144,AI145,AI149,AI153,AI154,AI155)/SUM(AI198,AI202,AI204,AI205)</f>
        <v>3.48773038403082</v>
      </c>
      <c r="AJ341" s="219">
        <f>SUM(AJ144,AJ145,AJ149,AJ153,AJ154,AJ155)/SUM(AJ198,AJ202,AJ204,AJ205)</f>
        <v>45.5830908186191</v>
      </c>
      <c r="AK341" s="219">
        <f>SUM(AK144,AK145,AK149,AK153,AK154,AK155)/SUM(AK198,AK202,AK204,AK205)</f>
        <v>45.8482486165352</v>
      </c>
      <c r="AM341" s="219" t="e">
        <f>SUM(AM144,AM145,AM149,AM153,AM154,AM155)/SUM(AM198,AM202,AM204,AM205)</f>
        <v>#DIV/0!</v>
      </c>
      <c r="AN341" s="219" t="e">
        <f>SUM(AN144,AN145,AN149,AN153,AN154,AN155)/SUM(AN198,AN202,AN204,AN205)</f>
        <v>#DIV/0!</v>
      </c>
      <c r="AO341" s="219" t="e">
        <f>SUM(AO144,AO145,AO149,AO153,AO154,AO155)/SUM(AO198,AO202,AO204,AO205)</f>
        <v>#DIV/0!</v>
      </c>
      <c r="AP341" s="219" t="e">
        <f>SUM(AP144,AP145,AP149,AP153,AP154,AP155)/SUM(AP198,AP202,AP204,AP205)</f>
        <v>#DIV/0!</v>
      </c>
      <c r="AR341" s="219" t="e">
        <f>SUM(AR144,AR145,AR149,AR153,AR154,AR155)/SUM(AR198,AR202,AR204,AR205)</f>
        <v>#DIV/0!</v>
      </c>
      <c r="AS341" s="219" t="e">
        <f>SUM(AS144,AS145,AS149,AS153,AS154,AS155)/SUM(AS198,AS202,AS204,AS205)</f>
        <v>#DIV/0!</v>
      </c>
      <c r="AT341" s="219" t="e">
        <f>SUM(AT144,AT145,AT149,AT153,AT154,AT155)/SUM(AT198,AT202,AT204,AT205)</f>
        <v>#DIV/0!</v>
      </c>
      <c r="AU341" s="219" t="e">
        <f>SUM(AU144,AU145,AU149,AU153,AU154,AU155)/SUM(AU198,AU202,AU204,AU205)</f>
        <v>#DIV/0!</v>
      </c>
      <c r="AW341" s="219" t="e">
        <f>SUM(AW144,AW145,AW149,AW153,AW154,AW155)/SUM(AW198,AW202,AW204,AW205)</f>
        <v>#DIV/0!</v>
      </c>
      <c r="AX341" s="219" t="e">
        <f>SUM(AX144,AX145,AX149,AX153,AX154,AX155)/SUM(AX198,AX202,AX204,AX205)</f>
        <v>#DIV/0!</v>
      </c>
      <c r="AY341" s="219" t="e">
        <f>SUM(AY144,AY145,AY149,AY153,AY154,AY155)/SUM(AY198,AY202,AY204,AY205)</f>
        <v>#DIV/0!</v>
      </c>
      <c r="AZ341" s="219" t="e">
        <f>SUM(AZ144,AZ145,AZ149,AZ153,AZ154,AZ155)/SUM(AZ198,AZ202,AZ204,AZ205)</f>
        <v>#DIV/0!</v>
      </c>
      <c r="BB341" s="219" t="e">
        <f>SUM(BB144,BB145,BB149,BB153,BB154,BB155)/SUM(BB198,BB202,BB204,BB205)</f>
        <v>#DIV/0!</v>
      </c>
      <c r="BC341" s="219" t="e">
        <f>SUM(BC144,BC145,BC149,BC153,BC154,BC155)/SUM(BC198,BC202,BC204,BC205)</f>
        <v>#DIV/0!</v>
      </c>
      <c r="BD341" s="219" t="e">
        <f>SUM(BD144,BD145,BD149,BD153,BD154,BD155)/SUM(BD198,BD202,BD204,BD205)</f>
        <v>#DIV/0!</v>
      </c>
      <c r="BE341" s="219" t="e">
        <f>SUM(BE144,BE145,BE149,BE153,BE154,BE155)/SUM(BE198,BE202,BE204,BE205)</f>
        <v>#DIV/0!</v>
      </c>
      <c r="BG341" s="219" t="e">
        <f>SUM(BG144,BG145,BG149,BG153,BG154,BG155)/SUM(BG198,BG202,BG204,BG205)</f>
        <v>#DIV/0!</v>
      </c>
      <c r="BH341" s="219" t="e">
        <f>SUM(BH144,BH145,BH149,BH153,BH154,BH155)/SUM(BH198,BH202,BH204,BH205)</f>
        <v>#DIV/0!</v>
      </c>
      <c r="BI341" s="219" t="e">
        <f>SUM(BI144,BI145,BI149,BI153,BI154,BI155)/SUM(BI198,BI202,BI204,BI205)</f>
        <v>#DIV/0!</v>
      </c>
      <c r="BJ341" s="219" t="e">
        <f>SUM(BJ144,BJ145,BJ149,BJ153,BJ154,BJ155)/SUM(BJ198,BJ202,BJ204,BJ205)</f>
        <v>#DIV/0!</v>
      </c>
      <c r="BL341" s="219" t="e">
        <f>SUM(BL144,BL145,BL149,BL153,BL154,BL155)/SUM(BL198,BL202,BL204,BL205)</f>
        <v>#DIV/0!</v>
      </c>
      <c r="BM341" s="219" t="e">
        <f>SUM(BM144,BM145,BM149,BM153,BM154,BM155)/SUM(BM198,BM202,BM204,BM205)</f>
        <v>#DIV/0!</v>
      </c>
      <c r="BN341" s="219" t="e">
        <f>SUM(BN144,BN145,BN149,BN153,BN154,BN155)/SUM(BN198,BN202,BN204,BN205)</f>
        <v>#DIV/0!</v>
      </c>
      <c r="BO341" s="219" t="e">
        <f>SUM(BO144,BO145,BO149,BO153,BO154,BO155)/SUM(BO198,BO202,BO204,BO205)</f>
        <v>#DIV/0!</v>
      </c>
      <c r="BQ341" s="219" t="e">
        <f>SUM(BQ144,BQ145,BQ149,BQ153,BQ154,BQ155)/SUM(BQ198,BQ202,BQ204,BQ205)</f>
        <v>#DIV/0!</v>
      </c>
      <c r="BR341" s="219" t="e">
        <f>SUM(BR144,BR145,BR149,BR153,BR154,BR155)/SUM(BR198,BR202,BR204,BR205)</f>
        <v>#DIV/0!</v>
      </c>
      <c r="BS341" s="219" t="e">
        <f>SUM(BS144,BS145,BS149,BS153,BS154,BS155)/SUM(BS198,BS202,BS204,BS205)</f>
        <v>#DIV/0!</v>
      </c>
      <c r="BT341" s="219" t="e">
        <f>SUM(BT144,BT145,BT149,BT153,BT154,BT155)/SUM(BT198,BT202,BT204,BT205)</f>
        <v>#DIV/0!</v>
      </c>
      <c r="BV341" s="219" t="e">
        <f>SUM(BV144,BV145,BV149,BV153,BV154,BV155)/SUM(BV198,BV202,BV204,BV205)</f>
        <v>#DIV/0!</v>
      </c>
      <c r="BW341" s="219" t="e">
        <f>SUM(BW144,BW145,BW149,BW153,BW154,BW155)/SUM(BW198,BW202,BW204,BW205)</f>
        <v>#DIV/0!</v>
      </c>
      <c r="BX341" s="219" t="e">
        <f>SUM(BX144,BX145,BX149,BX153,BX154,BX155)/SUM(BX198,BX202,BX204,BX205)</f>
        <v>#DIV/0!</v>
      </c>
      <c r="BY341" s="219" t="e">
        <f>SUM(BY144,BY145,BY149,BY153,BY154,BY155)/SUM(BY198,BY202,BY204,BY205)</f>
        <v>#DIV/0!</v>
      </c>
      <c r="CA341" s="219" t="e">
        <f>SUM(CA144,CA145,CA149,CA153,CA154,CA155)/SUM(CA198,CA202,CA204,CA205)</f>
        <v>#DIV/0!</v>
      </c>
      <c r="CB341" s="219" t="e">
        <f>SUM(CB144,CB145,CB149,CB153,CB154,CB155)/SUM(CB198,CB202,CB204,CB205)</f>
        <v>#DIV/0!</v>
      </c>
      <c r="CC341" s="219" t="e">
        <f>SUM(CC144,CC145,CC149,CC153,CC154,CC155)/SUM(CC198,CC202,CC204,CC205)</f>
        <v>#DIV/0!</v>
      </c>
      <c r="CD341" s="219" t="e">
        <f>SUM(CD144,CD145,CD149,CD153,CD154,CD155)/SUM(CD198,CD202,CD204,CD205)</f>
        <v>#DIV/0!</v>
      </c>
      <c r="CF341" s="219" t="e">
        <f>SUM(CF144,CF145,CF149,CF153,CF154,CF155)/SUM(CF198,CF202,CF204,CF205)</f>
        <v>#DIV/0!</v>
      </c>
      <c r="CG341" s="219" t="e">
        <f>SUM(CG144,CG145,CG149,CG153,CG154,CG155)/SUM(CG198,CG202,CG204,CG205)</f>
        <v>#DIV/0!</v>
      </c>
      <c r="CH341" s="219" t="e">
        <f>SUM(CH144,CH145,CH149,CH153,CH154,CH155)/SUM(CH198,CH202,CH204,CH205)</f>
        <v>#DIV/0!</v>
      </c>
      <c r="CI341" s="219" t="e">
        <f>SUM(CI144,CI145,CI149,CI153,CI154,CI155)/SUM(CI198,CI202,CI204,CI205)</f>
        <v>#DIV/0!</v>
      </c>
      <c r="CK341" s="219" t="e">
        <f>SUM(CK144,CK145,CK149,CK153,CK154,CK155)/SUM(CK198,CK202,CK204,CK205)</f>
        <v>#DIV/0!</v>
      </c>
      <c r="CL341" s="219" t="e">
        <f>SUM(CL144,CL145,CL149,CL153,CL154,CL155)/SUM(CL198,CL202,CL204,CL205)</f>
        <v>#DIV/0!</v>
      </c>
      <c r="CM341" s="219" t="e">
        <f>SUM(CM144,CM145,CM149,CM153,CM154,CM155)/SUM(CM198,CM202,CM204,CM205)</f>
        <v>#DIV/0!</v>
      </c>
      <c r="CN341" s="219" t="e">
        <f>SUM(CN144,CN145,CN149,CN153,CN154,CN155)/SUM(CN198,CN202,CN204,CN205)</f>
        <v>#DIV/0!</v>
      </c>
      <c r="CP341" s="219" t="e">
        <f>SUM(CP144,CP145,CP149,CP153,CP154,CP155)/SUM(CP198,CP202,CP204,CP205)</f>
        <v>#DIV/0!</v>
      </c>
      <c r="CQ341" s="219" t="e">
        <f>SUM(CQ144,CQ145,CQ149,CQ153,CQ154,CQ155)/SUM(CQ198,CQ202,CQ204,CQ205)</f>
        <v>#DIV/0!</v>
      </c>
      <c r="CR341" s="219" t="e">
        <f>SUM(CR144,CR145,CR149,CR153,CR154,CR155)/SUM(CR198,CR202,CR204,CR205)</f>
        <v>#DIV/0!</v>
      </c>
      <c r="CS341" s="219" t="e">
        <f>SUM(CS144,CS145,CS149,CS153,CS154,CS155)/SUM(CS198,CS202,CS204,CS205)</f>
        <v>#DIV/0!</v>
      </c>
      <c r="CU341" s="219" t="e">
        <f>SUM(CU144,CU145,CU149,CU153,CU154,CU155)/SUM(CU198,CU202,CU204,CU205)</f>
        <v>#DIV/0!</v>
      </c>
      <c r="CV341" s="219" t="e">
        <f>SUM(CV144,CV145,CV149,CV153,CV154,CV155)/SUM(CV198,CV202,CV204,CV205)</f>
        <v>#DIV/0!</v>
      </c>
      <c r="CW341" s="219" t="e">
        <f>SUM(CW144,CW145,CW149,CW153,CW154,CW155)/SUM(CW198,CW202,CW204,CW205)</f>
        <v>#DIV/0!</v>
      </c>
      <c r="CX341" s="219" t="e">
        <f>SUM(CX144,CX145,CX149,CX153,CX154,CX155)/SUM(CX198,CX202,CX204,CX205)</f>
        <v>#DIV/0!</v>
      </c>
    </row>
    <row r="342" customFormat="1" s="233">
      <c r="A342" s="224" t="n"/>
      <c r="B342" s="224" t="n"/>
      <c r="C342" s="233" t="inlineStr">
        <is>
          <t>CASH RATIO</t>
        </is>
      </c>
      <c r="D342" s="219">
        <f>SUM(D144)/SUM(D198,D202,D204,D205)</f>
        <v>0.129873954106367</v>
      </c>
      <c r="E342" s="219">
        <f>SUM(E144)/SUM(E198,E202,E204,E205)</f>
        <v>0.0944975998856779</v>
      </c>
      <c r="F342" s="219">
        <f>SUM(F144)/SUM(F198,F202,F204,F205)</f>
        <v>0.0981576948279761</v>
      </c>
      <c r="G342" s="219">
        <f>SUM(G144)/SUM(G198,G202,G204,G205)</f>
        <v>0.110570115679517</v>
      </c>
      <c r="I342" s="219">
        <f>SUM(I144)/SUM(I198,I202,I204,I205)</f>
        <v>1.90950816110372</v>
      </c>
      <c r="J342" s="219">
        <f>SUM(J144)/SUM(J198,J202,J204,J205)</f>
        <v>1.42542972292732</v>
      </c>
      <c r="K342" s="219">
        <f>SUM(K144)/SUM(K198,K202,K204,K205)</f>
        <v>1.48119513343689</v>
      </c>
      <c r="L342" s="219">
        <f>SUM(L144)/SUM(L198,L202,L204,L205)</f>
        <v>2.46667568016028</v>
      </c>
      <c r="N342" s="219">
        <f>SUM(N144)/SUM(N198,N202,N204,N205)</f>
        <v>1.5208358691202</v>
      </c>
      <c r="O342" s="219">
        <f>SUM(O144)/SUM(O198,O202,O204,O205)</f>
        <v>0.285440002953814</v>
      </c>
      <c r="P342" s="219">
        <f>SUM(P144)/SUM(P198,P202,P204,P205)</f>
        <v>0.198033470683599</v>
      </c>
      <c r="Q342" s="219">
        <f>SUM(Q144)/SUM(Q198,Q202,Q204,Q205)</f>
        <v>0.89165910647831</v>
      </c>
      <c r="S342" s="219">
        <f>SUM(S144)/SUM(S198,S202,S204,S205)</f>
        <v>0.794343615672195</v>
      </c>
      <c r="T342" s="219">
        <f>SUM(T144)/SUM(T198,T202,T204,T205)</f>
        <v>1.04425793146447</v>
      </c>
      <c r="U342" s="219">
        <f>SUM(U144)/SUM(U198,U202,U204,U205)</f>
        <v>1.2992101900773</v>
      </c>
      <c r="V342" s="219">
        <f>SUM(V144)/SUM(V198,V202,V204,V205)</f>
        <v>1.75761598772519</v>
      </c>
      <c r="X342" s="219">
        <f>SUM(X144)/SUM(X198,X202,X204,X205)</f>
        <v>1.4516501342978</v>
      </c>
      <c r="Y342" s="219">
        <f>SUM(Y144)/SUM(Y198,Y202,Y204,Y205)</f>
        <v>1.56112651908628</v>
      </c>
      <c r="Z342" s="219">
        <f>SUM(Z144)/SUM(Z198,Z202,Z204,Z205)</f>
        <v>3.98802356119533</v>
      </c>
      <c r="AA342" s="219">
        <f>SUM(AA144)/SUM(AA198,AA202,AA204,AA205)</f>
        <v>2.5412998222256</v>
      </c>
      <c r="AC342" s="219">
        <f>SUM(AC144)/SUM(AC198,AC202,AC204,AC205)</f>
        <v>2.38212400426465</v>
      </c>
      <c r="AD342" s="219">
        <f>SUM(AD144)/SUM(AD198,AD202,AD204,AD205)</f>
        <v>3.34088645254068</v>
      </c>
      <c r="AE342" s="219">
        <f>SUM(AE144)/SUM(AE198,AE202,AE204,AE205)</f>
        <v>3.9777755237741</v>
      </c>
      <c r="AF342" s="219">
        <f>SUM(AF144)/SUM(AF198,AF202,AF204,AF205)</f>
        <v>2.69898199545278</v>
      </c>
      <c r="AH342" s="219">
        <f>SUM(AH144)/SUM(AH198,AH202,AH204,AH205)</f>
        <v>2.3998113498963</v>
      </c>
      <c r="AI342" s="219">
        <f>SUM(AI144)/SUM(AI198,AI202,AI204,AI205)</f>
        <v>1.86725841340777</v>
      </c>
      <c r="AJ342" s="219">
        <f>SUM(AJ144)/SUM(AJ198,AJ202,AJ204,AJ205)</f>
        <v>41.6828963042265</v>
      </c>
      <c r="AK342" s="219">
        <f>SUM(AK144)/SUM(AK198,AK202,AK204,AK205)</f>
        <v>41.9480541021427</v>
      </c>
      <c r="AM342" s="219" t="e">
        <f>SUM(AM144)/SUM(AM198,AM202,AM204,AM205)</f>
        <v>#DIV/0!</v>
      </c>
      <c r="AN342" s="219" t="e">
        <f>SUM(AN144)/SUM(AN198,AN202,AN204,AN205)</f>
        <v>#DIV/0!</v>
      </c>
      <c r="AO342" s="219" t="e">
        <f>SUM(AO144)/SUM(AO198,AO202,AO204,AO205)</f>
        <v>#DIV/0!</v>
      </c>
      <c r="AP342" s="219" t="e">
        <f>SUM(AP144)/SUM(AP198,AP202,AP204,AP205)</f>
        <v>#DIV/0!</v>
      </c>
      <c r="AR342" s="219" t="e">
        <f>SUM(AR144)/SUM(AR198,AR202,AR204,AR205)</f>
        <v>#DIV/0!</v>
      </c>
      <c r="AS342" s="219" t="e">
        <f>SUM(AS144)/SUM(AS198,AS202,AS204,AS205)</f>
        <v>#DIV/0!</v>
      </c>
      <c r="AT342" s="219" t="e">
        <f>SUM(AT144)/SUM(AT198,AT202,AT204,AT205)</f>
        <v>#DIV/0!</v>
      </c>
      <c r="AU342" s="219" t="e">
        <f>SUM(AU144)/SUM(AU198,AU202,AU204,AU205)</f>
        <v>#DIV/0!</v>
      </c>
      <c r="AW342" s="219" t="e">
        <f>SUM(AW144)/SUM(AW198,AW202,AW204,AW205)</f>
        <v>#DIV/0!</v>
      </c>
      <c r="AX342" s="219" t="e">
        <f>SUM(AX144)/SUM(AX198,AX202,AX204,AX205)</f>
        <v>#DIV/0!</v>
      </c>
      <c r="AY342" s="219" t="e">
        <f>SUM(AY144)/SUM(AY198,AY202,AY204,AY205)</f>
        <v>#DIV/0!</v>
      </c>
      <c r="AZ342" s="219" t="e">
        <f>SUM(AZ144)/SUM(AZ198,AZ202,AZ204,AZ205)</f>
        <v>#DIV/0!</v>
      </c>
      <c r="BB342" s="219" t="e">
        <f>SUM(BB144)/SUM(BB198,BB202,BB204,BB205)</f>
        <v>#DIV/0!</v>
      </c>
      <c r="BC342" s="219" t="e">
        <f>SUM(BC144)/SUM(BC198,BC202,BC204,BC205)</f>
        <v>#DIV/0!</v>
      </c>
      <c r="BD342" s="219" t="e">
        <f>SUM(BD144)/SUM(BD198,BD202,BD204,BD205)</f>
        <v>#DIV/0!</v>
      </c>
      <c r="BE342" s="219" t="e">
        <f>SUM(BE144)/SUM(BE198,BE202,BE204,BE205)</f>
        <v>#DIV/0!</v>
      </c>
      <c r="BG342" s="219" t="e">
        <f>SUM(BG144)/SUM(BG198,BG202,BG204,BG205)</f>
        <v>#DIV/0!</v>
      </c>
      <c r="BH342" s="219" t="e">
        <f>SUM(BH144)/SUM(BH198,BH202,BH204,BH205)</f>
        <v>#DIV/0!</v>
      </c>
      <c r="BI342" s="219" t="e">
        <f>SUM(BI144)/SUM(BI198,BI202,BI204,BI205)</f>
        <v>#DIV/0!</v>
      </c>
      <c r="BJ342" s="219" t="e">
        <f>SUM(BJ144)/SUM(BJ198,BJ202,BJ204,BJ205)</f>
        <v>#DIV/0!</v>
      </c>
      <c r="BL342" s="219" t="e">
        <f>SUM(BL144)/SUM(BL198,BL202,BL204,BL205)</f>
        <v>#DIV/0!</v>
      </c>
      <c r="BM342" s="219" t="e">
        <f>SUM(BM144)/SUM(BM198,BM202,BM204,BM205)</f>
        <v>#DIV/0!</v>
      </c>
      <c r="BN342" s="219" t="e">
        <f>SUM(BN144)/SUM(BN198,BN202,BN204,BN205)</f>
        <v>#DIV/0!</v>
      </c>
      <c r="BO342" s="219" t="e">
        <f>SUM(BO144)/SUM(BO198,BO202,BO204,BO205)</f>
        <v>#DIV/0!</v>
      </c>
      <c r="BQ342" s="219" t="e">
        <f>SUM(BQ144)/SUM(BQ198,BQ202,BQ204,BQ205)</f>
        <v>#DIV/0!</v>
      </c>
      <c r="BR342" s="219" t="e">
        <f>SUM(BR144)/SUM(BR198,BR202,BR204,BR205)</f>
        <v>#DIV/0!</v>
      </c>
      <c r="BS342" s="219" t="e">
        <f>SUM(BS144)/SUM(BS198,BS202,BS204,BS205)</f>
        <v>#DIV/0!</v>
      </c>
      <c r="BT342" s="219" t="e">
        <f>SUM(BT144)/SUM(BT198,BT202,BT204,BT205)</f>
        <v>#DIV/0!</v>
      </c>
      <c r="BV342" s="219" t="e">
        <f>SUM(BV144)/SUM(BV198,BV202,BV204,BV205)</f>
        <v>#DIV/0!</v>
      </c>
      <c r="BW342" s="219" t="e">
        <f>SUM(BW144)/SUM(BW198,BW202,BW204,BW205)</f>
        <v>#DIV/0!</v>
      </c>
      <c r="BX342" s="219" t="e">
        <f>SUM(BX144)/SUM(BX198,BX202,BX204,BX205)</f>
        <v>#DIV/0!</v>
      </c>
      <c r="BY342" s="219" t="e">
        <f>SUM(BY144)/SUM(BY198,BY202,BY204,BY205)</f>
        <v>#DIV/0!</v>
      </c>
      <c r="CA342" s="219" t="e">
        <f>SUM(CA144)/SUM(CA198,CA202,CA204,CA205)</f>
        <v>#DIV/0!</v>
      </c>
      <c r="CB342" s="219" t="e">
        <f>SUM(CB144)/SUM(CB198,CB202,CB204,CB205)</f>
        <v>#DIV/0!</v>
      </c>
      <c r="CC342" s="219" t="e">
        <f>SUM(CC144)/SUM(CC198,CC202,CC204,CC205)</f>
        <v>#DIV/0!</v>
      </c>
      <c r="CD342" s="219" t="e">
        <f>SUM(CD144)/SUM(CD198,CD202,CD204,CD205)</f>
        <v>#DIV/0!</v>
      </c>
      <c r="CF342" s="219" t="e">
        <f>SUM(CF144)/SUM(CF198,CF202,CF204,CF205)</f>
        <v>#DIV/0!</v>
      </c>
      <c r="CG342" s="219" t="e">
        <f>SUM(CG144)/SUM(CG198,CG202,CG204,CG205)</f>
        <v>#DIV/0!</v>
      </c>
      <c r="CH342" s="219" t="e">
        <f>SUM(CH144)/SUM(CH198,CH202,CH204,CH205)</f>
        <v>#DIV/0!</v>
      </c>
      <c r="CI342" s="219" t="e">
        <f>SUM(CI144)/SUM(CI198,CI202,CI204,CI205)</f>
        <v>#DIV/0!</v>
      </c>
      <c r="CK342" s="219" t="e">
        <f>SUM(CK144)/SUM(CK198,CK202,CK204,CK205)</f>
        <v>#DIV/0!</v>
      </c>
      <c r="CL342" s="219" t="e">
        <f>SUM(CL144)/SUM(CL198,CL202,CL204,CL205)</f>
        <v>#DIV/0!</v>
      </c>
      <c r="CM342" s="219" t="e">
        <f>SUM(CM144)/SUM(CM198,CM202,CM204,CM205)</f>
        <v>#DIV/0!</v>
      </c>
      <c r="CN342" s="219" t="e">
        <f>SUM(CN144)/SUM(CN198,CN202,CN204,CN205)</f>
        <v>#DIV/0!</v>
      </c>
      <c r="CP342" s="219" t="e">
        <f>SUM(CP144)/SUM(CP198,CP202,CP204,CP205)</f>
        <v>#DIV/0!</v>
      </c>
      <c r="CQ342" s="219" t="e">
        <f>SUM(CQ144)/SUM(CQ198,CQ202,CQ204,CQ205)</f>
        <v>#DIV/0!</v>
      </c>
      <c r="CR342" s="219" t="e">
        <f>SUM(CR144)/SUM(CR198,CR202,CR204,CR205)</f>
        <v>#DIV/0!</v>
      </c>
      <c r="CS342" s="219" t="e">
        <f>SUM(CS144)/SUM(CS198,CS202,CS204,CS205)</f>
        <v>#DIV/0!</v>
      </c>
      <c r="CU342" s="219" t="e">
        <f>SUM(CU144)/SUM(CU198,CU202,CU204,CU205)</f>
        <v>#DIV/0!</v>
      </c>
      <c r="CV342" s="219" t="e">
        <f>SUM(CV144)/SUM(CV198,CV202,CV204,CV205)</f>
        <v>#DIV/0!</v>
      </c>
      <c r="CW342" s="219" t="e">
        <f>SUM(CW144)/SUM(CW198,CW202,CW204,CW205)</f>
        <v>#DIV/0!</v>
      </c>
      <c r="CX342" s="219" t="e">
        <f>SUM(CX144)/SUM(CX198,CX202,CX204,CX205)</f>
        <v>#DIV/0!</v>
      </c>
    </row>
    <row r="343" customFormat="1" s="233">
      <c r="A343" s="224" t="n"/>
      <c r="B343" s="224" t="n"/>
    </row>
    <row r="344" customFormat="1" s="233">
      <c r="A344" s="224" t="n"/>
      <c r="B344" s="224" t="n"/>
      <c r="C344" s="234" t="inlineStr">
        <is>
          <t>OPERATING EFFICIENCY</t>
        </is>
      </c>
    </row>
    <row r="345" customFormat="1" s="238">
      <c r="A345" s="222" t="n"/>
      <c r="B345" s="222" t="n"/>
      <c r="C345" s="238" t="inlineStr">
        <is>
          <t>RETURN ON CAPITAL (ROIC)</t>
        </is>
      </c>
      <c r="D345" s="238">
        <f>D347/D350</f>
        <v>0.0860567185468267</v>
      </c>
      <c r="E345" s="238">
        <f>E347/E350</f>
        <v>0.0451040359863448</v>
      </c>
      <c r="F345" s="238">
        <f>F347/F350</f>
        <v>0.00845532966548962</v>
      </c>
      <c r="G345" s="238">
        <f>G347/G350</f>
        <v>0.0307617271865441</v>
      </c>
      <c r="H345" s="238">
        <f>H347/H350</f>
        <v>0.118164466223248</v>
      </c>
      <c r="I345" s="222">
        <f>I347/I350</f>
        <v>-0.0622423985042228</v>
      </c>
      <c r="J345" s="222">
        <f>J347/J350</f>
        <v>0.0320475424162964</v>
      </c>
      <c r="K345" s="222">
        <f>K347/K350</f>
        <v>-0.0119092698923124</v>
      </c>
      <c r="L345" s="222">
        <f>L347/L350</f>
        <v>-0.250217288400693</v>
      </c>
      <c r="M345" s="222">
        <f>M347/M350</f>
        <v>0.399301880256373</v>
      </c>
      <c r="N345" s="222">
        <f>N347/N350</f>
        <v>0.0231467077929821</v>
      </c>
      <c r="O345" s="222">
        <f>O347/O350</f>
        <v>-0.00826638325182766</v>
      </c>
      <c r="P345" s="222">
        <f>P347/P350</f>
        <v>0.0198912280140394</v>
      </c>
      <c r="Q345" s="222">
        <f>Q347/Q350</f>
        <v>0.000324147086883306</v>
      </c>
      <c r="R345" s="222">
        <f>R347/R350</f>
        <v>0.0524639919125715</v>
      </c>
      <c r="S345" s="222">
        <f>S347/S350</f>
        <v>0.00742451970640914</v>
      </c>
      <c r="T345" s="222">
        <f>T347/T350</f>
        <v>-0.042411519272433</v>
      </c>
      <c r="U345" s="222">
        <f>U347/U350</f>
        <v>0.00720210663095801</v>
      </c>
      <c r="V345" s="222">
        <f>V347/V350</f>
        <v>0.0589025391192102</v>
      </c>
      <c r="W345" s="222">
        <f>W347/W350</f>
        <v>0.0775849222939559</v>
      </c>
      <c r="X345" s="222">
        <f>X347/X350</f>
        <v>0.0387090138741424</v>
      </c>
      <c r="Y345" s="222">
        <f>Y347/Y350</f>
        <v>0.012259517497905</v>
      </c>
      <c r="Z345" s="222">
        <f>Z347/Z350</f>
        <v>0.0400847533171998</v>
      </c>
      <c r="AA345" s="222">
        <f>AA347/AA350</f>
        <v>0.0476476952113287</v>
      </c>
      <c r="AB345" s="222">
        <f>AB347/AB350</f>
        <v>0.0824454719242616</v>
      </c>
      <c r="AC345" s="222">
        <f>AC347/AC350</f>
        <v>-0.666412138525385</v>
      </c>
      <c r="AD345" s="222">
        <f>AD347/AD350</f>
        <v>0.0273775183578942</v>
      </c>
      <c r="AE345" s="222">
        <f>AE347/AE350</f>
        <v>0.0290918490910057</v>
      </c>
      <c r="AF345" s="222">
        <f>AF347/AF350</f>
        <v>0.0247603624447386</v>
      </c>
      <c r="AG345" s="222">
        <f>AG347/AG350</f>
        <v>0.0824609404348039</v>
      </c>
      <c r="AH345" s="222">
        <f>AH347/AH350</f>
        <v>0.0193910423996192</v>
      </c>
      <c r="AI345" s="222">
        <f>AI347/AI350</f>
        <v>0.00300189520263231</v>
      </c>
      <c r="AJ345" s="222">
        <f>AJ347/AJ350</f>
        <v>0</v>
      </c>
      <c r="AK345" s="222">
        <f>AK347/AK350</f>
        <v>0</v>
      </c>
      <c r="AL345" s="222">
        <f>AL347/AL350</f>
        <v>0.0305640825120032</v>
      </c>
      <c r="AM345" s="222" t="e">
        <f>AM347/AM350</f>
        <v>#DIV/0!</v>
      </c>
      <c r="AN345" s="222">
        <f>AN347/AN350</f>
        <v>0</v>
      </c>
      <c r="AO345" s="222" t="e">
        <f>AO347/AO350</f>
        <v>#DIV/0!</v>
      </c>
      <c r="AP345" s="222" t="e">
        <f>AP347/AP350</f>
        <v>#DIV/0!</v>
      </c>
      <c r="AQ345" s="222" t="e">
        <f>AQ347/AQ350</f>
        <v>#DIV/0!</v>
      </c>
      <c r="AR345" s="222" t="e">
        <f>AR347/AR350</f>
        <v>#DIV/0!</v>
      </c>
      <c r="AS345" s="222" t="e">
        <f>AS347/AS350</f>
        <v>#DIV/0!</v>
      </c>
      <c r="AT345" s="222" t="e">
        <f>AT347/AT350</f>
        <v>#DIV/0!</v>
      </c>
      <c r="AU345" s="222" t="e">
        <f>AU347/AU350</f>
        <v>#DIV/0!</v>
      </c>
      <c r="AV345" s="222" t="e">
        <f>AV347/AV350</f>
        <v>#DIV/0!</v>
      </c>
      <c r="AW345" s="222" t="e">
        <f>AW347/AW350</f>
        <v>#DIV/0!</v>
      </c>
      <c r="AX345" s="222" t="e">
        <f>AX347/AX350</f>
        <v>#DIV/0!</v>
      </c>
      <c r="AY345" s="222" t="e">
        <f>AY347/AY350</f>
        <v>#DIV/0!</v>
      </c>
      <c r="AZ345" s="222" t="e">
        <f>AZ347/AZ350</f>
        <v>#DIV/0!</v>
      </c>
      <c r="BA345" s="222" t="e">
        <f>BA347/BA350</f>
        <v>#DIV/0!</v>
      </c>
      <c r="BB345" s="222" t="e">
        <f>BB347/BB350</f>
        <v>#DIV/0!</v>
      </c>
      <c r="BC345" s="222" t="e">
        <f>BC347/BC350</f>
        <v>#DIV/0!</v>
      </c>
      <c r="BD345" s="222" t="e">
        <f>BD347/BD350</f>
        <v>#DIV/0!</v>
      </c>
      <c r="BE345" s="222" t="e">
        <f>BE347/BE350</f>
        <v>#DIV/0!</v>
      </c>
      <c r="BF345" s="222" t="e">
        <f>BF347/BF350</f>
        <v>#DIV/0!</v>
      </c>
      <c r="BG345" s="222" t="e">
        <f>BG347/BG350</f>
        <v>#DIV/0!</v>
      </c>
      <c r="BH345" s="222" t="e">
        <f>BH347/BH350</f>
        <v>#DIV/0!</v>
      </c>
      <c r="BI345" s="222" t="e">
        <f>BI347/BI350</f>
        <v>#DIV/0!</v>
      </c>
      <c r="BJ345" s="222" t="e">
        <f>BJ347/BJ350</f>
        <v>#DIV/0!</v>
      </c>
      <c r="BK345" s="222" t="e">
        <f>BK347/BK350</f>
        <v>#DIV/0!</v>
      </c>
      <c r="BL345" s="222" t="e">
        <f>BL347/BL350</f>
        <v>#DIV/0!</v>
      </c>
      <c r="BM345" s="222" t="e">
        <f>BM347/BM350</f>
        <v>#DIV/0!</v>
      </c>
      <c r="BN345" s="222" t="e">
        <f>BN347/BN350</f>
        <v>#DIV/0!</v>
      </c>
      <c r="BO345" s="222" t="e">
        <f>BO347/BO350</f>
        <v>#DIV/0!</v>
      </c>
      <c r="BP345" s="222" t="e">
        <f>BP347/BP350</f>
        <v>#DIV/0!</v>
      </c>
      <c r="BQ345" s="222" t="e">
        <f>BQ347/BQ350</f>
        <v>#DIV/0!</v>
      </c>
      <c r="BR345" s="222" t="e">
        <f>BR347/BR350</f>
        <v>#DIV/0!</v>
      </c>
      <c r="BS345" s="222" t="e">
        <f>BS347/BS350</f>
        <v>#DIV/0!</v>
      </c>
      <c r="BT345" s="222" t="e">
        <f>BT347/BT350</f>
        <v>#DIV/0!</v>
      </c>
      <c r="BU345" s="222" t="e">
        <f>BU347/BU350</f>
        <v>#DIV/0!</v>
      </c>
      <c r="BV345" s="222" t="e">
        <f>BV347/BV350</f>
        <v>#DIV/0!</v>
      </c>
      <c r="BW345" s="222" t="e">
        <f>BW347/BW350</f>
        <v>#DIV/0!</v>
      </c>
      <c r="BX345" s="222" t="e">
        <f>BX347/BX350</f>
        <v>#DIV/0!</v>
      </c>
      <c r="BY345" s="222" t="e">
        <f>BY347/BY350</f>
        <v>#DIV/0!</v>
      </c>
      <c r="BZ345" s="222" t="e">
        <f>BZ347/BZ350</f>
        <v>#DIV/0!</v>
      </c>
      <c r="CA345" s="222" t="e">
        <f>CA347/CA350</f>
        <v>#DIV/0!</v>
      </c>
      <c r="CB345" s="222" t="e">
        <f>CB347/CB350</f>
        <v>#DIV/0!</v>
      </c>
      <c r="CC345" s="222" t="e">
        <f>CC347/CC350</f>
        <v>#DIV/0!</v>
      </c>
      <c r="CD345" s="222" t="e">
        <f>CD347/CD350</f>
        <v>#DIV/0!</v>
      </c>
      <c r="CE345" s="222" t="e">
        <f>CE347/CE350</f>
        <v>#DIV/0!</v>
      </c>
      <c r="CF345" s="222" t="e">
        <f>CF347/CF350</f>
        <v>#DIV/0!</v>
      </c>
      <c r="CG345" s="222" t="e">
        <f>CG347/CG350</f>
        <v>#DIV/0!</v>
      </c>
      <c r="CH345" s="222" t="e">
        <f>CH347/CH350</f>
        <v>#DIV/0!</v>
      </c>
      <c r="CI345" s="222" t="e">
        <f>CI347/CI350</f>
        <v>#DIV/0!</v>
      </c>
      <c r="CJ345" s="222" t="e">
        <f>CJ347/CJ350</f>
        <v>#DIV/0!</v>
      </c>
      <c r="CK345" s="222" t="e">
        <f>CK347/CK350</f>
        <v>#DIV/0!</v>
      </c>
      <c r="CL345" s="222" t="e">
        <f>CL347/CL350</f>
        <v>#DIV/0!</v>
      </c>
      <c r="CM345" s="222" t="e">
        <f>CM347/CM350</f>
        <v>#DIV/0!</v>
      </c>
      <c r="CN345" s="222" t="e">
        <f>CN347/CN350</f>
        <v>#DIV/0!</v>
      </c>
      <c r="CO345" s="222" t="e">
        <f>CO347/CO350</f>
        <v>#DIV/0!</v>
      </c>
      <c r="CP345" s="222" t="e">
        <f>CP347/CP350</f>
        <v>#DIV/0!</v>
      </c>
      <c r="CQ345" s="222" t="e">
        <f>CQ347/CQ350</f>
        <v>#DIV/0!</v>
      </c>
      <c r="CR345" s="222" t="e">
        <f>CR347/CR350</f>
        <v>#DIV/0!</v>
      </c>
      <c r="CS345" s="222" t="e">
        <f>CS347/CS350</f>
        <v>#DIV/0!</v>
      </c>
      <c r="CT345" s="222" t="e">
        <f>CT347/CT350</f>
        <v>#DIV/0!</v>
      </c>
      <c r="CU345" s="222" t="e">
        <f>CU347/CU350</f>
        <v>#DIV/0!</v>
      </c>
      <c r="CV345" s="222" t="e">
        <f>CV347/CV350</f>
        <v>#DIV/0!</v>
      </c>
      <c r="CW345" s="222" t="e">
        <f>CW347/CW350</f>
        <v>#DIV/0!</v>
      </c>
      <c r="CX345" s="222" t="e">
        <f>CX347/CX350</f>
        <v>#DIV/0!</v>
      </c>
      <c r="CY345" s="222" t="e">
        <f>CY347/CY350</f>
        <v>#DIV/0!</v>
      </c>
    </row>
    <row r="346" customFormat="1" s="238">
      <c r="A346" s="222" t="n"/>
      <c r="B346" s="222" t="n"/>
      <c r="C346" s="238" t="inlineStr">
        <is>
          <t>RETURN ON CAPITAL (ROIC) - EX GOODWILL</t>
        </is>
      </c>
      <c r="D346" s="238">
        <f>D347/D351</f>
        <v>0.0860567185468267</v>
      </c>
      <c r="E346" s="238">
        <f>E347/E351</f>
        <v>0.0451040359863448</v>
      </c>
      <c r="F346" s="238">
        <f>F347/F351</f>
        <v>0.00845532966548962</v>
      </c>
      <c r="G346" s="238">
        <f>G347/G351</f>
        <v>0.0307617271865441</v>
      </c>
      <c r="H346" s="238">
        <f>H347/H351</f>
        <v>0.118164466223248</v>
      </c>
      <c r="I346" s="222">
        <f>I347/I351</f>
        <v>-0.0622423985042228</v>
      </c>
      <c r="J346" s="222">
        <f>J347/J351</f>
        <v>0.0320475424162964</v>
      </c>
      <c r="K346" s="222">
        <f>K347/K351</f>
        <v>-0.0119092698923124</v>
      </c>
      <c r="L346" s="222">
        <f>L347/L351</f>
        <v>-0.250217288400693</v>
      </c>
      <c r="M346" s="222">
        <f>M347/M351</f>
        <v>0.399301880256373</v>
      </c>
      <c r="N346" s="222">
        <f>N347/N351</f>
        <v>0.0231467077929821</v>
      </c>
      <c r="O346" s="222">
        <f>O347/O351</f>
        <v>-0.00826638325182766</v>
      </c>
      <c r="P346" s="222">
        <f>P347/P351</f>
        <v>0.0198912280140394</v>
      </c>
      <c r="Q346" s="222">
        <f>Q347/Q351</f>
        <v>0.000324147086883306</v>
      </c>
      <c r="R346" s="222">
        <f>R347/R351</f>
        <v>0.0524639919125715</v>
      </c>
      <c r="S346" s="222">
        <f>S347/S351</f>
        <v>0.00742451970640914</v>
      </c>
      <c r="T346" s="222">
        <f>T347/T351</f>
        <v>-0.042411519272433</v>
      </c>
      <c r="U346" s="222">
        <f>U347/U351</f>
        <v>0.00720210663095801</v>
      </c>
      <c r="V346" s="222">
        <f>V347/V351</f>
        <v>0.0589025391192102</v>
      </c>
      <c r="W346" s="222">
        <f>W347/W351</f>
        <v>0.0775849222939559</v>
      </c>
      <c r="X346" s="222">
        <f>X347/X351</f>
        <v>0.0387090138741424</v>
      </c>
      <c r="Y346" s="222">
        <f>Y347/Y351</f>
        <v>0.012259517497905</v>
      </c>
      <c r="Z346" s="222">
        <f>Z347/Z351</f>
        <v>0.0400847533171998</v>
      </c>
      <c r="AA346" s="222">
        <f>AA347/AA351</f>
        <v>0.0476476952113287</v>
      </c>
      <c r="AB346" s="222">
        <f>AB347/AB351</f>
        <v>0.0824454719242616</v>
      </c>
      <c r="AC346" s="222">
        <f>AC347/AC351</f>
        <v>-0.666412138525385</v>
      </c>
      <c r="AD346" s="222">
        <f>AD347/AD351</f>
        <v>0.0273775183578942</v>
      </c>
      <c r="AE346" s="222">
        <f>AE347/AE351</f>
        <v>0.0290918490910057</v>
      </c>
      <c r="AF346" s="222">
        <f>AF347/AF351</f>
        <v>0.0247603624447386</v>
      </c>
      <c r="AG346" s="222">
        <f>AG347/AG351</f>
        <v>0.0824609404348039</v>
      </c>
      <c r="AH346" s="222">
        <f>AH347/AH351</f>
        <v>0.0193910423996192</v>
      </c>
      <c r="AI346" s="222">
        <f>AI347/AI351</f>
        <v>0.00300189520263231</v>
      </c>
      <c r="AJ346" s="222">
        <f>AJ347/AJ351</f>
        <v>0</v>
      </c>
      <c r="AK346" s="222">
        <f>AK347/AK351</f>
        <v>0</v>
      </c>
      <c r="AL346" s="222">
        <f>AL347/AL351</f>
        <v>0.0305640825120032</v>
      </c>
      <c r="AM346" s="222" t="e">
        <f>AM347/AM351</f>
        <v>#DIV/0!</v>
      </c>
      <c r="AN346" s="222">
        <f>AN347/AN351</f>
        <v>0</v>
      </c>
      <c r="AO346" s="222" t="e">
        <f>AO347/AO351</f>
        <v>#DIV/0!</v>
      </c>
      <c r="AP346" s="222" t="e">
        <f>AP347/AP351</f>
        <v>#DIV/0!</v>
      </c>
      <c r="AQ346" s="222" t="e">
        <f>AQ347/AQ351</f>
        <v>#DIV/0!</v>
      </c>
      <c r="AR346" s="222" t="e">
        <f>AR347/AR351</f>
        <v>#DIV/0!</v>
      </c>
      <c r="AS346" s="222" t="e">
        <f>AS347/AS351</f>
        <v>#DIV/0!</v>
      </c>
      <c r="AT346" s="222" t="e">
        <f>AT347/AT351</f>
        <v>#DIV/0!</v>
      </c>
      <c r="AU346" s="222" t="e">
        <f>AU347/AU351</f>
        <v>#DIV/0!</v>
      </c>
      <c r="AV346" s="222" t="e">
        <f>AV347/AV351</f>
        <v>#DIV/0!</v>
      </c>
      <c r="AW346" s="222" t="e">
        <f>AW347/AW351</f>
        <v>#DIV/0!</v>
      </c>
      <c r="AX346" s="222" t="e">
        <f>AX347/AX351</f>
        <v>#DIV/0!</v>
      </c>
      <c r="AY346" s="222" t="e">
        <f>AY347/AY351</f>
        <v>#DIV/0!</v>
      </c>
      <c r="AZ346" s="222" t="e">
        <f>AZ347/AZ351</f>
        <v>#DIV/0!</v>
      </c>
      <c r="BA346" s="222" t="e">
        <f>BA347/BA351</f>
        <v>#DIV/0!</v>
      </c>
      <c r="BB346" s="222" t="e">
        <f>BB347/BB351</f>
        <v>#DIV/0!</v>
      </c>
      <c r="BC346" s="222" t="e">
        <f>BC347/BC351</f>
        <v>#DIV/0!</v>
      </c>
      <c r="BD346" s="222" t="e">
        <f>BD347/BD351</f>
        <v>#DIV/0!</v>
      </c>
      <c r="BE346" s="222" t="e">
        <f>BE347/BE351</f>
        <v>#DIV/0!</v>
      </c>
      <c r="BF346" s="222" t="e">
        <f>BF347/BF351</f>
        <v>#DIV/0!</v>
      </c>
      <c r="BG346" s="222" t="e">
        <f>BG347/BG351</f>
        <v>#DIV/0!</v>
      </c>
      <c r="BH346" s="222" t="e">
        <f>BH347/BH351</f>
        <v>#DIV/0!</v>
      </c>
      <c r="BI346" s="222" t="e">
        <f>BI347/BI351</f>
        <v>#DIV/0!</v>
      </c>
      <c r="BJ346" s="222" t="e">
        <f>BJ347/BJ351</f>
        <v>#DIV/0!</v>
      </c>
      <c r="BK346" s="222" t="e">
        <f>BK347/BK351</f>
        <v>#DIV/0!</v>
      </c>
      <c r="BL346" s="222" t="e">
        <f>BL347/BL351</f>
        <v>#DIV/0!</v>
      </c>
      <c r="BM346" s="222" t="e">
        <f>BM347/BM351</f>
        <v>#DIV/0!</v>
      </c>
      <c r="BN346" s="222" t="e">
        <f>BN347/BN351</f>
        <v>#DIV/0!</v>
      </c>
      <c r="BO346" s="222" t="e">
        <f>BO347/BO351</f>
        <v>#DIV/0!</v>
      </c>
      <c r="BP346" s="222" t="e">
        <f>BP347/BP351</f>
        <v>#DIV/0!</v>
      </c>
      <c r="BQ346" s="222" t="e">
        <f>BQ347/BQ351</f>
        <v>#DIV/0!</v>
      </c>
      <c r="BR346" s="222" t="e">
        <f>BR347/BR351</f>
        <v>#DIV/0!</v>
      </c>
      <c r="BS346" s="222" t="e">
        <f>BS347/BS351</f>
        <v>#DIV/0!</v>
      </c>
      <c r="BT346" s="222" t="e">
        <f>BT347/BT351</f>
        <v>#DIV/0!</v>
      </c>
      <c r="BU346" s="222" t="e">
        <f>BU347/BU351</f>
        <v>#DIV/0!</v>
      </c>
      <c r="BV346" s="222" t="e">
        <f>BV347/BV351</f>
        <v>#DIV/0!</v>
      </c>
      <c r="BW346" s="222" t="e">
        <f>BW347/BW351</f>
        <v>#DIV/0!</v>
      </c>
      <c r="BX346" s="222" t="e">
        <f>BX347/BX351</f>
        <v>#DIV/0!</v>
      </c>
      <c r="BY346" s="222" t="e">
        <f>BY347/BY351</f>
        <v>#DIV/0!</v>
      </c>
      <c r="BZ346" s="222" t="e">
        <f>BZ347/BZ351</f>
        <v>#DIV/0!</v>
      </c>
      <c r="CA346" s="222" t="e">
        <f>CA347/CA351</f>
        <v>#DIV/0!</v>
      </c>
      <c r="CB346" s="222" t="e">
        <f>CB347/CB351</f>
        <v>#DIV/0!</v>
      </c>
      <c r="CC346" s="222" t="e">
        <f>CC347/CC351</f>
        <v>#DIV/0!</v>
      </c>
      <c r="CD346" s="222" t="e">
        <f>CD347/CD351</f>
        <v>#DIV/0!</v>
      </c>
      <c r="CE346" s="222" t="e">
        <f>CE347/CE351</f>
        <v>#DIV/0!</v>
      </c>
      <c r="CF346" s="222" t="e">
        <f>CF347/CF351</f>
        <v>#DIV/0!</v>
      </c>
      <c r="CG346" s="222" t="e">
        <f>CG347/CG351</f>
        <v>#DIV/0!</v>
      </c>
      <c r="CH346" s="222" t="e">
        <f>CH347/CH351</f>
        <v>#DIV/0!</v>
      </c>
      <c r="CI346" s="222" t="e">
        <f>CI347/CI351</f>
        <v>#DIV/0!</v>
      </c>
      <c r="CJ346" s="222" t="e">
        <f>CJ347/CJ351</f>
        <v>#DIV/0!</v>
      </c>
      <c r="CK346" s="222" t="e">
        <f>CK347/CK351</f>
        <v>#DIV/0!</v>
      </c>
      <c r="CL346" s="222" t="e">
        <f>CL347/CL351</f>
        <v>#DIV/0!</v>
      </c>
      <c r="CM346" s="222" t="e">
        <f>CM347/CM351</f>
        <v>#DIV/0!</v>
      </c>
      <c r="CN346" s="222" t="e">
        <f>CN347/CN351</f>
        <v>#DIV/0!</v>
      </c>
      <c r="CO346" s="222" t="e">
        <f>CO347/CO351</f>
        <v>#DIV/0!</v>
      </c>
      <c r="CP346" s="222" t="e">
        <f>CP347/CP351</f>
        <v>#DIV/0!</v>
      </c>
      <c r="CQ346" s="222" t="e">
        <f>CQ347/CQ351</f>
        <v>#DIV/0!</v>
      </c>
      <c r="CR346" s="222" t="e">
        <f>CR347/CR351</f>
        <v>#DIV/0!</v>
      </c>
      <c r="CS346" s="222" t="e">
        <f>CS347/CS351</f>
        <v>#DIV/0!</v>
      </c>
      <c r="CT346" s="222" t="e">
        <f>CT347/CT351</f>
        <v>#DIV/0!</v>
      </c>
      <c r="CU346" s="222" t="e">
        <f>CU347/CU351</f>
        <v>#DIV/0!</v>
      </c>
      <c r="CV346" s="222" t="e">
        <f>CV347/CV351</f>
        <v>#DIV/0!</v>
      </c>
      <c r="CW346" s="222" t="e">
        <f>CW347/CW351</f>
        <v>#DIV/0!</v>
      </c>
      <c r="CX346" s="222" t="e">
        <f>CX347/CX351</f>
        <v>#DIV/0!</v>
      </c>
      <c r="CY346" s="222" t="e">
        <f>CY347/CY351</f>
        <v>#DIV/0!</v>
      </c>
    </row>
    <row r="347" customFormat="1" s="233">
      <c r="A347" s="224" t="n"/>
      <c r="B347" s="224" t="n"/>
      <c r="C347" s="233" t="inlineStr">
        <is>
          <t>NOPLAT</t>
        </is>
      </c>
      <c r="D347" s="233">
        <f>D348*(1-D349)</f>
        <v>33.3748608137045</v>
      </c>
      <c r="E347" s="233">
        <f>E348*(1-E349)</f>
        <v>20.1049887288053</v>
      </c>
      <c r="F347" s="233">
        <f>F348*(1-F349)</f>
        <v>3.76465943559226</v>
      </c>
      <c r="G347" s="233">
        <f>G348*(1-G349)</f>
        <v>13.1456242107162</v>
      </c>
      <c r="H347" s="233">
        <f>H348*(1-H349)</f>
        <v>50.4960485024443</v>
      </c>
      <c r="I347" s="223">
        <f>I348*(1-I349)</f>
        <v>-25.2255370233929</v>
      </c>
      <c r="J347" s="224">
        <f>J348*(1-J349)</f>
        <v>14.0479761230987</v>
      </c>
      <c r="K347" s="224">
        <f>K348*(1-K349)</f>
        <v>-5.71812875536476</v>
      </c>
      <c r="L347" s="224">
        <f>L348*(1-L349)</f>
        <v>-137.607998625115</v>
      </c>
      <c r="M347" s="224">
        <f>M348*(1-M349)</f>
        <v>219.597666254513</v>
      </c>
      <c r="N347" s="223">
        <f>N348*(1-N349)</f>
        <v>15.2161596222428</v>
      </c>
      <c r="O347" s="224">
        <f>O348*(1-O349)</f>
        <v>-8.19098557018774</v>
      </c>
      <c r="P347" s="224">
        <f>P348*(1-P349)</f>
        <v>20.1007821011673</v>
      </c>
      <c r="Q347" s="224">
        <f>Q348*(1-Q349)</f>
        <v>0.444694147024339</v>
      </c>
      <c r="R347" s="224">
        <f>R348*(1-R349)</f>
        <v>71.9748258649377</v>
      </c>
      <c r="S347" s="223">
        <f>S348*(1-S349)</f>
        <v>10.4964295839753</v>
      </c>
      <c r="T347" s="224">
        <f>T348*(1-T349)</f>
        <v>-60.8487397535837</v>
      </c>
      <c r="U347" s="224">
        <f>U348*(1-U349)</f>
        <v>10.9685779315369</v>
      </c>
      <c r="V347" s="224">
        <f>V348*(1-V349)</f>
        <v>88.6198125454777</v>
      </c>
      <c r="W347" s="224">
        <f>W348*(1-W349)</f>
        <v>116.727756950013</v>
      </c>
      <c r="X347" s="223">
        <f>X348*(1-X349)</f>
        <v>62.1367542141479</v>
      </c>
      <c r="Y347" s="224">
        <f>Y348*(1-Y349)</f>
        <v>21.1904166214014</v>
      </c>
      <c r="Z347" s="224">
        <f>Z348*(1-Z349)</f>
        <v>79.0530260002557</v>
      </c>
      <c r="AA347" s="224">
        <f>AA348*(1-AA349)</f>
        <v>101.867246432375</v>
      </c>
      <c r="AB347" s="224">
        <f>AB348*(1-AB349)</f>
        <v>176.262318009149</v>
      </c>
      <c r="AC347" s="223">
        <f>AC348*(1-AC349)</f>
        <v>-1496.57906620206</v>
      </c>
      <c r="AD347" s="224">
        <f>AD348*(1-AD349)</f>
        <v>64.8000945989651</v>
      </c>
      <c r="AE347" s="224">
        <f>AE348*(1-AE349)</f>
        <v>73.9486002962764</v>
      </c>
      <c r="AF347" s="224">
        <f>AF348*(1-AF349)</f>
        <v>67.8687477097273</v>
      </c>
      <c r="AG347" s="224">
        <f>AG348*(1-AG349)</f>
        <v>226.027416794368</v>
      </c>
      <c r="AH347" s="223">
        <f>AH348*(1-AH349)</f>
        <v>56.6624292586305</v>
      </c>
      <c r="AI347" s="224">
        <f>AI348*(1-AI349)</f>
        <v>24.1535429861094</v>
      </c>
      <c r="AJ347" s="224">
        <f>AJ348*(1-AJ349)</f>
        <v>0</v>
      </c>
      <c r="AK347" s="224">
        <f>AK348*(1-AK349)</f>
        <v>0</v>
      </c>
      <c r="AL347" s="224">
        <f>AL348*(1-AL349)</f>
        <v>124.934263265467</v>
      </c>
      <c r="AM347" s="223">
        <f>AM348*(1-AM349)</f>
        <v>0</v>
      </c>
      <c r="AN347" s="224">
        <f>AN348*(1-AN349)</f>
        <v>0</v>
      </c>
      <c r="AO347" s="224">
        <f>AO348*(1-AO349)</f>
        <v>0</v>
      </c>
      <c r="AP347" s="224">
        <f>AP348*(1-AP349)</f>
        <v>0</v>
      </c>
      <c r="AQ347" s="224">
        <f>AQ348*(1-AQ349)</f>
        <v>0</v>
      </c>
      <c r="AR347" s="223">
        <f>AR348*(1-AR349)</f>
        <v>0</v>
      </c>
      <c r="AS347" s="224">
        <f>AS348*(1-AS349)</f>
        <v>0</v>
      </c>
      <c r="AT347" s="224">
        <f>AT348*(1-AT349)</f>
        <v>0</v>
      </c>
      <c r="AU347" s="224">
        <f>AU348*(1-AU349)</f>
        <v>0</v>
      </c>
      <c r="AV347" s="224">
        <f>AV348*(1-AV349)</f>
        <v>0</v>
      </c>
      <c r="AW347" s="223">
        <f>AW348*(1-AW349)</f>
        <v>0</v>
      </c>
      <c r="AX347" s="224">
        <f>AX348*(1-AX349)</f>
        <v>0</v>
      </c>
      <c r="AY347" s="224">
        <f>AY348*(1-AY349)</f>
        <v>0</v>
      </c>
      <c r="AZ347" s="224">
        <f>AZ348*(1-AZ349)</f>
        <v>0</v>
      </c>
      <c r="BA347" s="224">
        <f>BA348*(1-BA349)</f>
        <v>0</v>
      </c>
      <c r="BB347" s="223">
        <f>BB348*(1-BB349)</f>
        <v>0</v>
      </c>
      <c r="BC347" s="224">
        <f>BC348*(1-BC349)</f>
        <v>0</v>
      </c>
      <c r="BD347" s="224">
        <f>BD348*(1-BD349)</f>
        <v>0</v>
      </c>
      <c r="BE347" s="224">
        <f>BE348*(1-BE349)</f>
        <v>0</v>
      </c>
      <c r="BF347" s="224">
        <f>BF348*(1-BF349)</f>
        <v>0</v>
      </c>
      <c r="BG347" s="223">
        <f>BG348*(1-BG349)</f>
        <v>0</v>
      </c>
      <c r="BH347" s="224">
        <f>BH348*(1-BH349)</f>
        <v>0</v>
      </c>
      <c r="BI347" s="224">
        <f>BI348*(1-BI349)</f>
        <v>0</v>
      </c>
      <c r="BJ347" s="224">
        <f>BJ348*(1-BJ349)</f>
        <v>0</v>
      </c>
      <c r="BK347" s="224">
        <f>BK348*(1-BK349)</f>
        <v>0</v>
      </c>
      <c r="BL347" s="223">
        <f>BL348*(1-BL349)</f>
        <v>0</v>
      </c>
      <c r="BM347" s="224">
        <f>BM348*(1-BM349)</f>
        <v>0</v>
      </c>
      <c r="BN347" s="224">
        <f>BN348*(1-BN349)</f>
        <v>0</v>
      </c>
      <c r="BO347" s="224">
        <f>BO348*(1-BO349)</f>
        <v>0</v>
      </c>
      <c r="BP347" s="224">
        <f>BP348*(1-BP349)</f>
        <v>0</v>
      </c>
      <c r="BQ347" s="223">
        <f>BQ348*(1-BQ349)</f>
        <v>0</v>
      </c>
      <c r="BR347" s="224">
        <f>BR348*(1-BR349)</f>
        <v>0</v>
      </c>
      <c r="BS347" s="224">
        <f>BS348*(1-BS349)</f>
        <v>0</v>
      </c>
      <c r="BT347" s="224">
        <f>BT348*(1-BT349)</f>
        <v>0</v>
      </c>
      <c r="BU347" s="224">
        <f>BU348*(1-BU349)</f>
        <v>0</v>
      </c>
      <c r="BV347" s="223">
        <f>BV348*(1-BV349)</f>
        <v>0</v>
      </c>
      <c r="BW347" s="224">
        <f>BW348*(1-BW349)</f>
        <v>0</v>
      </c>
      <c r="BX347" s="224">
        <f>BX348*(1-BX349)</f>
        <v>0</v>
      </c>
      <c r="BY347" s="224">
        <f>BY348*(1-BY349)</f>
        <v>0</v>
      </c>
      <c r="BZ347" s="224">
        <f>BZ348*(1-BZ349)</f>
        <v>0</v>
      </c>
      <c r="CA347" s="223">
        <f>CA348*(1-CA349)</f>
        <v>0</v>
      </c>
      <c r="CB347" s="224">
        <f>CB348*(1-CB349)</f>
        <v>0</v>
      </c>
      <c r="CC347" s="224">
        <f>CC348*(1-CC349)</f>
        <v>0</v>
      </c>
      <c r="CD347" s="224">
        <f>CD348*(1-CD349)</f>
        <v>0</v>
      </c>
      <c r="CE347" s="224">
        <f>CE348*(1-CE349)</f>
        <v>0</v>
      </c>
      <c r="CF347" s="223">
        <f>CF348*(1-CF349)</f>
        <v>0</v>
      </c>
      <c r="CG347" s="224">
        <f>CG348*(1-CG349)</f>
        <v>0</v>
      </c>
      <c r="CH347" s="224">
        <f>CH348*(1-CH349)</f>
        <v>0</v>
      </c>
      <c r="CI347" s="224">
        <f>CI348*(1-CI349)</f>
        <v>0</v>
      </c>
      <c r="CJ347" s="224">
        <f>CJ348*(1-CJ349)</f>
        <v>0</v>
      </c>
      <c r="CK347" s="223">
        <f>CK348*(1-CK349)</f>
        <v>0</v>
      </c>
      <c r="CL347" s="224">
        <f>CL348*(1-CL349)</f>
        <v>0</v>
      </c>
      <c r="CM347" s="224">
        <f>CM348*(1-CM349)</f>
        <v>0</v>
      </c>
      <c r="CN347" s="224">
        <f>CN348*(1-CN349)</f>
        <v>0</v>
      </c>
      <c r="CO347" s="224">
        <f>CO348*(1-CO349)</f>
        <v>0</v>
      </c>
      <c r="CP347" s="223">
        <f>CP348*(1-CP349)</f>
        <v>0</v>
      </c>
      <c r="CQ347" s="224">
        <f>CQ348*(1-CQ349)</f>
        <v>0</v>
      </c>
      <c r="CR347" s="224">
        <f>CR348*(1-CR349)</f>
        <v>0</v>
      </c>
      <c r="CS347" s="224">
        <f>CS348*(1-CS349)</f>
        <v>0</v>
      </c>
      <c r="CT347" s="224">
        <f>CT348*(1-CT349)</f>
        <v>0</v>
      </c>
      <c r="CU347" s="223">
        <f>CU348*(1-CU349)</f>
        <v>0</v>
      </c>
      <c r="CV347" s="224">
        <f>CV348*(1-CV349)</f>
        <v>0</v>
      </c>
      <c r="CW347" s="224">
        <f>CW348*(1-CW349)</f>
        <v>0</v>
      </c>
      <c r="CX347" s="224">
        <f>CX348*(1-CX349)</f>
        <v>0</v>
      </c>
      <c r="CY347" s="224">
        <f>CY348*(1-CY349)</f>
        <v>0</v>
      </c>
    </row>
    <row r="348" customFormat="1" s="233">
      <c r="A348" s="224" t="n"/>
      <c r="B348" s="224" t="n"/>
      <c r="C348" s="233" t="inlineStr">
        <is>
          <t>EBIT</t>
        </is>
      </c>
      <c r="D348" s="239">
        <f>D73</f>
        <v>20.49</v>
      </c>
      <c r="E348" s="239">
        <f>E73</f>
        <v>24.6</v>
      </c>
      <c r="F348" s="239">
        <f>F73</f>
        <v>22.829</v>
      </c>
      <c r="G348" s="239">
        <f>G73</f>
        <v>34.781</v>
      </c>
      <c r="H348" s="239">
        <f>H73</f>
        <v>102.7</v>
      </c>
      <c r="I348" s="36">
        <f>I73</f>
        <v>-24.012</v>
      </c>
      <c r="J348" s="36">
        <f>J73</f>
        <v>24.934</v>
      </c>
      <c r="K348" s="36">
        <f>K73</f>
        <v>19.593</v>
      </c>
      <c r="L348" s="36">
        <f>L73</f>
        <v>58.443</v>
      </c>
      <c r="M348" s="36">
        <f>M73</f>
        <v>78.958</v>
      </c>
      <c r="N348" s="36">
        <f>N73</f>
        <v>11.893</v>
      </c>
      <c r="O348" s="36">
        <f>O73</f>
        <v>24.97</v>
      </c>
      <c r="P348" s="36">
        <f>P73</f>
        <v>12.521</v>
      </c>
      <c r="Q348" s="36">
        <f>Q73</f>
        <v>0.40100000000001</v>
      </c>
      <c r="R348" s="36">
        <f>R73</f>
        <v>49.785</v>
      </c>
      <c r="S348" s="36">
        <f>S73</f>
        <v>8.85599999999999</v>
      </c>
      <c r="T348" s="36">
        <f>T73</f>
        <v>40.926</v>
      </c>
      <c r="U348" s="36">
        <f>U73</f>
        <v>42.723</v>
      </c>
      <c r="V348" s="36">
        <f>V73</f>
        <v>86.155</v>
      </c>
      <c r="W348" s="36">
        <f>W73</f>
        <v>178.66</v>
      </c>
      <c r="X348" s="36">
        <f>X73</f>
        <v>66.347</v>
      </c>
      <c r="Y348" s="36">
        <f>Y73</f>
        <v>61.874</v>
      </c>
      <c r="Z348" s="36">
        <f>Z73</f>
        <v>85.848</v>
      </c>
      <c r="AA348" s="36">
        <f>AA73</f>
        <v>44.362</v>
      </c>
      <c r="AB348" s="36">
        <f>AB73</f>
        <v>258.431</v>
      </c>
      <c r="AC348" s="36">
        <f>AC73</f>
        <v>55.522</v>
      </c>
      <c r="AD348" s="36">
        <f>AD73</f>
        <v>79.575</v>
      </c>
      <c r="AE348" s="36">
        <f>AE73</f>
        <v>83.457</v>
      </c>
      <c r="AF348" s="36">
        <f>AF73</f>
        <v>84.582</v>
      </c>
      <c r="AG348" s="36">
        <f>AG73</f>
        <v>303.136</v>
      </c>
      <c r="AH348" s="36">
        <f>AH73</f>
        <v>86.75</v>
      </c>
      <c r="AI348" s="36">
        <f>AI73</f>
        <v>96.756</v>
      </c>
      <c r="AJ348" s="36">
        <f>AJ73</f>
        <v>0</v>
      </c>
      <c r="AK348" s="36">
        <f>AK73</f>
        <v>0</v>
      </c>
      <c r="AL348" s="36">
        <f>AL73</f>
        <v>183.506</v>
      </c>
      <c r="AM348" s="36">
        <f>AM73</f>
        <v>0</v>
      </c>
      <c r="AN348" s="36">
        <f>AN73</f>
        <v>0</v>
      </c>
      <c r="AO348" s="36">
        <f>AO73</f>
        <v>0</v>
      </c>
      <c r="AP348" s="36">
        <f>AP73</f>
        <v>0</v>
      </c>
      <c r="AQ348" s="36">
        <f>AQ73</f>
        <v>0</v>
      </c>
      <c r="AR348" s="36">
        <f>AR73</f>
        <v>0</v>
      </c>
      <c r="AS348" s="36">
        <f>AS73</f>
        <v>0</v>
      </c>
      <c r="AT348" s="36">
        <f>AT73</f>
        <v>0</v>
      </c>
      <c r="AU348" s="36">
        <f>AU73</f>
        <v>0</v>
      </c>
      <c r="AV348" s="36">
        <f>AV73</f>
        <v>0</v>
      </c>
      <c r="AW348" s="36">
        <f>AW73</f>
        <v>0</v>
      </c>
      <c r="AX348" s="36">
        <f>AX73</f>
        <v>0</v>
      </c>
      <c r="AY348" s="36">
        <f>AY73</f>
        <v>0</v>
      </c>
      <c r="AZ348" s="36">
        <f>AZ73</f>
        <v>0</v>
      </c>
      <c r="BA348" s="36">
        <f>BA73</f>
        <v>0</v>
      </c>
      <c r="BB348" s="36">
        <f>BB73</f>
        <v>0</v>
      </c>
      <c r="BC348" s="36">
        <f>BC73</f>
        <v>0</v>
      </c>
      <c r="BD348" s="36">
        <f>BD73</f>
        <v>0</v>
      </c>
      <c r="BE348" s="36">
        <f>BE73</f>
        <v>0</v>
      </c>
      <c r="BF348" s="36">
        <f>BF73</f>
        <v>0</v>
      </c>
      <c r="BG348" s="36">
        <f>BG73</f>
        <v>0</v>
      </c>
      <c r="BH348" s="36">
        <f>BH73</f>
        <v>0</v>
      </c>
      <c r="BI348" s="36">
        <f>BI73</f>
        <v>0</v>
      </c>
      <c r="BJ348" s="36">
        <f>BJ73</f>
        <v>0</v>
      </c>
      <c r="BK348" s="36">
        <f>BK73</f>
        <v>0</v>
      </c>
      <c r="BL348" s="36">
        <f>BL73</f>
        <v>0</v>
      </c>
      <c r="BM348" s="36">
        <f>BM73</f>
        <v>0</v>
      </c>
      <c r="BN348" s="36">
        <f>BN73</f>
        <v>0</v>
      </c>
      <c r="BO348" s="36">
        <f>BO73</f>
        <v>0</v>
      </c>
      <c r="BP348" s="36">
        <f>BP73</f>
        <v>0</v>
      </c>
      <c r="BQ348" s="36">
        <f>BQ73</f>
        <v>0</v>
      </c>
      <c r="BR348" s="36">
        <f>BR73</f>
        <v>0</v>
      </c>
      <c r="BS348" s="36">
        <f>BS73</f>
        <v>0</v>
      </c>
      <c r="BT348" s="36">
        <f>BT73</f>
        <v>0</v>
      </c>
      <c r="BU348" s="36">
        <f>BU73</f>
        <v>0</v>
      </c>
      <c r="BV348" s="36">
        <f>BV73</f>
        <v>0</v>
      </c>
      <c r="BW348" s="36">
        <f>BW73</f>
        <v>0</v>
      </c>
      <c r="BX348" s="36">
        <f>BX73</f>
        <v>0</v>
      </c>
      <c r="BY348" s="36">
        <f>BY73</f>
        <v>0</v>
      </c>
      <c r="BZ348" s="36">
        <f>BZ73</f>
        <v>0</v>
      </c>
      <c r="CA348" s="36">
        <f>CA73</f>
        <v>0</v>
      </c>
      <c r="CB348" s="36">
        <f>CB73</f>
        <v>0</v>
      </c>
      <c r="CC348" s="36">
        <f>CC73</f>
        <v>0</v>
      </c>
      <c r="CD348" s="36">
        <f>CD73</f>
        <v>0</v>
      </c>
      <c r="CE348" s="36">
        <f>CE73</f>
        <v>0</v>
      </c>
      <c r="CF348" s="36">
        <f>CF73</f>
        <v>0</v>
      </c>
      <c r="CG348" s="36">
        <f>CG73</f>
        <v>0</v>
      </c>
      <c r="CH348" s="36">
        <f>CH73</f>
        <v>0</v>
      </c>
      <c r="CI348" s="36">
        <f>CI73</f>
        <v>0</v>
      </c>
      <c r="CJ348" s="36">
        <f>CJ73</f>
        <v>0</v>
      </c>
      <c r="CK348" s="36">
        <f>CK73</f>
        <v>0</v>
      </c>
      <c r="CL348" s="36">
        <f>CL73</f>
        <v>0</v>
      </c>
      <c r="CM348" s="36">
        <f>CM73</f>
        <v>0</v>
      </c>
      <c r="CN348" s="36">
        <f>CN73</f>
        <v>0</v>
      </c>
      <c r="CO348" s="36">
        <f>CO73</f>
        <v>0</v>
      </c>
      <c r="CP348" s="36">
        <f>CP73</f>
        <v>0</v>
      </c>
      <c r="CQ348" s="36">
        <f>CQ73</f>
        <v>0</v>
      </c>
      <c r="CR348" s="36">
        <f>CR73</f>
        <v>0</v>
      </c>
      <c r="CS348" s="36">
        <f>CS73</f>
        <v>0</v>
      </c>
      <c r="CT348" s="36">
        <f>CT73</f>
        <v>0</v>
      </c>
      <c r="CU348" s="36">
        <f>CU73</f>
        <v>0</v>
      </c>
      <c r="CV348" s="36">
        <f>CV73</f>
        <v>0</v>
      </c>
      <c r="CW348" s="36">
        <f>CW73</f>
        <v>0</v>
      </c>
      <c r="CX348" s="36">
        <f>CX73</f>
        <v>0</v>
      </c>
      <c r="CY348" s="36">
        <f>CY73</f>
        <v>0</v>
      </c>
    </row>
    <row r="349" customFormat="1" s="233">
      <c r="A349" s="224" t="n"/>
      <c r="B349" s="224" t="n"/>
      <c r="C349" s="233" t="inlineStr">
        <is>
          <t>ETR</t>
        </is>
      </c>
      <c r="D349" s="240">
        <f>D132</f>
        <v>-0.628836545324768</v>
      </c>
      <c r="E349" s="240">
        <f>E132</f>
        <v>0.182724035414421</v>
      </c>
      <c r="F349" s="240">
        <f>F132</f>
        <v>0.835093108082165</v>
      </c>
      <c r="G349" s="240">
        <f>G132</f>
        <v>0.622045823561249</v>
      </c>
      <c r="H349" s="240">
        <f>H132</f>
        <v>0.508315009713298</v>
      </c>
      <c r="I349" s="225">
        <f>I132</f>
        <v>-0.050538773254743</v>
      </c>
      <c r="J349" s="225">
        <f>J132</f>
        <v>0.436593562079944</v>
      </c>
      <c r="K349" s="225">
        <f>K132</f>
        <v>1.29184549356223</v>
      </c>
      <c r="L349" s="225">
        <f>L132</f>
        <v>3.35456767491598</v>
      </c>
      <c r="M349" s="225">
        <f>M132</f>
        <v>-1.78119590484198</v>
      </c>
      <c r="N349" s="225">
        <f>N132</f>
        <v>-0.279421476687359</v>
      </c>
      <c r="O349" s="225">
        <f>O132</f>
        <v>1.32803306248249</v>
      </c>
      <c r="P349" s="225">
        <f>P132</f>
        <v>-0.605365553962728</v>
      </c>
      <c r="Q349" s="225">
        <f>Q132</f>
        <v>-0.108962960160418</v>
      </c>
      <c r="R349" s="225">
        <f>R132</f>
        <v>-0.445713083558054</v>
      </c>
      <c r="S349" s="225">
        <f>S132</f>
        <v>-0.185233692860811</v>
      </c>
      <c r="T349" s="225">
        <f>T132</f>
        <v>2.48679909479509</v>
      </c>
      <c r="U349" s="225">
        <f>U132</f>
        <v>0.743262927895119</v>
      </c>
      <c r="V349" s="225">
        <f>V132</f>
        <v>-0.0286090481745418</v>
      </c>
      <c r="W349" s="225">
        <f>W132</f>
        <v>0.346648623362737</v>
      </c>
      <c r="X349" s="225">
        <f>X132</f>
        <v>0.0634579677431099</v>
      </c>
      <c r="Y349" s="225">
        <f>Y132</f>
        <v>0.65752308527974</v>
      </c>
      <c r="Z349" s="225">
        <f>Z132</f>
        <v>0.0791512207592995</v>
      </c>
      <c r="AA349" s="225">
        <f>AA132</f>
        <v>-1.29627263045794</v>
      </c>
      <c r="AB349" s="225">
        <f>AB132</f>
        <v>0.317952110972953</v>
      </c>
      <c r="AC349" s="225">
        <f>AC132</f>
        <v>27.954703832752</v>
      </c>
      <c r="AD349" s="225">
        <f>AD132</f>
        <v>0.185672703751617</v>
      </c>
      <c r="AE349" s="225">
        <f>AE132</f>
        <v>0.113931721769578</v>
      </c>
      <c r="AF349" s="225">
        <f>AF132</f>
        <v>0.197598215817464</v>
      </c>
      <c r="AG349" s="225">
        <f>AG132</f>
        <v>0.254369600461945</v>
      </c>
      <c r="AH349" s="225">
        <f>AH132</f>
        <v>0.346830786644029</v>
      </c>
      <c r="AI349" s="225">
        <f>AI132</f>
        <v>0.750366458037647</v>
      </c>
      <c r="AJ349" s="225">
        <f>AJ132</f>
        <v>0</v>
      </c>
      <c r="AK349" s="225">
        <f>AK132</f>
        <v>0</v>
      </c>
      <c r="AL349" s="225">
        <f>AL132</f>
        <v>0.319181589346032</v>
      </c>
      <c r="AM349" s="225">
        <f>AM132</f>
        <v>0</v>
      </c>
      <c r="AN349" s="225">
        <f>AN132</f>
        <v>0</v>
      </c>
      <c r="AO349" s="225">
        <f>AO132</f>
        <v>0</v>
      </c>
      <c r="AP349" s="225">
        <f>AP132</f>
        <v>0</v>
      </c>
      <c r="AQ349" s="225">
        <f>AQ132</f>
        <v>0</v>
      </c>
      <c r="AR349" s="225">
        <f>AR132</f>
        <v>0</v>
      </c>
      <c r="AS349" s="225">
        <f>AS132</f>
        <v>0</v>
      </c>
      <c r="AT349" s="225">
        <f>AT132</f>
        <v>0</v>
      </c>
      <c r="AU349" s="225">
        <f>AU132</f>
        <v>0</v>
      </c>
      <c r="AV349" s="225">
        <f>AV132</f>
        <v>0</v>
      </c>
      <c r="AW349" s="225">
        <f>AW132</f>
        <v>0</v>
      </c>
      <c r="AX349" s="225">
        <f>AX132</f>
        <v>0</v>
      </c>
      <c r="AY349" s="225">
        <f>AY132</f>
        <v>0</v>
      </c>
      <c r="AZ349" s="225">
        <f>AZ132</f>
        <v>0</v>
      </c>
      <c r="BA349" s="225">
        <f>BA132</f>
        <v>0</v>
      </c>
      <c r="BB349" s="225">
        <f>BB132</f>
        <v>0</v>
      </c>
      <c r="BC349" s="225">
        <f>BC132</f>
        <v>0</v>
      </c>
      <c r="BD349" s="225">
        <f>BD132</f>
        <v>0</v>
      </c>
      <c r="BE349" s="225">
        <f>BE132</f>
        <v>0</v>
      </c>
      <c r="BF349" s="225">
        <f>BF132</f>
        <v>0</v>
      </c>
      <c r="BG349" s="225">
        <f>BG132</f>
        <v>0</v>
      </c>
      <c r="BH349" s="225">
        <f>BH132</f>
        <v>0</v>
      </c>
      <c r="BI349" s="225">
        <f>BI132</f>
        <v>0</v>
      </c>
      <c r="BJ349" s="225">
        <f>BJ132</f>
        <v>0</v>
      </c>
      <c r="BK349" s="225">
        <f>BK132</f>
        <v>0</v>
      </c>
      <c r="BL349" s="225">
        <f>BL132</f>
        <v>0</v>
      </c>
      <c r="BM349" s="225">
        <f>BM132</f>
        <v>0</v>
      </c>
      <c r="BN349" s="225">
        <f>BN132</f>
        <v>0</v>
      </c>
      <c r="BO349" s="225">
        <f>BO132</f>
        <v>0</v>
      </c>
      <c r="BP349" s="225">
        <f>BP132</f>
        <v>0</v>
      </c>
      <c r="BQ349" s="225">
        <f>BQ132</f>
        <v>0</v>
      </c>
      <c r="BR349" s="225">
        <f>BR132</f>
        <v>0</v>
      </c>
      <c r="BS349" s="225">
        <f>BS132</f>
        <v>0</v>
      </c>
      <c r="BT349" s="225">
        <f>BT132</f>
        <v>0</v>
      </c>
      <c r="BU349" s="225">
        <f>BU132</f>
        <v>0</v>
      </c>
      <c r="BV349" s="225">
        <f>BV132</f>
        <v>0</v>
      </c>
      <c r="BW349" s="225">
        <f>BW132</f>
        <v>0</v>
      </c>
      <c r="BX349" s="225">
        <f>BX132</f>
        <v>0</v>
      </c>
      <c r="BY349" s="225">
        <f>BY132</f>
        <v>0</v>
      </c>
      <c r="BZ349" s="225">
        <f>BZ132</f>
        <v>0</v>
      </c>
      <c r="CA349" s="225">
        <f>CA132</f>
        <v>0</v>
      </c>
      <c r="CB349" s="225">
        <f>CB132</f>
        <v>0</v>
      </c>
      <c r="CC349" s="225">
        <f>CC132</f>
        <v>0</v>
      </c>
      <c r="CD349" s="225">
        <f>CD132</f>
        <v>0</v>
      </c>
      <c r="CE349" s="225">
        <f>CE132</f>
        <v>0</v>
      </c>
      <c r="CF349" s="225">
        <f>CF132</f>
        <v>0</v>
      </c>
      <c r="CG349" s="225">
        <f>CG132</f>
        <v>0</v>
      </c>
      <c r="CH349" s="225">
        <f>CH132</f>
        <v>0</v>
      </c>
      <c r="CI349" s="225">
        <f>CI132</f>
        <v>0</v>
      </c>
      <c r="CJ349" s="225">
        <f>CJ132</f>
        <v>0</v>
      </c>
      <c r="CK349" s="225">
        <f>CK132</f>
        <v>0</v>
      </c>
      <c r="CL349" s="225">
        <f>CL132</f>
        <v>0</v>
      </c>
      <c r="CM349" s="225">
        <f>CM132</f>
        <v>0</v>
      </c>
      <c r="CN349" s="225">
        <f>CN132</f>
        <v>0</v>
      </c>
      <c r="CO349" s="225">
        <f>CO132</f>
        <v>0</v>
      </c>
      <c r="CP349" s="225">
        <f>CP132</f>
        <v>0</v>
      </c>
      <c r="CQ349" s="225">
        <f>CQ132</f>
        <v>0</v>
      </c>
      <c r="CR349" s="225">
        <f>CR132</f>
        <v>0</v>
      </c>
      <c r="CS349" s="225">
        <f>CS132</f>
        <v>0</v>
      </c>
      <c r="CT349" s="225">
        <f>CT132</f>
        <v>0</v>
      </c>
      <c r="CU349" s="225">
        <f>CU132</f>
        <v>0</v>
      </c>
      <c r="CV349" s="225">
        <f>CV132</f>
        <v>0</v>
      </c>
      <c r="CW349" s="225">
        <f>CW132</f>
        <v>0</v>
      </c>
      <c r="CX349" s="225">
        <f>CX132</f>
        <v>0</v>
      </c>
      <c r="CY349" s="225">
        <f>CY132</f>
        <v>0</v>
      </c>
    </row>
    <row r="350" customFormat="1" s="233">
      <c r="A350" s="224" t="n"/>
      <c r="B350" s="224" t="n"/>
      <c r="C350" s="233" t="inlineStr">
        <is>
          <t>INVESTED CAPITAL</t>
        </is>
      </c>
      <c r="D350" s="239">
        <f>D353-D354+D355</f>
        <v>387.824</v>
      </c>
      <c r="E350" s="239">
        <f>E353-E354+E355</f>
        <v>445.747</v>
      </c>
      <c r="F350" s="239">
        <f>F353-F354+F355</f>
        <v>445.241</v>
      </c>
      <c r="G350" s="239">
        <f>G353-G354+G355</f>
        <v>427.337</v>
      </c>
      <c r="H350" s="239">
        <f>H353-H354+H355</f>
        <v>427.337</v>
      </c>
      <c r="I350" s="36">
        <f>I353-I354+I355</f>
        <v>405.279</v>
      </c>
      <c r="J350" s="36">
        <f>J353-J354+J355</f>
        <v>438.348</v>
      </c>
      <c r="K350" s="36">
        <f>K353-K354+K355</f>
        <v>480.141</v>
      </c>
      <c r="L350" s="36">
        <f>L353-L354+L355</f>
        <v>549.954</v>
      </c>
      <c r="M350" s="36">
        <f>M353-M354+M355</f>
        <v>549.954</v>
      </c>
      <c r="N350" s="36">
        <f>N353-N354+N355</f>
        <v>657.379</v>
      </c>
      <c r="O350" s="36">
        <f>O353-O354+O355</f>
        <v>990.879</v>
      </c>
      <c r="P350" s="36">
        <f>P353-P354+P355</f>
        <v>1010.535</v>
      </c>
      <c r="Q350" s="36">
        <f>Q353-Q354+Q355</f>
        <v>1371.89</v>
      </c>
      <c r="R350" s="36">
        <f>R353-R354+R355</f>
        <v>1371.89</v>
      </c>
      <c r="S350" s="36">
        <f>S353-S354+S355</f>
        <v>1413.752</v>
      </c>
      <c r="T350" s="36">
        <f>T353-T354+T355</f>
        <v>1434.722</v>
      </c>
      <c r="U350" s="36">
        <f>U353-U354+U355</f>
        <v>1522.968</v>
      </c>
      <c r="V350" s="36">
        <f>V353-V354+V355</f>
        <v>1504.516</v>
      </c>
      <c r="W350" s="36">
        <f>W353-W354+W355</f>
        <v>1504.516</v>
      </c>
      <c r="X350" s="36">
        <f>X353-X354+X355</f>
        <v>1605.227</v>
      </c>
      <c r="Y350" s="36">
        <f>Y353-Y354+Y355</f>
        <v>1728.487</v>
      </c>
      <c r="Z350" s="36">
        <f>Z353-Z354+Z355</f>
        <v>1972.147</v>
      </c>
      <c r="AA350" s="36">
        <f>AA353-AA354+AA355</f>
        <v>2137.926</v>
      </c>
      <c r="AB350" s="36">
        <f>AB353-AB354+AB355</f>
        <v>2137.926</v>
      </c>
      <c r="AC350" s="36">
        <f>AC353-AC354+AC355</f>
        <v>2245.726</v>
      </c>
      <c r="AD350" s="36">
        <f>AD353-AD354+AD355</f>
        <v>2366.909</v>
      </c>
      <c r="AE350" s="36">
        <f>AE353-AE354+AE355</f>
        <v>2541.901</v>
      </c>
      <c r="AF350" s="36">
        <f>AF353-AF354+AF355</f>
        <v>2741.024</v>
      </c>
      <c r="AG350" s="36">
        <f>AG353-AG354+AG355</f>
        <v>2741.024</v>
      </c>
      <c r="AH350" s="36">
        <f>AH353-AH354+AH355</f>
        <v>2922.093</v>
      </c>
      <c r="AI350" s="36">
        <f>AI353-AI354+AI355</f>
        <v>8046.098</v>
      </c>
      <c r="AJ350" s="36">
        <f>AJ353-AJ354+AJ355</f>
        <v>4087.617</v>
      </c>
      <c r="AK350" s="36">
        <f>AK353-AK354+AK355</f>
        <v>4087.617</v>
      </c>
      <c r="AL350" s="36">
        <f>AL353-AL354+AL355</f>
        <v>4087.617</v>
      </c>
      <c r="AM350" s="36" t="e">
        <f>AM353-AM354+AM355</f>
        <v>#DIV/0!</v>
      </c>
      <c r="AN350" s="36">
        <f>AN353-AN354+AN355</f>
        <v>4087.617</v>
      </c>
      <c r="AO350" s="36" t="e">
        <f>AO353-AO354+AO355</f>
        <v>#DIV/0!</v>
      </c>
      <c r="AP350" s="36" t="e">
        <f>AP353-AP354+AP355</f>
        <v>#DIV/0!</v>
      </c>
      <c r="AQ350" s="36" t="e">
        <f>AQ353-AQ354+AQ355</f>
        <v>#DIV/0!</v>
      </c>
      <c r="AR350" s="36" t="e">
        <f>AR353-AR354+AR355</f>
        <v>#DIV/0!</v>
      </c>
      <c r="AS350" s="36" t="e">
        <f>AS353-AS354+AS355</f>
        <v>#DIV/0!</v>
      </c>
      <c r="AT350" s="36" t="e">
        <f>AT353-AT354+AT355</f>
        <v>#DIV/0!</v>
      </c>
      <c r="AU350" s="36" t="e">
        <f>AU353-AU354+AU355</f>
        <v>#DIV/0!</v>
      </c>
      <c r="AV350" s="36" t="e">
        <f>AV353-AV354+AV355</f>
        <v>#DIV/0!</v>
      </c>
      <c r="AW350" s="36" t="e">
        <f>AW353-AW354+AW355</f>
        <v>#DIV/0!</v>
      </c>
      <c r="AX350" s="36" t="e">
        <f>AX353-AX354+AX355</f>
        <v>#DIV/0!</v>
      </c>
      <c r="AY350" s="36" t="e">
        <f>AY353-AY354+AY355</f>
        <v>#DIV/0!</v>
      </c>
      <c r="AZ350" s="36" t="e">
        <f>AZ353-AZ354+AZ355</f>
        <v>#DIV/0!</v>
      </c>
      <c r="BA350" s="36" t="e">
        <f>BA353-BA354+BA355</f>
        <v>#DIV/0!</v>
      </c>
      <c r="BB350" s="36" t="e">
        <f>BB353-BB354+BB355</f>
        <v>#DIV/0!</v>
      </c>
      <c r="BC350" s="36" t="e">
        <f>BC353-BC354+BC355</f>
        <v>#DIV/0!</v>
      </c>
      <c r="BD350" s="36" t="e">
        <f>BD353-BD354+BD355</f>
        <v>#DIV/0!</v>
      </c>
      <c r="BE350" s="36" t="e">
        <f>BE353-BE354+BE355</f>
        <v>#DIV/0!</v>
      </c>
      <c r="BF350" s="36" t="e">
        <f>BF353-BF354+BF355</f>
        <v>#DIV/0!</v>
      </c>
      <c r="BG350" s="36" t="e">
        <f>BG353-BG354+BG355</f>
        <v>#DIV/0!</v>
      </c>
      <c r="BH350" s="36" t="e">
        <f>BH353-BH354+BH355</f>
        <v>#DIV/0!</v>
      </c>
      <c r="BI350" s="36" t="e">
        <f>BI353-BI354+BI355</f>
        <v>#DIV/0!</v>
      </c>
      <c r="BJ350" s="36" t="e">
        <f>BJ353-BJ354+BJ355</f>
        <v>#DIV/0!</v>
      </c>
      <c r="BK350" s="36" t="e">
        <f>BK353-BK354+BK355</f>
        <v>#DIV/0!</v>
      </c>
      <c r="BL350" s="36" t="e">
        <f>BL353-BL354+BL355</f>
        <v>#DIV/0!</v>
      </c>
      <c r="BM350" s="36" t="e">
        <f>BM353-BM354+BM355</f>
        <v>#DIV/0!</v>
      </c>
      <c r="BN350" s="36" t="e">
        <f>BN353-BN354+BN355</f>
        <v>#DIV/0!</v>
      </c>
      <c r="BO350" s="36" t="e">
        <f>BO353-BO354+BO355</f>
        <v>#DIV/0!</v>
      </c>
      <c r="BP350" s="36" t="e">
        <f>BP353-BP354+BP355</f>
        <v>#DIV/0!</v>
      </c>
      <c r="BQ350" s="36" t="e">
        <f>BQ353-BQ354+BQ355</f>
        <v>#DIV/0!</v>
      </c>
      <c r="BR350" s="36" t="e">
        <f>BR353-BR354+BR355</f>
        <v>#DIV/0!</v>
      </c>
      <c r="BS350" s="36" t="e">
        <f>BS353-BS354+BS355</f>
        <v>#DIV/0!</v>
      </c>
      <c r="BT350" s="36" t="e">
        <f>BT353-BT354+BT355</f>
        <v>#DIV/0!</v>
      </c>
      <c r="BU350" s="36" t="e">
        <f>BU353-BU354+BU355</f>
        <v>#DIV/0!</v>
      </c>
      <c r="BV350" s="36" t="e">
        <f>BV353-BV354+BV355</f>
        <v>#DIV/0!</v>
      </c>
      <c r="BW350" s="36" t="e">
        <f>BW353-BW354+BW355</f>
        <v>#DIV/0!</v>
      </c>
      <c r="BX350" s="36" t="e">
        <f>BX353-BX354+BX355</f>
        <v>#DIV/0!</v>
      </c>
      <c r="BY350" s="36" t="e">
        <f>BY353-BY354+BY355</f>
        <v>#DIV/0!</v>
      </c>
      <c r="BZ350" s="36" t="e">
        <f>BZ353-BZ354+BZ355</f>
        <v>#DIV/0!</v>
      </c>
      <c r="CA350" s="36" t="e">
        <f>CA353-CA354+CA355</f>
        <v>#DIV/0!</v>
      </c>
      <c r="CB350" s="36" t="e">
        <f>CB353-CB354+CB355</f>
        <v>#DIV/0!</v>
      </c>
      <c r="CC350" s="36" t="e">
        <f>CC353-CC354+CC355</f>
        <v>#DIV/0!</v>
      </c>
      <c r="CD350" s="36" t="e">
        <f>CD353-CD354+CD355</f>
        <v>#DIV/0!</v>
      </c>
      <c r="CE350" s="36" t="e">
        <f>CE353-CE354+CE355</f>
        <v>#DIV/0!</v>
      </c>
      <c r="CF350" s="36" t="e">
        <f>CF353-CF354+CF355</f>
        <v>#DIV/0!</v>
      </c>
      <c r="CG350" s="36" t="e">
        <f>CG353-CG354+CG355</f>
        <v>#DIV/0!</v>
      </c>
      <c r="CH350" s="36" t="e">
        <f>CH353-CH354+CH355</f>
        <v>#DIV/0!</v>
      </c>
      <c r="CI350" s="36" t="e">
        <f>CI353-CI354+CI355</f>
        <v>#DIV/0!</v>
      </c>
      <c r="CJ350" s="36" t="e">
        <f>CJ353-CJ354+CJ355</f>
        <v>#DIV/0!</v>
      </c>
      <c r="CK350" s="36" t="e">
        <f>CK353-CK354+CK355</f>
        <v>#DIV/0!</v>
      </c>
      <c r="CL350" s="36" t="e">
        <f>CL353-CL354+CL355</f>
        <v>#DIV/0!</v>
      </c>
      <c r="CM350" s="36" t="e">
        <f>CM353-CM354+CM355</f>
        <v>#DIV/0!</v>
      </c>
      <c r="CN350" s="36" t="e">
        <f>CN353-CN354+CN355</f>
        <v>#DIV/0!</v>
      </c>
      <c r="CO350" s="36" t="e">
        <f>CO353-CO354+CO355</f>
        <v>#DIV/0!</v>
      </c>
      <c r="CP350" s="36" t="e">
        <f>CP353-CP354+CP355</f>
        <v>#DIV/0!</v>
      </c>
      <c r="CQ350" s="36" t="e">
        <f>CQ353-CQ354+CQ355</f>
        <v>#DIV/0!</v>
      </c>
      <c r="CR350" s="36" t="e">
        <f>CR353-CR354+CR355</f>
        <v>#DIV/0!</v>
      </c>
      <c r="CS350" s="36" t="e">
        <f>CS353-CS354+CS355</f>
        <v>#DIV/0!</v>
      </c>
      <c r="CT350" s="36" t="e">
        <f>CT353-CT354+CT355</f>
        <v>#DIV/0!</v>
      </c>
      <c r="CU350" s="36" t="e">
        <f>CU353-CU354+CU355</f>
        <v>#DIV/0!</v>
      </c>
      <c r="CV350" s="36" t="e">
        <f>CV353-CV354+CV355</f>
        <v>#DIV/0!</v>
      </c>
      <c r="CW350" s="36" t="e">
        <f>CW353-CW354+CW355</f>
        <v>#DIV/0!</v>
      </c>
      <c r="CX350" s="36" t="e">
        <f>CX353-CX354+CX355</f>
        <v>#DIV/0!</v>
      </c>
      <c r="CY350" s="36" t="e">
        <f>CY353-CY354+CY355</f>
        <v>#DIV/0!</v>
      </c>
    </row>
    <row r="351" customFormat="1" s="233">
      <c r="A351" s="224" t="n"/>
      <c r="B351" s="224" t="n"/>
      <c r="C351" s="233" t="inlineStr">
        <is>
          <t>INVESTED CAPITAL - EX GOODWILL</t>
        </is>
      </c>
      <c r="D351" s="241">
        <f>D350-D179</f>
        <v>387.824</v>
      </c>
      <c r="E351" s="241">
        <f>E350-E179</f>
        <v>445.747</v>
      </c>
      <c r="F351" s="241">
        <f>F350-F179</f>
        <v>445.241</v>
      </c>
      <c r="G351" s="241">
        <f>G350-G179</f>
        <v>427.337</v>
      </c>
      <c r="H351" s="241">
        <f>H350-H179</f>
        <v>427.337</v>
      </c>
      <c r="I351" s="226">
        <f>I350-I179</f>
        <v>405.279</v>
      </c>
      <c r="J351" s="226">
        <f>J350-J179</f>
        <v>438.348</v>
      </c>
      <c r="K351" s="226">
        <f>K350-K179</f>
        <v>480.141</v>
      </c>
      <c r="L351" s="226">
        <f>L350-L179</f>
        <v>549.954</v>
      </c>
      <c r="M351" s="226">
        <f>M350-M179</f>
        <v>549.954</v>
      </c>
      <c r="N351" s="226">
        <f>N350-N179</f>
        <v>657.379</v>
      </c>
      <c r="O351" s="226">
        <f>O350-O179</f>
        <v>990.879</v>
      </c>
      <c r="P351" s="226">
        <f>P350-P179</f>
        <v>1010.535</v>
      </c>
      <c r="Q351" s="226">
        <f>Q350-Q179</f>
        <v>1371.89</v>
      </c>
      <c r="R351" s="226">
        <f>R350-R179</f>
        <v>1371.89</v>
      </c>
      <c r="S351" s="226">
        <f>S350-S179</f>
        <v>1413.752</v>
      </c>
      <c r="T351" s="226">
        <f>T350-T179</f>
        <v>1434.722</v>
      </c>
      <c r="U351" s="226">
        <f>U350-U179</f>
        <v>1522.968</v>
      </c>
      <c r="V351" s="226">
        <f>V350-V179</f>
        <v>1504.516</v>
      </c>
      <c r="W351" s="226">
        <f>W350-W179</f>
        <v>1504.516</v>
      </c>
      <c r="X351" s="226">
        <f>X350-X179</f>
        <v>1605.227</v>
      </c>
      <c r="Y351" s="226">
        <f>Y350-Y179</f>
        <v>1728.487</v>
      </c>
      <c r="Z351" s="226">
        <f>Z350-Z179</f>
        <v>1972.147</v>
      </c>
      <c r="AA351" s="226">
        <f>AA350-AA179</f>
        <v>2137.926</v>
      </c>
      <c r="AB351" s="226">
        <f>AB350-AB179</f>
        <v>2137.926</v>
      </c>
      <c r="AC351" s="226">
        <f>AC350-AC179</f>
        <v>2245.726</v>
      </c>
      <c r="AD351" s="226">
        <f>AD350-AD179</f>
        <v>2366.909</v>
      </c>
      <c r="AE351" s="226">
        <f>AE350-AE179</f>
        <v>2541.901</v>
      </c>
      <c r="AF351" s="226">
        <f>AF350-AF179</f>
        <v>2741.024</v>
      </c>
      <c r="AG351" s="226">
        <f>AG350-AG179</f>
        <v>2741.024</v>
      </c>
      <c r="AH351" s="226">
        <f>AH350-AH179</f>
        <v>2922.093</v>
      </c>
      <c r="AI351" s="226">
        <f>AI350-AI179</f>
        <v>8046.098</v>
      </c>
      <c r="AJ351" s="226">
        <f>AJ350-AJ179</f>
        <v>4087.617</v>
      </c>
      <c r="AK351" s="226">
        <f>AK350-AK179</f>
        <v>4087.617</v>
      </c>
      <c r="AL351" s="226">
        <f>AL350-AL179</f>
        <v>4087.617</v>
      </c>
      <c r="AM351" s="226" t="e">
        <f>AM350-AM179</f>
        <v>#DIV/0!</v>
      </c>
      <c r="AN351" s="226">
        <f>AN350-AN179</f>
        <v>4087.617</v>
      </c>
      <c r="AO351" s="226" t="e">
        <f>AO350-AO179</f>
        <v>#DIV/0!</v>
      </c>
      <c r="AP351" s="226" t="e">
        <f>AP350-AP179</f>
        <v>#DIV/0!</v>
      </c>
      <c r="AQ351" s="226" t="e">
        <f>AQ350-AQ179</f>
        <v>#DIV/0!</v>
      </c>
      <c r="AR351" s="226" t="e">
        <f>AR350-AR179</f>
        <v>#DIV/0!</v>
      </c>
      <c r="AS351" s="226" t="e">
        <f>AS350-AS179</f>
        <v>#DIV/0!</v>
      </c>
      <c r="AT351" s="226" t="e">
        <f>AT350-AT179</f>
        <v>#DIV/0!</v>
      </c>
      <c r="AU351" s="226" t="e">
        <f>AU350-AU179</f>
        <v>#DIV/0!</v>
      </c>
      <c r="AV351" s="226" t="e">
        <f>AV350-AV179</f>
        <v>#DIV/0!</v>
      </c>
      <c r="AW351" s="226" t="e">
        <f>AW350-AW179</f>
        <v>#DIV/0!</v>
      </c>
      <c r="AX351" s="226" t="e">
        <f>AX350-AX179</f>
        <v>#DIV/0!</v>
      </c>
      <c r="AY351" s="226" t="e">
        <f>AY350-AY179</f>
        <v>#DIV/0!</v>
      </c>
      <c r="AZ351" s="226" t="e">
        <f>AZ350-AZ179</f>
        <v>#DIV/0!</v>
      </c>
      <c r="BA351" s="226" t="e">
        <f>BA350-BA179</f>
        <v>#DIV/0!</v>
      </c>
      <c r="BB351" s="226" t="e">
        <f>BB350-BB179</f>
        <v>#DIV/0!</v>
      </c>
      <c r="BC351" s="226" t="e">
        <f>BC350-BC179</f>
        <v>#DIV/0!</v>
      </c>
      <c r="BD351" s="226" t="e">
        <f>BD350-BD179</f>
        <v>#DIV/0!</v>
      </c>
      <c r="BE351" s="226" t="e">
        <f>BE350-BE179</f>
        <v>#DIV/0!</v>
      </c>
      <c r="BF351" s="226" t="e">
        <f>BF350-BF179</f>
        <v>#DIV/0!</v>
      </c>
      <c r="BG351" s="226" t="e">
        <f>BG350-BG179</f>
        <v>#DIV/0!</v>
      </c>
      <c r="BH351" s="226" t="e">
        <f>BH350-BH179</f>
        <v>#DIV/0!</v>
      </c>
      <c r="BI351" s="226" t="e">
        <f>BI350-BI179</f>
        <v>#DIV/0!</v>
      </c>
      <c r="BJ351" s="226" t="e">
        <f>BJ350-BJ179</f>
        <v>#DIV/0!</v>
      </c>
      <c r="BK351" s="226" t="e">
        <f>BK350-BK179</f>
        <v>#DIV/0!</v>
      </c>
      <c r="BL351" s="226" t="e">
        <f>BL350-BL179</f>
        <v>#DIV/0!</v>
      </c>
      <c r="BM351" s="226" t="e">
        <f>BM350-BM179</f>
        <v>#DIV/0!</v>
      </c>
      <c r="BN351" s="226" t="e">
        <f>BN350-BN179</f>
        <v>#DIV/0!</v>
      </c>
      <c r="BO351" s="226" t="e">
        <f>BO350-BO179</f>
        <v>#DIV/0!</v>
      </c>
      <c r="BP351" s="226" t="e">
        <f>BP350-BP179</f>
        <v>#DIV/0!</v>
      </c>
      <c r="BQ351" s="226" t="e">
        <f>BQ350-BQ179</f>
        <v>#DIV/0!</v>
      </c>
      <c r="BR351" s="226" t="e">
        <f>BR350-BR179</f>
        <v>#DIV/0!</v>
      </c>
      <c r="BS351" s="226" t="e">
        <f>BS350-BS179</f>
        <v>#DIV/0!</v>
      </c>
      <c r="BT351" s="226" t="e">
        <f>BT350-BT179</f>
        <v>#DIV/0!</v>
      </c>
      <c r="BU351" s="226" t="e">
        <f>BU350-BU179</f>
        <v>#DIV/0!</v>
      </c>
      <c r="BV351" s="226" t="e">
        <f>BV350-BV179</f>
        <v>#DIV/0!</v>
      </c>
      <c r="BW351" s="226" t="e">
        <f>BW350-BW179</f>
        <v>#DIV/0!</v>
      </c>
      <c r="BX351" s="226" t="e">
        <f>BX350-BX179</f>
        <v>#DIV/0!</v>
      </c>
      <c r="BY351" s="226" t="e">
        <f>BY350-BY179</f>
        <v>#DIV/0!</v>
      </c>
      <c r="BZ351" s="226" t="e">
        <f>BZ350-BZ179</f>
        <v>#DIV/0!</v>
      </c>
      <c r="CA351" s="226" t="e">
        <f>CA350-CA179</f>
        <v>#DIV/0!</v>
      </c>
      <c r="CB351" s="226" t="e">
        <f>CB350-CB179</f>
        <v>#DIV/0!</v>
      </c>
      <c r="CC351" s="226" t="e">
        <f>CC350-CC179</f>
        <v>#DIV/0!</v>
      </c>
      <c r="CD351" s="226" t="e">
        <f>CD350-CD179</f>
        <v>#DIV/0!</v>
      </c>
      <c r="CE351" s="226" t="e">
        <f>CE350-CE179</f>
        <v>#DIV/0!</v>
      </c>
      <c r="CF351" s="226" t="e">
        <f>CF350-CF179</f>
        <v>#DIV/0!</v>
      </c>
      <c r="CG351" s="226" t="e">
        <f>CG350-CG179</f>
        <v>#DIV/0!</v>
      </c>
      <c r="CH351" s="226" t="e">
        <f>CH350-CH179</f>
        <v>#DIV/0!</v>
      </c>
      <c r="CI351" s="226" t="e">
        <f>CI350-CI179</f>
        <v>#DIV/0!</v>
      </c>
      <c r="CJ351" s="226" t="e">
        <f>CJ350-CJ179</f>
        <v>#DIV/0!</v>
      </c>
      <c r="CK351" s="226" t="e">
        <f>CK350-CK179</f>
        <v>#DIV/0!</v>
      </c>
      <c r="CL351" s="226" t="e">
        <f>CL350-CL179</f>
        <v>#DIV/0!</v>
      </c>
      <c r="CM351" s="226" t="e">
        <f>CM350-CM179</f>
        <v>#DIV/0!</v>
      </c>
      <c r="CN351" s="226" t="e">
        <f>CN350-CN179</f>
        <v>#DIV/0!</v>
      </c>
      <c r="CO351" s="226" t="e">
        <f>CO350-CO179</f>
        <v>#DIV/0!</v>
      </c>
      <c r="CP351" s="226" t="e">
        <f>CP350-CP179</f>
        <v>#DIV/0!</v>
      </c>
      <c r="CQ351" s="226" t="e">
        <f>CQ350-CQ179</f>
        <v>#DIV/0!</v>
      </c>
      <c r="CR351" s="226" t="e">
        <f>CR350-CR179</f>
        <v>#DIV/0!</v>
      </c>
      <c r="CS351" s="226" t="e">
        <f>CS350-CS179</f>
        <v>#DIV/0!</v>
      </c>
      <c r="CT351" s="226" t="e">
        <f>CT350-CT179</f>
        <v>#DIV/0!</v>
      </c>
      <c r="CU351" s="226" t="e">
        <f>CU350-CU179</f>
        <v>#DIV/0!</v>
      </c>
      <c r="CV351" s="226" t="e">
        <f>CV350-CV179</f>
        <v>#DIV/0!</v>
      </c>
      <c r="CW351" s="226" t="e">
        <f>CW350-CW179</f>
        <v>#DIV/0!</v>
      </c>
      <c r="CX351" s="226" t="e">
        <f>CX350-CX179</f>
        <v>#DIV/0!</v>
      </c>
      <c r="CY351" s="226" t="e">
        <f>CY350-CY179</f>
        <v>#DIV/0!</v>
      </c>
    </row>
    <row r="352" customFormat="1" s="233">
      <c r="A352" s="224" t="n"/>
      <c r="B352" s="224" t="n"/>
      <c r="C352" s="233" t="inlineStr">
        <is>
          <t>OPERATING WORKING CAPITAL</t>
        </is>
      </c>
      <c r="D352" s="242">
        <f>D353-D354</f>
        <v>90.453</v>
      </c>
      <c r="E352" s="242">
        <f>E353-E354</f>
        <v>81.752</v>
      </c>
      <c r="F352" s="242">
        <f>F353-F354</f>
        <v>77.615</v>
      </c>
      <c r="G352" s="242">
        <f>G353-G354</f>
        <v>71.965</v>
      </c>
      <c r="H352" s="242">
        <f>H353-H354</f>
        <v>71.965</v>
      </c>
      <c r="I352" s="36">
        <f>I353-I354</f>
        <v>49.688</v>
      </c>
      <c r="J352" s="36">
        <f>J353-J354</f>
        <v>67.066</v>
      </c>
      <c r="K352" s="36">
        <f>K353-K354</f>
        <v>96.958</v>
      </c>
      <c r="L352" s="36">
        <f>L353-L354</f>
        <v>108.618</v>
      </c>
      <c r="M352" s="36">
        <f>M353-M354</f>
        <v>108.618</v>
      </c>
      <c r="N352" s="36">
        <f>N353-N354</f>
        <v>96.399</v>
      </c>
      <c r="O352" s="36">
        <f>O353-O354</f>
        <v>146.381</v>
      </c>
      <c r="P352" s="36">
        <f>P353-P354</f>
        <v>151.869</v>
      </c>
      <c r="Q352" s="36">
        <f>Q353-Q354</f>
        <v>122.449</v>
      </c>
      <c r="R352" s="36">
        <f>R353-R354</f>
        <v>122.449</v>
      </c>
      <c r="S352" s="36">
        <f>S353-S354</f>
        <v>152.349</v>
      </c>
      <c r="T352" s="36">
        <f>T353-T354</f>
        <v>157.229</v>
      </c>
      <c r="U352" s="36">
        <f>U353-U354</f>
        <v>204.107</v>
      </c>
      <c r="V352" s="36">
        <f>V353-V354</f>
        <v>162.098</v>
      </c>
      <c r="W352" s="36">
        <f>W353-W354</f>
        <v>162.098</v>
      </c>
      <c r="X352" s="36">
        <f>X353-X354</f>
        <v>201.464</v>
      </c>
      <c r="Y352" s="36">
        <f>Y353-Y354</f>
        <v>196.746</v>
      </c>
      <c r="Z352" s="36">
        <f>Z353-Z354</f>
        <v>200.876</v>
      </c>
      <c r="AA352" s="36">
        <f>AA353-AA354</f>
        <v>153.081</v>
      </c>
      <c r="AB352" s="36">
        <f>AB353-AB354</f>
        <v>153.081</v>
      </c>
      <c r="AC352" s="36">
        <f>AC353-AC354</f>
        <v>183.371</v>
      </c>
      <c r="AD352" s="36">
        <f>AD353-AD354</f>
        <v>132.12</v>
      </c>
      <c r="AE352" s="36">
        <f>AE353-AE354</f>
        <v>210.122</v>
      </c>
      <c r="AF352" s="36">
        <f>AF353-AF354</f>
        <v>163.456</v>
      </c>
      <c r="AG352" s="36">
        <f>AG353-AG354</f>
        <v>163.456</v>
      </c>
      <c r="AH352" s="36">
        <f>AH353-AH354</f>
        <v>198.631</v>
      </c>
      <c r="AI352" s="36">
        <f>AI353-AI354</f>
        <v>513.157</v>
      </c>
      <c r="AJ352" s="36">
        <f>AJ353-AJ354</f>
        <v>384.676</v>
      </c>
      <c r="AK352" s="36">
        <f>AK353-AK354</f>
        <v>384.676</v>
      </c>
      <c r="AL352" s="36">
        <f>AL353-AL354</f>
        <v>384.676</v>
      </c>
      <c r="AM352" s="36" t="e">
        <f>AM353-AM354</f>
        <v>#DIV/0!</v>
      </c>
      <c r="AN352" s="36">
        <f>AN353-AN354</f>
        <v>384.676</v>
      </c>
      <c r="AO352" s="36" t="e">
        <f>AO353-AO354</f>
        <v>#DIV/0!</v>
      </c>
      <c r="AP352" s="36" t="e">
        <f>AP353-AP354</f>
        <v>#DIV/0!</v>
      </c>
      <c r="AQ352" s="36" t="e">
        <f>AQ353-AQ354</f>
        <v>#DIV/0!</v>
      </c>
      <c r="AR352" s="36" t="e">
        <f>AR353-AR354</f>
        <v>#DIV/0!</v>
      </c>
      <c r="AS352" s="36" t="e">
        <f>AS353-AS354</f>
        <v>#DIV/0!</v>
      </c>
      <c r="AT352" s="36" t="e">
        <f>AT353-AT354</f>
        <v>#DIV/0!</v>
      </c>
      <c r="AU352" s="36" t="e">
        <f>AU353-AU354</f>
        <v>#DIV/0!</v>
      </c>
      <c r="AV352" s="36" t="e">
        <f>AV353-AV354</f>
        <v>#DIV/0!</v>
      </c>
      <c r="AW352" s="36" t="e">
        <f>AW353-AW354</f>
        <v>#DIV/0!</v>
      </c>
      <c r="AX352" s="36" t="e">
        <f>AX353-AX354</f>
        <v>#DIV/0!</v>
      </c>
      <c r="AY352" s="36" t="e">
        <f>AY353-AY354</f>
        <v>#DIV/0!</v>
      </c>
      <c r="AZ352" s="36" t="e">
        <f>AZ353-AZ354</f>
        <v>#DIV/0!</v>
      </c>
      <c r="BA352" s="36" t="e">
        <f>BA353-BA354</f>
        <v>#DIV/0!</v>
      </c>
      <c r="BB352" s="36" t="e">
        <f>BB353-BB354</f>
        <v>#DIV/0!</v>
      </c>
      <c r="BC352" s="36" t="e">
        <f>BC353-BC354</f>
        <v>#DIV/0!</v>
      </c>
      <c r="BD352" s="36" t="e">
        <f>BD353-BD354</f>
        <v>#DIV/0!</v>
      </c>
      <c r="BE352" s="36" t="e">
        <f>BE353-BE354</f>
        <v>#DIV/0!</v>
      </c>
      <c r="BF352" s="36" t="e">
        <f>BF353-BF354</f>
        <v>#DIV/0!</v>
      </c>
      <c r="BG352" s="36" t="e">
        <f>BG353-BG354</f>
        <v>#DIV/0!</v>
      </c>
      <c r="BH352" s="36" t="e">
        <f>BH353-BH354</f>
        <v>#DIV/0!</v>
      </c>
      <c r="BI352" s="36" t="e">
        <f>BI353-BI354</f>
        <v>#DIV/0!</v>
      </c>
      <c r="BJ352" s="36" t="e">
        <f>BJ353-BJ354</f>
        <v>#DIV/0!</v>
      </c>
      <c r="BK352" s="36" t="e">
        <f>BK353-BK354</f>
        <v>#DIV/0!</v>
      </c>
      <c r="BL352" s="36" t="e">
        <f>BL353-BL354</f>
        <v>#DIV/0!</v>
      </c>
      <c r="BM352" s="36" t="e">
        <f>BM353-BM354</f>
        <v>#DIV/0!</v>
      </c>
      <c r="BN352" s="36" t="e">
        <f>BN353-BN354</f>
        <v>#DIV/0!</v>
      </c>
      <c r="BO352" s="36" t="e">
        <f>BO353-BO354</f>
        <v>#DIV/0!</v>
      </c>
      <c r="BP352" s="36" t="e">
        <f>BP353-BP354</f>
        <v>#DIV/0!</v>
      </c>
      <c r="BQ352" s="36" t="e">
        <f>BQ353-BQ354</f>
        <v>#DIV/0!</v>
      </c>
      <c r="BR352" s="36" t="e">
        <f>BR353-BR354</f>
        <v>#DIV/0!</v>
      </c>
      <c r="BS352" s="36" t="e">
        <f>BS353-BS354</f>
        <v>#DIV/0!</v>
      </c>
      <c r="BT352" s="36" t="e">
        <f>BT353-BT354</f>
        <v>#DIV/0!</v>
      </c>
      <c r="BU352" s="36" t="e">
        <f>BU353-BU354</f>
        <v>#DIV/0!</v>
      </c>
      <c r="BV352" s="36" t="e">
        <f>BV353-BV354</f>
        <v>#DIV/0!</v>
      </c>
      <c r="BW352" s="36" t="e">
        <f>BW353-BW354</f>
        <v>#DIV/0!</v>
      </c>
      <c r="BX352" s="36" t="e">
        <f>BX353-BX354</f>
        <v>#DIV/0!</v>
      </c>
      <c r="BY352" s="36" t="e">
        <f>BY353-BY354</f>
        <v>#DIV/0!</v>
      </c>
      <c r="BZ352" s="36" t="e">
        <f>BZ353-BZ354</f>
        <v>#DIV/0!</v>
      </c>
      <c r="CA352" s="36" t="e">
        <f>CA353-CA354</f>
        <v>#DIV/0!</v>
      </c>
      <c r="CB352" s="36" t="e">
        <f>CB353-CB354</f>
        <v>#DIV/0!</v>
      </c>
      <c r="CC352" s="36" t="e">
        <f>CC353-CC354</f>
        <v>#DIV/0!</v>
      </c>
      <c r="CD352" s="36" t="e">
        <f>CD353-CD354</f>
        <v>#DIV/0!</v>
      </c>
      <c r="CE352" s="36" t="e">
        <f>CE353-CE354</f>
        <v>#DIV/0!</v>
      </c>
      <c r="CF352" s="36" t="e">
        <f>CF353-CF354</f>
        <v>#DIV/0!</v>
      </c>
      <c r="CG352" s="36" t="e">
        <f>CG353-CG354</f>
        <v>#DIV/0!</v>
      </c>
      <c r="CH352" s="36" t="e">
        <f>CH353-CH354</f>
        <v>#DIV/0!</v>
      </c>
      <c r="CI352" s="36" t="e">
        <f>CI353-CI354</f>
        <v>#DIV/0!</v>
      </c>
      <c r="CJ352" s="36" t="e">
        <f>CJ353-CJ354</f>
        <v>#DIV/0!</v>
      </c>
      <c r="CK352" s="36" t="e">
        <f>CK353-CK354</f>
        <v>#DIV/0!</v>
      </c>
      <c r="CL352" s="36" t="e">
        <f>CL353-CL354</f>
        <v>#DIV/0!</v>
      </c>
      <c r="CM352" s="36" t="e">
        <f>CM353-CM354</f>
        <v>#DIV/0!</v>
      </c>
      <c r="CN352" s="36" t="e">
        <f>CN353-CN354</f>
        <v>#DIV/0!</v>
      </c>
      <c r="CO352" s="36" t="e">
        <f>CO353-CO354</f>
        <v>#DIV/0!</v>
      </c>
      <c r="CP352" s="36" t="e">
        <f>CP353-CP354</f>
        <v>#DIV/0!</v>
      </c>
      <c r="CQ352" s="36" t="e">
        <f>CQ353-CQ354</f>
        <v>#DIV/0!</v>
      </c>
      <c r="CR352" s="36" t="e">
        <f>CR353-CR354</f>
        <v>#DIV/0!</v>
      </c>
      <c r="CS352" s="36" t="e">
        <f>CS353-CS354</f>
        <v>#DIV/0!</v>
      </c>
      <c r="CT352" s="36" t="e">
        <f>CT353-CT354</f>
        <v>#DIV/0!</v>
      </c>
      <c r="CU352" s="36" t="e">
        <f>CU353-CU354</f>
        <v>#DIV/0!</v>
      </c>
      <c r="CV352" s="36" t="e">
        <f>CV353-CV354</f>
        <v>#DIV/0!</v>
      </c>
      <c r="CW352" s="36" t="e">
        <f>CW353-CW354</f>
        <v>#DIV/0!</v>
      </c>
      <c r="CX352" s="36" t="e">
        <f>CX353-CX354</f>
        <v>#DIV/0!</v>
      </c>
      <c r="CY352" s="36" t="e">
        <f>CY353-CY354</f>
        <v>#DIV/0!</v>
      </c>
    </row>
    <row r="353" customFormat="1" s="233">
      <c r="A353" s="224" t="n"/>
      <c r="B353" s="224" t="n"/>
      <c r="C353" s="233" t="inlineStr">
        <is>
          <t>CURRENT ASSETS</t>
        </is>
      </c>
      <c r="D353" s="241">
        <f>D145+D149+D153+D154+D155</f>
        <v>229.688</v>
      </c>
      <c r="E353" s="241">
        <f>E145+E149+E153+E154+E155</f>
        <v>235.703</v>
      </c>
      <c r="F353" s="241">
        <f>F145+F149+F153+F154+F155</f>
        <v>250.062</v>
      </c>
      <c r="G353" s="241">
        <f>G145+G149+G153+G154+G155</f>
        <v>221.689</v>
      </c>
      <c r="H353" s="241">
        <f>H145+H149+H153+H154+H155</f>
        <v>221.689</v>
      </c>
      <c r="I353" s="226">
        <f>I145+I149+I153+I154+I155</f>
        <v>233.793</v>
      </c>
      <c r="J353" s="226">
        <f>J145+J149+J153+J154+J155</f>
        <v>253.407</v>
      </c>
      <c r="K353" s="226">
        <f>K145+K149+K153+K154+K155</f>
        <v>239.235</v>
      </c>
      <c r="L353" s="226">
        <f>L145+L149+L153+L154+L155</f>
        <v>271.337</v>
      </c>
      <c r="M353" s="226">
        <f>M145+M149+M153+M154+M155</f>
        <v>271.337</v>
      </c>
      <c r="N353" s="226">
        <f>N145+N149+N153+N154+N155</f>
        <v>277.145</v>
      </c>
      <c r="O353" s="226">
        <f>O145+O149+O153+O154+O155</f>
        <v>363.05</v>
      </c>
      <c r="P353" s="226">
        <f>P145+P149+P153+P154+P155</f>
        <v>388.733</v>
      </c>
      <c r="Q353" s="226">
        <f>Q145+Q149+Q153+Q154+Q155</f>
        <v>392.504</v>
      </c>
      <c r="R353" s="226">
        <f>R145+R149+R153+R154+R155</f>
        <v>392.504</v>
      </c>
      <c r="S353" s="226">
        <f>S145+S149+S153+S154+S155</f>
        <v>395.225</v>
      </c>
      <c r="T353" s="226">
        <f>T145+T149+T153+T154+T155</f>
        <v>365.734</v>
      </c>
      <c r="U353" s="226">
        <f>U145+U149+U153+U154+U155</f>
        <v>406.814</v>
      </c>
      <c r="V353" s="226">
        <f>V145+V149+V153+V154+V155</f>
        <v>345.889</v>
      </c>
      <c r="W353" s="226">
        <f>W145+W149+W153+W154+W155</f>
        <v>345.889</v>
      </c>
      <c r="X353" s="226">
        <f>X145+X149+X153+X154+X155</f>
        <v>389.479</v>
      </c>
      <c r="Y353" s="226">
        <f>Y145+Y149+Y153+Y154+Y155</f>
        <v>395.056</v>
      </c>
      <c r="Z353" s="226">
        <f>Z145+Z149+Z153+Z154+Z155</f>
        <v>400.017</v>
      </c>
      <c r="AA353" s="226">
        <f>AA145+AA149+AA153+AA154+AA155</f>
        <v>389.898</v>
      </c>
      <c r="AB353" s="226">
        <f>AB145+AB149+AB153+AB154+AB155</f>
        <v>389.898</v>
      </c>
      <c r="AC353" s="226">
        <f>AC145+AC149+AC153+AC154+AC155</f>
        <v>414.105</v>
      </c>
      <c r="AD353" s="226">
        <f>AD145+AD149+AD153+AD154+AD155</f>
        <v>435.306</v>
      </c>
      <c r="AE353" s="226">
        <f>AE145+AE149+AE153+AE154+AE155</f>
        <v>476.315</v>
      </c>
      <c r="AF353" s="226">
        <f>AF145+AF149+AF153+AF154+AF155</f>
        <v>505.203</v>
      </c>
      <c r="AG353" s="226">
        <f>AG145+AG149+AG153+AG154+AG155</f>
        <v>505.203</v>
      </c>
      <c r="AH353" s="226">
        <f>AH145+AH149+AH153+AH154+AH155</f>
        <v>561.207</v>
      </c>
      <c r="AI353" s="226">
        <f>AI145+AI149+AI153+AI154+AI155</f>
        <v>1340.2</v>
      </c>
      <c r="AJ353" s="226">
        <f>AJ145+AJ149+AJ153+AJ154+AJ155</f>
        <v>517.314</v>
      </c>
      <c r="AK353" s="226">
        <f>AK145+AK149+AK153+AK154+AK155</f>
        <v>517.314</v>
      </c>
      <c r="AL353" s="226">
        <f>AL145+AL149+AL153+AL154+AL155</f>
        <v>517.314</v>
      </c>
      <c r="AM353" s="226">
        <f>AM145+AM149+AM153+AM154+AM155</f>
        <v>517.314</v>
      </c>
      <c r="AN353" s="226">
        <f>AN145+AN149+AN153+AN154+AN155</f>
        <v>517.314</v>
      </c>
      <c r="AO353" s="226">
        <f>AO145+AO149+AO153+AO154+AO155</f>
        <v>517.314</v>
      </c>
      <c r="AP353" s="226">
        <f>AP145+AP149+AP153+AP154+AP155</f>
        <v>517.314</v>
      </c>
      <c r="AQ353" s="226">
        <f>AQ145+AQ149+AQ153+AQ154+AQ155</f>
        <v>517.314</v>
      </c>
      <c r="AR353" s="226">
        <f>AR145+AR149+AR153+AR154+AR155</f>
        <v>517.314</v>
      </c>
      <c r="AS353" s="226">
        <f>AS145+AS149+AS153+AS154+AS155</f>
        <v>517.314</v>
      </c>
      <c r="AT353" s="226">
        <f>AT145+AT149+AT153+AT154+AT155</f>
        <v>517.314</v>
      </c>
      <c r="AU353" s="226">
        <f>AU145+AU149+AU153+AU154+AU155</f>
        <v>517.314</v>
      </c>
      <c r="AV353" s="226">
        <f>AV145+AV149+AV153+AV154+AV155</f>
        <v>517.314</v>
      </c>
      <c r="AW353" s="226">
        <f>AW145+AW149+AW153+AW154+AW155</f>
        <v>517.314</v>
      </c>
      <c r="AX353" s="226">
        <f>AX145+AX149+AX153+AX154+AX155</f>
        <v>517.314</v>
      </c>
      <c r="AY353" s="226">
        <f>AY145+AY149+AY153+AY154+AY155</f>
        <v>517.314</v>
      </c>
      <c r="AZ353" s="226">
        <f>AZ145+AZ149+AZ153+AZ154+AZ155</f>
        <v>517.314</v>
      </c>
      <c r="BA353" s="226">
        <f>BA145+BA149+BA153+BA154+BA155</f>
        <v>517.314</v>
      </c>
      <c r="BB353" s="226">
        <f>BB145+BB149+BB153+BB154+BB155</f>
        <v>517.314</v>
      </c>
      <c r="BC353" s="226">
        <f>BC145+BC149+BC153+BC154+BC155</f>
        <v>517.314</v>
      </c>
      <c r="BD353" s="226">
        <f>BD145+BD149+BD153+BD154+BD155</f>
        <v>517.314</v>
      </c>
      <c r="BE353" s="226">
        <f>BE145+BE149+BE153+BE154+BE155</f>
        <v>517.314</v>
      </c>
      <c r="BF353" s="226">
        <f>BF145+BF149+BF153+BF154+BF155</f>
        <v>517.314</v>
      </c>
      <c r="BG353" s="226">
        <f>BG145+BG149+BG153+BG154+BG155</f>
        <v>517.314</v>
      </c>
      <c r="BH353" s="226">
        <f>BH145+BH149+BH153+BH154+BH155</f>
        <v>517.314</v>
      </c>
      <c r="BI353" s="226">
        <f>BI145+BI149+BI153+BI154+BI155</f>
        <v>517.314</v>
      </c>
      <c r="BJ353" s="226">
        <f>BJ145+BJ149+BJ153+BJ154+BJ155</f>
        <v>517.314</v>
      </c>
      <c r="BK353" s="226">
        <f>BK145+BK149+BK153+BK154+BK155</f>
        <v>517.314</v>
      </c>
      <c r="BL353" s="226">
        <f>BL145+BL149+BL153+BL154+BL155</f>
        <v>517.314</v>
      </c>
      <c r="BM353" s="226">
        <f>BM145+BM149+BM153+BM154+BM155</f>
        <v>517.314</v>
      </c>
      <c r="BN353" s="226">
        <f>BN145+BN149+BN153+BN154+BN155</f>
        <v>517.314</v>
      </c>
      <c r="BO353" s="226">
        <f>BO145+BO149+BO153+BO154+BO155</f>
        <v>517.314</v>
      </c>
      <c r="BP353" s="226">
        <f>BP145+BP149+BP153+BP154+BP155</f>
        <v>517.314</v>
      </c>
      <c r="BQ353" s="226">
        <f>BQ145+BQ149+BQ153+BQ154+BQ155</f>
        <v>517.314</v>
      </c>
      <c r="BR353" s="226">
        <f>BR145+BR149+BR153+BR154+BR155</f>
        <v>517.314</v>
      </c>
      <c r="BS353" s="226">
        <f>BS145+BS149+BS153+BS154+BS155</f>
        <v>517.314</v>
      </c>
      <c r="BT353" s="226">
        <f>BT145+BT149+BT153+BT154+BT155</f>
        <v>517.314</v>
      </c>
      <c r="BU353" s="226">
        <f>BU145+BU149+BU153+BU154+BU155</f>
        <v>517.314</v>
      </c>
      <c r="BV353" s="226">
        <f>BV145+BV149+BV153+BV154+BV155</f>
        <v>517.314</v>
      </c>
      <c r="BW353" s="226">
        <f>BW145+BW149+BW153+BW154+BW155</f>
        <v>517.314</v>
      </c>
      <c r="BX353" s="226">
        <f>BX145+BX149+BX153+BX154+BX155</f>
        <v>517.314</v>
      </c>
      <c r="BY353" s="226">
        <f>BY145+BY149+BY153+BY154+BY155</f>
        <v>517.314</v>
      </c>
      <c r="BZ353" s="226">
        <f>BZ145+BZ149+BZ153+BZ154+BZ155</f>
        <v>517.314</v>
      </c>
      <c r="CA353" s="226">
        <f>CA145+CA149+CA153+CA154+CA155</f>
        <v>517.314</v>
      </c>
      <c r="CB353" s="226">
        <f>CB145+CB149+CB153+CB154+CB155</f>
        <v>517.314</v>
      </c>
      <c r="CC353" s="226">
        <f>CC145+CC149+CC153+CC154+CC155</f>
        <v>517.314</v>
      </c>
      <c r="CD353" s="226">
        <f>CD145+CD149+CD153+CD154+CD155</f>
        <v>517.314</v>
      </c>
      <c r="CE353" s="226">
        <f>CE145+CE149+CE153+CE154+CE155</f>
        <v>517.314</v>
      </c>
      <c r="CF353" s="226">
        <f>CF145+CF149+CF153+CF154+CF155</f>
        <v>517.314</v>
      </c>
      <c r="CG353" s="226">
        <f>CG145+CG149+CG153+CG154+CG155</f>
        <v>517.314</v>
      </c>
      <c r="CH353" s="226">
        <f>CH145+CH149+CH153+CH154+CH155</f>
        <v>517.314</v>
      </c>
      <c r="CI353" s="226">
        <f>CI145+CI149+CI153+CI154+CI155</f>
        <v>517.314</v>
      </c>
      <c r="CJ353" s="226">
        <f>CJ145+CJ149+CJ153+CJ154+CJ155</f>
        <v>517.314</v>
      </c>
      <c r="CK353" s="226">
        <f>CK145+CK149+CK153+CK154+CK155</f>
        <v>517.314</v>
      </c>
      <c r="CL353" s="226">
        <f>CL145+CL149+CL153+CL154+CL155</f>
        <v>517.314</v>
      </c>
      <c r="CM353" s="226">
        <f>CM145+CM149+CM153+CM154+CM155</f>
        <v>517.314</v>
      </c>
      <c r="CN353" s="226">
        <f>CN145+CN149+CN153+CN154+CN155</f>
        <v>517.314</v>
      </c>
      <c r="CO353" s="226">
        <f>CO145+CO149+CO153+CO154+CO155</f>
        <v>517.314</v>
      </c>
      <c r="CP353" s="226">
        <f>CP145+CP149+CP153+CP154+CP155</f>
        <v>517.314</v>
      </c>
      <c r="CQ353" s="226">
        <f>CQ145+CQ149+CQ153+CQ154+CQ155</f>
        <v>517.314</v>
      </c>
      <c r="CR353" s="226">
        <f>CR145+CR149+CR153+CR154+CR155</f>
        <v>517.314</v>
      </c>
      <c r="CS353" s="226">
        <f>CS145+CS149+CS153+CS154+CS155</f>
        <v>517.314</v>
      </c>
      <c r="CT353" s="226">
        <f>CT145+CT149+CT153+CT154+CT155</f>
        <v>517.314</v>
      </c>
      <c r="CU353" s="226">
        <f>CU145+CU149+CU153+CU154+CU155</f>
        <v>517.314</v>
      </c>
      <c r="CV353" s="226">
        <f>CV145+CV149+CV153+CV154+CV155</f>
        <v>517.314</v>
      </c>
      <c r="CW353" s="226">
        <f>CW145+CW149+CW153+CW154+CW155</f>
        <v>517.314</v>
      </c>
      <c r="CX353" s="226">
        <f>CX145+CX149+CX153+CX154+CX155</f>
        <v>517.314</v>
      </c>
      <c r="CY353" s="226">
        <f>CY145+CY149+CY153+CY154+CY155</f>
        <v>517.314</v>
      </c>
    </row>
    <row r="354" customFormat="1" s="233">
      <c r="A354" s="224" t="n"/>
      <c r="B354" s="224" t="n"/>
      <c r="C354" s="233" t="inlineStr">
        <is>
          <t>CURRENT LIABILITIES</t>
        </is>
      </c>
      <c r="D354" s="241">
        <f>D198+D202+D204+D205</f>
        <v>139.235</v>
      </c>
      <c r="E354" s="241">
        <f>E198+E202+E204+E205</f>
        <v>153.951</v>
      </c>
      <c r="F354" s="241">
        <f>F198+F202+F204+F205</f>
        <v>172.447</v>
      </c>
      <c r="G354" s="241">
        <f>G198+G202+G204+G205</f>
        <v>149.724</v>
      </c>
      <c r="H354" s="241">
        <f>H198+H202+H204+H205</f>
        <v>149.724</v>
      </c>
      <c r="I354" s="226">
        <f>I198+I202+I204+I205</f>
        <v>184.105</v>
      </c>
      <c r="J354" s="226">
        <f>J198+J202+J204+J205</f>
        <v>186.341</v>
      </c>
      <c r="K354" s="226">
        <f>K198+K202+K204+K205</f>
        <v>142.277</v>
      </c>
      <c r="L354" s="226">
        <f>L198+L202+L204+L205</f>
        <v>162.719</v>
      </c>
      <c r="M354" s="226">
        <f>M198+M202+M204+M205</f>
        <v>162.719</v>
      </c>
      <c r="N354" s="226">
        <f>N198+N202+N204+N205</f>
        <v>180.746</v>
      </c>
      <c r="O354" s="226">
        <f>O198+O202+O204+O205</f>
        <v>216.669</v>
      </c>
      <c r="P354" s="226">
        <f>P198+P202+P204+P205</f>
        <v>236.864</v>
      </c>
      <c r="Q354" s="226">
        <f>Q198+Q202+Q204+Q205</f>
        <v>270.055</v>
      </c>
      <c r="R354" s="226">
        <f>R198+R202+R204+R205</f>
        <v>270.055</v>
      </c>
      <c r="S354" s="226">
        <f>S198+S202+S204+S205</f>
        <v>242.876</v>
      </c>
      <c r="T354" s="226">
        <f>T198+T202+T204+T205</f>
        <v>208.505</v>
      </c>
      <c r="U354" s="226">
        <f>U198+U202+U204+U205</f>
        <v>202.707</v>
      </c>
      <c r="V354" s="226">
        <f>V198+V202+V204+V205</f>
        <v>183.791</v>
      </c>
      <c r="W354" s="226">
        <f>W198+W202+W204+W205</f>
        <v>183.791</v>
      </c>
      <c r="X354" s="226">
        <f>X198+X202+X204+X205</f>
        <v>188.015</v>
      </c>
      <c r="Y354" s="226">
        <f>Y198+Y202+Y204+Y205</f>
        <v>198.31</v>
      </c>
      <c r="Z354" s="226">
        <f>Z198+Z202+Z204+Z205</f>
        <v>199.141</v>
      </c>
      <c r="AA354" s="226">
        <f>AA198+AA202+AA204+AA205</f>
        <v>236.817</v>
      </c>
      <c r="AB354" s="226">
        <f>AB198+AB202+AB204+AB205</f>
        <v>236.817</v>
      </c>
      <c r="AC354" s="226">
        <f>AC198+AC202+AC204+AC205</f>
        <v>230.734</v>
      </c>
      <c r="AD354" s="226">
        <f>AD198+AD202+AD204+AD205</f>
        <v>303.186</v>
      </c>
      <c r="AE354" s="226">
        <f>AE198+AE202+AE204+AE205</f>
        <v>266.193</v>
      </c>
      <c r="AF354" s="226">
        <f>AF198+AF202+AF204+AF205</f>
        <v>341.747</v>
      </c>
      <c r="AG354" s="226">
        <f>AG198+AG202+AG204+AG205</f>
        <v>341.747</v>
      </c>
      <c r="AH354" s="226">
        <f>AH198+AH202+AH204+AH205</f>
        <v>362.576</v>
      </c>
      <c r="AI354" s="226">
        <f>AI198+AI202+AI204+AI205</f>
        <v>827.043</v>
      </c>
      <c r="AJ354" s="226">
        <f>AJ198+AJ202+AJ204+AJ205</f>
        <v>132.638</v>
      </c>
      <c r="AK354" s="226">
        <f>AK198+AK202+AK204+AK205</f>
        <v>132.638</v>
      </c>
      <c r="AL354" s="226">
        <f>AL198+AL202+AL204+AL205</f>
        <v>132.638</v>
      </c>
      <c r="AM354" s="226" t="e">
        <f>AM198+AM202+AM204+AM205</f>
        <v>#DIV/0!</v>
      </c>
      <c r="AN354" s="226">
        <f>AN198+AN202+AN204+AN205</f>
        <v>132.638</v>
      </c>
      <c r="AO354" s="226" t="e">
        <f>AO198+AO202+AO204+AO205</f>
        <v>#DIV/0!</v>
      </c>
      <c r="AP354" s="226" t="e">
        <f>AP198+AP202+AP204+AP205</f>
        <v>#DIV/0!</v>
      </c>
      <c r="AQ354" s="226" t="e">
        <f>AQ198+AQ202+AQ204+AQ205</f>
        <v>#DIV/0!</v>
      </c>
      <c r="AR354" s="226" t="e">
        <f>AR198+AR202+AR204+AR205</f>
        <v>#DIV/0!</v>
      </c>
      <c r="AS354" s="226" t="e">
        <f>AS198+AS202+AS204+AS205</f>
        <v>#DIV/0!</v>
      </c>
      <c r="AT354" s="226" t="e">
        <f>AT198+AT202+AT204+AT205</f>
        <v>#DIV/0!</v>
      </c>
      <c r="AU354" s="226" t="e">
        <f>AU198+AU202+AU204+AU205</f>
        <v>#DIV/0!</v>
      </c>
      <c r="AV354" s="226" t="e">
        <f>AV198+AV202+AV204+AV205</f>
        <v>#DIV/0!</v>
      </c>
      <c r="AW354" s="226" t="e">
        <f>AW198+AW202+AW204+AW205</f>
        <v>#DIV/0!</v>
      </c>
      <c r="AX354" s="226" t="e">
        <f>AX198+AX202+AX204+AX205</f>
        <v>#DIV/0!</v>
      </c>
      <c r="AY354" s="226" t="e">
        <f>AY198+AY202+AY204+AY205</f>
        <v>#DIV/0!</v>
      </c>
      <c r="AZ354" s="226" t="e">
        <f>AZ198+AZ202+AZ204+AZ205</f>
        <v>#DIV/0!</v>
      </c>
      <c r="BA354" s="226" t="e">
        <f>BA198+BA202+BA204+BA205</f>
        <v>#DIV/0!</v>
      </c>
      <c r="BB354" s="226" t="e">
        <f>BB198+BB202+BB204+BB205</f>
        <v>#DIV/0!</v>
      </c>
      <c r="BC354" s="226" t="e">
        <f>BC198+BC202+BC204+BC205</f>
        <v>#DIV/0!</v>
      </c>
      <c r="BD354" s="226" t="e">
        <f>BD198+BD202+BD204+BD205</f>
        <v>#DIV/0!</v>
      </c>
      <c r="BE354" s="226" t="e">
        <f>BE198+BE202+BE204+BE205</f>
        <v>#DIV/0!</v>
      </c>
      <c r="BF354" s="226" t="e">
        <f>BF198+BF202+BF204+BF205</f>
        <v>#DIV/0!</v>
      </c>
      <c r="BG354" s="226" t="e">
        <f>BG198+BG202+BG204+BG205</f>
        <v>#DIV/0!</v>
      </c>
      <c r="BH354" s="226" t="e">
        <f>BH198+BH202+BH204+BH205</f>
        <v>#DIV/0!</v>
      </c>
      <c r="BI354" s="226" t="e">
        <f>BI198+BI202+BI204+BI205</f>
        <v>#DIV/0!</v>
      </c>
      <c r="BJ354" s="226" t="e">
        <f>BJ198+BJ202+BJ204+BJ205</f>
        <v>#DIV/0!</v>
      </c>
      <c r="BK354" s="226" t="e">
        <f>BK198+BK202+BK204+BK205</f>
        <v>#DIV/0!</v>
      </c>
      <c r="BL354" s="226" t="e">
        <f>BL198+BL202+BL204+BL205</f>
        <v>#DIV/0!</v>
      </c>
      <c r="BM354" s="226" t="e">
        <f>BM198+BM202+BM204+BM205</f>
        <v>#DIV/0!</v>
      </c>
      <c r="BN354" s="226" t="e">
        <f>BN198+BN202+BN204+BN205</f>
        <v>#DIV/0!</v>
      </c>
      <c r="BO354" s="226" t="e">
        <f>BO198+BO202+BO204+BO205</f>
        <v>#DIV/0!</v>
      </c>
      <c r="BP354" s="226" t="e">
        <f>BP198+BP202+BP204+BP205</f>
        <v>#DIV/0!</v>
      </c>
      <c r="BQ354" s="226" t="e">
        <f>BQ198+BQ202+BQ204+BQ205</f>
        <v>#DIV/0!</v>
      </c>
      <c r="BR354" s="226" t="e">
        <f>BR198+BR202+BR204+BR205</f>
        <v>#DIV/0!</v>
      </c>
      <c r="BS354" s="226" t="e">
        <f>BS198+BS202+BS204+BS205</f>
        <v>#DIV/0!</v>
      </c>
      <c r="BT354" s="226" t="e">
        <f>BT198+BT202+BT204+BT205</f>
        <v>#DIV/0!</v>
      </c>
      <c r="BU354" s="226" t="e">
        <f>BU198+BU202+BU204+BU205</f>
        <v>#DIV/0!</v>
      </c>
      <c r="BV354" s="226" t="e">
        <f>BV198+BV202+BV204+BV205</f>
        <v>#DIV/0!</v>
      </c>
      <c r="BW354" s="226" t="e">
        <f>BW198+BW202+BW204+BW205</f>
        <v>#DIV/0!</v>
      </c>
      <c r="BX354" s="226" t="e">
        <f>BX198+BX202+BX204+BX205</f>
        <v>#DIV/0!</v>
      </c>
      <c r="BY354" s="226" t="e">
        <f>BY198+BY202+BY204+BY205</f>
        <v>#DIV/0!</v>
      </c>
      <c r="BZ354" s="226" t="e">
        <f>BZ198+BZ202+BZ204+BZ205</f>
        <v>#DIV/0!</v>
      </c>
      <c r="CA354" s="226" t="e">
        <f>CA198+CA202+CA204+CA205</f>
        <v>#DIV/0!</v>
      </c>
      <c r="CB354" s="226" t="e">
        <f>CB198+CB202+CB204+CB205</f>
        <v>#DIV/0!</v>
      </c>
      <c r="CC354" s="226" t="e">
        <f>CC198+CC202+CC204+CC205</f>
        <v>#DIV/0!</v>
      </c>
      <c r="CD354" s="226" t="e">
        <f>CD198+CD202+CD204+CD205</f>
        <v>#DIV/0!</v>
      </c>
      <c r="CE354" s="226" t="e">
        <f>CE198+CE202+CE204+CE205</f>
        <v>#DIV/0!</v>
      </c>
      <c r="CF354" s="226" t="e">
        <f>CF198+CF202+CF204+CF205</f>
        <v>#DIV/0!</v>
      </c>
      <c r="CG354" s="226" t="e">
        <f>CG198+CG202+CG204+CG205</f>
        <v>#DIV/0!</v>
      </c>
      <c r="CH354" s="226" t="e">
        <f>CH198+CH202+CH204+CH205</f>
        <v>#DIV/0!</v>
      </c>
      <c r="CI354" s="226" t="e">
        <f>CI198+CI202+CI204+CI205</f>
        <v>#DIV/0!</v>
      </c>
      <c r="CJ354" s="226" t="e">
        <f>CJ198+CJ202+CJ204+CJ205</f>
        <v>#DIV/0!</v>
      </c>
      <c r="CK354" s="226" t="e">
        <f>CK198+CK202+CK204+CK205</f>
        <v>#DIV/0!</v>
      </c>
      <c r="CL354" s="226" t="e">
        <f>CL198+CL202+CL204+CL205</f>
        <v>#DIV/0!</v>
      </c>
      <c r="CM354" s="226" t="e">
        <f>CM198+CM202+CM204+CM205</f>
        <v>#DIV/0!</v>
      </c>
      <c r="CN354" s="226" t="e">
        <f>CN198+CN202+CN204+CN205</f>
        <v>#DIV/0!</v>
      </c>
      <c r="CO354" s="226" t="e">
        <f>CO198+CO202+CO204+CO205</f>
        <v>#DIV/0!</v>
      </c>
      <c r="CP354" s="226" t="e">
        <f>CP198+CP202+CP204+CP205</f>
        <v>#DIV/0!</v>
      </c>
      <c r="CQ354" s="226" t="e">
        <f>CQ198+CQ202+CQ204+CQ205</f>
        <v>#DIV/0!</v>
      </c>
      <c r="CR354" s="226" t="e">
        <f>CR198+CR202+CR204+CR205</f>
        <v>#DIV/0!</v>
      </c>
      <c r="CS354" s="226" t="e">
        <f>CS198+CS202+CS204+CS205</f>
        <v>#DIV/0!</v>
      </c>
      <c r="CT354" s="226" t="e">
        <f>CT198+CT202+CT204+CT205</f>
        <v>#DIV/0!</v>
      </c>
      <c r="CU354" s="226" t="e">
        <f>CU198+CU202+CU204+CU205</f>
        <v>#DIV/0!</v>
      </c>
      <c r="CV354" s="226" t="e">
        <f>CV198+CV202+CV204+CV205</f>
        <v>#DIV/0!</v>
      </c>
      <c r="CW354" s="226" t="e">
        <f>CW198+CW202+CW204+CW205</f>
        <v>#DIV/0!</v>
      </c>
      <c r="CX354" s="226" t="e">
        <f>CX198+CX202+CX204+CX205</f>
        <v>#DIV/0!</v>
      </c>
      <c r="CY354" s="226" t="e">
        <f>CY198+CY202+CY204+CY205</f>
        <v>#DIV/0!</v>
      </c>
    </row>
    <row r="355" customFormat="1" s="233">
      <c r="A355" s="224" t="n"/>
      <c r="B355" s="224" t="n"/>
      <c r="C355" s="233" t="inlineStr">
        <is>
          <t>FIXED ASSETS</t>
        </is>
      </c>
      <c r="D355" s="241">
        <f>D166+D176+D179+D180+D189-D240</f>
        <v>297.371</v>
      </c>
      <c r="E355" s="241">
        <f>E166+E176+E179+E180+E189-E240</f>
        <v>363.995</v>
      </c>
      <c r="F355" s="241">
        <f>F166+F176+F179+F180+F189-F240</f>
        <v>367.626</v>
      </c>
      <c r="G355" s="241">
        <f>G166+G176+G179+G180+G189-G240</f>
        <v>355.372</v>
      </c>
      <c r="H355" s="241">
        <f>H166+H176+H179+H180+H189-H240</f>
        <v>355.372</v>
      </c>
      <c r="I355" s="226">
        <f>I166+I176+I179+I180+I189-I240</f>
        <v>355.591</v>
      </c>
      <c r="J355" s="226">
        <f>J166+J176+J179+J180+J189-J240</f>
        <v>371.282</v>
      </c>
      <c r="K355" s="226">
        <f>K166+K176+K179+K180+K189-K240</f>
        <v>383.183</v>
      </c>
      <c r="L355" s="226">
        <f>L166+L176+L179+L180+L189-L240</f>
        <v>441.336</v>
      </c>
      <c r="M355" s="226">
        <f>M166+M176+M179+M180+M189-M240</f>
        <v>441.336</v>
      </c>
      <c r="N355" s="226">
        <f>N166+N176+N179+N180+N189-N240</f>
        <v>560.98</v>
      </c>
      <c r="O355" s="226">
        <f>O166+O176+O179+O180+O189-O240</f>
        <v>844.498</v>
      </c>
      <c r="P355" s="226">
        <f>P166+P176+P179+P180+P189-P240</f>
        <v>858.666</v>
      </c>
      <c r="Q355" s="226">
        <f>Q166+Q176+Q179+Q180+Q189-Q240</f>
        <v>1249.441</v>
      </c>
      <c r="R355" s="226">
        <f>R166+R176+R179+R180+R189-R240</f>
        <v>1249.441</v>
      </c>
      <c r="S355" s="226">
        <f>S166+S176+S179+S180+S189-S240</f>
        <v>1261.403</v>
      </c>
      <c r="T355" s="226">
        <f>T166+T176+T179+T180+T189-T240</f>
        <v>1277.493</v>
      </c>
      <c r="U355" s="226">
        <f>U166+U176+U179+U180+U189-U240</f>
        <v>1318.861</v>
      </c>
      <c r="V355" s="226">
        <f>V166+V176+V179+V180+V189-V240</f>
        <v>1342.418</v>
      </c>
      <c r="W355" s="226">
        <f>W166+W176+W179+W180+W189-W240</f>
        <v>1342.418</v>
      </c>
      <c r="X355" s="226">
        <f>X166+X176+X179+X180+X189-X240</f>
        <v>1403.763</v>
      </c>
      <c r="Y355" s="226">
        <f>Y166+Y176+Y179+Y180+Y189-Y240</f>
        <v>1531.741</v>
      </c>
      <c r="Z355" s="226">
        <f>Z166+Z176+Z179+Z180+Z189-Z240</f>
        <v>1771.271</v>
      </c>
      <c r="AA355" s="226">
        <f>AA166+AA176+AA179+AA180+AA189-AA240</f>
        <v>1984.845</v>
      </c>
      <c r="AB355" s="226">
        <f>AB166+AB176+AB179+AB180+AB189-AB240</f>
        <v>1984.845</v>
      </c>
      <c r="AC355" s="226">
        <f>AC166+AC176+AC179+AC180+AC189-AC240</f>
        <v>2062.355</v>
      </c>
      <c r="AD355" s="226">
        <f>AD166+AD176+AD179+AD180+AD189-AD240</f>
        <v>2234.789</v>
      </c>
      <c r="AE355" s="226">
        <f>AE166+AE176+AE179+AE180+AE189-AE240</f>
        <v>2331.779</v>
      </c>
      <c r="AF355" s="226">
        <f>AF166+AF176+AF179+AF180+AF189-AF240</f>
        <v>2577.568</v>
      </c>
      <c r="AG355" s="226">
        <f>AG166+AG176+AG179+AG180+AG189-AG240</f>
        <v>2577.568</v>
      </c>
      <c r="AH355" s="226">
        <f>AH166+AH176+AH179+AH180+AH189-AH240</f>
        <v>2723.462</v>
      </c>
      <c r="AI355" s="226">
        <f>AI166+AI176+AI179+AI180+AI189-AI240</f>
        <v>7532.941</v>
      </c>
      <c r="AJ355" s="226">
        <f>AJ166+AJ176+AJ179+AJ180+AJ189-AJ240</f>
        <v>3702.941</v>
      </c>
      <c r="AK355" s="226">
        <f>AK166+AK176+AK179+AK180+AK189-AK240</f>
        <v>3702.941</v>
      </c>
      <c r="AL355" s="226">
        <f>AL166+AL176+AL179+AL180+AL189-AL240</f>
        <v>3702.941</v>
      </c>
      <c r="AM355" s="226">
        <f>AM166+AM176+AM179+AM180+AM189-AM240</f>
        <v>3702.941</v>
      </c>
      <c r="AN355" s="226">
        <f>AN166+AN176+AN179+AN180+AN189-AN240</f>
        <v>3702.941</v>
      </c>
      <c r="AO355" s="226">
        <f>AO166+AO176+AO179+AO180+AO189-AO240</f>
        <v>3702.941</v>
      </c>
      <c r="AP355" s="226">
        <f>AP166+AP176+AP179+AP180+AP189-AP240</f>
        <v>3702.941</v>
      </c>
      <c r="AQ355" s="226">
        <f>AQ166+AQ176+AQ179+AQ180+AQ189-AQ240</f>
        <v>3702.941</v>
      </c>
      <c r="AR355" s="226">
        <f>AR166+AR176+AR179+AR180+AR189-AR240</f>
        <v>3702.941</v>
      </c>
      <c r="AS355" s="226">
        <f>AS166+AS176+AS179+AS180+AS189-AS240</f>
        <v>3702.941</v>
      </c>
      <c r="AT355" s="226">
        <f>AT166+AT176+AT179+AT180+AT189-AT240</f>
        <v>3702.941</v>
      </c>
      <c r="AU355" s="226">
        <f>AU166+AU176+AU179+AU180+AU189-AU240</f>
        <v>3702.941</v>
      </c>
      <c r="AV355" s="226">
        <f>AV166+AV176+AV179+AV180+AV189-AV240</f>
        <v>3702.941</v>
      </c>
      <c r="AW355" s="226">
        <f>AW166+AW176+AW179+AW180+AW189-AW240</f>
        <v>3702.941</v>
      </c>
      <c r="AX355" s="226">
        <f>AX166+AX176+AX179+AX180+AX189-AX240</f>
        <v>3702.941</v>
      </c>
      <c r="AY355" s="226">
        <f>AY166+AY176+AY179+AY180+AY189-AY240</f>
        <v>3702.941</v>
      </c>
      <c r="AZ355" s="226">
        <f>AZ166+AZ176+AZ179+AZ180+AZ189-AZ240</f>
        <v>3702.941</v>
      </c>
      <c r="BA355" s="226">
        <f>BA166+BA176+BA179+BA180+BA189-BA240</f>
        <v>3702.941</v>
      </c>
      <c r="BB355" s="226">
        <f>BB166+BB176+BB179+BB180+BB189-BB240</f>
        <v>3702.941</v>
      </c>
      <c r="BC355" s="226">
        <f>BC166+BC176+BC179+BC180+BC189-BC240</f>
        <v>3702.941</v>
      </c>
      <c r="BD355" s="226">
        <f>BD166+BD176+BD179+BD180+BD189-BD240</f>
        <v>3702.941</v>
      </c>
      <c r="BE355" s="226">
        <f>BE166+BE176+BE179+BE180+BE189-BE240</f>
        <v>3702.941</v>
      </c>
      <c r="BF355" s="226">
        <f>BF166+BF176+BF179+BF180+BF189-BF240</f>
        <v>3702.941</v>
      </c>
      <c r="BG355" s="226">
        <f>BG166+BG176+BG179+BG180+BG189-BG240</f>
        <v>3702.941</v>
      </c>
      <c r="BH355" s="226">
        <f>BH166+BH176+BH179+BH180+BH189-BH240</f>
        <v>3702.941</v>
      </c>
      <c r="BI355" s="226">
        <f>BI166+BI176+BI179+BI180+BI189-BI240</f>
        <v>3702.941</v>
      </c>
      <c r="BJ355" s="226">
        <f>BJ166+BJ176+BJ179+BJ180+BJ189-BJ240</f>
        <v>3702.941</v>
      </c>
      <c r="BK355" s="226">
        <f>BK166+BK176+BK179+BK180+BK189-BK240</f>
        <v>3702.941</v>
      </c>
      <c r="BL355" s="226">
        <f>BL166+BL176+BL179+BL180+BL189-BL240</f>
        <v>3702.941</v>
      </c>
      <c r="BM355" s="226">
        <f>BM166+BM176+BM179+BM180+BM189-BM240</f>
        <v>3702.941</v>
      </c>
      <c r="BN355" s="226">
        <f>BN166+BN176+BN179+BN180+BN189-BN240</f>
        <v>3702.941</v>
      </c>
      <c r="BO355" s="226">
        <f>BO166+BO176+BO179+BO180+BO189-BO240</f>
        <v>3702.941</v>
      </c>
      <c r="BP355" s="226">
        <f>BP166+BP176+BP179+BP180+BP189-BP240</f>
        <v>3702.941</v>
      </c>
      <c r="BQ355" s="226">
        <f>BQ166+BQ176+BQ179+BQ180+BQ189-BQ240</f>
        <v>3702.941</v>
      </c>
      <c r="BR355" s="226">
        <f>BR166+BR176+BR179+BR180+BR189-BR240</f>
        <v>3702.941</v>
      </c>
      <c r="BS355" s="226">
        <f>BS166+BS176+BS179+BS180+BS189-BS240</f>
        <v>3702.941</v>
      </c>
      <c r="BT355" s="226">
        <f>BT166+BT176+BT179+BT180+BT189-BT240</f>
        <v>3702.941</v>
      </c>
      <c r="BU355" s="226">
        <f>BU166+BU176+BU179+BU180+BU189-BU240</f>
        <v>3702.941</v>
      </c>
      <c r="BV355" s="226">
        <f>BV166+BV176+BV179+BV180+BV189-BV240</f>
        <v>3702.941</v>
      </c>
      <c r="BW355" s="226">
        <f>BW166+BW176+BW179+BW180+BW189-BW240</f>
        <v>3702.941</v>
      </c>
      <c r="BX355" s="226">
        <f>BX166+BX176+BX179+BX180+BX189-BX240</f>
        <v>3702.941</v>
      </c>
      <c r="BY355" s="226">
        <f>BY166+BY176+BY179+BY180+BY189-BY240</f>
        <v>3702.941</v>
      </c>
      <c r="BZ355" s="226">
        <f>BZ166+BZ176+BZ179+BZ180+BZ189-BZ240</f>
        <v>3702.941</v>
      </c>
      <c r="CA355" s="226">
        <f>CA166+CA176+CA179+CA180+CA189-CA240</f>
        <v>3702.941</v>
      </c>
      <c r="CB355" s="226">
        <f>CB166+CB176+CB179+CB180+CB189-CB240</f>
        <v>3702.941</v>
      </c>
      <c r="CC355" s="226">
        <f>CC166+CC176+CC179+CC180+CC189-CC240</f>
        <v>3702.941</v>
      </c>
      <c r="CD355" s="226">
        <f>CD166+CD176+CD179+CD180+CD189-CD240</f>
        <v>3702.941</v>
      </c>
      <c r="CE355" s="226">
        <f>CE166+CE176+CE179+CE180+CE189-CE240</f>
        <v>3702.941</v>
      </c>
      <c r="CF355" s="226">
        <f>CF166+CF176+CF179+CF180+CF189-CF240</f>
        <v>3702.941</v>
      </c>
      <c r="CG355" s="226">
        <f>CG166+CG176+CG179+CG180+CG189-CG240</f>
        <v>3702.941</v>
      </c>
      <c r="CH355" s="226">
        <f>CH166+CH176+CH179+CH180+CH189-CH240</f>
        <v>3702.941</v>
      </c>
      <c r="CI355" s="226">
        <f>CI166+CI176+CI179+CI180+CI189-CI240</f>
        <v>3702.941</v>
      </c>
      <c r="CJ355" s="226">
        <f>CJ166+CJ176+CJ179+CJ180+CJ189-CJ240</f>
        <v>3702.941</v>
      </c>
      <c r="CK355" s="226">
        <f>CK166+CK176+CK179+CK180+CK189-CK240</f>
        <v>3702.941</v>
      </c>
      <c r="CL355" s="226">
        <f>CL166+CL176+CL179+CL180+CL189-CL240</f>
        <v>3702.941</v>
      </c>
      <c r="CM355" s="226">
        <f>CM166+CM176+CM179+CM180+CM189-CM240</f>
        <v>3702.941</v>
      </c>
      <c r="CN355" s="226">
        <f>CN166+CN176+CN179+CN180+CN189-CN240</f>
        <v>3702.941</v>
      </c>
      <c r="CO355" s="226">
        <f>CO166+CO176+CO179+CO180+CO189-CO240</f>
        <v>3702.941</v>
      </c>
      <c r="CP355" s="226">
        <f>CP166+CP176+CP179+CP180+CP189-CP240</f>
        <v>3702.941</v>
      </c>
      <c r="CQ355" s="226">
        <f>CQ166+CQ176+CQ179+CQ180+CQ189-CQ240</f>
        <v>3702.941</v>
      </c>
      <c r="CR355" s="226">
        <f>CR166+CR176+CR179+CR180+CR189-CR240</f>
        <v>3702.941</v>
      </c>
      <c r="CS355" s="226">
        <f>CS166+CS176+CS179+CS180+CS189-CS240</f>
        <v>3702.941</v>
      </c>
      <c r="CT355" s="226">
        <f>CT166+CT176+CT179+CT180+CT189-CT240</f>
        <v>3702.941</v>
      </c>
      <c r="CU355" s="226">
        <f>CU166+CU176+CU179+CU180+CU189-CU240</f>
        <v>3702.941</v>
      </c>
      <c r="CV355" s="226">
        <f>CV166+CV176+CV179+CV180+CV189-CV240</f>
        <v>3702.941</v>
      </c>
      <c r="CW355" s="226">
        <f>CW166+CW176+CW179+CW180+CW189-CW240</f>
        <v>3702.941</v>
      </c>
      <c r="CX355" s="226">
        <f>CX166+CX176+CX179+CX180+CX189-CX240</f>
        <v>3702.941</v>
      </c>
      <c r="CY355" s="226">
        <f>CY166+CY176+CY179+CY180+CY189-CY240</f>
        <v>3702.941</v>
      </c>
    </row>
    <row r="356" customFormat="1" s="233">
      <c r="A356" s="224" t="n"/>
      <c r="B356" s="224" t="n"/>
    </row>
    <row r="357" customFormat="1" s="233">
      <c r="A357" s="224" t="n"/>
      <c r="B357" s="224" t="n"/>
    </row>
    <row r="358" customFormat="1" s="233">
      <c r="A358" s="224" t="n"/>
      <c r="B358" s="224" t="n"/>
    </row>
    <row r="359" customFormat="1" s="233">
      <c r="A359" s="224" t="n"/>
      <c r="B359" s="224" t="n"/>
    </row>
    <row r="360" customFormat="1" s="233">
      <c r="A360" s="224" t="n"/>
      <c r="B360" s="224" t="n"/>
    </row>
    <row r="361" customFormat="1" s="233">
      <c r="A361" s="224" t="n"/>
      <c r="B361" s="224" t="n"/>
    </row>
    <row r="362" customFormat="1" s="233">
      <c r="A362" s="224" t="n"/>
      <c r="B362" s="224" t="n"/>
    </row>
    <row r="363" customFormat="1" s="233">
      <c r="A363" s="224" t="n"/>
      <c r="B363" s="224" t="n"/>
      <c r="C363" s="234" t="inlineStr">
        <is>
          <t>DUPONT ANALYSIS</t>
        </is>
      </c>
    </row>
    <row r="364" customFormat="1" s="233">
      <c r="A364" s="224" t="n"/>
      <c r="B364" s="224" t="n"/>
      <c r="C364" s="233" t="inlineStr">
        <is>
          <t>NET PROFIT MARGIN</t>
        </is>
      </c>
      <c r="D364" s="238">
        <f>D137/D15</f>
        <v>-0.109377219727021</v>
      </c>
      <c r="E364" s="238">
        <f>E137/E15</f>
        <v>0.244010176689771</v>
      </c>
      <c r="F364" s="238">
        <f>F137/F15</f>
        <v>0.000481532708365396</v>
      </c>
      <c r="G364" s="238">
        <f>G137/G15</f>
        <v>-0.105360228309616</v>
      </c>
      <c r="I364" s="222">
        <f>I137/I15</f>
        <v>-0.531572039942939</v>
      </c>
      <c r="J364" s="222">
        <f>J137/J15</f>
        <v>0.0583792764896911</v>
      </c>
      <c r="K364" s="222">
        <f>K137/K15</f>
        <v>-0.0221151631093438</v>
      </c>
      <c r="L364" s="222">
        <f>L137/L15</f>
        <v>-0.12005432438869</v>
      </c>
      <c r="N364" s="222">
        <f>N137/N15</f>
        <v>-0.203041541531454</v>
      </c>
      <c r="O364" s="222">
        <f>O137/O15</f>
        <v>-0.0794757389849415</v>
      </c>
      <c r="P364" s="222">
        <f>P137/P15</f>
        <v>-0.157690805722777</v>
      </c>
      <c r="Q364" s="222">
        <f>Q137/Q15</f>
        <v>-0.478748277151259</v>
      </c>
      <c r="S364" s="222">
        <f>S137/S15</f>
        <v>-0.23867722206042</v>
      </c>
      <c r="T364" s="222">
        <f>T137/T15</f>
        <v>-0.0262376111493288</v>
      </c>
      <c r="U364" s="222">
        <f>U137/U15</f>
        <v>0.00961064179980175</v>
      </c>
      <c r="V364" s="222">
        <f>V137/V15</f>
        <v>0.445578008630978</v>
      </c>
      <c r="X364" s="222">
        <f>X137/X15</f>
        <v>0.122129995314278</v>
      </c>
      <c r="Y364" s="222">
        <f>Y137/Y15</f>
        <v>0.0409491878519579</v>
      </c>
      <c r="Z364" s="222">
        <f>Z137/Z15</f>
        <v>0.148887479223042</v>
      </c>
      <c r="AA364" s="222">
        <f>AA137/AA15</f>
        <v>-0.045767703708852</v>
      </c>
      <c r="AC364" s="222">
        <f>AC137/AC15</f>
        <v>-0.0262541528239202</v>
      </c>
      <c r="AD364" s="222">
        <f>AD137/AD15</f>
        <v>0.0902638721179797</v>
      </c>
      <c r="AE364" s="222">
        <f>AE137/AE15</f>
        <v>0.0828607009428928</v>
      </c>
      <c r="AF364" s="222">
        <f>AF137/AF15</f>
        <v>0.0731340968336304</v>
      </c>
      <c r="AH364" s="222">
        <f>AH137/AH15</f>
        <v>0.0567362176660345</v>
      </c>
      <c r="AI364" s="222">
        <f>AI137/AI15</f>
        <v>-0.0178971671515456</v>
      </c>
      <c r="AJ364" s="222">
        <f>AJ137/AJ15</f>
        <v>0.0815584415584416</v>
      </c>
      <c r="AK364" s="222">
        <f>AK137/AK15</f>
        <v>0.117718276713998</v>
      </c>
      <c r="AM364" s="222">
        <f>AM137/AM15</f>
        <v>0.0932444514250505</v>
      </c>
      <c r="AN364" s="222">
        <f>AN137/AN15</f>
        <v>0.16114675452286</v>
      </c>
      <c r="AO364" s="222">
        <f>AO137/AO15</f>
        <v>0.114356876000712</v>
      </c>
      <c r="AP364" s="222">
        <f>AP137/AP15</f>
        <v>0.447158439553704</v>
      </c>
      <c r="AR364" s="222">
        <f>AR137/AR15</f>
        <v>0.356247508125023</v>
      </c>
      <c r="AS364" s="222">
        <f>AS137/AS15</f>
        <v>0.470351745884952</v>
      </c>
      <c r="AT364" s="222">
        <f>AT137/AT15</f>
        <v>0.424173634584594</v>
      </c>
      <c r="AU364" s="222">
        <f>AU137/AU15</f>
        <v>1.17579045738132</v>
      </c>
      <c r="AW364" s="222">
        <f>AW137/AW15</f>
        <v>0.937938721018739</v>
      </c>
      <c r="AX364" s="222">
        <f>AX137/AX15</f>
        <v>1.36836663262881</v>
      </c>
      <c r="AY364" s="222">
        <f>AY137/AY15</f>
        <v>1.1094040206369</v>
      </c>
      <c r="AZ364" s="222">
        <f>AZ137/AZ15</f>
        <v>3.29193481871597</v>
      </c>
      <c r="BB364" s="222">
        <f>BB137/BB15</f>
        <v>2.62732726020612</v>
      </c>
      <c r="BC364" s="222">
        <f>BC137/BC15</f>
        <v>3.78280638884072</v>
      </c>
      <c r="BD364" s="222">
        <f>BD137/BD15</f>
        <v>3.09949830990927</v>
      </c>
      <c r="BE364" s="222">
        <f>BE137/BE15</f>
        <v>8.98148757704051</v>
      </c>
      <c r="BG364" s="222">
        <f>BG137/BG15</f>
        <v>7.1694867643683</v>
      </c>
      <c r="BH364" s="222">
        <f>BH137/BH15</f>
        <v>10.4077156747523</v>
      </c>
      <c r="BI364" s="222">
        <f>BI137/BI15</f>
        <v>8.45014766055862</v>
      </c>
      <c r="BJ364" s="222">
        <f>BJ137/BJ15</f>
        <v>24.5928818163589</v>
      </c>
      <c r="BL364" s="222">
        <f>BL137/BL15</f>
        <v>19.6325828510674</v>
      </c>
      <c r="BM364" s="222">
        <f>BM137/BM15</f>
        <v>28.4864137589992</v>
      </c>
      <c r="BN364" s="222">
        <f>BN137/BN15</f>
        <v>23.1316349404021</v>
      </c>
      <c r="BO364" s="222">
        <f>BO137/BO15</f>
        <v>67.1947758116447</v>
      </c>
      <c r="BQ364" s="222">
        <f>BQ137/BQ15</f>
        <v>53.6430940327901</v>
      </c>
      <c r="BR364" s="222">
        <f>BR137/BR15</f>
        <v>77.8936284993161</v>
      </c>
      <c r="BS364" s="222">
        <f>BS137/BS15</f>
        <v>63.1959082013877</v>
      </c>
      <c r="BT364" s="222">
        <f>BT137/BT15</f>
        <v>183.621352280853</v>
      </c>
      <c r="BV364" s="222">
        <f>BV137/BV15</f>
        <v>146.590308569634</v>
      </c>
      <c r="BW364" s="222">
        <f>BW137/BW15</f>
        <v>212.865454148444</v>
      </c>
      <c r="BX364" s="222">
        <f>BX137/BX15</f>
        <v>172.687429283046</v>
      </c>
      <c r="BY364" s="222">
        <f>BY137/BY15</f>
        <v>501.678293209842</v>
      </c>
      <c r="CA364" s="222">
        <f>CA137/CA15</f>
        <v>400.505760006766</v>
      </c>
      <c r="CB364" s="222">
        <f>CB137/CB15</f>
        <v>581.623534927333</v>
      </c>
      <c r="CC364" s="222">
        <f>CC137/CC15</f>
        <v>471.799017968333</v>
      </c>
      <c r="CD364" s="222">
        <f>CD137/CD15</f>
        <v>1370.64532800624</v>
      </c>
      <c r="CF364" s="222">
        <f>CF137/CF15</f>
        <v>1094.23109195472</v>
      </c>
      <c r="CG364" s="222">
        <f>CG137/CG15</f>
        <v>1589.08334778337</v>
      </c>
      <c r="CH364" s="222">
        <f>CH137/CH15</f>
        <v>1289.00523750222</v>
      </c>
      <c r="CI364" s="222">
        <f>CI137/CI15</f>
        <v>3744.693279457</v>
      </c>
      <c r="CK364" s="222">
        <f>CK137/CK15</f>
        <v>2989.51265872489</v>
      </c>
      <c r="CL364" s="222">
        <f>CL137/CL15</f>
        <v>4341.51913505321</v>
      </c>
      <c r="CM364" s="222">
        <f>CM137/CM15</f>
        <v>3521.64085394058</v>
      </c>
      <c r="CN364" s="222">
        <f>CN137/CN15</f>
        <v>10230.7232519513</v>
      </c>
      <c r="CP364" s="222">
        <f>CP137/CP15</f>
        <v>8167.52645616112</v>
      </c>
      <c r="CQ364" s="222">
        <f>CQ137/CQ15</f>
        <v>11861.310335305</v>
      </c>
      <c r="CR364" s="222">
        <f>CR137/CR15</f>
        <v>9621.32452588508</v>
      </c>
      <c r="CS364" s="222">
        <f>CS137/CS15</f>
        <v>27950.8790998415</v>
      </c>
      <c r="CU364" s="222">
        <f>CU137/CU15</f>
        <v>22314.1171845739</v>
      </c>
      <c r="CV364" s="222">
        <f>CV137/CV15</f>
        <v>32405.7643103482</v>
      </c>
      <c r="CW364" s="222">
        <f>CW137/CW15</f>
        <v>26285.9631026508</v>
      </c>
      <c r="CX364" s="222">
        <f>CX137/CX15</f>
        <v>76363.2507406104</v>
      </c>
    </row>
    <row r="365" customFormat="1" s="233">
      <c r="A365" s="224" t="n"/>
      <c r="B365" s="224" t="n"/>
      <c r="C365" s="233" t="inlineStr">
        <is>
          <t>ASSET TURNOVER</t>
        </is>
      </c>
      <c r="D365" s="238">
        <f>D137/D197</f>
        <v>-0.0151631527359272</v>
      </c>
      <c r="E365" s="238">
        <f>E137/E197</f>
        <v>0.0364992156586594</v>
      </c>
      <c r="F365" s="238">
        <f>F137/F197</f>
        <v>6.95645996113329e-05</v>
      </c>
      <c r="G365" s="238">
        <f>G137/G197</f>
        <v>-0.0161792085096615</v>
      </c>
      <c r="I365" s="222">
        <f>I137/I197</f>
        <v>-0.0453725882509943</v>
      </c>
      <c r="J365" s="222">
        <f>J137/J197</f>
        <v>0.00559688949065306</v>
      </c>
      <c r="K365" s="222">
        <f>K137/K197</f>
        <v>-0.00238838776254146</v>
      </c>
      <c r="L365" s="222">
        <f>L137/L197</f>
        <v>-0.0154651954334061</v>
      </c>
      <c r="N365" s="222">
        <f>N137/N197</f>
        <v>-0.0165292985447129</v>
      </c>
      <c r="O365" s="222">
        <f>O137/O197</f>
        <v>-0.00723673431632812</v>
      </c>
      <c r="P365" s="222">
        <f>P137/P197</f>
        <v>-0.0183995857681781</v>
      </c>
      <c r="Q365" s="222">
        <f>Q137/Q197</f>
        <v>-0.0413814525277626</v>
      </c>
      <c r="S365" s="222">
        <f>S137/S197</f>
        <v>-0.0220455780452983</v>
      </c>
      <c r="T365" s="222">
        <f>T137/T197</f>
        <v>-0.00245265691002385</v>
      </c>
      <c r="U365" s="222">
        <f>U137/U197</f>
        <v>0.000826663677398415</v>
      </c>
      <c r="V365" s="222">
        <f>V137/V197</f>
        <v>0.0391125310739658</v>
      </c>
      <c r="X365" s="222">
        <f>X137/X197</f>
        <v>0.0111215898957811</v>
      </c>
      <c r="Y365" s="222">
        <f>Y137/Y197</f>
        <v>0.00358190110845318</v>
      </c>
      <c r="Z365" s="222">
        <f>Z137/Z197</f>
        <v>0.0111530458094725</v>
      </c>
      <c r="AA365" s="222">
        <f>AA137/AA197</f>
        <v>-0.00315998030110989</v>
      </c>
      <c r="AC365" s="222">
        <f>AC137/AC197</f>
        <v>-0.00186650448173648</v>
      </c>
      <c r="AD365" s="222">
        <f>AD137/AD197</f>
        <v>0.00589444916711181</v>
      </c>
      <c r="AE365" s="222">
        <f>AE137/AE197</f>
        <v>0.00551304222254576</v>
      </c>
      <c r="AF365" s="222">
        <f>AF137/AF197</f>
        <v>0.0045016878418331</v>
      </c>
      <c r="AH365" s="222">
        <f>AH137/AH197</f>
        <v>0.00422400826092247</v>
      </c>
      <c r="AI365" s="222">
        <f>AI137/AI197</f>
        <v>-0.000984217293846565</v>
      </c>
      <c r="AJ365" s="222">
        <f>AJ137/AJ197</f>
        <v>0.00215061995687501</v>
      </c>
      <c r="AK365" s="222">
        <f>AK137/AK197</f>
        <v>0.00290961091785815</v>
      </c>
      <c r="AM365" s="222" t="e">
        <f>AM137/AM197</f>
        <v>#DIV/0!</v>
      </c>
      <c r="AN365" s="222" t="e">
        <f>AN137/AN197</f>
        <v>#DIV/0!</v>
      </c>
      <c r="AO365" s="222" t="e">
        <f>AO137/AO197</f>
        <v>#DIV/0!</v>
      </c>
      <c r="AP365" s="222" t="e">
        <f>AP137/AP197</f>
        <v>#DIV/0!</v>
      </c>
      <c r="AR365" s="222" t="e">
        <f>AR137/AR197</f>
        <v>#DIV/0!</v>
      </c>
      <c r="AS365" s="222" t="e">
        <f>AS137/AS197</f>
        <v>#DIV/0!</v>
      </c>
      <c r="AT365" s="222" t="e">
        <f>AT137/AT197</f>
        <v>#DIV/0!</v>
      </c>
      <c r="AU365" s="222" t="e">
        <f>AU137/AU197</f>
        <v>#DIV/0!</v>
      </c>
      <c r="AW365" s="222" t="e">
        <f>AW137/AW197</f>
        <v>#DIV/0!</v>
      </c>
      <c r="AX365" s="222" t="e">
        <f>AX137/AX197</f>
        <v>#DIV/0!</v>
      </c>
      <c r="AY365" s="222" t="e">
        <f>AY137/AY197</f>
        <v>#DIV/0!</v>
      </c>
      <c r="AZ365" s="222" t="e">
        <f>AZ137/AZ197</f>
        <v>#DIV/0!</v>
      </c>
      <c r="BB365" s="222" t="e">
        <f>BB137/BB197</f>
        <v>#DIV/0!</v>
      </c>
      <c r="BC365" s="222" t="e">
        <f>BC137/BC197</f>
        <v>#DIV/0!</v>
      </c>
      <c r="BD365" s="222" t="e">
        <f>BD137/BD197</f>
        <v>#DIV/0!</v>
      </c>
      <c r="BE365" s="222" t="e">
        <f>BE137/BE197</f>
        <v>#DIV/0!</v>
      </c>
      <c r="BG365" s="222" t="e">
        <f>BG137/BG197</f>
        <v>#DIV/0!</v>
      </c>
      <c r="BH365" s="222" t="e">
        <f>BH137/BH197</f>
        <v>#DIV/0!</v>
      </c>
      <c r="BI365" s="222" t="e">
        <f>BI137/BI197</f>
        <v>#DIV/0!</v>
      </c>
      <c r="BJ365" s="222" t="e">
        <f>BJ137/BJ197</f>
        <v>#DIV/0!</v>
      </c>
      <c r="BL365" s="222" t="e">
        <f>BL137/BL197</f>
        <v>#DIV/0!</v>
      </c>
      <c r="BM365" s="222" t="e">
        <f>BM137/BM197</f>
        <v>#DIV/0!</v>
      </c>
      <c r="BN365" s="222" t="e">
        <f>BN137/BN197</f>
        <v>#DIV/0!</v>
      </c>
      <c r="BO365" s="222" t="e">
        <f>BO137/BO197</f>
        <v>#DIV/0!</v>
      </c>
      <c r="BQ365" s="222" t="e">
        <f>BQ137/BQ197</f>
        <v>#DIV/0!</v>
      </c>
      <c r="BR365" s="222" t="e">
        <f>BR137/BR197</f>
        <v>#DIV/0!</v>
      </c>
      <c r="BS365" s="222" t="e">
        <f>BS137/BS197</f>
        <v>#DIV/0!</v>
      </c>
      <c r="BT365" s="222" t="e">
        <f>BT137/BT197</f>
        <v>#DIV/0!</v>
      </c>
      <c r="BV365" s="222" t="e">
        <f>BV137/BV197</f>
        <v>#DIV/0!</v>
      </c>
      <c r="BW365" s="222" t="e">
        <f>BW137/BW197</f>
        <v>#DIV/0!</v>
      </c>
      <c r="BX365" s="222" t="e">
        <f>BX137/BX197</f>
        <v>#DIV/0!</v>
      </c>
      <c r="BY365" s="222" t="e">
        <f>BY137/BY197</f>
        <v>#DIV/0!</v>
      </c>
      <c r="CA365" s="222" t="e">
        <f>CA137/CA197</f>
        <v>#DIV/0!</v>
      </c>
      <c r="CB365" s="222" t="e">
        <f>CB137/CB197</f>
        <v>#DIV/0!</v>
      </c>
      <c r="CC365" s="222" t="e">
        <f>CC137/CC197</f>
        <v>#DIV/0!</v>
      </c>
      <c r="CD365" s="222" t="e">
        <f>CD137/CD197</f>
        <v>#DIV/0!</v>
      </c>
      <c r="CF365" s="222" t="e">
        <f>CF137/CF197</f>
        <v>#DIV/0!</v>
      </c>
      <c r="CG365" s="222" t="e">
        <f>CG137/CG197</f>
        <v>#DIV/0!</v>
      </c>
      <c r="CH365" s="222" t="e">
        <f>CH137/CH197</f>
        <v>#DIV/0!</v>
      </c>
      <c r="CI365" s="222" t="e">
        <f>CI137/CI197</f>
        <v>#DIV/0!</v>
      </c>
      <c r="CK365" s="222" t="e">
        <f>CK137/CK197</f>
        <v>#DIV/0!</v>
      </c>
      <c r="CL365" s="222" t="e">
        <f>CL137/CL197</f>
        <v>#DIV/0!</v>
      </c>
      <c r="CM365" s="222" t="e">
        <f>CM137/CM197</f>
        <v>#DIV/0!</v>
      </c>
      <c r="CN365" s="222" t="e">
        <f>CN137/CN197</f>
        <v>#DIV/0!</v>
      </c>
      <c r="CP365" s="222" t="e">
        <f>CP137/CP197</f>
        <v>#DIV/0!</v>
      </c>
      <c r="CQ365" s="222" t="e">
        <f>CQ137/CQ197</f>
        <v>#DIV/0!</v>
      </c>
      <c r="CR365" s="222" t="e">
        <f>CR137/CR197</f>
        <v>#DIV/0!</v>
      </c>
      <c r="CS365" s="222" t="e">
        <f>CS137/CS197</f>
        <v>#DIV/0!</v>
      </c>
      <c r="CU365" s="222" t="e">
        <f>CU137/CU197</f>
        <v>#DIV/0!</v>
      </c>
      <c r="CV365" s="222" t="e">
        <f>CV137/CV197</f>
        <v>#DIV/0!</v>
      </c>
      <c r="CW365" s="222" t="e">
        <f>CW137/CW197</f>
        <v>#DIV/0!</v>
      </c>
      <c r="CX365" s="222" t="e">
        <f>CX137/CX197</f>
        <v>#DIV/0!</v>
      </c>
    </row>
    <row r="366" customFormat="1" s="233">
      <c r="A366" s="224" t="n"/>
      <c r="B366" s="224" t="n"/>
      <c r="C366" s="233" t="inlineStr">
        <is>
          <t>EQUITY MULTIPLIER</t>
        </is>
      </c>
      <c r="D366" s="238">
        <f>D197/D271</f>
        <v>-6.13543583737661</v>
      </c>
      <c r="E366" s="238">
        <f>E197/E271</f>
        <v>9.00715240010256</v>
      </c>
      <c r="F366" s="238">
        <f>F197/F271</f>
        <v>8.95872228704785</v>
      </c>
      <c r="G366" s="238">
        <f>G197/G271</f>
        <v>8.10943355172499</v>
      </c>
      <c r="I366" s="222">
        <f>I197/I271</f>
        <v>2.64041059776388</v>
      </c>
      <c r="J366" s="222">
        <f>J197/J271</f>
        <v>2.50596041939372</v>
      </c>
      <c r="K366" s="222">
        <f>K197/K271</f>
        <v>2.40470133491484</v>
      </c>
      <c r="L366" s="222">
        <f>L197/L271</f>
        <v>3.26480930557398</v>
      </c>
      <c r="N366" s="222">
        <f>N197/N271</f>
        <v>3.48208628181431</v>
      </c>
      <c r="O366" s="222">
        <f>O197/O271</f>
        <v>3.66284672858288</v>
      </c>
      <c r="P366" s="222">
        <f>P197/P271</f>
        <v>3.92401021711367</v>
      </c>
      <c r="Q366" s="222">
        <f>Q197/Q271</f>
        <v>3.56562969179678</v>
      </c>
      <c r="S366" s="222">
        <f>S197/S271</f>
        <v>3.51808827325131</v>
      </c>
      <c r="T366" s="222">
        <f>T197/T271</f>
        <v>3.1800570465173</v>
      </c>
      <c r="U366" s="222">
        <f>U197/U271</f>
        <v>3.37188072710626</v>
      </c>
      <c r="V366" s="222">
        <f>V197/V271</f>
        <v>3.03836324005195</v>
      </c>
      <c r="X366" s="222">
        <f>X197/X271</f>
        <v>2.90142841441831</v>
      </c>
      <c r="Y366" s="222">
        <f>Y197/Y271</f>
        <v>3.04033296274265</v>
      </c>
      <c r="Z366" s="222">
        <f>Z197/Z271</f>
        <v>3.79203845627481</v>
      </c>
      <c r="AA366" s="222">
        <f>AA197/AA271</f>
        <v>3.81543500127593</v>
      </c>
      <c r="AC366" s="222">
        <f>AC197/AC271</f>
        <v>3.89179077896024</v>
      </c>
      <c r="AD366" s="222">
        <f>AD197/AD271</f>
        <v>2.68939326957147</v>
      </c>
      <c r="AE366" s="222">
        <f>AE197/AE271</f>
        <v>2.76062872431781</v>
      </c>
      <c r="AF366" s="222">
        <f>AF197/AF271</f>
        <v>2.76736440288547</v>
      </c>
      <c r="AH366" s="222">
        <f>AH197/AH271</f>
        <v>2.82640137539605</v>
      </c>
      <c r="AI366" s="222">
        <f>AI197/AI271</f>
        <v>2.1562837462208</v>
      </c>
      <c r="AJ366" s="222">
        <f>AJ197/AJ271</f>
        <v>2.01884488738906</v>
      </c>
      <c r="AK366" s="222">
        <f>AK197/AK271</f>
        <v>2.01209606707535</v>
      </c>
      <c r="AM366" s="222" t="e">
        <f>AM197/AM271</f>
        <v>#DIV/0!</v>
      </c>
      <c r="AN366" s="222" t="e">
        <f>AN197/AN271</f>
        <v>#DIV/0!</v>
      </c>
      <c r="AO366" s="222" t="e">
        <f>AO197/AO271</f>
        <v>#DIV/0!</v>
      </c>
      <c r="AP366" s="222" t="e">
        <f>AP197/AP271</f>
        <v>#DIV/0!</v>
      </c>
      <c r="AR366" s="222" t="e">
        <f>AR197/AR271</f>
        <v>#DIV/0!</v>
      </c>
      <c r="AS366" s="222" t="e">
        <f>AS197/AS271</f>
        <v>#DIV/0!</v>
      </c>
      <c r="AT366" s="222" t="e">
        <f>AT197/AT271</f>
        <v>#DIV/0!</v>
      </c>
      <c r="AU366" s="222" t="e">
        <f>AU197/AU271</f>
        <v>#DIV/0!</v>
      </c>
      <c r="AW366" s="222" t="e">
        <f>AW197/AW271</f>
        <v>#DIV/0!</v>
      </c>
      <c r="AX366" s="222" t="e">
        <f>AX197/AX271</f>
        <v>#DIV/0!</v>
      </c>
      <c r="AY366" s="222" t="e">
        <f>AY197/AY271</f>
        <v>#DIV/0!</v>
      </c>
      <c r="AZ366" s="222" t="e">
        <f>AZ197/AZ271</f>
        <v>#DIV/0!</v>
      </c>
      <c r="BB366" s="222" t="e">
        <f>BB197/BB271</f>
        <v>#DIV/0!</v>
      </c>
      <c r="BC366" s="222" t="e">
        <f>BC197/BC271</f>
        <v>#DIV/0!</v>
      </c>
      <c r="BD366" s="222" t="e">
        <f>BD197/BD271</f>
        <v>#DIV/0!</v>
      </c>
      <c r="BE366" s="222" t="e">
        <f>BE197/BE271</f>
        <v>#DIV/0!</v>
      </c>
      <c r="BG366" s="222" t="e">
        <f>BG197/BG271</f>
        <v>#DIV/0!</v>
      </c>
      <c r="BH366" s="222" t="e">
        <f>BH197/BH271</f>
        <v>#DIV/0!</v>
      </c>
      <c r="BI366" s="222" t="e">
        <f>BI197/BI271</f>
        <v>#DIV/0!</v>
      </c>
      <c r="BJ366" s="222" t="e">
        <f>BJ197/BJ271</f>
        <v>#DIV/0!</v>
      </c>
      <c r="BL366" s="222" t="e">
        <f>BL197/BL271</f>
        <v>#DIV/0!</v>
      </c>
      <c r="BM366" s="222" t="e">
        <f>BM197/BM271</f>
        <v>#DIV/0!</v>
      </c>
      <c r="BN366" s="222" t="e">
        <f>BN197/BN271</f>
        <v>#DIV/0!</v>
      </c>
      <c r="BO366" s="222" t="e">
        <f>BO197/BO271</f>
        <v>#DIV/0!</v>
      </c>
      <c r="BQ366" s="222" t="e">
        <f>BQ197/BQ271</f>
        <v>#DIV/0!</v>
      </c>
      <c r="BR366" s="222" t="e">
        <f>BR197/BR271</f>
        <v>#DIV/0!</v>
      </c>
      <c r="BS366" s="222" t="e">
        <f>BS197/BS271</f>
        <v>#DIV/0!</v>
      </c>
      <c r="BT366" s="222" t="e">
        <f>BT197/BT271</f>
        <v>#DIV/0!</v>
      </c>
      <c r="BV366" s="222" t="e">
        <f>BV197/BV271</f>
        <v>#DIV/0!</v>
      </c>
      <c r="BW366" s="222" t="e">
        <f>BW197/BW271</f>
        <v>#DIV/0!</v>
      </c>
      <c r="BX366" s="222" t="e">
        <f>BX197/BX271</f>
        <v>#DIV/0!</v>
      </c>
      <c r="BY366" s="222" t="e">
        <f>BY197/BY271</f>
        <v>#DIV/0!</v>
      </c>
      <c r="CA366" s="222" t="e">
        <f>CA197/CA271</f>
        <v>#DIV/0!</v>
      </c>
      <c r="CB366" s="222" t="e">
        <f>CB197/CB271</f>
        <v>#DIV/0!</v>
      </c>
      <c r="CC366" s="222" t="e">
        <f>CC197/CC271</f>
        <v>#DIV/0!</v>
      </c>
      <c r="CD366" s="222" t="e">
        <f>CD197/CD271</f>
        <v>#DIV/0!</v>
      </c>
      <c r="CF366" s="222" t="e">
        <f>CF197/CF271</f>
        <v>#DIV/0!</v>
      </c>
      <c r="CG366" s="222" t="e">
        <f>CG197/CG271</f>
        <v>#DIV/0!</v>
      </c>
      <c r="CH366" s="222" t="e">
        <f>CH197/CH271</f>
        <v>#DIV/0!</v>
      </c>
      <c r="CI366" s="222" t="e">
        <f>CI197/CI271</f>
        <v>#DIV/0!</v>
      </c>
      <c r="CK366" s="222" t="e">
        <f>CK197/CK271</f>
        <v>#DIV/0!</v>
      </c>
      <c r="CL366" s="222" t="e">
        <f>CL197/CL271</f>
        <v>#DIV/0!</v>
      </c>
      <c r="CM366" s="222" t="e">
        <f>CM197/CM271</f>
        <v>#DIV/0!</v>
      </c>
      <c r="CN366" s="222" t="e">
        <f>CN197/CN271</f>
        <v>#DIV/0!</v>
      </c>
      <c r="CP366" s="222" t="e">
        <f>CP197/CP271</f>
        <v>#DIV/0!</v>
      </c>
      <c r="CQ366" s="222" t="e">
        <f>CQ197/CQ271</f>
        <v>#DIV/0!</v>
      </c>
      <c r="CR366" s="222" t="e">
        <f>CR197/CR271</f>
        <v>#DIV/0!</v>
      </c>
      <c r="CS366" s="222" t="e">
        <f>CS197/CS271</f>
        <v>#DIV/0!</v>
      </c>
      <c r="CU366" s="222" t="e">
        <f>CU197/CU271</f>
        <v>#DIV/0!</v>
      </c>
      <c r="CV366" s="222" t="e">
        <f>CV197/CV271</f>
        <v>#DIV/0!</v>
      </c>
      <c r="CW366" s="222" t="e">
        <f>CW197/CW271</f>
        <v>#DIV/0!</v>
      </c>
      <c r="CX366" s="222" t="e">
        <f>CX197/CX271</f>
        <v>#DIV/0!</v>
      </c>
    </row>
    <row r="367" customFormat="1" s="233">
      <c r="A367" s="224" t="n"/>
      <c r="B367" s="224" t="n"/>
      <c r="C367" s="233" t="inlineStr">
        <is>
          <t>ROE - DUPONT</t>
        </is>
      </c>
      <c r="D367" s="238">
        <f>PRODUCT(D364:D366)</f>
        <v>-0.0101756417400754</v>
      </c>
      <c r="E367" s="238">
        <f>PRODUCT(E364:E366)</f>
        <v>0.0802193211203562</v>
      </c>
      <c r="F367" s="238">
        <f>PRODUCT(F364:F366)</f>
        <v>3.00095964956717e-07</v>
      </c>
      <c r="G367" s="238">
        <f>PRODUCT(G364:G366)</f>
        <v>0.0138237061875658</v>
      </c>
      <c r="I367" s="222">
        <f>PRODUCT(I364:I366)</f>
        <v>0.0636835332614079</v>
      </c>
      <c r="J367" s="222">
        <f>PRODUCT(J364:J366)</f>
        <v>0.000818803419136376</v>
      </c>
      <c r="K367" s="222">
        <f>PRODUCT(K364:K366)</f>
        <v>0.000127015326407567</v>
      </c>
      <c r="L367" s="222">
        <f>PRODUCT(L364:L366)</f>
        <v>0.00606165256365597</v>
      </c>
      <c r="N367" s="222">
        <f>PRODUCT(N364:N366)</f>
        <v>0.01168634905606</v>
      </c>
      <c r="O367" s="222">
        <f>PRODUCT(O364:O366)</f>
        <v>0.00210666727708115</v>
      </c>
      <c r="P367" s="222">
        <f>PRODUCT(P364:P366)</f>
        <v>0.011385301805035</v>
      </c>
      <c r="Q367" s="222">
        <f>PRODUCT(Q364:Q366)</f>
        <v>0.0706397563171589</v>
      </c>
      <c r="S367" s="222">
        <f>PRODUCT(S364:S366)</f>
        <v>0.0185113971090584</v>
      </c>
      <c r="T367" s="222">
        <f>PRODUCT(T364:T366)</f>
        <v>0.000204642580404983</v>
      </c>
      <c r="U367" s="222">
        <f>PRODUCT(U364:U366)</f>
        <v>2.67888117607874e-05</v>
      </c>
      <c r="V367" s="222">
        <f>PRODUCT(V364:V366)</f>
        <v>0.0529516335390216</v>
      </c>
      <c r="X367" s="222">
        <f>PRODUCT(X364:X366)</f>
        <v>0.00394095137973009</v>
      </c>
      <c r="Y367" s="222">
        <f>PRODUCT(Y364:Y366)</f>
        <v>0.000445943699349559</v>
      </c>
      <c r="Z367" s="222">
        <f>PRODUCT(Z364:Z366)</f>
        <v>0.00629686519719367</v>
      </c>
      <c r="AA367" s="222">
        <f>PRODUCT(AA364:AA366)</f>
        <v>0.000551807447868695</v>
      </c>
      <c r="AC367" s="222">
        <f>PRODUCT(AC364:AC366)</f>
        <v>0.000190711345735934</v>
      </c>
      <c r="AD367" s="222">
        <f>PRODUCT(AD364:AD366)</f>
        <v>0.00143090730322517</v>
      </c>
      <c r="AE367" s="222">
        <f>PRODUCT(AE364:AE366)</f>
        <v>0.00126109534878246</v>
      </c>
      <c r="AF367" s="222">
        <f>PRODUCT(AF364:AF366)</f>
        <v>0.000911090733073573</v>
      </c>
      <c r="AH367" s="222">
        <f>PRODUCT(AH364:AH366)</f>
        <v>0.000677359107796852</v>
      </c>
      <c r="AI367" s="222">
        <f>PRODUCT(AI364:AI366)</f>
        <v>3.79822943695271e-05</v>
      </c>
      <c r="AJ367" s="222">
        <f>PRODUCT(AJ364:AJ366)</f>
        <v>0.000354107840223729</v>
      </c>
      <c r="AK367" s="222">
        <f>PRODUCT(AK364:AK366)</f>
        <v>0.000689171843269946</v>
      </c>
      <c r="AM367" s="222" t="e">
        <f>PRODUCT(AM364:AM366)</f>
        <v>#DIV/0!</v>
      </c>
      <c r="AN367" s="222" t="e">
        <f>PRODUCT(AN364:AN366)</f>
        <v>#DIV/0!</v>
      </c>
      <c r="AO367" s="222" t="e">
        <f>PRODUCT(AO364:AO366)</f>
        <v>#DIV/0!</v>
      </c>
      <c r="AP367" s="222" t="e">
        <f>PRODUCT(AP364:AP366)</f>
        <v>#DIV/0!</v>
      </c>
      <c r="AR367" s="222" t="e">
        <f>PRODUCT(AR364:AR366)</f>
        <v>#DIV/0!</v>
      </c>
      <c r="AS367" s="222" t="e">
        <f>PRODUCT(AS364:AS366)</f>
        <v>#DIV/0!</v>
      </c>
      <c r="AT367" s="222" t="e">
        <f>PRODUCT(AT364:AT366)</f>
        <v>#DIV/0!</v>
      </c>
      <c r="AU367" s="222" t="e">
        <f>PRODUCT(AU364:AU366)</f>
        <v>#DIV/0!</v>
      </c>
      <c r="AW367" s="222" t="e">
        <f>PRODUCT(AW364:AW366)</f>
        <v>#DIV/0!</v>
      </c>
      <c r="AX367" s="222" t="e">
        <f>PRODUCT(AX364:AX366)</f>
        <v>#DIV/0!</v>
      </c>
      <c r="AY367" s="222" t="e">
        <f>PRODUCT(AY364:AY366)</f>
        <v>#DIV/0!</v>
      </c>
      <c r="AZ367" s="222" t="e">
        <f>PRODUCT(AZ364:AZ366)</f>
        <v>#DIV/0!</v>
      </c>
      <c r="BB367" s="222" t="e">
        <f>PRODUCT(BB364:BB366)</f>
        <v>#DIV/0!</v>
      </c>
      <c r="BC367" s="222" t="e">
        <f>PRODUCT(BC364:BC366)</f>
        <v>#DIV/0!</v>
      </c>
      <c r="BD367" s="222" t="e">
        <f>PRODUCT(BD364:BD366)</f>
        <v>#DIV/0!</v>
      </c>
      <c r="BE367" s="222" t="e">
        <f>PRODUCT(BE364:BE366)</f>
        <v>#DIV/0!</v>
      </c>
      <c r="BG367" s="222" t="e">
        <f>PRODUCT(BG364:BG366)</f>
        <v>#DIV/0!</v>
      </c>
      <c r="BH367" s="222" t="e">
        <f>PRODUCT(BH364:BH366)</f>
        <v>#DIV/0!</v>
      </c>
      <c r="BI367" s="222" t="e">
        <f>PRODUCT(BI364:BI366)</f>
        <v>#DIV/0!</v>
      </c>
      <c r="BJ367" s="222" t="e">
        <f>PRODUCT(BJ364:BJ366)</f>
        <v>#DIV/0!</v>
      </c>
      <c r="BL367" s="222" t="e">
        <f>PRODUCT(BL364:BL366)</f>
        <v>#DIV/0!</v>
      </c>
      <c r="BM367" s="222" t="e">
        <f>PRODUCT(BM364:BM366)</f>
        <v>#DIV/0!</v>
      </c>
      <c r="BN367" s="222" t="e">
        <f>PRODUCT(BN364:BN366)</f>
        <v>#DIV/0!</v>
      </c>
      <c r="BO367" s="222" t="e">
        <f>PRODUCT(BO364:BO366)</f>
        <v>#DIV/0!</v>
      </c>
      <c r="BQ367" s="222" t="e">
        <f>PRODUCT(BQ364:BQ366)</f>
        <v>#DIV/0!</v>
      </c>
      <c r="BR367" s="222" t="e">
        <f>PRODUCT(BR364:BR366)</f>
        <v>#DIV/0!</v>
      </c>
      <c r="BS367" s="222" t="e">
        <f>PRODUCT(BS364:BS366)</f>
        <v>#DIV/0!</v>
      </c>
      <c r="BT367" s="222" t="e">
        <f>PRODUCT(BT364:BT366)</f>
        <v>#DIV/0!</v>
      </c>
      <c r="BV367" s="222" t="e">
        <f>PRODUCT(BV364:BV366)</f>
        <v>#DIV/0!</v>
      </c>
      <c r="BW367" s="222" t="e">
        <f>PRODUCT(BW364:BW366)</f>
        <v>#DIV/0!</v>
      </c>
      <c r="BX367" s="222" t="e">
        <f>PRODUCT(BX364:BX366)</f>
        <v>#DIV/0!</v>
      </c>
      <c r="BY367" s="222" t="e">
        <f>PRODUCT(BY364:BY366)</f>
        <v>#DIV/0!</v>
      </c>
      <c r="CA367" s="222" t="e">
        <f>PRODUCT(CA364:CA366)</f>
        <v>#DIV/0!</v>
      </c>
      <c r="CB367" s="222" t="e">
        <f>PRODUCT(CB364:CB366)</f>
        <v>#DIV/0!</v>
      </c>
      <c r="CC367" s="222" t="e">
        <f>PRODUCT(CC364:CC366)</f>
        <v>#DIV/0!</v>
      </c>
      <c r="CD367" s="222" t="e">
        <f>PRODUCT(CD364:CD366)</f>
        <v>#DIV/0!</v>
      </c>
      <c r="CF367" s="222" t="e">
        <f>PRODUCT(CF364:CF366)</f>
        <v>#DIV/0!</v>
      </c>
      <c r="CG367" s="222" t="e">
        <f>PRODUCT(CG364:CG366)</f>
        <v>#DIV/0!</v>
      </c>
      <c r="CH367" s="222" t="e">
        <f>PRODUCT(CH364:CH366)</f>
        <v>#DIV/0!</v>
      </c>
      <c r="CI367" s="222" t="e">
        <f>PRODUCT(CI364:CI366)</f>
        <v>#DIV/0!</v>
      </c>
      <c r="CK367" s="222" t="e">
        <f>PRODUCT(CK364:CK366)</f>
        <v>#DIV/0!</v>
      </c>
      <c r="CL367" s="222" t="e">
        <f>PRODUCT(CL364:CL366)</f>
        <v>#DIV/0!</v>
      </c>
      <c r="CM367" s="222" t="e">
        <f>PRODUCT(CM364:CM366)</f>
        <v>#DIV/0!</v>
      </c>
      <c r="CN367" s="222" t="e">
        <f>PRODUCT(CN364:CN366)</f>
        <v>#DIV/0!</v>
      </c>
      <c r="CP367" s="222" t="e">
        <f>PRODUCT(CP364:CP366)</f>
        <v>#DIV/0!</v>
      </c>
      <c r="CQ367" s="222" t="e">
        <f>PRODUCT(CQ364:CQ366)</f>
        <v>#DIV/0!</v>
      </c>
      <c r="CR367" s="222" t="e">
        <f>PRODUCT(CR364:CR366)</f>
        <v>#DIV/0!</v>
      </c>
      <c r="CS367" s="222" t="e">
        <f>PRODUCT(CS364:CS366)</f>
        <v>#DIV/0!</v>
      </c>
      <c r="CU367" s="222" t="e">
        <f>PRODUCT(CU364:CU366)</f>
        <v>#DIV/0!</v>
      </c>
      <c r="CV367" s="222" t="e">
        <f>PRODUCT(CV364:CV366)</f>
        <v>#DIV/0!</v>
      </c>
      <c r="CW367" s="222" t="e">
        <f>PRODUCT(CW364:CW366)</f>
        <v>#DIV/0!</v>
      </c>
      <c r="CX367" s="222" t="e">
        <f>PRODUCT(CX364:CX366)</f>
        <v>#DIV/0!</v>
      </c>
    </row>
    <row r="368" customFormat="1" s="233">
      <c r="A368" s="224" t="n"/>
      <c r="B368" s="224" t="n"/>
      <c r="C368" s="233" t="inlineStr">
        <is>
          <t>ROE</t>
        </is>
      </c>
      <c r="D368" s="238">
        <f>D137/D271</f>
        <v>0.0930325507036231</v>
      </c>
      <c r="E368" s="238">
        <f>E137/E271</f>
        <v>0.328753997921755</v>
      </c>
      <c r="F368" s="238">
        <f>F137/F271</f>
        <v>0.000623209928927608</v>
      </c>
      <c r="G368" s="238">
        <f>G137/G271</f>
        <v>-0.131204216328603</v>
      </c>
      <c r="I368" s="222">
        <f>I137/I271</f>
        <v>-0.119802262865902</v>
      </c>
      <c r="J368" s="222">
        <f>J137/J271</f>
        <v>0.0140255835352972</v>
      </c>
      <c r="K368" s="222">
        <f>K137/K271</f>
        <v>-0.00574335924087771</v>
      </c>
      <c r="L368" s="222">
        <f>L137/L271</f>
        <v>-0.0504909139635043</v>
      </c>
      <c r="N368" s="222">
        <f>N137/N271</f>
        <v>-0.057556443710558</v>
      </c>
      <c r="O368" s="222">
        <f>O137/O271</f>
        <v>-0.0265070486161859</v>
      </c>
      <c r="P368" s="222">
        <f>P137/P271</f>
        <v>-0.0722001625449902</v>
      </c>
      <c r="Q368" s="222">
        <f>Q137/Q271</f>
        <v>-0.147550935822669</v>
      </c>
      <c r="S368" s="222">
        <f>S137/S271</f>
        <v>-0.0775582895982105</v>
      </c>
      <c r="T368" s="222">
        <f>T137/T271</f>
        <v>-0.00779958888941068</v>
      </c>
      <c r="U368" s="222">
        <f>U137/U271</f>
        <v>0.0027874113216185</v>
      </c>
      <c r="V368" s="222">
        <f>V137/V271</f>
        <v>0.118838076640527</v>
      </c>
      <c r="X368" s="222">
        <f>X137/X271</f>
        <v>0.0322684969371268</v>
      </c>
      <c r="Y368" s="222">
        <f>Y137/Y271</f>
        <v>0.0108901720093146</v>
      </c>
      <c r="Z368" s="222">
        <f>Z137/Z271</f>
        <v>0.0422927786141144</v>
      </c>
      <c r="AA368" s="222">
        <f>AA137/AA271</f>
        <v>-0.0120566994441971</v>
      </c>
      <c r="AC368" s="222">
        <f>AC137/AC271</f>
        <v>-0.00726404493090999</v>
      </c>
      <c r="AD368" s="222">
        <f>AD137/AD271</f>
        <v>0.0158524919178617</v>
      </c>
      <c r="AE368" s="222">
        <f>AE137/AE271</f>
        <v>0.0152194627179367</v>
      </c>
      <c r="AF368" s="222">
        <f>AF137/AF271</f>
        <v>0.0124578106863912</v>
      </c>
      <c r="AH368" s="222">
        <f>AH137/AH271</f>
        <v>0.0119387427583555</v>
      </c>
      <c r="AI368" s="222">
        <f>AI137/AI271</f>
        <v>-0.00212225175347077</v>
      </c>
      <c r="AJ368" s="222">
        <f>AJ137/AJ271</f>
        <v>0.004341768104654</v>
      </c>
      <c r="AK368" s="222">
        <f>AK137/AK271</f>
        <v>0.00585441668454189</v>
      </c>
      <c r="AM368" s="222">
        <f>AM137/AM271</f>
        <v>0.00577100417641166</v>
      </c>
      <c r="AN368" s="222">
        <f>AN137/AN271</f>
        <v>0.018358225744646</v>
      </c>
      <c r="AO368" s="222">
        <f>AO137/AO271</f>
        <v>0.00584003783850278</v>
      </c>
      <c r="AP368" s="222">
        <f>AP137/AP271</f>
        <v>0.0210087088339925</v>
      </c>
      <c r="AR368" s="222">
        <f>AR137/AR271</f>
        <v>0.0205212746522371</v>
      </c>
      <c r="AS368" s="222">
        <f>AS137/AS271</f>
        <v>0.0483586721471137</v>
      </c>
      <c r="AT368" s="222">
        <f>AT137/AT271</f>
        <v>0.0192866461484302</v>
      </c>
      <c r="AU368" s="222">
        <f>AU137/AU271</f>
        <v>0.0478402963040503</v>
      </c>
      <c r="AW368" s="222">
        <f>AW137/AW271</f>
        <v>0.045596313988744</v>
      </c>
      <c r="AX368" s="222">
        <f>AX137/AX271</f>
        <v>0.110970040609815</v>
      </c>
      <c r="AY368" s="222">
        <f>AY137/AY271</f>
        <v>0.0389941739729103</v>
      </c>
      <c r="AZ368" s="222">
        <f>AZ137/AZ271</f>
        <v>0.0980912140243172</v>
      </c>
      <c r="BB368" s="222">
        <f>BB137/BB271</f>
        <v>0.0892709431031347</v>
      </c>
      <c r="BC368" s="222">
        <f>BC137/BC271</f>
        <v>0.194436086428142</v>
      </c>
      <c r="BD368" s="222">
        <f>BD137/BD271</f>
        <v>0.0670468828049176</v>
      </c>
      <c r="BE368" s="222">
        <f>BE137/BE271</f>
        <v>0.15444353852956</v>
      </c>
      <c r="BG368" s="222">
        <f>BG137/BG271</f>
        <v>0.133741013319138</v>
      </c>
      <c r="BH368" s="222">
        <f>BH137/BH271</f>
        <v>0.267334832599104</v>
      </c>
      <c r="BI368" s="222">
        <f>BI137/BI271</f>
        <v>0.0891924940239804</v>
      </c>
      <c r="BJ368" s="222">
        <f>BJ137/BJ271</f>
        <v>0.19619422229548</v>
      </c>
      <c r="BL368" s="222">
        <f>BL137/BL271</f>
        <v>0.163994349202854</v>
      </c>
      <c r="BM368" s="222">
        <f>BM137/BM271</f>
        <v>0.309129370722944</v>
      </c>
      <c r="BN368" s="222">
        <f>BN137/BN271</f>
        <v>0.101739654243805</v>
      </c>
      <c r="BO368" s="222">
        <f>BO137/BO271</f>
        <v>0.21747848118031</v>
      </c>
      <c r="BQ368" s="222">
        <f>BQ137/BQ271</f>
        <v>0.178621343790736</v>
      </c>
      <c r="BR368" s="222">
        <f>BR137/BR271</f>
        <v>0.327891642794446</v>
      </c>
      <c r="BS368" s="222">
        <f>BS137/BS271</f>
        <v>0.107172401462792</v>
      </c>
      <c r="BT368" s="222">
        <f>BT137/BT271</f>
        <v>0.226510867902334</v>
      </c>
      <c r="BV368" s="222">
        <f>BV137/BV271</f>
        <v>0.184675603885485</v>
      </c>
      <c r="BW368" s="222">
        <f>BW137/BW271</f>
        <v>0.335309582001007</v>
      </c>
      <c r="BX368" s="222">
        <f>BX137/BX271</f>
        <v>0.10932650431318</v>
      </c>
      <c r="BY368" s="222">
        <f>BY137/BY271</f>
        <v>0.229990742374892</v>
      </c>
      <c r="CA368" s="222">
        <f>CA137/CA271</f>
        <v>0.186984460147242</v>
      </c>
      <c r="CB368" s="222">
        <f>CB137/CB271</f>
        <v>0.338110935410761</v>
      </c>
      <c r="CC368" s="222">
        <f>CC137/CC271</f>
        <v>0.110130777210039</v>
      </c>
      <c r="CD368" s="222">
        <f>CD137/CD271</f>
        <v>0.231293816708857</v>
      </c>
      <c r="CF368" s="222">
        <f>CF137/CF271</f>
        <v>0.187845684984421</v>
      </c>
      <c r="CG368" s="222">
        <f>CG137/CG271</f>
        <v>0.339145865807055</v>
      </c>
      <c r="CH368" s="222">
        <f>CH137/CH271</f>
        <v>0.110429291615696</v>
      </c>
      <c r="CI368" s="222">
        <f>CI137/CI271</f>
        <v>0.231773164243515</v>
      </c>
      <c r="CK368" s="222">
        <f>CK137/CK271</f>
        <v>0.188162037998425</v>
      </c>
      <c r="CL368" s="222">
        <f>CL137/CL271</f>
        <v>0.339526300912757</v>
      </c>
      <c r="CM368" s="222">
        <f>CM137/CM271</f>
        <v>0.110538503420591</v>
      </c>
      <c r="CN368" s="222">
        <f>CN137/CN271</f>
        <v>0.231949234571542</v>
      </c>
      <c r="CP368" s="222">
        <f>CP137/CP271</f>
        <v>0.188278176696692</v>
      </c>
      <c r="CQ368" s="222">
        <f>CQ137/CQ271</f>
        <v>0.339665567963985</v>
      </c>
      <c r="CR368" s="222">
        <f>CR137/CR271</f>
        <v>0.11057860192845</v>
      </c>
      <c r="CS368" s="222">
        <f>CS137/CS271</f>
        <v>0.232013632290897</v>
      </c>
      <c r="CU368" s="222">
        <f>CU137/CU271</f>
        <v>0.18832064623018</v>
      </c>
      <c r="CV368" s="222">
        <f>CV137/CV271</f>
        <v>0.339716558213034</v>
      </c>
      <c r="CW368" s="222">
        <f>CW137/CW271</f>
        <v>0.110593248585649</v>
      </c>
      <c r="CX368" s="222">
        <f>CX137/CX271</f>
        <v>0.232037212998836</v>
      </c>
    </row>
    <row r="370">
      <c r="C370" s="53" t="inlineStr">
        <is>
          <t>Scenario Analysis</t>
        </is>
      </c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  <c r="AA370" s="53" t="n"/>
      <c r="AB370" s="53" t="n"/>
      <c r="AC370" s="53" t="n"/>
      <c r="AD370" s="53" t="n"/>
      <c r="AE370" s="53" t="n"/>
      <c r="AF370" s="53" t="n"/>
      <c r="AG370" s="53" t="n"/>
      <c r="AH370" s="53" t="n"/>
      <c r="AI370" s="53" t="n"/>
      <c r="AJ370" s="53" t="n"/>
      <c r="AK370" s="53" t="n"/>
      <c r="AL370" s="53" t="n"/>
      <c r="AM370" s="53" t="n"/>
      <c r="AN370" s="53" t="n"/>
      <c r="AO370" s="53" t="n"/>
      <c r="AP370" s="53" t="n"/>
      <c r="AQ370" s="53" t="n"/>
      <c r="AR370" s="53" t="n"/>
      <c r="AS370" s="53" t="n"/>
      <c r="AT370" s="53" t="n"/>
      <c r="AU370" s="53" t="n"/>
      <c r="AV370" s="53" t="n"/>
      <c r="AW370" s="53" t="n"/>
      <c r="AX370" s="53" t="n"/>
      <c r="AY370" s="53" t="n"/>
      <c r="AZ370" s="53" t="n"/>
      <c r="BA370" s="53" t="n"/>
      <c r="BB370" s="53" t="n"/>
      <c r="BC370" s="53" t="n"/>
      <c r="BD370" s="53" t="n"/>
      <c r="BE370" s="53" t="n"/>
      <c r="BF370" s="53" t="n"/>
      <c r="BG370" s="53" t="n"/>
      <c r="BH370" s="53" t="n"/>
      <c r="BI370" s="53" t="n"/>
      <c r="BJ370" s="53" t="n"/>
      <c r="BK370" s="53" t="n"/>
      <c r="BL370" s="53" t="n"/>
      <c r="BM370" s="53" t="n"/>
      <c r="BN370" s="53" t="n"/>
      <c r="BO370" s="53" t="n"/>
      <c r="BP370" s="53" t="n"/>
      <c r="BQ370" s="53" t="n"/>
      <c r="BR370" s="53" t="n"/>
      <c r="BS370" s="53" t="n"/>
      <c r="BT370" s="53" t="n"/>
      <c r="BU370" s="53" t="n"/>
      <c r="BV370" s="53" t="n"/>
      <c r="BW370" s="53" t="n"/>
      <c r="BX370" s="53" t="n"/>
      <c r="BY370" s="53" t="n"/>
      <c r="BZ370" s="53" t="n"/>
      <c r="CA370" s="53" t="n"/>
      <c r="CB370" s="53" t="n"/>
      <c r="CC370" s="53" t="n"/>
      <c r="CD370" s="53" t="n"/>
      <c r="CE370" s="53" t="n"/>
      <c r="CF370" s="53" t="n"/>
      <c r="CG370" s="53" t="n"/>
      <c r="CH370" s="53" t="n"/>
      <c r="CI370" s="53" t="n"/>
      <c r="CJ370" s="53" t="n"/>
      <c r="CK370" s="53" t="n"/>
      <c r="CL370" s="53" t="n"/>
      <c r="CM370" s="53" t="n"/>
      <c r="CN370" s="53" t="n"/>
      <c r="CO370" s="53" t="n"/>
      <c r="CP370" s="53" t="n"/>
      <c r="CQ370" s="53" t="n"/>
      <c r="CR370" s="53" t="n"/>
      <c r="CS370" s="53" t="n"/>
      <c r="CT370" s="53" t="n"/>
      <c r="CU370" s="53" t="n"/>
      <c r="CV370" s="53" t="n"/>
      <c r="CW370" s="53" t="n"/>
      <c r="CX370" s="53" t="n"/>
      <c r="CY370" s="53" t="n"/>
    </row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5:G315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5:L315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5:Q315">
    <cfRule type="cellIs" priority="44" operator="notEqual" dxfId="0">
      <formula>0</formula>
    </cfRule>
  </conditionalFormatting>
  <conditionalFormatting sqref="S315:V315">
    <cfRule type="cellIs" priority="43" operator="notEqual" dxfId="0">
      <formula>0</formula>
    </cfRule>
  </conditionalFormatting>
  <conditionalFormatting sqref="X315:AA315">
    <cfRule type="cellIs" priority="42" operator="notEqual" dxfId="0">
      <formula>0</formula>
    </cfRule>
  </conditionalFormatting>
  <conditionalFormatting sqref="AC315:AF315">
    <cfRule type="cellIs" priority="41" operator="notEqual" dxfId="0">
      <formula>0</formula>
    </cfRule>
  </conditionalFormatting>
  <conditionalFormatting sqref="AH315:AK315">
    <cfRule type="cellIs" priority="14" operator="notEqual" dxfId="0">
      <formula>0</formula>
    </cfRule>
  </conditionalFormatting>
  <conditionalFormatting sqref="AM315:AP315">
    <cfRule type="cellIs" priority="13" operator="notEqual" dxfId="0">
      <formula>0</formula>
    </cfRule>
  </conditionalFormatting>
  <conditionalFormatting sqref="AR315:AU315">
    <cfRule type="cellIs" priority="12" operator="notEqual" dxfId="0">
      <formula>0</formula>
    </cfRule>
  </conditionalFormatting>
  <conditionalFormatting sqref="AW315:AZ315">
    <cfRule type="cellIs" priority="11" operator="notEqual" dxfId="0">
      <formula>0</formula>
    </cfRule>
  </conditionalFormatting>
  <conditionalFormatting sqref="BB315:BE315">
    <cfRule type="cellIs" priority="10" operator="notEqual" dxfId="0">
      <formula>0</formula>
    </cfRule>
  </conditionalFormatting>
  <conditionalFormatting sqref="BG315:BJ315">
    <cfRule type="cellIs" priority="9" operator="notEqual" dxfId="0">
      <formula>0</formula>
    </cfRule>
  </conditionalFormatting>
  <conditionalFormatting sqref="BL315:BO315">
    <cfRule type="cellIs" priority="8" operator="notEqual" dxfId="0">
      <formula>0</formula>
    </cfRule>
  </conditionalFormatting>
  <conditionalFormatting sqref="BQ315:BT315">
    <cfRule type="cellIs" priority="7" operator="notEqual" dxfId="0">
      <formula>0</formula>
    </cfRule>
  </conditionalFormatting>
  <conditionalFormatting sqref="BV315:BY315">
    <cfRule type="cellIs" priority="6" operator="notEqual" dxfId="0">
      <formula>0</formula>
    </cfRule>
  </conditionalFormatting>
  <conditionalFormatting sqref="CA315:CD315">
    <cfRule type="cellIs" priority="5" operator="notEqual" dxfId="0">
      <formula>0</formula>
    </cfRule>
  </conditionalFormatting>
  <conditionalFormatting sqref="CF315:CI315">
    <cfRule type="cellIs" priority="4" operator="notEqual" dxfId="0">
      <formula>0</formula>
    </cfRule>
  </conditionalFormatting>
  <conditionalFormatting sqref="CK315:CN315">
    <cfRule type="cellIs" priority="3" operator="notEqual" dxfId="0">
      <formula>0</formula>
    </cfRule>
  </conditionalFormatting>
  <conditionalFormatting sqref="CP315:CS315">
    <cfRule type="cellIs" priority="2" operator="notEqual" dxfId="0">
      <formula>0</formula>
    </cfRule>
  </conditionalFormatting>
  <conditionalFormatting sqref="CU315:CX315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776.276</v>
      </c>
      <c r="E18" s="83">
        <f>Model!AB15</f>
        <v>903.473</v>
      </c>
      <c r="F18" s="83">
        <f>Model!AG15</f>
        <v>1050.34</v>
      </c>
      <c r="G18" s="83">
        <f>Model!AL15</f>
        <v>1499.271</v>
      </c>
      <c r="H18" s="83">
        <f>Model!AQ15</f>
        <v>1499.271</v>
      </c>
      <c r="I18" s="83">
        <f>Model!AV15</f>
        <v>1499.271</v>
      </c>
      <c r="J18" s="83">
        <f>Model!BA15</f>
        <v>1499.271</v>
      </c>
      <c r="K18" s="83">
        <f>Model!BF15</f>
        <v>1499.271</v>
      </c>
      <c r="L18" s="83">
        <f>Model!BK15</f>
        <v>1499.271</v>
      </c>
      <c r="M18" s="83">
        <f>Model!BP15</f>
        <v>1499.271</v>
      </c>
      <c r="N18" s="83">
        <f>Model!BU15</f>
        <v>1499.271</v>
      </c>
      <c r="O18" s="83">
        <f>Model!BZ15</f>
        <v>1499.271</v>
      </c>
      <c r="P18" s="83">
        <f>Model!CE15</f>
        <v>1499.271</v>
      </c>
      <c r="Q18" s="83">
        <f>Model!CJ15</f>
        <v>1499.271</v>
      </c>
      <c r="R18" s="83">
        <f>Model!CO15</f>
        <v>1499.271</v>
      </c>
      <c r="S18" s="83" t="n"/>
      <c r="T18" s="83" t="n"/>
      <c r="U18" s="83" t="n"/>
      <c r="V18" s="84" t="n"/>
      <c r="X18" s="85">
        <f>((L18/F18)^(1/6))-1</f>
        <v>0.0611050284426447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0.163855381333443</v>
      </c>
      <c r="F19" s="87">
        <f>F18/E18-1</f>
        <v>0.162558261287277</v>
      </c>
      <c r="G19" s="87">
        <f>G18/F18-1</f>
        <v>0.427414932307634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Model!W69</f>
        <v>344.32</v>
      </c>
      <c r="E20" s="83">
        <f>Model!AB69</f>
        <v>414.398</v>
      </c>
      <c r="F20" s="83">
        <f>Model!AG69</f>
        <v>484.314</v>
      </c>
      <c r="G20" s="83">
        <f>Model!AL69</f>
        <v>292.787</v>
      </c>
      <c r="H20" s="83">
        <f>Model!AQ69</f>
        <v>0</v>
      </c>
      <c r="I20" s="83">
        <f>Model!BA69</f>
        <v>0</v>
      </c>
      <c r="J20" s="83">
        <f>Model!BA69</f>
        <v>0</v>
      </c>
      <c r="K20" s="83">
        <f>Model!BF69</f>
        <v>0</v>
      </c>
      <c r="L20" s="83">
        <f>Model!BK69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0.443553581458141</v>
      </c>
      <c r="E21" s="92">
        <f>E20/E18</f>
        <v>0.458672256946251</v>
      </c>
      <c r="F21" s="92">
        <f>F20/F18</f>
        <v>0.461102119313746</v>
      </c>
      <c r="G21" s="92">
        <f>G20/G18</f>
        <v>0.195286242447163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Model!W73</f>
        <v>178.66</v>
      </c>
      <c r="E22" s="83">
        <f>Model!AB73</f>
        <v>258.431</v>
      </c>
      <c r="F22" s="83">
        <f>Model!AG73</f>
        <v>303.136</v>
      </c>
      <c r="G22" s="83">
        <f>Model!AL73</f>
        <v>183.506</v>
      </c>
      <c r="H22" s="83">
        <f>Model!AQ73</f>
        <v>0</v>
      </c>
      <c r="I22" s="83">
        <f>Model!AV73</f>
        <v>0</v>
      </c>
      <c r="J22" s="83">
        <f>Model!BA73</f>
        <v>0</v>
      </c>
      <c r="K22" s="83">
        <f>Model!BF73</f>
        <v>0</v>
      </c>
      <c r="L22" s="83">
        <f>Model!BK73</f>
        <v>0</v>
      </c>
      <c r="M22" s="83">
        <f>Model!BP73</f>
        <v>0</v>
      </c>
      <c r="N22" s="83">
        <f>Model!BU73</f>
        <v>0</v>
      </c>
      <c r="O22" s="83">
        <f>Model!BZ73</f>
        <v>0</v>
      </c>
      <c r="P22" s="83">
        <f>Model!CE73</f>
        <v>0</v>
      </c>
      <c r="Q22" s="83">
        <f>Model!CJ73</f>
        <v>0</v>
      </c>
      <c r="R22" s="83">
        <f>Model!CO73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0.230150101252647</v>
      </c>
      <c r="E23" s="92">
        <f>E22/E18</f>
        <v>0.28604175221617</v>
      </c>
      <c r="F23" s="92">
        <f>F22/F18</f>
        <v>0.288607498524287</v>
      </c>
      <c r="G23" s="92">
        <f>G22/G18</f>
        <v>0.122396818186972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Model!W132</f>
        <v>0.346648623362737</v>
      </c>
      <c r="E24" s="95">
        <f>Model!AB132</f>
        <v>0.317952110972953</v>
      </c>
      <c r="F24" s="95">
        <f>Model!AG132</f>
        <v>0.254369600461945</v>
      </c>
      <c r="G24" s="95">
        <f>Model!AL132</f>
        <v>0.319181589346032</v>
      </c>
      <c r="H24" s="95">
        <f>Model!AQ132</f>
        <v>0</v>
      </c>
      <c r="I24" s="95">
        <f>Model!AV132</f>
        <v>0</v>
      </c>
      <c r="J24" s="95">
        <f>Model!BA132</f>
        <v>0</v>
      </c>
      <c r="K24" s="95">
        <f>Model!BF132</f>
        <v>0</v>
      </c>
      <c r="L24" s="95">
        <f>Model!BK132</f>
        <v>0</v>
      </c>
      <c r="M24" s="95">
        <f>Model!BP132</f>
        <v>0</v>
      </c>
      <c r="N24" s="95">
        <f>Model!BU132</f>
        <v>0</v>
      </c>
      <c r="O24" s="95">
        <f>Model!BZ132</f>
        <v>0</v>
      </c>
      <c r="P24" s="95">
        <f>Model!CE132</f>
        <v>0</v>
      </c>
      <c r="Q24" s="95">
        <f>Model!CJ132</f>
        <v>0</v>
      </c>
      <c r="R24" s="95">
        <f>Model!CO132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116.727756950013</v>
      </c>
      <c r="E25" s="97">
        <f>E22*(1-E24)</f>
        <v>176.262318009149</v>
      </c>
      <c r="F25" s="97">
        <f>F22*(1-F24)</f>
        <v>226.027416794368</v>
      </c>
      <c r="G25" s="97">
        <f>G22*(1-G24)</f>
        <v>124.934263265467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Model!W70</f>
        <v>-165.66</v>
      </c>
      <c r="E26" s="100">
        <f>Model!AB70</f>
        <v>-155.967</v>
      </c>
      <c r="F26" s="100">
        <f>Model!AG70</f>
        <v>-181.178</v>
      </c>
      <c r="G26" s="100">
        <f>Model!AL70</f>
        <v>-109.281</v>
      </c>
      <c r="H26" s="100">
        <f>Model!AQ70</f>
        <v>0</v>
      </c>
      <c r="I26" s="100">
        <f>Model!AV70</f>
        <v>0</v>
      </c>
      <c r="J26" s="100">
        <f>Model!BA70</f>
        <v>0</v>
      </c>
      <c r="K26" s="100">
        <f>Model!BF70</f>
        <v>0</v>
      </c>
      <c r="L26" s="101">
        <f>Model!BK70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-58.578</v>
      </c>
      <c r="E27" s="103">
        <f>SUM(E28:E39)</f>
        <v>44.509</v>
      </c>
      <c r="F27" s="103">
        <f>SUM(F28:F39)</f>
        <v>-50.198</v>
      </c>
      <c r="G27" s="103">
        <f>SUM(G28:G39)</f>
        <v>-11.9550000000002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Model!W280</f>
        <v>74.729</v>
      </c>
      <c r="E28" s="106">
        <f>Model!AB280</f>
        <v>-10.12</v>
      </c>
      <c r="F28" s="106">
        <f>Model!AG280</f>
        <v>-87.406</v>
      </c>
      <c r="G28" s="106">
        <f>Model!AL280</f>
        <v>281.694</v>
      </c>
      <c r="H28" s="106">
        <f>Model!AQ280</f>
        <v>0</v>
      </c>
      <c r="I28" s="106">
        <f>Model!AV280</f>
        <v>0</v>
      </c>
      <c r="J28" s="106">
        <f>Model!BA280</f>
        <v>0</v>
      </c>
      <c r="K28" s="106">
        <f>Model!BF280</f>
        <v>0</v>
      </c>
      <c r="L28" s="107">
        <f>Model!BK280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Model!W281</f>
        <v>0</v>
      </c>
      <c r="E29" s="106">
        <f>Model!AB281</f>
        <v>0</v>
      </c>
      <c r="F29" s="106">
        <f>Model!AG281</f>
        <v>0</v>
      </c>
      <c r="G29" s="106">
        <f>Model!AL281</f>
        <v>0</v>
      </c>
      <c r="H29" s="106">
        <f>Model!AQ281</f>
        <v>0</v>
      </c>
      <c r="I29" s="106">
        <f>Model!AV281</f>
        <v>0</v>
      </c>
      <c r="J29" s="106">
        <f>Model!BA281</f>
        <v>0</v>
      </c>
      <c r="K29" s="106">
        <f>Model!BF281</f>
        <v>0</v>
      </c>
      <c r="L29" s="107">
        <f>Model!BK281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Model!W282</f>
        <v>-23.197</v>
      </c>
      <c r="E30" s="106">
        <f>Model!AB282</f>
        <v>-3.68599999999999</v>
      </c>
      <c r="F30" s="106">
        <f>Model!AG282</f>
        <v>-2.352</v>
      </c>
      <c r="G30" s="106">
        <f>Model!AL282</f>
        <v>-3.02</v>
      </c>
      <c r="H30" s="106">
        <f>Model!AQ282</f>
        <v>0</v>
      </c>
      <c r="I30" s="106">
        <f>Model!AV282</f>
        <v>0</v>
      </c>
      <c r="J30" s="106">
        <f>Model!BA282</f>
        <v>0</v>
      </c>
      <c r="K30" s="106">
        <f>Model!BF282</f>
        <v>0</v>
      </c>
      <c r="L30" s="107">
        <f>Model!BK282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Model!W283</f>
        <v>11.218</v>
      </c>
      <c r="E31" s="106">
        <f>Model!AB283</f>
        <v>-9.31800000000001</v>
      </c>
      <c r="F31" s="106">
        <f>Model!AG283</f>
        <v>-9.30799999999999</v>
      </c>
      <c r="G31" s="106">
        <f>Model!AL283</f>
        <v>-127.134</v>
      </c>
      <c r="H31" s="106">
        <f>Model!AQ283</f>
        <v>0</v>
      </c>
      <c r="I31" s="106">
        <f>Model!AV283</f>
        <v>0</v>
      </c>
      <c r="J31" s="106">
        <f>Model!BA283</f>
        <v>0</v>
      </c>
      <c r="K31" s="106">
        <f>Model!BF283</f>
        <v>0</v>
      </c>
      <c r="L31" s="107">
        <f>Model!BK283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Model!W284</f>
        <v>-16.135</v>
      </c>
      <c r="E32" s="106">
        <f>Model!AB284</f>
        <v>-20.885</v>
      </c>
      <c r="F32" s="106">
        <f>Model!AG284</f>
        <v>-16.239</v>
      </c>
      <c r="G32" s="106">
        <f>Model!AL284</f>
        <v>-163.651</v>
      </c>
      <c r="H32" s="106">
        <f>Model!AQ284</f>
        <v>0</v>
      </c>
      <c r="I32" s="106">
        <f>Model!AV284</f>
        <v>0</v>
      </c>
      <c r="J32" s="106">
        <f>Model!BA284</f>
        <v>0</v>
      </c>
      <c r="K32" s="106">
        <f>Model!BF284</f>
        <v>0</v>
      </c>
      <c r="L32" s="107">
        <f>Model!BK284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Model!W285</f>
        <v>-6.288</v>
      </c>
      <c r="E33" s="106">
        <f>Model!AB285</f>
        <v>47.19</v>
      </c>
      <c r="F33" s="106">
        <f>Model!AG285</f>
        <v>39.065</v>
      </c>
      <c r="G33" s="106">
        <f>Model!AL285</f>
        <v>-145.788</v>
      </c>
      <c r="H33" s="106">
        <f>Model!AQ285</f>
        <v>0</v>
      </c>
      <c r="I33" s="106">
        <f>Model!AV285</f>
        <v>0</v>
      </c>
      <c r="J33" s="106">
        <f>Model!BA285</f>
        <v>0</v>
      </c>
      <c r="K33" s="106">
        <f>Model!BF285</f>
        <v>0</v>
      </c>
      <c r="L33" s="107">
        <f>Model!BK285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Model!W286</f>
        <v>0.399000000000001</v>
      </c>
      <c r="E34" s="106">
        <f>Model!AB286</f>
        <v>6.845</v>
      </c>
      <c r="F34" s="106">
        <f>Model!AG286</f>
        <v>-0.199000000000002</v>
      </c>
      <c r="G34" s="106">
        <f>Model!AL286</f>
        <v>-31.894</v>
      </c>
      <c r="H34" s="106" t="e">
        <f>Model!AQ286</f>
        <v>#DIV/0!</v>
      </c>
      <c r="I34" s="106" t="e">
        <f>Model!AV286</f>
        <v>#DIV/0!</v>
      </c>
      <c r="J34" s="106" t="e">
        <f>Model!BA286</f>
        <v>#DIV/0!</v>
      </c>
      <c r="K34" s="106" t="e">
        <f>Model!BF286</f>
        <v>#DIV/0!</v>
      </c>
      <c r="L34" s="107" t="e">
        <f>Model!BK286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Model!W287</f>
        <v>-10.446</v>
      </c>
      <c r="E35" s="106">
        <f>Model!AB287</f>
        <v>11.318</v>
      </c>
      <c r="F35" s="106">
        <f>Model!AG287</f>
        <v>-9.752</v>
      </c>
      <c r="G35" s="106">
        <f>Model!AL287</f>
        <v>-57.697</v>
      </c>
      <c r="H35" s="106" t="e">
        <f>Model!AQ287</f>
        <v>#DIV/0!</v>
      </c>
      <c r="I35" s="106" t="e">
        <f>Model!AV287</f>
        <v>#DIV/0!</v>
      </c>
      <c r="J35" s="106" t="e">
        <f>Model!BA287</f>
        <v>#DIV/0!</v>
      </c>
      <c r="K35" s="106" t="e">
        <f>Model!BF287</f>
        <v>#DIV/0!</v>
      </c>
      <c r="L35" s="107" t="e">
        <f>Model!BK287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Model!W288</f>
        <v>-69.929</v>
      </c>
      <c r="E36" s="106">
        <f>Model!AB288</f>
        <v>-12.327</v>
      </c>
      <c r="F36" s="106">
        <f>Model!AG288</f>
        <v>75.816</v>
      </c>
      <c r="G36" s="106">
        <f>Model!AL288</f>
        <v>26.27</v>
      </c>
      <c r="H36" s="106">
        <f>Model!AQ288</f>
        <v>0</v>
      </c>
      <c r="I36" s="106">
        <f>Model!AV288</f>
        <v>0</v>
      </c>
      <c r="J36" s="106">
        <f>Model!BA288</f>
        <v>0</v>
      </c>
      <c r="K36" s="106">
        <f>Model!BF288</f>
        <v>0</v>
      </c>
      <c r="L36" s="107">
        <f>Model!BK288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Model!W289</f>
        <v>0</v>
      </c>
      <c r="E37" s="106">
        <f>Model!AB289</f>
        <v>-0.459</v>
      </c>
      <c r="F37" s="106">
        <f>Model!AG289</f>
        <v>-0.952</v>
      </c>
      <c r="G37" s="106">
        <f>Model!AL289</f>
        <v>594.558</v>
      </c>
      <c r="H37" s="106">
        <f>Model!AQ289</f>
        <v>0</v>
      </c>
      <c r="I37" s="106">
        <f>Model!AV289</f>
        <v>0</v>
      </c>
      <c r="J37" s="106">
        <f>Model!BA289</f>
        <v>0</v>
      </c>
      <c r="K37" s="106">
        <f>Model!BF289</f>
        <v>0</v>
      </c>
      <c r="L37" s="107">
        <f>Model!BK289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(Model!W189-Model!R189)*-1</f>
        <v>-24.505</v>
      </c>
      <c r="E38" s="106">
        <f>(Model!AB189-Model!W189)*-1</f>
        <v>-56.834</v>
      </c>
      <c r="F38" s="106">
        <f>(Model!AG189-Model!AB189)*-1</f>
        <v>34.616</v>
      </c>
      <c r="G38" s="106">
        <f>(Model!AL189-Model!AG189)*-1</f>
        <v>-979.717</v>
      </c>
      <c r="H38" s="106">
        <f>(Model!AQ189-Model!AL189)*-1</f>
        <v>0</v>
      </c>
      <c r="I38" s="106">
        <f>(Model!AV189-Model!AQ189)*-1</f>
        <v>0</v>
      </c>
      <c r="J38" s="106">
        <f>(Model!BA189-Model!AV189)*-1</f>
        <v>0</v>
      </c>
      <c r="K38" s="106">
        <f>(Model!BF189-Model!BA189)*-1</f>
        <v>0</v>
      </c>
      <c r="L38" s="107">
        <f>(Model!BK189-Model!BF189)*-1</f>
        <v>0</v>
      </c>
      <c r="M38">
        <f>(Model!BP189-Model!BK189)*-1</f>
        <v>0</v>
      </c>
      <c r="N38">
        <f>(Model!BU189-Model!BP189)*-1</f>
        <v>0</v>
      </c>
      <c r="O38">
        <f>(Model!BZ189-Model!BU189)*-1</f>
        <v>0</v>
      </c>
      <c r="P38">
        <f>(Model!CE189-Model!BZ189)*-1</f>
        <v>0</v>
      </c>
      <c r="Q38">
        <f>(Model!CJ189-Model!CE189)*-1</f>
        <v>0</v>
      </c>
      <c r="R38">
        <f>(Model!CO189-Model!CJ189)*-1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Model!W240-Model!R240</f>
        <v>5.57599999999999</v>
      </c>
      <c r="E39" s="106">
        <f>Model!AB240-Model!W240</f>
        <v>92.785</v>
      </c>
      <c r="F39" s="106">
        <f>Model!AG240-Model!AB240</f>
        <v>-73.487</v>
      </c>
      <c r="G39" s="106">
        <f>Model!AL240-Model!AG240</f>
        <v>594.424</v>
      </c>
      <c r="H39" s="106">
        <f>Model!AQ240-Model!AL240</f>
        <v>0</v>
      </c>
      <c r="I39" s="106">
        <f>Model!AV240-Model!AQ240</f>
        <v>0</v>
      </c>
      <c r="J39" s="106">
        <f>Model!BA240-Model!AV240</f>
        <v>0</v>
      </c>
      <c r="K39" s="106">
        <f>Model!BF240-Model!BA240</f>
        <v>0</v>
      </c>
      <c r="L39" s="107">
        <f>Model!BK240-Model!BF240</f>
        <v>0</v>
      </c>
      <c r="M39">
        <f>Model!BP240-Model!BK240</f>
        <v>0</v>
      </c>
      <c r="N39">
        <f>Model!BU240-Model!BP240</f>
        <v>0</v>
      </c>
      <c r="O39">
        <f>Model!BZ240-Model!BU240</f>
        <v>0</v>
      </c>
      <c r="P39">
        <f>Model!CE240-Model!BZ240</f>
        <v>0</v>
      </c>
      <c r="Q39">
        <f>Model!CJ240-Model!CE240</f>
        <v>0</v>
      </c>
      <c r="R39">
        <f>Model!CO240-Model!CJ240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-224.238</v>
      </c>
      <c r="E44" s="103">
        <f>SUM(E27+E40+E41+E42+E26)</f>
        <v>-111.458</v>
      </c>
      <c r="F44" s="103">
        <f>SUM(F27+F40+F41+F42+F26)</f>
        <v>-231.376</v>
      </c>
      <c r="G44" s="103">
        <f>SUM(G27+G40+G41+G42+G26)</f>
        <v>-121.236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Model!W350</f>
        <v>1504.516</v>
      </c>
      <c r="E46" s="106">
        <f>Model!AB350</f>
        <v>2137.926</v>
      </c>
      <c r="F46" s="106">
        <f>Model!AG350</f>
        <v>2741.024</v>
      </c>
      <c r="G46" s="106">
        <f>Model!AL350</f>
        <v>4087.617</v>
      </c>
      <c r="H46" s="106" t="e">
        <f>Model!AQ350</f>
        <v>#DIV/0!</v>
      </c>
      <c r="I46" s="106" t="e">
        <f>Model!AV350</f>
        <v>#DIV/0!</v>
      </c>
      <c r="J46" s="106" t="e">
        <f>Model!BA350</f>
        <v>#DIV/0!</v>
      </c>
      <c r="K46" s="106" t="e">
        <f>Model!BF350</f>
        <v>#DIV/0!</v>
      </c>
      <c r="L46" s="106" t="e">
        <f>Model!BK350</f>
        <v>#DIV/0!</v>
      </c>
      <c r="M46" s="115" t="e">
        <f>Model!BP350</f>
        <v>#DIV/0!</v>
      </c>
      <c r="N46" s="115" t="e">
        <f>Model!BU350</f>
        <v>#DIV/0!</v>
      </c>
      <c r="O46" s="115" t="e">
        <f>Model!BZ350</f>
        <v>#DIV/0!</v>
      </c>
      <c r="P46" s="115" t="e">
        <f>Model!CE350</f>
        <v>#DIV/0!</v>
      </c>
      <c r="Q46" s="115" t="e">
        <f>Model!CJ350</f>
        <v>#DIV/0!</v>
      </c>
      <c r="R46" s="115" t="e">
        <f>Model!CO350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Model!W351</f>
        <v>1504.516</v>
      </c>
      <c r="E47" s="106">
        <f>Model!AB351</f>
        <v>2137.926</v>
      </c>
      <c r="F47" s="106">
        <f>Model!AG351</f>
        <v>2741.024</v>
      </c>
      <c r="G47" s="106">
        <f>Model!AL351</f>
        <v>4087.617</v>
      </c>
      <c r="H47" s="106" t="e">
        <f>Model!AQ351</f>
        <v>#DIV/0!</v>
      </c>
      <c r="I47" s="106" t="e">
        <f>Model!AV351</f>
        <v>#DIV/0!</v>
      </c>
      <c r="J47" s="106" t="e">
        <f>Model!BA351</f>
        <v>#DIV/0!</v>
      </c>
      <c r="K47" s="106" t="e">
        <f>Model!BF351</f>
        <v>#DIV/0!</v>
      </c>
      <c r="L47" s="106" t="e">
        <f>Model!BK351</f>
        <v>#DIV/0!</v>
      </c>
      <c r="M47" t="e">
        <f>Model!BP351</f>
        <v>#DIV/0!</v>
      </c>
      <c r="N47" t="e">
        <f>Model!BU351</f>
        <v>#DIV/0!</v>
      </c>
      <c r="O47" t="e">
        <f>Model!BZ351</f>
        <v>#DIV/0!</v>
      </c>
      <c r="P47" t="e">
        <f>Model!CE351</f>
        <v>#DIV/0!</v>
      </c>
      <c r="Q47" t="e">
        <f>Model!CJ351</f>
        <v>#DIV/0!</v>
      </c>
      <c r="R47" t="e">
        <f>Model!CO351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1.93811994702915</v>
      </c>
      <c r="E48" s="92">
        <f>E46/E18</f>
        <v>2.36634188293397</v>
      </c>
      <c r="F48" s="92">
        <f>F46/F18</f>
        <v>2.60965401679456</v>
      </c>
      <c r="G48" s="92">
        <f>G46/G18</f>
        <v>2.72640303187349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0.0365912524221048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0.515963937904283</v>
      </c>
      <c r="E51" s="124">
        <f>E18/E46</f>
        <v>0.422593204816257</v>
      </c>
      <c r="F51" s="124">
        <f>F18/F46</f>
        <v>0.383192558693393</v>
      </c>
      <c r="G51" s="124">
        <f>G18/G46</f>
        <v>0.366783629679591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-107.510243049987</v>
      </c>
      <c r="E53" s="125">
        <f>E25+E44</f>
        <v>64.804318009149</v>
      </c>
      <c r="F53" s="125">
        <f>F25+F44</f>
        <v>-5.34858320563211</v>
      </c>
      <c r="G53" s="126">
        <f>(G25+G44)*stub_year_fraction</f>
        <v>0.962561671833867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0.254369600461945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2026-10-12T13:43:31Z</dcterms:modified>
  <cp:lastModifiedBy>Lucas Nascimento</cp:lastModifiedBy>
</cp:coreProperties>
</file>