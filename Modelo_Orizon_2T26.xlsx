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7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5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COMO NO ITR/DFP (R$ mil): 1T-3T = coluna do trimestre (3 meses) do ITR; coluna 4T = ANO (DFP). O 4T isolado e derivado abaixo (ano - 1T - 2T - 3T)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de venda de bens e/ou servicos (CVM 3.01) · memoria · unid. moeda</t>
        </is>
      </c>
      <c r="C5" t="inlineStr">
        <is>
          <t>[linha bruta, sem código; lançada nas linhas abaixo]</t>
        </is>
      </c>
      <c r="D5" s="265" t="n">
        <v>87625</v>
      </c>
      <c r="E5" s="265" t="n">
        <v>92687</v>
      </c>
      <c r="F5" s="265" t="n">
        <v>99841</v>
      </c>
      <c r="G5" s="265" t="n">
        <v>435516</v>
      </c>
      <c r="I5" s="265" t="n">
        <v>99226</v>
      </c>
      <c r="J5" s="265" t="n">
        <v>150612</v>
      </c>
      <c r="K5" s="265" t="n">
        <v>197177</v>
      </c>
      <c r="L5" s="265" t="n">
        <v>626224</v>
      </c>
      <c r="N5" s="265" t="n">
        <v>188845</v>
      </c>
      <c r="O5" s="265" t="n">
        <v>196245</v>
      </c>
      <c r="P5" s="265" t="n">
        <v>192599</v>
      </c>
      <c r="Q5" s="265" t="n">
        <v>776276</v>
      </c>
      <c r="S5" s="265" t="n">
        <v>209146</v>
      </c>
      <c r="T5" s="265" t="n">
        <v>215047</v>
      </c>
      <c r="U5" s="265" t="n">
        <v>249074</v>
      </c>
      <c r="V5" s="265" t="n">
        <v>903473</v>
      </c>
      <c r="X5" s="265" t="n">
        <v>240800</v>
      </c>
      <c r="Y5" s="265" t="n">
        <v>264181</v>
      </c>
      <c r="Z5" s="265" t="n">
        <v>281050</v>
      </c>
      <c r="AA5" s="265" t="n">
        <v>1050340</v>
      </c>
      <c r="AC5" s="265" t="n">
        <v>331076</v>
      </c>
      <c r="AD5" s="265" t="n">
        <v>622836</v>
      </c>
    </row>
    <row r="6">
      <c r="A6" t="inlineStr">
        <is>
          <t>Custo dos bens e/ou servicos vendidos (inclui D&amp;A, devolvida abaixo) (CVM 3.02) · memoria · unid. moeda</t>
        </is>
      </c>
      <c r="C6" t="inlineStr">
        <is>
          <t>[linha bruta, sem código; lançada nas linhas abaixo]</t>
        </is>
      </c>
      <c r="D6" s="265" t="n">
        <v>-59384</v>
      </c>
      <c r="E6" s="265" t="n">
        <v>-59184</v>
      </c>
      <c r="F6" s="265" t="n">
        <v>-61382</v>
      </c>
      <c r="G6" s="265" t="n">
        <v>-256599</v>
      </c>
      <c r="I6" s="265" t="n">
        <v>-65213</v>
      </c>
      <c r="J6" s="265" t="n">
        <v>-106498</v>
      </c>
      <c r="K6" s="265" t="n">
        <v>-138595</v>
      </c>
      <c r="L6" s="265" t="n">
        <v>-438329</v>
      </c>
      <c r="N6" s="265" t="n">
        <v>-146571</v>
      </c>
      <c r="O6" s="265" t="n">
        <v>-129705</v>
      </c>
      <c r="P6" s="265" t="n">
        <v>-120792</v>
      </c>
      <c r="Q6" s="265" t="n">
        <v>-528599</v>
      </c>
      <c r="S6" s="265" t="n">
        <v>-112572</v>
      </c>
      <c r="T6" s="265" t="n">
        <v>-121121</v>
      </c>
      <c r="U6" s="265" t="n">
        <v>-124144</v>
      </c>
      <c r="V6" s="265" t="n">
        <v>-489926</v>
      </c>
      <c r="X6" s="265" t="n">
        <v>-139900</v>
      </c>
      <c r="Y6" s="265" t="n">
        <v>-140097</v>
      </c>
      <c r="Z6" s="265" t="n">
        <v>-144278</v>
      </c>
      <c r="AA6" s="265" t="n">
        <v>-565077</v>
      </c>
      <c r="AC6" s="265" t="n">
        <v>-198356</v>
      </c>
      <c r="AD6" s="265" t="n">
        <v>-430037</v>
      </c>
    </row>
    <row r="7">
      <c r="A7" t="inlineStr">
        <is>
          <t>Despesas com vendas (CVM 3.04.01) · memoria · unid. moeda</t>
        </is>
      </c>
      <c r="C7" t="inlineStr">
        <is>
          <t>[linha bruta, sem código; lançada nas linhas abaixo]</t>
        </is>
      </c>
      <c r="D7" s="265" t="n">
        <v>0</v>
      </c>
      <c r="E7" s="265" t="n">
        <v>0</v>
      </c>
      <c r="F7" s="265" t="n">
        <v>0</v>
      </c>
      <c r="G7" s="265" t="n">
        <v>0</v>
      </c>
      <c r="I7" s="265" t="n">
        <v>0</v>
      </c>
      <c r="J7" s="265" t="n">
        <v>0</v>
      </c>
      <c r="K7" s="265" t="n">
        <v>0</v>
      </c>
      <c r="L7" s="265" t="n">
        <v>0</v>
      </c>
      <c r="N7" s="265" t="n">
        <v>0</v>
      </c>
      <c r="O7" s="265" t="n">
        <v>0</v>
      </c>
      <c r="P7" s="265" t="n">
        <v>0</v>
      </c>
      <c r="Q7" s="265" t="n">
        <v>0</v>
      </c>
      <c r="S7" s="265" t="n">
        <v>0</v>
      </c>
      <c r="T7" s="265" t="n">
        <v>0</v>
      </c>
      <c r="U7" s="265" t="n">
        <v>0</v>
      </c>
      <c r="V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C7" s="265" t="n">
        <v>0</v>
      </c>
      <c r="AD7" s="265" t="n">
        <v>0</v>
      </c>
    </row>
    <row r="8">
      <c r="A8" t="inlineStr">
        <is>
          <t>Despesas gerais e administrativas (CVM 3.04.02) · memoria · unid. moeda</t>
        </is>
      </c>
      <c r="C8" t="inlineStr">
        <is>
          <t>[linha bruta, sem código; lançada nas linhas abaixo]</t>
        </is>
      </c>
      <c r="D8" s="265" t="n">
        <v>-51321</v>
      </c>
      <c r="E8" s="265" t="n">
        <v>-10170</v>
      </c>
      <c r="F8" s="265" t="n">
        <v>-21008</v>
      </c>
      <c r="G8" s="265" t="n">
        <v>-98430</v>
      </c>
      <c r="I8" s="265" t="n">
        <v>-21221</v>
      </c>
      <c r="J8" s="265" t="n">
        <v>-34838</v>
      </c>
      <c r="K8" s="265" t="n">
        <v>-45656</v>
      </c>
      <c r="L8" s="265" t="n">
        <v>-148420</v>
      </c>
      <c r="N8" s="265" t="n">
        <v>-36163</v>
      </c>
      <c r="O8" s="265" t="n">
        <v>-24601</v>
      </c>
      <c r="P8" s="265" t="n">
        <v>-30980</v>
      </c>
      <c r="Q8" s="265" t="n">
        <v>-132723</v>
      </c>
      <c r="S8" s="265" t="n">
        <v>-37847</v>
      </c>
      <c r="T8" s="265" t="n">
        <v>-34590</v>
      </c>
      <c r="U8" s="265" t="n">
        <v>-45264</v>
      </c>
      <c r="V8" s="265" t="n">
        <v>-164183</v>
      </c>
      <c r="X8" s="265" t="n">
        <v>-43344</v>
      </c>
      <c r="Y8" s="265" t="n">
        <v>-45281</v>
      </c>
      <c r="Z8" s="265" t="n">
        <v>-50333</v>
      </c>
      <c r="AA8" s="265" t="n">
        <v>-187978</v>
      </c>
      <c r="AC8" s="265" t="n">
        <v>-45161</v>
      </c>
      <c r="AD8" s="265" t="n">
        <v>-91828</v>
      </c>
    </row>
    <row r="9">
      <c r="A9" t="inlineStr">
        <is>
          <t>Perdas pela nao recuperabilidade de ativos (CVM 3.04.03) · memoria · unid. moeda</t>
        </is>
      </c>
      <c r="C9" t="inlineStr">
        <is>
          <t>[linha bruta, sem código; lançada nas linhas abaixo]</t>
        </is>
      </c>
      <c r="D9" s="265" t="n">
        <v>0</v>
      </c>
      <c r="E9" s="265" t="n">
        <v>0</v>
      </c>
      <c r="F9" s="265" t="n">
        <v>0</v>
      </c>
      <c r="G9" s="265" t="n">
        <v>0</v>
      </c>
      <c r="I9" s="265" t="n">
        <v>0</v>
      </c>
      <c r="J9" s="265" t="n">
        <v>0</v>
      </c>
      <c r="K9" s="265" t="n">
        <v>0</v>
      </c>
      <c r="L9" s="265" t="n">
        <v>0</v>
      </c>
      <c r="N9" s="265" t="n">
        <v>0</v>
      </c>
      <c r="O9" s="265" t="n">
        <v>0</v>
      </c>
      <c r="P9" s="265" t="n">
        <v>0</v>
      </c>
      <c r="Q9" s="265" t="n">
        <v>0</v>
      </c>
      <c r="S9" s="265" t="n">
        <v>0</v>
      </c>
      <c r="T9" s="265" t="n">
        <v>0</v>
      </c>
      <c r="U9" s="265" t="n">
        <v>0</v>
      </c>
      <c r="V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C9" s="265" t="n">
        <v>0</v>
      </c>
      <c r="AD9" s="265" t="n">
        <v>0</v>
      </c>
    </row>
    <row r="10">
      <c r="A10" t="inlineStr">
        <is>
          <t>Outras receitas operacionais (CVM 3.04.04) · memoria · unid. moeda</t>
        </is>
      </c>
      <c r="C10" t="inlineStr">
        <is>
          <t>[linha bruta, sem código; lançada nas linhas abaixo]</t>
        </is>
      </c>
      <c r="D10" s="265" t="n">
        <v>0</v>
      </c>
      <c r="E10" s="265" t="n">
        <v>1601</v>
      </c>
      <c r="F10" s="265" t="n">
        <v>2142</v>
      </c>
      <c r="G10" s="265" t="n">
        <v>-1529</v>
      </c>
      <c r="I10" s="265" t="n">
        <v>0</v>
      </c>
      <c r="J10" s="265" t="n">
        <v>15694</v>
      </c>
      <c r="K10" s="265" t="n">
        <v>-405</v>
      </c>
      <c r="L10" s="265" t="n">
        <v>10310</v>
      </c>
      <c r="N10" s="265" t="n">
        <v>0</v>
      </c>
      <c r="O10" s="265" t="n">
        <v>-1013</v>
      </c>
      <c r="P10" s="265" t="n">
        <v>1896</v>
      </c>
      <c r="Q10" s="265" t="n">
        <v>63706</v>
      </c>
      <c r="S10" s="265" t="n">
        <v>0</v>
      </c>
      <c r="T10" s="265" t="n">
        <v>2538</v>
      </c>
      <c r="U10" s="265" t="n">
        <v>6182</v>
      </c>
      <c r="V10" s="265" t="n">
        <v>9067</v>
      </c>
      <c r="X10" s="265" t="n">
        <v>0</v>
      </c>
      <c r="Y10" s="265" t="n">
        <v>772</v>
      </c>
      <c r="Z10" s="265" t="n">
        <v>0</v>
      </c>
      <c r="AA10" s="265" t="n">
        <v>5851</v>
      </c>
      <c r="AC10" s="265" t="n">
        <v>0</v>
      </c>
      <c r="AD10" s="265" t="n">
        <v>-4215</v>
      </c>
    </row>
    <row r="11">
      <c r="A11" t="inlineStr">
        <is>
          <t>Outras despesas operacionais (CVM 3.04.05) · memoria · unid. moeda</t>
        </is>
      </c>
      <c r="C11" t="inlineStr">
        <is>
          <t>[linha bruta, sem código; lançada nas linhas abaixo]</t>
        </is>
      </c>
      <c r="D11" s="265" t="n">
        <v>-932</v>
      </c>
      <c r="E11" s="265" t="n">
        <v>0</v>
      </c>
      <c r="F11" s="265" t="n">
        <v>0</v>
      </c>
      <c r="G11" s="265" t="n">
        <v>0</v>
      </c>
      <c r="I11" s="265" t="n">
        <v>-899</v>
      </c>
      <c r="J11" s="265" t="n">
        <v>0</v>
      </c>
      <c r="K11" s="265" t="n">
        <v>0</v>
      </c>
      <c r="L11" s="265" t="n">
        <v>0</v>
      </c>
      <c r="N11" s="265" t="n">
        <v>2745</v>
      </c>
      <c r="O11" s="265" t="n">
        <v>0</v>
      </c>
      <c r="P11" s="265" t="n">
        <v>0</v>
      </c>
      <c r="Q11" s="265" t="n">
        <v>0</v>
      </c>
      <c r="S11" s="265" t="n">
        <v>7620</v>
      </c>
      <c r="T11" s="265" t="n">
        <v>0</v>
      </c>
      <c r="U11" s="265" t="n">
        <v>0</v>
      </c>
      <c r="V11" s="265" t="n">
        <v>0</v>
      </c>
      <c r="X11" s="265" t="n">
        <v>-2034</v>
      </c>
      <c r="Y11" s="265" t="n">
        <v>0</v>
      </c>
      <c r="Z11" s="265" t="n">
        <v>-2982</v>
      </c>
      <c r="AA11" s="265" t="n">
        <v>0</v>
      </c>
      <c r="AC11" s="265" t="n">
        <v>-809</v>
      </c>
      <c r="AD11" s="265" t="n">
        <v>0</v>
      </c>
    </row>
    <row r="12">
      <c r="A12" t="inlineStr">
        <is>
          <t>Resultado de equivalencia patrimonial (CVM 3.04.06) · memoria · unid. moeda</t>
        </is>
      </c>
      <c r="C12" t="inlineStr">
        <is>
          <t>[linha bruta, sem código; lançada nas linhas abaixo]</t>
        </is>
      </c>
      <c r="D12" s="265" t="n">
        <v>102</v>
      </c>
      <c r="E12" s="265" t="n">
        <v>28</v>
      </c>
      <c r="F12" s="265" t="n">
        <v>215</v>
      </c>
      <c r="G12" s="265" t="n">
        <v>724</v>
      </c>
      <c r="I12" s="265" t="n">
        <v>-1</v>
      </c>
      <c r="J12" s="265" t="n">
        <v>-5637</v>
      </c>
      <c r="K12" s="265" t="n">
        <v>9569</v>
      </c>
      <c r="L12" s="265" t="n">
        <v>7720</v>
      </c>
      <c r="N12" s="265" t="n">
        <v>2973</v>
      </c>
      <c r="O12" s="265" t="n">
        <v>3062</v>
      </c>
      <c r="P12" s="265" t="n">
        <v>1779</v>
      </c>
      <c r="Q12" s="265" t="n">
        <v>11060</v>
      </c>
      <c r="S12" s="265" t="n">
        <v>4470</v>
      </c>
      <c r="T12" s="265" t="n">
        <v>2332</v>
      </c>
      <c r="U12" s="265" t="n">
        <v>5237</v>
      </c>
      <c r="V12" s="265" t="n">
        <v>14687</v>
      </c>
      <c r="X12" s="265" t="n">
        <v>4179</v>
      </c>
      <c r="Y12" s="265" t="n">
        <v>1578</v>
      </c>
      <c r="Z12" s="265" t="n">
        <v>1024</v>
      </c>
      <c r="AA12" s="265" t="n">
        <v>6815</v>
      </c>
      <c r="AC12" s="265" t="n">
        <v>-461</v>
      </c>
      <c r="AD12" s="265" t="n">
        <v>-4378</v>
      </c>
    </row>
    <row r="13">
      <c r="A13" t="inlineStr">
        <is>
          <t>Receitas financeiras (CVM 3.06.01) · memoria · unid. moeda</t>
        </is>
      </c>
      <c r="C13" t="inlineStr">
        <is>
          <t>[linha bruta, sem código; lançada nas linhas abaixo]</t>
        </is>
      </c>
      <c r="D13" s="265" t="n">
        <v>4747</v>
      </c>
      <c r="E13" s="265" t="n">
        <v>8841</v>
      </c>
      <c r="F13" s="265" t="n">
        <v>9664</v>
      </c>
      <c r="G13" s="265" t="n">
        <v>26520</v>
      </c>
      <c r="I13" s="265" t="n">
        <v>14314</v>
      </c>
      <c r="J13" s="265" t="n">
        <v>58345</v>
      </c>
      <c r="K13" s="265" t="n">
        <v>531</v>
      </c>
      <c r="L13" s="265" t="n">
        <v>77221</v>
      </c>
      <c r="N13" s="265" t="n">
        <v>4578</v>
      </c>
      <c r="O13" s="265" t="n">
        <v>8653</v>
      </c>
      <c r="P13" s="265" t="n">
        <v>11044</v>
      </c>
      <c r="Q13" s="265" t="n">
        <v>80387</v>
      </c>
      <c r="S13" s="265" t="n">
        <v>7702</v>
      </c>
      <c r="T13" s="265" t="n">
        <v>12609</v>
      </c>
      <c r="U13" s="265" t="n">
        <v>9343</v>
      </c>
      <c r="V13" s="265" t="n">
        <v>58643</v>
      </c>
      <c r="X13" s="265" t="n">
        <v>18835</v>
      </c>
      <c r="Y13" s="265" t="n">
        <v>24933</v>
      </c>
      <c r="Z13" s="265" t="n">
        <v>36113</v>
      </c>
      <c r="AA13" s="265" t="n">
        <v>112079</v>
      </c>
      <c r="AC13" s="265" t="n">
        <v>25952</v>
      </c>
      <c r="AD13" s="265" t="n">
        <v>35170</v>
      </c>
    </row>
    <row r="14">
      <c r="A14" t="inlineStr">
        <is>
          <t>Despesas financeiras (CVM 3.06.02) · memoria · unid. moeda</t>
        </is>
      </c>
      <c r="C14" t="inlineStr">
        <is>
          <t>[linha bruta, sem código; lançada nas linhas abaixo]</t>
        </is>
      </c>
      <c r="D14" s="265" t="n">
        <v>-24167</v>
      </c>
      <c r="E14" s="265" t="n">
        <v>-22467</v>
      </c>
      <c r="F14" s="265" t="n">
        <v>-23898</v>
      </c>
      <c r="G14" s="265" t="n">
        <v>-125697</v>
      </c>
      <c r="I14" s="265" t="n">
        <v>-41349</v>
      </c>
      <c r="J14" s="265" t="n">
        <v>-69039</v>
      </c>
      <c r="K14" s="265" t="n">
        <v>-37467</v>
      </c>
      <c r="L14" s="265" t="n">
        <v>-231580</v>
      </c>
      <c r="N14" s="265" t="n">
        <v>-52374</v>
      </c>
      <c r="O14" s="265" t="n">
        <v>-45602</v>
      </c>
      <c r="P14" s="265" t="n">
        <v>-45529</v>
      </c>
      <c r="Q14" s="265" t="n">
        <v>-199191</v>
      </c>
      <c r="S14" s="265" t="n">
        <v>-46582</v>
      </c>
      <c r="T14" s="265" t="n">
        <v>-48709</v>
      </c>
      <c r="U14" s="265" t="n">
        <v>-56076</v>
      </c>
      <c r="V14" s="265" t="n">
        <v>-229413</v>
      </c>
      <c r="X14" s="265" t="n">
        <v>-74070</v>
      </c>
      <c r="Y14" s="265" t="n">
        <v>-73588</v>
      </c>
      <c r="Z14" s="265" t="n">
        <v>-89868</v>
      </c>
      <c r="AA14" s="265" t="n">
        <v>-325161</v>
      </c>
      <c r="AC14" s="265" t="n">
        <v>-77362</v>
      </c>
      <c r="AD14" s="265" t="n">
        <v>-88947</v>
      </c>
    </row>
    <row r="15">
      <c r="A15" t="inlineStr">
        <is>
          <t>IR e CSLL (corrente + diferido) (CVM 3.08) · memoria · unid. moeda</t>
        </is>
      </c>
      <c r="C15" t="inlineStr">
        <is>
          <t>[linha bruta, sem código; lançada nas linhas abaixo]</t>
        </is>
      </c>
      <c r="D15" s="265" t="n">
        <v>-2195</v>
      </c>
      <c r="E15" s="265" t="n">
        <v>-4937</v>
      </c>
      <c r="F15" s="265" t="n">
        <v>-6923</v>
      </c>
      <c r="G15" s="265" t="n">
        <v>-36014</v>
      </c>
      <c r="I15" s="265" t="n">
        <v>-4231</v>
      </c>
      <c r="J15" s="265" t="n">
        <v>-18959</v>
      </c>
      <c r="K15" s="265" t="n">
        <v>-14780</v>
      </c>
      <c r="L15" s="265" t="n">
        <v>-46610</v>
      </c>
      <c r="N15" s="265" t="n">
        <v>-7213</v>
      </c>
      <c r="O15" s="265" t="n">
        <v>-9890</v>
      </c>
      <c r="P15" s="265" t="n">
        <v>-6123</v>
      </c>
      <c r="Q15" s="265" t="n">
        <v>-20749</v>
      </c>
      <c r="S15" s="265" t="n">
        <v>-1743</v>
      </c>
      <c r="T15" s="265" t="n">
        <v>-16947</v>
      </c>
      <c r="U15" s="265" t="n">
        <v>-3096</v>
      </c>
      <c r="V15" s="265" t="n">
        <v>-27872</v>
      </c>
      <c r="X15" s="265" t="n">
        <v>-8023</v>
      </c>
      <c r="Y15" s="265" t="n">
        <v>-5741</v>
      </c>
      <c r="Z15" s="265" t="n">
        <v>-3384</v>
      </c>
      <c r="AA15" s="265" t="n">
        <v>-22907</v>
      </c>
      <c r="AC15" s="265" t="n">
        <v>-12257</v>
      </c>
      <c r="AD15" s="265" t="n">
        <v>-32250</v>
      </c>
    </row>
    <row r="16">
      <c r="A16" t="inlineStr">
        <is>
          <t>Lucro/prejuizo consolidado do periodo - memoria (CVM 3.11) · memoria · unid. moeda</t>
        </is>
      </c>
      <c r="C16" t="inlineStr">
        <is>
          <t>[linha bruta, sem código; lançada nas linhas abaixo]</t>
        </is>
      </c>
      <c r="D16" s="265" t="n">
        <v>-45525</v>
      </c>
      <c r="E16" s="265" t="n">
        <v>6399</v>
      </c>
      <c r="F16" s="265" t="n">
        <v>-1349</v>
      </c>
      <c r="G16" s="265" t="n">
        <v>-55509</v>
      </c>
      <c r="I16" s="265" t="n">
        <v>-19374</v>
      </c>
      <c r="J16" s="265" t="n">
        <v>-10320</v>
      </c>
      <c r="K16" s="265" t="n">
        <v>-29626</v>
      </c>
      <c r="L16" s="265" t="n">
        <v>-143464</v>
      </c>
      <c r="N16" s="265" t="n">
        <v>-43180</v>
      </c>
      <c r="O16" s="265" t="n">
        <v>-2851</v>
      </c>
      <c r="P16" s="265" t="n">
        <v>3894</v>
      </c>
      <c r="Q16" s="265" t="n">
        <v>50167</v>
      </c>
      <c r="S16" s="265" t="n">
        <v>30194</v>
      </c>
      <c r="T16" s="265" t="n">
        <v>11159</v>
      </c>
      <c r="U16" s="265" t="n">
        <v>41256</v>
      </c>
      <c r="V16" s="265" t="n">
        <v>74476</v>
      </c>
      <c r="X16" s="265" t="n">
        <v>-3557</v>
      </c>
      <c r="Y16" s="265" t="n">
        <v>26757</v>
      </c>
      <c r="Z16" s="265" t="n">
        <v>27342</v>
      </c>
      <c r="AA16" s="265" t="n">
        <v>73962</v>
      </c>
      <c r="AC16" s="265" t="n">
        <v>22622</v>
      </c>
      <c r="AD16" s="265" t="n">
        <v>6351</v>
      </c>
    </row>
    <row r="17">
      <c r="A17" t="inlineStr">
        <is>
          <t>Atribuido a socios nao controladores (COD 9 com sinal -1) (CVM 3.11.02) | AJUSTE 1T20: ITR 1T20 traz 3.11.01 e 3.11.02 trocados (o 6M do ITR 2T20 confirma); 3T22: coluna 3M do ITR 3T22 nao fecha com 3.11; usado 9M - 6M · memoria · unid. moeda</t>
        </is>
      </c>
      <c r="C17" t="inlineStr">
        <is>
          <t>[linha bruta, sem código; lançada nas linhas abaixo]</t>
        </is>
      </c>
      <c r="D17" s="265" t="n">
        <v>1054</v>
      </c>
      <c r="E17" s="265" t="n">
        <v>988</v>
      </c>
      <c r="F17" s="265" t="n">
        <v>859</v>
      </c>
      <c r="G17" s="265" t="n">
        <v>6519</v>
      </c>
      <c r="I17" s="265" t="n">
        <v>773</v>
      </c>
      <c r="J17" s="265" t="n">
        <v>1650</v>
      </c>
      <c r="K17" s="265" t="n">
        <v>1467</v>
      </c>
      <c r="L17" s="265" t="n">
        <v>5542</v>
      </c>
      <c r="N17" s="265" t="n">
        <v>1893</v>
      </c>
      <c r="O17" s="265" t="n">
        <v>2298</v>
      </c>
      <c r="P17" s="265" t="n">
        <v>2043</v>
      </c>
      <c r="Q17" s="265" t="n">
        <v>10052</v>
      </c>
      <c r="S17" s="265" t="n">
        <v>4651</v>
      </c>
      <c r="T17" s="265" t="n">
        <v>2353</v>
      </c>
      <c r="U17" s="265" t="n">
        <v>4172</v>
      </c>
      <c r="V17" s="265" t="n">
        <v>13579</v>
      </c>
      <c r="X17" s="265" t="n">
        <v>2765</v>
      </c>
      <c r="Y17" s="265" t="n">
        <v>2911</v>
      </c>
      <c r="Z17" s="265" t="n">
        <v>4054</v>
      </c>
      <c r="AA17" s="265" t="n">
        <v>13820</v>
      </c>
      <c r="AC17" s="265" t="n">
        <v>3838</v>
      </c>
      <c r="AD17" s="265" t="n">
        <v>17498</v>
      </c>
    </row>
    <row r="18">
      <c r="A18" t="inlineStr">
        <is>
          <t>Atribuido a socios da controladora (CVM 3.11.01) | AJUSTE 1T20: ITR 1T20 traz 3.11.01 e 3.11.02 trocados (o 6M do ITR 2T20 confirma); 3T22: coluna 3M do ITR 3T22 nao fecha com 3.11; usado 9M - 6M · memoria · unid. moeda</t>
        </is>
      </c>
      <c r="C18" t="inlineStr">
        <is>
          <t>[linha bruta, sem código; lançada nas linhas abaixo]</t>
        </is>
      </c>
      <c r="D18" s="265" t="n">
        <v>-46579</v>
      </c>
      <c r="E18" s="265" t="n">
        <v>5411</v>
      </c>
      <c r="F18" s="265" t="n">
        <v>-2208</v>
      </c>
      <c r="G18" s="265" t="n">
        <v>-62028</v>
      </c>
      <c r="I18" s="265" t="n">
        <v>-20147</v>
      </c>
      <c r="J18" s="265" t="n">
        <v>-11970</v>
      </c>
      <c r="K18" s="265" t="n">
        <v>-31093</v>
      </c>
      <c r="L18" s="265" t="n">
        <v>-149006</v>
      </c>
      <c r="N18" s="265" t="n">
        <v>-45073</v>
      </c>
      <c r="O18" s="265" t="n">
        <v>-5149</v>
      </c>
      <c r="P18" s="265" t="n">
        <v>1851</v>
      </c>
      <c r="Q18" s="265" t="n">
        <v>40115</v>
      </c>
      <c r="S18" s="265" t="n">
        <v>25543</v>
      </c>
      <c r="T18" s="265" t="n">
        <v>8806</v>
      </c>
      <c r="U18" s="265" t="n">
        <v>37084</v>
      </c>
      <c r="V18" s="265" t="n">
        <v>60897</v>
      </c>
      <c r="X18" s="265" t="n">
        <v>-6322</v>
      </c>
      <c r="Y18" s="265" t="n">
        <v>23846</v>
      </c>
      <c r="Z18" s="265" t="n">
        <v>23288</v>
      </c>
      <c r="AA18" s="265" t="n">
        <v>60142</v>
      </c>
      <c r="AC18" s="265" t="n">
        <v>18784</v>
      </c>
      <c r="AD18" s="265" t="n">
        <v>-11147</v>
      </c>
    </row>
    <row r="19">
      <c r="A19" t="inlineStr">
        <is>
          <t>DFC - ACUMULADO NO ANO (R$ mil)</t>
        </is>
      </c>
      <c r="C19" t="inlineStr">
        <is>
          <t>[linha bruta, sem código; lançada nas linhas abaixo]</t>
        </is>
      </c>
      <c r="D19" s="265" t="n"/>
      <c r="E19" s="265" t="n"/>
      <c r="F19" s="265" t="n"/>
      <c r="G19" s="265" t="n"/>
      <c r="I19" s="265" t="n"/>
      <c r="J19" s="265" t="n"/>
      <c r="K19" s="265" t="n"/>
      <c r="L19" s="265" t="n"/>
      <c r="N19" s="265" t="n"/>
      <c r="O19" s="265" t="n"/>
      <c r="P19" s="265" t="n"/>
      <c r="Q19" s="265" t="n"/>
      <c r="S19" s="265" t="n"/>
      <c r="T19" s="265" t="n"/>
      <c r="U19" s="265" t="n"/>
      <c r="V19" s="265" t="n"/>
      <c r="X19" s="265" t="n"/>
      <c r="Y19" s="265" t="n"/>
      <c r="Z19" s="265" t="n"/>
      <c r="AA19" s="265" t="n"/>
      <c r="AC19" s="265" t="n"/>
      <c r="AD19" s="265" t="n"/>
    </row>
    <row r="20">
      <c r="A20" t="inlineStr">
        <is>
          <t>Depreciacoes e amortizacoes (DFC 6.01.01, linha "Depreciacoes e amortizacoes", acum.) · memoria · unid. moeda</t>
        </is>
      </c>
      <c r="C20" t="inlineStr">
        <is>
          <t>[linha bruta, sem código; lançada nas linhas abaixo]</t>
        </is>
      </c>
      <c r="D20" s="265" t="n">
        <v>10679</v>
      </c>
      <c r="E20" s="265" t="n">
        <v>22557</v>
      </c>
      <c r="F20" s="265" t="n">
        <v>35691</v>
      </c>
      <c r="G20" s="265" t="n">
        <v>53395</v>
      </c>
      <c r="I20" s="265" t="n">
        <v>15688</v>
      </c>
      <c r="J20" s="265" t="n">
        <v>45784</v>
      </c>
      <c r="K20" s="265" t="n">
        <v>93860</v>
      </c>
      <c r="L20" s="265" t="n">
        <v>135718</v>
      </c>
      <c r="N20" s="265" t="n">
        <v>60225</v>
      </c>
      <c r="O20" s="265" t="n">
        <v>95861</v>
      </c>
      <c r="P20" s="265" t="n">
        <v>133095</v>
      </c>
      <c r="Q20" s="265" t="n">
        <v>165660</v>
      </c>
      <c r="S20" s="265" t="n">
        <v>35203</v>
      </c>
      <c r="T20" s="265" t="n">
        <v>67478</v>
      </c>
      <c r="U20" s="265" t="n">
        <v>107348</v>
      </c>
      <c r="V20" s="265" t="n">
        <v>155967</v>
      </c>
      <c r="X20" s="265" t="n">
        <v>48663</v>
      </c>
      <c r="Y20" s="265" t="n">
        <v>91599</v>
      </c>
      <c r="Z20" s="265" t="n">
        <v>136211</v>
      </c>
      <c r="AA20" s="265" t="n">
        <v>181178</v>
      </c>
      <c r="AC20" s="265" t="n">
        <v>51389</v>
      </c>
      <c r="AD20" s="265" t="n">
        <v>109281</v>
      </c>
    </row>
    <row r="21">
      <c r="A21" t="inlineStr">
        <is>
          <t>Dividendos/JCP pagos (DFC 6.03 financiamento, linhas com "dividendos" ou "juros sobre capital", acum.; 0 quando nao ha linha) · memoria · unid. moeda</t>
        </is>
      </c>
      <c r="C21" t="inlineStr">
        <is>
          <t>[linha bruta, sem código; lançada nas linhas abaixo]</t>
        </is>
      </c>
      <c r="D21" s="265" t="n">
        <v>0</v>
      </c>
      <c r="E21" s="265" t="n">
        <v>0</v>
      </c>
      <c r="F21" s="265" t="n">
        <v>0</v>
      </c>
      <c r="G21" s="265" t="n">
        <v>0</v>
      </c>
      <c r="I21" s="265" t="n">
        <v>0</v>
      </c>
      <c r="J21" s="265" t="n">
        <v>0</v>
      </c>
      <c r="K21" s="265" t="n">
        <v>0</v>
      </c>
      <c r="L21" s="265" t="n">
        <v>0</v>
      </c>
      <c r="N21" s="265" t="n">
        <v>0</v>
      </c>
      <c r="O21" s="265" t="n">
        <v>0</v>
      </c>
      <c r="P21" s="265" t="n">
        <v>0</v>
      </c>
      <c r="Q21" s="265" t="n">
        <v>0</v>
      </c>
      <c r="S21" s="265" t="n">
        <v>0</v>
      </c>
      <c r="T21" s="265" t="n">
        <v>0</v>
      </c>
      <c r="U21" s="265" t="n">
        <v>0</v>
      </c>
      <c r="V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C21" s="265" t="n">
        <v>0</v>
      </c>
      <c r="AD21" s="265" t="n">
        <v>0</v>
      </c>
    </row>
    <row r="22">
      <c r="A22" t="inlineStr">
        <is>
          <t>Aquisicoes de imobilizado (DFC 6.02, acum.) - memoria · memoria · unid. moeda</t>
        </is>
      </c>
      <c r="C22" t="inlineStr">
        <is>
          <t>[linha bruta, sem código; lançada nas linhas abaixo]</t>
        </is>
      </c>
      <c r="D22" s="265" t="n">
        <v>-6284</v>
      </c>
      <c r="E22" s="265" t="n">
        <v>-25026</v>
      </c>
      <c r="F22" s="265" t="n">
        <v>-49260</v>
      </c>
      <c r="G22" s="265" t="n">
        <v>-122837</v>
      </c>
      <c r="I22" s="265" t="n">
        <v>-72081</v>
      </c>
      <c r="J22" s="265" t="n">
        <v>0</v>
      </c>
      <c r="K22" s="265" t="n">
        <v>-157447</v>
      </c>
      <c r="L22" s="265" t="n">
        <v>-197348</v>
      </c>
      <c r="N22" s="265" t="n">
        <v>-48213</v>
      </c>
      <c r="O22" s="265" t="n">
        <v>0</v>
      </c>
      <c r="P22" s="265" t="n">
        <v>-173924</v>
      </c>
      <c r="Q22" s="265" t="n">
        <v>-255334</v>
      </c>
      <c r="S22" s="265" t="n">
        <v>-62230</v>
      </c>
      <c r="T22" s="265" t="n">
        <v>0</v>
      </c>
      <c r="U22" s="265" t="n">
        <v>-367430</v>
      </c>
      <c r="V22" s="265" t="n">
        <v>-556068</v>
      </c>
      <c r="X22" s="265" t="n">
        <v>-114539</v>
      </c>
      <c r="Y22" s="265" t="n">
        <v>0</v>
      </c>
      <c r="Z22" s="265" t="n">
        <v>-464766</v>
      </c>
      <c r="AA22" s="265" t="n">
        <v>-630976</v>
      </c>
      <c r="AC22" s="265" t="n">
        <v>-169723</v>
      </c>
      <c r="AD22" s="265" t="n">
        <v>0</v>
      </c>
    </row>
    <row r="23">
      <c r="A23" t="inlineStr">
        <is>
          <t>DRE TRIMESTRAL (1T-3T = fonte; 4T = ano - 1T - 2T - 3T) e DFC TRIMESTRALIZADA (acumulado - acumulado anterior)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Receita de venda de bens e/ou servicos (CVM 3.01) · derivada · unid. moeda</t>
        </is>
      </c>
      <c r="B24" t="n">
        <v>1</v>
      </c>
      <c r="C24" t="inlineStr">
        <is>
          <t>Net Revenues</t>
        </is>
      </c>
      <c r="D24" s="265">
        <f>N(D5)</f>
        <v>87625</v>
      </c>
      <c r="E24" s="265">
        <f>N(E5)</f>
        <v>92687</v>
      </c>
      <c r="F24" s="265">
        <f>N(F5)</f>
        <v>99841</v>
      </c>
      <c r="G24" s="265">
        <f>N(G5)-SUM(D5:F5)</f>
        <v>155363</v>
      </c>
      <c r="I24" s="265">
        <f>N(I5)</f>
        <v>99226</v>
      </c>
      <c r="J24" s="265">
        <f>N(J5)</f>
        <v>150612</v>
      </c>
      <c r="K24" s="265">
        <f>N(K5)</f>
        <v>197177</v>
      </c>
      <c r="L24" s="265">
        <f>N(L5)-SUM(I5:K5)</f>
        <v>179209</v>
      </c>
      <c r="N24" s="265">
        <f>N(N5)</f>
        <v>188845</v>
      </c>
      <c r="O24" s="265">
        <f>N(O5)</f>
        <v>196245</v>
      </c>
      <c r="P24" s="265">
        <f>N(P5)</f>
        <v>192599</v>
      </c>
      <c r="Q24" s="265">
        <f>N(Q5)-SUM(N5:P5)</f>
        <v>198587</v>
      </c>
      <c r="S24" s="265">
        <f>N(S5)</f>
        <v>209146</v>
      </c>
      <c r="T24" s="265">
        <f>N(T5)</f>
        <v>215047</v>
      </c>
      <c r="U24" s="265">
        <f>N(U5)</f>
        <v>249074</v>
      </c>
      <c r="V24" s="265">
        <f>N(V5)-SUM(S5:U5)</f>
        <v>230206</v>
      </c>
      <c r="X24" s="265">
        <f>N(X5)</f>
        <v>240800</v>
      </c>
      <c r="Y24" s="265">
        <f>N(Y5)</f>
        <v>264181</v>
      </c>
      <c r="Z24" s="265">
        <f>N(Z5)</f>
        <v>281050</v>
      </c>
      <c r="AA24" s="265">
        <f>N(AA5)-SUM(X5:Z5)</f>
        <v>264309</v>
      </c>
      <c r="AC24" s="265">
        <f>N(AC5)</f>
        <v>331076</v>
      </c>
      <c r="AD24" s="265">
        <f>N(AD5)</f>
        <v>622836</v>
      </c>
    </row>
    <row r="25">
      <c r="A25" t="inlineStr">
        <is>
          <t>Custo dos bens e/ou servicos vendidos (inclui D&amp;A, devolvida abaixo) (CVM 3.02) · derivada · unid. moeda</t>
        </is>
      </c>
      <c r="B25" t="n">
        <v>2</v>
      </c>
      <c r="C25" t="inlineStr">
        <is>
          <t>COGS (cash)</t>
        </is>
      </c>
      <c r="D25" s="265">
        <f>N(D6)</f>
        <v>-59384</v>
      </c>
      <c r="E25" s="265">
        <f>N(E6)</f>
        <v>-59184</v>
      </c>
      <c r="F25" s="265">
        <f>N(F6)</f>
        <v>-61382</v>
      </c>
      <c r="G25" s="265">
        <f>N(G6)-SUM(D6:F6)</f>
        <v>-76649</v>
      </c>
      <c r="I25" s="265">
        <f>N(I6)</f>
        <v>-65213</v>
      </c>
      <c r="J25" s="265">
        <f>N(J6)</f>
        <v>-106498</v>
      </c>
      <c r="K25" s="265">
        <f>N(K6)</f>
        <v>-138595</v>
      </c>
      <c r="L25" s="265">
        <f>N(L6)-SUM(I6:K6)</f>
        <v>-128023</v>
      </c>
      <c r="N25" s="265">
        <f>N(N6)</f>
        <v>-146571</v>
      </c>
      <c r="O25" s="265">
        <f>N(O6)</f>
        <v>-129705</v>
      </c>
      <c r="P25" s="265">
        <f>N(P6)</f>
        <v>-120792</v>
      </c>
      <c r="Q25" s="265">
        <f>N(Q6)-SUM(N6:P6)</f>
        <v>-131531</v>
      </c>
      <c r="S25" s="265">
        <f>N(S6)</f>
        <v>-112572</v>
      </c>
      <c r="T25" s="265">
        <f>N(T6)</f>
        <v>-121121</v>
      </c>
      <c r="U25" s="265">
        <f>N(U6)</f>
        <v>-124144</v>
      </c>
      <c r="V25" s="265">
        <f>N(V6)-SUM(S6:U6)</f>
        <v>-132089</v>
      </c>
      <c r="X25" s="265">
        <f>N(X6)</f>
        <v>-139900</v>
      </c>
      <c r="Y25" s="265">
        <f>N(Y6)</f>
        <v>-140097</v>
      </c>
      <c r="Z25" s="265">
        <f>N(Z6)</f>
        <v>-144278</v>
      </c>
      <c r="AA25" s="265">
        <f>N(AA6)-SUM(X6:Z6)</f>
        <v>-140802</v>
      </c>
      <c r="AC25" s="265">
        <f>N(AC6)</f>
        <v>-198356</v>
      </c>
      <c r="AD25" s="265">
        <f>N(AD6)</f>
        <v>-430037</v>
      </c>
    </row>
    <row r="26">
      <c r="A26" t="inlineStr">
        <is>
          <t>Despesas com vendas (CVM 3.04.01) · derivada · unid. moeda</t>
        </is>
      </c>
      <c r="B26" t="n">
        <v>3</v>
      </c>
      <c r="C26" t="inlineStr">
        <is>
          <t>SG&amp;A and Other (cash)</t>
        </is>
      </c>
      <c r="D26" s="265">
        <f>N(D7)</f>
        <v>0</v>
      </c>
      <c r="E26" s="265">
        <f>N(E7)</f>
        <v>0</v>
      </c>
      <c r="F26" s="265">
        <f>N(F7)</f>
        <v>0</v>
      </c>
      <c r="G26" s="265">
        <f>N(G7)-SUM(D7:F7)</f>
        <v>0</v>
      </c>
      <c r="I26" s="265">
        <f>N(I7)</f>
        <v>0</v>
      </c>
      <c r="J26" s="265">
        <f>N(J7)</f>
        <v>0</v>
      </c>
      <c r="K26" s="265">
        <f>N(K7)</f>
        <v>0</v>
      </c>
      <c r="L26" s="265">
        <f>N(L7)-SUM(I7:K7)</f>
        <v>0</v>
      </c>
      <c r="N26" s="265">
        <f>N(N7)</f>
        <v>0</v>
      </c>
      <c r="O26" s="265">
        <f>N(O7)</f>
        <v>0</v>
      </c>
      <c r="P26" s="265">
        <f>N(P7)</f>
        <v>0</v>
      </c>
      <c r="Q26" s="265">
        <f>N(Q7)-SUM(N7:P7)</f>
        <v>0</v>
      </c>
      <c r="S26" s="265">
        <f>N(S7)</f>
        <v>0</v>
      </c>
      <c r="T26" s="265">
        <f>N(T7)</f>
        <v>0</v>
      </c>
      <c r="U26" s="265">
        <f>N(U7)</f>
        <v>0</v>
      </c>
      <c r="V26" s="265">
        <f>N(V7)-SUM(S7:U7)</f>
        <v>0</v>
      </c>
      <c r="X26" s="265">
        <f>N(X7)</f>
        <v>0</v>
      </c>
      <c r="Y26" s="265">
        <f>N(Y7)</f>
        <v>0</v>
      </c>
      <c r="Z26" s="265">
        <f>N(Z7)</f>
        <v>0</v>
      </c>
      <c r="AA26" s="265">
        <f>N(AA7)-SUM(X7:Z7)</f>
        <v>0</v>
      </c>
      <c r="AC26" s="265">
        <f>N(AC7)</f>
        <v>0</v>
      </c>
      <c r="AD26" s="265">
        <f>N(AD7)</f>
        <v>0</v>
      </c>
    </row>
    <row r="27">
      <c r="A27" t="inlineStr">
        <is>
          <t>Despesas gerais e administrativas (CVM 3.04.02) · derivada · unid. moeda</t>
        </is>
      </c>
      <c r="B27" t="n">
        <v>3</v>
      </c>
      <c r="C27" t="inlineStr">
        <is>
          <t>SG&amp;A and Other (cash)</t>
        </is>
      </c>
      <c r="D27" s="265">
        <f>N(D8)</f>
        <v>-51321</v>
      </c>
      <c r="E27" s="265">
        <f>N(E8)</f>
        <v>-10170</v>
      </c>
      <c r="F27" s="265">
        <f>N(F8)</f>
        <v>-21008</v>
      </c>
      <c r="G27" s="265">
        <f>N(G8)-SUM(D8:F8)</f>
        <v>-15931</v>
      </c>
      <c r="I27" s="265">
        <f>N(I8)</f>
        <v>-21221</v>
      </c>
      <c r="J27" s="265">
        <f>N(J8)</f>
        <v>-34838</v>
      </c>
      <c r="K27" s="265">
        <f>N(K8)</f>
        <v>-45656</v>
      </c>
      <c r="L27" s="265">
        <f>N(L8)-SUM(I8:K8)</f>
        <v>-46705</v>
      </c>
      <c r="N27" s="265">
        <f>N(N8)</f>
        <v>-36163</v>
      </c>
      <c r="O27" s="265">
        <f>N(O8)</f>
        <v>-24601</v>
      </c>
      <c r="P27" s="265">
        <f>N(P8)</f>
        <v>-30980</v>
      </c>
      <c r="Q27" s="265">
        <f>N(Q8)-SUM(N8:P8)</f>
        <v>-40979</v>
      </c>
      <c r="S27" s="265">
        <f>N(S8)</f>
        <v>-37847</v>
      </c>
      <c r="T27" s="265">
        <f>N(T8)</f>
        <v>-34590</v>
      </c>
      <c r="U27" s="265">
        <f>N(U8)</f>
        <v>-45264</v>
      </c>
      <c r="V27" s="265">
        <f>N(V8)-SUM(S8:U8)</f>
        <v>-46482</v>
      </c>
      <c r="X27" s="265">
        <f>N(X8)</f>
        <v>-43344</v>
      </c>
      <c r="Y27" s="265">
        <f>N(Y8)</f>
        <v>-45281</v>
      </c>
      <c r="Z27" s="265">
        <f>N(Z8)</f>
        <v>-50333</v>
      </c>
      <c r="AA27" s="265">
        <f>N(AA8)-SUM(X8:Z8)</f>
        <v>-49020</v>
      </c>
      <c r="AC27" s="265">
        <f>N(AC8)</f>
        <v>-45161</v>
      </c>
      <c r="AD27" s="265">
        <f>N(AD8)</f>
        <v>-91828</v>
      </c>
    </row>
    <row r="28">
      <c r="A28" t="inlineStr">
        <is>
          <t>Perdas pela nao recuperabilidade de ativos (CVM 3.04.03) · derivada · unid. moeda</t>
        </is>
      </c>
      <c r="B28" t="n">
        <v>3</v>
      </c>
      <c r="C28" t="inlineStr">
        <is>
          <t>SG&amp;A and Other (cash)</t>
        </is>
      </c>
      <c r="D28" s="265">
        <f>N(D9)</f>
        <v>0</v>
      </c>
      <c r="E28" s="265">
        <f>N(E9)</f>
        <v>0</v>
      </c>
      <c r="F28" s="265">
        <f>N(F9)</f>
        <v>0</v>
      </c>
      <c r="G28" s="265">
        <f>N(G9)-SUM(D9:F9)</f>
        <v>0</v>
      </c>
      <c r="I28" s="265">
        <f>N(I9)</f>
        <v>0</v>
      </c>
      <c r="J28" s="265">
        <f>N(J9)</f>
        <v>0</v>
      </c>
      <c r="K28" s="265">
        <f>N(K9)</f>
        <v>0</v>
      </c>
      <c r="L28" s="265">
        <f>N(L9)-SUM(I9:K9)</f>
        <v>0</v>
      </c>
      <c r="N28" s="265">
        <f>N(N9)</f>
        <v>0</v>
      </c>
      <c r="O28" s="265">
        <f>N(O9)</f>
        <v>0</v>
      </c>
      <c r="P28" s="265">
        <f>N(P9)</f>
        <v>0</v>
      </c>
      <c r="Q28" s="265">
        <f>N(Q9)-SUM(N9:P9)</f>
        <v>0</v>
      </c>
      <c r="S28" s="265">
        <f>N(S9)</f>
        <v>0</v>
      </c>
      <c r="T28" s="265">
        <f>N(T9)</f>
        <v>0</v>
      </c>
      <c r="U28" s="265">
        <f>N(U9)</f>
        <v>0</v>
      </c>
      <c r="V28" s="265">
        <f>N(V9)-SUM(S9:U9)</f>
        <v>0</v>
      </c>
      <c r="X28" s="265">
        <f>N(X9)</f>
        <v>0</v>
      </c>
      <c r="Y28" s="265">
        <f>N(Y9)</f>
        <v>0</v>
      </c>
      <c r="Z28" s="265">
        <f>N(Z9)</f>
        <v>0</v>
      </c>
      <c r="AA28" s="265">
        <f>N(AA9)-SUM(X9:Z9)</f>
        <v>0</v>
      </c>
      <c r="AC28" s="265">
        <f>N(AC9)</f>
        <v>0</v>
      </c>
      <c r="AD28" s="265">
        <f>N(AD9)</f>
        <v>0</v>
      </c>
    </row>
    <row r="29">
      <c r="A29" t="inlineStr">
        <is>
          <t>Outras receitas operacionais (CVM 3.04.04) · derivada · unid. moeda</t>
        </is>
      </c>
      <c r="B29" t="n">
        <v>3</v>
      </c>
      <c r="C29" t="inlineStr">
        <is>
          <t>SG&amp;A and Other (cash)</t>
        </is>
      </c>
      <c r="D29" s="265">
        <f>N(D10)</f>
        <v>0</v>
      </c>
      <c r="E29" s="265">
        <f>N(E10)</f>
        <v>1601</v>
      </c>
      <c r="F29" s="265">
        <f>N(F10)</f>
        <v>2142</v>
      </c>
      <c r="G29" s="265">
        <f>N(G10)-SUM(D10:F10)</f>
        <v>-5272</v>
      </c>
      <c r="I29" s="265">
        <f>N(I10)</f>
        <v>0</v>
      </c>
      <c r="J29" s="265">
        <f>N(J10)</f>
        <v>15694</v>
      </c>
      <c r="K29" s="265">
        <f>N(K10)</f>
        <v>-405</v>
      </c>
      <c r="L29" s="265">
        <f>N(L10)-SUM(I10:K10)</f>
        <v>-4979</v>
      </c>
      <c r="N29" s="265">
        <f>N(N10)</f>
        <v>0</v>
      </c>
      <c r="O29" s="265">
        <f>N(O10)</f>
        <v>-1013</v>
      </c>
      <c r="P29" s="265">
        <f>N(P10)</f>
        <v>1896</v>
      </c>
      <c r="Q29" s="265">
        <f>N(Q10)-SUM(N10:P10)</f>
        <v>62823</v>
      </c>
      <c r="S29" s="265">
        <f>N(S10)</f>
        <v>0</v>
      </c>
      <c r="T29" s="265">
        <f>N(T10)</f>
        <v>2538</v>
      </c>
      <c r="U29" s="265">
        <f>N(U10)</f>
        <v>6182</v>
      </c>
      <c r="V29" s="265">
        <f>N(V10)-SUM(S10:U10)</f>
        <v>347</v>
      </c>
      <c r="X29" s="265">
        <f>N(X10)</f>
        <v>0</v>
      </c>
      <c r="Y29" s="265">
        <f>N(Y10)</f>
        <v>772</v>
      </c>
      <c r="Z29" s="265">
        <f>N(Z10)</f>
        <v>0</v>
      </c>
      <c r="AA29" s="265">
        <f>N(AA10)-SUM(X10:Z10)</f>
        <v>5079</v>
      </c>
      <c r="AC29" s="265">
        <f>N(AC10)</f>
        <v>0</v>
      </c>
      <c r="AD29" s="265">
        <f>N(AD10)</f>
        <v>-4215</v>
      </c>
    </row>
    <row r="30">
      <c r="A30" t="inlineStr">
        <is>
          <t>Outras despesas operacionais (CVM 3.04.05) · derivada · unid. moeda</t>
        </is>
      </c>
      <c r="B30" t="n">
        <v>3</v>
      </c>
      <c r="C30" t="inlineStr">
        <is>
          <t>SG&amp;A and Other (cash)</t>
        </is>
      </c>
      <c r="D30" s="265">
        <f>N(D11)</f>
        <v>-932</v>
      </c>
      <c r="E30" s="265">
        <f>N(E11)</f>
        <v>0</v>
      </c>
      <c r="F30" s="265">
        <f>N(F11)</f>
        <v>0</v>
      </c>
      <c r="G30" s="265">
        <f>N(G11)-SUM(D11:F11)</f>
        <v>932</v>
      </c>
      <c r="I30" s="265">
        <f>N(I11)</f>
        <v>-899</v>
      </c>
      <c r="J30" s="265">
        <f>N(J11)</f>
        <v>0</v>
      </c>
      <c r="K30" s="265">
        <f>N(K11)</f>
        <v>0</v>
      </c>
      <c r="L30" s="265">
        <f>N(L11)-SUM(I11:K11)</f>
        <v>899</v>
      </c>
      <c r="N30" s="265">
        <f>N(N11)</f>
        <v>2745</v>
      </c>
      <c r="O30" s="265">
        <f>N(O11)</f>
        <v>0</v>
      </c>
      <c r="P30" s="265">
        <f>N(P11)</f>
        <v>0</v>
      </c>
      <c r="Q30" s="265">
        <f>N(Q11)-SUM(N11:P11)</f>
        <v>-2745</v>
      </c>
      <c r="S30" s="265">
        <f>N(S11)</f>
        <v>7620</v>
      </c>
      <c r="T30" s="265">
        <f>N(T11)</f>
        <v>0</v>
      </c>
      <c r="U30" s="265">
        <f>N(U11)</f>
        <v>0</v>
      </c>
      <c r="V30" s="265">
        <f>N(V11)-SUM(S11:U11)</f>
        <v>-7620</v>
      </c>
      <c r="X30" s="265">
        <f>N(X11)</f>
        <v>-2034</v>
      </c>
      <c r="Y30" s="265">
        <f>N(Y11)</f>
        <v>0</v>
      </c>
      <c r="Z30" s="265">
        <f>N(Z11)</f>
        <v>-2982</v>
      </c>
      <c r="AA30" s="265">
        <f>N(AA11)-SUM(X11:Z11)</f>
        <v>5016</v>
      </c>
      <c r="AC30" s="265">
        <f>N(AC11)</f>
        <v>-809</v>
      </c>
      <c r="AD30" s="265">
        <f>N(AD11)</f>
        <v>0</v>
      </c>
    </row>
    <row r="31">
      <c r="A31" t="inlineStr">
        <is>
          <t>Resultado de equivalencia patrimonial (CVM 3.04.06) · derivada · unid. moeda</t>
        </is>
      </c>
      <c r="B31" t="n">
        <v>8</v>
      </c>
      <c r="C31" t="inlineStr">
        <is>
          <t>Equity in Income of Affiliates, after tax (enter as +)</t>
        </is>
      </c>
      <c r="D31" s="265">
        <f>N(D12)</f>
        <v>102</v>
      </c>
      <c r="E31" s="265">
        <f>N(E12)</f>
        <v>28</v>
      </c>
      <c r="F31" s="265">
        <f>N(F12)</f>
        <v>215</v>
      </c>
      <c r="G31" s="265">
        <f>N(G12)-SUM(D12:F12)</f>
        <v>379</v>
      </c>
      <c r="I31" s="265">
        <f>N(I12)</f>
        <v>-1</v>
      </c>
      <c r="J31" s="265">
        <f>N(J12)</f>
        <v>-5637</v>
      </c>
      <c r="K31" s="265">
        <f>N(K12)</f>
        <v>9569</v>
      </c>
      <c r="L31" s="265">
        <f>N(L12)-SUM(I12:K12)</f>
        <v>3789</v>
      </c>
      <c r="N31" s="265">
        <f>N(N12)</f>
        <v>2973</v>
      </c>
      <c r="O31" s="265">
        <f>N(O12)</f>
        <v>3062</v>
      </c>
      <c r="P31" s="265">
        <f>N(P12)</f>
        <v>1779</v>
      </c>
      <c r="Q31" s="265">
        <f>N(Q12)-SUM(N12:P12)</f>
        <v>3246</v>
      </c>
      <c r="S31" s="265">
        <f>N(S12)</f>
        <v>4470</v>
      </c>
      <c r="T31" s="265">
        <f>N(T12)</f>
        <v>2332</v>
      </c>
      <c r="U31" s="265">
        <f>N(U12)</f>
        <v>5237</v>
      </c>
      <c r="V31" s="265">
        <f>N(V12)-SUM(S12:U12)</f>
        <v>2648</v>
      </c>
      <c r="X31" s="265">
        <f>N(X12)</f>
        <v>4179</v>
      </c>
      <c r="Y31" s="265">
        <f>N(Y12)</f>
        <v>1578</v>
      </c>
      <c r="Z31" s="265">
        <f>N(Z12)</f>
        <v>1024</v>
      </c>
      <c r="AA31" s="265">
        <f>N(AA12)-SUM(X12:Z12)</f>
        <v>34</v>
      </c>
      <c r="AC31" s="265">
        <f>N(AC12)</f>
        <v>-461</v>
      </c>
      <c r="AD31" s="265">
        <f>N(AD12)</f>
        <v>-4378</v>
      </c>
    </row>
    <row r="32">
      <c r="A32" t="inlineStr">
        <is>
          <t>Receitas financeiras (CVM 3.06.01) · derivada · unid. moeda</t>
        </is>
      </c>
      <c r="B32" t="n">
        <v>6</v>
      </c>
      <c r="C32" t="inlineStr">
        <is>
          <t>Nonoperating Income / (Loss)</t>
        </is>
      </c>
      <c r="D32" s="265">
        <f>N(D13)</f>
        <v>4747</v>
      </c>
      <c r="E32" s="265">
        <f>N(E13)</f>
        <v>8841</v>
      </c>
      <c r="F32" s="265">
        <f>N(F13)</f>
        <v>9664</v>
      </c>
      <c r="G32" s="265">
        <f>N(G13)-SUM(D13:F13)</f>
        <v>3268</v>
      </c>
      <c r="I32" s="265">
        <f>N(I13)</f>
        <v>14314</v>
      </c>
      <c r="J32" s="265">
        <f>N(J13)</f>
        <v>58345</v>
      </c>
      <c r="K32" s="265">
        <f>N(K13)</f>
        <v>531</v>
      </c>
      <c r="L32" s="265">
        <f>N(L13)-SUM(I13:K13)</f>
        <v>4031</v>
      </c>
      <c r="N32" s="265">
        <f>N(N13)</f>
        <v>4578</v>
      </c>
      <c r="O32" s="265">
        <f>N(O13)</f>
        <v>8653</v>
      </c>
      <c r="P32" s="265">
        <f>N(P13)</f>
        <v>11044</v>
      </c>
      <c r="Q32" s="265">
        <f>N(Q13)-SUM(N13:P13)</f>
        <v>56112</v>
      </c>
      <c r="S32" s="265">
        <f>N(S13)</f>
        <v>7702</v>
      </c>
      <c r="T32" s="265">
        <f>N(T13)</f>
        <v>12609</v>
      </c>
      <c r="U32" s="265">
        <f>N(U13)</f>
        <v>9343</v>
      </c>
      <c r="V32" s="265">
        <f>N(V13)-SUM(S13:U13)</f>
        <v>28989</v>
      </c>
      <c r="X32" s="265">
        <f>N(X13)</f>
        <v>18835</v>
      </c>
      <c r="Y32" s="265">
        <f>N(Y13)</f>
        <v>24933</v>
      </c>
      <c r="Z32" s="265">
        <f>N(Z13)</f>
        <v>36113</v>
      </c>
      <c r="AA32" s="265">
        <f>N(AA13)-SUM(X13:Z13)</f>
        <v>32198</v>
      </c>
      <c r="AC32" s="265">
        <f>N(AC13)</f>
        <v>25952</v>
      </c>
      <c r="AD32" s="265">
        <f>N(AD13)</f>
        <v>35170</v>
      </c>
    </row>
    <row r="33">
      <c r="A33" t="inlineStr">
        <is>
          <t>Despesas financeiras (CVM 3.06.02) · derivada · unid. moeda</t>
        </is>
      </c>
      <c r="B33" t="n">
        <v>5</v>
      </c>
      <c r="C33" t="inlineStr">
        <is>
          <t>Interest Expense</t>
        </is>
      </c>
      <c r="D33" s="265">
        <f>N(D14)</f>
        <v>-24167</v>
      </c>
      <c r="E33" s="265">
        <f>N(E14)</f>
        <v>-22467</v>
      </c>
      <c r="F33" s="265">
        <f>N(F14)</f>
        <v>-23898</v>
      </c>
      <c r="G33" s="265">
        <f>N(G14)-SUM(D14:F14)</f>
        <v>-55165</v>
      </c>
      <c r="I33" s="265">
        <f>N(I14)</f>
        <v>-41349</v>
      </c>
      <c r="J33" s="265">
        <f>N(J14)</f>
        <v>-69039</v>
      </c>
      <c r="K33" s="265">
        <f>N(K14)</f>
        <v>-37467</v>
      </c>
      <c r="L33" s="265">
        <f>N(L14)-SUM(I14:K14)</f>
        <v>-83725</v>
      </c>
      <c r="N33" s="265">
        <f>N(N14)</f>
        <v>-52374</v>
      </c>
      <c r="O33" s="265">
        <f>N(O14)</f>
        <v>-45602</v>
      </c>
      <c r="P33" s="265">
        <f>N(P14)</f>
        <v>-45529</v>
      </c>
      <c r="Q33" s="265">
        <f>N(Q14)-SUM(N14:P14)</f>
        <v>-55686</v>
      </c>
      <c r="S33" s="265">
        <f>N(S14)</f>
        <v>-46582</v>
      </c>
      <c r="T33" s="265">
        <f>N(T14)</f>
        <v>-48709</v>
      </c>
      <c r="U33" s="265">
        <f>N(U14)</f>
        <v>-56076</v>
      </c>
      <c r="V33" s="265">
        <f>N(V14)-SUM(S14:U14)</f>
        <v>-78046</v>
      </c>
      <c r="X33" s="265">
        <f>N(X14)</f>
        <v>-74070</v>
      </c>
      <c r="Y33" s="265">
        <f>N(Y14)</f>
        <v>-73588</v>
      </c>
      <c r="Z33" s="265">
        <f>N(Z14)</f>
        <v>-89868</v>
      </c>
      <c r="AA33" s="265">
        <f>N(AA14)-SUM(X14:Z14)</f>
        <v>-87635</v>
      </c>
      <c r="AC33" s="265">
        <f>N(AC14)</f>
        <v>-77362</v>
      </c>
      <c r="AD33" s="265">
        <f>N(AD14)</f>
        <v>-88947</v>
      </c>
    </row>
    <row r="34">
      <c r="A34" t="inlineStr">
        <is>
          <t>IR e CSLL (corrente + diferido) (CVM 3.08) · derivada · unid. moeda</t>
        </is>
      </c>
      <c r="B34" t="n">
        <v>7</v>
      </c>
      <c r="C34" t="inlineStr">
        <is>
          <t>Taxes</t>
        </is>
      </c>
      <c r="D34" s="265">
        <f>N(D15)</f>
        <v>-2195</v>
      </c>
      <c r="E34" s="265">
        <f>N(E15)</f>
        <v>-4937</v>
      </c>
      <c r="F34" s="265">
        <f>N(F15)</f>
        <v>-6923</v>
      </c>
      <c r="G34" s="265">
        <f>N(G15)-SUM(D15:F15)</f>
        <v>-21959</v>
      </c>
      <c r="I34" s="265">
        <f>N(I15)</f>
        <v>-4231</v>
      </c>
      <c r="J34" s="265">
        <f>N(J15)</f>
        <v>-18959</v>
      </c>
      <c r="K34" s="265">
        <f>N(K15)</f>
        <v>-14780</v>
      </c>
      <c r="L34" s="265">
        <f>N(L15)-SUM(I15:K15)</f>
        <v>-8640</v>
      </c>
      <c r="N34" s="265">
        <f>N(N15)</f>
        <v>-7213</v>
      </c>
      <c r="O34" s="265">
        <f>N(O15)</f>
        <v>-9890</v>
      </c>
      <c r="P34" s="265">
        <f>N(P15)</f>
        <v>-6123</v>
      </c>
      <c r="Q34" s="265">
        <f>N(Q15)-SUM(N15:P15)</f>
        <v>2477</v>
      </c>
      <c r="S34" s="265">
        <f>N(S15)</f>
        <v>-1743</v>
      </c>
      <c r="T34" s="265">
        <f>N(T15)</f>
        <v>-16947</v>
      </c>
      <c r="U34" s="265">
        <f>N(U15)</f>
        <v>-3096</v>
      </c>
      <c r="V34" s="265">
        <f>N(V15)-SUM(S15:U15)</f>
        <v>-6086</v>
      </c>
      <c r="X34" s="265">
        <f>N(X15)</f>
        <v>-8023</v>
      </c>
      <c r="Y34" s="265">
        <f>N(Y15)</f>
        <v>-5741</v>
      </c>
      <c r="Z34" s="265">
        <f>N(Z15)</f>
        <v>-3384</v>
      </c>
      <c r="AA34" s="265">
        <f>N(AA15)-SUM(X15:Z15)</f>
        <v>-5759</v>
      </c>
      <c r="AC34" s="265">
        <f>N(AC15)</f>
        <v>-12257</v>
      </c>
      <c r="AD34" s="265">
        <f>N(AD15)</f>
        <v>-32250</v>
      </c>
    </row>
    <row r="35">
      <c r="A35" t="inlineStr">
        <is>
          <t>Lucro/prejuizo consolidado do periodo - memoria (CVM 3.11) · derivada · unid. moeda</t>
        </is>
      </c>
      <c r="C35" t="inlineStr">
        <is>
          <t>[linha bruta, sem código; lançada nas linhas abaixo]</t>
        </is>
      </c>
      <c r="D35" s="265">
        <f>N(D16)</f>
        <v>-45525</v>
      </c>
      <c r="E35" s="265">
        <f>N(E16)</f>
        <v>6399</v>
      </c>
      <c r="F35" s="265">
        <f>N(F16)</f>
        <v>-1349</v>
      </c>
      <c r="G35" s="265">
        <f>N(G16)-SUM(D16:F16)</f>
        <v>-15034</v>
      </c>
      <c r="I35" s="265">
        <f>N(I16)</f>
        <v>-19374</v>
      </c>
      <c r="J35" s="265">
        <f>N(J16)</f>
        <v>-10320</v>
      </c>
      <c r="K35" s="265">
        <f>N(K16)</f>
        <v>-29626</v>
      </c>
      <c r="L35" s="265">
        <f>N(L16)-SUM(I16:K16)</f>
        <v>-84144</v>
      </c>
      <c r="N35" s="265">
        <f>N(N16)</f>
        <v>-43180</v>
      </c>
      <c r="O35" s="265">
        <f>N(O16)</f>
        <v>-2851</v>
      </c>
      <c r="P35" s="265">
        <f>N(P16)</f>
        <v>3894</v>
      </c>
      <c r="Q35" s="265">
        <f>N(Q16)-SUM(N16:P16)</f>
        <v>92304</v>
      </c>
      <c r="S35" s="265">
        <f>N(S16)</f>
        <v>30194</v>
      </c>
      <c r="T35" s="265">
        <f>N(T16)</f>
        <v>11159</v>
      </c>
      <c r="U35" s="265">
        <f>N(U16)</f>
        <v>41256</v>
      </c>
      <c r="V35" s="265">
        <f>N(V16)-SUM(S16:U16)</f>
        <v>-8133</v>
      </c>
      <c r="X35" s="265">
        <f>N(X16)</f>
        <v>-3557</v>
      </c>
      <c r="Y35" s="265">
        <f>N(Y16)</f>
        <v>26757</v>
      </c>
      <c r="Z35" s="265">
        <f>N(Z16)</f>
        <v>27342</v>
      </c>
      <c r="AA35" s="265">
        <f>N(AA16)-SUM(X16:Z16)</f>
        <v>23420</v>
      </c>
      <c r="AC35" s="265">
        <f>N(AC16)</f>
        <v>22622</v>
      </c>
      <c r="AD35" s="265">
        <f>N(AD16)</f>
        <v>6351</v>
      </c>
    </row>
    <row r="36">
      <c r="A36" t="inlineStr">
        <is>
          <t>Atribuido a socios nao controladores (COD 9 com sinal -1) (CVM 3.11.02) · derivada · unid. moeda</t>
        </is>
      </c>
      <c r="C36" t="inlineStr">
        <is>
          <t>[linha bruta, sem código; lançada nas linhas abaixo]</t>
        </is>
      </c>
      <c r="D36" s="265">
        <f>N(D17)</f>
        <v>1054</v>
      </c>
      <c r="E36" s="265">
        <f>N(E17)</f>
        <v>988</v>
      </c>
      <c r="F36" s="265">
        <f>N(F17)</f>
        <v>859</v>
      </c>
      <c r="G36" s="265">
        <f>N(G17)-SUM(D17:F17)</f>
        <v>3618</v>
      </c>
      <c r="I36" s="265">
        <f>N(I17)</f>
        <v>773</v>
      </c>
      <c r="J36" s="265">
        <f>N(J17)</f>
        <v>1650</v>
      </c>
      <c r="K36" s="265">
        <f>N(K17)</f>
        <v>1467</v>
      </c>
      <c r="L36" s="265">
        <f>N(L17)-SUM(I17:K17)</f>
        <v>1652</v>
      </c>
      <c r="N36" s="265">
        <f>N(N17)</f>
        <v>1893</v>
      </c>
      <c r="O36" s="265">
        <f>N(O17)</f>
        <v>2298</v>
      </c>
      <c r="P36" s="265">
        <f>N(P17)</f>
        <v>2043</v>
      </c>
      <c r="Q36" s="265">
        <f>N(Q17)-SUM(N17:P17)</f>
        <v>3818</v>
      </c>
      <c r="S36" s="265">
        <f>N(S17)</f>
        <v>4651</v>
      </c>
      <c r="T36" s="265">
        <f>N(T17)</f>
        <v>2353</v>
      </c>
      <c r="U36" s="265">
        <f>N(U17)</f>
        <v>4172</v>
      </c>
      <c r="V36" s="265">
        <f>N(V17)-SUM(S17:U17)</f>
        <v>2403</v>
      </c>
      <c r="X36" s="265">
        <f>N(X17)</f>
        <v>2765</v>
      </c>
      <c r="Y36" s="265">
        <f>N(Y17)</f>
        <v>2911</v>
      </c>
      <c r="Z36" s="265">
        <f>N(Z17)</f>
        <v>4054</v>
      </c>
      <c r="AA36" s="265">
        <f>N(AA17)-SUM(X17:Z17)</f>
        <v>4090</v>
      </c>
      <c r="AC36" s="265">
        <f>N(AC17)</f>
        <v>3838</v>
      </c>
      <c r="AD36" s="265">
        <f>N(AD17)</f>
        <v>17498</v>
      </c>
    </row>
    <row r="37">
      <c r="A37" t="inlineStr">
        <is>
          <t>(lançamento) código 9, sinal -1 sobre a linha bruta 36: Atribuido a socios nao controladores (COD 9 com sinal -1) (CVM 3.11.02)</t>
        </is>
      </c>
      <c r="B37" t="n">
        <v>9</v>
      </c>
      <c r="C37" t="inlineStr">
        <is>
          <t>Minority Interest Expense, after tax (enter as - )</t>
        </is>
      </c>
      <c r="D37" s="265">
        <f>IF(D36="","",-1*D36)</f>
        <v>-1054</v>
      </c>
      <c r="E37" s="265">
        <f>IF(E36="","",-1*E36)</f>
        <v>-988</v>
      </c>
      <c r="F37" s="265">
        <f>IF(F36="","",-1*F36)</f>
        <v>-859</v>
      </c>
      <c r="G37" s="265">
        <f>IF(G36="","",-1*G36)</f>
        <v>-3618</v>
      </c>
      <c r="I37" s="265">
        <f>IF(I36="","",-1*I36)</f>
        <v>-773</v>
      </c>
      <c r="J37" s="265">
        <f>IF(J36="","",-1*J36)</f>
        <v>-1650</v>
      </c>
      <c r="K37" s="265">
        <f>IF(K36="","",-1*K36)</f>
        <v>-1467</v>
      </c>
      <c r="L37" s="265">
        <f>IF(L36="","",-1*L36)</f>
        <v>-1652</v>
      </c>
      <c r="N37" s="265">
        <f>IF(N36="","",-1*N36)</f>
        <v>-1893</v>
      </c>
      <c r="O37" s="265">
        <f>IF(O36="","",-1*O36)</f>
        <v>-2298</v>
      </c>
      <c r="P37" s="265">
        <f>IF(P36="","",-1*P36)</f>
        <v>-2043</v>
      </c>
      <c r="Q37" s="265">
        <f>IF(Q36="","",-1*Q36)</f>
        <v>-3818</v>
      </c>
      <c r="S37" s="265">
        <f>IF(S36="","",-1*S36)</f>
        <v>-4651</v>
      </c>
      <c r="T37" s="265">
        <f>IF(T36="","",-1*T36)</f>
        <v>-2353</v>
      </c>
      <c r="U37" s="265">
        <f>IF(U36="","",-1*U36)</f>
        <v>-4172</v>
      </c>
      <c r="V37" s="265">
        <f>IF(V36="","",-1*V36)</f>
        <v>-2403</v>
      </c>
      <c r="X37" s="265">
        <f>IF(X36="","",-1*X36)</f>
        <v>-2765</v>
      </c>
      <c r="Y37" s="265">
        <f>IF(Y36="","",-1*Y36)</f>
        <v>-2911</v>
      </c>
      <c r="Z37" s="265">
        <f>IF(Z36="","",-1*Z36)</f>
        <v>-4054</v>
      </c>
      <c r="AA37" s="265">
        <f>IF(AA36="","",-1*AA36)</f>
        <v>-4090</v>
      </c>
      <c r="AC37" s="265">
        <f>IF(AC36="","",-1*AC36)</f>
        <v>-3838</v>
      </c>
      <c r="AD37" s="265">
        <f>IF(AD36="","",-1*AD36)</f>
        <v>-17498</v>
      </c>
    </row>
    <row r="38">
      <c r="A38" t="inlineStr">
        <is>
          <t>Lucro atribuido a controladora (CVM 3.11.01, trimestral) - COD 44 alimenta o check IS do Model (linha 4) · derivada · unid. moeda</t>
        </is>
      </c>
      <c r="B38" t="n">
        <v>44</v>
      </c>
      <c r="C38" t="inlineStr">
        <is>
          <t>Lucro atribuido a controladora (CVM 3.11.01, trimestral) - C</t>
        </is>
      </c>
      <c r="D38" s="265">
        <f>N(D18)</f>
        <v>-46579</v>
      </c>
      <c r="E38" s="265">
        <f>N(E18)</f>
        <v>5411</v>
      </c>
      <c r="F38" s="265">
        <f>N(F18)</f>
        <v>-2208</v>
      </c>
      <c r="G38" s="265">
        <f>N(G18)-SUM(D18:F18)</f>
        <v>-18652</v>
      </c>
      <c r="I38" s="265">
        <f>N(I18)</f>
        <v>-20147</v>
      </c>
      <c r="J38" s="265">
        <f>N(J18)</f>
        <v>-11970</v>
      </c>
      <c r="K38" s="265">
        <f>N(K18)</f>
        <v>-31093</v>
      </c>
      <c r="L38" s="265">
        <f>N(L18)-SUM(I18:K18)</f>
        <v>-85796</v>
      </c>
      <c r="N38" s="265">
        <f>N(N18)</f>
        <v>-45073</v>
      </c>
      <c r="O38" s="265">
        <f>N(O18)</f>
        <v>-5149</v>
      </c>
      <c r="P38" s="265">
        <f>N(P18)</f>
        <v>1851</v>
      </c>
      <c r="Q38" s="265">
        <f>N(Q18)-SUM(N18:P18)</f>
        <v>88486</v>
      </c>
      <c r="S38" s="265">
        <f>N(S18)</f>
        <v>25543</v>
      </c>
      <c r="T38" s="265">
        <f>N(T18)</f>
        <v>8806</v>
      </c>
      <c r="U38" s="265">
        <f>N(U18)</f>
        <v>37084</v>
      </c>
      <c r="V38" s="265">
        <f>N(V18)-SUM(S18:U18)</f>
        <v>-10536</v>
      </c>
      <c r="X38" s="265">
        <f>N(X18)</f>
        <v>-6322</v>
      </c>
      <c r="Y38" s="265">
        <f>N(Y18)</f>
        <v>23846</v>
      </c>
      <c r="Z38" s="265">
        <f>N(Z18)</f>
        <v>23288</v>
      </c>
      <c r="AA38" s="265">
        <f>N(AA18)-SUM(X18:Z18)</f>
        <v>19330</v>
      </c>
      <c r="AC38" s="265">
        <f>N(AC18)</f>
        <v>18784</v>
      </c>
      <c r="AD38" s="265">
        <f>N(AD18)</f>
        <v>-11147</v>
      </c>
    </row>
    <row r="39">
      <c r="A39" t="inlineStr">
        <is>
          <t>D&amp;A (DFC, trimestralizada). COD1=4 lanca; COD2=2 devolve ao custo (D&amp;A dos aterros e plantas esta no custo) · derivada · unid. moeda</t>
        </is>
      </c>
      <c r="C39" t="inlineStr">
        <is>
          <t>[linha bruta, sem código; lançada nas linhas abaixo]</t>
        </is>
      </c>
      <c r="D39" s="265">
        <f>N(D20)</f>
        <v>10679</v>
      </c>
      <c r="E39" s="265">
        <f>N(E20)-N(D20)</f>
        <v>11878</v>
      </c>
      <c r="F39" s="265">
        <f>N(F20)-N(E20)</f>
        <v>13134</v>
      </c>
      <c r="G39" s="265">
        <f>N(G20)-N(F20)</f>
        <v>17704</v>
      </c>
      <c r="I39" s="265">
        <f>N(I20)</f>
        <v>15688</v>
      </c>
      <c r="J39" s="265">
        <f>N(J20)-N(I20)</f>
        <v>30096</v>
      </c>
      <c r="K39" s="265">
        <f>N(K20)-N(J20)</f>
        <v>48076</v>
      </c>
      <c r="L39" s="265">
        <f>N(L20)-N(K20)</f>
        <v>41858</v>
      </c>
      <c r="N39" s="265">
        <f>N(N20)</f>
        <v>60225</v>
      </c>
      <c r="O39" s="265">
        <f>N(O20)-N(N20)</f>
        <v>35636</v>
      </c>
      <c r="P39" s="265">
        <f>N(P20)-N(O20)</f>
        <v>37234</v>
      </c>
      <c r="Q39" s="265">
        <f>N(Q20)-N(P20)</f>
        <v>32565</v>
      </c>
      <c r="S39" s="265">
        <f>N(S20)</f>
        <v>35203</v>
      </c>
      <c r="T39" s="265">
        <f>N(T20)-N(S20)</f>
        <v>32275</v>
      </c>
      <c r="U39" s="265">
        <f>N(U20)-N(T20)</f>
        <v>39870</v>
      </c>
      <c r="V39" s="265">
        <f>N(V20)-N(U20)</f>
        <v>48619</v>
      </c>
      <c r="X39" s="265">
        <f>N(X20)</f>
        <v>48663</v>
      </c>
      <c r="Y39" s="265">
        <f>N(Y20)-N(X20)</f>
        <v>42936</v>
      </c>
      <c r="Z39" s="265">
        <f>N(Z20)-N(Y20)</f>
        <v>44612</v>
      </c>
      <c r="AA39" s="265">
        <f>N(AA20)-N(Z20)</f>
        <v>44967</v>
      </c>
      <c r="AC39" s="265">
        <f>N(AC20)</f>
        <v>51389</v>
      </c>
      <c r="AD39" s="265">
        <f>N(AD20)-N(AC20)</f>
        <v>57892</v>
      </c>
    </row>
    <row r="40">
      <c r="A40" t="inlineStr">
        <is>
          <t>(lançamento) código 4, sinal -1 sobre a linha bruta 39: D&amp;A (DFC, trimestralizada). COD1=4 lanca; COD2=2 devolve ao custo (D&amp;A dos aterros e plant</t>
        </is>
      </c>
      <c r="B40" t="n">
        <v>4</v>
      </c>
      <c r="C40" t="inlineStr">
        <is>
          <t>D&amp;A</t>
        </is>
      </c>
      <c r="D40" s="265">
        <f>IF(D39="","",-1*D39)</f>
        <v>-10679</v>
      </c>
      <c r="E40" s="265">
        <f>IF(E39="","",-1*E39)</f>
        <v>-11878</v>
      </c>
      <c r="F40" s="265">
        <f>IF(F39="","",-1*F39)</f>
        <v>-13134</v>
      </c>
      <c r="G40" s="265">
        <f>IF(G39="","",-1*G39)</f>
        <v>-17704</v>
      </c>
      <c r="I40" s="265">
        <f>IF(I39="","",-1*I39)</f>
        <v>-15688</v>
      </c>
      <c r="J40" s="265">
        <f>IF(J39="","",-1*J39)</f>
        <v>-30096</v>
      </c>
      <c r="K40" s="265">
        <f>IF(K39="","",-1*K39)</f>
        <v>-48076</v>
      </c>
      <c r="L40" s="265">
        <f>IF(L39="","",-1*L39)</f>
        <v>-41858</v>
      </c>
      <c r="N40" s="265">
        <f>IF(N39="","",-1*N39)</f>
        <v>-60225</v>
      </c>
      <c r="O40" s="265">
        <f>IF(O39="","",-1*O39)</f>
        <v>-35636</v>
      </c>
      <c r="P40" s="265">
        <f>IF(P39="","",-1*P39)</f>
        <v>-37234</v>
      </c>
      <c r="Q40" s="265">
        <f>IF(Q39="","",-1*Q39)</f>
        <v>-32565</v>
      </c>
      <c r="S40" s="265">
        <f>IF(S39="","",-1*S39)</f>
        <v>-35203</v>
      </c>
      <c r="T40" s="265">
        <f>IF(T39="","",-1*T39)</f>
        <v>-32275</v>
      </c>
      <c r="U40" s="265">
        <f>IF(U39="","",-1*U39)</f>
        <v>-39870</v>
      </c>
      <c r="V40" s="265">
        <f>IF(V39="","",-1*V39)</f>
        <v>-48619</v>
      </c>
      <c r="X40" s="265">
        <f>IF(X39="","",-1*X39)</f>
        <v>-48663</v>
      </c>
      <c r="Y40" s="265">
        <f>IF(Y39="","",-1*Y39)</f>
        <v>-42936</v>
      </c>
      <c r="Z40" s="265">
        <f>IF(Z39="","",-1*Z39)</f>
        <v>-44612</v>
      </c>
      <c r="AA40" s="265">
        <f>IF(AA39="","",-1*AA39)</f>
        <v>-44967</v>
      </c>
      <c r="AC40" s="265">
        <f>IF(AC39="","",-1*AC39)</f>
        <v>-51389</v>
      </c>
      <c r="AD40" s="265">
        <f>IF(AD39="","",-1*AD39)</f>
        <v>-57892</v>
      </c>
    </row>
    <row r="41">
      <c r="A41" t="inlineStr">
        <is>
          <t>(lançamento) código 2, sinal +1 sobre a linha bruta 39: D&amp;A (DFC, trimestralizada). COD1=4 lanca; COD2=2 devolve ao custo (D&amp;A dos aterros e plant</t>
        </is>
      </c>
      <c r="B41" t="n">
        <v>2</v>
      </c>
      <c r="C41" t="inlineStr">
        <is>
          <t>COGS (cash)</t>
        </is>
      </c>
      <c r="D41" s="265">
        <f>IF(D39="","",D39)</f>
        <v>10679</v>
      </c>
      <c r="E41" s="265">
        <f>IF(E39="","",E39)</f>
        <v>11878</v>
      </c>
      <c r="F41" s="265">
        <f>IF(F39="","",F39)</f>
        <v>13134</v>
      </c>
      <c r="G41" s="265">
        <f>IF(G39="","",G39)</f>
        <v>17704</v>
      </c>
      <c r="I41" s="265">
        <f>IF(I39="","",I39)</f>
        <v>15688</v>
      </c>
      <c r="J41" s="265">
        <f>IF(J39="","",J39)</f>
        <v>30096</v>
      </c>
      <c r="K41" s="265">
        <f>IF(K39="","",K39)</f>
        <v>48076</v>
      </c>
      <c r="L41" s="265">
        <f>IF(L39="","",L39)</f>
        <v>41858</v>
      </c>
      <c r="N41" s="265">
        <f>IF(N39="","",N39)</f>
        <v>60225</v>
      </c>
      <c r="O41" s="265">
        <f>IF(O39="","",O39)</f>
        <v>35636</v>
      </c>
      <c r="P41" s="265">
        <f>IF(P39="","",P39)</f>
        <v>37234</v>
      </c>
      <c r="Q41" s="265">
        <f>IF(Q39="","",Q39)</f>
        <v>32565</v>
      </c>
      <c r="S41" s="265">
        <f>IF(S39="","",S39)</f>
        <v>35203</v>
      </c>
      <c r="T41" s="265">
        <f>IF(T39="","",T39)</f>
        <v>32275</v>
      </c>
      <c r="U41" s="265">
        <f>IF(U39="","",U39)</f>
        <v>39870</v>
      </c>
      <c r="V41" s="265">
        <f>IF(V39="","",V39)</f>
        <v>48619</v>
      </c>
      <c r="X41" s="265">
        <f>IF(X39="","",X39)</f>
        <v>48663</v>
      </c>
      <c r="Y41" s="265">
        <f>IF(Y39="","",Y39)</f>
        <v>42936</v>
      </c>
      <c r="Z41" s="265">
        <f>IF(Z39="","",Z39)</f>
        <v>44612</v>
      </c>
      <c r="AA41" s="265">
        <f>IF(AA39="","",AA39)</f>
        <v>44967</v>
      </c>
      <c r="AC41" s="265">
        <f>IF(AC39="","",AC39)</f>
        <v>51389</v>
      </c>
      <c r="AD41" s="265">
        <f>IF(AD39="","",AD39)</f>
        <v>57892</v>
      </c>
    </row>
    <row r="42">
      <c r="A42" t="inlineStr">
        <is>
          <t>Dividendos/JCP pagos (DFC, trimestralizado) · derivada · unid. moeda</t>
        </is>
      </c>
      <c r="B42" t="n">
        <v>10</v>
      </c>
      <c r="C42" t="inlineStr">
        <is>
          <t>Common Dividends</t>
        </is>
      </c>
      <c r="D42" s="265">
        <f>N(D21)</f>
        <v>0</v>
      </c>
      <c r="E42" s="265">
        <f>N(E21)-N(D21)</f>
        <v>0</v>
      </c>
      <c r="F42" s="265">
        <f>N(F21)-N(E21)</f>
        <v>0</v>
      </c>
      <c r="G42" s="265">
        <f>N(G21)-N(F21)</f>
        <v>0</v>
      </c>
      <c r="I42" s="265">
        <f>N(I21)</f>
        <v>0</v>
      </c>
      <c r="J42" s="265">
        <f>N(J21)-N(I21)</f>
        <v>0</v>
      </c>
      <c r="K42" s="265">
        <f>N(K21)-N(J21)</f>
        <v>0</v>
      </c>
      <c r="L42" s="265">
        <f>N(L21)-N(K21)</f>
        <v>0</v>
      </c>
      <c r="N42" s="265">
        <f>N(N21)</f>
        <v>0</v>
      </c>
      <c r="O42" s="265">
        <f>N(O21)-N(N21)</f>
        <v>0</v>
      </c>
      <c r="P42" s="265">
        <f>N(P21)-N(O21)</f>
        <v>0</v>
      </c>
      <c r="Q42" s="265">
        <f>N(Q21)-N(P21)</f>
        <v>0</v>
      </c>
      <c r="S42" s="265">
        <f>N(S21)</f>
        <v>0</v>
      </c>
      <c r="T42" s="265">
        <f>N(T21)-N(S21)</f>
        <v>0</v>
      </c>
      <c r="U42" s="265">
        <f>N(U21)-N(T21)</f>
        <v>0</v>
      </c>
      <c r="V42" s="265">
        <f>N(V21)-N(U21)</f>
        <v>0</v>
      </c>
      <c r="X42" s="265">
        <f>N(X21)</f>
        <v>0</v>
      </c>
      <c r="Y42" s="265">
        <f>N(Y21)-N(X21)</f>
        <v>0</v>
      </c>
      <c r="Z42" s="265">
        <f>N(Z21)-N(Y21)</f>
        <v>0</v>
      </c>
      <c r="AA42" s="265">
        <f>N(AA21)-N(Z21)</f>
        <v>0</v>
      </c>
      <c r="AC42" s="265">
        <f>N(AC21)</f>
        <v>0</v>
      </c>
      <c r="AD42" s="265">
        <f>N(AD21)-N(AC21)</f>
        <v>0</v>
      </c>
    </row>
    <row r="43">
      <c r="A43" t="inlineStr">
        <is>
          <t>Capex - aquisicoes de imobilizado (DFC, trimestralizado) - memoria · derivada · unid. moeda</t>
        </is>
      </c>
      <c r="C43" t="inlineStr">
        <is>
          <t>[linha bruta, sem código; lançada nas linhas abaixo]</t>
        </is>
      </c>
      <c r="D43" s="265">
        <f>N(D22)</f>
        <v>-6284</v>
      </c>
      <c r="E43" s="265">
        <f>N(E22)-N(D22)</f>
        <v>-18742</v>
      </c>
      <c r="F43" s="265">
        <f>N(F22)-N(E22)</f>
        <v>-24234</v>
      </c>
      <c r="G43" s="265">
        <f>N(G22)-N(F22)</f>
        <v>-73577</v>
      </c>
      <c r="I43" s="265">
        <f>N(I22)</f>
        <v>-72081</v>
      </c>
      <c r="J43" s="265">
        <f>N(J22)-N(I22)</f>
        <v>72081</v>
      </c>
      <c r="K43" s="265">
        <f>N(K22)-N(J22)</f>
        <v>-157447</v>
      </c>
      <c r="L43" s="265">
        <f>N(L22)-N(K22)</f>
        <v>-39901</v>
      </c>
      <c r="N43" s="265">
        <f>N(N22)</f>
        <v>-48213</v>
      </c>
      <c r="O43" s="265">
        <f>N(O22)-N(N22)</f>
        <v>48213</v>
      </c>
      <c r="P43" s="265">
        <f>N(P22)-N(O22)</f>
        <v>-173924</v>
      </c>
      <c r="Q43" s="265">
        <f>N(Q22)-N(P22)</f>
        <v>-81410</v>
      </c>
      <c r="S43" s="265">
        <f>N(S22)</f>
        <v>-62230</v>
      </c>
      <c r="T43" s="265">
        <f>N(T22)-N(S22)</f>
        <v>62230</v>
      </c>
      <c r="U43" s="265">
        <f>N(U22)-N(T22)</f>
        <v>-367430</v>
      </c>
      <c r="V43" s="265">
        <f>N(V22)-N(U22)</f>
        <v>-188638</v>
      </c>
      <c r="X43" s="265">
        <f>N(X22)</f>
        <v>-114539</v>
      </c>
      <c r="Y43" s="265">
        <f>N(Y22)-N(X22)</f>
        <v>114539</v>
      </c>
      <c r="Z43" s="265">
        <f>N(Z22)-N(Y22)</f>
        <v>-464766</v>
      </c>
      <c r="AA43" s="265">
        <f>N(AA22)-N(Z22)</f>
        <v>-166210</v>
      </c>
      <c r="AC43" s="265">
        <f>N(AC22)</f>
        <v>-169723</v>
      </c>
      <c r="AD43" s="265">
        <f>N(AD22)-N(AC22)</f>
        <v>169723</v>
      </c>
    </row>
    <row r="44">
      <c r="A44" t="inlineStr">
        <is>
          <t>BALANCO (R$ mil, fim de trimestre). Contas folha do ITR/DFP agrupadas pela DESCRICAO (o codigo de ultimo nivel e a hierarquia da Cia na CVM mudam entre trimestres e ha contas sob o grupo errado, ex.: emprestimos dentro de "Obrigacoes Sociais e Trabalhistas")</t>
        </is>
      </c>
      <c r="C44" t="inlineStr">
        <is>
          <t>[linha bruta, sem código; lançada nas linhas abaixo]</t>
        </is>
      </c>
      <c r="D44" s="265" t="n"/>
      <c r="E44" s="265" t="n"/>
      <c r="F44" s="265" t="n"/>
      <c r="G44" s="265" t="n"/>
      <c r="I44" s="265" t="n"/>
      <c r="J44" s="265" t="n"/>
      <c r="K44" s="265" t="n"/>
      <c r="L44" s="265" t="n"/>
      <c r="N44" s="265" t="n"/>
      <c r="O44" s="265" t="n"/>
      <c r="P44" s="265" t="n"/>
      <c r="Q44" s="265" t="n"/>
      <c r="S44" s="265" t="n"/>
      <c r="T44" s="265" t="n"/>
      <c r="U44" s="265" t="n"/>
      <c r="V44" s="265" t="n"/>
      <c r="X44" s="265" t="n"/>
      <c r="Y44" s="265" t="n"/>
      <c r="Z44" s="265" t="n"/>
      <c r="AA44" s="265" t="n"/>
      <c r="AC44" s="265" t="n"/>
      <c r="AD44" s="265" t="n"/>
    </row>
    <row r="45">
      <c r="A45" t="inlineStr">
        <is>
          <t>AC: Caixa e Equivalentes de Caixa · fonte · unid. moeda</t>
        </is>
      </c>
      <c r="B45" t="n">
        <v>11</v>
      </c>
      <c r="C45" t="inlineStr">
        <is>
          <t>Cash and equivalents (inc. investment securities)</t>
        </is>
      </c>
      <c r="D45" s="265" t="n">
        <v>2112</v>
      </c>
      <c r="E45" s="265" t="n">
        <v>1124</v>
      </c>
      <c r="F45" s="265" t="n">
        <v>5345</v>
      </c>
      <c r="G45" s="265" t="n">
        <v>2917</v>
      </c>
      <c r="I45" s="265" t="n">
        <v>9612</v>
      </c>
      <c r="J45" s="265" t="n">
        <v>24265</v>
      </c>
      <c r="K45" s="265" t="n">
        <v>27289</v>
      </c>
      <c r="L45" s="265" t="n">
        <v>168875</v>
      </c>
      <c r="N45" s="265" t="n">
        <v>117986</v>
      </c>
      <c r="O45" s="265" t="n">
        <v>134757</v>
      </c>
      <c r="P45" s="265" t="n">
        <v>200797</v>
      </c>
      <c r="Q45" s="265" t="n">
        <v>289426</v>
      </c>
      <c r="S45" s="265" t="n">
        <v>264313</v>
      </c>
      <c r="T45" s="265" t="n">
        <v>304604</v>
      </c>
      <c r="U45" s="265" t="n">
        <v>668551</v>
      </c>
      <c r="V45" s="265" t="n">
        <v>493299</v>
      </c>
      <c r="X45" s="265" t="n">
        <v>409969</v>
      </c>
      <c r="Y45" s="265" t="n">
        <v>932773</v>
      </c>
      <c r="Z45" s="265" t="n">
        <v>1035713</v>
      </c>
      <c r="AA45" s="265" t="n">
        <v>851334</v>
      </c>
      <c r="AC45" s="265" t="n">
        <v>855590</v>
      </c>
      <c r="AD45" s="265" t="n">
        <v>1535051</v>
      </c>
    </row>
    <row r="46">
      <c r="A46" t="inlineStr">
        <is>
          <t>AC: Títulos e valores mobiliários · fonte · unid. moeda</t>
        </is>
      </c>
      <c r="B46" t="n">
        <v>11</v>
      </c>
      <c r="C46" t="inlineStr">
        <is>
          <t>Cash and equivalents (inc. investment securities)</t>
        </is>
      </c>
      <c r="D46" s="265" t="n">
        <v>0</v>
      </c>
      <c r="E46" s="265" t="n">
        <v>0</v>
      </c>
      <c r="F46" s="265" t="n">
        <v>205395</v>
      </c>
      <c r="G46" s="265" t="n">
        <v>398458</v>
      </c>
      <c r="I46" s="265" t="n">
        <v>265273</v>
      </c>
      <c r="J46" s="265" t="n">
        <v>37581</v>
      </c>
      <c r="K46" s="265" t="n">
        <v>19618</v>
      </c>
      <c r="L46" s="265" t="n">
        <v>71922</v>
      </c>
      <c r="N46" s="265" t="n">
        <v>74941</v>
      </c>
      <c r="O46" s="265" t="n">
        <v>82976</v>
      </c>
      <c r="P46" s="265" t="n">
        <v>62562</v>
      </c>
      <c r="Q46" s="265" t="n">
        <v>33608</v>
      </c>
      <c r="S46" s="265" t="n">
        <v>8619</v>
      </c>
      <c r="T46" s="265" t="n">
        <v>4983</v>
      </c>
      <c r="U46" s="265" t="n">
        <v>125628</v>
      </c>
      <c r="V46" s="265" t="n">
        <v>108524</v>
      </c>
      <c r="X46" s="265" t="n">
        <v>139668</v>
      </c>
      <c r="Y46" s="265" t="n">
        <v>80137</v>
      </c>
      <c r="Z46" s="265" t="n">
        <v>23143</v>
      </c>
      <c r="AA46" s="265" t="n">
        <v>71035</v>
      </c>
      <c r="AC46" s="265" t="n">
        <v>14524</v>
      </c>
      <c r="AD46" s="265" t="n">
        <v>9252</v>
      </c>
    </row>
    <row r="47">
      <c r="A47" t="inlineStr">
        <is>
          <t>AC: Aplicações Financeiras Avaliadas a Valor Justo através de Outros Resultados Abrangentes · fonte · unid. moeda</t>
        </is>
      </c>
      <c r="B47" t="n">
        <v>11</v>
      </c>
      <c r="C47" t="inlineStr">
        <is>
          <t>Cash and equivalents (inc. investment securities)</t>
        </is>
      </c>
      <c r="D47" s="265" t="n">
        <v>349438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0</v>
      </c>
      <c r="K47" s="265" t="n">
        <v>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AC: Títulos Designados a Valor Justo · fonte · unid. moeda</t>
        </is>
      </c>
      <c r="B48" t="n">
        <v>11</v>
      </c>
      <c r="C48" t="inlineStr">
        <is>
          <t>Cash and equivalents (inc. investment securities)</t>
        </is>
      </c>
      <c r="D48" s="265" t="n">
        <v>0</v>
      </c>
      <c r="E48" s="265" t="n">
        <v>264492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AC: Contas a Receber · fonte · unid. moeda</t>
        </is>
      </c>
      <c r="B49" t="n">
        <v>12</v>
      </c>
      <c r="C49" t="inlineStr">
        <is>
          <t>Accounts receivable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AC: Clientes · fonte · unid. moeda</t>
        </is>
      </c>
      <c r="B50" t="n">
        <v>12</v>
      </c>
      <c r="C50" t="inlineStr">
        <is>
          <t>Accounts receivable</t>
        </is>
      </c>
      <c r="D50" s="265" t="n">
        <v>129652</v>
      </c>
      <c r="E50" s="265" t="n">
        <v>147827</v>
      </c>
      <c r="F50" s="265" t="n">
        <v>131016</v>
      </c>
      <c r="G50" s="265" t="n">
        <v>163362</v>
      </c>
      <c r="I50" s="265" t="n">
        <v>166673</v>
      </c>
      <c r="J50" s="265" t="n">
        <v>249356</v>
      </c>
      <c r="K50" s="265" t="n">
        <v>284134</v>
      </c>
      <c r="L50" s="265" t="n">
        <v>258897</v>
      </c>
      <c r="N50" s="265" t="n">
        <v>242769</v>
      </c>
      <c r="O50" s="265" t="n">
        <v>216240</v>
      </c>
      <c r="P50" s="265" t="n">
        <v>236505</v>
      </c>
      <c r="Q50" s="265" t="n">
        <v>184168</v>
      </c>
      <c r="S50" s="265" t="n">
        <v>207490</v>
      </c>
      <c r="T50" s="265" t="n">
        <v>209745</v>
      </c>
      <c r="U50" s="265" t="n">
        <v>212121</v>
      </c>
      <c r="V50" s="265" t="n">
        <v>194288</v>
      </c>
      <c r="X50" s="265" t="n">
        <v>210775</v>
      </c>
      <c r="Y50" s="265" t="n">
        <v>229449</v>
      </c>
      <c r="Z50" s="265" t="n">
        <v>261497</v>
      </c>
      <c r="AA50" s="265" t="n">
        <v>281694</v>
      </c>
      <c r="AC50" s="265" t="n">
        <v>311671</v>
      </c>
      <c r="AD50" s="265" t="n">
        <v>0</v>
      </c>
    </row>
    <row r="51">
      <c r="A51" t="inlineStr">
        <is>
          <t>AC: Contas a receber de clientes · fonte · unid. moeda</t>
        </is>
      </c>
      <c r="B51" t="n">
        <v>12</v>
      </c>
      <c r="C51" t="inlineStr">
        <is>
          <t>Accounts receivable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822886</v>
      </c>
    </row>
    <row r="52">
      <c r="A52" t="inlineStr">
        <is>
          <t>AC: Adiantamentos · fonte · unid. moeda</t>
        </is>
      </c>
      <c r="B52" t="n">
        <v>15</v>
      </c>
      <c r="C52" t="inlineStr">
        <is>
          <t>Prepaid expenses</t>
        </is>
      </c>
      <c r="D52" s="265" t="n">
        <v>15496</v>
      </c>
      <c r="E52" s="265" t="n">
        <v>14198</v>
      </c>
      <c r="F52" s="265" t="n">
        <v>0</v>
      </c>
      <c r="G52" s="265" t="n">
        <v>0</v>
      </c>
      <c r="I52" s="265" t="n">
        <v>0</v>
      </c>
      <c r="J52" s="265" t="n">
        <v>0</v>
      </c>
      <c r="K52" s="265" t="n">
        <v>0</v>
      </c>
      <c r="L52" s="265" t="n">
        <v>0</v>
      </c>
      <c r="N52" s="265" t="n">
        <v>0</v>
      </c>
      <c r="O52" s="265" t="n">
        <v>0</v>
      </c>
      <c r="P52" s="265" t="n">
        <v>0</v>
      </c>
      <c r="Q52" s="265" t="n">
        <v>0</v>
      </c>
      <c r="S52" s="265" t="n">
        <v>0</v>
      </c>
      <c r="T52" s="265" t="n">
        <v>0</v>
      </c>
      <c r="U52" s="265" t="n">
        <v>0</v>
      </c>
      <c r="V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C52" s="265" t="n">
        <v>0</v>
      </c>
      <c r="AD52" s="265" t="n">
        <v>0</v>
      </c>
    </row>
    <row r="53">
      <c r="A53" t="inlineStr">
        <is>
          <t>AC: Outros ativos - adiantamentos · fonte · unid. moeda</t>
        </is>
      </c>
      <c r="B53" t="n">
        <v>15</v>
      </c>
      <c r="C53" t="inlineStr">
        <is>
          <t>Prepaid expenses</t>
        </is>
      </c>
      <c r="D53" s="265" t="n">
        <v>0</v>
      </c>
      <c r="E53" s="265" t="n">
        <v>0</v>
      </c>
      <c r="F53" s="265" t="n">
        <v>11118</v>
      </c>
      <c r="G53" s="265" t="n">
        <v>31276</v>
      </c>
      <c r="I53" s="265" t="n">
        <v>29850</v>
      </c>
      <c r="J53" s="265" t="n">
        <v>39457</v>
      </c>
      <c r="K53" s="265" t="n">
        <v>32520</v>
      </c>
      <c r="L53" s="265" t="n">
        <v>66610</v>
      </c>
      <c r="N53" s="265" t="n">
        <v>67208</v>
      </c>
      <c r="O53" s="265" t="n">
        <v>59864</v>
      </c>
      <c r="P53" s="265" t="n">
        <v>72984</v>
      </c>
      <c r="Q53" s="265" t="n">
        <v>55392</v>
      </c>
      <c r="S53" s="265" t="n">
        <v>61007</v>
      </c>
      <c r="T53" s="265" t="n">
        <v>70199</v>
      </c>
      <c r="U53" s="265" t="n">
        <v>69438</v>
      </c>
      <c r="V53" s="265" t="n">
        <v>64710</v>
      </c>
      <c r="X53" s="265" t="n">
        <v>71189</v>
      </c>
      <c r="Y53" s="265" t="n">
        <v>66307</v>
      </c>
      <c r="Z53" s="265" t="n">
        <v>68472</v>
      </c>
      <c r="AA53" s="265" t="n">
        <v>74018</v>
      </c>
      <c r="AC53" s="265" t="n">
        <v>81923</v>
      </c>
      <c r="AD53" s="265" t="n">
        <v>201152</v>
      </c>
    </row>
    <row r="54">
      <c r="A54" t="inlineStr">
        <is>
          <t>AC: Impostos e contribuições a recuperar · fonte · unid. moeda</t>
        </is>
      </c>
      <c r="B54" t="n">
        <v>16</v>
      </c>
      <c r="C54" t="inlineStr">
        <is>
          <t>Other current assets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C54" s="265" t="n">
        <v>0</v>
      </c>
      <c r="AD54" s="265" t="n">
        <v>230417</v>
      </c>
    </row>
    <row r="55">
      <c r="A55" t="inlineStr">
        <is>
          <t>AC: Partes relacionadas · fonte · unid. moeda</t>
        </is>
      </c>
      <c r="B55" t="n">
        <v>16</v>
      </c>
      <c r="C55" t="inlineStr">
        <is>
          <t>Other current assets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C55" s="265" t="n">
        <v>0</v>
      </c>
      <c r="AD55" s="265" t="n">
        <v>0</v>
      </c>
    </row>
    <row r="56">
      <c r="A56" t="inlineStr">
        <is>
          <t>AC: Tributos a Recuperar · fonte · unid. moeda</t>
        </is>
      </c>
      <c r="B56" t="n">
        <v>16</v>
      </c>
      <c r="C56" t="inlineStr">
        <is>
          <t>Other current assets</t>
        </is>
      </c>
      <c r="D56" s="265" t="n">
        <v>0</v>
      </c>
      <c r="E56" s="265" t="n">
        <v>0</v>
      </c>
      <c r="F56" s="265" t="n">
        <v>17947</v>
      </c>
      <c r="G56" s="265" t="n">
        <v>7136</v>
      </c>
      <c r="I56" s="265" t="n">
        <v>11111</v>
      </c>
      <c r="J56" s="265" t="n">
        <v>11562</v>
      </c>
      <c r="K56" s="265" t="n">
        <v>11519</v>
      </c>
      <c r="L56" s="265" t="n">
        <v>13907</v>
      </c>
      <c r="N56" s="265" t="n">
        <v>22276</v>
      </c>
      <c r="O56" s="265" t="n">
        <v>26090</v>
      </c>
      <c r="P56" s="265" t="n">
        <v>33197</v>
      </c>
      <c r="Q56" s="265" t="n">
        <v>30042</v>
      </c>
      <c r="S56" s="265" t="n">
        <v>44227</v>
      </c>
      <c r="T56" s="265" t="n">
        <v>37837</v>
      </c>
      <c r="U56" s="265" t="n">
        <v>0</v>
      </c>
      <c r="V56" s="265" t="n">
        <v>50927</v>
      </c>
      <c r="X56" s="265" t="n">
        <v>51368</v>
      </c>
      <c r="Y56" s="265" t="n">
        <v>58273</v>
      </c>
      <c r="Z56" s="265" t="n">
        <v>64471</v>
      </c>
      <c r="AA56" s="265" t="n">
        <v>67166</v>
      </c>
      <c r="AC56" s="265" t="n">
        <v>82627</v>
      </c>
      <c r="AD56" s="265" t="n">
        <v>0</v>
      </c>
    </row>
    <row r="57">
      <c r="A57" t="inlineStr">
        <is>
          <t>AC: Tributos Correntes a Recuperar · fonte · unid. moeda</t>
        </is>
      </c>
      <c r="B57" t="n">
        <v>16</v>
      </c>
      <c r="C57" t="inlineStr">
        <is>
          <t>Other current assets</t>
        </is>
      </c>
      <c r="D57" s="265" t="n">
        <v>11090</v>
      </c>
      <c r="E57" s="265" t="n">
        <v>13927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40005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AC: Partes Relacionadas AC · fonte · unid. moeda</t>
        </is>
      </c>
      <c r="B58" t="n">
        <v>16</v>
      </c>
      <c r="C58" t="inlineStr">
        <is>
          <t>Other current assets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400</v>
      </c>
    </row>
    <row r="59">
      <c r="A59" t="inlineStr">
        <is>
          <t>ANC: Imposto de Renda e Contribuição Social Diferidos · fonte · unid. moeda</t>
        </is>
      </c>
      <c r="B59" t="n">
        <v>14</v>
      </c>
      <c r="C59" t="inlineStr">
        <is>
          <t>Deferred income taxes</t>
        </is>
      </c>
      <c r="D59" s="265" t="n">
        <v>77555</v>
      </c>
      <c r="E59" s="265" t="n">
        <v>77455</v>
      </c>
      <c r="F59" s="265" t="n">
        <v>79154</v>
      </c>
      <c r="G59" s="265" t="n">
        <v>69563</v>
      </c>
      <c r="I59" s="265" t="n">
        <v>69511</v>
      </c>
      <c r="J59" s="265" t="n">
        <v>62675</v>
      </c>
      <c r="K59" s="265" t="n">
        <v>60560</v>
      </c>
      <c r="L59" s="265" t="n">
        <v>53090</v>
      </c>
      <c r="N59" s="265" t="n">
        <v>62972</v>
      </c>
      <c r="O59" s="265" t="n">
        <v>63540</v>
      </c>
      <c r="P59" s="265" t="n">
        <v>64128</v>
      </c>
      <c r="Q59" s="265" t="n">
        <v>76287</v>
      </c>
      <c r="S59" s="265" t="n">
        <v>76755</v>
      </c>
      <c r="T59" s="265" t="n">
        <v>77275</v>
      </c>
      <c r="U59" s="265" t="n">
        <v>78453</v>
      </c>
      <c r="V59" s="265" t="n">
        <v>79973</v>
      </c>
      <c r="X59" s="265" t="n">
        <v>80773</v>
      </c>
      <c r="Y59" s="265" t="n">
        <v>81277</v>
      </c>
      <c r="Z59" s="265" t="n">
        <v>81875</v>
      </c>
      <c r="AA59" s="265" t="n">
        <v>82325</v>
      </c>
      <c r="AC59" s="265" t="n">
        <v>84986</v>
      </c>
      <c r="AD59" s="265" t="n">
        <v>85345</v>
      </c>
    </row>
    <row r="60">
      <c r="A60" t="inlineStr">
        <is>
          <t>ANC: Participações em Controladas em Conjunto · fonte · unid. moeda</t>
        </is>
      </c>
      <c r="B60" t="n">
        <v>17</v>
      </c>
      <c r="C60" t="inlineStr">
        <is>
          <t>Equity in affiliates</t>
        </is>
      </c>
      <c r="D60" s="265" t="n">
        <v>0</v>
      </c>
      <c r="E60" s="265" t="n">
        <v>0</v>
      </c>
      <c r="F60" s="265" t="n">
        <v>1623</v>
      </c>
      <c r="G60" s="265" t="n">
        <v>4422</v>
      </c>
      <c r="I60" s="265" t="n">
        <v>15439</v>
      </c>
      <c r="J60" s="265" t="n">
        <v>0</v>
      </c>
      <c r="K60" s="265" t="n">
        <v>39860</v>
      </c>
      <c r="L60" s="265" t="n">
        <v>44084</v>
      </c>
      <c r="N60" s="265" t="n">
        <v>47169</v>
      </c>
      <c r="O60" s="265" t="n">
        <v>79300</v>
      </c>
      <c r="P60" s="265" t="n">
        <v>77972</v>
      </c>
      <c r="Q60" s="265" t="n">
        <v>98957</v>
      </c>
      <c r="S60" s="265" t="n">
        <v>102447</v>
      </c>
      <c r="T60" s="265" t="n">
        <v>101856</v>
      </c>
      <c r="U60" s="265" t="n">
        <v>106556</v>
      </c>
      <c r="V60" s="265" t="n">
        <v>112801</v>
      </c>
      <c r="X60" s="265" t="n">
        <v>116825</v>
      </c>
      <c r="Y60" s="265" t="n">
        <v>118672</v>
      </c>
      <c r="Z60" s="265" t="n">
        <v>119706</v>
      </c>
      <c r="AA60" s="265" t="n">
        <v>117461</v>
      </c>
      <c r="AC60" s="265" t="n">
        <v>117036</v>
      </c>
      <c r="AD60" s="265" t="n">
        <v>142539</v>
      </c>
    </row>
    <row r="61">
      <c r="A61" t="inlineStr">
        <is>
          <t>ANC: Outros Investimentos · fonte · unid. moeda</t>
        </is>
      </c>
      <c r="B61" t="n">
        <v>17</v>
      </c>
      <c r="C61" t="inlineStr">
        <is>
          <t>Equity in affiliates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30919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ANC: Imobilizado em Operação · fonte · unid. moeda</t>
        </is>
      </c>
      <c r="B62" t="n">
        <v>18</v>
      </c>
      <c r="C62" t="inlineStr">
        <is>
          <t>PP&amp;E</t>
        </is>
      </c>
      <c r="D62" s="265" t="n">
        <v>284571</v>
      </c>
      <c r="E62" s="265" t="n">
        <v>295006</v>
      </c>
      <c r="F62" s="265" t="n">
        <v>310592</v>
      </c>
      <c r="G62" s="265" t="n">
        <v>375789</v>
      </c>
      <c r="I62" s="265" t="n">
        <v>436313</v>
      </c>
      <c r="J62" s="265" t="n">
        <v>743024</v>
      </c>
      <c r="K62" s="265" t="n">
        <v>745099</v>
      </c>
      <c r="L62" s="265" t="n">
        <v>785079</v>
      </c>
      <c r="N62" s="265" t="n">
        <v>815367</v>
      </c>
      <c r="O62" s="265" t="n">
        <v>842620</v>
      </c>
      <c r="P62" s="265" t="n">
        <v>904989</v>
      </c>
      <c r="Q62" s="265" t="n">
        <v>920767</v>
      </c>
      <c r="S62" s="265" t="n">
        <v>963174</v>
      </c>
      <c r="T62" s="265" t="n">
        <v>1080851</v>
      </c>
      <c r="U62" s="265" t="n">
        <v>1363573</v>
      </c>
      <c r="V62" s="265" t="n">
        <v>1556269</v>
      </c>
      <c r="X62" s="265" t="n">
        <v>1642208</v>
      </c>
      <c r="Y62" s="265" t="n">
        <v>1828490</v>
      </c>
      <c r="Z62" s="265" t="n">
        <v>1937105</v>
      </c>
      <c r="AA62" s="265" t="n">
        <v>2070525</v>
      </c>
      <c r="AC62" s="265" t="n">
        <v>2218630</v>
      </c>
      <c r="AD62" s="265" t="n">
        <v>3306709</v>
      </c>
    </row>
    <row r="63">
      <c r="A63" t="inlineStr">
        <is>
          <t>ANC: Imobilizado · fonte · unid. moeda</t>
        </is>
      </c>
      <c r="B63" t="n">
        <v>18</v>
      </c>
      <c r="C63" t="inlineStr">
        <is>
          <t>PP&amp;E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ANC: Direito de Uso em Arrendamento · fonte · unid. moeda</t>
        </is>
      </c>
      <c r="B64" t="n">
        <v>19</v>
      </c>
      <c r="C64" t="inlineStr">
        <is>
          <t>Right-of-use-assets</t>
        </is>
      </c>
      <c r="D64" s="265" t="n">
        <v>18009</v>
      </c>
      <c r="E64" s="265" t="n">
        <v>17861</v>
      </c>
      <c r="F64" s="265" t="n">
        <v>0</v>
      </c>
      <c r="G64" s="265" t="n">
        <v>18810</v>
      </c>
      <c r="I64" s="265" t="n">
        <v>20349</v>
      </c>
      <c r="J64" s="265" t="n">
        <v>32183</v>
      </c>
      <c r="K64" s="265" t="n">
        <v>44721</v>
      </c>
      <c r="L64" s="265" t="n">
        <v>42658</v>
      </c>
      <c r="N64" s="265" t="n">
        <v>36672</v>
      </c>
      <c r="O64" s="265" t="n">
        <v>46848</v>
      </c>
      <c r="P64" s="265" t="n">
        <v>38878</v>
      </c>
      <c r="Q64" s="265" t="n">
        <v>40670</v>
      </c>
      <c r="S64" s="265" t="n">
        <v>41626</v>
      </c>
      <c r="T64" s="265" t="n">
        <v>45004</v>
      </c>
      <c r="U64" s="265" t="n">
        <v>96143</v>
      </c>
      <c r="V64" s="265" t="n">
        <v>98549</v>
      </c>
      <c r="X64" s="265" t="n">
        <v>100278</v>
      </c>
      <c r="Y64" s="265" t="n">
        <v>80784</v>
      </c>
      <c r="Z64" s="265" t="n">
        <v>73022</v>
      </c>
      <c r="AA64" s="265" t="n">
        <v>98014</v>
      </c>
      <c r="AC64" s="265" t="n">
        <v>87373</v>
      </c>
      <c r="AD64" s="265" t="n">
        <v>92908</v>
      </c>
    </row>
    <row r="65">
      <c r="A65" t="inlineStr">
        <is>
          <t>ANC: Direito de uso · fonte · unid. moeda</t>
        </is>
      </c>
      <c r="B65" t="n">
        <v>19</v>
      </c>
      <c r="C65" t="inlineStr">
        <is>
          <t>Right-of-use-assets</t>
        </is>
      </c>
      <c r="D65" s="265" t="n">
        <v>0</v>
      </c>
      <c r="E65" s="265" t="n">
        <v>0</v>
      </c>
      <c r="F65" s="265" t="n">
        <v>22216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ANC: Intangível · fonte · unid. moeda</t>
        </is>
      </c>
      <c r="B66" t="n">
        <v>21</v>
      </c>
      <c r="C66" t="inlineStr">
        <is>
          <t>Intangibles</t>
        </is>
      </c>
      <c r="D66" s="265" t="n">
        <v>95247</v>
      </c>
      <c r="E66" s="265" t="n">
        <v>94179</v>
      </c>
      <c r="F66" s="265" t="n">
        <v>0</v>
      </c>
      <c r="G66" s="265" t="n">
        <v>90841</v>
      </c>
      <c r="I66" s="265" t="n">
        <v>152468</v>
      </c>
      <c r="J66" s="265" t="n">
        <v>0</v>
      </c>
      <c r="K66" s="265" t="n">
        <v>383428</v>
      </c>
      <c r="L66" s="265" t="n">
        <v>525522</v>
      </c>
      <c r="N66" s="265" t="n">
        <v>512881</v>
      </c>
      <c r="O66" s="265" t="n">
        <v>0</v>
      </c>
      <c r="P66" s="265" t="n">
        <v>505445</v>
      </c>
      <c r="Q66" s="265" t="n">
        <v>465870</v>
      </c>
      <c r="S66" s="265" t="n">
        <v>459368</v>
      </c>
      <c r="T66" s="265" t="n">
        <v>452934</v>
      </c>
      <c r="U66" s="265" t="n">
        <v>481238</v>
      </c>
      <c r="V66" s="265" t="n">
        <v>450867</v>
      </c>
      <c r="X66" s="265" t="n">
        <v>453354</v>
      </c>
      <c r="Y66" s="265" t="n">
        <v>448098</v>
      </c>
      <c r="Z66" s="265" t="n">
        <v>442417</v>
      </c>
      <c r="AA66" s="265" t="n">
        <v>490998</v>
      </c>
      <c r="AC66" s="265" t="n">
        <v>485782</v>
      </c>
      <c r="AD66" s="265" t="n">
        <v>3830000</v>
      </c>
    </row>
    <row r="67">
      <c r="A67" t="inlineStr">
        <is>
          <t>ANC: Intangíveis · fonte · unid. moeda</t>
        </is>
      </c>
      <c r="B67" t="n">
        <v>21</v>
      </c>
      <c r="C67" t="inlineStr">
        <is>
          <t>Intangibles</t>
        </is>
      </c>
      <c r="D67" s="265" t="n">
        <v>0</v>
      </c>
      <c r="E67" s="265" t="n">
        <v>0</v>
      </c>
      <c r="F67" s="265" t="n">
        <v>93080</v>
      </c>
      <c r="G67" s="265" t="n">
        <v>0</v>
      </c>
      <c r="I67" s="265" t="n">
        <v>0</v>
      </c>
      <c r="J67" s="265" t="n">
        <v>388625</v>
      </c>
      <c r="K67" s="265" t="n">
        <v>0</v>
      </c>
      <c r="L67" s="265" t="n">
        <v>0</v>
      </c>
      <c r="N67" s="265" t="n">
        <v>0</v>
      </c>
      <c r="O67" s="265" t="n">
        <v>511514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ANC: Contas a Receber · fonte · unid. moeda</t>
        </is>
      </c>
      <c r="B68" t="n">
        <v>22</v>
      </c>
      <c r="C68" t="inlineStr">
        <is>
          <t>Other non-current assets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ANC: Créditos com Partes Relacionadas · fonte · unid. moeda</t>
        </is>
      </c>
      <c r="B69" t="n">
        <v>22</v>
      </c>
      <c r="C69" t="inlineStr">
        <is>
          <t>Other non-current assets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ANC: Depósitos judiciais e cauções · fonte · unid. moeda</t>
        </is>
      </c>
      <c r="B70" t="n">
        <v>22</v>
      </c>
      <c r="C70" t="inlineStr">
        <is>
          <t>Other non-current assets</t>
        </is>
      </c>
      <c r="D70" s="265" t="n">
        <v>0</v>
      </c>
      <c r="E70" s="265" t="n">
        <v>0</v>
      </c>
      <c r="F70" s="265" t="n">
        <v>14901</v>
      </c>
      <c r="G70" s="265" t="n">
        <v>6579</v>
      </c>
      <c r="I70" s="265" t="n">
        <v>6579</v>
      </c>
      <c r="J70" s="265" t="n">
        <v>9064</v>
      </c>
      <c r="K70" s="265" t="n">
        <v>9054</v>
      </c>
      <c r="L70" s="265" t="n">
        <v>7162</v>
      </c>
      <c r="N70" s="265" t="n">
        <v>7166</v>
      </c>
      <c r="O70" s="265" t="n">
        <v>7166</v>
      </c>
      <c r="P70" s="265" t="n">
        <v>7166</v>
      </c>
      <c r="Q70" s="265" t="n">
        <v>10938</v>
      </c>
      <c r="S70" s="265" t="n">
        <v>5549</v>
      </c>
      <c r="T70" s="265" t="n">
        <v>5568</v>
      </c>
      <c r="U70" s="265" t="n">
        <v>6018</v>
      </c>
      <c r="V70" s="265" t="n">
        <v>6066</v>
      </c>
      <c r="X70" s="265" t="n">
        <v>6066</v>
      </c>
      <c r="Y70" s="265" t="n">
        <v>6066</v>
      </c>
      <c r="Z70" s="265" t="n">
        <v>6066</v>
      </c>
      <c r="AA70" s="265" t="n">
        <v>6066</v>
      </c>
      <c r="AC70" s="265" t="n">
        <v>6066</v>
      </c>
      <c r="AD70" s="265" t="n">
        <v>95809</v>
      </c>
    </row>
    <row r="71">
      <c r="A71" t="inlineStr">
        <is>
          <t>ANC: Adiantamentos · fonte · unid. moeda</t>
        </is>
      </c>
      <c r="B71" t="n">
        <v>22</v>
      </c>
      <c r="C71" t="inlineStr">
        <is>
          <t>Other non-current assets</t>
        </is>
      </c>
      <c r="D71" s="265" t="n">
        <v>5992</v>
      </c>
      <c r="E71" s="265" t="n">
        <v>6327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ANC: Clientes · fonte · unid. moeda</t>
        </is>
      </c>
      <c r="B72" t="n">
        <v>22</v>
      </c>
      <c r="C72" t="inlineStr">
        <is>
          <t>Other non-current assets</t>
        </is>
      </c>
      <c r="D72" s="265" t="n">
        <v>9900</v>
      </c>
      <c r="E72" s="265" t="n">
        <v>9900</v>
      </c>
      <c r="F72" s="265" t="n">
        <v>14660</v>
      </c>
      <c r="G72" s="265" t="n">
        <v>14660</v>
      </c>
      <c r="I72" s="265" t="n">
        <v>14660</v>
      </c>
      <c r="J72" s="265" t="n">
        <v>14660</v>
      </c>
      <c r="K72" s="265" t="n">
        <v>14660</v>
      </c>
      <c r="L72" s="265" t="n">
        <v>14660</v>
      </c>
      <c r="N72" s="265" t="n">
        <v>10760</v>
      </c>
      <c r="O72" s="265" t="n">
        <v>13317</v>
      </c>
      <c r="P72" s="265" t="n">
        <v>14963</v>
      </c>
      <c r="Q72" s="265" t="n">
        <v>48572</v>
      </c>
      <c r="S72" s="265" t="n">
        <v>51279</v>
      </c>
      <c r="T72" s="265" t="n">
        <v>56329</v>
      </c>
      <c r="U72" s="265" t="n">
        <v>63308</v>
      </c>
      <c r="V72" s="265" t="n">
        <v>59975</v>
      </c>
      <c r="X72" s="265" t="n">
        <v>52084</v>
      </c>
      <c r="Y72" s="265" t="n">
        <v>56352</v>
      </c>
      <c r="Z72" s="265" t="n">
        <v>56776</v>
      </c>
      <c r="AA72" s="265" t="n">
        <v>37686</v>
      </c>
      <c r="AC72" s="265" t="n">
        <v>39453</v>
      </c>
      <c r="AD72" s="265" t="n">
        <v>714701</v>
      </c>
    </row>
    <row r="73">
      <c r="A73" t="inlineStr">
        <is>
          <t>ANC: Outras Contas a Receber · fonte · unid. moeda</t>
        </is>
      </c>
      <c r="B73" t="n">
        <v>22</v>
      </c>
      <c r="C73" t="inlineStr">
        <is>
          <t>Other non-current assets</t>
        </is>
      </c>
      <c r="D73" s="265" t="n">
        <v>0</v>
      </c>
      <c r="E73" s="265" t="n">
        <v>0</v>
      </c>
      <c r="F73" s="265" t="n">
        <v>9565</v>
      </c>
      <c r="G73" s="265" t="n">
        <v>9041</v>
      </c>
      <c r="I73" s="265" t="n">
        <v>10712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ANC: Créditos com Outras Partes Relacionadas · fonte · unid. moeda</t>
        </is>
      </c>
      <c r="B74" t="n">
        <v>22</v>
      </c>
      <c r="C74" t="inlineStr">
        <is>
          <t>Other non-current assets</t>
        </is>
      </c>
      <c r="D74" s="265" t="n">
        <v>0</v>
      </c>
      <c r="E74" s="265" t="n">
        <v>0</v>
      </c>
      <c r="F74" s="265" t="n">
        <v>1314</v>
      </c>
      <c r="G74" s="265" t="n">
        <v>7015</v>
      </c>
      <c r="I74" s="265" t="n">
        <v>3771</v>
      </c>
      <c r="J74" s="265" t="n">
        <v>4399</v>
      </c>
      <c r="K74" s="265" t="n">
        <v>8969</v>
      </c>
      <c r="L74" s="265" t="n">
        <v>7866</v>
      </c>
      <c r="N74" s="265" t="n">
        <v>8710</v>
      </c>
      <c r="O74" s="265" t="n">
        <v>9944</v>
      </c>
      <c r="P74" s="265" t="n">
        <v>11508</v>
      </c>
      <c r="Q74" s="265" t="n">
        <v>3006</v>
      </c>
      <c r="S74" s="265" t="n">
        <v>4778</v>
      </c>
      <c r="T74" s="265" t="n">
        <v>5192</v>
      </c>
      <c r="U74" s="265" t="n">
        <v>7817</v>
      </c>
      <c r="V74" s="265" t="n">
        <v>9478</v>
      </c>
      <c r="X74" s="265" t="n">
        <v>11183</v>
      </c>
      <c r="Y74" s="265" t="n">
        <v>15961</v>
      </c>
      <c r="Z74" s="265" t="n">
        <v>18115</v>
      </c>
      <c r="AA74" s="265" t="n">
        <v>39506</v>
      </c>
      <c r="AC74" s="265" t="n">
        <v>45999</v>
      </c>
      <c r="AD74" s="265" t="n">
        <v>54026</v>
      </c>
    </row>
    <row r="75">
      <c r="A75" t="inlineStr">
        <is>
          <t>ANC: Outros ativos - Adiantamentos · fonte · unid. moeda</t>
        </is>
      </c>
      <c r="B75" t="n">
        <v>22</v>
      </c>
      <c r="C75" t="inlineStr">
        <is>
          <t>Other non-current assets</t>
        </is>
      </c>
      <c r="D75" s="265" t="n">
        <v>0</v>
      </c>
      <c r="E75" s="265" t="n">
        <v>0</v>
      </c>
      <c r="F75" s="265" t="n">
        <v>6547</v>
      </c>
      <c r="G75" s="265" t="n">
        <v>6194</v>
      </c>
      <c r="I75" s="265" t="n">
        <v>6545</v>
      </c>
      <c r="J75" s="265" t="n">
        <v>6291</v>
      </c>
      <c r="K75" s="265" t="n">
        <v>8444</v>
      </c>
      <c r="L75" s="265" t="n">
        <v>12964</v>
      </c>
      <c r="N75" s="265" t="n">
        <v>17660</v>
      </c>
      <c r="O75" s="265" t="n">
        <v>5180</v>
      </c>
      <c r="P75" s="265" t="n">
        <v>8027</v>
      </c>
      <c r="Q75" s="265" t="n">
        <v>4641</v>
      </c>
      <c r="S75" s="265" t="n">
        <v>6072</v>
      </c>
      <c r="T75" s="265" t="n">
        <v>6094</v>
      </c>
      <c r="U75" s="265" t="n">
        <v>6162</v>
      </c>
      <c r="V75" s="265" t="n">
        <v>6070</v>
      </c>
      <c r="X75" s="265" t="n">
        <v>6070</v>
      </c>
      <c r="Y75" s="265" t="n">
        <v>6070</v>
      </c>
      <c r="Z75" s="265" t="n">
        <v>6070</v>
      </c>
      <c r="AA75" s="265" t="n">
        <v>6117</v>
      </c>
      <c r="AC75" s="265" t="n">
        <v>6117</v>
      </c>
      <c r="AD75" s="265" t="n">
        <v>168546</v>
      </c>
    </row>
    <row r="76">
      <c r="A76" t="inlineStr">
        <is>
          <t>ANC: Depósitos Judiciais · fonte · unid. moeda</t>
        </is>
      </c>
      <c r="B76" t="n">
        <v>22</v>
      </c>
      <c r="C76" t="inlineStr">
        <is>
          <t>Other non-current assets</t>
        </is>
      </c>
      <c r="D76" s="265" t="n">
        <v>8566</v>
      </c>
      <c r="E76" s="265" t="n">
        <v>12152</v>
      </c>
      <c r="F76" s="265" t="n">
        <v>0</v>
      </c>
      <c r="G76" s="265" t="n">
        <v>0</v>
      </c>
      <c r="I76" s="265" t="n">
        <v>0</v>
      </c>
      <c r="J76" s="265" t="n">
        <v>0</v>
      </c>
      <c r="K76" s="265" t="n">
        <v>0</v>
      </c>
      <c r="L76" s="265" t="n">
        <v>0</v>
      </c>
      <c r="N76" s="265" t="n">
        <v>0</v>
      </c>
      <c r="O76" s="265" t="n">
        <v>0</v>
      </c>
      <c r="P76" s="265" t="n">
        <v>0</v>
      </c>
      <c r="Q76" s="265" t="n">
        <v>0</v>
      </c>
      <c r="S76" s="265" t="n">
        <v>0</v>
      </c>
      <c r="T76" s="265" t="n">
        <v>0</v>
      </c>
      <c r="U76" s="265" t="n">
        <v>0</v>
      </c>
      <c r="V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C76" s="265" t="n">
        <v>0</v>
      </c>
      <c r="AD76" s="265" t="n">
        <v>0</v>
      </c>
    </row>
    <row r="77">
      <c r="A77" t="inlineStr">
        <is>
          <t>ANC: Aplicações Financeiras Avaliadas a Valor Justo · fonte · unid. moeda</t>
        </is>
      </c>
      <c r="B77" t="n">
        <v>22</v>
      </c>
      <c r="C77" t="inlineStr">
        <is>
          <t>Other non-current assets</t>
        </is>
      </c>
      <c r="D77" s="265" t="n">
        <v>8391</v>
      </c>
      <c r="E77" s="265" t="n">
        <v>12339</v>
      </c>
      <c r="F77" s="265" t="n">
        <v>0</v>
      </c>
      <c r="G77" s="265" t="n">
        <v>0</v>
      </c>
      <c r="I77" s="265" t="n">
        <v>0</v>
      </c>
      <c r="J77" s="265" t="n">
        <v>0</v>
      </c>
      <c r="K77" s="265" t="n">
        <v>0</v>
      </c>
      <c r="L77" s="265" t="n">
        <v>0</v>
      </c>
      <c r="N77" s="265" t="n">
        <v>0</v>
      </c>
      <c r="O77" s="265" t="n">
        <v>0</v>
      </c>
      <c r="P77" s="265" t="n">
        <v>0</v>
      </c>
      <c r="Q77" s="265" t="n">
        <v>0</v>
      </c>
      <c r="S77" s="265" t="n">
        <v>0</v>
      </c>
      <c r="T77" s="265" t="n">
        <v>0</v>
      </c>
      <c r="U77" s="265" t="n">
        <v>0</v>
      </c>
      <c r="V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C77" s="265" t="n">
        <v>0</v>
      </c>
      <c r="AD77" s="265" t="n">
        <v>0</v>
      </c>
    </row>
    <row r="78">
      <c r="A78" t="inlineStr">
        <is>
          <t>ANC: Créditos com Controladas · fonte · unid. moeda</t>
        </is>
      </c>
      <c r="B78" t="n">
        <v>22</v>
      </c>
      <c r="C78" t="inlineStr">
        <is>
          <t>Other non-current assets</t>
        </is>
      </c>
      <c r="D78" s="265" t="n">
        <v>10570</v>
      </c>
      <c r="E78" s="265" t="n">
        <v>0</v>
      </c>
      <c r="F78" s="265" t="n">
        <v>0</v>
      </c>
      <c r="G78" s="265" t="n">
        <v>0</v>
      </c>
      <c r="I78" s="265" t="n">
        <v>0</v>
      </c>
      <c r="J78" s="265" t="n">
        <v>0</v>
      </c>
      <c r="K78" s="265" t="n">
        <v>0</v>
      </c>
      <c r="L78" s="265" t="n">
        <v>0</v>
      </c>
      <c r="N78" s="265" t="n">
        <v>0</v>
      </c>
      <c r="O78" s="265" t="n">
        <v>0</v>
      </c>
      <c r="P78" s="265" t="n">
        <v>0</v>
      </c>
      <c r="Q78" s="265" t="n">
        <v>0</v>
      </c>
      <c r="S78" s="265" t="n">
        <v>0</v>
      </c>
      <c r="T78" s="265" t="n">
        <v>0</v>
      </c>
      <c r="U78" s="265" t="n">
        <v>0</v>
      </c>
      <c r="V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C78" s="265" t="n">
        <v>0</v>
      </c>
      <c r="AD78" s="265" t="n">
        <v>0</v>
      </c>
    </row>
    <row r="79">
      <c r="A79" t="inlineStr">
        <is>
          <t>ANC: Títulos e Valores Mobiliarios · fonte · unid. moeda</t>
        </is>
      </c>
      <c r="B79" t="n">
        <v>22</v>
      </c>
      <c r="C79" t="inlineStr">
        <is>
          <t>Other non-current assets</t>
        </is>
      </c>
      <c r="D79" s="265" t="n">
        <v>0</v>
      </c>
      <c r="E79" s="265" t="n">
        <v>0</v>
      </c>
      <c r="F79" s="265" t="n">
        <v>0</v>
      </c>
      <c r="G79" s="265" t="n">
        <v>0</v>
      </c>
      <c r="I79" s="265" t="n">
        <v>0</v>
      </c>
      <c r="J79" s="265" t="n">
        <v>0</v>
      </c>
      <c r="K79" s="265" t="n">
        <v>0</v>
      </c>
      <c r="L79" s="265" t="n">
        <v>0</v>
      </c>
      <c r="N79" s="265" t="n">
        <v>0</v>
      </c>
      <c r="O79" s="265" t="n">
        <v>0</v>
      </c>
      <c r="P79" s="265" t="n">
        <v>0</v>
      </c>
      <c r="Q79" s="265" t="n">
        <v>0</v>
      </c>
      <c r="S79" s="265" t="n">
        <v>0</v>
      </c>
      <c r="T79" s="265" t="n">
        <v>0</v>
      </c>
      <c r="U79" s="265" t="n">
        <v>0</v>
      </c>
      <c r="V79" s="265" t="n">
        <v>42402</v>
      </c>
      <c r="X79" s="265" t="n">
        <v>35270</v>
      </c>
      <c r="Y79" s="265" t="n">
        <v>36792</v>
      </c>
      <c r="Z79" s="265" t="n">
        <v>29717</v>
      </c>
      <c r="AA79" s="265" t="n">
        <v>0</v>
      </c>
      <c r="AC79" s="265" t="n">
        <v>9184</v>
      </c>
      <c r="AD79" s="265" t="n">
        <v>0</v>
      </c>
    </row>
    <row r="80">
      <c r="A80" t="inlineStr">
        <is>
          <t>ANC: Títulos e Valores Mobiliários não circulante · fonte · unid. moeda</t>
        </is>
      </c>
      <c r="B80" t="n">
        <v>22</v>
      </c>
      <c r="C80" t="inlineStr">
        <is>
          <t>Other non-current assets</t>
        </is>
      </c>
      <c r="D80" s="265" t="n">
        <v>0</v>
      </c>
      <c r="E80" s="265" t="n">
        <v>0</v>
      </c>
      <c r="F80" s="265" t="n">
        <v>0</v>
      </c>
      <c r="G80" s="265" t="n">
        <v>0</v>
      </c>
      <c r="I80" s="265" t="n">
        <v>0</v>
      </c>
      <c r="J80" s="265" t="n">
        <v>0</v>
      </c>
      <c r="K80" s="265" t="n">
        <v>0</v>
      </c>
      <c r="L80" s="265" t="n">
        <v>0</v>
      </c>
      <c r="N80" s="265" t="n">
        <v>0</v>
      </c>
      <c r="O80" s="265" t="n">
        <v>0</v>
      </c>
      <c r="P80" s="265" t="n">
        <v>0</v>
      </c>
      <c r="Q80" s="265" t="n">
        <v>0</v>
      </c>
      <c r="S80" s="265" t="n">
        <v>0</v>
      </c>
      <c r="T80" s="265" t="n">
        <v>0</v>
      </c>
      <c r="U80" s="265" t="n">
        <v>0</v>
      </c>
      <c r="V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C80" s="265" t="n">
        <v>0</v>
      </c>
      <c r="AD80" s="265" t="n">
        <v>3010</v>
      </c>
    </row>
    <row r="81">
      <c r="A81" t="inlineStr">
        <is>
          <t>ANC: Debêntures não circulante · fonte · unid. moeda</t>
        </is>
      </c>
      <c r="B81" t="n">
        <v>22</v>
      </c>
      <c r="C81" t="inlineStr">
        <is>
          <t>Other non-current assets</t>
        </is>
      </c>
      <c r="D81" s="265" t="n">
        <v>0</v>
      </c>
      <c r="E81" s="265" t="n">
        <v>0</v>
      </c>
      <c r="F81" s="265" t="n">
        <v>0</v>
      </c>
      <c r="G81" s="265" t="n">
        <v>0</v>
      </c>
      <c r="I81" s="265" t="n">
        <v>0</v>
      </c>
      <c r="J81" s="265" t="n">
        <v>0</v>
      </c>
      <c r="K81" s="265" t="n">
        <v>0</v>
      </c>
      <c r="L81" s="265" t="n">
        <v>0</v>
      </c>
      <c r="N81" s="265" t="n">
        <v>0</v>
      </c>
      <c r="O81" s="265" t="n">
        <v>0</v>
      </c>
      <c r="P81" s="265" t="n">
        <v>0</v>
      </c>
      <c r="Q81" s="265" t="n">
        <v>0</v>
      </c>
      <c r="S81" s="265" t="n">
        <v>0</v>
      </c>
      <c r="T81" s="265" t="n">
        <v>0</v>
      </c>
      <c r="U81" s="265" t="n">
        <v>0</v>
      </c>
      <c r="V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C81" s="265" t="n">
        <v>0</v>
      </c>
      <c r="AD81" s="265" t="n">
        <v>33000</v>
      </c>
    </row>
    <row r="82">
      <c r="A82" t="inlineStr">
        <is>
          <t>PC: Fornecedores · fonte · unid. moeda</t>
        </is>
      </c>
      <c r="B82" t="n">
        <v>23</v>
      </c>
      <c r="C82" t="inlineStr">
        <is>
          <t>Accounts payable</t>
        </is>
      </c>
      <c r="D82" s="265" t="n">
        <v>0</v>
      </c>
      <c r="E82" s="265" t="n">
        <v>0</v>
      </c>
      <c r="F82" s="265" t="n">
        <v>0</v>
      </c>
      <c r="G82" s="265" t="n">
        <v>43810</v>
      </c>
      <c r="I82" s="265" t="n">
        <v>62081</v>
      </c>
      <c r="J82" s="265" t="n">
        <v>72522</v>
      </c>
      <c r="K82" s="265" t="n">
        <v>71976</v>
      </c>
      <c r="L82" s="265" t="n">
        <v>65821</v>
      </c>
      <c r="N82" s="265" t="n">
        <v>64489</v>
      </c>
      <c r="O82" s="265" t="n">
        <v>50980</v>
      </c>
      <c r="P82" s="265" t="n">
        <v>51059</v>
      </c>
      <c r="Q82" s="265" t="n">
        <v>59533</v>
      </c>
      <c r="S82" s="265" t="n">
        <v>52949</v>
      </c>
      <c r="T82" s="265" t="n">
        <v>66999</v>
      </c>
      <c r="U82" s="265" t="n">
        <v>68396</v>
      </c>
      <c r="V82" s="265" t="n">
        <v>106723</v>
      </c>
      <c r="X82" s="265" t="n">
        <v>111860</v>
      </c>
      <c r="Y82" s="265" t="n">
        <v>178175</v>
      </c>
      <c r="Z82" s="265" t="n">
        <v>138488</v>
      </c>
      <c r="AA82" s="265" t="n">
        <v>145788</v>
      </c>
      <c r="AC82" s="265" t="n">
        <v>167965</v>
      </c>
      <c r="AD82" s="265" t="n">
        <v>365033</v>
      </c>
    </row>
    <row r="83">
      <c r="A83" t="inlineStr">
        <is>
          <t>PC: Fornecedores Nacionais · fonte · unid. moeda</t>
        </is>
      </c>
      <c r="B83" t="n">
        <v>23</v>
      </c>
      <c r="C83" t="inlineStr">
        <is>
          <t>Accounts payable</t>
        </is>
      </c>
      <c r="D83" s="265" t="n">
        <v>42128</v>
      </c>
      <c r="E83" s="265" t="n">
        <v>32440</v>
      </c>
      <c r="F83" s="265" t="n">
        <v>25454</v>
      </c>
      <c r="G83" s="265" t="n">
        <v>0</v>
      </c>
      <c r="I83" s="265" t="n">
        <v>0</v>
      </c>
      <c r="J83" s="265" t="n">
        <v>0</v>
      </c>
      <c r="K83" s="265" t="n">
        <v>0</v>
      </c>
      <c r="L83" s="265" t="n">
        <v>0</v>
      </c>
      <c r="N83" s="265" t="n">
        <v>0</v>
      </c>
      <c r="O83" s="265" t="n">
        <v>0</v>
      </c>
      <c r="P83" s="265" t="n">
        <v>0</v>
      </c>
      <c r="Q83" s="265" t="n">
        <v>0</v>
      </c>
      <c r="S83" s="265" t="n">
        <v>0</v>
      </c>
      <c r="T83" s="265" t="n">
        <v>0</v>
      </c>
      <c r="U83" s="265" t="n">
        <v>0</v>
      </c>
      <c r="V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C83" s="265" t="n">
        <v>0</v>
      </c>
      <c r="AD83" s="265" t="n">
        <v>0</v>
      </c>
    </row>
    <row r="84">
      <c r="A84" t="inlineStr">
        <is>
          <t>PC: Salários e encargos sociais · fonte · unid. moeda</t>
        </is>
      </c>
      <c r="B84" t="n">
        <v>24</v>
      </c>
      <c r="C84" t="inlineStr">
        <is>
          <t>Accrued expenses</t>
        </is>
      </c>
      <c r="D84" s="265" t="n">
        <v>0</v>
      </c>
      <c r="E84" s="265" t="n">
        <v>0</v>
      </c>
      <c r="F84" s="265" t="n">
        <v>16333</v>
      </c>
      <c r="G84" s="265" t="n">
        <v>12710</v>
      </c>
      <c r="I84" s="265" t="n">
        <v>15611</v>
      </c>
      <c r="J84" s="265" t="n">
        <v>27959</v>
      </c>
      <c r="K84" s="265" t="n">
        <v>32059</v>
      </c>
      <c r="L84" s="265" t="n">
        <v>24849</v>
      </c>
      <c r="N84" s="265" t="n">
        <v>28625</v>
      </c>
      <c r="O84" s="265" t="n">
        <v>31021</v>
      </c>
      <c r="P84" s="265" t="n">
        <v>34131</v>
      </c>
      <c r="Q84" s="265" t="n">
        <v>25248</v>
      </c>
      <c r="S84" s="265" t="n">
        <v>28991</v>
      </c>
      <c r="T84" s="265" t="n">
        <v>34013</v>
      </c>
      <c r="U84" s="265" t="n">
        <v>36196</v>
      </c>
      <c r="V84" s="265" t="n">
        <v>32093</v>
      </c>
      <c r="X84" s="265" t="n">
        <v>33649</v>
      </c>
      <c r="Y84" s="265" t="n">
        <v>38644</v>
      </c>
      <c r="Z84" s="265" t="n">
        <v>40727</v>
      </c>
      <c r="AA84" s="265" t="n">
        <v>31894</v>
      </c>
      <c r="AC84" s="265" t="n">
        <v>35720</v>
      </c>
      <c r="AD84" s="265" t="n">
        <v>219628</v>
      </c>
    </row>
    <row r="85">
      <c r="A85" t="inlineStr">
        <is>
          <t>PC: Obrigações Trabalhistas · fonte · unid. moeda</t>
        </is>
      </c>
      <c r="B85" t="n">
        <v>24</v>
      </c>
      <c r="C85" t="inlineStr">
        <is>
          <t>Accrued expenses</t>
        </is>
      </c>
      <c r="D85" s="265" t="n">
        <v>11753</v>
      </c>
      <c r="E85" s="265" t="n">
        <v>13857</v>
      </c>
      <c r="F85" s="265" t="n">
        <v>0</v>
      </c>
      <c r="G85" s="265" t="n">
        <v>0</v>
      </c>
      <c r="I85" s="265" t="n">
        <v>0</v>
      </c>
      <c r="J85" s="265" t="n">
        <v>0</v>
      </c>
      <c r="K85" s="265" t="n">
        <v>0</v>
      </c>
      <c r="L85" s="265" t="n">
        <v>0</v>
      </c>
      <c r="N85" s="265" t="n">
        <v>0</v>
      </c>
      <c r="O85" s="265" t="n">
        <v>0</v>
      </c>
      <c r="P85" s="265" t="n">
        <v>0</v>
      </c>
      <c r="Q85" s="265" t="n">
        <v>0</v>
      </c>
      <c r="S85" s="265" t="n">
        <v>0</v>
      </c>
      <c r="T85" s="265" t="n">
        <v>0</v>
      </c>
      <c r="U85" s="265" t="n">
        <v>0</v>
      </c>
      <c r="V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C85" s="265" t="n">
        <v>0</v>
      </c>
      <c r="AD85" s="265" t="n">
        <v>0</v>
      </c>
    </row>
    <row r="86">
      <c r="A86" t="inlineStr">
        <is>
          <t>PC: Impostos e contribuições a recolher · fonte · unid. moeda</t>
        </is>
      </c>
      <c r="B86" t="n">
        <v>25</v>
      </c>
      <c r="C86" t="inlineStr">
        <is>
          <t>Taxes payable</t>
        </is>
      </c>
      <c r="D86" s="265" t="n">
        <v>0</v>
      </c>
      <c r="E86" s="265" t="n">
        <v>0</v>
      </c>
      <c r="F86" s="265" t="n">
        <v>34849</v>
      </c>
      <c r="G86" s="265" t="n">
        <v>31313</v>
      </c>
      <c r="I86" s="265" t="n">
        <v>25455</v>
      </c>
      <c r="J86" s="265" t="n">
        <v>40740</v>
      </c>
      <c r="K86" s="265" t="n">
        <v>47049</v>
      </c>
      <c r="L86" s="265" t="n">
        <v>48673</v>
      </c>
      <c r="N86" s="265" t="n">
        <v>45485</v>
      </c>
      <c r="O86" s="265" t="n">
        <v>36996</v>
      </c>
      <c r="P86" s="265" t="n">
        <v>37271</v>
      </c>
      <c r="Q86" s="265" t="n">
        <v>37120</v>
      </c>
      <c r="S86" s="265" t="n">
        <v>45700</v>
      </c>
      <c r="T86" s="265" t="n">
        <v>37032</v>
      </c>
      <c r="U86" s="265" t="n">
        <v>35475</v>
      </c>
      <c r="V86" s="265" t="n">
        <v>42905</v>
      </c>
      <c r="X86" s="265" t="n">
        <v>39662</v>
      </c>
      <c r="Y86" s="265" t="n">
        <v>38030</v>
      </c>
      <c r="Z86" s="265" t="n">
        <v>40835</v>
      </c>
      <c r="AA86" s="265" t="n">
        <v>45024</v>
      </c>
      <c r="AC86" s="265" t="n">
        <v>56942</v>
      </c>
      <c r="AD86" s="265" t="n">
        <v>86844</v>
      </c>
    </row>
    <row r="87">
      <c r="A87" t="inlineStr">
        <is>
          <t>PC: Parcelamento de impostos · fonte · unid. moeda</t>
        </is>
      </c>
      <c r="B87" t="n">
        <v>25</v>
      </c>
      <c r="C87" t="inlineStr">
        <is>
          <t>Taxes payable</t>
        </is>
      </c>
      <c r="D87" s="265" t="n">
        <v>5712</v>
      </c>
      <c r="E87" s="265" t="n">
        <v>6359</v>
      </c>
      <c r="F87" s="265" t="n">
        <v>6509</v>
      </c>
      <c r="G87" s="265" t="n">
        <v>7561</v>
      </c>
      <c r="I87" s="265" t="n">
        <v>7155</v>
      </c>
      <c r="J87" s="265" t="n">
        <v>5655</v>
      </c>
      <c r="K87" s="265" t="n">
        <v>5820</v>
      </c>
      <c r="L87" s="265" t="n">
        <v>17904</v>
      </c>
      <c r="N87" s="265" t="n">
        <v>18131</v>
      </c>
      <c r="O87" s="265" t="n">
        <v>18717</v>
      </c>
      <c r="P87" s="265" t="n">
        <v>18686</v>
      </c>
      <c r="Q87" s="265" t="n">
        <v>19011</v>
      </c>
      <c r="S87" s="265" t="n">
        <v>18913</v>
      </c>
      <c r="T87" s="265" t="n">
        <v>21669</v>
      </c>
      <c r="U87" s="265" t="n">
        <v>20453</v>
      </c>
      <c r="V87" s="265" t="n">
        <v>24544</v>
      </c>
      <c r="X87" s="265" t="n">
        <v>21482</v>
      </c>
      <c r="Y87" s="265" t="n">
        <v>21347</v>
      </c>
      <c r="Z87" s="265" t="n">
        <v>21136</v>
      </c>
      <c r="AA87" s="265" t="n">
        <v>12673</v>
      </c>
      <c r="AC87" s="265" t="n">
        <v>12522</v>
      </c>
      <c r="AD87" s="265" t="n">
        <v>22900</v>
      </c>
    </row>
    <row r="88">
      <c r="A88" t="inlineStr">
        <is>
          <t>PC: Imposto de Renda e Contribuição Social a Pagar · fonte · unid. moeda</t>
        </is>
      </c>
      <c r="B88" t="n">
        <v>25</v>
      </c>
      <c r="C88" t="inlineStr">
        <is>
          <t>Taxes payable</t>
        </is>
      </c>
      <c r="D88" s="265" t="n">
        <v>36785</v>
      </c>
      <c r="E88" s="265" t="n">
        <v>36041</v>
      </c>
      <c r="F88" s="265" t="n">
        <v>0</v>
      </c>
      <c r="G88" s="265" t="n">
        <v>0</v>
      </c>
      <c r="I88" s="265" t="n">
        <v>0</v>
      </c>
      <c r="J88" s="265" t="n">
        <v>0</v>
      </c>
      <c r="K88" s="265" t="n">
        <v>0</v>
      </c>
      <c r="L88" s="265" t="n">
        <v>0</v>
      </c>
      <c r="N88" s="265" t="n">
        <v>0</v>
      </c>
      <c r="O88" s="265" t="n">
        <v>0</v>
      </c>
      <c r="P88" s="265" t="n">
        <v>0</v>
      </c>
      <c r="Q88" s="265" t="n">
        <v>0</v>
      </c>
      <c r="S88" s="265" t="n">
        <v>0</v>
      </c>
      <c r="T88" s="265" t="n">
        <v>0</v>
      </c>
      <c r="U88" s="265" t="n">
        <v>0</v>
      </c>
      <c r="V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C88" s="265" t="n">
        <v>0</v>
      </c>
      <c r="AD88" s="265" t="n">
        <v>0</v>
      </c>
    </row>
    <row r="89">
      <c r="A89" t="inlineStr">
        <is>
          <t>PC: Outorgas a pagar · fonte · unid. moeda</t>
        </is>
      </c>
      <c r="B89" t="n">
        <v>26</v>
      </c>
      <c r="C89" t="inlineStr">
        <is>
          <t>Other current liabilities (non-debt)</t>
        </is>
      </c>
      <c r="D89" s="265" t="n">
        <v>9105</v>
      </c>
      <c r="E89" s="265" t="n">
        <v>11076</v>
      </c>
      <c r="F89" s="265" t="n">
        <v>10631</v>
      </c>
      <c r="G89" s="265" t="n">
        <v>12641</v>
      </c>
      <c r="I89" s="265" t="n">
        <v>12812</v>
      </c>
      <c r="J89" s="265" t="n">
        <v>13479</v>
      </c>
      <c r="K89" s="265" t="n">
        <v>12026</v>
      </c>
      <c r="L89" s="265" t="n">
        <v>11676</v>
      </c>
      <c r="N89" s="265" t="n">
        <v>12620</v>
      </c>
      <c r="O89" s="265" t="n">
        <v>12041</v>
      </c>
      <c r="P89" s="265" t="n">
        <v>12208</v>
      </c>
      <c r="Q89" s="265" t="n">
        <v>14818</v>
      </c>
      <c r="S89" s="265" t="n">
        <v>14621</v>
      </c>
      <c r="T89" s="265" t="n">
        <v>12099</v>
      </c>
      <c r="U89" s="265" t="n">
        <v>12521</v>
      </c>
      <c r="V89" s="265" t="n">
        <v>12502</v>
      </c>
      <c r="X89" s="265" t="n">
        <v>13982</v>
      </c>
      <c r="Y89" s="265" t="n">
        <v>14852</v>
      </c>
      <c r="Z89" s="265" t="n">
        <v>15056</v>
      </c>
      <c r="AA89" s="265" t="n">
        <v>15963</v>
      </c>
      <c r="AC89" s="265" t="n">
        <v>15222</v>
      </c>
      <c r="AD89" s="265" t="n">
        <v>18079</v>
      </c>
    </row>
    <row r="90">
      <c r="A90" t="inlineStr">
        <is>
          <t>PC: Adiantamento de clientes · fonte · unid. moeda</t>
        </is>
      </c>
      <c r="B90" t="n">
        <v>26</v>
      </c>
      <c r="C90" t="inlineStr">
        <is>
          <t>Other current liabilities (non-debt)</t>
        </is>
      </c>
      <c r="D90" s="265" t="n">
        <v>22053</v>
      </c>
      <c r="E90" s="265" t="n">
        <v>25842</v>
      </c>
      <c r="F90" s="265" t="n">
        <v>16465</v>
      </c>
      <c r="G90" s="265" t="n">
        <v>20195</v>
      </c>
      <c r="I90" s="265" t="n">
        <v>21852</v>
      </c>
      <c r="J90" s="265" t="n">
        <v>25542</v>
      </c>
      <c r="K90" s="265" t="n">
        <v>26364</v>
      </c>
      <c r="L90" s="265" t="n">
        <v>24140</v>
      </c>
      <c r="N90" s="265" t="n">
        <v>24042</v>
      </c>
      <c r="O90" s="265" t="n">
        <v>20097</v>
      </c>
      <c r="P90" s="265" t="n">
        <v>18540</v>
      </c>
      <c r="Q90" s="265" t="n">
        <v>3976</v>
      </c>
      <c r="S90" s="265" t="n">
        <v>7179</v>
      </c>
      <c r="T90" s="265" t="n">
        <v>5755</v>
      </c>
      <c r="U90" s="265" t="n">
        <v>4309</v>
      </c>
      <c r="V90" s="265" t="n">
        <v>8561</v>
      </c>
      <c r="X90" s="265" t="n">
        <v>5512</v>
      </c>
      <c r="Y90" s="265" t="n">
        <v>6221</v>
      </c>
      <c r="Z90" s="265" t="n">
        <v>3690</v>
      </c>
      <c r="AA90" s="265" t="n">
        <v>83833</v>
      </c>
      <c r="AC90" s="265" t="n">
        <v>69699</v>
      </c>
      <c r="AD90" s="265" t="n">
        <v>51708</v>
      </c>
    </row>
    <row r="91">
      <c r="A91" t="inlineStr">
        <is>
          <t>PC: Contas a pagar · fonte · unid. moeda</t>
        </is>
      </c>
      <c r="B91" t="n">
        <v>26</v>
      </c>
      <c r="C91" t="inlineStr">
        <is>
          <t>Other current liabilities (non-debt)</t>
        </is>
      </c>
      <c r="D91" s="265" t="n">
        <v>9535</v>
      </c>
      <c r="E91" s="265" t="n">
        <v>10374</v>
      </c>
      <c r="F91" s="265" t="n">
        <v>10401</v>
      </c>
      <c r="G91" s="265" t="n">
        <v>13470</v>
      </c>
      <c r="I91" s="265" t="n">
        <v>10956</v>
      </c>
      <c r="J91" s="265" t="n">
        <v>15601</v>
      </c>
      <c r="K91" s="265" t="n">
        <v>14104</v>
      </c>
      <c r="L91" s="265" t="n">
        <v>12945</v>
      </c>
      <c r="N91" s="265" t="n">
        <v>18880</v>
      </c>
      <c r="O91" s="265" t="n">
        <v>25277</v>
      </c>
      <c r="P91" s="265" t="n">
        <v>18347</v>
      </c>
      <c r="Q91" s="265" t="n">
        <v>18394</v>
      </c>
      <c r="S91" s="265" t="n">
        <v>17677</v>
      </c>
      <c r="T91" s="265" t="n">
        <v>17887</v>
      </c>
      <c r="U91" s="265" t="n">
        <v>20103</v>
      </c>
      <c r="V91" s="265" t="n">
        <v>5830</v>
      </c>
      <c r="X91" s="265" t="n">
        <v>952</v>
      </c>
      <c r="Y91" s="265" t="n">
        <v>961</v>
      </c>
      <c r="Z91" s="265" t="n">
        <v>967</v>
      </c>
      <c r="AA91" s="265" t="n">
        <v>973</v>
      </c>
      <c r="AC91" s="265" t="n">
        <v>991</v>
      </c>
      <c r="AD91" s="265" t="n">
        <v>22633</v>
      </c>
    </row>
    <row r="92">
      <c r="A92" t="inlineStr">
        <is>
          <t>PC: Outros passivos circulantes · fonte · unid. moeda</t>
        </is>
      </c>
      <c r="B92" t="n">
        <v>26</v>
      </c>
      <c r="C92" t="inlineStr">
        <is>
          <t>Other current liabilities (non-debt)</t>
        </is>
      </c>
      <c r="D92" s="265" t="n">
        <v>15105</v>
      </c>
      <c r="E92" s="265" t="n">
        <v>15994</v>
      </c>
      <c r="F92" s="265" t="n">
        <v>5192</v>
      </c>
      <c r="G92" s="265" t="n">
        <v>4190</v>
      </c>
      <c r="I92" s="265" t="n">
        <v>9385</v>
      </c>
      <c r="J92" s="265" t="n">
        <v>10929</v>
      </c>
      <c r="K92" s="265" t="n">
        <v>21757</v>
      </c>
      <c r="L92" s="265" t="n">
        <v>31792</v>
      </c>
      <c r="N92" s="265" t="n">
        <v>30604</v>
      </c>
      <c r="O92" s="265" t="n">
        <v>13376</v>
      </c>
      <c r="P92" s="265" t="n">
        <v>12465</v>
      </c>
      <c r="Q92" s="265" t="n">
        <v>5691</v>
      </c>
      <c r="S92" s="265" t="n">
        <v>1985</v>
      </c>
      <c r="T92" s="265" t="n">
        <v>2856</v>
      </c>
      <c r="U92" s="265" t="n">
        <v>1688</v>
      </c>
      <c r="V92" s="265" t="n">
        <v>3659</v>
      </c>
      <c r="X92" s="265" t="n">
        <v>3635</v>
      </c>
      <c r="Y92" s="265" t="n">
        <v>4956</v>
      </c>
      <c r="Z92" s="265" t="n">
        <v>5294</v>
      </c>
      <c r="AA92" s="265" t="n">
        <v>5599</v>
      </c>
      <c r="AC92" s="265" t="n">
        <v>3515</v>
      </c>
      <c r="AD92" s="265" t="n">
        <v>33526</v>
      </c>
    </row>
    <row r="93">
      <c r="A93" t="inlineStr">
        <is>
          <t>PC: Débitos com Outras Partes Relacionadas · fonte · unid. moeda</t>
        </is>
      </c>
      <c r="B93" t="n">
        <v>26</v>
      </c>
      <c r="C93" t="inlineStr">
        <is>
          <t>Other current liabilities (non-debt)</t>
        </is>
      </c>
      <c r="D93" s="265" t="n">
        <v>7843</v>
      </c>
      <c r="E93" s="265" t="n">
        <v>12166</v>
      </c>
      <c r="F93" s="265" t="n">
        <v>0</v>
      </c>
      <c r="G93" s="265" t="n">
        <v>0</v>
      </c>
      <c r="I93" s="265" t="n">
        <v>0</v>
      </c>
      <c r="J93" s="265" t="n">
        <v>0</v>
      </c>
      <c r="K93" s="265" t="n">
        <v>0</v>
      </c>
      <c r="L93" s="265" t="n">
        <v>0</v>
      </c>
      <c r="N93" s="265" t="n">
        <v>0</v>
      </c>
      <c r="O93" s="265" t="n">
        <v>0</v>
      </c>
      <c r="P93" s="265" t="n">
        <v>0</v>
      </c>
      <c r="Q93" s="265" t="n">
        <v>0</v>
      </c>
      <c r="S93" s="265" t="n">
        <v>0</v>
      </c>
      <c r="T93" s="265" t="n">
        <v>0</v>
      </c>
      <c r="U93" s="265" t="n">
        <v>0</v>
      </c>
      <c r="V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C93" s="265" t="n">
        <v>0</v>
      </c>
      <c r="AD93" s="265" t="n">
        <v>0</v>
      </c>
    </row>
    <row r="94">
      <c r="A94" t="inlineStr">
        <is>
          <t>PC: Partes relacionadas · fonte · unid. moeda</t>
        </is>
      </c>
      <c r="B94" t="n">
        <v>26</v>
      </c>
      <c r="C94" t="inlineStr">
        <is>
          <t>Other current liabilities (non-debt)</t>
        </is>
      </c>
      <c r="D94" s="265" t="n">
        <v>0</v>
      </c>
      <c r="E94" s="265" t="n">
        <v>0</v>
      </c>
      <c r="F94" s="265" t="n">
        <v>16443</v>
      </c>
      <c r="G94" s="265" t="n">
        <v>16829</v>
      </c>
      <c r="I94" s="265" t="n">
        <v>15439</v>
      </c>
      <c r="J94" s="265" t="n">
        <v>4242</v>
      </c>
      <c r="K94" s="265" t="n">
        <v>5709</v>
      </c>
      <c r="L94" s="265" t="n">
        <v>32255</v>
      </c>
      <c r="N94" s="265" t="n">
        <v>0</v>
      </c>
      <c r="O94" s="265" t="n">
        <v>0</v>
      </c>
      <c r="P94" s="265" t="n">
        <v>0</v>
      </c>
      <c r="Q94" s="265" t="n">
        <v>0</v>
      </c>
      <c r="S94" s="265" t="n">
        <v>0</v>
      </c>
      <c r="T94" s="265" t="n">
        <v>0</v>
      </c>
      <c r="U94" s="265" t="n">
        <v>0</v>
      </c>
      <c r="V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C94" s="265" t="n">
        <v>0</v>
      </c>
      <c r="AD94" s="265" t="n">
        <v>6692</v>
      </c>
    </row>
    <row r="95">
      <c r="A95" t="inlineStr">
        <is>
          <t>PC: Empréstimos e financiamentos · fonte · unid. moeda</t>
        </is>
      </c>
      <c r="B95" t="n">
        <v>27</v>
      </c>
      <c r="C95" t="inlineStr">
        <is>
          <t>Current portion of long-term debt</t>
        </is>
      </c>
      <c r="D95" s="265" t="n">
        <v>0</v>
      </c>
      <c r="E95" s="265" t="n">
        <v>0</v>
      </c>
      <c r="F95" s="265" t="n">
        <v>0</v>
      </c>
      <c r="G95" s="265" t="n">
        <v>16844</v>
      </c>
      <c r="I95" s="265" t="n">
        <v>12728</v>
      </c>
      <c r="J95" s="265" t="n">
        <v>28581</v>
      </c>
      <c r="K95" s="265" t="n">
        <v>34899</v>
      </c>
      <c r="L95" s="265" t="n">
        <v>37616</v>
      </c>
      <c r="N95" s="265" t="n">
        <v>27958</v>
      </c>
      <c r="O95" s="265" t="n">
        <v>52088</v>
      </c>
      <c r="P95" s="265" t="n">
        <v>46457</v>
      </c>
      <c r="Q95" s="265" t="n">
        <v>45583</v>
      </c>
      <c r="S95" s="265" t="n">
        <v>46797</v>
      </c>
      <c r="T95" s="265" t="n">
        <v>139500</v>
      </c>
      <c r="U95" s="265" t="n">
        <v>308682</v>
      </c>
      <c r="V95" s="265" t="n">
        <v>140957</v>
      </c>
      <c r="X95" s="265" t="n">
        <v>182561</v>
      </c>
      <c r="Y95" s="265" t="n">
        <v>235849</v>
      </c>
      <c r="Z95" s="265" t="n">
        <v>191487</v>
      </c>
      <c r="AA95" s="265" t="n">
        <v>178483</v>
      </c>
      <c r="AC95" s="265" t="n">
        <v>185886</v>
      </c>
      <c r="AD95" s="265" t="n">
        <v>299576</v>
      </c>
    </row>
    <row r="96">
      <c r="A96" t="inlineStr">
        <is>
          <t>PC: Em Moeda Nacional · fonte · unid. moeda</t>
        </is>
      </c>
      <c r="B96" t="n">
        <v>27</v>
      </c>
      <c r="C96" t="inlineStr">
        <is>
          <t>Current portion of long-term debt</t>
        </is>
      </c>
      <c r="D96" s="265" t="n">
        <v>57038</v>
      </c>
      <c r="E96" s="265" t="n">
        <v>69002</v>
      </c>
      <c r="F96" s="265" t="n">
        <v>69326</v>
      </c>
      <c r="G96" s="265" t="n">
        <v>0</v>
      </c>
      <c r="I96" s="265" t="n">
        <v>0</v>
      </c>
      <c r="J96" s="265" t="n">
        <v>0</v>
      </c>
      <c r="K96" s="265" t="n">
        <v>0</v>
      </c>
      <c r="L96" s="265" t="n">
        <v>0</v>
      </c>
      <c r="N96" s="265" t="n">
        <v>0</v>
      </c>
      <c r="O96" s="265" t="n">
        <v>0</v>
      </c>
      <c r="P96" s="265" t="n">
        <v>0</v>
      </c>
      <c r="Q96" s="265" t="n">
        <v>0</v>
      </c>
      <c r="S96" s="265" t="n">
        <v>0</v>
      </c>
      <c r="T96" s="265" t="n">
        <v>0</v>
      </c>
      <c r="U96" s="265" t="n">
        <v>0</v>
      </c>
      <c r="V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C96" s="265" t="n">
        <v>0</v>
      </c>
      <c r="AD96" s="265" t="n">
        <v>0</v>
      </c>
    </row>
    <row r="97">
      <c r="A97" t="inlineStr">
        <is>
          <t>PC: Arrendamentos · fonte · unid. moeda</t>
        </is>
      </c>
      <c r="B97" t="n">
        <v>29</v>
      </c>
      <c r="C97" t="inlineStr">
        <is>
          <t>Short term operating leases</t>
        </is>
      </c>
      <c r="D97" s="265" t="n">
        <v>0</v>
      </c>
      <c r="E97" s="265" t="n">
        <v>0</v>
      </c>
      <c r="F97" s="265" t="n">
        <v>12007</v>
      </c>
      <c r="G97" s="265" t="n">
        <v>9526</v>
      </c>
      <c r="I97" s="265" t="n">
        <v>10609</v>
      </c>
      <c r="J97" s="265" t="n">
        <v>13717</v>
      </c>
      <c r="K97" s="265" t="n">
        <v>29340</v>
      </c>
      <c r="L97" s="265" t="n">
        <v>15211</v>
      </c>
      <c r="N97" s="265" t="n">
        <v>6587</v>
      </c>
      <c r="O97" s="265" t="n">
        <v>26872</v>
      </c>
      <c r="P97" s="265" t="n">
        <v>23947</v>
      </c>
      <c r="Q97" s="265" t="n">
        <v>29057</v>
      </c>
      <c r="S97" s="265" t="n">
        <v>30796</v>
      </c>
      <c r="T97" s="265" t="n">
        <v>34249</v>
      </c>
      <c r="U97" s="265" t="n">
        <v>50151</v>
      </c>
      <c r="V97" s="265" t="n">
        <v>45319</v>
      </c>
      <c r="X97" s="265" t="n">
        <v>44844</v>
      </c>
      <c r="Y97" s="265" t="n">
        <v>39655</v>
      </c>
      <c r="Z97" s="265" t="n">
        <v>37700</v>
      </c>
      <c r="AA97" s="265" t="n">
        <v>49243</v>
      </c>
      <c r="AC97" s="265" t="n">
        <v>44186</v>
      </c>
      <c r="AD97" s="265" t="n">
        <v>48061</v>
      </c>
    </row>
    <row r="98">
      <c r="A98" t="inlineStr">
        <is>
          <t>PC: Financiamento por Arrendamento · fonte · unid. moeda</t>
        </is>
      </c>
      <c r="B98" t="n">
        <v>29</v>
      </c>
      <c r="C98" t="inlineStr">
        <is>
          <t>Short term operating leases</t>
        </is>
      </c>
      <c r="D98" s="265" t="n">
        <v>9229</v>
      </c>
      <c r="E98" s="265" t="n">
        <v>10401</v>
      </c>
      <c r="F98" s="265" t="n">
        <v>0</v>
      </c>
      <c r="G98" s="265" t="n">
        <v>0</v>
      </c>
      <c r="I98" s="265" t="n">
        <v>0</v>
      </c>
      <c r="J98" s="265" t="n">
        <v>0</v>
      </c>
      <c r="K98" s="265" t="n">
        <v>0</v>
      </c>
      <c r="L98" s="265" t="n">
        <v>0</v>
      </c>
      <c r="N98" s="265" t="n">
        <v>0</v>
      </c>
      <c r="O98" s="265" t="n">
        <v>0</v>
      </c>
      <c r="P98" s="265" t="n">
        <v>0</v>
      </c>
      <c r="Q98" s="265" t="n">
        <v>0</v>
      </c>
      <c r="S98" s="265" t="n">
        <v>0</v>
      </c>
      <c r="T98" s="265" t="n">
        <v>0</v>
      </c>
      <c r="U98" s="265" t="n">
        <v>0</v>
      </c>
      <c r="V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C98" s="265" t="n">
        <v>0</v>
      </c>
      <c r="AD98" s="265" t="n">
        <v>0</v>
      </c>
    </row>
    <row r="99">
      <c r="A99" t="inlineStr">
        <is>
          <t>PNC: Provisões Previdenciárias e Trabalhistas · fonte · unid. moeda</t>
        </is>
      </c>
      <c r="B99" t="n">
        <v>24</v>
      </c>
      <c r="C99" t="inlineStr">
        <is>
          <t>Accrued expenses</t>
        </is>
      </c>
      <c r="D99" s="265" t="n">
        <v>24086</v>
      </c>
      <c r="E99" s="265" t="n">
        <v>22192</v>
      </c>
      <c r="F99" s="265" t="n">
        <v>0</v>
      </c>
      <c r="G99" s="265" t="n">
        <v>0</v>
      </c>
      <c r="I99" s="265" t="n">
        <v>0</v>
      </c>
      <c r="J99" s="265" t="n">
        <v>0</v>
      </c>
      <c r="K99" s="265" t="n">
        <v>0</v>
      </c>
      <c r="L99" s="265" t="n">
        <v>0</v>
      </c>
      <c r="N99" s="265" t="n">
        <v>0</v>
      </c>
      <c r="O99" s="265" t="n">
        <v>0</v>
      </c>
      <c r="P99" s="265" t="n">
        <v>0</v>
      </c>
      <c r="Q99" s="265" t="n">
        <v>0</v>
      </c>
      <c r="S99" s="265" t="n">
        <v>0</v>
      </c>
      <c r="T99" s="265" t="n">
        <v>0</v>
      </c>
      <c r="U99" s="265" t="n">
        <v>0</v>
      </c>
      <c r="V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C99" s="265" t="n">
        <v>0</v>
      </c>
      <c r="AD99" s="265" t="n">
        <v>0</v>
      </c>
    </row>
    <row r="100">
      <c r="A100" t="inlineStr">
        <is>
          <t>PNC: Empréstimos e financiamentos · fonte · unid. moeda</t>
        </is>
      </c>
      <c r="B100" t="n">
        <v>30</v>
      </c>
      <c r="C100" t="inlineStr">
        <is>
          <t>Long term debt</t>
        </is>
      </c>
      <c r="D100" s="265" t="n">
        <v>0</v>
      </c>
      <c r="E100" s="265" t="n">
        <v>0</v>
      </c>
      <c r="F100" s="265" t="n">
        <v>195313</v>
      </c>
      <c r="G100" s="265" t="n">
        <v>539432</v>
      </c>
      <c r="I100" s="265" t="n">
        <v>553411</v>
      </c>
      <c r="J100" s="265" t="n">
        <v>559965</v>
      </c>
      <c r="K100" s="265" t="n">
        <v>574826</v>
      </c>
      <c r="L100" s="265" t="n">
        <v>977538</v>
      </c>
      <c r="N100" s="265" t="n">
        <v>990560</v>
      </c>
      <c r="O100" s="265" t="n">
        <v>955452</v>
      </c>
      <c r="P100" s="265" t="n">
        <v>1098201</v>
      </c>
      <c r="Q100" s="265" t="n">
        <v>1079806</v>
      </c>
      <c r="S100" s="265" t="n">
        <v>1085754</v>
      </c>
      <c r="T100" s="265" t="n">
        <v>1133232</v>
      </c>
      <c r="U100" s="265" t="n">
        <v>1585620</v>
      </c>
      <c r="V100" s="265" t="n">
        <v>1726341</v>
      </c>
      <c r="X100" s="265" t="n">
        <v>1746730</v>
      </c>
      <c r="Y100" s="265" t="n">
        <v>1666378</v>
      </c>
      <c r="Z100" s="265" t="n">
        <v>1915243</v>
      </c>
      <c r="AA100" s="265" t="n">
        <v>1943929</v>
      </c>
      <c r="AC100" s="265" t="n">
        <v>2054653</v>
      </c>
      <c r="AD100" s="265" t="n">
        <v>3485914</v>
      </c>
    </row>
    <row r="101">
      <c r="A101" t="inlineStr">
        <is>
          <t>PNC: Em Moeda Nacional · fonte · unid. moeda</t>
        </is>
      </c>
      <c r="B101" t="n">
        <v>30</v>
      </c>
      <c r="C101" t="inlineStr">
        <is>
          <t>Long term debt</t>
        </is>
      </c>
      <c r="D101" s="265" t="n">
        <v>272776</v>
      </c>
      <c r="E101" s="265" t="n">
        <v>212701</v>
      </c>
      <c r="F101" s="265" t="n">
        <v>0</v>
      </c>
      <c r="G101" s="265" t="n">
        <v>0</v>
      </c>
      <c r="I101" s="265" t="n">
        <v>0</v>
      </c>
      <c r="J101" s="265" t="n">
        <v>0</v>
      </c>
      <c r="K101" s="265" t="n">
        <v>0</v>
      </c>
      <c r="L101" s="265" t="n">
        <v>0</v>
      </c>
      <c r="N101" s="265" t="n">
        <v>0</v>
      </c>
      <c r="O101" s="265" t="n">
        <v>0</v>
      </c>
      <c r="P101" s="265" t="n">
        <v>0</v>
      </c>
      <c r="Q101" s="265" t="n">
        <v>0</v>
      </c>
      <c r="S101" s="265" t="n">
        <v>0</v>
      </c>
      <c r="T101" s="265" t="n">
        <v>0</v>
      </c>
      <c r="U101" s="265" t="n">
        <v>0</v>
      </c>
      <c r="V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C101" s="265" t="n">
        <v>0</v>
      </c>
      <c r="AD101" s="265" t="n">
        <v>0</v>
      </c>
    </row>
    <row r="102">
      <c r="A102" t="inlineStr">
        <is>
          <t>PNC: Arrendamentos · fonte · unid. moeda</t>
        </is>
      </c>
      <c r="B102" t="n">
        <v>31</v>
      </c>
      <c r="C102" t="inlineStr">
        <is>
          <t>Long term operating leases</t>
        </is>
      </c>
      <c r="D102" s="265" t="n">
        <v>0</v>
      </c>
      <c r="E102" s="265" t="n">
        <v>0</v>
      </c>
      <c r="F102" s="265" t="n">
        <v>11432</v>
      </c>
      <c r="G102" s="265" t="n">
        <v>11431</v>
      </c>
      <c r="I102" s="265" t="n">
        <v>11811</v>
      </c>
      <c r="J102" s="265" t="n">
        <v>20698</v>
      </c>
      <c r="K102" s="265" t="n">
        <v>18482</v>
      </c>
      <c r="L102" s="265" t="n">
        <v>40800</v>
      </c>
      <c r="N102" s="265" t="n">
        <v>43454</v>
      </c>
      <c r="O102" s="265" t="n">
        <v>33041</v>
      </c>
      <c r="P102" s="265" t="n">
        <v>27498</v>
      </c>
      <c r="Q102" s="265" t="n">
        <v>23329</v>
      </c>
      <c r="S102" s="265" t="n">
        <v>21543</v>
      </c>
      <c r="T102" s="265" t="n">
        <v>20191</v>
      </c>
      <c r="U102" s="265" t="n">
        <v>47450</v>
      </c>
      <c r="V102" s="265" t="n">
        <v>62382</v>
      </c>
      <c r="X102" s="265" t="n">
        <v>64059</v>
      </c>
      <c r="Y102" s="265" t="n">
        <v>48686</v>
      </c>
      <c r="Z102" s="265" t="n">
        <v>42207</v>
      </c>
      <c r="AA102" s="265" t="n">
        <v>54834</v>
      </c>
      <c r="AC102" s="265" t="n">
        <v>48425</v>
      </c>
      <c r="AD102" s="265" t="n">
        <v>49663</v>
      </c>
    </row>
    <row r="103">
      <c r="A103" t="inlineStr">
        <is>
          <t>PNC: Financiamento por Arrendamento · fonte · unid. moeda</t>
        </is>
      </c>
      <c r="B103" t="n">
        <v>31</v>
      </c>
      <c r="C103" t="inlineStr">
        <is>
          <t>Long term operating leases</t>
        </is>
      </c>
      <c r="D103" s="265" t="n">
        <v>11170</v>
      </c>
      <c r="E103" s="265" t="n">
        <v>8569</v>
      </c>
      <c r="F103" s="265" t="n">
        <v>0</v>
      </c>
      <c r="G103" s="265" t="n">
        <v>0</v>
      </c>
      <c r="I103" s="265" t="n">
        <v>0</v>
      </c>
      <c r="J103" s="265" t="n">
        <v>0</v>
      </c>
      <c r="K103" s="265" t="n">
        <v>0</v>
      </c>
      <c r="L103" s="265" t="n">
        <v>0</v>
      </c>
      <c r="N103" s="265" t="n">
        <v>0</v>
      </c>
      <c r="O103" s="265" t="n">
        <v>0</v>
      </c>
      <c r="P103" s="265" t="n">
        <v>0</v>
      </c>
      <c r="Q103" s="265" t="n">
        <v>0</v>
      </c>
      <c r="S103" s="265" t="n">
        <v>0</v>
      </c>
      <c r="T103" s="265" t="n">
        <v>0</v>
      </c>
      <c r="U103" s="265" t="n">
        <v>0</v>
      </c>
      <c r="V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C103" s="265" t="n">
        <v>0</v>
      </c>
      <c r="AD103" s="265" t="n">
        <v>0</v>
      </c>
    </row>
    <row r="104">
      <c r="A104" t="inlineStr">
        <is>
          <t>PNC: Pis e confins diferidos · fonte · unid. moeda</t>
        </is>
      </c>
      <c r="B104" t="n">
        <v>33</v>
      </c>
      <c r="C104" t="inlineStr">
        <is>
          <t>Deferred income taxes</t>
        </is>
      </c>
      <c r="D104" s="265" t="n">
        <v>9105</v>
      </c>
      <c r="E104" s="265" t="n">
        <v>9105</v>
      </c>
      <c r="F104" s="265" t="n">
        <v>9105</v>
      </c>
      <c r="G104" s="265" t="n">
        <v>9105</v>
      </c>
      <c r="I104" s="265" t="n">
        <v>9105</v>
      </c>
      <c r="J104" s="265" t="n">
        <v>9105</v>
      </c>
      <c r="K104" s="265" t="n">
        <v>9105</v>
      </c>
      <c r="L104" s="265" t="n">
        <v>4139</v>
      </c>
      <c r="N104" s="265" t="n">
        <v>4139</v>
      </c>
      <c r="O104" s="265" t="n">
        <v>4139</v>
      </c>
      <c r="P104" s="265" t="n">
        <v>4139</v>
      </c>
      <c r="Q104" s="265" t="n">
        <v>4139</v>
      </c>
      <c r="S104" s="265" t="n">
        <v>4139</v>
      </c>
      <c r="T104" s="265" t="n">
        <v>4139</v>
      </c>
      <c r="U104" s="265" t="n">
        <v>4139</v>
      </c>
      <c r="V104" s="265" t="n">
        <v>3680</v>
      </c>
      <c r="X104" s="265" t="n">
        <v>3680</v>
      </c>
      <c r="Y104" s="265" t="n">
        <v>3680</v>
      </c>
      <c r="Z104" s="265" t="n">
        <v>3680</v>
      </c>
      <c r="AA104" s="265" t="n">
        <v>2728</v>
      </c>
      <c r="AC104" s="265" t="n">
        <v>2728</v>
      </c>
      <c r="AD104" s="265" t="n">
        <v>0</v>
      </c>
    </row>
    <row r="105">
      <c r="A105" t="inlineStr">
        <is>
          <t>PNC: Imposto de Renda e Contribuição Social Diferidos · fonte · unid. moeda</t>
        </is>
      </c>
      <c r="B105" t="n">
        <v>33</v>
      </c>
      <c r="C105" t="inlineStr">
        <is>
          <t>Deferred income taxes</t>
        </is>
      </c>
      <c r="D105" s="265" t="n">
        <v>8712</v>
      </c>
      <c r="E105" s="265" t="n">
        <v>8391</v>
      </c>
      <c r="F105" s="265" t="n">
        <v>10877</v>
      </c>
      <c r="G105" s="265" t="n">
        <v>0</v>
      </c>
      <c r="I105" s="265" t="n">
        <v>0</v>
      </c>
      <c r="J105" s="265" t="n">
        <v>0</v>
      </c>
      <c r="K105" s="265" t="n">
        <v>0</v>
      </c>
      <c r="L105" s="265" t="n">
        <v>0</v>
      </c>
      <c r="N105" s="265" t="n">
        <v>0</v>
      </c>
      <c r="O105" s="265" t="n">
        <v>0</v>
      </c>
      <c r="P105" s="265" t="n">
        <v>0</v>
      </c>
      <c r="Q105" s="265" t="n">
        <v>0</v>
      </c>
      <c r="S105" s="265" t="n">
        <v>0</v>
      </c>
      <c r="T105" s="265" t="n">
        <v>0</v>
      </c>
      <c r="U105" s="265" t="n">
        <v>0</v>
      </c>
      <c r="V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C105" s="265" t="n">
        <v>0</v>
      </c>
      <c r="AD105" s="265" t="n">
        <v>594558</v>
      </c>
    </row>
    <row r="106">
      <c r="A106" t="inlineStr">
        <is>
          <t>PNC: Tributos diferidos · fonte · unid. moeda</t>
        </is>
      </c>
      <c r="B106" t="n">
        <v>33</v>
      </c>
      <c r="C106" t="inlineStr">
        <is>
          <t>Deferred income taxes</t>
        </is>
      </c>
      <c r="D106" s="265" t="n">
        <v>0</v>
      </c>
      <c r="E106" s="265" t="n">
        <v>0</v>
      </c>
      <c r="F106" s="265" t="n">
        <v>0</v>
      </c>
      <c r="G106" s="265" t="n">
        <v>0</v>
      </c>
      <c r="I106" s="265" t="n">
        <v>0</v>
      </c>
      <c r="J106" s="265" t="n">
        <v>0</v>
      </c>
      <c r="K106" s="265" t="n">
        <v>0</v>
      </c>
      <c r="L106" s="265" t="n">
        <v>0</v>
      </c>
      <c r="N106" s="265" t="n">
        <v>0</v>
      </c>
      <c r="O106" s="265" t="n">
        <v>0</v>
      </c>
      <c r="P106" s="265" t="n">
        <v>0</v>
      </c>
      <c r="Q106" s="265" t="n">
        <v>0</v>
      </c>
      <c r="S106" s="265" t="n">
        <v>0</v>
      </c>
      <c r="T106" s="265" t="n">
        <v>0</v>
      </c>
      <c r="U106" s="265" t="n">
        <v>0</v>
      </c>
      <c r="V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C106" s="265" t="n">
        <v>0</v>
      </c>
      <c r="AD106" s="265" t="n">
        <v>2728</v>
      </c>
    </row>
    <row r="107">
      <c r="A107" t="inlineStr">
        <is>
          <t>PNC: Passivos com Partes Relacionadas · fonte · unid. moeda</t>
        </is>
      </c>
      <c r="B107" t="n">
        <v>34</v>
      </c>
      <c r="C107" t="inlineStr">
        <is>
          <t>Other non-current liabilities</t>
        </is>
      </c>
      <c r="D107" s="265" t="n">
        <v>0</v>
      </c>
      <c r="E107" s="265" t="n">
        <v>0</v>
      </c>
      <c r="F107" s="265" t="n">
        <v>0</v>
      </c>
      <c r="G107" s="265" t="n">
        <v>0</v>
      </c>
      <c r="I107" s="265" t="n">
        <v>0</v>
      </c>
      <c r="J107" s="265" t="n">
        <v>0</v>
      </c>
      <c r="K107" s="265" t="n">
        <v>0</v>
      </c>
      <c r="L107" s="265" t="n">
        <v>0</v>
      </c>
      <c r="N107" s="265" t="n">
        <v>0</v>
      </c>
      <c r="O107" s="265" t="n">
        <v>0</v>
      </c>
      <c r="P107" s="265" t="n">
        <v>0</v>
      </c>
      <c r="Q107" s="265" t="n">
        <v>0</v>
      </c>
      <c r="S107" s="265" t="n">
        <v>0</v>
      </c>
      <c r="T107" s="265" t="n">
        <v>0</v>
      </c>
      <c r="U107" s="265" t="n">
        <v>0</v>
      </c>
      <c r="V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C107" s="265" t="n">
        <v>0</v>
      </c>
      <c r="AD107" s="265" t="n">
        <v>0</v>
      </c>
    </row>
    <row r="108">
      <c r="A108" t="inlineStr">
        <is>
          <t>PNC: Parcelamento de impostos · fonte · unid. moeda</t>
        </is>
      </c>
      <c r="B108" t="n">
        <v>34</v>
      </c>
      <c r="C108" t="inlineStr">
        <is>
          <t>Other non-current liabilities</t>
        </is>
      </c>
      <c r="D108" s="265" t="n">
        <v>36298</v>
      </c>
      <c r="E108" s="265" t="n">
        <v>33422</v>
      </c>
      <c r="F108" s="265" t="n">
        <v>30993</v>
      </c>
      <c r="G108" s="265" t="n">
        <v>36790</v>
      </c>
      <c r="I108" s="265" t="n">
        <v>34425</v>
      </c>
      <c r="J108" s="265" t="n">
        <v>32893</v>
      </c>
      <c r="K108" s="265" t="n">
        <v>39849</v>
      </c>
      <c r="L108" s="265" t="n">
        <v>56406</v>
      </c>
      <c r="N108" s="265" t="n">
        <v>64508</v>
      </c>
      <c r="O108" s="265" t="n">
        <v>70818</v>
      </c>
      <c r="P108" s="265" t="n">
        <v>65135</v>
      </c>
      <c r="Q108" s="265" t="n">
        <v>63901</v>
      </c>
      <c r="S108" s="265" t="n">
        <v>58365</v>
      </c>
      <c r="T108" s="265" t="n">
        <v>57926</v>
      </c>
      <c r="U108" s="265" t="n">
        <v>51443</v>
      </c>
      <c r="V108" s="265" t="n">
        <v>41286</v>
      </c>
      <c r="X108" s="265" t="n">
        <v>39024</v>
      </c>
      <c r="Y108" s="265" t="n">
        <v>35136</v>
      </c>
      <c r="Z108" s="265" t="n">
        <v>29872</v>
      </c>
      <c r="AA108" s="265" t="n">
        <v>30047</v>
      </c>
      <c r="AC108" s="265" t="n">
        <v>26333</v>
      </c>
      <c r="AD108" s="265" t="n">
        <v>22653</v>
      </c>
    </row>
    <row r="109">
      <c r="A109" t="inlineStr">
        <is>
          <t>PNC: Contas a pagar · fonte · unid. moeda</t>
        </is>
      </c>
      <c r="B109" t="n">
        <v>34</v>
      </c>
      <c r="C109" t="inlineStr">
        <is>
          <t>Other non-current liabilities</t>
        </is>
      </c>
      <c r="D109" s="265" t="n">
        <v>12481</v>
      </c>
      <c r="E109" s="265" t="n">
        <v>10956</v>
      </c>
      <c r="F109" s="265" t="n">
        <v>9740</v>
      </c>
      <c r="G109" s="265" t="n">
        <v>5568</v>
      </c>
      <c r="I109" s="265" t="n">
        <v>5568</v>
      </c>
      <c r="J109" s="265" t="n">
        <v>249884</v>
      </c>
      <c r="K109" s="265" t="n">
        <v>248032</v>
      </c>
      <c r="L109" s="265" t="n">
        <v>40021</v>
      </c>
      <c r="N109" s="265" t="n">
        <v>29970</v>
      </c>
      <c r="O109" s="265" t="n">
        <v>30730</v>
      </c>
      <c r="P109" s="265" t="n">
        <v>30471</v>
      </c>
      <c r="Q109" s="265" t="n">
        <v>22463</v>
      </c>
      <c r="S109" s="265" t="n">
        <v>18975</v>
      </c>
      <c r="T109" s="265" t="n">
        <v>13748</v>
      </c>
      <c r="U109" s="265" t="n">
        <v>0</v>
      </c>
      <c r="V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C109" s="265" t="n">
        <v>0</v>
      </c>
      <c r="AD109" s="265" t="n">
        <v>9000</v>
      </c>
    </row>
    <row r="110">
      <c r="A110" t="inlineStr">
        <is>
          <t>PNC: Provisão para perdas em investimentos · fonte · unid. moeda</t>
        </is>
      </c>
      <c r="B110" t="n">
        <v>34</v>
      </c>
      <c r="C110" t="inlineStr">
        <is>
          <t>Other non-current liabilities</t>
        </is>
      </c>
      <c r="D110" s="265" t="n">
        <v>901</v>
      </c>
      <c r="E110" s="265" t="n">
        <v>873</v>
      </c>
      <c r="F110" s="265" t="n">
        <v>158</v>
      </c>
      <c r="G110" s="265" t="n">
        <v>158</v>
      </c>
      <c r="I110" s="265" t="n">
        <v>158</v>
      </c>
      <c r="J110" s="265" t="n">
        <v>158</v>
      </c>
      <c r="K110" s="265" t="n">
        <v>158</v>
      </c>
      <c r="L110" s="265" t="n">
        <v>158</v>
      </c>
      <c r="N110" s="265" t="n">
        <v>158</v>
      </c>
      <c r="O110" s="265" t="n">
        <v>158</v>
      </c>
      <c r="P110" s="265" t="n">
        <v>158</v>
      </c>
      <c r="Q110" s="265" t="n">
        <v>158</v>
      </c>
      <c r="S110" s="265" t="n">
        <v>158</v>
      </c>
      <c r="T110" s="265" t="n">
        <v>158</v>
      </c>
      <c r="U110" s="265" t="n">
        <v>158</v>
      </c>
      <c r="V110" s="265" t="n">
        <v>158</v>
      </c>
      <c r="X110" s="265" t="n">
        <v>158</v>
      </c>
      <c r="Y110" s="265" t="n">
        <v>158</v>
      </c>
      <c r="Z110" s="265" t="n">
        <v>158</v>
      </c>
      <c r="AA110" s="265" t="n">
        <v>158</v>
      </c>
      <c r="AC110" s="265" t="n">
        <v>158</v>
      </c>
      <c r="AD110" s="265" t="n">
        <v>158</v>
      </c>
    </row>
    <row r="111">
      <c r="A111" t="inlineStr">
        <is>
          <t>PNC: Provisão para contingências · fonte · unid. moeda</t>
        </is>
      </c>
      <c r="B111" t="n">
        <v>34</v>
      </c>
      <c r="C111" t="inlineStr">
        <is>
          <t>Other non-current liabilities</t>
        </is>
      </c>
      <c r="D111" s="265" t="n">
        <v>0</v>
      </c>
      <c r="E111" s="265" t="n">
        <v>0</v>
      </c>
      <c r="F111" s="265" t="n">
        <v>32366</v>
      </c>
      <c r="G111" s="265" t="n">
        <v>33160</v>
      </c>
      <c r="I111" s="265" t="n">
        <v>34588</v>
      </c>
      <c r="J111" s="265" t="n">
        <v>28164</v>
      </c>
      <c r="K111" s="265" t="n">
        <v>22617</v>
      </c>
      <c r="L111" s="265" t="n">
        <v>25075</v>
      </c>
      <c r="N111" s="265" t="n">
        <v>24355</v>
      </c>
      <c r="O111" s="265" t="n">
        <v>19611</v>
      </c>
      <c r="P111" s="265" t="n">
        <v>19356</v>
      </c>
      <c r="Q111" s="265" t="n">
        <v>21477</v>
      </c>
      <c r="S111" s="265" t="n">
        <v>20408</v>
      </c>
      <c r="T111" s="265" t="n">
        <v>18396</v>
      </c>
      <c r="U111" s="265" t="n">
        <v>18793</v>
      </c>
      <c r="V111" s="265" t="n">
        <v>19091</v>
      </c>
      <c r="X111" s="265" t="n">
        <v>18567</v>
      </c>
      <c r="Y111" s="265" t="n">
        <v>16951</v>
      </c>
      <c r="Z111" s="265" t="n">
        <v>15876</v>
      </c>
      <c r="AA111" s="265" t="n">
        <v>14619</v>
      </c>
      <c r="AC111" s="265" t="n">
        <v>13528</v>
      </c>
      <c r="AD111" s="265" t="n">
        <v>127581</v>
      </c>
    </row>
    <row r="112">
      <c r="A112" t="inlineStr">
        <is>
          <t>PNC: Adiantamento de clientes · fonte · unid. moeda</t>
        </is>
      </c>
      <c r="B112" t="n">
        <v>34</v>
      </c>
      <c r="C112" t="inlineStr">
        <is>
          <t>Other non-current liabilities</t>
        </is>
      </c>
      <c r="D112" s="265" t="n">
        <v>5149</v>
      </c>
      <c r="E112" s="265" t="n">
        <v>5149</v>
      </c>
      <c r="F112" s="265" t="n">
        <v>2780</v>
      </c>
      <c r="G112" s="265" t="n">
        <v>0</v>
      </c>
      <c r="I112" s="265" t="n">
        <v>0</v>
      </c>
      <c r="J112" s="265" t="n">
        <v>0</v>
      </c>
      <c r="K112" s="265" t="n">
        <v>0</v>
      </c>
      <c r="L112" s="265" t="n">
        <v>0</v>
      </c>
      <c r="N112" s="265" t="n">
        <v>0</v>
      </c>
      <c r="O112" s="265" t="n">
        <v>0</v>
      </c>
      <c r="P112" s="265" t="n">
        <v>0</v>
      </c>
      <c r="Q112" s="265" t="n">
        <v>0</v>
      </c>
      <c r="S112" s="265" t="n">
        <v>0</v>
      </c>
      <c r="T112" s="265" t="n">
        <v>0</v>
      </c>
      <c r="U112" s="265" t="n">
        <v>150002</v>
      </c>
      <c r="V112" s="265" t="n">
        <v>150000</v>
      </c>
      <c r="X112" s="265" t="n">
        <v>150000</v>
      </c>
      <c r="Y112" s="265" t="n">
        <v>150000</v>
      </c>
      <c r="Z112" s="265" t="n">
        <v>150000</v>
      </c>
      <c r="AA112" s="265" t="n">
        <v>75000</v>
      </c>
      <c r="AC112" s="265" t="n">
        <v>75000</v>
      </c>
      <c r="AD112" s="265" t="n">
        <v>75000</v>
      </c>
    </row>
    <row r="113">
      <c r="A113" t="inlineStr">
        <is>
          <t>PNC: Débitos com Outras Partes Relacionadas · fonte · unid. moeda</t>
        </is>
      </c>
      <c r="B113" t="n">
        <v>34</v>
      </c>
      <c r="C113" t="inlineStr">
        <is>
          <t>Other non-current liabilities</t>
        </is>
      </c>
      <c r="D113" s="265" t="n">
        <v>19246</v>
      </c>
      <c r="E113" s="265" t="n">
        <v>14959</v>
      </c>
      <c r="F113" s="265" t="n">
        <v>13655</v>
      </c>
      <c r="G113" s="265" t="n">
        <v>11917</v>
      </c>
      <c r="I113" s="265" t="n">
        <v>10678</v>
      </c>
      <c r="J113" s="265" t="n">
        <v>21765</v>
      </c>
      <c r="K113" s="265" t="n">
        <v>19055</v>
      </c>
      <c r="L113" s="265" t="n">
        <v>3619</v>
      </c>
      <c r="N113" s="265" t="n">
        <v>7034</v>
      </c>
      <c r="O113" s="265" t="n">
        <v>11118</v>
      </c>
      <c r="P113" s="265" t="n">
        <v>34265</v>
      </c>
      <c r="Q113" s="265" t="n">
        <v>20949</v>
      </c>
      <c r="S113" s="265" t="n">
        <v>6134</v>
      </c>
      <c r="T113" s="265" t="n">
        <v>3619</v>
      </c>
      <c r="U113" s="265" t="n">
        <v>3299</v>
      </c>
      <c r="V113" s="265" t="n">
        <v>3426</v>
      </c>
      <c r="X113" s="265" t="n">
        <v>5153</v>
      </c>
      <c r="Y113" s="265" t="n">
        <v>8623</v>
      </c>
      <c r="Z113" s="265" t="n">
        <v>6859</v>
      </c>
      <c r="AA113" s="265" t="n">
        <v>12267</v>
      </c>
      <c r="AC113" s="265" t="n">
        <v>16397</v>
      </c>
      <c r="AD113" s="265" t="n">
        <v>184292</v>
      </c>
    </row>
    <row r="114">
      <c r="A114" t="inlineStr">
        <is>
          <t>PNC: Provisões Fiscais · fonte · unid. moeda</t>
        </is>
      </c>
      <c r="B114" t="n">
        <v>34</v>
      </c>
      <c r="C114" t="inlineStr">
        <is>
          <t>Other non-current liabilities</t>
        </is>
      </c>
      <c r="D114" s="265" t="n">
        <v>488</v>
      </c>
      <c r="E114" s="265" t="n">
        <v>488</v>
      </c>
      <c r="F114" s="265" t="n">
        <v>0</v>
      </c>
      <c r="G114" s="265" t="n">
        <v>0</v>
      </c>
      <c r="I114" s="265" t="n">
        <v>0</v>
      </c>
      <c r="J114" s="265" t="n">
        <v>0</v>
      </c>
      <c r="K114" s="265" t="n">
        <v>0</v>
      </c>
      <c r="L114" s="265" t="n">
        <v>0</v>
      </c>
      <c r="N114" s="265" t="n">
        <v>0</v>
      </c>
      <c r="O114" s="265" t="n">
        <v>0</v>
      </c>
      <c r="P114" s="265" t="n">
        <v>0</v>
      </c>
      <c r="Q114" s="265" t="n">
        <v>0</v>
      </c>
      <c r="S114" s="265" t="n">
        <v>0</v>
      </c>
      <c r="T114" s="265" t="n">
        <v>0</v>
      </c>
      <c r="U114" s="265" t="n">
        <v>0</v>
      </c>
      <c r="V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C114" s="265" t="n">
        <v>0</v>
      </c>
      <c r="AD114" s="265" t="n">
        <v>0</v>
      </c>
    </row>
    <row r="115">
      <c r="A115" t="inlineStr">
        <is>
          <t>PNC: Provisões Cíveis · fonte · unid. moeda</t>
        </is>
      </c>
      <c r="B115" t="n">
        <v>34</v>
      </c>
      <c r="C115" t="inlineStr">
        <is>
          <t>Other non-current liabilities</t>
        </is>
      </c>
      <c r="D115" s="265" t="n">
        <v>11092</v>
      </c>
      <c r="E115" s="265" t="n">
        <v>10635</v>
      </c>
      <c r="F115" s="265" t="n">
        <v>0</v>
      </c>
      <c r="G115" s="265" t="n">
        <v>0</v>
      </c>
      <c r="I115" s="265" t="n">
        <v>0</v>
      </c>
      <c r="J115" s="265" t="n">
        <v>0</v>
      </c>
      <c r="K115" s="265" t="n">
        <v>0</v>
      </c>
      <c r="L115" s="265" t="n">
        <v>0</v>
      </c>
      <c r="N115" s="265" t="n">
        <v>0</v>
      </c>
      <c r="O115" s="265" t="n">
        <v>0</v>
      </c>
      <c r="P115" s="265" t="n">
        <v>0</v>
      </c>
      <c r="Q115" s="265" t="n">
        <v>0</v>
      </c>
      <c r="S115" s="265" t="n">
        <v>0</v>
      </c>
      <c r="T115" s="265" t="n">
        <v>0</v>
      </c>
      <c r="U115" s="265" t="n">
        <v>0</v>
      </c>
      <c r="V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C115" s="265" t="n">
        <v>0</v>
      </c>
      <c r="AD115" s="265" t="n">
        <v>0</v>
      </c>
    </row>
    <row r="116">
      <c r="A116" t="inlineStr">
        <is>
          <t>PNC: Outros ativos não circulantes · fonte · unid. moeda</t>
        </is>
      </c>
      <c r="B116" t="n">
        <v>34</v>
      </c>
      <c r="C116" t="inlineStr">
        <is>
          <t>Other non-current liabilities</t>
        </is>
      </c>
      <c r="D116" s="265" t="n">
        <v>0</v>
      </c>
      <c r="E116" s="265" t="n">
        <v>0</v>
      </c>
      <c r="F116" s="265" t="n">
        <v>0</v>
      </c>
      <c r="G116" s="265" t="n">
        <v>0</v>
      </c>
      <c r="I116" s="265" t="n">
        <v>5000</v>
      </c>
      <c r="J116" s="265" t="n">
        <v>0</v>
      </c>
      <c r="K116" s="265" t="n">
        <v>0</v>
      </c>
      <c r="L116" s="265" t="n">
        <v>21191</v>
      </c>
      <c r="N116" s="265" t="n">
        <v>21788</v>
      </c>
      <c r="O116" s="265" t="n">
        <v>26661</v>
      </c>
      <c r="P116" s="265" t="n">
        <v>22730</v>
      </c>
      <c r="Q116" s="265" t="n">
        <v>23098</v>
      </c>
      <c r="S116" s="265" t="n">
        <v>24043</v>
      </c>
      <c r="T116" s="265" t="n">
        <v>26384</v>
      </c>
      <c r="U116" s="265" t="n">
        <v>29293</v>
      </c>
      <c r="V116" s="265" t="n">
        <v>30870</v>
      </c>
      <c r="X116" s="265" t="n">
        <v>31256</v>
      </c>
      <c r="Y116" s="265" t="n">
        <v>32956</v>
      </c>
      <c r="Z116" s="265" t="n">
        <v>34744</v>
      </c>
      <c r="AA116" s="265" t="n">
        <v>39253</v>
      </c>
      <c r="AC116" s="265" t="n">
        <v>43726</v>
      </c>
      <c r="AD116" s="265" t="n">
        <v>59772</v>
      </c>
    </row>
    <row r="117">
      <c r="A117" t="inlineStr">
        <is>
          <t>PNC: Outros passivos não circulantes · fonte · unid. moeda</t>
        </is>
      </c>
      <c r="B117" t="n">
        <v>34</v>
      </c>
      <c r="C117" t="inlineStr">
        <is>
          <t>Other non-current liabilities</t>
        </is>
      </c>
      <c r="D117" s="265" t="n">
        <v>0</v>
      </c>
      <c r="E117" s="265" t="n">
        <v>0</v>
      </c>
      <c r="F117" s="265" t="n">
        <v>0</v>
      </c>
      <c r="G117" s="265" t="n">
        <v>0</v>
      </c>
      <c r="I117" s="265" t="n">
        <v>0</v>
      </c>
      <c r="J117" s="265" t="n">
        <v>20884</v>
      </c>
      <c r="K117" s="265" t="n">
        <v>25998</v>
      </c>
      <c r="L117" s="265" t="n">
        <v>0</v>
      </c>
      <c r="N117" s="265" t="n">
        <v>0</v>
      </c>
      <c r="O117" s="265" t="n">
        <v>0</v>
      </c>
      <c r="P117" s="265" t="n">
        <v>0</v>
      </c>
      <c r="Q117" s="265" t="n">
        <v>0</v>
      </c>
      <c r="S117" s="265" t="n">
        <v>0</v>
      </c>
      <c r="T117" s="265" t="n">
        <v>0</v>
      </c>
      <c r="U117" s="265" t="n">
        <v>0</v>
      </c>
      <c r="V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C117" s="265" t="n">
        <v>0</v>
      </c>
      <c r="AD117" s="265" t="n">
        <v>0</v>
      </c>
    </row>
    <row r="118">
      <c r="A118" t="inlineStr">
        <is>
          <t>PNC: Fornecedores · fonte · unid. moeda</t>
        </is>
      </c>
      <c r="B118" t="n">
        <v>34</v>
      </c>
      <c r="C118" t="inlineStr">
        <is>
          <t>Other non-current liabilities</t>
        </is>
      </c>
      <c r="D118" s="265" t="n">
        <v>0</v>
      </c>
      <c r="E118" s="265" t="n">
        <v>0</v>
      </c>
      <c r="F118" s="265" t="n">
        <v>0</v>
      </c>
      <c r="G118" s="265" t="n">
        <v>0</v>
      </c>
      <c r="I118" s="265" t="n">
        <v>0</v>
      </c>
      <c r="J118" s="265" t="n">
        <v>0</v>
      </c>
      <c r="K118" s="265" t="n">
        <v>0</v>
      </c>
      <c r="L118" s="265" t="n">
        <v>0</v>
      </c>
      <c r="N118" s="265" t="n">
        <v>0</v>
      </c>
      <c r="O118" s="265" t="n">
        <v>0</v>
      </c>
      <c r="P118" s="265" t="n">
        <v>0</v>
      </c>
      <c r="Q118" s="265" t="n">
        <v>0</v>
      </c>
      <c r="S118" s="265" t="n">
        <v>0</v>
      </c>
      <c r="T118" s="265" t="n">
        <v>0</v>
      </c>
      <c r="U118" s="265" t="n">
        <v>0</v>
      </c>
      <c r="V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C118" s="265" t="n">
        <v>0</v>
      </c>
      <c r="AD118" s="265" t="n">
        <v>19101</v>
      </c>
    </row>
    <row r="119">
      <c r="A119" t="inlineStr">
        <is>
          <t>PNC: Impostos e contribuições a recolher · fonte · unid. moeda</t>
        </is>
      </c>
      <c r="B119" t="n">
        <v>34</v>
      </c>
      <c r="C119" t="inlineStr">
        <is>
          <t>Other non-current liabilities</t>
        </is>
      </c>
      <c r="D119" s="265" t="n">
        <v>0</v>
      </c>
      <c r="E119" s="265" t="n">
        <v>0</v>
      </c>
      <c r="F119" s="265" t="n">
        <v>0</v>
      </c>
      <c r="G119" s="265" t="n">
        <v>0</v>
      </c>
      <c r="I119" s="265" t="n">
        <v>0</v>
      </c>
      <c r="J119" s="265" t="n">
        <v>0</v>
      </c>
      <c r="K119" s="265" t="n">
        <v>0</v>
      </c>
      <c r="L119" s="265" t="n">
        <v>0</v>
      </c>
      <c r="N119" s="265" t="n">
        <v>0</v>
      </c>
      <c r="O119" s="265" t="n">
        <v>0</v>
      </c>
      <c r="P119" s="265" t="n">
        <v>0</v>
      </c>
      <c r="Q119" s="265" t="n">
        <v>0</v>
      </c>
      <c r="S119" s="265" t="n">
        <v>0</v>
      </c>
      <c r="T119" s="265" t="n">
        <v>0</v>
      </c>
      <c r="U119" s="265" t="n">
        <v>0</v>
      </c>
      <c r="V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C119" s="265" t="n">
        <v>0</v>
      </c>
      <c r="AD119" s="265" t="n">
        <v>257075</v>
      </c>
    </row>
    <row r="120">
      <c r="A120" t="inlineStr">
        <is>
          <t>PNC: Outorgas a pagar · fonte · unid. moeda</t>
        </is>
      </c>
      <c r="B120" t="n">
        <v>34</v>
      </c>
      <c r="C120" t="inlineStr">
        <is>
          <t>Other non-current liabilities</t>
        </is>
      </c>
      <c r="D120" s="265" t="n">
        <v>0</v>
      </c>
      <c r="E120" s="265" t="n">
        <v>0</v>
      </c>
      <c r="F120" s="265" t="n">
        <v>0</v>
      </c>
      <c r="G120" s="265" t="n">
        <v>0</v>
      </c>
      <c r="I120" s="265" t="n">
        <v>0</v>
      </c>
      <c r="J120" s="265" t="n">
        <v>0</v>
      </c>
      <c r="K120" s="265" t="n">
        <v>0</v>
      </c>
      <c r="L120" s="265" t="n">
        <v>0</v>
      </c>
      <c r="N120" s="265" t="n">
        <v>0</v>
      </c>
      <c r="O120" s="265" t="n">
        <v>0</v>
      </c>
      <c r="P120" s="265" t="n">
        <v>0</v>
      </c>
      <c r="Q120" s="265" t="n">
        <v>0</v>
      </c>
      <c r="S120" s="265" t="n">
        <v>0</v>
      </c>
      <c r="T120" s="265" t="n">
        <v>0</v>
      </c>
      <c r="U120" s="265" t="n">
        <v>0</v>
      </c>
      <c r="V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C120" s="265" t="n">
        <v>0</v>
      </c>
      <c r="AD120" s="265" t="n">
        <v>11136</v>
      </c>
    </row>
    <row r="121">
      <c r="A121" t="inlineStr">
        <is>
          <t>PL: Participação dos Acionistas Não Controladores · fonte · unid. moeda</t>
        </is>
      </c>
      <c r="B121" t="n">
        <v>35</v>
      </c>
      <c r="C121" t="inlineStr">
        <is>
          <t>Minority interest</t>
        </is>
      </c>
      <c r="D121" s="265" t="n">
        <v>16358</v>
      </c>
      <c r="E121" s="265" t="n">
        <v>9287</v>
      </c>
      <c r="F121" s="265" t="n">
        <v>10144</v>
      </c>
      <c r="G121" s="265" t="n">
        <v>13765</v>
      </c>
      <c r="I121" s="265" t="n">
        <v>14538</v>
      </c>
      <c r="J121" s="265" t="n">
        <v>16188</v>
      </c>
      <c r="K121" s="265" t="n">
        <v>17655</v>
      </c>
      <c r="L121" s="265" t="n">
        <v>30976</v>
      </c>
      <c r="N121" s="265" t="n">
        <v>43064</v>
      </c>
      <c r="O121" s="265" t="n">
        <v>44495</v>
      </c>
      <c r="P121" s="265" t="n">
        <v>46538</v>
      </c>
      <c r="Q121" s="265" t="n">
        <v>38588</v>
      </c>
      <c r="S121" s="265" t="n">
        <v>60029</v>
      </c>
      <c r="T121" s="265" t="n">
        <v>61598</v>
      </c>
      <c r="U121" s="265" t="n">
        <v>92735</v>
      </c>
      <c r="V121" s="265" t="n">
        <v>95715</v>
      </c>
      <c r="X121" s="265" t="n">
        <v>98480</v>
      </c>
      <c r="Y121" s="265" t="n">
        <v>101391</v>
      </c>
      <c r="Z121" s="265" t="n">
        <v>105445</v>
      </c>
      <c r="AA121" s="265" t="n">
        <v>109535</v>
      </c>
      <c r="AC121" s="265" t="n">
        <v>113373</v>
      </c>
      <c r="AD121" s="265" t="n">
        <v>400716</v>
      </c>
    </row>
    <row r="122">
      <c r="A122" t="inlineStr">
        <is>
          <t>PL: Capital Social Realizado · fonte · unid. moeda</t>
        </is>
      </c>
      <c r="B122" t="n">
        <v>37</v>
      </c>
      <c r="C122" t="inlineStr">
        <is>
          <t>Common Stock and APIC</t>
        </is>
      </c>
      <c r="D122" s="265" t="n">
        <v>844323</v>
      </c>
      <c r="E122" s="265" t="n">
        <v>844323</v>
      </c>
      <c r="F122" s="265" t="n">
        <v>844323</v>
      </c>
      <c r="G122" s="265" t="n">
        <v>844323</v>
      </c>
      <c r="I122" s="265" t="n">
        <v>844323</v>
      </c>
      <c r="J122" s="265" t="n">
        <v>0</v>
      </c>
      <c r="K122" s="265" t="n">
        <v>844323</v>
      </c>
      <c r="L122" s="265" t="n">
        <v>844323</v>
      </c>
      <c r="N122" s="265" t="n">
        <v>1000006</v>
      </c>
      <c r="O122" s="265" t="n">
        <v>1091127</v>
      </c>
      <c r="P122" s="265" t="n">
        <v>1091127</v>
      </c>
      <c r="Q122" s="265" t="n">
        <v>1091127</v>
      </c>
      <c r="S122" s="265" t="n">
        <v>1091127</v>
      </c>
      <c r="T122" s="265" t="n">
        <v>1091127</v>
      </c>
      <c r="U122" s="265" t="n">
        <v>1091127</v>
      </c>
      <c r="V122" s="265" t="n">
        <v>1091127</v>
      </c>
      <c r="X122" s="265" t="n">
        <v>1091127</v>
      </c>
      <c r="Y122" s="265" t="n">
        <v>1191127</v>
      </c>
      <c r="Z122" s="265" t="n">
        <v>1191127</v>
      </c>
      <c r="AA122" s="265" t="n">
        <v>1191127</v>
      </c>
      <c r="AC122" s="265" t="n">
        <v>1191127</v>
      </c>
      <c r="AD122" s="265" t="n">
        <v>4499676</v>
      </c>
    </row>
    <row r="123">
      <c r="A123" t="inlineStr">
        <is>
          <t>PL: Instrumentos patrimoniais · fonte · unid. moeda</t>
        </is>
      </c>
      <c r="B123" t="n">
        <v>37</v>
      </c>
      <c r="C123" t="inlineStr">
        <is>
          <t>Common Stock and APIC</t>
        </is>
      </c>
      <c r="D123" s="265" t="n">
        <v>0</v>
      </c>
      <c r="E123" s="265" t="n">
        <v>0</v>
      </c>
      <c r="F123" s="265" t="n">
        <v>0</v>
      </c>
      <c r="G123" s="265" t="n">
        <v>0</v>
      </c>
      <c r="I123" s="265" t="n">
        <v>0</v>
      </c>
      <c r="J123" s="265" t="n">
        <v>0</v>
      </c>
      <c r="K123" s="265" t="n">
        <v>0</v>
      </c>
      <c r="L123" s="265" t="n">
        <v>0</v>
      </c>
      <c r="N123" s="265" t="n">
        <v>0</v>
      </c>
      <c r="O123" s="265" t="n">
        <v>0</v>
      </c>
      <c r="P123" s="265" t="n">
        <v>0</v>
      </c>
      <c r="Q123" s="265" t="n">
        <v>0</v>
      </c>
      <c r="S123" s="265" t="n">
        <v>0</v>
      </c>
      <c r="T123" s="265" t="n">
        <v>0</v>
      </c>
      <c r="U123" s="265" t="n">
        <v>0</v>
      </c>
      <c r="V123" s="265" t="n">
        <v>0</v>
      </c>
      <c r="X123" s="265" t="n">
        <v>0</v>
      </c>
      <c r="Y123" s="265" t="n">
        <v>0</v>
      </c>
      <c r="Z123" s="265" t="n">
        <v>0</v>
      </c>
      <c r="AA123" s="265" t="n">
        <v>0</v>
      </c>
      <c r="AC123" s="265" t="n">
        <v>0</v>
      </c>
      <c r="AD123" s="265" t="n">
        <v>0</v>
      </c>
    </row>
    <row r="124">
      <c r="A124" t="inlineStr">
        <is>
          <t>PL: Reserva especial de ágio · fonte · unid. moeda</t>
        </is>
      </c>
      <c r="B124" t="n">
        <v>37</v>
      </c>
      <c r="C124" t="inlineStr">
        <is>
          <t>Common Stock and APIC</t>
        </is>
      </c>
      <c r="D124" s="265" t="n">
        <v>0</v>
      </c>
      <c r="E124" s="265" t="n">
        <v>0</v>
      </c>
      <c r="F124" s="265" t="n">
        <v>3023</v>
      </c>
      <c r="G124" s="265" t="n">
        <v>3023</v>
      </c>
      <c r="I124" s="265" t="n">
        <v>3023</v>
      </c>
      <c r="J124" s="265" t="n">
        <v>3023</v>
      </c>
      <c r="K124" s="265" t="n">
        <v>3023</v>
      </c>
      <c r="L124" s="265" t="n">
        <v>0</v>
      </c>
      <c r="N124" s="265" t="n">
        <v>0</v>
      </c>
      <c r="O124" s="265" t="n">
        <v>0</v>
      </c>
      <c r="P124" s="265" t="n">
        <v>0</v>
      </c>
      <c r="Q124" s="265" t="n">
        <v>0</v>
      </c>
      <c r="S124" s="265" t="n">
        <v>0</v>
      </c>
      <c r="T124" s="265" t="n">
        <v>0</v>
      </c>
      <c r="U124" s="265" t="n">
        <v>0</v>
      </c>
      <c r="V124" s="265" t="n">
        <v>0</v>
      </c>
      <c r="X124" s="265" t="n">
        <v>0</v>
      </c>
      <c r="Y124" s="265" t="n">
        <v>0</v>
      </c>
      <c r="Z124" s="265" t="n">
        <v>0</v>
      </c>
      <c r="AA124" s="265" t="n">
        <v>0</v>
      </c>
      <c r="AC124" s="265" t="n">
        <v>0</v>
      </c>
      <c r="AD124" s="265" t="n">
        <v>0</v>
      </c>
    </row>
    <row r="125">
      <c r="A125" t="inlineStr">
        <is>
          <t>PL: Bonus de subscrição · fonte · unid. moeda</t>
        </is>
      </c>
      <c r="B125" t="n">
        <v>37</v>
      </c>
      <c r="C125" t="inlineStr">
        <is>
          <t>Common Stock and APIC</t>
        </is>
      </c>
      <c r="D125" s="265" t="n">
        <v>0</v>
      </c>
      <c r="E125" s="265" t="n">
        <v>0</v>
      </c>
      <c r="F125" s="265" t="n">
        <v>0</v>
      </c>
      <c r="G125" s="265" t="n">
        <v>0</v>
      </c>
      <c r="I125" s="265" t="n">
        <v>0</v>
      </c>
      <c r="J125" s="265" t="n">
        <v>0</v>
      </c>
      <c r="K125" s="265" t="n">
        <v>0</v>
      </c>
      <c r="L125" s="265" t="n">
        <v>0</v>
      </c>
      <c r="N125" s="265" t="n">
        <v>0</v>
      </c>
      <c r="O125" s="265" t="n">
        <v>0</v>
      </c>
      <c r="P125" s="265" t="n">
        <v>0</v>
      </c>
      <c r="Q125" s="265" t="n">
        <v>0</v>
      </c>
      <c r="S125" s="265" t="n">
        <v>0</v>
      </c>
      <c r="T125" s="265" t="n">
        <v>0</v>
      </c>
      <c r="U125" s="265" t="n">
        <v>0</v>
      </c>
      <c r="V125" s="265" t="n">
        <v>0</v>
      </c>
      <c r="X125" s="265" t="n">
        <v>0</v>
      </c>
      <c r="Y125" s="265" t="n">
        <v>0</v>
      </c>
      <c r="Z125" s="265" t="n">
        <v>0</v>
      </c>
      <c r="AA125" s="265" t="n">
        <v>0</v>
      </c>
      <c r="AC125" s="265" t="n">
        <v>0</v>
      </c>
      <c r="AD125" s="265" t="n">
        <v>0</v>
      </c>
    </row>
    <row r="126">
      <c r="A126" t="inlineStr">
        <is>
          <t>PL: Reserva Especial de Ágio na Incorporação · fonte · unid. moeda</t>
        </is>
      </c>
      <c r="B126" t="n">
        <v>37</v>
      </c>
      <c r="C126" t="inlineStr">
        <is>
          <t>Common Stock and APIC</t>
        </is>
      </c>
      <c r="D126" s="265" t="n">
        <v>3023</v>
      </c>
      <c r="E126" s="265" t="n">
        <v>3023</v>
      </c>
      <c r="F126" s="265" t="n">
        <v>0</v>
      </c>
      <c r="G126" s="265" t="n">
        <v>0</v>
      </c>
      <c r="I126" s="265" t="n">
        <v>0</v>
      </c>
      <c r="J126" s="265" t="n">
        <v>0</v>
      </c>
      <c r="K126" s="265" t="n">
        <v>0</v>
      </c>
      <c r="L126" s="265" t="n">
        <v>0</v>
      </c>
      <c r="N126" s="265" t="n">
        <v>0</v>
      </c>
      <c r="O126" s="265" t="n">
        <v>0</v>
      </c>
      <c r="P126" s="265" t="n">
        <v>0</v>
      </c>
      <c r="Q126" s="265" t="n">
        <v>0</v>
      </c>
      <c r="S126" s="265" t="n">
        <v>0</v>
      </c>
      <c r="T126" s="265" t="n">
        <v>0</v>
      </c>
      <c r="U126" s="265" t="n">
        <v>0</v>
      </c>
      <c r="V126" s="265" t="n">
        <v>0</v>
      </c>
      <c r="X126" s="265" t="n">
        <v>0</v>
      </c>
      <c r="Y126" s="265" t="n">
        <v>0</v>
      </c>
      <c r="Z126" s="265" t="n">
        <v>0</v>
      </c>
      <c r="AA126" s="265" t="n">
        <v>0</v>
      </c>
      <c r="AC126" s="265" t="n">
        <v>0</v>
      </c>
      <c r="AD126" s="265" t="n">
        <v>0</v>
      </c>
    </row>
    <row r="127">
      <c r="A127" t="inlineStr">
        <is>
          <t>PL: Custo na emissão de ações · fonte · unid. moeda</t>
        </is>
      </c>
      <c r="B127" t="n">
        <v>37</v>
      </c>
      <c r="C127" t="inlineStr">
        <is>
          <t>Common Stock and APIC</t>
        </is>
      </c>
      <c r="D127" s="265" t="n">
        <v>-29802</v>
      </c>
      <c r="E127" s="265" t="n">
        <v>-31146</v>
      </c>
      <c r="F127" s="265" t="n">
        <v>-31146</v>
      </c>
      <c r="G127" s="265" t="n">
        <v>-31146</v>
      </c>
      <c r="I127" s="265" t="n">
        <v>-31146</v>
      </c>
      <c r="J127" s="265" t="n">
        <v>-31146</v>
      </c>
      <c r="K127" s="265" t="n">
        <v>-31146</v>
      </c>
      <c r="L127" s="265" t="n">
        <v>0</v>
      </c>
      <c r="N127" s="265" t="n">
        <v>0</v>
      </c>
      <c r="O127" s="265" t="n">
        <v>0</v>
      </c>
      <c r="P127" s="265" t="n">
        <v>0</v>
      </c>
      <c r="Q127" s="265" t="n">
        <v>0</v>
      </c>
      <c r="S127" s="265" t="n">
        <v>0</v>
      </c>
      <c r="T127" s="265" t="n">
        <v>0</v>
      </c>
      <c r="U127" s="265" t="n">
        <v>0</v>
      </c>
      <c r="V127" s="265" t="n">
        <v>0</v>
      </c>
      <c r="X127" s="265" t="n">
        <v>0</v>
      </c>
      <c r="Y127" s="265" t="n">
        <v>0</v>
      </c>
      <c r="Z127" s="265" t="n">
        <v>0</v>
      </c>
      <c r="AA127" s="265" t="n">
        <v>0</v>
      </c>
      <c r="AC127" s="265" t="n">
        <v>0</v>
      </c>
      <c r="AD127" s="265" t="n">
        <v>0</v>
      </c>
    </row>
    <row r="128">
      <c r="A128" t="inlineStr">
        <is>
          <t>PL: Capital Social · fonte · unid. moeda</t>
        </is>
      </c>
      <c r="B128" t="n">
        <v>37</v>
      </c>
      <c r="C128" t="inlineStr">
        <is>
          <t>Common Stock and APIC</t>
        </is>
      </c>
      <c r="D128" s="265" t="n">
        <v>0</v>
      </c>
      <c r="E128" s="265" t="n">
        <v>0</v>
      </c>
      <c r="F128" s="265" t="n">
        <v>0</v>
      </c>
      <c r="G128" s="265" t="n">
        <v>0</v>
      </c>
      <c r="I128" s="265" t="n">
        <v>0</v>
      </c>
      <c r="J128" s="265" t="n">
        <v>844323</v>
      </c>
      <c r="K128" s="265" t="n">
        <v>0</v>
      </c>
      <c r="L128" s="265" t="n">
        <v>0</v>
      </c>
      <c r="N128" s="265" t="n">
        <v>0</v>
      </c>
      <c r="O128" s="265" t="n">
        <v>0</v>
      </c>
      <c r="P128" s="265" t="n">
        <v>0</v>
      </c>
      <c r="Q128" s="265" t="n">
        <v>0</v>
      </c>
      <c r="S128" s="265" t="n">
        <v>0</v>
      </c>
      <c r="T128" s="265" t="n">
        <v>0</v>
      </c>
      <c r="U128" s="265" t="n">
        <v>0</v>
      </c>
      <c r="V128" s="265" t="n">
        <v>0</v>
      </c>
      <c r="X128" s="265" t="n">
        <v>0</v>
      </c>
      <c r="Y128" s="265" t="n">
        <v>0</v>
      </c>
      <c r="Z128" s="265" t="n">
        <v>0</v>
      </c>
      <c r="AA128" s="265" t="n">
        <v>0</v>
      </c>
      <c r="AC128" s="265" t="n">
        <v>0</v>
      </c>
      <c r="AD128" s="265" t="n">
        <v>0</v>
      </c>
    </row>
    <row r="129">
      <c r="A129" t="inlineStr">
        <is>
          <t>PL: Instrumentos patrimoniais - ações · fonte · unid. moeda</t>
        </is>
      </c>
      <c r="B129" t="n">
        <v>37</v>
      </c>
      <c r="C129" t="inlineStr">
        <is>
          <t>Common Stock and APIC</t>
        </is>
      </c>
      <c r="D129" s="265" t="n">
        <v>0</v>
      </c>
      <c r="E129" s="265" t="n">
        <v>0</v>
      </c>
      <c r="F129" s="265" t="n">
        <v>0</v>
      </c>
      <c r="G129" s="265" t="n">
        <v>0</v>
      </c>
      <c r="I129" s="265" t="n">
        <v>0</v>
      </c>
      <c r="J129" s="265" t="n">
        <v>113455</v>
      </c>
      <c r="K129" s="265" t="n">
        <v>113455</v>
      </c>
      <c r="L129" s="265" t="n">
        <v>0</v>
      </c>
      <c r="N129" s="265" t="n">
        <v>0</v>
      </c>
      <c r="O129" s="265" t="n">
        <v>0</v>
      </c>
      <c r="P129" s="265" t="n">
        <v>0</v>
      </c>
      <c r="Q129" s="265" t="n">
        <v>0</v>
      </c>
      <c r="S129" s="265" t="n">
        <v>0</v>
      </c>
      <c r="T129" s="265" t="n">
        <v>0</v>
      </c>
      <c r="U129" s="265" t="n">
        <v>0</v>
      </c>
      <c r="V129" s="265" t="n">
        <v>0</v>
      </c>
      <c r="X129" s="265" t="n">
        <v>0</v>
      </c>
      <c r="Y129" s="265" t="n">
        <v>0</v>
      </c>
      <c r="Z129" s="265" t="n">
        <v>0</v>
      </c>
      <c r="AA129" s="265" t="n">
        <v>0</v>
      </c>
      <c r="AC129" s="265" t="n">
        <v>0</v>
      </c>
      <c r="AD129" s="265" t="n">
        <v>0</v>
      </c>
    </row>
    <row r="130">
      <c r="A130" t="inlineStr">
        <is>
          <t>PL: Reservas de capital · fonte · unid. moeda</t>
        </is>
      </c>
      <c r="B130" t="n">
        <v>37</v>
      </c>
      <c r="C130" t="inlineStr">
        <is>
          <t>Common Stock and APIC</t>
        </is>
      </c>
      <c r="D130" s="265" t="n">
        <v>0</v>
      </c>
      <c r="E130" s="265" t="n">
        <v>0</v>
      </c>
      <c r="F130" s="265" t="n">
        <v>0</v>
      </c>
      <c r="G130" s="265" t="n">
        <v>0</v>
      </c>
      <c r="I130" s="265" t="n">
        <v>0</v>
      </c>
      <c r="J130" s="265" t="n">
        <v>0</v>
      </c>
      <c r="K130" s="265" t="n">
        <v>0</v>
      </c>
      <c r="L130" s="265" t="n">
        <v>269131</v>
      </c>
      <c r="N130" s="265" t="n">
        <v>461652</v>
      </c>
      <c r="O130" s="265" t="n">
        <v>453262</v>
      </c>
      <c r="P130" s="265" t="n">
        <v>453262</v>
      </c>
      <c r="Q130" s="265" t="n">
        <v>453262</v>
      </c>
      <c r="S130" s="265" t="n">
        <v>453262</v>
      </c>
      <c r="T130" s="265" t="n">
        <v>453262</v>
      </c>
      <c r="U130" s="265" t="n">
        <v>453262</v>
      </c>
      <c r="V130" s="265" t="n">
        <v>453262</v>
      </c>
      <c r="X130" s="265" t="n">
        <v>453262</v>
      </c>
      <c r="Y130" s="265" t="n">
        <v>960434</v>
      </c>
      <c r="Z130" s="265" t="n">
        <v>958995</v>
      </c>
      <c r="AA130" s="265" t="n">
        <v>957066</v>
      </c>
      <c r="AC130" s="265" t="n">
        <v>956172</v>
      </c>
      <c r="AD130" s="265" t="n">
        <v>1154650</v>
      </c>
    </row>
    <row r="131">
      <c r="A131" t="inlineStr">
        <is>
          <t>PL: Ajustes de Avaliação Patrimonial · fonte · unid. moeda</t>
        </is>
      </c>
      <c r="B131" t="n">
        <v>39</v>
      </c>
      <c r="C131" t="inlineStr">
        <is>
          <t>Comprehensive (accumulated) loss</t>
        </is>
      </c>
      <c r="D131" s="265" t="n">
        <v>10359</v>
      </c>
      <c r="E131" s="265" t="n">
        <v>10359</v>
      </c>
      <c r="F131" s="265" t="n">
        <v>10359</v>
      </c>
      <c r="G131" s="265" t="n">
        <v>10359</v>
      </c>
      <c r="I131" s="265" t="n">
        <v>10359</v>
      </c>
      <c r="J131" s="265" t="n">
        <v>10359</v>
      </c>
      <c r="K131" s="265" t="n">
        <v>10359</v>
      </c>
      <c r="L131" s="265" t="n">
        <v>10359</v>
      </c>
      <c r="N131" s="265" t="n">
        <v>10359</v>
      </c>
      <c r="O131" s="265" t="n">
        <v>10359</v>
      </c>
      <c r="P131" s="265" t="n">
        <v>10359</v>
      </c>
      <c r="Q131" s="265" t="n">
        <v>10359</v>
      </c>
      <c r="S131" s="265" t="n">
        <v>10359</v>
      </c>
      <c r="T131" s="265" t="n">
        <v>10359</v>
      </c>
      <c r="U131" s="265" t="n">
        <v>10359</v>
      </c>
      <c r="V131" s="265" t="n">
        <v>10359</v>
      </c>
      <c r="X131" s="265" t="n">
        <v>10359</v>
      </c>
      <c r="Y131" s="265" t="n">
        <v>10359</v>
      </c>
      <c r="Z131" s="265" t="n">
        <v>10359</v>
      </c>
      <c r="AA131" s="265" t="n">
        <v>10359</v>
      </c>
      <c r="AC131" s="265" t="n">
        <v>10359</v>
      </c>
      <c r="AD131" s="265" t="n">
        <v>-94282</v>
      </c>
    </row>
    <row r="132">
      <c r="A132" t="inlineStr">
        <is>
          <t>PL: Outros · fonte · unid. moeda</t>
        </is>
      </c>
      <c r="B132" t="n">
        <v>39</v>
      </c>
      <c r="C132" t="inlineStr">
        <is>
          <t>Comprehensive (accumulated) loss</t>
        </is>
      </c>
      <c r="D132" s="265" t="n">
        <v>0</v>
      </c>
      <c r="E132" s="265" t="n">
        <v>0</v>
      </c>
      <c r="F132" s="265" t="n">
        <v>0</v>
      </c>
      <c r="G132" s="265" t="n">
        <v>0</v>
      </c>
      <c r="I132" s="265" t="n">
        <v>0</v>
      </c>
      <c r="J132" s="265" t="n">
        <v>-1596</v>
      </c>
      <c r="K132" s="265" t="n">
        <v>7102</v>
      </c>
      <c r="L132" s="265" t="n">
        <v>315536</v>
      </c>
      <c r="N132" s="265" t="n">
        <v>0</v>
      </c>
      <c r="O132" s="265" t="n">
        <v>0</v>
      </c>
      <c r="P132" s="265" t="n">
        <v>0</v>
      </c>
      <c r="Q132" s="265" t="n">
        <v>0</v>
      </c>
      <c r="S132" s="265" t="n">
        <v>0</v>
      </c>
      <c r="T132" s="265" t="n">
        <v>6667</v>
      </c>
      <c r="U132" s="265" t="n">
        <v>0</v>
      </c>
      <c r="V132" s="265" t="n">
        <v>11254</v>
      </c>
      <c r="X132" s="265" t="n">
        <v>11254</v>
      </c>
      <c r="Y132" s="265" t="n">
        <v>11254</v>
      </c>
      <c r="Z132" s="265" t="n">
        <v>11254</v>
      </c>
      <c r="AA132" s="265" t="n">
        <v>11254</v>
      </c>
      <c r="AC132" s="265" t="n">
        <v>11254</v>
      </c>
      <c r="AD132" s="265" t="n">
        <v>11747</v>
      </c>
    </row>
    <row r="133">
      <c r="A133" t="inlineStr">
        <is>
          <t>PL: Outros Resultados Abrangentes · fonte · unid. moeda</t>
        </is>
      </c>
      <c r="B133" t="n">
        <v>40</v>
      </c>
      <c r="C133" t="inlineStr">
        <is>
          <t>Other equity account</t>
        </is>
      </c>
      <c r="D133" s="265" t="n">
        <v>0</v>
      </c>
      <c r="E133" s="265" t="n">
        <v>0</v>
      </c>
      <c r="F133" s="265" t="n">
        <v>0</v>
      </c>
      <c r="G133" s="265" t="n">
        <v>0</v>
      </c>
      <c r="I133" s="265" t="n">
        <v>0</v>
      </c>
      <c r="J133" s="265" t="n">
        <v>0</v>
      </c>
      <c r="K133" s="265" t="n">
        <v>0</v>
      </c>
      <c r="L133" s="265" t="n">
        <v>0</v>
      </c>
      <c r="N133" s="265" t="n">
        <v>0</v>
      </c>
      <c r="O133" s="265" t="n">
        <v>0</v>
      </c>
      <c r="P133" s="265" t="n">
        <v>0</v>
      </c>
      <c r="Q133" s="265" t="n">
        <v>0</v>
      </c>
      <c r="S133" s="265" t="n">
        <v>0</v>
      </c>
      <c r="T133" s="265" t="n">
        <v>0</v>
      </c>
      <c r="U133" s="265" t="n">
        <v>6667</v>
      </c>
      <c r="V133" s="265" t="n">
        <v>0</v>
      </c>
      <c r="X133" s="265" t="n">
        <v>0</v>
      </c>
      <c r="Y133" s="265" t="n">
        <v>0</v>
      </c>
      <c r="Z133" s="265" t="n">
        <v>0</v>
      </c>
      <c r="AA133" s="265" t="n">
        <v>0</v>
      </c>
      <c r="AC133" s="265" t="n">
        <v>0</v>
      </c>
      <c r="AD133" s="265" t="n">
        <v>0</v>
      </c>
    </row>
    <row r="134">
      <c r="A134" t="inlineStr">
        <is>
          <t>PL: Lucros/Prejuízos Acumulados · fonte · unid. moeda</t>
        </is>
      </c>
      <c r="B134" t="n">
        <v>41</v>
      </c>
      <c r="C134" t="inlineStr">
        <is>
          <t>Retained earnings</t>
        </is>
      </c>
      <c r="D134" s="265" t="n">
        <v>-724403</v>
      </c>
      <c r="E134" s="265" t="n">
        <v>-718992</v>
      </c>
      <c r="F134" s="265" t="n">
        <v>-721200</v>
      </c>
      <c r="G134" s="265" t="n">
        <v>-739852</v>
      </c>
      <c r="I134" s="265" t="n">
        <v>-759999</v>
      </c>
      <c r="J134" s="265" t="n">
        <v>-771969</v>
      </c>
      <c r="K134" s="265" t="n">
        <v>-803062</v>
      </c>
      <c r="L134" s="265" t="n">
        <v>-888858</v>
      </c>
      <c r="N134" s="265" t="n">
        <v>-933931</v>
      </c>
      <c r="O134" s="265" t="n">
        <v>-939080</v>
      </c>
      <c r="P134" s="265" t="n">
        <v>-937229</v>
      </c>
      <c r="Q134" s="265" t="n">
        <v>-848743</v>
      </c>
      <c r="S134" s="265" t="n">
        <v>-823200</v>
      </c>
      <c r="T134" s="265" t="n">
        <v>-814394</v>
      </c>
      <c r="U134" s="265" t="n">
        <v>-777310</v>
      </c>
      <c r="V134" s="265" t="n">
        <v>-787846</v>
      </c>
      <c r="X134" s="265" t="n">
        <v>-794168</v>
      </c>
      <c r="Y134" s="265" t="n">
        <v>-770322</v>
      </c>
      <c r="Z134" s="265" t="n">
        <v>-747034</v>
      </c>
      <c r="AA134" s="265" t="n">
        <v>-727704</v>
      </c>
      <c r="AC134" s="265" t="n">
        <v>-708920</v>
      </c>
      <c r="AD134" s="265" t="n">
        <v>-720067</v>
      </c>
    </row>
    <row r="135">
      <c r="A135" t="inlineStr">
        <is>
          <t>PL: Reserva para Investimentos · fonte · unid. moeda</t>
        </is>
      </c>
      <c r="B135" t="n">
        <v>41</v>
      </c>
      <c r="C135" t="inlineStr">
        <is>
          <t>Retained earnings</t>
        </is>
      </c>
      <c r="D135" s="265" t="n">
        <v>268941</v>
      </c>
      <c r="E135" s="265" t="n">
        <v>268941</v>
      </c>
      <c r="F135" s="265" t="n">
        <v>268941</v>
      </c>
      <c r="G135" s="265" t="n">
        <v>0</v>
      </c>
      <c r="I135" s="265" t="n">
        <v>0</v>
      </c>
      <c r="J135" s="265" t="n">
        <v>0</v>
      </c>
      <c r="K135" s="265" t="n">
        <v>0</v>
      </c>
      <c r="L135" s="265" t="n">
        <v>0</v>
      </c>
      <c r="N135" s="265" t="n">
        <v>0</v>
      </c>
      <c r="O135" s="265" t="n">
        <v>0</v>
      </c>
      <c r="P135" s="265" t="n">
        <v>0</v>
      </c>
      <c r="Q135" s="265" t="n">
        <v>0</v>
      </c>
      <c r="S135" s="265" t="n">
        <v>0</v>
      </c>
      <c r="T135" s="265" t="n">
        <v>0</v>
      </c>
      <c r="U135" s="265" t="n">
        <v>0</v>
      </c>
      <c r="V135" s="265" t="n">
        <v>0</v>
      </c>
      <c r="X135" s="265" t="n">
        <v>0</v>
      </c>
      <c r="Y135" s="265" t="n">
        <v>0</v>
      </c>
      <c r="Z135" s="265" t="n">
        <v>0</v>
      </c>
      <c r="AA135" s="265" t="n">
        <v>0</v>
      </c>
      <c r="AC135" s="265" t="n">
        <v>0</v>
      </c>
      <c r="AD135" s="265" t="n">
        <v>0</v>
      </c>
    </row>
    <row r="136">
      <c r="A136" t="inlineStr">
        <is>
          <t>PL: Reservas para Investimentos · fonte · unid. moeda</t>
        </is>
      </c>
      <c r="B136" t="n">
        <v>41</v>
      </c>
      <c r="C136" t="inlineStr">
        <is>
          <t>Retained earnings</t>
        </is>
      </c>
      <c r="D136" s="265" t="n">
        <v>0</v>
      </c>
      <c r="E136" s="265" t="n">
        <v>0</v>
      </c>
      <c r="F136" s="265" t="n">
        <v>0</v>
      </c>
      <c r="G136" s="265" t="n">
        <v>268941</v>
      </c>
      <c r="I136" s="265" t="n">
        <v>268941</v>
      </c>
      <c r="J136" s="265" t="n">
        <v>268941</v>
      </c>
      <c r="K136" s="265" t="n">
        <v>268941</v>
      </c>
      <c r="L136" s="265" t="n">
        <v>0</v>
      </c>
      <c r="N136" s="265" t="n">
        <v>0</v>
      </c>
      <c r="O136" s="265" t="n">
        <v>0</v>
      </c>
      <c r="P136" s="265" t="n">
        <v>0</v>
      </c>
      <c r="Q136" s="265" t="n">
        <v>0</v>
      </c>
      <c r="S136" s="265" t="n">
        <v>0</v>
      </c>
      <c r="T136" s="265" t="n">
        <v>0</v>
      </c>
      <c r="U136" s="265" t="n">
        <v>0</v>
      </c>
      <c r="V136" s="265" t="n">
        <v>0</v>
      </c>
      <c r="X136" s="265" t="n">
        <v>0</v>
      </c>
      <c r="Y136" s="265" t="n">
        <v>0</v>
      </c>
      <c r="Z136" s="265" t="n">
        <v>0</v>
      </c>
      <c r="AA136" s="265" t="n">
        <v>0</v>
      </c>
      <c r="AC136" s="265" t="n">
        <v>0</v>
      </c>
      <c r="AD136" s="265" t="n">
        <v>0</v>
      </c>
    </row>
    <row r="137">
      <c r="A137" t="inlineStr">
        <is>
          <t>AC: Estoques (CVM 1.01.04) - zero em todos os periodos (linha mantida para o Model nao ficar sem dado) · fonte · unid. moeda</t>
        </is>
      </c>
      <c r="B137" t="n">
        <v>13</v>
      </c>
      <c r="C137" t="inlineStr">
        <is>
          <t>Inventories</t>
        </is>
      </c>
      <c r="D137" s="265" t="n">
        <v>0</v>
      </c>
      <c r="E137" s="265" t="n">
        <v>0</v>
      </c>
      <c r="F137" s="265" t="n">
        <v>0</v>
      </c>
      <c r="G137" s="265" t="n">
        <v>0</v>
      </c>
      <c r="I137" s="265" t="n">
        <v>0</v>
      </c>
      <c r="J137" s="265" t="n">
        <v>0</v>
      </c>
      <c r="K137" s="265" t="n">
        <v>0</v>
      </c>
      <c r="L137" s="265" t="n">
        <v>0</v>
      </c>
      <c r="N137" s="265" t="n">
        <v>0</v>
      </c>
      <c r="O137" s="265" t="n">
        <v>0</v>
      </c>
      <c r="P137" s="265" t="n">
        <v>0</v>
      </c>
      <c r="Q137" s="265" t="n">
        <v>0</v>
      </c>
      <c r="S137" s="265" t="n">
        <v>0</v>
      </c>
      <c r="T137" s="265" t="n">
        <v>0</v>
      </c>
      <c r="U137" s="265" t="n">
        <v>0</v>
      </c>
      <c r="V137" s="265" t="n">
        <v>0</v>
      </c>
      <c r="X137" s="265" t="n">
        <v>0</v>
      </c>
      <c r="Y137" s="265" t="n">
        <v>0</v>
      </c>
      <c r="Z137" s="265" t="n">
        <v>0</v>
      </c>
      <c r="AA137" s="265" t="n">
        <v>0</v>
      </c>
      <c r="AC137" s="265" t="n">
        <v>0</v>
      </c>
      <c r="AD137" s="265" t="n">
        <v>0</v>
      </c>
    </row>
    <row r="138">
      <c r="A138" t="inlineStr">
        <is>
          <t>BALANCO - totais divulgados (memoria)</t>
        </is>
      </c>
      <c r="C138" t="inlineStr">
        <is>
          <t>[linha bruta, sem código; lançada nas linhas abaixo]</t>
        </is>
      </c>
      <c r="D138" s="265" t="n"/>
      <c r="E138" s="265" t="n"/>
      <c r="F138" s="265" t="n"/>
      <c r="G138" s="265" t="n"/>
      <c r="I138" s="265" t="n"/>
      <c r="J138" s="265" t="n"/>
      <c r="K138" s="265" t="n"/>
      <c r="L138" s="265" t="n"/>
      <c r="N138" s="265" t="n"/>
      <c r="O138" s="265" t="n"/>
      <c r="P138" s="265" t="n"/>
      <c r="Q138" s="265" t="n"/>
      <c r="S138" s="265" t="n"/>
      <c r="T138" s="265" t="n"/>
      <c r="U138" s="265" t="n"/>
      <c r="V138" s="265" t="n"/>
      <c r="X138" s="265" t="n"/>
      <c r="Y138" s="265" t="n"/>
      <c r="Z138" s="265" t="n"/>
      <c r="AA138" s="265" t="n"/>
      <c r="AC138" s="265" t="n"/>
      <c r="AD138" s="265" t="n"/>
    </row>
    <row r="139">
      <c r="A139" t="inlineStr">
        <is>
          <t>Ativo total (CVM 1) · memoria · unid. moeda</t>
        </is>
      </c>
      <c r="C139" t="inlineStr">
        <is>
          <t>[linha bruta, sem código; lançada nas linhas abaixo]</t>
        </is>
      </c>
      <c r="D139" s="265" t="n">
        <v>1026589</v>
      </c>
      <c r="E139" s="265" t="n">
        <v>966787</v>
      </c>
      <c r="F139" s="265" t="n">
        <v>924473</v>
      </c>
      <c r="G139" s="265" t="n">
        <v>1206063</v>
      </c>
      <c r="I139" s="265" t="n">
        <v>1218866</v>
      </c>
      <c r="J139" s="265" t="n">
        <v>1654061</v>
      </c>
      <c r="K139" s="265" t="n">
        <v>1689875</v>
      </c>
      <c r="L139" s="265" t="n">
        <v>2073296</v>
      </c>
      <c r="N139" s="265" t="n">
        <v>2044537</v>
      </c>
      <c r="O139" s="265" t="n">
        <v>2099356</v>
      </c>
      <c r="P139" s="265" t="n">
        <v>2239121</v>
      </c>
      <c r="Q139" s="265" t="n">
        <v>2262344</v>
      </c>
      <c r="S139" s="265" t="n">
        <v>2296704</v>
      </c>
      <c r="T139" s="265" t="n">
        <v>2458471</v>
      </c>
      <c r="U139" s="265" t="n">
        <v>3325011</v>
      </c>
      <c r="V139" s="265" t="n">
        <v>3334198</v>
      </c>
      <c r="X139" s="265" t="n">
        <v>3387080</v>
      </c>
      <c r="Y139" s="265" t="n">
        <v>4045501</v>
      </c>
      <c r="Z139" s="265" t="n">
        <v>4224165</v>
      </c>
      <c r="AA139" s="265" t="n">
        <v>4293945</v>
      </c>
      <c r="AC139" s="265" t="n">
        <v>4446961</v>
      </c>
      <c r="AD139" s="265" t="n">
        <v>11325751</v>
      </c>
    </row>
    <row r="140">
      <c r="A140" t="inlineStr">
        <is>
          <t>Passivo total (CVM 2) · memoria · unid. moeda</t>
        </is>
      </c>
      <c r="C140" t="inlineStr">
        <is>
          <t>[linha bruta, sem código; lançada nas linhas abaixo]</t>
        </is>
      </c>
      <c r="D140" s="265" t="n">
        <v>1026589</v>
      </c>
      <c r="E140" s="265" t="n">
        <v>966787</v>
      </c>
      <c r="F140" s="265" t="n">
        <v>924473</v>
      </c>
      <c r="G140" s="265" t="n">
        <v>1206063</v>
      </c>
      <c r="I140" s="265" t="n">
        <v>1218866</v>
      </c>
      <c r="J140" s="265" t="n">
        <v>1654061</v>
      </c>
      <c r="K140" s="265" t="n">
        <v>1689875</v>
      </c>
      <c r="L140" s="265" t="n">
        <v>2073296</v>
      </c>
      <c r="N140" s="265" t="n">
        <v>2044537</v>
      </c>
      <c r="O140" s="265" t="n">
        <v>2099356</v>
      </c>
      <c r="P140" s="265" t="n">
        <v>2239121</v>
      </c>
      <c r="Q140" s="265" t="n">
        <v>2262344</v>
      </c>
      <c r="S140" s="265" t="n">
        <v>2296704</v>
      </c>
      <c r="T140" s="265" t="n">
        <v>2458471</v>
      </c>
      <c r="U140" s="265" t="n">
        <v>3325011</v>
      </c>
      <c r="V140" s="265" t="n">
        <v>3334198</v>
      </c>
      <c r="X140" s="265" t="n">
        <v>3387080</v>
      </c>
      <c r="Y140" s="265" t="n">
        <v>4045501</v>
      </c>
      <c r="Z140" s="265" t="n">
        <v>4224165</v>
      </c>
      <c r="AA140" s="265" t="n">
        <v>4293945</v>
      </c>
      <c r="AC140" s="265" t="n">
        <v>4446961</v>
      </c>
      <c r="AD140" s="265" t="n">
        <v>11325751</v>
      </c>
    </row>
    <row r="141">
      <c r="A141" t="inlineStr">
        <is>
          <t>CHECKS (devem ser 0)</t>
        </is>
      </c>
      <c r="C141" t="inlineStr">
        <is>
          <t>[linha bruta, sem código; lançada nas linhas abaixo]</t>
        </is>
      </c>
      <c r="D141" s="265" t="n"/>
      <c r="E141" s="265" t="n"/>
      <c r="F141" s="265" t="n"/>
      <c r="G141" s="265" t="n"/>
      <c r="I141" s="265" t="n"/>
      <c r="J141" s="265" t="n"/>
      <c r="K141" s="265" t="n"/>
      <c r="L141" s="265" t="n"/>
      <c r="N141" s="265" t="n"/>
      <c r="O141" s="265" t="n"/>
      <c r="P141" s="265" t="n"/>
      <c r="Q141" s="265" t="n"/>
      <c r="S141" s="265" t="n"/>
      <c r="T141" s="265" t="n"/>
      <c r="U141" s="265" t="n"/>
      <c r="V141" s="265" t="n"/>
      <c r="X141" s="265" t="n"/>
      <c r="Y141" s="265" t="n"/>
      <c r="Z141" s="265" t="n"/>
      <c r="AA141" s="265" t="n"/>
      <c r="AC141" s="265" t="n"/>
      <c r="AD141" s="265" t="n"/>
    </row>
    <row r="142">
      <c r="A142" t="inlineStr">
        <is>
          <t>CHECK: receita + custo + despesas op. + equivalencia + resultado financeiro + IR - lucro consolidado (trimestralizado) · derivada · unid. moeda</t>
        </is>
      </c>
      <c r="C142" t="inlineStr">
        <is>
          <t>[linha bruta, sem código; lançada nas linhas abaixo]</t>
        </is>
      </c>
      <c r="D142" s="265">
        <f>ROUND(D24+D25+D26+D27+D28+D29+D30+D31+D32+D33+D34-D35,0)</f>
        <v>0</v>
      </c>
      <c r="E142" s="265">
        <f>ROUND(E24+E25+E26+E27+E28+E29+E30+E31+E32+E33+E34-E35,0)</f>
        <v>0</v>
      </c>
      <c r="F142" s="265">
        <f>ROUND(F24+F25+F26+F27+F28+F29+F30+F31+F32+F33+F34-F35,0)</f>
        <v>0</v>
      </c>
      <c r="G142" s="265">
        <f>ROUND(G24+G25+G26+G27+G28+G29+G30+G31+G32+G33+G34-G35,0)</f>
        <v>0</v>
      </c>
      <c r="I142" s="265">
        <f>ROUND(I24+I25+I26+I27+I28+I29+I30+I31+I32+I33+I34-I35,0)</f>
        <v>0</v>
      </c>
      <c r="J142" s="265">
        <f>ROUND(J24+J25+J26+J27+J28+J29+J30+J31+J32+J33+J34-J35,0)</f>
        <v>0</v>
      </c>
      <c r="K142" s="265">
        <f>ROUND(K24+K25+K26+K27+K28+K29+K30+K31+K32+K33+K34-K35,0)</f>
        <v>0</v>
      </c>
      <c r="L142" s="265">
        <f>ROUND(L24+L25+L26+L27+L28+L29+L30+L31+L32+L33+L34-L35,0)</f>
        <v>0</v>
      </c>
      <c r="N142" s="265">
        <f>ROUND(N24+N25+N26+N27+N28+N29+N30+N31+N32+N33+N34-N35,0)</f>
        <v>0</v>
      </c>
      <c r="O142" s="265">
        <f>ROUND(O24+O25+O26+O27+O28+O29+O30+O31+O32+O33+O34-O35,0)</f>
        <v>0</v>
      </c>
      <c r="P142" s="265">
        <f>ROUND(P24+P25+P26+P27+P28+P29+P30+P31+P32+P33+P34-P35,0)</f>
        <v>0</v>
      </c>
      <c r="Q142" s="265">
        <f>ROUND(Q24+Q25+Q26+Q27+Q28+Q29+Q30+Q31+Q32+Q33+Q34-Q35,0)</f>
        <v>0</v>
      </c>
      <c r="S142" s="265">
        <f>ROUND(S24+S25+S26+S27+S28+S29+S30+S31+S32+S33+S34-S35,0)</f>
        <v>0</v>
      </c>
      <c r="T142" s="265">
        <f>ROUND(T24+T25+T26+T27+T28+T29+T30+T31+T32+T33+T34-T35,0)</f>
        <v>0</v>
      </c>
      <c r="U142" s="265">
        <f>ROUND(U24+U25+U26+U27+U28+U29+U30+U31+U32+U33+U34-U35,0)</f>
        <v>0</v>
      </c>
      <c r="V142" s="265">
        <f>ROUND(V24+V25+V26+V27+V28+V29+V30+V31+V32+V33+V34-V35,0)</f>
        <v>0</v>
      </c>
      <c r="X142" s="265">
        <f>ROUND(X24+X25+X26+X27+X28+X29+X30+X31+X32+X33+X34-X35,0)</f>
        <v>0</v>
      </c>
      <c r="Y142" s="265">
        <f>ROUND(Y24+Y25+Y26+Y27+Y28+Y29+Y30+Y31+Y32+Y33+Y34-Y35,0)</f>
        <v>0</v>
      </c>
      <c r="Z142" s="265">
        <f>ROUND(Z24+Z25+Z26+Z27+Z28+Z29+Z30+Z31+Z32+Z33+Z34-Z35,0)</f>
        <v>0</v>
      </c>
      <c r="AA142" s="265">
        <f>ROUND(AA24+AA25+AA26+AA27+AA28+AA29+AA30+AA31+AA32+AA33+AA34-AA35,0)</f>
        <v>0</v>
      </c>
      <c r="AC142" s="265">
        <f>ROUND(AC24+AC25+AC26+AC27+AC28+AC29+AC30+AC31+AC32+AC33+AC34-AC35,0)</f>
        <v>0</v>
      </c>
      <c r="AD142" s="265">
        <f>ROUND(AD24+AD25+AD26+AD27+AD28+AD29+AD30+AD31+AD32+AD33+AD34-AD35,0)</f>
        <v>0</v>
      </c>
    </row>
    <row r="143">
      <c r="A143" t="inlineStr">
        <is>
          <t>CHECK: contas de ativo - ativo total · derivada · unid. moeda</t>
        </is>
      </c>
      <c r="C143" t="inlineStr">
        <is>
          <t>[linha bruta, sem código; lançada nas linhas abaixo]</t>
        </is>
      </c>
      <c r="D143" s="265">
        <f>ROUND(D45+D46+D47+D48+D49+D50+D51+D52+D53+D54+D55+D56+D57+D58+D59+D60+D61+D62+D63+D64+D65+D66+D67+D68+D69+D70+D71+D72+D73+D74+D75+D76+D77+D78+D79+D80+D81-D139,0)</f>
        <v>0</v>
      </c>
      <c r="E143" s="265">
        <f>ROUND(E45+E46+E47+E48+E49+E50+E51+E52+E53+E54+E55+E56+E57+E58+E59+E60+E61+E62+E63+E64+E65+E66+E67+E68+E69+E70+E71+E72+E73+E74+E75+E76+E77+E78+E79+E80+E81-E139,0)</f>
        <v>0</v>
      </c>
      <c r="F143" s="265">
        <f>ROUND(F45+F46+F47+F48+F49+F50+F51+F52+F53+F54+F55+F56+F57+F58+F59+F60+F61+F62+F63+F64+F65+F66+F67+F68+F69+F70+F71+F72+F73+F74+F75+F76+F77+F78+F79+F80+F81-F139,0)</f>
        <v>0</v>
      </c>
      <c r="G143" s="265">
        <f>ROUND(G45+G46+G47+G48+G49+G50+G51+G52+G53+G54+G55+G56+G57+G58+G59+G60+G61+G62+G63+G64+G65+G66+G67+G68+G69+G70+G71+G72+G73+G74+G75+G76+G77+G78+G79+G80+G81-G139,0)</f>
        <v>0</v>
      </c>
      <c r="I143" s="265">
        <f>ROUND(I45+I46+I47+I48+I49+I50+I51+I52+I53+I54+I55+I56+I57+I58+I59+I60+I61+I62+I63+I64+I65+I66+I67+I68+I69+I70+I71+I72+I73+I74+I75+I76+I77+I78+I79+I80+I81-I139,0)</f>
        <v>0</v>
      </c>
      <c r="J143" s="265">
        <f>ROUND(J45+J46+J47+J48+J49+J50+J51+J52+J53+J54+J55+J56+J57+J58+J59+J60+J61+J62+J63+J64+J65+J66+J67+J68+J69+J70+J71+J72+J73+J74+J75+J76+J77+J78+J79+J80+J81-J139,0)</f>
        <v>0</v>
      </c>
      <c r="K143" s="265">
        <f>ROUND(K45+K46+K47+K48+K49+K50+K51+K52+K53+K54+K55+K56+K57+K58+K59+K60+K61+K62+K63+K64+K65+K66+K67+K68+K69+K70+K71+K72+K73+K74+K75+K76+K77+K78+K79+K80+K81-K139,0)</f>
        <v>0</v>
      </c>
      <c r="L143" s="265">
        <f>ROUND(L45+L46+L47+L48+L49+L50+L51+L52+L53+L54+L55+L56+L57+L58+L59+L60+L61+L62+L63+L64+L65+L66+L67+L68+L69+L70+L71+L72+L73+L74+L75+L76+L77+L78+L79+L80+L81-L139,0)</f>
        <v>0</v>
      </c>
      <c r="N143" s="265">
        <f>ROUND(N45+N46+N47+N48+N49+N50+N51+N52+N53+N54+N55+N56+N57+N58+N59+N60+N61+N62+N63+N64+N65+N66+N67+N68+N69+N70+N71+N72+N73+N74+N75+N76+N77+N78+N79+N80+N81-N139,0)</f>
        <v>0</v>
      </c>
      <c r="O143" s="265">
        <f>ROUND(O45+O46+O47+O48+O49+O50+O51+O52+O53+O54+O55+O56+O57+O58+O59+O60+O61+O62+O63+O64+O65+O66+O67+O68+O69+O70+O71+O72+O73+O74+O75+O76+O77+O78+O79+O80+O81-O139,0)</f>
        <v>0</v>
      </c>
      <c r="P143" s="265">
        <f>ROUND(P45+P46+P47+P48+P49+P50+P51+P52+P53+P54+P55+P56+P57+P58+P59+P60+P61+P62+P63+P64+P65+P66+P67+P68+P69+P70+P71+P72+P73+P74+P75+P76+P77+P78+P79+P80+P81-P139,0)</f>
        <v>0</v>
      </c>
      <c r="Q143" s="265">
        <f>ROUND(Q45+Q46+Q47+Q48+Q49+Q50+Q51+Q52+Q53+Q54+Q55+Q56+Q57+Q58+Q59+Q60+Q61+Q62+Q63+Q64+Q65+Q66+Q67+Q68+Q69+Q70+Q71+Q72+Q73+Q74+Q75+Q76+Q77+Q78+Q79+Q80+Q81-Q139,0)</f>
        <v>0</v>
      </c>
      <c r="S143" s="265">
        <f>ROUND(S45+S46+S47+S48+S49+S50+S51+S52+S53+S54+S55+S56+S57+S58+S59+S60+S61+S62+S63+S64+S65+S66+S67+S68+S69+S70+S71+S72+S73+S74+S75+S76+S77+S78+S79+S80+S81-S139,0)</f>
        <v>0</v>
      </c>
      <c r="T143" s="265">
        <f>ROUND(T45+T46+T47+T48+T49+T50+T51+T52+T53+T54+T55+T56+T57+T58+T59+T60+T61+T62+T63+T64+T65+T66+T67+T68+T69+T70+T71+T72+T73+T74+T75+T76+T77+T78+T79+T80+T81-T139,0)</f>
        <v>0</v>
      </c>
      <c r="U143" s="265">
        <f>ROUND(U45+U46+U47+U48+U49+U50+U51+U52+U53+U54+U55+U56+U57+U58+U59+U60+U61+U62+U63+U64+U65+U66+U67+U68+U69+U70+U71+U72+U73+U74+U75+U76+U77+U78+U79+U80+U81-U139,0)</f>
        <v>0</v>
      </c>
      <c r="V143" s="265">
        <f>ROUND(V45+V46+V47+V48+V49+V50+V51+V52+V53+V54+V55+V56+V57+V58+V59+V60+V61+V62+V63+V64+V65+V66+V67+V68+V69+V70+V71+V72+V73+V74+V75+V76+V77+V78+V79+V80+V81-V139,0)</f>
        <v>0</v>
      </c>
      <c r="X143" s="265">
        <f>ROUND(X45+X46+X47+X48+X49+X50+X51+X52+X53+X54+X55+X56+X57+X58+X59+X60+X61+X62+X63+X64+X65+X66+X67+X68+X69+X70+X71+X72+X73+X74+X75+X76+X77+X78+X79+X80+X81-X139,0)</f>
        <v>0</v>
      </c>
      <c r="Y143" s="265">
        <f>ROUND(Y45+Y46+Y47+Y48+Y49+Y50+Y51+Y52+Y53+Y54+Y55+Y56+Y57+Y58+Y59+Y60+Y61+Y62+Y63+Y64+Y65+Y66+Y67+Y68+Y69+Y70+Y71+Y72+Y73+Y74+Y75+Y76+Y77+Y78+Y79+Y80+Y81-Y139,0)</f>
        <v>0</v>
      </c>
      <c r="Z143" s="265">
        <f>ROUND(Z45+Z46+Z47+Z48+Z49+Z50+Z51+Z52+Z53+Z54+Z55+Z56+Z57+Z58+Z59+Z60+Z61+Z62+Z63+Z64+Z65+Z66+Z67+Z68+Z69+Z70+Z71+Z72+Z73+Z74+Z75+Z76+Z77+Z78+Z79+Z80+Z81-Z139,0)</f>
        <v>0</v>
      </c>
      <c r="AA143" s="265">
        <f>ROUND(AA45+AA46+AA47+AA48+AA49+AA50+AA51+AA52+AA53+AA54+AA55+AA56+AA57+AA58+AA59+AA60+AA61+AA62+AA63+AA64+AA65+AA66+AA67+AA68+AA69+AA70+AA71+AA72+AA73+AA74+AA75+AA76+AA77+AA78+AA79+AA80+AA81-AA139,0)</f>
        <v>0</v>
      </c>
      <c r="AC143" s="265">
        <f>ROUND(AC45+AC46+AC47+AC48+AC49+AC50+AC51+AC52+AC53+AC54+AC55+AC56+AC57+AC58+AC59+AC60+AC61+AC62+AC63+AC64+AC65+AC66+AC67+AC68+AC69+AC70+AC71+AC72+AC73+AC74+AC75+AC76+AC77+AC78+AC79+AC80+AC81-AC139,0)</f>
        <v>0</v>
      </c>
      <c r="AD143" s="265">
        <f>ROUND(AD45+AD46+AD47+AD48+AD49+AD50+AD51+AD52+AD53+AD54+AD55+AD56+AD57+AD58+AD59+AD60+AD61+AD62+AD63+AD64+AD65+AD66+AD67+AD68+AD69+AD70+AD71+AD72+AD73+AD74+AD75+AD76+AD77+AD78+AD79+AD80+AD81-AD139,0)</f>
        <v>0</v>
      </c>
    </row>
    <row r="144">
      <c r="A144" t="inlineStr">
        <is>
          <t>CHECK: passivo + PL - passivo total · derivada · unid. moeda</t>
        </is>
      </c>
      <c r="C144" t="inlineStr">
        <is>
          <t>[linha bruta, sem código; lançada nas linhas abaixo]</t>
        </is>
      </c>
      <c r="D144" s="265">
        <f>ROUND(D82+D83+D84+D85+D86+D87+D88+D89+D90+D91+D92+D93+D94+D95+D96+D97+D98+D99+D100+D101+D102+D103+D104+D105+D106+D107+D108+D109+D110+D111+D112+D113+D114+D115+D116+D117+D118+D119+D120+D121+D122+D123+D124+D125+D126+D127+D128+D129+D130+D131+D132+D133+D134+D135+D136-D140,0)</f>
        <v>0</v>
      </c>
      <c r="E144" s="265">
        <f>ROUND(E82+E83+E84+E85+E86+E87+E88+E89+E90+E91+E92+E93+E94+E95+E96+E97+E98+E99+E100+E101+E102+E103+E104+E105+E106+E107+E108+E109+E110+E111+E112+E113+E114+E115+E116+E117+E118+E119+E120+E121+E122+E123+E124+E125+E126+E127+E128+E129+E130+E131+E132+E133+E134+E135+E136-E140,0)</f>
        <v>0</v>
      </c>
      <c r="F144" s="265">
        <f>ROUND(F82+F83+F84+F85+F86+F87+F88+F89+F90+F91+F92+F93+F94+F95+F96+F97+F98+F99+F100+F101+F102+F103+F104+F105+F106+F107+F108+F109+F110+F111+F112+F113+F114+F115+F116+F117+F118+F119+F120+F121+F122+F123+F124+F125+F126+F127+F128+F129+F130+F131+F132+F133+F134+F135+F136-F140,0)</f>
        <v>0</v>
      </c>
      <c r="G144" s="265">
        <f>ROUND(G82+G83+G84+G85+G86+G87+G88+G89+G90+G91+G92+G93+G94+G95+G96+G97+G98+G99+G100+G101+G102+G103+G104+G105+G106+G107+G108+G109+G110+G111+G112+G113+G114+G115+G116+G117+G118+G119+G120+G121+G122+G123+G124+G125+G126+G127+G128+G129+G130+G131+G132+G133+G134+G135+G136-G140,0)</f>
        <v>0</v>
      </c>
      <c r="I144" s="265">
        <f>ROUND(I82+I83+I84+I85+I86+I87+I88+I89+I90+I91+I92+I93+I94+I95+I96+I97+I98+I99+I100+I101+I102+I103+I104+I105+I106+I107+I108+I109+I110+I111+I112+I113+I114+I115+I116+I117+I118+I119+I120+I121+I122+I123+I124+I125+I126+I127+I128+I129+I130+I131+I132+I133+I134+I135+I136-I140,0)</f>
        <v>0</v>
      </c>
      <c r="J144" s="265">
        <f>ROUND(J82+J83+J84+J85+J86+J87+J88+J89+J90+J91+J92+J93+J94+J95+J96+J97+J98+J99+J100+J101+J102+J103+J104+J105+J106+J107+J108+J109+J110+J111+J112+J113+J114+J115+J116+J117+J118+J119+J120+J121+J122+J123+J124+J125+J126+J127+J128+J129+J130+J131+J132+J133+J134+J135+J136-J140,0)</f>
        <v>0</v>
      </c>
      <c r="K144" s="265">
        <f>ROUND(K82+K83+K84+K85+K86+K87+K88+K89+K90+K91+K92+K93+K94+K95+K96+K97+K98+K99+K100+K101+K102+K103+K104+K105+K106+K107+K108+K109+K110+K111+K112+K113+K114+K115+K116+K117+K118+K119+K120+K121+K122+K123+K124+K125+K126+K127+K128+K129+K130+K131+K132+K133+K134+K135+K136-K140,0)</f>
        <v>0</v>
      </c>
      <c r="L144" s="265">
        <f>ROUND(L82+L83+L84+L85+L86+L87+L88+L89+L90+L91+L92+L93+L94+L95+L96+L97+L98+L99+L100+L101+L102+L103+L104+L105+L106+L107+L108+L109+L110+L111+L112+L113+L114+L115+L116+L117+L118+L119+L120+L121+L122+L123+L124+L125+L126+L127+L128+L129+L130+L131+L132+L133+L134+L135+L136-L140,0)</f>
        <v>0</v>
      </c>
      <c r="N144" s="265">
        <f>ROUND(N82+N83+N84+N85+N86+N87+N88+N89+N90+N91+N92+N93+N94+N95+N96+N97+N98+N99+N100+N101+N102+N103+N104+N105+N106+N107+N108+N109+N110+N111+N112+N113+N114+N115+N116+N117+N118+N119+N120+N121+N122+N123+N124+N125+N126+N127+N128+N129+N130+N131+N132+N133+N134+N135+N136-N140,0)</f>
        <v>0</v>
      </c>
      <c r="O144" s="265">
        <f>ROUND(O82+O83+O84+O85+O86+O87+O88+O89+O90+O91+O92+O93+O94+O95+O96+O97+O98+O99+O100+O101+O102+O103+O104+O105+O106+O107+O108+O109+O110+O111+O112+O113+O114+O115+O116+O117+O118+O119+O120+O121+O122+O123+O124+O125+O126+O127+O128+O129+O130+O131+O132+O133+O134+O135+O136-O140,0)</f>
        <v>0</v>
      </c>
      <c r="P144" s="265">
        <f>ROUND(P82+P83+P84+P85+P86+P87+P88+P89+P90+P91+P92+P93+P94+P95+P96+P97+P98+P99+P100+P101+P102+P103+P104+P105+P106+P107+P108+P109+P110+P111+P112+P113+P114+P115+P116+P117+P118+P119+P120+P121+P122+P123+P124+P125+P126+P127+P128+P129+P130+P131+P132+P133+P134+P135+P136-P140,0)</f>
        <v>0</v>
      </c>
      <c r="Q144" s="265">
        <f>ROUND(Q82+Q83+Q84+Q85+Q86+Q87+Q88+Q89+Q90+Q91+Q92+Q93+Q94+Q95+Q96+Q97+Q98+Q99+Q100+Q101+Q102+Q103+Q104+Q105+Q106+Q107+Q108+Q109+Q110+Q111+Q112+Q113+Q114+Q115+Q116+Q117+Q118+Q119+Q120+Q121+Q122+Q123+Q124+Q125+Q126+Q127+Q128+Q129+Q130+Q131+Q132+Q133+Q134+Q135+Q136-Q140,0)</f>
        <v>0</v>
      </c>
      <c r="S144" s="265">
        <f>ROUND(S82+S83+S84+S85+S86+S87+S88+S89+S90+S91+S92+S93+S94+S95+S96+S97+S98+S99+S100+S101+S102+S103+S104+S105+S106+S107+S108+S109+S110+S111+S112+S113+S114+S115+S116+S117+S118+S119+S120+S121+S122+S123+S124+S125+S126+S127+S128+S129+S130+S131+S132+S133+S134+S135+S136-S140,0)</f>
        <v>0</v>
      </c>
      <c r="T144" s="265">
        <f>ROUND(T82+T83+T84+T85+T86+T87+T88+T89+T90+T91+T92+T93+T94+T95+T96+T97+T98+T99+T100+T101+T102+T103+T104+T105+T106+T107+T108+T109+T110+T111+T112+T113+T114+T115+T116+T117+T118+T119+T120+T121+T122+T123+T124+T125+T126+T127+T128+T129+T130+T131+T132+T133+T134+T135+T136-T140,0)</f>
        <v>0</v>
      </c>
      <c r="U144" s="265">
        <f>ROUND(U82+U83+U84+U85+U86+U87+U88+U89+U90+U91+U92+U93+U94+U95+U96+U97+U98+U99+U100+U101+U102+U103+U104+U105+U106+U107+U108+U109+U110+U111+U112+U113+U114+U115+U116+U117+U118+U119+U120+U121+U122+U123+U124+U125+U126+U127+U128+U129+U130+U131+U132+U133+U134+U135+U136-U140,0)</f>
        <v>0</v>
      </c>
      <c r="V144" s="265">
        <f>ROUND(V82+V83+V84+V85+V86+V87+V88+V89+V90+V91+V92+V93+V94+V95+V96+V97+V98+V99+V100+V101+V102+V103+V104+V105+V106+V107+V108+V109+V110+V111+V112+V113+V114+V115+V116+V117+V118+V119+V120+V121+V122+V123+V124+V125+V126+V127+V128+V129+V130+V131+V132+V133+V134+V135+V136-V140,0)</f>
        <v>0</v>
      </c>
      <c r="X144" s="265">
        <f>ROUND(X82+X83+X84+X85+X86+X87+X88+X89+X90+X91+X92+X93+X94+X95+X96+X97+X98+X99+X100+X101+X102+X103+X104+X105+X106+X107+X108+X109+X110+X111+X112+X113+X114+X115+X116+X117+X118+X119+X120+X121+X122+X123+X124+X125+X126+X127+X128+X129+X130+X131+X132+X133+X134+X135+X136-X140,0)</f>
        <v>0</v>
      </c>
      <c r="Y144" s="265">
        <f>ROUND(Y82+Y83+Y84+Y85+Y86+Y87+Y88+Y89+Y90+Y91+Y92+Y93+Y94+Y95+Y96+Y97+Y98+Y99+Y100+Y101+Y102+Y103+Y104+Y105+Y106+Y107+Y108+Y109+Y110+Y111+Y112+Y113+Y114+Y115+Y116+Y117+Y118+Y119+Y120+Y121+Y122+Y123+Y124+Y125+Y126+Y127+Y128+Y129+Y130+Y131+Y132+Y133+Y134+Y135+Y136-Y140,0)</f>
        <v>0</v>
      </c>
      <c r="Z144" s="265">
        <f>ROUND(Z82+Z83+Z84+Z85+Z86+Z87+Z88+Z89+Z90+Z91+Z92+Z93+Z94+Z95+Z96+Z97+Z98+Z99+Z100+Z101+Z102+Z103+Z104+Z105+Z106+Z107+Z108+Z109+Z110+Z111+Z112+Z113+Z114+Z115+Z116+Z117+Z118+Z119+Z120+Z121+Z122+Z123+Z124+Z125+Z126+Z127+Z128+Z129+Z130+Z131+Z132+Z133+Z134+Z135+Z136-Z140,0)</f>
        <v>0</v>
      </c>
      <c r="AA144" s="265">
        <f>ROUND(AA82+AA83+AA84+AA85+AA86+AA87+AA88+AA89+AA90+AA91+AA92+AA93+AA94+AA95+AA96+AA97+AA98+AA99+AA100+AA101+AA102+AA103+AA104+AA105+AA106+AA107+AA108+AA109+AA110+AA111+AA112+AA113+AA114+AA115+AA116+AA117+AA118+AA119+AA120+AA121+AA122+AA123+AA124+AA125+AA126+AA127+AA128+AA129+AA130+AA131+AA132+AA133+AA134+AA135+AA136-AA140,0)</f>
        <v>0</v>
      </c>
      <c r="AC144" s="265">
        <f>ROUND(AC82+AC83+AC84+AC85+AC86+AC87+AC88+AC89+AC90+AC91+AC92+AC93+AC94+AC95+AC96+AC97+AC98+AC99+AC100+AC101+AC102+AC103+AC104+AC105+AC106+AC107+AC108+AC109+AC110+AC111+AC112+AC113+AC114+AC115+AC116+AC117+AC118+AC119+AC120+AC121+AC122+AC123+AC124+AC125+AC126+AC127+AC128+AC129+AC130+AC131+AC132+AC133+AC134+AC135+AC136-AC140,0)</f>
        <v>0</v>
      </c>
      <c r="AD144" s="265">
        <f>ROUND(AD82+AD83+AD84+AD85+AD86+AD87+AD88+AD89+AD90+AD91+AD92+AD93+AD94+AD95+AD96+AD97+AD98+AD99+AD100+AD101+AD102+AD103+AD104+AD105+AD106+AD107+AD108+AD109+AD110+AD111+AD112+AD113+AD114+AD115+AD116+AD117+AD118+AD119+AD120+AD121+AD122+AD123+AD124+AD125+AD126+AD127+AD128+AD129+AD130+AD131+AD132+AD133+AD134+AD135+AD136-AD140,0)</f>
        <v>0</v>
      </c>
    </row>
    <row r="145">
      <c r="A145" t="inlineStr">
        <is>
          <t>[vazio] cod 20 Goodwill: dentro do intangivel (agio das aquisicoes e da incorporacao da Vital)</t>
        </is>
      </c>
      <c r="C145" t="inlineStr">
        <is>
          <t>[linha bruta, sem código; lançada nas linhas abaixo]</t>
        </is>
      </c>
      <c r="D145" s="265" t="n"/>
      <c r="E145" s="265" t="n"/>
      <c r="F145" s="265" t="n"/>
      <c r="G145" s="265" t="n"/>
      <c r="I145" s="265" t="n"/>
      <c r="J145" s="265" t="n"/>
      <c r="K145" s="265" t="n"/>
      <c r="L145" s="265" t="n"/>
      <c r="N145" s="265" t="n"/>
      <c r="O145" s="265" t="n"/>
      <c r="P145" s="265" t="n"/>
      <c r="Q145" s="265" t="n"/>
      <c r="S145" s="265" t="n"/>
      <c r="T145" s="265" t="n"/>
      <c r="U145" s="265" t="n"/>
      <c r="V145" s="265" t="n"/>
      <c r="X145" s="265" t="n"/>
      <c r="Y145" s="265" t="n"/>
      <c r="Z145" s="265" t="n"/>
      <c r="AA145" s="265" t="n"/>
      <c r="AC145" s="265" t="n"/>
      <c r="AD145" s="265" t="n"/>
    </row>
    <row r="146">
      <c r="A146" t="inlineStr">
        <is>
          <t>[vazio] cod 28 Revolver: sem linha propria (emprestimos CP no cod 27)</t>
        </is>
      </c>
      <c r="C146" t="inlineStr">
        <is>
          <t>[linha bruta, sem código; lançada nas linhas abaixo]</t>
        </is>
      </c>
      <c r="D146" s="265" t="n"/>
      <c r="E146" s="265" t="n"/>
      <c r="F146" s="265" t="n"/>
      <c r="G146" s="265" t="n"/>
      <c r="I146" s="265" t="n"/>
      <c r="J146" s="265" t="n"/>
      <c r="K146" s="265" t="n"/>
      <c r="L146" s="265" t="n"/>
      <c r="N146" s="265" t="n"/>
      <c r="O146" s="265" t="n"/>
      <c r="P146" s="265" t="n"/>
      <c r="Q146" s="265" t="n"/>
      <c r="S146" s="265" t="n"/>
      <c r="T146" s="265" t="n"/>
      <c r="U146" s="265" t="n"/>
      <c r="V146" s="265" t="n"/>
      <c r="X146" s="265" t="n"/>
      <c r="Y146" s="265" t="n"/>
      <c r="Z146" s="265" t="n"/>
      <c r="AA146" s="265" t="n"/>
      <c r="AC146" s="265" t="n"/>
      <c r="AD146" s="265" t="n"/>
    </row>
    <row r="147">
      <c r="A147" t="inlineStr">
        <is>
          <t>[vazio] cod 32 Convertible debt: inexistente</t>
        </is>
      </c>
      <c r="C147" t="inlineStr">
        <is>
          <t>[linha bruta, sem código; lançada nas linhas abaixo]</t>
        </is>
      </c>
      <c r="D147" s="265" t="n"/>
      <c r="E147" s="265" t="n"/>
      <c r="F147" s="265" t="n"/>
      <c r="G147" s="265" t="n"/>
      <c r="I147" s="265" t="n"/>
      <c r="J147" s="265" t="n"/>
      <c r="K147" s="265" t="n"/>
      <c r="L147" s="265" t="n"/>
      <c r="N147" s="265" t="n"/>
      <c r="O147" s="265" t="n"/>
      <c r="P147" s="265" t="n"/>
      <c r="Q147" s="265" t="n"/>
      <c r="S147" s="265" t="n"/>
      <c r="T147" s="265" t="n"/>
      <c r="U147" s="265" t="n"/>
      <c r="V147" s="265" t="n"/>
      <c r="X147" s="265" t="n"/>
      <c r="Y147" s="265" t="n"/>
      <c r="Z147" s="265" t="n"/>
      <c r="AA147" s="265" t="n"/>
      <c r="AC147" s="265" t="n"/>
      <c r="AD147" s="265" t="n"/>
    </row>
    <row r="148">
      <c r="A148" t="inlineStr">
        <is>
          <t>[vazio] cod 36 Convertible Preferred Stock: inexistente</t>
        </is>
      </c>
      <c r="C148" t="inlineStr">
        <is>
          <t>[linha bruta, sem código; lançada nas linhas abaixo]</t>
        </is>
      </c>
      <c r="D148" s="265" t="n"/>
      <c r="E148" s="265" t="n"/>
      <c r="F148" s="265" t="n"/>
      <c r="G148" s="265" t="n"/>
      <c r="I148" s="265" t="n"/>
      <c r="J148" s="265" t="n"/>
      <c r="K148" s="265" t="n"/>
      <c r="L148" s="265" t="n"/>
      <c r="N148" s="265" t="n"/>
      <c r="O148" s="265" t="n"/>
      <c r="P148" s="265" t="n"/>
      <c r="Q148" s="265" t="n"/>
      <c r="S148" s="265" t="n"/>
      <c r="T148" s="265" t="n"/>
      <c r="U148" s="265" t="n"/>
      <c r="V148" s="265" t="n"/>
      <c r="X148" s="265" t="n"/>
      <c r="Y148" s="265" t="n"/>
      <c r="Z148" s="265" t="n"/>
      <c r="AA148" s="265" t="n"/>
      <c r="AC148" s="265" t="n"/>
      <c r="AD148" s="265" t="n"/>
    </row>
    <row r="149">
      <c r="A149" t="inlineStr">
        <is>
          <t>[vazio] cod 38 Treasury stock: sem linha propria</t>
        </is>
      </c>
      <c r="C149" t="inlineStr">
        <is>
          <t>[linha bruta, sem código; lançada nas linhas abaixo]</t>
        </is>
      </c>
      <c r="D149" s="265" t="n"/>
      <c r="E149" s="265" t="n"/>
      <c r="F149" s="265" t="n"/>
      <c r="G149" s="265" t="n"/>
      <c r="I149" s="265" t="n"/>
      <c r="J149" s="265" t="n"/>
      <c r="K149" s="265" t="n"/>
      <c r="L149" s="265" t="n"/>
      <c r="N149" s="265" t="n"/>
      <c r="O149" s="265" t="n"/>
      <c r="P149" s="265" t="n"/>
      <c r="Q149" s="265" t="n"/>
      <c r="S149" s="265" t="n"/>
      <c r="T149" s="265" t="n"/>
      <c r="U149" s="265" t="n"/>
      <c r="V149" s="265" t="n"/>
      <c r="X149" s="265" t="n"/>
      <c r="Y149" s="265" t="n"/>
      <c r="Z149" s="265" t="n"/>
      <c r="AA149" s="265" t="n"/>
      <c r="AC149" s="265" t="n"/>
      <c r="AD149" s="265" t="n"/>
    </row>
    <row r="150">
      <c r="A150" t="inlineStr">
        <is>
          <t>Nota 2T26: incorporacao da Holding Vital (Vital Engenharia Ambiental) - o ITR consolida a Vital so a partir da data da incorporacao; o release apresenta numeros pro forma (3 meses). O Model segue o contabil (CVM).</t>
        </is>
      </c>
      <c r="C150" t="inlineStr">
        <is>
          <t>[linha bruta, sem código; lançada nas linhas abaixo]</t>
        </is>
      </c>
      <c r="D150" s="265" t="n"/>
      <c r="E150" s="265" t="n"/>
      <c r="F150" s="265" t="n"/>
      <c r="G150" s="265" t="n"/>
      <c r="I150" s="265" t="n"/>
      <c r="J150" s="265" t="n"/>
      <c r="K150" s="265" t="n"/>
      <c r="L150" s="265" t="n"/>
      <c r="N150" s="265" t="n"/>
      <c r="O150" s="265" t="n"/>
      <c r="P150" s="265" t="n"/>
      <c r="Q150" s="265" t="n"/>
      <c r="S150" s="265" t="n"/>
      <c r="T150" s="265" t="n"/>
      <c r="U150" s="265" t="n"/>
      <c r="V150" s="265" t="n"/>
      <c r="X150" s="265" t="n"/>
      <c r="Y150" s="265" t="n"/>
      <c r="Z150" s="265" t="n"/>
      <c r="AA150" s="265" t="n"/>
      <c r="AC150" s="265" t="n"/>
      <c r="AD150" s="265" t="n"/>
    </row>
    <row r="151">
      <c r="D151" s="265" t="n"/>
      <c r="E151" s="265" t="n"/>
      <c r="F151" s="265" t="n"/>
      <c r="G151" s="265" t="n"/>
      <c r="I151" s="265" t="n"/>
      <c r="J151" s="265" t="n"/>
      <c r="K151" s="265" t="n"/>
      <c r="L151" s="265" t="n"/>
      <c r="N151" s="265" t="n"/>
      <c r="O151" s="265" t="n"/>
      <c r="P151" s="265" t="n"/>
      <c r="Q151" s="265" t="n"/>
      <c r="S151" s="265" t="n"/>
      <c r="T151" s="265" t="n"/>
      <c r="U151" s="265" t="n"/>
      <c r="V151" s="265" t="n"/>
      <c r="X151" s="265" t="n"/>
      <c r="Y151" s="265" t="n"/>
      <c r="Z151" s="265" t="n"/>
      <c r="AA151" s="265" t="n"/>
      <c r="AC151" s="265" t="n"/>
      <c r="AD151" s="265" t="n"/>
    </row>
    <row r="152">
      <c r="A152" t="inlineStr">
        <is>
          <t>DRIVERS DE RECEITA (codigos 45+): receita por segmento (R$ mil, UNID moeda) e KPIs operacionais (UNID un) dos releases trimestrais.</t>
        </is>
      </c>
      <c r="C152" t="inlineStr">
        <is>
          <t>[linha bruta, sem código; lançada nas linhas abaixo]</t>
        </is>
      </c>
      <c r="D152" s="265" t="n"/>
      <c r="E152" s="265" t="n"/>
      <c r="F152" s="265" t="n"/>
      <c r="G152" s="265" t="n"/>
      <c r="I152" s="265" t="n"/>
      <c r="J152" s="265" t="n"/>
      <c r="K152" s="265" t="n"/>
      <c r="L152" s="265" t="n"/>
      <c r="N152" s="265" t="n"/>
      <c r="O152" s="265" t="n"/>
      <c r="P152" s="265" t="n"/>
      <c r="Q152" s="265" t="n"/>
      <c r="S152" s="265" t="n"/>
      <c r="T152" s="265" t="n"/>
      <c r="U152" s="265" t="n"/>
      <c r="V152" s="265" t="n"/>
      <c r="X152" s="265" t="n"/>
      <c r="Y152" s="265" t="n"/>
      <c r="Z152" s="265" t="n"/>
      <c r="AA152" s="265" t="n"/>
      <c r="AC152" s="265" t="n"/>
      <c r="AD152" s="265" t="n"/>
    </row>
    <row r="153">
      <c r="A153" t="inlineStr">
        <is>
          <t>Receita liquida - Tratamento e destinacao final (R$ mil; releases) · fonte · unid. moeda</t>
        </is>
      </c>
      <c r="B153" t="n">
        <v>45</v>
      </c>
      <c r="C153" t="inlineStr">
        <is>
          <t>Receita liquida - Tratamento e destinacao final (R$ mil; rel</t>
        </is>
      </c>
      <c r="D153" s="265" t="n">
        <v>62245</v>
      </c>
      <c r="E153" s="265" t="n">
        <v>62273</v>
      </c>
      <c r="F153" s="265" t="n">
        <v>63828</v>
      </c>
      <c r="G153" s="265" t="n">
        <v>78351</v>
      </c>
      <c r="I153" s="265" t="n">
        <v>75119</v>
      </c>
      <c r="J153" s="265" t="n">
        <v>121928</v>
      </c>
      <c r="K153" s="265" t="n">
        <v>154009</v>
      </c>
      <c r="L153" s="265" t="n">
        <v>140740</v>
      </c>
      <c r="N153" s="265" t="n">
        <v>136507</v>
      </c>
      <c r="O153" s="265" t="n">
        <v>148257</v>
      </c>
      <c r="P153" s="265" t="n">
        <v>145237</v>
      </c>
      <c r="Q153" s="265" t="n">
        <v>153020</v>
      </c>
      <c r="S153" s="265" t="n">
        <v>162450</v>
      </c>
      <c r="T153" s="265" t="n">
        <v>160347</v>
      </c>
      <c r="U153" s="265" t="n">
        <v>163478</v>
      </c>
      <c r="V153" s="265" t="n">
        <v>167406</v>
      </c>
      <c r="X153" s="265" t="n">
        <v>174283</v>
      </c>
      <c r="Y153" s="265" t="n">
        <v>178679</v>
      </c>
      <c r="Z153" s="265" t="n">
        <v>182316</v>
      </c>
      <c r="AA153" s="265" t="n">
        <v>181543</v>
      </c>
      <c r="AC153" s="265" t="n">
        <v>202995</v>
      </c>
      <c r="AD153" s="265" t="n"/>
    </row>
    <row r="154">
      <c r="A154" t="inlineStr">
        <is>
          <t>Receita liquida - Energia, biogas e credito de carbono (R$ mil) · fonte · unid. moeda</t>
        </is>
      </c>
      <c r="B154" t="n">
        <v>46</v>
      </c>
      <c r="C154" t="inlineStr">
        <is>
          <t>Receita liquida - Energia, biogas e credito de carbono (R$ m</t>
        </is>
      </c>
      <c r="D154" s="265" t="n">
        <v>11233</v>
      </c>
      <c r="E154" s="265" t="n">
        <v>12297</v>
      </c>
      <c r="F154" s="265" t="n">
        <v>19858</v>
      </c>
      <c r="G154" s="265" t="n">
        <v>60088</v>
      </c>
      <c r="I154" s="265" t="n">
        <v>9996</v>
      </c>
      <c r="J154" s="265" t="n">
        <v>10498</v>
      </c>
      <c r="K154" s="265" t="n">
        <v>22127</v>
      </c>
      <c r="L154" s="265" t="n">
        <v>17087</v>
      </c>
      <c r="N154" s="265" t="n">
        <v>28881</v>
      </c>
      <c r="O154" s="265" t="n">
        <v>27481</v>
      </c>
      <c r="P154" s="265" t="n">
        <v>30562</v>
      </c>
      <c r="Q154" s="265" t="n">
        <v>29824</v>
      </c>
      <c r="S154" s="265" t="n">
        <v>30690</v>
      </c>
      <c r="T154" s="265" t="n">
        <v>33980</v>
      </c>
      <c r="U154" s="265" t="n">
        <v>63217</v>
      </c>
      <c r="V154" s="265" t="n">
        <v>41805</v>
      </c>
      <c r="X154" s="265" t="n">
        <v>47138</v>
      </c>
      <c r="Y154" s="265" t="n">
        <v>66302</v>
      </c>
      <c r="Z154" s="265" t="n">
        <v>77080</v>
      </c>
      <c r="AA154" s="265" t="n">
        <v>67379</v>
      </c>
      <c r="AC154" s="265" t="n">
        <v>111014</v>
      </c>
      <c r="AD154" s="265" t="n"/>
    </row>
    <row r="155">
      <c r="A155" t="inlineStr">
        <is>
          <t>Receita liquida - Beneficiamento de residuos / WtE (R$ mil) · fonte · unid. moeda</t>
        </is>
      </c>
      <c r="B155" t="n">
        <v>47</v>
      </c>
      <c r="C155" t="inlineStr">
        <is>
          <t>Receita liquida - Beneficiamento de residuos / WtE (R$ mil)</t>
        </is>
      </c>
      <c r="D155" s="265" t="n">
        <v>10626</v>
      </c>
      <c r="E155" s="265" t="n">
        <v>12903</v>
      </c>
      <c r="F155" s="265" t="n">
        <v>8793</v>
      </c>
      <c r="G155" s="265" t="n">
        <v>6835</v>
      </c>
      <c r="I155" s="265" t="n">
        <v>3780</v>
      </c>
      <c r="J155" s="265" t="n">
        <v>6677</v>
      </c>
      <c r="K155" s="265" t="n">
        <v>11911</v>
      </c>
      <c r="L155" s="265" t="n">
        <v>8966</v>
      </c>
      <c r="N155" s="265" t="n">
        <v>12524</v>
      </c>
      <c r="O155" s="265" t="n">
        <v>13420</v>
      </c>
      <c r="P155" s="265" t="n">
        <v>10484</v>
      </c>
      <c r="Q155" s="265" t="n">
        <v>8945</v>
      </c>
      <c r="S155" s="265" t="n">
        <v>10485</v>
      </c>
      <c r="T155" s="265" t="n">
        <v>13901</v>
      </c>
      <c r="U155" s="265" t="n">
        <v>16375</v>
      </c>
      <c r="V155" s="265" t="n">
        <v>16410</v>
      </c>
      <c r="X155" s="265" t="n">
        <v>17104</v>
      </c>
      <c r="Y155" s="265" t="n">
        <v>16495</v>
      </c>
      <c r="Z155" s="265" t="n">
        <v>17292</v>
      </c>
      <c r="AA155" s="265" t="n">
        <v>11639</v>
      </c>
      <c r="AC155" s="265" t="n">
        <v>13253</v>
      </c>
      <c r="AD155" s="265" t="n"/>
    </row>
    <row r="156">
      <c r="A156" t="inlineStr">
        <is>
          <t>Receita liquida - Engenharia ambiental (R$ mil) · fonte · unid. moeda</t>
        </is>
      </c>
      <c r="B156" t="n">
        <v>48</v>
      </c>
      <c r="C156" t="inlineStr">
        <is>
          <t>Receita liquida - Engenharia ambiental (R$ mil)</t>
        </is>
      </c>
      <c r="D156" s="265" t="n">
        <v>3521</v>
      </c>
      <c r="E156" s="265" t="n">
        <v>5214</v>
      </c>
      <c r="F156" s="265" t="n">
        <v>7362</v>
      </c>
      <c r="G156" s="265" t="n">
        <v>10089</v>
      </c>
      <c r="I156" s="265" t="n">
        <v>10331</v>
      </c>
      <c r="J156" s="265" t="n">
        <v>11509</v>
      </c>
      <c r="K156" s="265" t="n">
        <v>9129</v>
      </c>
      <c r="L156" s="265" t="n">
        <v>12416</v>
      </c>
      <c r="N156" s="265" t="n">
        <v>10933</v>
      </c>
      <c r="O156" s="265" t="n">
        <v>7087</v>
      </c>
      <c r="P156" s="265" t="n">
        <v>6316</v>
      </c>
      <c r="Q156" s="265" t="n">
        <v>6798</v>
      </c>
      <c r="S156" s="265" t="n">
        <v>5521</v>
      </c>
      <c r="T156" s="265" t="n">
        <v>6819</v>
      </c>
      <c r="U156" s="265" t="n">
        <v>6003</v>
      </c>
      <c r="V156" s="265" t="n">
        <v>4585</v>
      </c>
      <c r="X156" s="265" t="n">
        <v>2275</v>
      </c>
      <c r="Y156" s="265" t="n">
        <v>2706</v>
      </c>
      <c r="Z156" s="265" t="n">
        <v>4362</v>
      </c>
      <c r="AA156" s="265" t="n">
        <v>3748</v>
      </c>
      <c r="AC156" s="265" t="n">
        <v>3814</v>
      </c>
      <c r="AD156" s="265" t="n"/>
    </row>
    <row r="157">
      <c r="A157" t="inlineStr">
        <is>
          <t>dos quais: receita de creditos de carbono (R$ mil; 2025-26 arredondado em R$ mi no release; 4T20 e 1T24 nao divulgados) · fonte · unid. moeda</t>
        </is>
      </c>
      <c r="B157" t="n">
        <v>49</v>
      </c>
      <c r="C157" t="inlineStr">
        <is>
          <t>dos quais: receita de creditos de carbono (R$ mil; 2025-26 a</t>
        </is>
      </c>
      <c r="D157" s="265" t="n">
        <v>0</v>
      </c>
      <c r="E157" s="265" t="n">
        <v>0</v>
      </c>
      <c r="F157" s="265" t="n">
        <v>1687</v>
      </c>
      <c r="G157" s="265" t="n">
        <v>42103</v>
      </c>
      <c r="I157" s="265" t="n">
        <v>0</v>
      </c>
      <c r="J157" s="265" t="n">
        <v>0</v>
      </c>
      <c r="K157" s="265" t="n">
        <v>0</v>
      </c>
      <c r="L157" s="265" t="n">
        <v>0</v>
      </c>
      <c r="N157" s="265" t="n">
        <v>0</v>
      </c>
      <c r="O157" s="265" t="n">
        <v>0</v>
      </c>
      <c r="P157" s="265" t="n">
        <v>0</v>
      </c>
      <c r="Q157" s="265" t="n">
        <v>0</v>
      </c>
      <c r="S157" s="265" t="n"/>
      <c r="T157" s="265" t="n">
        <v>0</v>
      </c>
      <c r="U157" s="265" t="n">
        <v>37400</v>
      </c>
      <c r="V157" s="265" t="n">
        <v>0</v>
      </c>
      <c r="X157" s="265" t="n">
        <v>0</v>
      </c>
      <c r="Y157" s="265" t="n">
        <v>5000</v>
      </c>
      <c r="Z157" s="265" t="n">
        <v>14000</v>
      </c>
      <c r="AA157" s="265" t="n">
        <v>16500</v>
      </c>
      <c r="AC157" s="265" t="n">
        <v>11500</v>
      </c>
      <c r="AD157" s="265" t="n">
        <v>9200</v>
      </c>
    </row>
    <row r="158">
      <c r="A158" t="inlineStr">
        <is>
          <t>Volume de residuos recebidos nos ecoparques (mil t; Orizon legado) · fonte · unid. un</t>
        </is>
      </c>
      <c r="B158" t="n">
        <v>50</v>
      </c>
      <c r="C158" t="inlineStr">
        <is>
          <t>Volume de residuos recebidos nos ecoparques (mil t; Orizon l</t>
        </is>
      </c>
      <c r="D158" s="265" t="n">
        <v>1194034</v>
      </c>
      <c r="E158" s="265" t="n">
        <v>1173400</v>
      </c>
      <c r="F158" s="265" t="n">
        <v>1195200</v>
      </c>
      <c r="G158" s="265" t="n">
        <v>1221700</v>
      </c>
      <c r="I158" s="265" t="n">
        <v>1245000</v>
      </c>
      <c r="J158" s="265" t="n">
        <v>2064000</v>
      </c>
      <c r="K158" s="265" t="n">
        <v>2012136</v>
      </c>
      <c r="L158" s="265" t="n">
        <v>2174600</v>
      </c>
      <c r="N158" s="265" t="n">
        <v>2109400</v>
      </c>
      <c r="O158" s="265" t="n">
        <v>2038600</v>
      </c>
      <c r="P158" s="265" t="n">
        <v>2060400</v>
      </c>
      <c r="Q158" s="265" t="n">
        <v>2129900</v>
      </c>
      <c r="S158" s="265" t="n">
        <v>2203700</v>
      </c>
      <c r="T158" s="265" t="n">
        <v>2162300</v>
      </c>
      <c r="U158" s="265" t="n">
        <v>2161300</v>
      </c>
      <c r="V158" s="265" t="n">
        <v>2148800</v>
      </c>
      <c r="X158" s="265" t="n">
        <v>2175800</v>
      </c>
      <c r="Y158" s="265" t="n">
        <v>2213500</v>
      </c>
      <c r="Z158" s="265" t="n">
        <v>2226900</v>
      </c>
      <c r="AA158" s="265" t="n">
        <v>2249500</v>
      </c>
      <c r="AC158" s="265" t="n">
        <v>2306000</v>
      </c>
      <c r="AD158" s="265" t="n">
        <v>2449400</v>
      </c>
    </row>
    <row r="159">
      <c r="A159" t="inlineStr">
        <is>
          <t>Volume recebido nas unidades de beneficiamento (mil t) · fonte · unid. un</t>
        </is>
      </c>
      <c r="B159" t="n">
        <v>51</v>
      </c>
      <c r="C159" t="inlineStr">
        <is>
          <t>Volume recebido nas unidades de beneficiamento (mil t)</t>
        </is>
      </c>
      <c r="D159" s="265" t="n">
        <v>4726</v>
      </c>
      <c r="E159" s="265" t="n">
        <v>4100</v>
      </c>
      <c r="F159" s="265" t="n">
        <v>4200</v>
      </c>
      <c r="G159" s="265" t="n">
        <v>6600</v>
      </c>
      <c r="I159" s="265" t="n">
        <v>24200</v>
      </c>
      <c r="J159" s="265" t="n">
        <v>24400</v>
      </c>
      <c r="K159" s="265" t="n">
        <v>23662</v>
      </c>
      <c r="L159" s="265" t="n">
        <v>23900</v>
      </c>
      <c r="N159" s="265" t="n">
        <v>27900</v>
      </c>
      <c r="O159" s="265" t="n">
        <v>28500</v>
      </c>
      <c r="P159" s="265" t="n">
        <v>28600</v>
      </c>
      <c r="Q159" s="265" t="n">
        <v>27100</v>
      </c>
      <c r="S159" s="265" t="n">
        <v>25700</v>
      </c>
      <c r="T159" s="265" t="n">
        <v>31000</v>
      </c>
      <c r="U159" s="265" t="n">
        <v>36700</v>
      </c>
      <c r="V159" s="265" t="n">
        <v>35700</v>
      </c>
      <c r="X159" s="265" t="n">
        <v>35400</v>
      </c>
      <c r="Y159" s="265" t="n">
        <v>33900</v>
      </c>
      <c r="Z159" s="265" t="n">
        <v>33100</v>
      </c>
      <c r="AA159" s="265" t="n">
        <v>27700</v>
      </c>
      <c r="AC159" s="265" t="n">
        <v>29000</v>
      </c>
      <c r="AD159" s="265" t="n">
        <v>34200</v>
      </c>
    </row>
    <row r="160">
      <c r="A160" t="inlineStr">
        <is>
          <t>Biogas captado - media do trimestre (Nm3/h) · fonte · unid. un</t>
        </is>
      </c>
      <c r="B160" t="n">
        <v>52</v>
      </c>
      <c r="C160" t="inlineStr">
        <is>
          <t>Biogas captado - media do trimestre (Nm3/h)</t>
        </is>
      </c>
      <c r="D160" s="265" t="n">
        <v>30616000</v>
      </c>
      <c r="E160" s="265" t="n">
        <v>20900000</v>
      </c>
      <c r="F160" s="265" t="n">
        <v>19000000</v>
      </c>
      <c r="G160" s="265" t="n">
        <v>18700000</v>
      </c>
      <c r="I160" s="265" t="n">
        <v>32696000</v>
      </c>
      <c r="J160" s="265" t="n">
        <v>36000000</v>
      </c>
      <c r="K160" s="265" t="n">
        <v>43882000</v>
      </c>
      <c r="L160" s="265" t="n">
        <v>49106000</v>
      </c>
      <c r="N160" s="265" t="n">
        <v>52061000</v>
      </c>
      <c r="O160" s="265" t="n">
        <v>55224000</v>
      </c>
      <c r="P160" s="265" t="n">
        <v>53763000</v>
      </c>
      <c r="Q160" s="265" t="n">
        <v>56103000</v>
      </c>
      <c r="S160" s="265" t="n">
        <v>60167000</v>
      </c>
      <c r="T160" s="265" t="n">
        <v>62599000</v>
      </c>
      <c r="U160" s="265" t="n">
        <v>62271000</v>
      </c>
      <c r="V160" s="265" t="n">
        <v>62102000</v>
      </c>
      <c r="X160" s="265" t="n">
        <v>60678000</v>
      </c>
      <c r="Y160" s="265" t="n">
        <v>59779300</v>
      </c>
      <c r="Z160" s="265" t="n">
        <v>57361000</v>
      </c>
      <c r="AA160" s="265" t="n">
        <v>58971000</v>
      </c>
      <c r="AC160" s="265" t="n">
        <v>52521000</v>
      </c>
      <c r="AD160" s="265" t="n">
        <v>55200000</v>
      </c>
    </row>
    <row r="161">
      <c r="A161" t="inlineStr">
        <is>
          <t>Energia eletrica gerada (MWh no trimestre) · fonte · unid. un</t>
        </is>
      </c>
      <c r="B161" t="n">
        <v>53</v>
      </c>
      <c r="C161" t="inlineStr">
        <is>
          <t>Energia eletrica gerada (MWh no trimestre)</t>
        </is>
      </c>
      <c r="D161" s="265" t="n">
        <v>36479000</v>
      </c>
      <c r="E161" s="265" t="n">
        <v>37000000</v>
      </c>
      <c r="F161" s="265" t="n">
        <v>47500000</v>
      </c>
      <c r="G161" s="265" t="n">
        <v>54100000</v>
      </c>
      <c r="I161" s="265" t="n">
        <v>41334000</v>
      </c>
      <c r="J161" s="265" t="n">
        <v>57000000</v>
      </c>
      <c r="K161" s="265" t="n">
        <v>91063000</v>
      </c>
      <c r="L161" s="265" t="n">
        <v>100343000</v>
      </c>
      <c r="N161" s="265" t="n">
        <v>94524000</v>
      </c>
      <c r="O161" s="265" t="n">
        <v>100744000</v>
      </c>
      <c r="P161" s="265" t="n">
        <v>99428000</v>
      </c>
      <c r="Q161" s="265" t="n">
        <v>103742000</v>
      </c>
      <c r="S161" s="265" t="n">
        <v>109152000</v>
      </c>
      <c r="T161" s="265" t="n">
        <v>96313000</v>
      </c>
      <c r="U161" s="265" t="n">
        <v>94214000</v>
      </c>
      <c r="V161" s="265" t="n">
        <v>96129000</v>
      </c>
      <c r="X161" s="265" t="n">
        <v>83591000</v>
      </c>
      <c r="Y161" s="265" t="n">
        <v>79398000</v>
      </c>
      <c r="Z161" s="265" t="n">
        <v>79269000</v>
      </c>
      <c r="AA161" s="265" t="n">
        <v>64259000</v>
      </c>
      <c r="AC161" s="265" t="n">
        <v>23608000</v>
      </c>
      <c r="AD161" s="265" t="n">
        <v>21465000</v>
      </c>
    </row>
    <row r="162">
      <c r="A162" t="inlineStr">
        <is>
          <t>Creditos de carbono gerados (tCO2e no trimestre) · fonte · unid. un</t>
        </is>
      </c>
      <c r="B162" t="n">
        <v>54</v>
      </c>
      <c r="C162" t="inlineStr">
        <is>
          <t>Creditos de carbono gerados (tCO2e no trimestre)</t>
        </is>
      </c>
      <c r="D162" s="265" t="n">
        <v>407316000</v>
      </c>
      <c r="E162" s="265" t="n">
        <v>379700000</v>
      </c>
      <c r="F162" s="265" t="n">
        <v>367300000</v>
      </c>
      <c r="G162" s="265" t="n">
        <v>455700000</v>
      </c>
      <c r="I162" s="265" t="n">
        <v>483524000</v>
      </c>
      <c r="J162" s="265" t="n">
        <v>473000000</v>
      </c>
      <c r="K162" s="265" t="n">
        <v>437472000</v>
      </c>
      <c r="L162" s="265" t="n">
        <v>654701000</v>
      </c>
      <c r="N162" s="265" t="n">
        <v>743652000</v>
      </c>
      <c r="O162" s="265" t="n">
        <v>702923000</v>
      </c>
      <c r="P162" s="265" t="n">
        <v>752302000</v>
      </c>
      <c r="Q162" s="265" t="n">
        <v>793097000</v>
      </c>
      <c r="S162" s="265" t="n">
        <v>843664000</v>
      </c>
      <c r="T162" s="265" t="n">
        <v>873852000</v>
      </c>
      <c r="U162" s="265" t="n">
        <v>872269000</v>
      </c>
      <c r="V162" s="265" t="n">
        <v>871843000</v>
      </c>
      <c r="X162" s="265" t="n">
        <v>888674000</v>
      </c>
      <c r="Y162" s="265" t="n">
        <v>864369000</v>
      </c>
      <c r="Z162" s="265" t="n">
        <v>819192000</v>
      </c>
      <c r="AA162" s="265" t="n">
        <v>670490000</v>
      </c>
      <c r="AC162" s="265" t="n">
        <v>554709000</v>
      </c>
      <c r="AD162" s="265" t="n">
        <v>644500000</v>
      </c>
    </row>
    <row r="163">
      <c r="A163" t="inlineStr">
        <is>
          <t>Fontes e quebras: releases trimestrais (cada trimestre do proprio release; 1T20-3T20 de comparativos de 2021; 4T21 e 2T25 lidos das tabelas em imagem; 4T22, 1T23 e 2T23 dos comparativos do ano seguinte). Volume: 1T22 = so ativos originais, 2T22 = pro forma com UPI Aterros, 3T22 inclui ~24 mil t de beneficiamento; de 4T22 em diante so ecoparques. Biogas: 2T20-3T20 e 2T21-4T21 em base de 3 ecoparques (~19-21 mil Nm3/h), demais em base completa. 2T26: release nao abre os 4 segmentos legados (novo formato pos-Vital); Orizon Legado = R$ 349,1 mi.</t>
        </is>
      </c>
      <c r="C163" t="inlineStr">
        <is>
          <t>[linha bruta, sem código; lançada nas linhas abaixo]</t>
        </is>
      </c>
      <c r="D163" s="265" t="n"/>
      <c r="E163" s="265" t="n"/>
      <c r="F163" s="265" t="n"/>
      <c r="G163" s="265" t="n"/>
      <c r="I163" s="265" t="n"/>
      <c r="J163" s="265" t="n"/>
      <c r="K163" s="265" t="n"/>
      <c r="L163" s="265" t="n"/>
      <c r="N163" s="265" t="n"/>
      <c r="O163" s="265" t="n"/>
      <c r="P163" s="265" t="n"/>
      <c r="Q163" s="265" t="n"/>
      <c r="S163" s="265" t="n"/>
      <c r="T163" s="265" t="n"/>
      <c r="U163" s="265" t="n"/>
      <c r="V163" s="265" t="n"/>
      <c r="X163" s="265" t="n"/>
      <c r="Y163" s="265" t="n"/>
      <c r="Z163" s="265" t="n"/>
      <c r="AA163" s="265" t="n"/>
      <c r="AC163" s="265" t="n"/>
      <c r="AD163" s="265" t="n"/>
    </row>
    <row r="165">
      <c r="A165" t="inlineStr">
        <is>
          <t>Linhas de origem: 4 a 163. A Inputs (2) varre as linhas 4 a 250; as linhas 164 a 250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2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Orizon Valorizacao de Residuos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IF(D$3=0,"",SUMIFS(INDEX(Inputs!$D$4:$AG$250,0,MATCH(D$2,Inputs!$D$2:$AG$2,0)),Inputs!$B$4:$B$250,$B4)/1000)</f>
        <v>87.625</v>
      </c>
      <c r="E4" s="11">
        <f>IF(E$3=0,"",SUMIFS(INDEX(Inputs!$D$4:$AG$250,0,MATCH(E$2,Inputs!$D$2:$AG$2,0)),Inputs!$B$4:$B$250,$B4)/1000)</f>
        <v>92.687</v>
      </c>
      <c r="F4" s="11">
        <f>IF(F$3=0,"",SUMIFS(INDEX(Inputs!$D$4:$AG$250,0,MATCH(F$2,Inputs!$D$2:$AG$2,0)),Inputs!$B$4:$B$250,$B4)/1000)</f>
        <v>99.841</v>
      </c>
      <c r="G4" s="11">
        <f>IF(G$3=0,"",SUMIFS(INDEX(Inputs!$D$4:$AG$250,0,MATCH(G$2,Inputs!$D$2:$AG$2,0)),Inputs!$B$4:$B$250,$B4)/1000)</f>
        <v>155.363</v>
      </c>
      <c r="H4" s="12">
        <f>IF(COUNT(D4:G4)=4,SUM(D4:G4),"")</f>
        <v>435.516</v>
      </c>
      <c r="I4" s="11">
        <f>IF(I$3=0,"",SUMIFS(INDEX(Inputs!$D$4:$AG$250,0,MATCH(I$2,Inputs!$D$2:$AG$2,0)),Inputs!$B$4:$B$250,$B4)/1000)</f>
        <v>99.226</v>
      </c>
      <c r="J4" s="11">
        <f>IF(J$3=0,"",SUMIFS(INDEX(Inputs!$D$4:$AG$250,0,MATCH(J$2,Inputs!$D$2:$AG$2,0)),Inputs!$B$4:$B$250,$B4)/1000)</f>
        <v>150.612</v>
      </c>
      <c r="K4" s="11">
        <f>IF(K$3=0,"",SUMIFS(INDEX(Inputs!$D$4:$AG$250,0,MATCH(K$2,Inputs!$D$2:$AG$2,0)),Inputs!$B$4:$B$250,$B4)/1000)</f>
        <v>197.177</v>
      </c>
      <c r="L4" s="11">
        <f>IF(L$3=0,"",SUMIFS(INDEX(Inputs!$D$4:$AG$250,0,MATCH(L$2,Inputs!$D$2:$AG$2,0)),Inputs!$B$4:$B$250,$B4)/1000)</f>
        <v>179.209</v>
      </c>
      <c r="M4" s="12">
        <f>IF(COUNT(I4:L4)=4,SUM(I4:L4),"")</f>
        <v>626.224</v>
      </c>
      <c r="N4" s="11">
        <f>IF(N$3=0,"",SUMIFS(INDEX(Inputs!$D$4:$AG$250,0,MATCH(N$2,Inputs!$D$2:$AG$2,0)),Inputs!$B$4:$B$250,$B4)/1000)</f>
        <v>188.845</v>
      </c>
      <c r="O4" s="11">
        <f>IF(O$3=0,"",SUMIFS(INDEX(Inputs!$D$4:$AG$250,0,MATCH(O$2,Inputs!$D$2:$AG$2,0)),Inputs!$B$4:$B$250,$B4)/1000)</f>
        <v>196.245</v>
      </c>
      <c r="P4" s="11">
        <f>IF(P$3=0,"",SUMIFS(INDEX(Inputs!$D$4:$AG$250,0,MATCH(P$2,Inputs!$D$2:$AG$2,0)),Inputs!$B$4:$B$250,$B4)/1000)</f>
        <v>192.599</v>
      </c>
      <c r="Q4" s="11">
        <f>IF(Q$3=0,"",SUMIFS(INDEX(Inputs!$D$4:$AG$250,0,MATCH(Q$2,Inputs!$D$2:$AG$2,0)),Inputs!$B$4:$B$250,$B4)/1000)</f>
        <v>198.587</v>
      </c>
      <c r="R4" s="12">
        <f>IF(COUNT(N4:Q4)=4,SUM(N4:Q4),"")</f>
        <v>776.276</v>
      </c>
      <c r="S4" s="11">
        <f>IF(S$3=0,"",SUMIFS(INDEX(Inputs!$D$4:$AG$250,0,MATCH(S$2,Inputs!$D$2:$AG$2,0)),Inputs!$B$4:$B$250,$B4)/1000)</f>
        <v>209.146</v>
      </c>
      <c r="T4" s="11">
        <f>IF(T$3=0,"",SUMIFS(INDEX(Inputs!$D$4:$AG$250,0,MATCH(T$2,Inputs!$D$2:$AG$2,0)),Inputs!$B$4:$B$250,$B4)/1000)</f>
        <v>215.047</v>
      </c>
      <c r="U4" s="11">
        <f>IF(U$3=0,"",SUMIFS(INDEX(Inputs!$D$4:$AG$250,0,MATCH(U$2,Inputs!$D$2:$AG$2,0)),Inputs!$B$4:$B$250,$B4)/1000)</f>
        <v>249.074</v>
      </c>
      <c r="V4" s="11">
        <f>IF(V$3=0,"",SUMIFS(INDEX(Inputs!$D$4:$AG$250,0,MATCH(V$2,Inputs!$D$2:$AG$2,0)),Inputs!$B$4:$B$250,$B4)/1000)</f>
        <v>230.206</v>
      </c>
      <c r="W4" s="12">
        <f>IF(COUNT(S4:V4)=4,SUM(S4:V4),"")</f>
        <v>903.473</v>
      </c>
      <c r="X4" s="11">
        <f>IF(X$3=0,"",SUMIFS(INDEX(Inputs!$D$4:$AG$250,0,MATCH(X$2,Inputs!$D$2:$AG$2,0)),Inputs!$B$4:$B$250,$B4)/1000)</f>
        <v>240.8</v>
      </c>
      <c r="Y4" s="11">
        <f>IF(Y$3=0,"",SUMIFS(INDEX(Inputs!$D$4:$AG$250,0,MATCH(Y$2,Inputs!$D$2:$AG$2,0)),Inputs!$B$4:$B$250,$B4)/1000)</f>
        <v>264.181</v>
      </c>
      <c r="Z4" s="11">
        <f>IF(Z$3=0,"",SUMIFS(INDEX(Inputs!$D$4:$AG$250,0,MATCH(Z$2,Inputs!$D$2:$AG$2,0)),Inputs!$B$4:$B$250,$B4)/1000)</f>
        <v>281.05</v>
      </c>
      <c r="AA4" s="11">
        <f>IF(AA$3=0,"",SUMIFS(INDEX(Inputs!$D$4:$AG$250,0,MATCH(AA$2,Inputs!$D$2:$AG$2,0)),Inputs!$B$4:$B$250,$B4)/1000)</f>
        <v>264.309</v>
      </c>
      <c r="AB4" s="12">
        <f>IF(COUNT(X4:AA4)=4,SUM(X4:AA4),"")</f>
        <v>1050.34</v>
      </c>
      <c r="AC4" s="11">
        <f>IF(AC$3=0,"",SUMIFS(INDEX(Inputs!$D$4:$AG$250,0,MATCH(AC$2,Inputs!$D$2:$AG$2,0)),Inputs!$B$4:$B$250,$B4)/1000)</f>
        <v>331.076</v>
      </c>
      <c r="AD4" s="11">
        <f>IF(AD$3=0,"",SUMIFS(INDEX(Inputs!$D$4:$AG$250,0,MATCH(AD$2,Inputs!$D$2:$AG$2,0)),Inputs!$B$4:$B$250,$B4)/1000)</f>
        <v>622.836</v>
      </c>
      <c r="AE4" s="11" t="str">
        <f>IF(AE$3=0,"",SUMIFS(INDEX(Inputs!$D$4:$AG$250,0,MATCH(AE$2,Inputs!$D$2:$AG$2,0)),Inputs!$B$4:$B$250,$B4)/1000)</f>
        <v/>
      </c>
      <c r="AF4" s="11" t="str">
        <f>IF(AF$3=0,"",SUMIFS(INDEX(Inputs!$D$4:$AG$250,0,MATCH(AF$2,Inputs!$D$2:$AG$2,0)),Inputs!$B$4:$B$250,$B4)/1000)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IF(D$3=0,"",SUMIFS(INDEX(Inputs!$D$4:$AG$250,0,MATCH(D$2,Inputs!$D$2:$AG$2,0)),Inputs!$B$4:$B$250,$B5)/1000)</f>
        <v>-48.705</v>
      </c>
      <c r="E5" s="11">
        <f>IF(E$3=0,"",SUMIFS(INDEX(Inputs!$D$4:$AG$250,0,MATCH(E$2,Inputs!$D$2:$AG$2,0)),Inputs!$B$4:$B$250,$B5)/1000)</f>
        <v>-47.306</v>
      </c>
      <c r="F5" s="11">
        <f>IF(F$3=0,"",SUMIFS(INDEX(Inputs!$D$4:$AG$250,0,MATCH(F$2,Inputs!$D$2:$AG$2,0)),Inputs!$B$4:$B$250,$B5)/1000)</f>
        <v>-48.248</v>
      </c>
      <c r="G5" s="11">
        <f>IF(G$3=0,"",SUMIFS(INDEX(Inputs!$D$4:$AG$250,0,MATCH(G$2,Inputs!$D$2:$AG$2,0)),Inputs!$B$4:$B$250,$B5)/1000)</f>
        <v>-58.945</v>
      </c>
      <c r="H5" s="12">
        <f>IF(COUNT(D5:G5)=4,SUM(D5:G5),"")</f>
        <v>-203.204</v>
      </c>
      <c r="I5" s="11">
        <f>IF(I$3=0,"",SUMIFS(INDEX(Inputs!$D$4:$AG$250,0,MATCH(I$2,Inputs!$D$2:$AG$2,0)),Inputs!$B$4:$B$250,$B5)/1000)</f>
        <v>-49.525</v>
      </c>
      <c r="J5" s="11">
        <f>IF(J$3=0,"",SUMIFS(INDEX(Inputs!$D$4:$AG$250,0,MATCH(J$2,Inputs!$D$2:$AG$2,0)),Inputs!$B$4:$B$250,$B5)/1000)</f>
        <v>-76.402</v>
      </c>
      <c r="K5" s="11">
        <f>IF(K$3=0,"",SUMIFS(INDEX(Inputs!$D$4:$AG$250,0,MATCH(K$2,Inputs!$D$2:$AG$2,0)),Inputs!$B$4:$B$250,$B5)/1000)</f>
        <v>-90.519</v>
      </c>
      <c r="L5" s="11">
        <f>IF(L$3=0,"",SUMIFS(INDEX(Inputs!$D$4:$AG$250,0,MATCH(L$2,Inputs!$D$2:$AG$2,0)),Inputs!$B$4:$B$250,$B5)/1000)</f>
        <v>-86.165</v>
      </c>
      <c r="M5" s="12">
        <f>IF(COUNT(I5:L5)=4,SUM(I5:L5),"")</f>
        <v>-302.611</v>
      </c>
      <c r="N5" s="11">
        <f>IF(N$3=0,"",SUMIFS(INDEX(Inputs!$D$4:$AG$250,0,MATCH(N$2,Inputs!$D$2:$AG$2,0)),Inputs!$B$4:$B$250,$B5)/1000)</f>
        <v>-86.346</v>
      </c>
      <c r="O5" s="11">
        <f>IF(O$3=0,"",SUMIFS(INDEX(Inputs!$D$4:$AG$250,0,MATCH(O$2,Inputs!$D$2:$AG$2,0)),Inputs!$B$4:$B$250,$B5)/1000)</f>
        <v>-94.069</v>
      </c>
      <c r="P5" s="11">
        <f>IF(P$3=0,"",SUMIFS(INDEX(Inputs!$D$4:$AG$250,0,MATCH(P$2,Inputs!$D$2:$AG$2,0)),Inputs!$B$4:$B$250,$B5)/1000)</f>
        <v>-83.558</v>
      </c>
      <c r="Q5" s="11">
        <f>IF(Q$3=0,"",SUMIFS(INDEX(Inputs!$D$4:$AG$250,0,MATCH(Q$2,Inputs!$D$2:$AG$2,0)),Inputs!$B$4:$B$250,$B5)/1000)</f>
        <v>-98.966</v>
      </c>
      <c r="R5" s="12">
        <f>IF(COUNT(N5:Q5)=4,SUM(N5:Q5),"")</f>
        <v>-362.939</v>
      </c>
      <c r="S5" s="11">
        <f>IF(S$3=0,"",SUMIFS(INDEX(Inputs!$D$4:$AG$250,0,MATCH(S$2,Inputs!$D$2:$AG$2,0)),Inputs!$B$4:$B$250,$B5)/1000)</f>
        <v>-77.369</v>
      </c>
      <c r="T5" s="11">
        <f>IF(T$3=0,"",SUMIFS(INDEX(Inputs!$D$4:$AG$250,0,MATCH(T$2,Inputs!$D$2:$AG$2,0)),Inputs!$B$4:$B$250,$B5)/1000)</f>
        <v>-88.846</v>
      </c>
      <c r="U5" s="11">
        <f>IF(U$3=0,"",SUMIFS(INDEX(Inputs!$D$4:$AG$250,0,MATCH(U$2,Inputs!$D$2:$AG$2,0)),Inputs!$B$4:$B$250,$B5)/1000)</f>
        <v>-84.274</v>
      </c>
      <c r="V5" s="11">
        <f>IF(V$3=0,"",SUMIFS(INDEX(Inputs!$D$4:$AG$250,0,MATCH(V$2,Inputs!$D$2:$AG$2,0)),Inputs!$B$4:$B$250,$B5)/1000)</f>
        <v>-83.47</v>
      </c>
      <c r="W5" s="12">
        <f>IF(COUNT(S5:V5)=4,SUM(S5:V5),"")</f>
        <v>-333.959</v>
      </c>
      <c r="X5" s="11">
        <f>IF(X$3=0,"",SUMIFS(INDEX(Inputs!$D$4:$AG$250,0,MATCH(X$2,Inputs!$D$2:$AG$2,0)),Inputs!$B$4:$B$250,$B5)/1000)</f>
        <v>-91.237</v>
      </c>
      <c r="Y5" s="11">
        <f>IF(Y$3=0,"",SUMIFS(INDEX(Inputs!$D$4:$AG$250,0,MATCH(Y$2,Inputs!$D$2:$AG$2,0)),Inputs!$B$4:$B$250,$B5)/1000)</f>
        <v>-97.161</v>
      </c>
      <c r="Z5" s="11">
        <f>IF(Z$3=0,"",SUMIFS(INDEX(Inputs!$D$4:$AG$250,0,MATCH(Z$2,Inputs!$D$2:$AG$2,0)),Inputs!$B$4:$B$250,$B5)/1000)</f>
        <v>-99.666</v>
      </c>
      <c r="AA5" s="11">
        <f>IF(AA$3=0,"",SUMIFS(INDEX(Inputs!$D$4:$AG$250,0,MATCH(AA$2,Inputs!$D$2:$AG$2,0)),Inputs!$B$4:$B$250,$B5)/1000)</f>
        <v>-95.835</v>
      </c>
      <c r="AB5" s="12">
        <f>IF(COUNT(X5:AA5)=4,SUM(X5:AA5),"")</f>
        <v>-383.899</v>
      </c>
      <c r="AC5" s="11">
        <f>IF(AC$3=0,"",SUMIFS(INDEX(Inputs!$D$4:$AG$250,0,MATCH(AC$2,Inputs!$D$2:$AG$2,0)),Inputs!$B$4:$B$250,$B5)/1000)</f>
        <v>-146.967</v>
      </c>
      <c r="AD5" s="11">
        <f>IF(AD$3=0,"",SUMIFS(INDEX(Inputs!$D$4:$AG$250,0,MATCH(AD$2,Inputs!$D$2:$AG$2,0)),Inputs!$B$4:$B$250,$B5)/1000)</f>
        <v>-372.145</v>
      </c>
      <c r="AE5" s="11" t="str">
        <f>IF(AE$3=0,"",SUMIFS(INDEX(Inputs!$D$4:$AG$250,0,MATCH(AE$2,Inputs!$D$2:$AG$2,0)),Inputs!$B$4:$B$250,$B5)/1000)</f>
        <v/>
      </c>
      <c r="AF5" s="11" t="str">
        <f>IF(AF$3=0,"",SUMIFS(INDEX(Inputs!$D$4:$AG$250,0,MATCH(AF$2,Inputs!$D$2:$AG$2,0)),Inputs!$B$4:$B$250,$B5)/1000)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IF(D$3=0,"",SUMIFS(INDEX(Inputs!$D$4:$AG$250,0,MATCH(D$2,Inputs!$D$2:$AG$2,0)),Inputs!$B$4:$B$250,$B6)/1000)</f>
        <v>-52.253</v>
      </c>
      <c r="E6" s="11">
        <f>IF(E$3=0,"",SUMIFS(INDEX(Inputs!$D$4:$AG$250,0,MATCH(E$2,Inputs!$D$2:$AG$2,0)),Inputs!$B$4:$B$250,$B6)/1000)</f>
        <v>-8.569</v>
      </c>
      <c r="F6" s="11">
        <f>IF(F$3=0,"",SUMIFS(INDEX(Inputs!$D$4:$AG$250,0,MATCH(F$2,Inputs!$D$2:$AG$2,0)),Inputs!$B$4:$B$250,$B6)/1000)</f>
        <v>-18.866</v>
      </c>
      <c r="G6" s="11">
        <f>IF(G$3=0,"",SUMIFS(INDEX(Inputs!$D$4:$AG$250,0,MATCH(G$2,Inputs!$D$2:$AG$2,0)),Inputs!$B$4:$B$250,$B6)/1000)</f>
        <v>-20.271</v>
      </c>
      <c r="H6" s="12">
        <f>IF(COUNT(D6:G6)=4,SUM(D6:G6),"")</f>
        <v>-99.959</v>
      </c>
      <c r="I6" s="11">
        <f>IF(I$3=0,"",SUMIFS(INDEX(Inputs!$D$4:$AG$250,0,MATCH(I$2,Inputs!$D$2:$AG$2,0)),Inputs!$B$4:$B$250,$B6)/1000)</f>
        <v>-22.12</v>
      </c>
      <c r="J6" s="11">
        <f>IF(J$3=0,"",SUMIFS(INDEX(Inputs!$D$4:$AG$250,0,MATCH(J$2,Inputs!$D$2:$AG$2,0)),Inputs!$B$4:$B$250,$B6)/1000)</f>
        <v>-19.144</v>
      </c>
      <c r="K6" s="11">
        <f>IF(K$3=0,"",SUMIFS(INDEX(Inputs!$D$4:$AG$250,0,MATCH(K$2,Inputs!$D$2:$AG$2,0)),Inputs!$B$4:$B$250,$B6)/1000)</f>
        <v>-46.061</v>
      </c>
      <c r="L6" s="11">
        <f>IF(L$3=0,"",SUMIFS(INDEX(Inputs!$D$4:$AG$250,0,MATCH(L$2,Inputs!$D$2:$AG$2,0)),Inputs!$B$4:$B$250,$B6)/1000)</f>
        <v>-50.785</v>
      </c>
      <c r="M6" s="12">
        <f>IF(COUNT(I6:L6)=4,SUM(I6:L6),"")</f>
        <v>-138.11</v>
      </c>
      <c r="N6" s="11">
        <f>IF(N$3=0,"",SUMIFS(INDEX(Inputs!$D$4:$AG$250,0,MATCH(N$2,Inputs!$D$2:$AG$2,0)),Inputs!$B$4:$B$250,$B6)/1000)</f>
        <v>-33.418</v>
      </c>
      <c r="O6" s="11">
        <f>IF(O$3=0,"",SUMIFS(INDEX(Inputs!$D$4:$AG$250,0,MATCH(O$2,Inputs!$D$2:$AG$2,0)),Inputs!$B$4:$B$250,$B6)/1000)</f>
        <v>-25.614</v>
      </c>
      <c r="P6" s="11">
        <f>IF(P$3=0,"",SUMIFS(INDEX(Inputs!$D$4:$AG$250,0,MATCH(P$2,Inputs!$D$2:$AG$2,0)),Inputs!$B$4:$B$250,$B6)/1000)</f>
        <v>-29.084</v>
      </c>
      <c r="Q6" s="11">
        <f>IF(Q$3=0,"",SUMIFS(INDEX(Inputs!$D$4:$AG$250,0,MATCH(Q$2,Inputs!$D$2:$AG$2,0)),Inputs!$B$4:$B$250,$B6)/1000)</f>
        <v>19.099</v>
      </c>
      <c r="R6" s="12">
        <f>IF(COUNT(N6:Q6)=4,SUM(N6:Q6),"")</f>
        <v>-69.017</v>
      </c>
      <c r="S6" s="11">
        <f>IF(S$3=0,"",SUMIFS(INDEX(Inputs!$D$4:$AG$250,0,MATCH(S$2,Inputs!$D$2:$AG$2,0)),Inputs!$B$4:$B$250,$B6)/1000)</f>
        <v>-30.227</v>
      </c>
      <c r="T6" s="11">
        <f>IF(T$3=0,"",SUMIFS(INDEX(Inputs!$D$4:$AG$250,0,MATCH(T$2,Inputs!$D$2:$AG$2,0)),Inputs!$B$4:$B$250,$B6)/1000)</f>
        <v>-32.052</v>
      </c>
      <c r="U6" s="11">
        <f>IF(U$3=0,"",SUMIFS(INDEX(Inputs!$D$4:$AG$250,0,MATCH(U$2,Inputs!$D$2:$AG$2,0)),Inputs!$B$4:$B$250,$B6)/1000)</f>
        <v>-39.082</v>
      </c>
      <c r="V6" s="11">
        <f>IF(V$3=0,"",SUMIFS(INDEX(Inputs!$D$4:$AG$250,0,MATCH(V$2,Inputs!$D$2:$AG$2,0)),Inputs!$B$4:$B$250,$B6)/1000)</f>
        <v>-53.755</v>
      </c>
      <c r="W6" s="12">
        <f>IF(COUNT(S6:V6)=4,SUM(S6:V6),"")</f>
        <v>-155.116</v>
      </c>
      <c r="X6" s="11">
        <f>IF(X$3=0,"",SUMIFS(INDEX(Inputs!$D$4:$AG$250,0,MATCH(X$2,Inputs!$D$2:$AG$2,0)),Inputs!$B$4:$B$250,$B6)/1000)</f>
        <v>-45.378</v>
      </c>
      <c r="Y6" s="11">
        <f>IF(Y$3=0,"",SUMIFS(INDEX(Inputs!$D$4:$AG$250,0,MATCH(Y$2,Inputs!$D$2:$AG$2,0)),Inputs!$B$4:$B$250,$B6)/1000)</f>
        <v>-44.509</v>
      </c>
      <c r="Z6" s="11">
        <f>IF(Z$3=0,"",SUMIFS(INDEX(Inputs!$D$4:$AG$250,0,MATCH(Z$2,Inputs!$D$2:$AG$2,0)),Inputs!$B$4:$B$250,$B6)/1000)</f>
        <v>-53.315</v>
      </c>
      <c r="AA6" s="11">
        <f>IF(AA$3=0,"",SUMIFS(INDEX(Inputs!$D$4:$AG$250,0,MATCH(AA$2,Inputs!$D$2:$AG$2,0)),Inputs!$B$4:$B$250,$B6)/1000)</f>
        <v>-38.925</v>
      </c>
      <c r="AB6" s="12">
        <f>IF(COUNT(X6:AA6)=4,SUM(X6:AA6),"")</f>
        <v>-182.127</v>
      </c>
      <c r="AC6" s="11">
        <f>IF(AC$3=0,"",SUMIFS(INDEX(Inputs!$D$4:$AG$250,0,MATCH(AC$2,Inputs!$D$2:$AG$2,0)),Inputs!$B$4:$B$250,$B6)/1000)</f>
        <v>-45.97</v>
      </c>
      <c r="AD6" s="11">
        <f>IF(AD$3=0,"",SUMIFS(INDEX(Inputs!$D$4:$AG$250,0,MATCH(AD$2,Inputs!$D$2:$AG$2,0)),Inputs!$B$4:$B$250,$B6)/1000)</f>
        <v>-96.043</v>
      </c>
      <c r="AE6" s="11" t="str">
        <f>IF(AE$3=0,"",SUMIFS(INDEX(Inputs!$D$4:$AG$250,0,MATCH(AE$2,Inputs!$D$2:$AG$2,0)),Inputs!$B$4:$B$250,$B6)/1000)</f>
        <v/>
      </c>
      <c r="AF6" s="11" t="str">
        <f>IF(AF$3=0,"",SUMIFS(INDEX(Inputs!$D$4:$AG$250,0,MATCH(AF$2,Inputs!$D$2:$AG$2,0)),Inputs!$B$4:$B$250,$B6)/1000)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IF(D$3=0,"",SUMIFS(INDEX(Inputs!$D$4:$AG$250,0,MATCH(D$2,Inputs!$D$2:$AG$2,0)),Inputs!$B$4:$B$250,$B7)/1000)</f>
        <v>-10.679</v>
      </c>
      <c r="E7" s="11">
        <f>IF(E$3=0,"",SUMIFS(INDEX(Inputs!$D$4:$AG$250,0,MATCH(E$2,Inputs!$D$2:$AG$2,0)),Inputs!$B$4:$B$250,$B7)/1000)</f>
        <v>-11.878</v>
      </c>
      <c r="F7" s="11">
        <f>IF(F$3=0,"",SUMIFS(INDEX(Inputs!$D$4:$AG$250,0,MATCH(F$2,Inputs!$D$2:$AG$2,0)),Inputs!$B$4:$B$250,$B7)/1000)</f>
        <v>-13.134</v>
      </c>
      <c r="G7" s="11">
        <f>IF(G$3=0,"",SUMIFS(INDEX(Inputs!$D$4:$AG$250,0,MATCH(G$2,Inputs!$D$2:$AG$2,0)),Inputs!$B$4:$B$250,$B7)/1000)</f>
        <v>-17.704</v>
      </c>
      <c r="H7" s="12">
        <f>IF(COUNT(D7:G7)=4,SUM(D7:G7),"")</f>
        <v>-53.395</v>
      </c>
      <c r="I7" s="11">
        <f>IF(I$3=0,"",SUMIFS(INDEX(Inputs!$D$4:$AG$250,0,MATCH(I$2,Inputs!$D$2:$AG$2,0)),Inputs!$B$4:$B$250,$B7)/1000)</f>
        <v>-15.688</v>
      </c>
      <c r="J7" s="11">
        <f>IF(J$3=0,"",SUMIFS(INDEX(Inputs!$D$4:$AG$250,0,MATCH(J$2,Inputs!$D$2:$AG$2,0)),Inputs!$B$4:$B$250,$B7)/1000)</f>
        <v>-30.096</v>
      </c>
      <c r="K7" s="11">
        <f>IF(K$3=0,"",SUMIFS(INDEX(Inputs!$D$4:$AG$250,0,MATCH(K$2,Inputs!$D$2:$AG$2,0)),Inputs!$B$4:$B$250,$B7)/1000)</f>
        <v>-48.076</v>
      </c>
      <c r="L7" s="11">
        <f>IF(L$3=0,"",SUMIFS(INDEX(Inputs!$D$4:$AG$250,0,MATCH(L$2,Inputs!$D$2:$AG$2,0)),Inputs!$B$4:$B$250,$B7)/1000)</f>
        <v>-41.858</v>
      </c>
      <c r="M7" s="12">
        <f>IF(COUNT(I7:L7)=4,SUM(I7:L7),"")</f>
        <v>-135.718</v>
      </c>
      <c r="N7" s="11">
        <f>IF(N$3=0,"",SUMIFS(INDEX(Inputs!$D$4:$AG$250,0,MATCH(N$2,Inputs!$D$2:$AG$2,0)),Inputs!$B$4:$B$250,$B7)/1000)</f>
        <v>-60.225</v>
      </c>
      <c r="O7" s="11">
        <f>IF(O$3=0,"",SUMIFS(INDEX(Inputs!$D$4:$AG$250,0,MATCH(O$2,Inputs!$D$2:$AG$2,0)),Inputs!$B$4:$B$250,$B7)/1000)</f>
        <v>-35.636</v>
      </c>
      <c r="P7" s="11">
        <f>IF(P$3=0,"",SUMIFS(INDEX(Inputs!$D$4:$AG$250,0,MATCH(P$2,Inputs!$D$2:$AG$2,0)),Inputs!$B$4:$B$250,$B7)/1000)</f>
        <v>-37.234</v>
      </c>
      <c r="Q7" s="11">
        <f>IF(Q$3=0,"",SUMIFS(INDEX(Inputs!$D$4:$AG$250,0,MATCH(Q$2,Inputs!$D$2:$AG$2,0)),Inputs!$B$4:$B$250,$B7)/1000)</f>
        <v>-32.565</v>
      </c>
      <c r="R7" s="12">
        <f>IF(COUNT(N7:Q7)=4,SUM(N7:Q7),"")</f>
        <v>-165.66</v>
      </c>
      <c r="S7" s="11">
        <f>IF(S$3=0,"",SUMIFS(INDEX(Inputs!$D$4:$AG$250,0,MATCH(S$2,Inputs!$D$2:$AG$2,0)),Inputs!$B$4:$B$250,$B7)/1000)</f>
        <v>-35.203</v>
      </c>
      <c r="T7" s="11">
        <f>IF(T$3=0,"",SUMIFS(INDEX(Inputs!$D$4:$AG$250,0,MATCH(T$2,Inputs!$D$2:$AG$2,0)),Inputs!$B$4:$B$250,$B7)/1000)</f>
        <v>-32.275</v>
      </c>
      <c r="U7" s="11">
        <f>IF(U$3=0,"",SUMIFS(INDEX(Inputs!$D$4:$AG$250,0,MATCH(U$2,Inputs!$D$2:$AG$2,0)),Inputs!$B$4:$B$250,$B7)/1000)</f>
        <v>-39.87</v>
      </c>
      <c r="V7" s="11">
        <f>IF(V$3=0,"",SUMIFS(INDEX(Inputs!$D$4:$AG$250,0,MATCH(V$2,Inputs!$D$2:$AG$2,0)),Inputs!$B$4:$B$250,$B7)/1000)</f>
        <v>-48.619</v>
      </c>
      <c r="W7" s="12">
        <f>IF(COUNT(S7:V7)=4,SUM(S7:V7),"")</f>
        <v>-155.967</v>
      </c>
      <c r="X7" s="11">
        <f>IF(X$3=0,"",SUMIFS(INDEX(Inputs!$D$4:$AG$250,0,MATCH(X$2,Inputs!$D$2:$AG$2,0)),Inputs!$B$4:$B$250,$B7)/1000)</f>
        <v>-48.663</v>
      </c>
      <c r="Y7" s="11">
        <f>IF(Y$3=0,"",SUMIFS(INDEX(Inputs!$D$4:$AG$250,0,MATCH(Y$2,Inputs!$D$2:$AG$2,0)),Inputs!$B$4:$B$250,$B7)/1000)</f>
        <v>-42.936</v>
      </c>
      <c r="Z7" s="11">
        <f>IF(Z$3=0,"",SUMIFS(INDEX(Inputs!$D$4:$AG$250,0,MATCH(Z$2,Inputs!$D$2:$AG$2,0)),Inputs!$B$4:$B$250,$B7)/1000)</f>
        <v>-44.612</v>
      </c>
      <c r="AA7" s="11">
        <f>IF(AA$3=0,"",SUMIFS(INDEX(Inputs!$D$4:$AG$250,0,MATCH(AA$2,Inputs!$D$2:$AG$2,0)),Inputs!$B$4:$B$250,$B7)/1000)</f>
        <v>-44.967</v>
      </c>
      <c r="AB7" s="12">
        <f>IF(COUNT(X7:AA7)=4,SUM(X7:AA7),"")</f>
        <v>-181.178</v>
      </c>
      <c r="AC7" s="11">
        <f>IF(AC$3=0,"",SUMIFS(INDEX(Inputs!$D$4:$AG$250,0,MATCH(AC$2,Inputs!$D$2:$AG$2,0)),Inputs!$B$4:$B$250,$B7)/1000)</f>
        <v>-51.389</v>
      </c>
      <c r="AD7" s="11">
        <f>IF(AD$3=0,"",SUMIFS(INDEX(Inputs!$D$4:$AG$250,0,MATCH(AD$2,Inputs!$D$2:$AG$2,0)),Inputs!$B$4:$B$250,$B7)/1000)</f>
        <v>-57.892</v>
      </c>
      <c r="AE7" s="11" t="str">
        <f>IF(AE$3=0,"",SUMIFS(INDEX(Inputs!$D$4:$AG$250,0,MATCH(AE$2,Inputs!$D$2:$AG$2,0)),Inputs!$B$4:$B$250,$B7)/1000)</f>
        <v/>
      </c>
      <c r="AF7" s="11" t="str">
        <f>IF(AF$3=0,"",SUMIFS(INDEX(Inputs!$D$4:$AG$250,0,MATCH(AF$2,Inputs!$D$2:$AG$2,0)),Inputs!$B$4:$B$250,$B7)/1000)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IF(D$3=0,"",SUMIFS(INDEX(Inputs!$D$4:$AG$250,0,MATCH(D$2,Inputs!$D$2:$AG$2,0)),Inputs!$B$4:$B$250,$B8)/1000)</f>
        <v>-24.167</v>
      </c>
      <c r="E8" s="11">
        <f>IF(E$3=0,"",SUMIFS(INDEX(Inputs!$D$4:$AG$250,0,MATCH(E$2,Inputs!$D$2:$AG$2,0)),Inputs!$B$4:$B$250,$B8)/1000)</f>
        <v>-22.467</v>
      </c>
      <c r="F8" s="11">
        <f>IF(F$3=0,"",SUMIFS(INDEX(Inputs!$D$4:$AG$250,0,MATCH(F$2,Inputs!$D$2:$AG$2,0)),Inputs!$B$4:$B$250,$B8)/1000)</f>
        <v>-23.898</v>
      </c>
      <c r="G8" s="11">
        <f>IF(G$3=0,"",SUMIFS(INDEX(Inputs!$D$4:$AG$250,0,MATCH(G$2,Inputs!$D$2:$AG$2,0)),Inputs!$B$4:$B$250,$B8)/1000)</f>
        <v>-55.165</v>
      </c>
      <c r="H8" s="12">
        <f>IF(COUNT(D8:G8)=4,SUM(D8:G8),"")</f>
        <v>-125.697</v>
      </c>
      <c r="I8" s="11">
        <f>IF(I$3=0,"",SUMIFS(INDEX(Inputs!$D$4:$AG$250,0,MATCH(I$2,Inputs!$D$2:$AG$2,0)),Inputs!$B$4:$B$250,$B8)/1000)</f>
        <v>-41.349</v>
      </c>
      <c r="J8" s="11">
        <f>IF(J$3=0,"",SUMIFS(INDEX(Inputs!$D$4:$AG$250,0,MATCH(J$2,Inputs!$D$2:$AG$2,0)),Inputs!$B$4:$B$250,$B8)/1000)</f>
        <v>-69.039</v>
      </c>
      <c r="K8" s="11">
        <f>IF(K$3=0,"",SUMIFS(INDEX(Inputs!$D$4:$AG$250,0,MATCH(K$2,Inputs!$D$2:$AG$2,0)),Inputs!$B$4:$B$250,$B8)/1000)</f>
        <v>-37.467</v>
      </c>
      <c r="L8" s="11">
        <f>IF(L$3=0,"",SUMIFS(INDEX(Inputs!$D$4:$AG$250,0,MATCH(L$2,Inputs!$D$2:$AG$2,0)),Inputs!$B$4:$B$250,$B8)/1000)</f>
        <v>-83.725</v>
      </c>
      <c r="M8" s="12">
        <f>IF(COUNT(I8:L8)=4,SUM(I8:L8),"")</f>
        <v>-231.58</v>
      </c>
      <c r="N8" s="11">
        <f>IF(N$3=0,"",SUMIFS(INDEX(Inputs!$D$4:$AG$250,0,MATCH(N$2,Inputs!$D$2:$AG$2,0)),Inputs!$B$4:$B$250,$B8)/1000)</f>
        <v>-52.374</v>
      </c>
      <c r="O8" s="11">
        <f>IF(O$3=0,"",SUMIFS(INDEX(Inputs!$D$4:$AG$250,0,MATCH(O$2,Inputs!$D$2:$AG$2,0)),Inputs!$B$4:$B$250,$B8)/1000)</f>
        <v>-45.602</v>
      </c>
      <c r="P8" s="11">
        <f>IF(P$3=0,"",SUMIFS(INDEX(Inputs!$D$4:$AG$250,0,MATCH(P$2,Inputs!$D$2:$AG$2,0)),Inputs!$B$4:$B$250,$B8)/1000)</f>
        <v>-45.529</v>
      </c>
      <c r="Q8" s="11">
        <f>IF(Q$3=0,"",SUMIFS(INDEX(Inputs!$D$4:$AG$250,0,MATCH(Q$2,Inputs!$D$2:$AG$2,0)),Inputs!$B$4:$B$250,$B8)/1000)</f>
        <v>-55.686</v>
      </c>
      <c r="R8" s="12">
        <f>IF(COUNT(N8:Q8)=4,SUM(N8:Q8),"")</f>
        <v>-199.191</v>
      </c>
      <c r="S8" s="11">
        <f>IF(S$3=0,"",SUMIFS(INDEX(Inputs!$D$4:$AG$250,0,MATCH(S$2,Inputs!$D$2:$AG$2,0)),Inputs!$B$4:$B$250,$B8)/1000)</f>
        <v>-46.582</v>
      </c>
      <c r="T8" s="11">
        <f>IF(T$3=0,"",SUMIFS(INDEX(Inputs!$D$4:$AG$250,0,MATCH(T$2,Inputs!$D$2:$AG$2,0)),Inputs!$B$4:$B$250,$B8)/1000)</f>
        <v>-48.709</v>
      </c>
      <c r="U8" s="11">
        <f>IF(U$3=0,"",SUMIFS(INDEX(Inputs!$D$4:$AG$250,0,MATCH(U$2,Inputs!$D$2:$AG$2,0)),Inputs!$B$4:$B$250,$B8)/1000)</f>
        <v>-56.076</v>
      </c>
      <c r="V8" s="11">
        <f>IF(V$3=0,"",SUMIFS(INDEX(Inputs!$D$4:$AG$250,0,MATCH(V$2,Inputs!$D$2:$AG$2,0)),Inputs!$B$4:$B$250,$B8)/1000)</f>
        <v>-78.046</v>
      </c>
      <c r="W8" s="12">
        <f>IF(COUNT(S8:V8)=4,SUM(S8:V8),"")</f>
        <v>-229.413</v>
      </c>
      <c r="X8" s="11">
        <f>IF(X$3=0,"",SUMIFS(INDEX(Inputs!$D$4:$AG$250,0,MATCH(X$2,Inputs!$D$2:$AG$2,0)),Inputs!$B$4:$B$250,$B8)/1000)</f>
        <v>-74.07</v>
      </c>
      <c r="Y8" s="11">
        <f>IF(Y$3=0,"",SUMIFS(INDEX(Inputs!$D$4:$AG$250,0,MATCH(Y$2,Inputs!$D$2:$AG$2,0)),Inputs!$B$4:$B$250,$B8)/1000)</f>
        <v>-73.588</v>
      </c>
      <c r="Z8" s="11">
        <f>IF(Z$3=0,"",SUMIFS(INDEX(Inputs!$D$4:$AG$250,0,MATCH(Z$2,Inputs!$D$2:$AG$2,0)),Inputs!$B$4:$B$250,$B8)/1000)</f>
        <v>-89.868</v>
      </c>
      <c r="AA8" s="11">
        <f>IF(AA$3=0,"",SUMIFS(INDEX(Inputs!$D$4:$AG$250,0,MATCH(AA$2,Inputs!$D$2:$AG$2,0)),Inputs!$B$4:$B$250,$B8)/1000)</f>
        <v>-87.635</v>
      </c>
      <c r="AB8" s="12">
        <f>IF(COUNT(X8:AA8)=4,SUM(X8:AA8),"")</f>
        <v>-325.161</v>
      </c>
      <c r="AC8" s="11">
        <f>IF(AC$3=0,"",SUMIFS(INDEX(Inputs!$D$4:$AG$250,0,MATCH(AC$2,Inputs!$D$2:$AG$2,0)),Inputs!$B$4:$B$250,$B8)/1000)</f>
        <v>-77.362</v>
      </c>
      <c r="AD8" s="11">
        <f>IF(AD$3=0,"",SUMIFS(INDEX(Inputs!$D$4:$AG$250,0,MATCH(AD$2,Inputs!$D$2:$AG$2,0)),Inputs!$B$4:$B$250,$B8)/1000)</f>
        <v>-88.947</v>
      </c>
      <c r="AE8" s="11" t="str">
        <f>IF(AE$3=0,"",SUMIFS(INDEX(Inputs!$D$4:$AG$250,0,MATCH(AE$2,Inputs!$D$2:$AG$2,0)),Inputs!$B$4:$B$250,$B8)/1000)</f>
        <v/>
      </c>
      <c r="AF8" s="11" t="str">
        <f>IF(AF$3=0,"",SUMIFS(INDEX(Inputs!$D$4:$AG$250,0,MATCH(AF$2,Inputs!$D$2:$AG$2,0)),Inputs!$B$4:$B$250,$B8)/1000)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IF(D$3=0,"",SUMIFS(INDEX(Inputs!$D$4:$AG$250,0,MATCH(D$2,Inputs!$D$2:$AG$2,0)),Inputs!$B$4:$B$250,$B9)/1000)</f>
        <v>4.747</v>
      </c>
      <c r="E9" s="11">
        <f>IF(E$3=0,"",SUMIFS(INDEX(Inputs!$D$4:$AG$250,0,MATCH(E$2,Inputs!$D$2:$AG$2,0)),Inputs!$B$4:$B$250,$B9)/1000)</f>
        <v>8.841</v>
      </c>
      <c r="F9" s="11">
        <f>IF(F$3=0,"",SUMIFS(INDEX(Inputs!$D$4:$AG$250,0,MATCH(F$2,Inputs!$D$2:$AG$2,0)),Inputs!$B$4:$B$250,$B9)/1000)</f>
        <v>9.664</v>
      </c>
      <c r="G9" s="11">
        <f>IF(G$3=0,"",SUMIFS(INDEX(Inputs!$D$4:$AG$250,0,MATCH(G$2,Inputs!$D$2:$AG$2,0)),Inputs!$B$4:$B$250,$B9)/1000)</f>
        <v>3.268</v>
      </c>
      <c r="H9" s="12">
        <f>IF(COUNT(D9:G9)=4,SUM(D9:G9),"")</f>
        <v>26.52</v>
      </c>
      <c r="I9" s="11">
        <f>IF(I$3=0,"",SUMIFS(INDEX(Inputs!$D$4:$AG$250,0,MATCH(I$2,Inputs!$D$2:$AG$2,0)),Inputs!$B$4:$B$250,$B9)/1000)</f>
        <v>14.314</v>
      </c>
      <c r="J9" s="11">
        <f>IF(J$3=0,"",SUMIFS(INDEX(Inputs!$D$4:$AG$250,0,MATCH(J$2,Inputs!$D$2:$AG$2,0)),Inputs!$B$4:$B$250,$B9)/1000)</f>
        <v>58.345</v>
      </c>
      <c r="K9" s="11">
        <f>IF(K$3=0,"",SUMIFS(INDEX(Inputs!$D$4:$AG$250,0,MATCH(K$2,Inputs!$D$2:$AG$2,0)),Inputs!$B$4:$B$250,$B9)/1000)</f>
        <v>0.531</v>
      </c>
      <c r="L9" s="11">
        <f>IF(L$3=0,"",SUMIFS(INDEX(Inputs!$D$4:$AG$250,0,MATCH(L$2,Inputs!$D$2:$AG$2,0)),Inputs!$B$4:$B$250,$B9)/1000)</f>
        <v>4.031</v>
      </c>
      <c r="M9" s="12">
        <f>IF(COUNT(I9:L9)=4,SUM(I9:L9),"")</f>
        <v>77.221</v>
      </c>
      <c r="N9" s="11">
        <f>IF(N$3=0,"",SUMIFS(INDEX(Inputs!$D$4:$AG$250,0,MATCH(N$2,Inputs!$D$2:$AG$2,0)),Inputs!$B$4:$B$250,$B9)/1000)</f>
        <v>4.578</v>
      </c>
      <c r="O9" s="11">
        <f>IF(O$3=0,"",SUMIFS(INDEX(Inputs!$D$4:$AG$250,0,MATCH(O$2,Inputs!$D$2:$AG$2,0)),Inputs!$B$4:$B$250,$B9)/1000)</f>
        <v>8.653</v>
      </c>
      <c r="P9" s="11">
        <f>IF(P$3=0,"",SUMIFS(INDEX(Inputs!$D$4:$AG$250,0,MATCH(P$2,Inputs!$D$2:$AG$2,0)),Inputs!$B$4:$B$250,$B9)/1000)</f>
        <v>11.044</v>
      </c>
      <c r="Q9" s="11">
        <f>IF(Q$3=0,"",SUMIFS(INDEX(Inputs!$D$4:$AG$250,0,MATCH(Q$2,Inputs!$D$2:$AG$2,0)),Inputs!$B$4:$B$250,$B9)/1000)</f>
        <v>56.112</v>
      </c>
      <c r="R9" s="12">
        <f>IF(COUNT(N9:Q9)=4,SUM(N9:Q9),"")</f>
        <v>80.387</v>
      </c>
      <c r="S9" s="11">
        <f>IF(S$3=0,"",SUMIFS(INDEX(Inputs!$D$4:$AG$250,0,MATCH(S$2,Inputs!$D$2:$AG$2,0)),Inputs!$B$4:$B$250,$B9)/1000)</f>
        <v>7.702</v>
      </c>
      <c r="T9" s="11">
        <f>IF(T$3=0,"",SUMIFS(INDEX(Inputs!$D$4:$AG$250,0,MATCH(T$2,Inputs!$D$2:$AG$2,0)),Inputs!$B$4:$B$250,$B9)/1000)</f>
        <v>12.609</v>
      </c>
      <c r="U9" s="11">
        <f>IF(U$3=0,"",SUMIFS(INDEX(Inputs!$D$4:$AG$250,0,MATCH(U$2,Inputs!$D$2:$AG$2,0)),Inputs!$B$4:$B$250,$B9)/1000)</f>
        <v>9.343</v>
      </c>
      <c r="V9" s="11">
        <f>IF(V$3=0,"",SUMIFS(INDEX(Inputs!$D$4:$AG$250,0,MATCH(V$2,Inputs!$D$2:$AG$2,0)),Inputs!$B$4:$B$250,$B9)/1000)</f>
        <v>28.989</v>
      </c>
      <c r="W9" s="12">
        <f>IF(COUNT(S9:V9)=4,SUM(S9:V9),"")</f>
        <v>58.643</v>
      </c>
      <c r="X9" s="11">
        <f>IF(X$3=0,"",SUMIFS(INDEX(Inputs!$D$4:$AG$250,0,MATCH(X$2,Inputs!$D$2:$AG$2,0)),Inputs!$B$4:$B$250,$B9)/1000)</f>
        <v>18.835</v>
      </c>
      <c r="Y9" s="11">
        <f>IF(Y$3=0,"",SUMIFS(INDEX(Inputs!$D$4:$AG$250,0,MATCH(Y$2,Inputs!$D$2:$AG$2,0)),Inputs!$B$4:$B$250,$B9)/1000)</f>
        <v>24.933</v>
      </c>
      <c r="Z9" s="11">
        <f>IF(Z$3=0,"",SUMIFS(INDEX(Inputs!$D$4:$AG$250,0,MATCH(Z$2,Inputs!$D$2:$AG$2,0)),Inputs!$B$4:$B$250,$B9)/1000)</f>
        <v>36.113</v>
      </c>
      <c r="AA9" s="11">
        <f>IF(AA$3=0,"",SUMIFS(INDEX(Inputs!$D$4:$AG$250,0,MATCH(AA$2,Inputs!$D$2:$AG$2,0)),Inputs!$B$4:$B$250,$B9)/1000)</f>
        <v>32.198</v>
      </c>
      <c r="AB9" s="12">
        <f>IF(COUNT(X9:AA9)=4,SUM(X9:AA9),"")</f>
        <v>112.079</v>
      </c>
      <c r="AC9" s="11">
        <f>IF(AC$3=0,"",SUMIFS(INDEX(Inputs!$D$4:$AG$250,0,MATCH(AC$2,Inputs!$D$2:$AG$2,0)),Inputs!$B$4:$B$250,$B9)/1000)</f>
        <v>25.952</v>
      </c>
      <c r="AD9" s="11">
        <f>IF(AD$3=0,"",SUMIFS(INDEX(Inputs!$D$4:$AG$250,0,MATCH(AD$2,Inputs!$D$2:$AG$2,0)),Inputs!$B$4:$B$250,$B9)/1000)</f>
        <v>35.17</v>
      </c>
      <c r="AE9" s="11" t="str">
        <f>IF(AE$3=0,"",SUMIFS(INDEX(Inputs!$D$4:$AG$250,0,MATCH(AE$2,Inputs!$D$2:$AG$2,0)),Inputs!$B$4:$B$250,$B9)/1000)</f>
        <v/>
      </c>
      <c r="AF9" s="11" t="str">
        <f>IF(AF$3=0,"",SUMIFS(INDEX(Inputs!$D$4:$AG$250,0,MATCH(AF$2,Inputs!$D$2:$AG$2,0)),Inputs!$B$4:$B$250,$B9)/1000)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IF(D$3=0,"",SUMIFS(INDEX(Inputs!$D$4:$AG$250,0,MATCH(D$2,Inputs!$D$2:$AG$2,0)),Inputs!$B$4:$B$250,$B10)/1000)</f>
        <v>-2.195</v>
      </c>
      <c r="E10" s="11">
        <f>IF(E$3=0,"",SUMIFS(INDEX(Inputs!$D$4:$AG$250,0,MATCH(E$2,Inputs!$D$2:$AG$2,0)),Inputs!$B$4:$B$250,$B10)/1000)</f>
        <v>-4.937</v>
      </c>
      <c r="F10" s="11">
        <f>IF(F$3=0,"",SUMIFS(INDEX(Inputs!$D$4:$AG$250,0,MATCH(F$2,Inputs!$D$2:$AG$2,0)),Inputs!$B$4:$B$250,$B10)/1000)</f>
        <v>-6.923</v>
      </c>
      <c r="G10" s="11">
        <f>IF(G$3=0,"",SUMIFS(INDEX(Inputs!$D$4:$AG$250,0,MATCH(G$2,Inputs!$D$2:$AG$2,0)),Inputs!$B$4:$B$250,$B10)/1000)</f>
        <v>-21.959</v>
      </c>
      <c r="H10" s="12">
        <f>IF(COUNT(D10:G10)=4,SUM(D10:G10),"")</f>
        <v>-36.014</v>
      </c>
      <c r="I10" s="11">
        <f>IF(I$3=0,"",SUMIFS(INDEX(Inputs!$D$4:$AG$250,0,MATCH(I$2,Inputs!$D$2:$AG$2,0)),Inputs!$B$4:$B$250,$B10)/1000)</f>
        <v>-4.231</v>
      </c>
      <c r="J10" s="11">
        <f>IF(J$3=0,"",SUMIFS(INDEX(Inputs!$D$4:$AG$250,0,MATCH(J$2,Inputs!$D$2:$AG$2,0)),Inputs!$B$4:$B$250,$B10)/1000)</f>
        <v>-18.959</v>
      </c>
      <c r="K10" s="11">
        <f>IF(K$3=0,"",SUMIFS(INDEX(Inputs!$D$4:$AG$250,0,MATCH(K$2,Inputs!$D$2:$AG$2,0)),Inputs!$B$4:$B$250,$B10)/1000)</f>
        <v>-14.78</v>
      </c>
      <c r="L10" s="11">
        <f>IF(L$3=0,"",SUMIFS(INDEX(Inputs!$D$4:$AG$250,0,MATCH(L$2,Inputs!$D$2:$AG$2,0)),Inputs!$B$4:$B$250,$B10)/1000)</f>
        <v>-8.64</v>
      </c>
      <c r="M10" s="12">
        <f>IF(COUNT(I10:L10)=4,SUM(I10:L10),"")</f>
        <v>-46.61</v>
      </c>
      <c r="N10" s="11">
        <f>IF(N$3=0,"",SUMIFS(INDEX(Inputs!$D$4:$AG$250,0,MATCH(N$2,Inputs!$D$2:$AG$2,0)),Inputs!$B$4:$B$250,$B10)/1000)</f>
        <v>-7.213</v>
      </c>
      <c r="O10" s="11">
        <f>IF(O$3=0,"",SUMIFS(INDEX(Inputs!$D$4:$AG$250,0,MATCH(O$2,Inputs!$D$2:$AG$2,0)),Inputs!$B$4:$B$250,$B10)/1000)</f>
        <v>-9.89</v>
      </c>
      <c r="P10" s="11">
        <f>IF(P$3=0,"",SUMIFS(INDEX(Inputs!$D$4:$AG$250,0,MATCH(P$2,Inputs!$D$2:$AG$2,0)),Inputs!$B$4:$B$250,$B10)/1000)</f>
        <v>-6.123</v>
      </c>
      <c r="Q10" s="11">
        <f>IF(Q$3=0,"",SUMIFS(INDEX(Inputs!$D$4:$AG$250,0,MATCH(Q$2,Inputs!$D$2:$AG$2,0)),Inputs!$B$4:$B$250,$B10)/1000)</f>
        <v>2.477</v>
      </c>
      <c r="R10" s="12">
        <f>IF(COUNT(N10:Q10)=4,SUM(N10:Q10),"")</f>
        <v>-20.749</v>
      </c>
      <c r="S10" s="11">
        <f>IF(S$3=0,"",SUMIFS(INDEX(Inputs!$D$4:$AG$250,0,MATCH(S$2,Inputs!$D$2:$AG$2,0)),Inputs!$B$4:$B$250,$B10)/1000)</f>
        <v>-1.743</v>
      </c>
      <c r="T10" s="11">
        <f>IF(T$3=0,"",SUMIFS(INDEX(Inputs!$D$4:$AG$250,0,MATCH(T$2,Inputs!$D$2:$AG$2,0)),Inputs!$B$4:$B$250,$B10)/1000)</f>
        <v>-16.947</v>
      </c>
      <c r="U10" s="11">
        <f>IF(U$3=0,"",SUMIFS(INDEX(Inputs!$D$4:$AG$250,0,MATCH(U$2,Inputs!$D$2:$AG$2,0)),Inputs!$B$4:$B$250,$B10)/1000)</f>
        <v>-3.096</v>
      </c>
      <c r="V10" s="11">
        <f>IF(V$3=0,"",SUMIFS(INDEX(Inputs!$D$4:$AG$250,0,MATCH(V$2,Inputs!$D$2:$AG$2,0)),Inputs!$B$4:$B$250,$B10)/1000)</f>
        <v>-6.086</v>
      </c>
      <c r="W10" s="12">
        <f>IF(COUNT(S10:V10)=4,SUM(S10:V10),"")</f>
        <v>-27.872</v>
      </c>
      <c r="X10" s="11">
        <f>IF(X$3=0,"",SUMIFS(INDEX(Inputs!$D$4:$AG$250,0,MATCH(X$2,Inputs!$D$2:$AG$2,0)),Inputs!$B$4:$B$250,$B10)/1000)</f>
        <v>-8.023</v>
      </c>
      <c r="Y10" s="11">
        <f>IF(Y$3=0,"",SUMIFS(INDEX(Inputs!$D$4:$AG$250,0,MATCH(Y$2,Inputs!$D$2:$AG$2,0)),Inputs!$B$4:$B$250,$B10)/1000)</f>
        <v>-5.741</v>
      </c>
      <c r="Z10" s="11">
        <f>IF(Z$3=0,"",SUMIFS(INDEX(Inputs!$D$4:$AG$250,0,MATCH(Z$2,Inputs!$D$2:$AG$2,0)),Inputs!$B$4:$B$250,$B10)/1000)</f>
        <v>-3.384</v>
      </c>
      <c r="AA10" s="11">
        <f>IF(AA$3=0,"",SUMIFS(INDEX(Inputs!$D$4:$AG$250,0,MATCH(AA$2,Inputs!$D$2:$AG$2,0)),Inputs!$B$4:$B$250,$B10)/1000)</f>
        <v>-5.759</v>
      </c>
      <c r="AB10" s="12">
        <f>IF(COUNT(X10:AA10)=4,SUM(X10:AA10),"")</f>
        <v>-22.907</v>
      </c>
      <c r="AC10" s="11">
        <f>IF(AC$3=0,"",SUMIFS(INDEX(Inputs!$D$4:$AG$250,0,MATCH(AC$2,Inputs!$D$2:$AG$2,0)),Inputs!$B$4:$B$250,$B10)/1000)</f>
        <v>-12.257</v>
      </c>
      <c r="AD10" s="11">
        <f>IF(AD$3=0,"",SUMIFS(INDEX(Inputs!$D$4:$AG$250,0,MATCH(AD$2,Inputs!$D$2:$AG$2,0)),Inputs!$B$4:$B$250,$B10)/1000)</f>
        <v>-32.25</v>
      </c>
      <c r="AE10" s="11" t="str">
        <f>IF(AE$3=0,"",SUMIFS(INDEX(Inputs!$D$4:$AG$250,0,MATCH(AE$2,Inputs!$D$2:$AG$2,0)),Inputs!$B$4:$B$250,$B10)/1000)</f>
        <v/>
      </c>
      <c r="AF10" s="11" t="str">
        <f>IF(AF$3=0,"",SUMIFS(INDEX(Inputs!$D$4:$AG$250,0,MATCH(AF$2,Inputs!$D$2:$AG$2,0)),Inputs!$B$4:$B$250,$B10)/1000)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IF(D$3=0,"",SUMIFS(INDEX(Inputs!$D$4:$AG$250,0,MATCH(D$2,Inputs!$D$2:$AG$2,0)),Inputs!$B$4:$B$250,$B11)/1000)</f>
        <v>0.102</v>
      </c>
      <c r="E11" s="11">
        <f>IF(E$3=0,"",SUMIFS(INDEX(Inputs!$D$4:$AG$250,0,MATCH(E$2,Inputs!$D$2:$AG$2,0)),Inputs!$B$4:$B$250,$B11)/1000)</f>
        <v>0.028</v>
      </c>
      <c r="F11" s="11">
        <f>IF(F$3=0,"",SUMIFS(INDEX(Inputs!$D$4:$AG$250,0,MATCH(F$2,Inputs!$D$2:$AG$2,0)),Inputs!$B$4:$B$250,$B11)/1000)</f>
        <v>0.215</v>
      </c>
      <c r="G11" s="11">
        <f>IF(G$3=0,"",SUMIFS(INDEX(Inputs!$D$4:$AG$250,0,MATCH(G$2,Inputs!$D$2:$AG$2,0)),Inputs!$B$4:$B$250,$B11)/1000)</f>
        <v>0.379</v>
      </c>
      <c r="H11" s="12">
        <f>IF(COUNT(D11:G11)=4,SUM(D11:G11),"")</f>
        <v>0.724</v>
      </c>
      <c r="I11" s="11">
        <f>IF(I$3=0,"",SUMIFS(INDEX(Inputs!$D$4:$AG$250,0,MATCH(I$2,Inputs!$D$2:$AG$2,0)),Inputs!$B$4:$B$250,$B11)/1000)</f>
        <v>-0.001</v>
      </c>
      <c r="J11" s="11">
        <f>IF(J$3=0,"",SUMIFS(INDEX(Inputs!$D$4:$AG$250,0,MATCH(J$2,Inputs!$D$2:$AG$2,0)),Inputs!$B$4:$B$250,$B11)/1000)</f>
        <v>-5.637</v>
      </c>
      <c r="K11" s="11">
        <f>IF(K$3=0,"",SUMIFS(INDEX(Inputs!$D$4:$AG$250,0,MATCH(K$2,Inputs!$D$2:$AG$2,0)),Inputs!$B$4:$B$250,$B11)/1000)</f>
        <v>9.569</v>
      </c>
      <c r="L11" s="11">
        <f>IF(L$3=0,"",SUMIFS(INDEX(Inputs!$D$4:$AG$250,0,MATCH(L$2,Inputs!$D$2:$AG$2,0)),Inputs!$B$4:$B$250,$B11)/1000)</f>
        <v>3.789</v>
      </c>
      <c r="M11" s="12">
        <f>IF(COUNT(I11:L11)=4,SUM(I11:L11),"")</f>
        <v>7.72</v>
      </c>
      <c r="N11" s="11">
        <f>IF(N$3=0,"",SUMIFS(INDEX(Inputs!$D$4:$AG$250,0,MATCH(N$2,Inputs!$D$2:$AG$2,0)),Inputs!$B$4:$B$250,$B11)/1000)</f>
        <v>2.973</v>
      </c>
      <c r="O11" s="11">
        <f>IF(O$3=0,"",SUMIFS(INDEX(Inputs!$D$4:$AG$250,0,MATCH(O$2,Inputs!$D$2:$AG$2,0)),Inputs!$B$4:$B$250,$B11)/1000)</f>
        <v>3.062</v>
      </c>
      <c r="P11" s="11">
        <f>IF(P$3=0,"",SUMIFS(INDEX(Inputs!$D$4:$AG$250,0,MATCH(P$2,Inputs!$D$2:$AG$2,0)),Inputs!$B$4:$B$250,$B11)/1000)</f>
        <v>1.779</v>
      </c>
      <c r="Q11" s="11">
        <f>IF(Q$3=0,"",SUMIFS(INDEX(Inputs!$D$4:$AG$250,0,MATCH(Q$2,Inputs!$D$2:$AG$2,0)),Inputs!$B$4:$B$250,$B11)/1000)</f>
        <v>3.246</v>
      </c>
      <c r="R11" s="12">
        <f>IF(COUNT(N11:Q11)=4,SUM(N11:Q11),"")</f>
        <v>11.06</v>
      </c>
      <c r="S11" s="11">
        <f>IF(S$3=0,"",SUMIFS(INDEX(Inputs!$D$4:$AG$250,0,MATCH(S$2,Inputs!$D$2:$AG$2,0)),Inputs!$B$4:$B$250,$B11)/1000)</f>
        <v>4.47</v>
      </c>
      <c r="T11" s="11">
        <f>IF(T$3=0,"",SUMIFS(INDEX(Inputs!$D$4:$AG$250,0,MATCH(T$2,Inputs!$D$2:$AG$2,0)),Inputs!$B$4:$B$250,$B11)/1000)</f>
        <v>2.332</v>
      </c>
      <c r="U11" s="11">
        <f>IF(U$3=0,"",SUMIFS(INDEX(Inputs!$D$4:$AG$250,0,MATCH(U$2,Inputs!$D$2:$AG$2,0)),Inputs!$B$4:$B$250,$B11)/1000)</f>
        <v>5.237</v>
      </c>
      <c r="V11" s="11">
        <f>IF(V$3=0,"",SUMIFS(INDEX(Inputs!$D$4:$AG$250,0,MATCH(V$2,Inputs!$D$2:$AG$2,0)),Inputs!$B$4:$B$250,$B11)/1000)</f>
        <v>2.648</v>
      </c>
      <c r="W11" s="12">
        <f>IF(COUNT(S11:V11)=4,SUM(S11:V11),"")</f>
        <v>14.687</v>
      </c>
      <c r="X11" s="11">
        <f>IF(X$3=0,"",SUMIFS(INDEX(Inputs!$D$4:$AG$250,0,MATCH(X$2,Inputs!$D$2:$AG$2,0)),Inputs!$B$4:$B$250,$B11)/1000)</f>
        <v>4.179</v>
      </c>
      <c r="Y11" s="11">
        <f>IF(Y$3=0,"",SUMIFS(INDEX(Inputs!$D$4:$AG$250,0,MATCH(Y$2,Inputs!$D$2:$AG$2,0)),Inputs!$B$4:$B$250,$B11)/1000)</f>
        <v>1.578</v>
      </c>
      <c r="Z11" s="11">
        <f>IF(Z$3=0,"",SUMIFS(INDEX(Inputs!$D$4:$AG$250,0,MATCH(Z$2,Inputs!$D$2:$AG$2,0)),Inputs!$B$4:$B$250,$B11)/1000)</f>
        <v>1.024</v>
      </c>
      <c r="AA11" s="11">
        <f>IF(AA$3=0,"",SUMIFS(INDEX(Inputs!$D$4:$AG$250,0,MATCH(AA$2,Inputs!$D$2:$AG$2,0)),Inputs!$B$4:$B$250,$B11)/1000)</f>
        <v>0.034</v>
      </c>
      <c r="AB11" s="12">
        <f>IF(COUNT(X11:AA11)=4,SUM(X11:AA11),"")</f>
        <v>6.815</v>
      </c>
      <c r="AC11" s="11">
        <f>IF(AC$3=0,"",SUMIFS(INDEX(Inputs!$D$4:$AG$250,0,MATCH(AC$2,Inputs!$D$2:$AG$2,0)),Inputs!$B$4:$B$250,$B11)/1000)</f>
        <v>-0.461</v>
      </c>
      <c r="AD11" s="11">
        <f>IF(AD$3=0,"",SUMIFS(INDEX(Inputs!$D$4:$AG$250,0,MATCH(AD$2,Inputs!$D$2:$AG$2,0)),Inputs!$B$4:$B$250,$B11)/1000)</f>
        <v>-4.378</v>
      </c>
      <c r="AE11" s="11" t="str">
        <f>IF(AE$3=0,"",SUMIFS(INDEX(Inputs!$D$4:$AG$250,0,MATCH(AE$2,Inputs!$D$2:$AG$2,0)),Inputs!$B$4:$B$250,$B11)/1000)</f>
        <v/>
      </c>
      <c r="AF11" s="11" t="str">
        <f>IF(AF$3=0,"",SUMIFS(INDEX(Inputs!$D$4:$AG$250,0,MATCH(AF$2,Inputs!$D$2:$AG$2,0)),Inputs!$B$4:$B$250,$B11)/1000)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IF(D$3=0,"",SUMIFS(INDEX(Inputs!$D$4:$AG$250,0,MATCH(D$2,Inputs!$D$2:$AG$2,0)),Inputs!$B$4:$B$250,$B12)/1000)</f>
        <v>-1.054</v>
      </c>
      <c r="E12" s="11">
        <f>IF(E$3=0,"",SUMIFS(INDEX(Inputs!$D$4:$AG$250,0,MATCH(E$2,Inputs!$D$2:$AG$2,0)),Inputs!$B$4:$B$250,$B12)/1000)</f>
        <v>-0.988</v>
      </c>
      <c r="F12" s="11">
        <f>IF(F$3=0,"",SUMIFS(INDEX(Inputs!$D$4:$AG$250,0,MATCH(F$2,Inputs!$D$2:$AG$2,0)),Inputs!$B$4:$B$250,$B12)/1000)</f>
        <v>-0.859</v>
      </c>
      <c r="G12" s="11">
        <f>IF(G$3=0,"",SUMIFS(INDEX(Inputs!$D$4:$AG$250,0,MATCH(G$2,Inputs!$D$2:$AG$2,0)),Inputs!$B$4:$B$250,$B12)/1000)</f>
        <v>-3.618</v>
      </c>
      <c r="H12" s="12">
        <f>IF(COUNT(D12:G12)=4,SUM(D12:G12),"")</f>
        <v>-6.519</v>
      </c>
      <c r="I12" s="11">
        <f>IF(I$3=0,"",SUMIFS(INDEX(Inputs!$D$4:$AG$250,0,MATCH(I$2,Inputs!$D$2:$AG$2,0)),Inputs!$B$4:$B$250,$B12)/1000)</f>
        <v>-0.773</v>
      </c>
      <c r="J12" s="11">
        <f>IF(J$3=0,"",SUMIFS(INDEX(Inputs!$D$4:$AG$250,0,MATCH(J$2,Inputs!$D$2:$AG$2,0)),Inputs!$B$4:$B$250,$B12)/1000)</f>
        <v>-1.65</v>
      </c>
      <c r="K12" s="11">
        <f>IF(K$3=0,"",SUMIFS(INDEX(Inputs!$D$4:$AG$250,0,MATCH(K$2,Inputs!$D$2:$AG$2,0)),Inputs!$B$4:$B$250,$B12)/1000)</f>
        <v>-1.467</v>
      </c>
      <c r="L12" s="11">
        <f>IF(L$3=0,"",SUMIFS(INDEX(Inputs!$D$4:$AG$250,0,MATCH(L$2,Inputs!$D$2:$AG$2,0)),Inputs!$B$4:$B$250,$B12)/1000)</f>
        <v>-1.652</v>
      </c>
      <c r="M12" s="12">
        <f>IF(COUNT(I12:L12)=4,SUM(I12:L12),"")</f>
        <v>-5.542</v>
      </c>
      <c r="N12" s="11">
        <f>IF(N$3=0,"",SUMIFS(INDEX(Inputs!$D$4:$AG$250,0,MATCH(N$2,Inputs!$D$2:$AG$2,0)),Inputs!$B$4:$B$250,$B12)/1000)</f>
        <v>-1.893</v>
      </c>
      <c r="O12" s="11">
        <f>IF(O$3=0,"",SUMIFS(INDEX(Inputs!$D$4:$AG$250,0,MATCH(O$2,Inputs!$D$2:$AG$2,0)),Inputs!$B$4:$B$250,$B12)/1000)</f>
        <v>-2.298</v>
      </c>
      <c r="P12" s="11">
        <f>IF(P$3=0,"",SUMIFS(INDEX(Inputs!$D$4:$AG$250,0,MATCH(P$2,Inputs!$D$2:$AG$2,0)),Inputs!$B$4:$B$250,$B12)/1000)</f>
        <v>-2.043</v>
      </c>
      <c r="Q12" s="11">
        <f>IF(Q$3=0,"",SUMIFS(INDEX(Inputs!$D$4:$AG$250,0,MATCH(Q$2,Inputs!$D$2:$AG$2,0)),Inputs!$B$4:$B$250,$B12)/1000)</f>
        <v>-3.818</v>
      </c>
      <c r="R12" s="12">
        <f>IF(COUNT(N12:Q12)=4,SUM(N12:Q12),"")</f>
        <v>-10.052</v>
      </c>
      <c r="S12" s="11">
        <f>IF(S$3=0,"",SUMIFS(INDEX(Inputs!$D$4:$AG$250,0,MATCH(S$2,Inputs!$D$2:$AG$2,0)),Inputs!$B$4:$B$250,$B12)/1000)</f>
        <v>-4.651</v>
      </c>
      <c r="T12" s="11">
        <f>IF(T$3=0,"",SUMIFS(INDEX(Inputs!$D$4:$AG$250,0,MATCH(T$2,Inputs!$D$2:$AG$2,0)),Inputs!$B$4:$B$250,$B12)/1000)</f>
        <v>-2.353</v>
      </c>
      <c r="U12" s="11">
        <f>IF(U$3=0,"",SUMIFS(INDEX(Inputs!$D$4:$AG$250,0,MATCH(U$2,Inputs!$D$2:$AG$2,0)),Inputs!$B$4:$B$250,$B12)/1000)</f>
        <v>-4.172</v>
      </c>
      <c r="V12" s="11">
        <f>IF(V$3=0,"",SUMIFS(INDEX(Inputs!$D$4:$AG$250,0,MATCH(V$2,Inputs!$D$2:$AG$2,0)),Inputs!$B$4:$B$250,$B12)/1000)</f>
        <v>-2.403</v>
      </c>
      <c r="W12" s="12">
        <f>IF(COUNT(S12:V12)=4,SUM(S12:V12),"")</f>
        <v>-13.579</v>
      </c>
      <c r="X12" s="11">
        <f>IF(X$3=0,"",SUMIFS(INDEX(Inputs!$D$4:$AG$250,0,MATCH(X$2,Inputs!$D$2:$AG$2,0)),Inputs!$B$4:$B$250,$B12)/1000)</f>
        <v>-2.765</v>
      </c>
      <c r="Y12" s="11">
        <f>IF(Y$3=0,"",SUMIFS(INDEX(Inputs!$D$4:$AG$250,0,MATCH(Y$2,Inputs!$D$2:$AG$2,0)),Inputs!$B$4:$B$250,$B12)/1000)</f>
        <v>-2.911</v>
      </c>
      <c r="Z12" s="11">
        <f>IF(Z$3=0,"",SUMIFS(INDEX(Inputs!$D$4:$AG$250,0,MATCH(Z$2,Inputs!$D$2:$AG$2,0)),Inputs!$B$4:$B$250,$B12)/1000)</f>
        <v>-4.054</v>
      </c>
      <c r="AA12" s="11">
        <f>IF(AA$3=0,"",SUMIFS(INDEX(Inputs!$D$4:$AG$250,0,MATCH(AA$2,Inputs!$D$2:$AG$2,0)),Inputs!$B$4:$B$250,$B12)/1000)</f>
        <v>-4.09</v>
      </c>
      <c r="AB12" s="12">
        <f>IF(COUNT(X12:AA12)=4,SUM(X12:AA12),"")</f>
        <v>-13.82</v>
      </c>
      <c r="AC12" s="11">
        <f>IF(AC$3=0,"",SUMIFS(INDEX(Inputs!$D$4:$AG$250,0,MATCH(AC$2,Inputs!$D$2:$AG$2,0)),Inputs!$B$4:$B$250,$B12)/1000)</f>
        <v>-3.838</v>
      </c>
      <c r="AD12" s="11">
        <f>IF(AD$3=0,"",SUMIFS(INDEX(Inputs!$D$4:$AG$250,0,MATCH(AD$2,Inputs!$D$2:$AG$2,0)),Inputs!$B$4:$B$250,$B12)/1000)</f>
        <v>-17.498</v>
      </c>
      <c r="AE12" s="11" t="str">
        <f>IF(AE$3=0,"",SUMIFS(INDEX(Inputs!$D$4:$AG$250,0,MATCH(AE$2,Inputs!$D$2:$AG$2,0)),Inputs!$B$4:$B$250,$B12)/1000)</f>
        <v/>
      </c>
      <c r="AF12" s="11" t="str">
        <f>IF(AF$3=0,"",SUMIFS(INDEX(Inputs!$D$4:$AG$250,0,MATCH(AF$2,Inputs!$D$2:$AG$2,0)),Inputs!$B$4:$B$250,$B12)/1000)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IF(D$3=0,"",SUMIFS(INDEX(Inputs!$D$4:$AG$250,0,MATCH(D$2,Inputs!$D$2:$AG$2,0)),Inputs!$B$4:$B$250,$B13)/1000)</f>
        <v>0</v>
      </c>
      <c r="E13" s="11">
        <f>IF(E$3=0,"",SUMIFS(INDEX(Inputs!$D$4:$AG$250,0,MATCH(E$2,Inputs!$D$2:$AG$2,0)),Inputs!$B$4:$B$250,$B13)/1000)</f>
        <v>0</v>
      </c>
      <c r="F13" s="11">
        <f>IF(F$3=0,"",SUMIFS(INDEX(Inputs!$D$4:$AG$250,0,MATCH(F$2,Inputs!$D$2:$AG$2,0)),Inputs!$B$4:$B$250,$B13)/1000)</f>
        <v>0</v>
      </c>
      <c r="G13" s="11">
        <f>IF(G$3=0,"",SUMIFS(INDEX(Inputs!$D$4:$AG$250,0,MATCH(G$2,Inputs!$D$2:$AG$2,0)),Inputs!$B$4:$B$250,$B13)/1000)</f>
        <v>0</v>
      </c>
      <c r="H13" s="12">
        <f>IF(COUNT(D13:G13)=4,SUM(D13:G13),"")</f>
        <v>0</v>
      </c>
      <c r="I13" s="11">
        <f>IF(I$3=0,"",SUMIFS(INDEX(Inputs!$D$4:$AG$250,0,MATCH(I$2,Inputs!$D$2:$AG$2,0)),Inputs!$B$4:$B$250,$B13)/1000)</f>
        <v>0</v>
      </c>
      <c r="J13" s="11">
        <f>IF(J$3=0,"",SUMIFS(INDEX(Inputs!$D$4:$AG$250,0,MATCH(J$2,Inputs!$D$2:$AG$2,0)),Inputs!$B$4:$B$250,$B13)/1000)</f>
        <v>0</v>
      </c>
      <c r="K13" s="11">
        <f>IF(K$3=0,"",SUMIFS(INDEX(Inputs!$D$4:$AG$250,0,MATCH(K$2,Inputs!$D$2:$AG$2,0)),Inputs!$B$4:$B$250,$B13)/1000)</f>
        <v>0</v>
      </c>
      <c r="L13" s="11">
        <f>IF(L$3=0,"",SUMIFS(INDEX(Inputs!$D$4:$AG$250,0,MATCH(L$2,Inputs!$D$2:$AG$2,0)),Inputs!$B$4:$B$250,$B13)/1000)</f>
        <v>0</v>
      </c>
      <c r="M13" s="12">
        <f>IF(COUNT(I13:L13)=4,SUM(I13:L13),"")</f>
        <v>0</v>
      </c>
      <c r="N13" s="11">
        <f>IF(N$3=0,"",SUMIFS(INDEX(Inputs!$D$4:$AG$250,0,MATCH(N$2,Inputs!$D$2:$AG$2,0)),Inputs!$B$4:$B$250,$B13)/1000)</f>
        <v>0</v>
      </c>
      <c r="O13" s="11">
        <f>IF(O$3=0,"",SUMIFS(INDEX(Inputs!$D$4:$AG$250,0,MATCH(O$2,Inputs!$D$2:$AG$2,0)),Inputs!$B$4:$B$250,$B13)/1000)</f>
        <v>0</v>
      </c>
      <c r="P13" s="11">
        <f>IF(P$3=0,"",SUMIFS(INDEX(Inputs!$D$4:$AG$250,0,MATCH(P$2,Inputs!$D$2:$AG$2,0)),Inputs!$B$4:$B$250,$B13)/1000)</f>
        <v>0</v>
      </c>
      <c r="Q13" s="11">
        <f>IF(Q$3=0,"",SUMIFS(INDEX(Inputs!$D$4:$AG$250,0,MATCH(Q$2,Inputs!$D$2:$AG$2,0)),Inputs!$B$4:$B$250,$B13)/1000)</f>
        <v>0</v>
      </c>
      <c r="R13" s="12">
        <f>IF(COUNT(N13:Q13)=4,SUM(N13:Q13),"")</f>
        <v>0</v>
      </c>
      <c r="S13" s="11">
        <f>IF(S$3=0,"",SUMIFS(INDEX(Inputs!$D$4:$AG$250,0,MATCH(S$2,Inputs!$D$2:$AG$2,0)),Inputs!$B$4:$B$250,$B13)/1000)</f>
        <v>0</v>
      </c>
      <c r="T13" s="11">
        <f>IF(T$3=0,"",SUMIFS(INDEX(Inputs!$D$4:$AG$250,0,MATCH(T$2,Inputs!$D$2:$AG$2,0)),Inputs!$B$4:$B$250,$B13)/1000)</f>
        <v>0</v>
      </c>
      <c r="U13" s="11">
        <f>IF(U$3=0,"",SUMIFS(INDEX(Inputs!$D$4:$AG$250,0,MATCH(U$2,Inputs!$D$2:$AG$2,0)),Inputs!$B$4:$B$250,$B13)/1000)</f>
        <v>0</v>
      </c>
      <c r="V13" s="11">
        <f>IF(V$3=0,"",SUMIFS(INDEX(Inputs!$D$4:$AG$250,0,MATCH(V$2,Inputs!$D$2:$AG$2,0)),Inputs!$B$4:$B$250,$B13)/1000)</f>
        <v>0</v>
      </c>
      <c r="W13" s="12">
        <f>IF(COUNT(S13:V13)=4,SUM(S13:V13),"")</f>
        <v>0</v>
      </c>
      <c r="X13" s="11">
        <f>IF(X$3=0,"",SUMIFS(INDEX(Inputs!$D$4:$AG$250,0,MATCH(X$2,Inputs!$D$2:$AG$2,0)),Inputs!$B$4:$B$250,$B13)/1000)</f>
        <v>0</v>
      </c>
      <c r="Y13" s="11">
        <f>IF(Y$3=0,"",SUMIFS(INDEX(Inputs!$D$4:$AG$250,0,MATCH(Y$2,Inputs!$D$2:$AG$2,0)),Inputs!$B$4:$B$250,$B13)/1000)</f>
        <v>0</v>
      </c>
      <c r="Z13" s="11">
        <f>IF(Z$3=0,"",SUMIFS(INDEX(Inputs!$D$4:$AG$250,0,MATCH(Z$2,Inputs!$D$2:$AG$2,0)),Inputs!$B$4:$B$250,$B13)/1000)</f>
        <v>0</v>
      </c>
      <c r="AA13" s="11">
        <f>IF(AA$3=0,"",SUMIFS(INDEX(Inputs!$D$4:$AG$250,0,MATCH(AA$2,Inputs!$D$2:$AG$2,0)),Inputs!$B$4:$B$250,$B13)/1000)</f>
        <v>0</v>
      </c>
      <c r="AB13" s="12">
        <f>IF(COUNT(X13:AA13)=4,SUM(X13:AA13),"")</f>
        <v>0</v>
      </c>
      <c r="AC13" s="11">
        <f>IF(AC$3=0,"",SUMIFS(INDEX(Inputs!$D$4:$AG$250,0,MATCH(AC$2,Inputs!$D$2:$AG$2,0)),Inputs!$B$4:$B$250,$B13)/1000)</f>
        <v>0</v>
      </c>
      <c r="AD13" s="11">
        <f>IF(AD$3=0,"",SUMIFS(INDEX(Inputs!$D$4:$AG$250,0,MATCH(AD$2,Inputs!$D$2:$AG$2,0)),Inputs!$B$4:$B$250,$B13)/1000)</f>
        <v>0</v>
      </c>
      <c r="AE13" s="11" t="str">
        <f>IF(AE$3=0,"",SUMIFS(INDEX(Inputs!$D$4:$AG$250,0,MATCH(AE$2,Inputs!$D$2:$AG$2,0)),Inputs!$B$4:$B$250,$B13)/1000)</f>
        <v/>
      </c>
      <c r="AF13" s="11" t="str">
        <f>IF(AF$3=0,"",SUMIFS(INDEX(Inputs!$D$4:$AG$250,0,MATCH(AF$2,Inputs!$D$2:$AG$2,0)),Inputs!$B$4:$B$250,$B13)/1000)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IF(D$3=0,"",SUMIFS(INDEX(Inputs!$D$4:$AG$250,0,MATCH(D$2,Inputs!$D$2:$AG$2,0)),Inputs!$B$4:$B$250,$B15)/1000)</f>
        <v>351.55</v>
      </c>
      <c r="E15" s="11">
        <f>IF(E$3=0,"",SUMIFS(INDEX(Inputs!$D$4:$AG$250,0,MATCH(E$2,Inputs!$D$2:$AG$2,0)),Inputs!$B$4:$B$250,$B15)/1000)</f>
        <v>265.616</v>
      </c>
      <c r="F15" s="11">
        <f>IF(F$3=0,"",SUMIFS(INDEX(Inputs!$D$4:$AG$250,0,MATCH(F$2,Inputs!$D$2:$AG$2,0)),Inputs!$B$4:$B$250,$B15)/1000)</f>
        <v>210.74</v>
      </c>
      <c r="G15" s="11">
        <f>IF(G$3=0,"",SUMIFS(INDEX(Inputs!$D$4:$AG$250,0,MATCH(G$2,Inputs!$D$2:$AG$2,0)),Inputs!$B$4:$B$250,$B15)/1000)</f>
        <v>401.375</v>
      </c>
      <c r="H15" s="12">
        <f>IF(G15="","",G15)</f>
        <v>401.375</v>
      </c>
      <c r="I15" s="11">
        <f>IF(I$3=0,"",SUMIFS(INDEX(Inputs!$D$4:$AG$250,0,MATCH(I$2,Inputs!$D$2:$AG$2,0)),Inputs!$B$4:$B$250,$B15)/1000)</f>
        <v>274.885</v>
      </c>
      <c r="J15" s="11">
        <f>IF(J$3=0,"",SUMIFS(INDEX(Inputs!$D$4:$AG$250,0,MATCH(J$2,Inputs!$D$2:$AG$2,0)),Inputs!$B$4:$B$250,$B15)/1000)</f>
        <v>61.846</v>
      </c>
      <c r="K15" s="11">
        <f>IF(K$3=0,"",SUMIFS(INDEX(Inputs!$D$4:$AG$250,0,MATCH(K$2,Inputs!$D$2:$AG$2,0)),Inputs!$B$4:$B$250,$B15)/1000)</f>
        <v>46.907</v>
      </c>
      <c r="L15" s="11">
        <f>IF(L$3=0,"",SUMIFS(INDEX(Inputs!$D$4:$AG$250,0,MATCH(L$2,Inputs!$D$2:$AG$2,0)),Inputs!$B$4:$B$250,$B15)/1000)</f>
        <v>240.797</v>
      </c>
      <c r="M15" s="12">
        <f>IF(L15="","",L15)</f>
        <v>240.797</v>
      </c>
      <c r="N15" s="11">
        <f>IF(N$3=0,"",SUMIFS(INDEX(Inputs!$D$4:$AG$250,0,MATCH(N$2,Inputs!$D$2:$AG$2,0)),Inputs!$B$4:$B$250,$B15)/1000)</f>
        <v>192.927</v>
      </c>
      <c r="O15" s="11">
        <f>IF(O$3=0,"",SUMIFS(INDEX(Inputs!$D$4:$AG$250,0,MATCH(O$2,Inputs!$D$2:$AG$2,0)),Inputs!$B$4:$B$250,$B15)/1000)</f>
        <v>217.733</v>
      </c>
      <c r="P15" s="11">
        <f>IF(P$3=0,"",SUMIFS(INDEX(Inputs!$D$4:$AG$250,0,MATCH(P$2,Inputs!$D$2:$AG$2,0)),Inputs!$B$4:$B$250,$B15)/1000)</f>
        <v>263.359</v>
      </c>
      <c r="Q15" s="11">
        <f>IF(Q$3=0,"",SUMIFS(INDEX(Inputs!$D$4:$AG$250,0,MATCH(Q$2,Inputs!$D$2:$AG$2,0)),Inputs!$B$4:$B$250,$B15)/1000)</f>
        <v>323.034</v>
      </c>
      <c r="R15" s="12">
        <f>IF(Q15="","",Q15)</f>
        <v>323.034</v>
      </c>
      <c r="S15" s="11">
        <f>IF(S$3=0,"",SUMIFS(INDEX(Inputs!$D$4:$AG$250,0,MATCH(S$2,Inputs!$D$2:$AG$2,0)),Inputs!$B$4:$B$250,$B15)/1000)</f>
        <v>272.932</v>
      </c>
      <c r="T15" s="11">
        <f>IF(T$3=0,"",SUMIFS(INDEX(Inputs!$D$4:$AG$250,0,MATCH(T$2,Inputs!$D$2:$AG$2,0)),Inputs!$B$4:$B$250,$B15)/1000)</f>
        <v>309.587</v>
      </c>
      <c r="U15" s="11">
        <f>IF(U$3=0,"",SUMIFS(INDEX(Inputs!$D$4:$AG$250,0,MATCH(U$2,Inputs!$D$2:$AG$2,0)),Inputs!$B$4:$B$250,$B15)/1000)</f>
        <v>794.179</v>
      </c>
      <c r="V15" s="11">
        <f>IF(V$3=0,"",SUMIFS(INDEX(Inputs!$D$4:$AG$250,0,MATCH(V$2,Inputs!$D$2:$AG$2,0)),Inputs!$B$4:$B$250,$B15)/1000)</f>
        <v>601.823</v>
      </c>
      <c r="W15" s="12">
        <f>IF(V15="","",V15)</f>
        <v>601.823</v>
      </c>
      <c r="X15" s="11">
        <f>IF(X$3=0,"",SUMIFS(INDEX(Inputs!$D$4:$AG$250,0,MATCH(X$2,Inputs!$D$2:$AG$2,0)),Inputs!$B$4:$B$250,$B15)/1000)</f>
        <v>549.637</v>
      </c>
      <c r="Y15" s="11">
        <f>IF(Y$3=0,"",SUMIFS(INDEX(Inputs!$D$4:$AG$250,0,MATCH(Y$2,Inputs!$D$2:$AG$2,0)),Inputs!$B$4:$B$250,$B15)/1000)</f>
        <v>1012.91</v>
      </c>
      <c r="Z15" s="11">
        <f>IF(Z$3=0,"",SUMIFS(INDEX(Inputs!$D$4:$AG$250,0,MATCH(Z$2,Inputs!$D$2:$AG$2,0)),Inputs!$B$4:$B$250,$B15)/1000)</f>
        <v>1058.856</v>
      </c>
      <c r="AA15" s="11">
        <f>IF(AA$3=0,"",SUMIFS(INDEX(Inputs!$D$4:$AG$250,0,MATCH(AA$2,Inputs!$D$2:$AG$2,0)),Inputs!$B$4:$B$250,$B15)/1000)</f>
        <v>922.369</v>
      </c>
      <c r="AB15" s="12">
        <f>IF(AA15="","",AA15)</f>
        <v>922.369</v>
      </c>
      <c r="AC15" s="11">
        <f>IF(AC$3=0,"",SUMIFS(INDEX(Inputs!$D$4:$AG$250,0,MATCH(AC$2,Inputs!$D$2:$AG$2,0)),Inputs!$B$4:$B$250,$B15)/1000)</f>
        <v>870.114</v>
      </c>
      <c r="AD15" s="11">
        <f>IF(AD$3=0,"",SUMIFS(INDEX(Inputs!$D$4:$AG$250,0,MATCH(AD$2,Inputs!$D$2:$AG$2,0)),Inputs!$B$4:$B$250,$B15)/1000)</f>
        <v>1544.303</v>
      </c>
      <c r="AE15" s="11" t="str">
        <f>IF(AE$3=0,"",SUMIFS(INDEX(Inputs!$D$4:$AG$250,0,MATCH(AE$2,Inputs!$D$2:$AG$2,0)),Inputs!$B$4:$B$250,$B15)/1000)</f>
        <v/>
      </c>
      <c r="AF15" s="11" t="str">
        <f>IF(AF$3=0,"",SUMIFS(INDEX(Inputs!$D$4:$AG$250,0,MATCH(AF$2,Inputs!$D$2:$AG$2,0)),Inputs!$B$4:$B$250,$B15)/1000)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IF(D$3=0,"",SUMIFS(INDEX(Inputs!$D$4:$AG$250,0,MATCH(D$2,Inputs!$D$2:$AG$2,0)),Inputs!$B$4:$B$250,$B16)/1000)</f>
        <v>129.652</v>
      </c>
      <c r="E16" s="11">
        <f>IF(E$3=0,"",SUMIFS(INDEX(Inputs!$D$4:$AG$250,0,MATCH(E$2,Inputs!$D$2:$AG$2,0)),Inputs!$B$4:$B$250,$B16)/1000)</f>
        <v>147.827</v>
      </c>
      <c r="F16" s="11">
        <f>IF(F$3=0,"",SUMIFS(INDEX(Inputs!$D$4:$AG$250,0,MATCH(F$2,Inputs!$D$2:$AG$2,0)),Inputs!$B$4:$B$250,$B16)/1000)</f>
        <v>131.016</v>
      </c>
      <c r="G16" s="11">
        <f>IF(G$3=0,"",SUMIFS(INDEX(Inputs!$D$4:$AG$250,0,MATCH(G$2,Inputs!$D$2:$AG$2,0)),Inputs!$B$4:$B$250,$B16)/1000)</f>
        <v>163.362</v>
      </c>
      <c r="H16" s="12">
        <f>IF(G16="","",G16)</f>
        <v>163.362</v>
      </c>
      <c r="I16" s="11">
        <f>IF(I$3=0,"",SUMIFS(INDEX(Inputs!$D$4:$AG$250,0,MATCH(I$2,Inputs!$D$2:$AG$2,0)),Inputs!$B$4:$B$250,$B16)/1000)</f>
        <v>166.673</v>
      </c>
      <c r="J16" s="11">
        <f>IF(J$3=0,"",SUMIFS(INDEX(Inputs!$D$4:$AG$250,0,MATCH(J$2,Inputs!$D$2:$AG$2,0)),Inputs!$B$4:$B$250,$B16)/1000)</f>
        <v>249.356</v>
      </c>
      <c r="K16" s="11">
        <f>IF(K$3=0,"",SUMIFS(INDEX(Inputs!$D$4:$AG$250,0,MATCH(K$2,Inputs!$D$2:$AG$2,0)),Inputs!$B$4:$B$250,$B16)/1000)</f>
        <v>284.134</v>
      </c>
      <c r="L16" s="11">
        <f>IF(L$3=0,"",SUMIFS(INDEX(Inputs!$D$4:$AG$250,0,MATCH(L$2,Inputs!$D$2:$AG$2,0)),Inputs!$B$4:$B$250,$B16)/1000)</f>
        <v>258.897</v>
      </c>
      <c r="M16" s="12">
        <f>IF(L16="","",L16)</f>
        <v>258.897</v>
      </c>
      <c r="N16" s="11">
        <f>IF(N$3=0,"",SUMIFS(INDEX(Inputs!$D$4:$AG$250,0,MATCH(N$2,Inputs!$D$2:$AG$2,0)),Inputs!$B$4:$B$250,$B16)/1000)</f>
        <v>242.769</v>
      </c>
      <c r="O16" s="11">
        <f>IF(O$3=0,"",SUMIFS(INDEX(Inputs!$D$4:$AG$250,0,MATCH(O$2,Inputs!$D$2:$AG$2,0)),Inputs!$B$4:$B$250,$B16)/1000)</f>
        <v>216.24</v>
      </c>
      <c r="P16" s="11">
        <f>IF(P$3=0,"",SUMIFS(INDEX(Inputs!$D$4:$AG$250,0,MATCH(P$2,Inputs!$D$2:$AG$2,0)),Inputs!$B$4:$B$250,$B16)/1000)</f>
        <v>236.505</v>
      </c>
      <c r="Q16" s="11">
        <f>IF(Q$3=0,"",SUMIFS(INDEX(Inputs!$D$4:$AG$250,0,MATCH(Q$2,Inputs!$D$2:$AG$2,0)),Inputs!$B$4:$B$250,$B16)/1000)</f>
        <v>184.168</v>
      </c>
      <c r="R16" s="12">
        <f>IF(Q16="","",Q16)</f>
        <v>184.168</v>
      </c>
      <c r="S16" s="11">
        <f>IF(S$3=0,"",SUMIFS(INDEX(Inputs!$D$4:$AG$250,0,MATCH(S$2,Inputs!$D$2:$AG$2,0)),Inputs!$B$4:$B$250,$B16)/1000)</f>
        <v>207.49</v>
      </c>
      <c r="T16" s="11">
        <f>IF(T$3=0,"",SUMIFS(INDEX(Inputs!$D$4:$AG$250,0,MATCH(T$2,Inputs!$D$2:$AG$2,0)),Inputs!$B$4:$B$250,$B16)/1000)</f>
        <v>209.745</v>
      </c>
      <c r="U16" s="11">
        <f>IF(U$3=0,"",SUMIFS(INDEX(Inputs!$D$4:$AG$250,0,MATCH(U$2,Inputs!$D$2:$AG$2,0)),Inputs!$B$4:$B$250,$B16)/1000)</f>
        <v>212.121</v>
      </c>
      <c r="V16" s="11">
        <f>IF(V$3=0,"",SUMIFS(INDEX(Inputs!$D$4:$AG$250,0,MATCH(V$2,Inputs!$D$2:$AG$2,0)),Inputs!$B$4:$B$250,$B16)/1000)</f>
        <v>194.288</v>
      </c>
      <c r="W16" s="12">
        <f>IF(V16="","",V16)</f>
        <v>194.288</v>
      </c>
      <c r="X16" s="11">
        <f>IF(X$3=0,"",SUMIFS(INDEX(Inputs!$D$4:$AG$250,0,MATCH(X$2,Inputs!$D$2:$AG$2,0)),Inputs!$B$4:$B$250,$B16)/1000)</f>
        <v>210.775</v>
      </c>
      <c r="Y16" s="11">
        <f>IF(Y$3=0,"",SUMIFS(INDEX(Inputs!$D$4:$AG$250,0,MATCH(Y$2,Inputs!$D$2:$AG$2,0)),Inputs!$B$4:$B$250,$B16)/1000)</f>
        <v>229.449</v>
      </c>
      <c r="Z16" s="11">
        <f>IF(Z$3=0,"",SUMIFS(INDEX(Inputs!$D$4:$AG$250,0,MATCH(Z$2,Inputs!$D$2:$AG$2,0)),Inputs!$B$4:$B$250,$B16)/1000)</f>
        <v>261.497</v>
      </c>
      <c r="AA16" s="11">
        <f>IF(AA$3=0,"",SUMIFS(INDEX(Inputs!$D$4:$AG$250,0,MATCH(AA$2,Inputs!$D$2:$AG$2,0)),Inputs!$B$4:$B$250,$B16)/1000)</f>
        <v>281.694</v>
      </c>
      <c r="AB16" s="12">
        <f>IF(AA16="","",AA16)</f>
        <v>281.694</v>
      </c>
      <c r="AC16" s="11">
        <f>IF(AC$3=0,"",SUMIFS(INDEX(Inputs!$D$4:$AG$250,0,MATCH(AC$2,Inputs!$D$2:$AG$2,0)),Inputs!$B$4:$B$250,$B16)/1000)</f>
        <v>311.671</v>
      </c>
      <c r="AD16" s="11">
        <f>IF(AD$3=0,"",SUMIFS(INDEX(Inputs!$D$4:$AG$250,0,MATCH(AD$2,Inputs!$D$2:$AG$2,0)),Inputs!$B$4:$B$250,$B16)/1000)</f>
        <v>822.886</v>
      </c>
      <c r="AE16" s="11" t="str">
        <f>IF(AE$3=0,"",SUMIFS(INDEX(Inputs!$D$4:$AG$250,0,MATCH(AE$2,Inputs!$D$2:$AG$2,0)),Inputs!$B$4:$B$250,$B16)/1000)</f>
        <v/>
      </c>
      <c r="AF16" s="11" t="str">
        <f>IF(AF$3=0,"",SUMIFS(INDEX(Inputs!$D$4:$AG$250,0,MATCH(AF$2,Inputs!$D$2:$AG$2,0)),Inputs!$B$4:$B$250,$B16)/1000)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IF(D$3=0,"",SUMIFS(INDEX(Inputs!$D$4:$AG$250,0,MATCH(D$2,Inputs!$D$2:$AG$2,0)),Inputs!$B$4:$B$250,$B17)/1000)</f>
        <v>0</v>
      </c>
      <c r="E17" s="11">
        <f>IF(E$3=0,"",SUMIFS(INDEX(Inputs!$D$4:$AG$250,0,MATCH(E$2,Inputs!$D$2:$AG$2,0)),Inputs!$B$4:$B$250,$B17)/1000)</f>
        <v>0</v>
      </c>
      <c r="F17" s="11">
        <f>IF(F$3=0,"",SUMIFS(INDEX(Inputs!$D$4:$AG$250,0,MATCH(F$2,Inputs!$D$2:$AG$2,0)),Inputs!$B$4:$B$250,$B17)/1000)</f>
        <v>0</v>
      </c>
      <c r="G17" s="11">
        <f>IF(G$3=0,"",SUMIFS(INDEX(Inputs!$D$4:$AG$250,0,MATCH(G$2,Inputs!$D$2:$AG$2,0)),Inputs!$B$4:$B$250,$B17)/1000)</f>
        <v>0</v>
      </c>
      <c r="H17" s="12">
        <f>IF(G17="","",G17)</f>
        <v>0</v>
      </c>
      <c r="I17" s="11">
        <f>IF(I$3=0,"",SUMIFS(INDEX(Inputs!$D$4:$AG$250,0,MATCH(I$2,Inputs!$D$2:$AG$2,0)),Inputs!$B$4:$B$250,$B17)/1000)</f>
        <v>0</v>
      </c>
      <c r="J17" s="11">
        <f>IF(J$3=0,"",SUMIFS(INDEX(Inputs!$D$4:$AG$250,0,MATCH(J$2,Inputs!$D$2:$AG$2,0)),Inputs!$B$4:$B$250,$B17)/1000)</f>
        <v>0</v>
      </c>
      <c r="K17" s="11">
        <f>IF(K$3=0,"",SUMIFS(INDEX(Inputs!$D$4:$AG$250,0,MATCH(K$2,Inputs!$D$2:$AG$2,0)),Inputs!$B$4:$B$250,$B17)/1000)</f>
        <v>0</v>
      </c>
      <c r="L17" s="11">
        <f>IF(L$3=0,"",SUMIFS(INDEX(Inputs!$D$4:$AG$250,0,MATCH(L$2,Inputs!$D$2:$AG$2,0)),Inputs!$B$4:$B$250,$B17)/1000)</f>
        <v>0</v>
      </c>
      <c r="M17" s="12">
        <f>IF(L17="","",L17)</f>
        <v>0</v>
      </c>
      <c r="N17" s="11">
        <f>IF(N$3=0,"",SUMIFS(INDEX(Inputs!$D$4:$AG$250,0,MATCH(N$2,Inputs!$D$2:$AG$2,0)),Inputs!$B$4:$B$250,$B17)/1000)</f>
        <v>0</v>
      </c>
      <c r="O17" s="11">
        <f>IF(O$3=0,"",SUMIFS(INDEX(Inputs!$D$4:$AG$250,0,MATCH(O$2,Inputs!$D$2:$AG$2,0)),Inputs!$B$4:$B$250,$B17)/1000)</f>
        <v>0</v>
      </c>
      <c r="P17" s="11">
        <f>IF(P$3=0,"",SUMIFS(INDEX(Inputs!$D$4:$AG$250,0,MATCH(P$2,Inputs!$D$2:$AG$2,0)),Inputs!$B$4:$B$250,$B17)/1000)</f>
        <v>0</v>
      </c>
      <c r="Q17" s="11">
        <f>IF(Q$3=0,"",SUMIFS(INDEX(Inputs!$D$4:$AG$250,0,MATCH(Q$2,Inputs!$D$2:$AG$2,0)),Inputs!$B$4:$B$250,$B17)/1000)</f>
        <v>0</v>
      </c>
      <c r="R17" s="12">
        <f>IF(Q17="","",Q17)</f>
        <v>0</v>
      </c>
      <c r="S17" s="11">
        <f>IF(S$3=0,"",SUMIFS(INDEX(Inputs!$D$4:$AG$250,0,MATCH(S$2,Inputs!$D$2:$AG$2,0)),Inputs!$B$4:$B$250,$B17)/1000)</f>
        <v>0</v>
      </c>
      <c r="T17" s="11">
        <f>IF(T$3=0,"",SUMIFS(INDEX(Inputs!$D$4:$AG$250,0,MATCH(T$2,Inputs!$D$2:$AG$2,0)),Inputs!$B$4:$B$250,$B17)/1000)</f>
        <v>0</v>
      </c>
      <c r="U17" s="11">
        <f>IF(U$3=0,"",SUMIFS(INDEX(Inputs!$D$4:$AG$250,0,MATCH(U$2,Inputs!$D$2:$AG$2,0)),Inputs!$B$4:$B$250,$B17)/1000)</f>
        <v>0</v>
      </c>
      <c r="V17" s="11">
        <f>IF(V$3=0,"",SUMIFS(INDEX(Inputs!$D$4:$AG$250,0,MATCH(V$2,Inputs!$D$2:$AG$2,0)),Inputs!$B$4:$B$250,$B17)/1000)</f>
        <v>0</v>
      </c>
      <c r="W17" s="12">
        <f>IF(V17="","",V17)</f>
        <v>0</v>
      </c>
      <c r="X17" s="11">
        <f>IF(X$3=0,"",SUMIFS(INDEX(Inputs!$D$4:$AG$250,0,MATCH(X$2,Inputs!$D$2:$AG$2,0)),Inputs!$B$4:$B$250,$B17)/1000)</f>
        <v>0</v>
      </c>
      <c r="Y17" s="11">
        <f>IF(Y$3=0,"",SUMIFS(INDEX(Inputs!$D$4:$AG$250,0,MATCH(Y$2,Inputs!$D$2:$AG$2,0)),Inputs!$B$4:$B$250,$B17)/1000)</f>
        <v>0</v>
      </c>
      <c r="Z17" s="11">
        <f>IF(Z$3=0,"",SUMIFS(INDEX(Inputs!$D$4:$AG$250,0,MATCH(Z$2,Inputs!$D$2:$AG$2,0)),Inputs!$B$4:$B$250,$B17)/1000)</f>
        <v>0</v>
      </c>
      <c r="AA17" s="11">
        <f>IF(AA$3=0,"",SUMIFS(INDEX(Inputs!$D$4:$AG$250,0,MATCH(AA$2,Inputs!$D$2:$AG$2,0)),Inputs!$B$4:$B$250,$B17)/1000)</f>
        <v>0</v>
      </c>
      <c r="AB17" s="12">
        <f>IF(AA17="","",AA17)</f>
        <v>0</v>
      </c>
      <c r="AC17" s="11">
        <f>IF(AC$3=0,"",SUMIFS(INDEX(Inputs!$D$4:$AG$250,0,MATCH(AC$2,Inputs!$D$2:$AG$2,0)),Inputs!$B$4:$B$250,$B17)/1000)</f>
        <v>0</v>
      </c>
      <c r="AD17" s="11">
        <f>IF(AD$3=0,"",SUMIFS(INDEX(Inputs!$D$4:$AG$250,0,MATCH(AD$2,Inputs!$D$2:$AG$2,0)),Inputs!$B$4:$B$250,$B17)/1000)</f>
        <v>0</v>
      </c>
      <c r="AE17" s="11" t="str">
        <f>IF(AE$3=0,"",SUMIFS(INDEX(Inputs!$D$4:$AG$250,0,MATCH(AE$2,Inputs!$D$2:$AG$2,0)),Inputs!$B$4:$B$250,$B17)/1000)</f>
        <v/>
      </c>
      <c r="AF17" s="11" t="str">
        <f>IF(AF$3=0,"",SUMIFS(INDEX(Inputs!$D$4:$AG$250,0,MATCH(AF$2,Inputs!$D$2:$AG$2,0)),Inputs!$B$4:$B$250,$B17)/1000)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IF(D$3=0,"",SUMIFS(INDEX(Inputs!$D$4:$AG$250,0,MATCH(D$2,Inputs!$D$2:$AG$2,0)),Inputs!$B$4:$B$250,$B18)/1000)</f>
        <v>77.555</v>
      </c>
      <c r="E18" s="11">
        <f>IF(E$3=0,"",SUMIFS(INDEX(Inputs!$D$4:$AG$250,0,MATCH(E$2,Inputs!$D$2:$AG$2,0)),Inputs!$B$4:$B$250,$B18)/1000)</f>
        <v>77.455</v>
      </c>
      <c r="F18" s="11">
        <f>IF(F$3=0,"",SUMIFS(INDEX(Inputs!$D$4:$AG$250,0,MATCH(F$2,Inputs!$D$2:$AG$2,0)),Inputs!$B$4:$B$250,$B18)/1000)</f>
        <v>79.154</v>
      </c>
      <c r="G18" s="11">
        <f>IF(G$3=0,"",SUMIFS(INDEX(Inputs!$D$4:$AG$250,0,MATCH(G$2,Inputs!$D$2:$AG$2,0)),Inputs!$B$4:$B$250,$B18)/1000)</f>
        <v>69.563</v>
      </c>
      <c r="H18" s="12">
        <f>IF(G18="","",G18)</f>
        <v>69.563</v>
      </c>
      <c r="I18" s="11">
        <f>IF(I$3=0,"",SUMIFS(INDEX(Inputs!$D$4:$AG$250,0,MATCH(I$2,Inputs!$D$2:$AG$2,0)),Inputs!$B$4:$B$250,$B18)/1000)</f>
        <v>69.511</v>
      </c>
      <c r="J18" s="11">
        <f>IF(J$3=0,"",SUMIFS(INDEX(Inputs!$D$4:$AG$250,0,MATCH(J$2,Inputs!$D$2:$AG$2,0)),Inputs!$B$4:$B$250,$B18)/1000)</f>
        <v>62.675</v>
      </c>
      <c r="K18" s="11">
        <f>IF(K$3=0,"",SUMIFS(INDEX(Inputs!$D$4:$AG$250,0,MATCH(K$2,Inputs!$D$2:$AG$2,0)),Inputs!$B$4:$B$250,$B18)/1000)</f>
        <v>60.56</v>
      </c>
      <c r="L18" s="11">
        <f>IF(L$3=0,"",SUMIFS(INDEX(Inputs!$D$4:$AG$250,0,MATCH(L$2,Inputs!$D$2:$AG$2,0)),Inputs!$B$4:$B$250,$B18)/1000)</f>
        <v>53.09</v>
      </c>
      <c r="M18" s="12">
        <f>IF(L18="","",L18)</f>
        <v>53.09</v>
      </c>
      <c r="N18" s="11">
        <f>IF(N$3=0,"",SUMIFS(INDEX(Inputs!$D$4:$AG$250,0,MATCH(N$2,Inputs!$D$2:$AG$2,0)),Inputs!$B$4:$B$250,$B18)/1000)</f>
        <v>62.972</v>
      </c>
      <c r="O18" s="11">
        <f>IF(O$3=0,"",SUMIFS(INDEX(Inputs!$D$4:$AG$250,0,MATCH(O$2,Inputs!$D$2:$AG$2,0)),Inputs!$B$4:$B$250,$B18)/1000)</f>
        <v>63.54</v>
      </c>
      <c r="P18" s="11">
        <f>IF(P$3=0,"",SUMIFS(INDEX(Inputs!$D$4:$AG$250,0,MATCH(P$2,Inputs!$D$2:$AG$2,0)),Inputs!$B$4:$B$250,$B18)/1000)</f>
        <v>64.128</v>
      </c>
      <c r="Q18" s="11">
        <f>IF(Q$3=0,"",SUMIFS(INDEX(Inputs!$D$4:$AG$250,0,MATCH(Q$2,Inputs!$D$2:$AG$2,0)),Inputs!$B$4:$B$250,$B18)/1000)</f>
        <v>76.287</v>
      </c>
      <c r="R18" s="12">
        <f>IF(Q18="","",Q18)</f>
        <v>76.287</v>
      </c>
      <c r="S18" s="11">
        <f>IF(S$3=0,"",SUMIFS(INDEX(Inputs!$D$4:$AG$250,0,MATCH(S$2,Inputs!$D$2:$AG$2,0)),Inputs!$B$4:$B$250,$B18)/1000)</f>
        <v>76.755</v>
      </c>
      <c r="T18" s="11">
        <f>IF(T$3=0,"",SUMIFS(INDEX(Inputs!$D$4:$AG$250,0,MATCH(T$2,Inputs!$D$2:$AG$2,0)),Inputs!$B$4:$B$250,$B18)/1000)</f>
        <v>77.275</v>
      </c>
      <c r="U18" s="11">
        <f>IF(U$3=0,"",SUMIFS(INDEX(Inputs!$D$4:$AG$250,0,MATCH(U$2,Inputs!$D$2:$AG$2,0)),Inputs!$B$4:$B$250,$B18)/1000)</f>
        <v>78.453</v>
      </c>
      <c r="V18" s="11">
        <f>IF(V$3=0,"",SUMIFS(INDEX(Inputs!$D$4:$AG$250,0,MATCH(V$2,Inputs!$D$2:$AG$2,0)),Inputs!$B$4:$B$250,$B18)/1000)</f>
        <v>79.973</v>
      </c>
      <c r="W18" s="12">
        <f>IF(V18="","",V18)</f>
        <v>79.973</v>
      </c>
      <c r="X18" s="11">
        <f>IF(X$3=0,"",SUMIFS(INDEX(Inputs!$D$4:$AG$250,0,MATCH(X$2,Inputs!$D$2:$AG$2,0)),Inputs!$B$4:$B$250,$B18)/1000)</f>
        <v>80.773</v>
      </c>
      <c r="Y18" s="11">
        <f>IF(Y$3=0,"",SUMIFS(INDEX(Inputs!$D$4:$AG$250,0,MATCH(Y$2,Inputs!$D$2:$AG$2,0)),Inputs!$B$4:$B$250,$B18)/1000)</f>
        <v>81.277</v>
      </c>
      <c r="Z18" s="11">
        <f>IF(Z$3=0,"",SUMIFS(INDEX(Inputs!$D$4:$AG$250,0,MATCH(Z$2,Inputs!$D$2:$AG$2,0)),Inputs!$B$4:$B$250,$B18)/1000)</f>
        <v>81.875</v>
      </c>
      <c r="AA18" s="11">
        <f>IF(AA$3=0,"",SUMIFS(INDEX(Inputs!$D$4:$AG$250,0,MATCH(AA$2,Inputs!$D$2:$AG$2,0)),Inputs!$B$4:$B$250,$B18)/1000)</f>
        <v>82.325</v>
      </c>
      <c r="AB18" s="12">
        <f>IF(AA18="","",AA18)</f>
        <v>82.325</v>
      </c>
      <c r="AC18" s="11">
        <f>IF(AC$3=0,"",SUMIFS(INDEX(Inputs!$D$4:$AG$250,0,MATCH(AC$2,Inputs!$D$2:$AG$2,0)),Inputs!$B$4:$B$250,$B18)/1000)</f>
        <v>84.986</v>
      </c>
      <c r="AD18" s="11">
        <f>IF(AD$3=0,"",SUMIFS(INDEX(Inputs!$D$4:$AG$250,0,MATCH(AD$2,Inputs!$D$2:$AG$2,0)),Inputs!$B$4:$B$250,$B18)/1000)</f>
        <v>85.345</v>
      </c>
      <c r="AE18" s="11" t="str">
        <f>IF(AE$3=0,"",SUMIFS(INDEX(Inputs!$D$4:$AG$250,0,MATCH(AE$2,Inputs!$D$2:$AG$2,0)),Inputs!$B$4:$B$250,$B18)/1000)</f>
        <v/>
      </c>
      <c r="AF18" s="11" t="str">
        <f>IF(AF$3=0,"",SUMIFS(INDEX(Inputs!$D$4:$AG$250,0,MATCH(AF$2,Inputs!$D$2:$AG$2,0)),Inputs!$B$4:$B$250,$B18)/1000)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IF(D$3=0,"",SUMIFS(INDEX(Inputs!$D$4:$AG$250,0,MATCH(D$2,Inputs!$D$2:$AG$2,0)),Inputs!$B$4:$B$250,$B19)/1000)</f>
        <v>15.496</v>
      </c>
      <c r="E19" s="11">
        <f>IF(E$3=0,"",SUMIFS(INDEX(Inputs!$D$4:$AG$250,0,MATCH(E$2,Inputs!$D$2:$AG$2,0)),Inputs!$B$4:$B$250,$B19)/1000)</f>
        <v>14.198</v>
      </c>
      <c r="F19" s="11">
        <f>IF(F$3=0,"",SUMIFS(INDEX(Inputs!$D$4:$AG$250,0,MATCH(F$2,Inputs!$D$2:$AG$2,0)),Inputs!$B$4:$B$250,$B19)/1000)</f>
        <v>11.118</v>
      </c>
      <c r="G19" s="11">
        <f>IF(G$3=0,"",SUMIFS(INDEX(Inputs!$D$4:$AG$250,0,MATCH(G$2,Inputs!$D$2:$AG$2,0)),Inputs!$B$4:$B$250,$B19)/1000)</f>
        <v>31.276</v>
      </c>
      <c r="H19" s="12">
        <f>IF(G19="","",G19)</f>
        <v>31.276</v>
      </c>
      <c r="I19" s="11">
        <f>IF(I$3=0,"",SUMIFS(INDEX(Inputs!$D$4:$AG$250,0,MATCH(I$2,Inputs!$D$2:$AG$2,0)),Inputs!$B$4:$B$250,$B19)/1000)</f>
        <v>29.85</v>
      </c>
      <c r="J19" s="11">
        <f>IF(J$3=0,"",SUMIFS(INDEX(Inputs!$D$4:$AG$250,0,MATCH(J$2,Inputs!$D$2:$AG$2,0)),Inputs!$B$4:$B$250,$B19)/1000)</f>
        <v>39.457</v>
      </c>
      <c r="K19" s="11">
        <f>IF(K$3=0,"",SUMIFS(INDEX(Inputs!$D$4:$AG$250,0,MATCH(K$2,Inputs!$D$2:$AG$2,0)),Inputs!$B$4:$B$250,$B19)/1000)</f>
        <v>32.52</v>
      </c>
      <c r="L19" s="11">
        <f>IF(L$3=0,"",SUMIFS(INDEX(Inputs!$D$4:$AG$250,0,MATCH(L$2,Inputs!$D$2:$AG$2,0)),Inputs!$B$4:$B$250,$B19)/1000)</f>
        <v>66.61</v>
      </c>
      <c r="M19" s="12">
        <f>IF(L19="","",L19)</f>
        <v>66.61</v>
      </c>
      <c r="N19" s="11">
        <f>IF(N$3=0,"",SUMIFS(INDEX(Inputs!$D$4:$AG$250,0,MATCH(N$2,Inputs!$D$2:$AG$2,0)),Inputs!$B$4:$B$250,$B19)/1000)</f>
        <v>67.208</v>
      </c>
      <c r="O19" s="11">
        <f>IF(O$3=0,"",SUMIFS(INDEX(Inputs!$D$4:$AG$250,0,MATCH(O$2,Inputs!$D$2:$AG$2,0)),Inputs!$B$4:$B$250,$B19)/1000)</f>
        <v>59.864</v>
      </c>
      <c r="P19" s="11">
        <f>IF(P$3=0,"",SUMIFS(INDEX(Inputs!$D$4:$AG$250,0,MATCH(P$2,Inputs!$D$2:$AG$2,0)),Inputs!$B$4:$B$250,$B19)/1000)</f>
        <v>72.984</v>
      </c>
      <c r="Q19" s="11">
        <f>IF(Q$3=0,"",SUMIFS(INDEX(Inputs!$D$4:$AG$250,0,MATCH(Q$2,Inputs!$D$2:$AG$2,0)),Inputs!$B$4:$B$250,$B19)/1000)</f>
        <v>55.392</v>
      </c>
      <c r="R19" s="12">
        <f>IF(Q19="","",Q19)</f>
        <v>55.392</v>
      </c>
      <c r="S19" s="11">
        <f>IF(S$3=0,"",SUMIFS(INDEX(Inputs!$D$4:$AG$250,0,MATCH(S$2,Inputs!$D$2:$AG$2,0)),Inputs!$B$4:$B$250,$B19)/1000)</f>
        <v>61.007</v>
      </c>
      <c r="T19" s="11">
        <f>IF(T$3=0,"",SUMIFS(INDEX(Inputs!$D$4:$AG$250,0,MATCH(T$2,Inputs!$D$2:$AG$2,0)),Inputs!$B$4:$B$250,$B19)/1000)</f>
        <v>70.199</v>
      </c>
      <c r="U19" s="11">
        <f>IF(U$3=0,"",SUMIFS(INDEX(Inputs!$D$4:$AG$250,0,MATCH(U$2,Inputs!$D$2:$AG$2,0)),Inputs!$B$4:$B$250,$B19)/1000)</f>
        <v>69.438</v>
      </c>
      <c r="V19" s="11">
        <f>IF(V$3=0,"",SUMIFS(INDEX(Inputs!$D$4:$AG$250,0,MATCH(V$2,Inputs!$D$2:$AG$2,0)),Inputs!$B$4:$B$250,$B19)/1000)</f>
        <v>64.71</v>
      </c>
      <c r="W19" s="12">
        <f>IF(V19="","",V19)</f>
        <v>64.71</v>
      </c>
      <c r="X19" s="11">
        <f>IF(X$3=0,"",SUMIFS(INDEX(Inputs!$D$4:$AG$250,0,MATCH(X$2,Inputs!$D$2:$AG$2,0)),Inputs!$B$4:$B$250,$B19)/1000)</f>
        <v>71.189</v>
      </c>
      <c r="Y19" s="11">
        <f>IF(Y$3=0,"",SUMIFS(INDEX(Inputs!$D$4:$AG$250,0,MATCH(Y$2,Inputs!$D$2:$AG$2,0)),Inputs!$B$4:$B$250,$B19)/1000)</f>
        <v>66.307</v>
      </c>
      <c r="Z19" s="11">
        <f>IF(Z$3=0,"",SUMIFS(INDEX(Inputs!$D$4:$AG$250,0,MATCH(Z$2,Inputs!$D$2:$AG$2,0)),Inputs!$B$4:$B$250,$B19)/1000)</f>
        <v>68.472</v>
      </c>
      <c r="AA19" s="11">
        <f>IF(AA$3=0,"",SUMIFS(INDEX(Inputs!$D$4:$AG$250,0,MATCH(AA$2,Inputs!$D$2:$AG$2,0)),Inputs!$B$4:$B$250,$B19)/1000)</f>
        <v>74.018</v>
      </c>
      <c r="AB19" s="12">
        <f>IF(AA19="","",AA19)</f>
        <v>74.018</v>
      </c>
      <c r="AC19" s="11">
        <f>IF(AC$3=0,"",SUMIFS(INDEX(Inputs!$D$4:$AG$250,0,MATCH(AC$2,Inputs!$D$2:$AG$2,0)),Inputs!$B$4:$B$250,$B19)/1000)</f>
        <v>81.923</v>
      </c>
      <c r="AD19" s="11">
        <f>IF(AD$3=0,"",SUMIFS(INDEX(Inputs!$D$4:$AG$250,0,MATCH(AD$2,Inputs!$D$2:$AG$2,0)),Inputs!$B$4:$B$250,$B19)/1000)</f>
        <v>201.152</v>
      </c>
      <c r="AE19" s="11" t="str">
        <f>IF(AE$3=0,"",SUMIFS(INDEX(Inputs!$D$4:$AG$250,0,MATCH(AE$2,Inputs!$D$2:$AG$2,0)),Inputs!$B$4:$B$250,$B19)/1000)</f>
        <v/>
      </c>
      <c r="AF19" s="11" t="str">
        <f>IF(AF$3=0,"",SUMIFS(INDEX(Inputs!$D$4:$AG$250,0,MATCH(AF$2,Inputs!$D$2:$AG$2,0)),Inputs!$B$4:$B$250,$B19)/1000)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IF(D$3=0,"",SUMIFS(INDEX(Inputs!$D$4:$AG$250,0,MATCH(D$2,Inputs!$D$2:$AG$2,0)),Inputs!$B$4:$B$250,$B20)/1000)</f>
        <v>11.09</v>
      </c>
      <c r="E20" s="11">
        <f>IF(E$3=0,"",SUMIFS(INDEX(Inputs!$D$4:$AG$250,0,MATCH(E$2,Inputs!$D$2:$AG$2,0)),Inputs!$B$4:$B$250,$B20)/1000)</f>
        <v>13.927</v>
      </c>
      <c r="F20" s="11">
        <f>IF(F$3=0,"",SUMIFS(INDEX(Inputs!$D$4:$AG$250,0,MATCH(F$2,Inputs!$D$2:$AG$2,0)),Inputs!$B$4:$B$250,$B20)/1000)</f>
        <v>17.947</v>
      </c>
      <c r="G20" s="11">
        <f>IF(G$3=0,"",SUMIFS(INDEX(Inputs!$D$4:$AG$250,0,MATCH(G$2,Inputs!$D$2:$AG$2,0)),Inputs!$B$4:$B$250,$B20)/1000)</f>
        <v>7.136</v>
      </c>
      <c r="H20" s="12">
        <f>IF(G20="","",G20)</f>
        <v>7.136</v>
      </c>
      <c r="I20" s="11">
        <f>IF(I$3=0,"",SUMIFS(INDEX(Inputs!$D$4:$AG$250,0,MATCH(I$2,Inputs!$D$2:$AG$2,0)),Inputs!$B$4:$B$250,$B20)/1000)</f>
        <v>11.111</v>
      </c>
      <c r="J20" s="11">
        <f>IF(J$3=0,"",SUMIFS(INDEX(Inputs!$D$4:$AG$250,0,MATCH(J$2,Inputs!$D$2:$AG$2,0)),Inputs!$B$4:$B$250,$B20)/1000)</f>
        <v>11.562</v>
      </c>
      <c r="K20" s="11">
        <f>IF(K$3=0,"",SUMIFS(INDEX(Inputs!$D$4:$AG$250,0,MATCH(K$2,Inputs!$D$2:$AG$2,0)),Inputs!$B$4:$B$250,$B20)/1000)</f>
        <v>11.519</v>
      </c>
      <c r="L20" s="11">
        <f>IF(L$3=0,"",SUMIFS(INDEX(Inputs!$D$4:$AG$250,0,MATCH(L$2,Inputs!$D$2:$AG$2,0)),Inputs!$B$4:$B$250,$B20)/1000)</f>
        <v>13.907</v>
      </c>
      <c r="M20" s="12">
        <f>IF(L20="","",L20)</f>
        <v>13.907</v>
      </c>
      <c r="N20" s="11">
        <f>IF(N$3=0,"",SUMIFS(INDEX(Inputs!$D$4:$AG$250,0,MATCH(N$2,Inputs!$D$2:$AG$2,0)),Inputs!$B$4:$B$250,$B20)/1000)</f>
        <v>22.276</v>
      </c>
      <c r="O20" s="11">
        <f>IF(O$3=0,"",SUMIFS(INDEX(Inputs!$D$4:$AG$250,0,MATCH(O$2,Inputs!$D$2:$AG$2,0)),Inputs!$B$4:$B$250,$B20)/1000)</f>
        <v>26.09</v>
      </c>
      <c r="P20" s="11">
        <f>IF(P$3=0,"",SUMIFS(INDEX(Inputs!$D$4:$AG$250,0,MATCH(P$2,Inputs!$D$2:$AG$2,0)),Inputs!$B$4:$B$250,$B20)/1000)</f>
        <v>33.197</v>
      </c>
      <c r="Q20" s="11">
        <f>IF(Q$3=0,"",SUMIFS(INDEX(Inputs!$D$4:$AG$250,0,MATCH(Q$2,Inputs!$D$2:$AG$2,0)),Inputs!$B$4:$B$250,$B20)/1000)</f>
        <v>30.042</v>
      </c>
      <c r="R20" s="12">
        <f>IF(Q20="","",Q20)</f>
        <v>30.042</v>
      </c>
      <c r="S20" s="11">
        <f>IF(S$3=0,"",SUMIFS(INDEX(Inputs!$D$4:$AG$250,0,MATCH(S$2,Inputs!$D$2:$AG$2,0)),Inputs!$B$4:$B$250,$B20)/1000)</f>
        <v>44.227</v>
      </c>
      <c r="T20" s="11">
        <f>IF(T$3=0,"",SUMIFS(INDEX(Inputs!$D$4:$AG$250,0,MATCH(T$2,Inputs!$D$2:$AG$2,0)),Inputs!$B$4:$B$250,$B20)/1000)</f>
        <v>37.837</v>
      </c>
      <c r="U20" s="11">
        <f>IF(U$3=0,"",SUMIFS(INDEX(Inputs!$D$4:$AG$250,0,MATCH(U$2,Inputs!$D$2:$AG$2,0)),Inputs!$B$4:$B$250,$B20)/1000)</f>
        <v>40.005</v>
      </c>
      <c r="V20" s="11">
        <f>IF(V$3=0,"",SUMIFS(INDEX(Inputs!$D$4:$AG$250,0,MATCH(V$2,Inputs!$D$2:$AG$2,0)),Inputs!$B$4:$B$250,$B20)/1000)</f>
        <v>50.927</v>
      </c>
      <c r="W20" s="12">
        <f>IF(V20="","",V20)</f>
        <v>50.927</v>
      </c>
      <c r="X20" s="11">
        <f>IF(X$3=0,"",SUMIFS(INDEX(Inputs!$D$4:$AG$250,0,MATCH(X$2,Inputs!$D$2:$AG$2,0)),Inputs!$B$4:$B$250,$B20)/1000)</f>
        <v>51.368</v>
      </c>
      <c r="Y20" s="11">
        <f>IF(Y$3=0,"",SUMIFS(INDEX(Inputs!$D$4:$AG$250,0,MATCH(Y$2,Inputs!$D$2:$AG$2,0)),Inputs!$B$4:$B$250,$B20)/1000)</f>
        <v>58.273</v>
      </c>
      <c r="Z20" s="11">
        <f>IF(Z$3=0,"",SUMIFS(INDEX(Inputs!$D$4:$AG$250,0,MATCH(Z$2,Inputs!$D$2:$AG$2,0)),Inputs!$B$4:$B$250,$B20)/1000)</f>
        <v>64.471</v>
      </c>
      <c r="AA20" s="11">
        <f>IF(AA$3=0,"",SUMIFS(INDEX(Inputs!$D$4:$AG$250,0,MATCH(AA$2,Inputs!$D$2:$AG$2,0)),Inputs!$B$4:$B$250,$B20)/1000)</f>
        <v>67.166</v>
      </c>
      <c r="AB20" s="12">
        <f>IF(AA20="","",AA20)</f>
        <v>67.166</v>
      </c>
      <c r="AC20" s="11">
        <f>IF(AC$3=0,"",SUMIFS(INDEX(Inputs!$D$4:$AG$250,0,MATCH(AC$2,Inputs!$D$2:$AG$2,0)),Inputs!$B$4:$B$250,$B20)/1000)</f>
        <v>82.627</v>
      </c>
      <c r="AD20" s="11">
        <f>IF(AD$3=0,"",SUMIFS(INDEX(Inputs!$D$4:$AG$250,0,MATCH(AD$2,Inputs!$D$2:$AG$2,0)),Inputs!$B$4:$B$250,$B20)/1000)</f>
        <v>230.817</v>
      </c>
      <c r="AE20" s="11" t="str">
        <f>IF(AE$3=0,"",SUMIFS(INDEX(Inputs!$D$4:$AG$250,0,MATCH(AE$2,Inputs!$D$2:$AG$2,0)),Inputs!$B$4:$B$250,$B20)/1000)</f>
        <v/>
      </c>
      <c r="AF20" s="11" t="str">
        <f>IF(AF$3=0,"",SUMIFS(INDEX(Inputs!$D$4:$AG$250,0,MATCH(AF$2,Inputs!$D$2:$AG$2,0)),Inputs!$B$4:$B$250,$B20)/1000)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IF(D$3=0,"",SUMIFS(INDEX(Inputs!$D$4:$AG$250,0,MATCH(D$2,Inputs!$D$2:$AG$2,0)),Inputs!$B$4:$B$250,$B21)/1000)</f>
        <v>0</v>
      </c>
      <c r="E21" s="11">
        <f>IF(E$3=0,"",SUMIFS(INDEX(Inputs!$D$4:$AG$250,0,MATCH(E$2,Inputs!$D$2:$AG$2,0)),Inputs!$B$4:$B$250,$B21)/1000)</f>
        <v>0</v>
      </c>
      <c r="F21" s="11">
        <f>IF(F$3=0,"",SUMIFS(INDEX(Inputs!$D$4:$AG$250,0,MATCH(F$2,Inputs!$D$2:$AG$2,0)),Inputs!$B$4:$B$250,$B21)/1000)</f>
        <v>1.623</v>
      </c>
      <c r="G21" s="11">
        <f>IF(G$3=0,"",SUMIFS(INDEX(Inputs!$D$4:$AG$250,0,MATCH(G$2,Inputs!$D$2:$AG$2,0)),Inputs!$B$4:$B$250,$B21)/1000)</f>
        <v>4.422</v>
      </c>
      <c r="H21" s="12">
        <f>IF(G21="","",G21)</f>
        <v>4.422</v>
      </c>
      <c r="I21" s="11">
        <f>IF(I$3=0,"",SUMIFS(INDEX(Inputs!$D$4:$AG$250,0,MATCH(I$2,Inputs!$D$2:$AG$2,0)),Inputs!$B$4:$B$250,$B21)/1000)</f>
        <v>15.439</v>
      </c>
      <c r="J21" s="11">
        <f>IF(J$3=0,"",SUMIFS(INDEX(Inputs!$D$4:$AG$250,0,MATCH(J$2,Inputs!$D$2:$AG$2,0)),Inputs!$B$4:$B$250,$B21)/1000)</f>
        <v>30.919</v>
      </c>
      <c r="K21" s="11">
        <f>IF(K$3=0,"",SUMIFS(INDEX(Inputs!$D$4:$AG$250,0,MATCH(K$2,Inputs!$D$2:$AG$2,0)),Inputs!$B$4:$B$250,$B21)/1000)</f>
        <v>39.86</v>
      </c>
      <c r="L21" s="11">
        <f>IF(L$3=0,"",SUMIFS(INDEX(Inputs!$D$4:$AG$250,0,MATCH(L$2,Inputs!$D$2:$AG$2,0)),Inputs!$B$4:$B$250,$B21)/1000)</f>
        <v>44.084</v>
      </c>
      <c r="M21" s="12">
        <f>IF(L21="","",L21)</f>
        <v>44.084</v>
      </c>
      <c r="N21" s="11">
        <f>IF(N$3=0,"",SUMIFS(INDEX(Inputs!$D$4:$AG$250,0,MATCH(N$2,Inputs!$D$2:$AG$2,0)),Inputs!$B$4:$B$250,$B21)/1000)</f>
        <v>47.169</v>
      </c>
      <c r="O21" s="11">
        <f>IF(O$3=0,"",SUMIFS(INDEX(Inputs!$D$4:$AG$250,0,MATCH(O$2,Inputs!$D$2:$AG$2,0)),Inputs!$B$4:$B$250,$B21)/1000)</f>
        <v>79.3</v>
      </c>
      <c r="P21" s="11">
        <f>IF(P$3=0,"",SUMIFS(INDEX(Inputs!$D$4:$AG$250,0,MATCH(P$2,Inputs!$D$2:$AG$2,0)),Inputs!$B$4:$B$250,$B21)/1000)</f>
        <v>77.972</v>
      </c>
      <c r="Q21" s="11">
        <f>IF(Q$3=0,"",SUMIFS(INDEX(Inputs!$D$4:$AG$250,0,MATCH(Q$2,Inputs!$D$2:$AG$2,0)),Inputs!$B$4:$B$250,$B21)/1000)</f>
        <v>98.957</v>
      </c>
      <c r="R21" s="12">
        <f>IF(Q21="","",Q21)</f>
        <v>98.957</v>
      </c>
      <c r="S21" s="11">
        <f>IF(S$3=0,"",SUMIFS(INDEX(Inputs!$D$4:$AG$250,0,MATCH(S$2,Inputs!$D$2:$AG$2,0)),Inputs!$B$4:$B$250,$B21)/1000)</f>
        <v>102.447</v>
      </c>
      <c r="T21" s="11">
        <f>IF(T$3=0,"",SUMIFS(INDEX(Inputs!$D$4:$AG$250,0,MATCH(T$2,Inputs!$D$2:$AG$2,0)),Inputs!$B$4:$B$250,$B21)/1000)</f>
        <v>101.856</v>
      </c>
      <c r="U21" s="11">
        <f>IF(U$3=0,"",SUMIFS(INDEX(Inputs!$D$4:$AG$250,0,MATCH(U$2,Inputs!$D$2:$AG$2,0)),Inputs!$B$4:$B$250,$B21)/1000)</f>
        <v>106.556</v>
      </c>
      <c r="V21" s="11">
        <f>IF(V$3=0,"",SUMIFS(INDEX(Inputs!$D$4:$AG$250,0,MATCH(V$2,Inputs!$D$2:$AG$2,0)),Inputs!$B$4:$B$250,$B21)/1000)</f>
        <v>112.801</v>
      </c>
      <c r="W21" s="12">
        <f>IF(V21="","",V21)</f>
        <v>112.801</v>
      </c>
      <c r="X21" s="11">
        <f>IF(X$3=0,"",SUMIFS(INDEX(Inputs!$D$4:$AG$250,0,MATCH(X$2,Inputs!$D$2:$AG$2,0)),Inputs!$B$4:$B$250,$B21)/1000)</f>
        <v>116.825</v>
      </c>
      <c r="Y21" s="11">
        <f>IF(Y$3=0,"",SUMIFS(INDEX(Inputs!$D$4:$AG$250,0,MATCH(Y$2,Inputs!$D$2:$AG$2,0)),Inputs!$B$4:$B$250,$B21)/1000)</f>
        <v>118.672</v>
      </c>
      <c r="Z21" s="11">
        <f>IF(Z$3=0,"",SUMIFS(INDEX(Inputs!$D$4:$AG$250,0,MATCH(Z$2,Inputs!$D$2:$AG$2,0)),Inputs!$B$4:$B$250,$B21)/1000)</f>
        <v>119.706</v>
      </c>
      <c r="AA21" s="11">
        <f>IF(AA$3=0,"",SUMIFS(INDEX(Inputs!$D$4:$AG$250,0,MATCH(AA$2,Inputs!$D$2:$AG$2,0)),Inputs!$B$4:$B$250,$B21)/1000)</f>
        <v>117.461</v>
      </c>
      <c r="AB21" s="12">
        <f>IF(AA21="","",AA21)</f>
        <v>117.461</v>
      </c>
      <c r="AC21" s="11">
        <f>IF(AC$3=0,"",SUMIFS(INDEX(Inputs!$D$4:$AG$250,0,MATCH(AC$2,Inputs!$D$2:$AG$2,0)),Inputs!$B$4:$B$250,$B21)/1000)</f>
        <v>117.036</v>
      </c>
      <c r="AD21" s="11">
        <f>IF(AD$3=0,"",SUMIFS(INDEX(Inputs!$D$4:$AG$250,0,MATCH(AD$2,Inputs!$D$2:$AG$2,0)),Inputs!$B$4:$B$250,$B21)/1000)</f>
        <v>142.539</v>
      </c>
      <c r="AE21" s="11" t="str">
        <f>IF(AE$3=0,"",SUMIFS(INDEX(Inputs!$D$4:$AG$250,0,MATCH(AE$2,Inputs!$D$2:$AG$2,0)),Inputs!$B$4:$B$250,$B21)/1000)</f>
        <v/>
      </c>
      <c r="AF21" s="11" t="str">
        <f>IF(AF$3=0,"",SUMIFS(INDEX(Inputs!$D$4:$AG$250,0,MATCH(AF$2,Inputs!$D$2:$AG$2,0)),Inputs!$B$4:$B$250,$B21)/1000)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IF(D$3=0,"",SUMIFS(INDEX(Inputs!$D$4:$AG$250,0,MATCH(D$2,Inputs!$D$2:$AG$2,0)),Inputs!$B$4:$B$250,$B22)/1000)</f>
        <v>284.571</v>
      </c>
      <c r="E22" s="11">
        <f>IF(E$3=0,"",SUMIFS(INDEX(Inputs!$D$4:$AG$250,0,MATCH(E$2,Inputs!$D$2:$AG$2,0)),Inputs!$B$4:$B$250,$B22)/1000)</f>
        <v>295.006</v>
      </c>
      <c r="F22" s="11">
        <f>IF(F$3=0,"",SUMIFS(INDEX(Inputs!$D$4:$AG$250,0,MATCH(F$2,Inputs!$D$2:$AG$2,0)),Inputs!$B$4:$B$250,$B22)/1000)</f>
        <v>310.592</v>
      </c>
      <c r="G22" s="11">
        <f>IF(G$3=0,"",SUMIFS(INDEX(Inputs!$D$4:$AG$250,0,MATCH(G$2,Inputs!$D$2:$AG$2,0)),Inputs!$B$4:$B$250,$B22)/1000)</f>
        <v>375.789</v>
      </c>
      <c r="H22" s="12">
        <f>IF(G22="","",G22)</f>
        <v>375.789</v>
      </c>
      <c r="I22" s="11">
        <f>IF(I$3=0,"",SUMIFS(INDEX(Inputs!$D$4:$AG$250,0,MATCH(I$2,Inputs!$D$2:$AG$2,0)),Inputs!$B$4:$B$250,$B22)/1000)</f>
        <v>436.313</v>
      </c>
      <c r="J22" s="11">
        <f>IF(J$3=0,"",SUMIFS(INDEX(Inputs!$D$4:$AG$250,0,MATCH(J$2,Inputs!$D$2:$AG$2,0)),Inputs!$B$4:$B$250,$B22)/1000)</f>
        <v>743.024</v>
      </c>
      <c r="K22" s="11">
        <f>IF(K$3=0,"",SUMIFS(INDEX(Inputs!$D$4:$AG$250,0,MATCH(K$2,Inputs!$D$2:$AG$2,0)),Inputs!$B$4:$B$250,$B22)/1000)</f>
        <v>745.099</v>
      </c>
      <c r="L22" s="11">
        <f>IF(L$3=0,"",SUMIFS(INDEX(Inputs!$D$4:$AG$250,0,MATCH(L$2,Inputs!$D$2:$AG$2,0)),Inputs!$B$4:$B$250,$B22)/1000)</f>
        <v>785.079</v>
      </c>
      <c r="M22" s="12">
        <f>IF(L22="","",L22)</f>
        <v>785.079</v>
      </c>
      <c r="N22" s="11">
        <f>IF(N$3=0,"",SUMIFS(INDEX(Inputs!$D$4:$AG$250,0,MATCH(N$2,Inputs!$D$2:$AG$2,0)),Inputs!$B$4:$B$250,$B22)/1000)</f>
        <v>815.367</v>
      </c>
      <c r="O22" s="11">
        <f>IF(O$3=0,"",SUMIFS(INDEX(Inputs!$D$4:$AG$250,0,MATCH(O$2,Inputs!$D$2:$AG$2,0)),Inputs!$B$4:$B$250,$B22)/1000)</f>
        <v>842.62</v>
      </c>
      <c r="P22" s="11">
        <f>IF(P$3=0,"",SUMIFS(INDEX(Inputs!$D$4:$AG$250,0,MATCH(P$2,Inputs!$D$2:$AG$2,0)),Inputs!$B$4:$B$250,$B22)/1000)</f>
        <v>904.989</v>
      </c>
      <c r="Q22" s="11">
        <f>IF(Q$3=0,"",SUMIFS(INDEX(Inputs!$D$4:$AG$250,0,MATCH(Q$2,Inputs!$D$2:$AG$2,0)),Inputs!$B$4:$B$250,$B22)/1000)</f>
        <v>920.767</v>
      </c>
      <c r="R22" s="12">
        <f>IF(Q22="","",Q22)</f>
        <v>920.767</v>
      </c>
      <c r="S22" s="11">
        <f>IF(S$3=0,"",SUMIFS(INDEX(Inputs!$D$4:$AG$250,0,MATCH(S$2,Inputs!$D$2:$AG$2,0)),Inputs!$B$4:$B$250,$B22)/1000)</f>
        <v>963.174</v>
      </c>
      <c r="T22" s="11">
        <f>IF(T$3=0,"",SUMIFS(INDEX(Inputs!$D$4:$AG$250,0,MATCH(T$2,Inputs!$D$2:$AG$2,0)),Inputs!$B$4:$B$250,$B22)/1000)</f>
        <v>1080.851</v>
      </c>
      <c r="U22" s="11">
        <f>IF(U$3=0,"",SUMIFS(INDEX(Inputs!$D$4:$AG$250,0,MATCH(U$2,Inputs!$D$2:$AG$2,0)),Inputs!$B$4:$B$250,$B22)/1000)</f>
        <v>1363.573</v>
      </c>
      <c r="V22" s="11">
        <f>IF(V$3=0,"",SUMIFS(INDEX(Inputs!$D$4:$AG$250,0,MATCH(V$2,Inputs!$D$2:$AG$2,0)),Inputs!$B$4:$B$250,$B22)/1000)</f>
        <v>1556.269</v>
      </c>
      <c r="W22" s="12">
        <f>IF(V22="","",V22)</f>
        <v>1556.269</v>
      </c>
      <c r="X22" s="11">
        <f>IF(X$3=0,"",SUMIFS(INDEX(Inputs!$D$4:$AG$250,0,MATCH(X$2,Inputs!$D$2:$AG$2,0)),Inputs!$B$4:$B$250,$B22)/1000)</f>
        <v>1642.208</v>
      </c>
      <c r="Y22" s="11">
        <f>IF(Y$3=0,"",SUMIFS(INDEX(Inputs!$D$4:$AG$250,0,MATCH(Y$2,Inputs!$D$2:$AG$2,0)),Inputs!$B$4:$B$250,$B22)/1000)</f>
        <v>1828.49</v>
      </c>
      <c r="Z22" s="11">
        <f>IF(Z$3=0,"",SUMIFS(INDEX(Inputs!$D$4:$AG$250,0,MATCH(Z$2,Inputs!$D$2:$AG$2,0)),Inputs!$B$4:$B$250,$B22)/1000)</f>
        <v>1937.105</v>
      </c>
      <c r="AA22" s="11">
        <f>IF(AA$3=0,"",SUMIFS(INDEX(Inputs!$D$4:$AG$250,0,MATCH(AA$2,Inputs!$D$2:$AG$2,0)),Inputs!$B$4:$B$250,$B22)/1000)</f>
        <v>2070.525</v>
      </c>
      <c r="AB22" s="12">
        <f>IF(AA22="","",AA22)</f>
        <v>2070.525</v>
      </c>
      <c r="AC22" s="11">
        <f>IF(AC$3=0,"",SUMIFS(INDEX(Inputs!$D$4:$AG$250,0,MATCH(AC$2,Inputs!$D$2:$AG$2,0)),Inputs!$B$4:$B$250,$B22)/1000)</f>
        <v>2218.63</v>
      </c>
      <c r="AD22" s="11">
        <f>IF(AD$3=0,"",SUMIFS(INDEX(Inputs!$D$4:$AG$250,0,MATCH(AD$2,Inputs!$D$2:$AG$2,0)),Inputs!$B$4:$B$250,$B22)/1000)</f>
        <v>3306.709</v>
      </c>
      <c r="AE22" s="11" t="str">
        <f>IF(AE$3=0,"",SUMIFS(INDEX(Inputs!$D$4:$AG$250,0,MATCH(AE$2,Inputs!$D$2:$AG$2,0)),Inputs!$B$4:$B$250,$B22)/1000)</f>
        <v/>
      </c>
      <c r="AF22" s="11" t="str">
        <f>IF(AF$3=0,"",SUMIFS(INDEX(Inputs!$D$4:$AG$250,0,MATCH(AF$2,Inputs!$D$2:$AG$2,0)),Inputs!$B$4:$B$250,$B22)/1000)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IF(D$3=0,"",SUMIFS(INDEX(Inputs!$D$4:$AG$250,0,MATCH(D$2,Inputs!$D$2:$AG$2,0)),Inputs!$B$4:$B$250,$B23)/1000)</f>
        <v>18.009</v>
      </c>
      <c r="E23" s="11">
        <f>IF(E$3=0,"",SUMIFS(INDEX(Inputs!$D$4:$AG$250,0,MATCH(E$2,Inputs!$D$2:$AG$2,0)),Inputs!$B$4:$B$250,$B23)/1000)</f>
        <v>17.861</v>
      </c>
      <c r="F23" s="11">
        <f>IF(F$3=0,"",SUMIFS(INDEX(Inputs!$D$4:$AG$250,0,MATCH(F$2,Inputs!$D$2:$AG$2,0)),Inputs!$B$4:$B$250,$B23)/1000)</f>
        <v>22.216</v>
      </c>
      <c r="G23" s="11">
        <f>IF(G$3=0,"",SUMIFS(INDEX(Inputs!$D$4:$AG$250,0,MATCH(G$2,Inputs!$D$2:$AG$2,0)),Inputs!$B$4:$B$250,$B23)/1000)</f>
        <v>18.81</v>
      </c>
      <c r="H23" s="12">
        <f>IF(G23="","",G23)</f>
        <v>18.81</v>
      </c>
      <c r="I23" s="11">
        <f>IF(I$3=0,"",SUMIFS(INDEX(Inputs!$D$4:$AG$250,0,MATCH(I$2,Inputs!$D$2:$AG$2,0)),Inputs!$B$4:$B$250,$B23)/1000)</f>
        <v>20.349</v>
      </c>
      <c r="J23" s="11">
        <f>IF(J$3=0,"",SUMIFS(INDEX(Inputs!$D$4:$AG$250,0,MATCH(J$2,Inputs!$D$2:$AG$2,0)),Inputs!$B$4:$B$250,$B23)/1000)</f>
        <v>32.183</v>
      </c>
      <c r="K23" s="11">
        <f>IF(K$3=0,"",SUMIFS(INDEX(Inputs!$D$4:$AG$250,0,MATCH(K$2,Inputs!$D$2:$AG$2,0)),Inputs!$B$4:$B$250,$B23)/1000)</f>
        <v>44.721</v>
      </c>
      <c r="L23" s="11">
        <f>IF(L$3=0,"",SUMIFS(INDEX(Inputs!$D$4:$AG$250,0,MATCH(L$2,Inputs!$D$2:$AG$2,0)),Inputs!$B$4:$B$250,$B23)/1000)</f>
        <v>42.658</v>
      </c>
      <c r="M23" s="12">
        <f>IF(L23="","",L23)</f>
        <v>42.658</v>
      </c>
      <c r="N23" s="11">
        <f>IF(N$3=0,"",SUMIFS(INDEX(Inputs!$D$4:$AG$250,0,MATCH(N$2,Inputs!$D$2:$AG$2,0)),Inputs!$B$4:$B$250,$B23)/1000)</f>
        <v>36.672</v>
      </c>
      <c r="O23" s="11">
        <f>IF(O$3=0,"",SUMIFS(INDEX(Inputs!$D$4:$AG$250,0,MATCH(O$2,Inputs!$D$2:$AG$2,0)),Inputs!$B$4:$B$250,$B23)/1000)</f>
        <v>46.848</v>
      </c>
      <c r="P23" s="11">
        <f>IF(P$3=0,"",SUMIFS(INDEX(Inputs!$D$4:$AG$250,0,MATCH(P$2,Inputs!$D$2:$AG$2,0)),Inputs!$B$4:$B$250,$B23)/1000)</f>
        <v>38.878</v>
      </c>
      <c r="Q23" s="11">
        <f>IF(Q$3=0,"",SUMIFS(INDEX(Inputs!$D$4:$AG$250,0,MATCH(Q$2,Inputs!$D$2:$AG$2,0)),Inputs!$B$4:$B$250,$B23)/1000)</f>
        <v>40.67</v>
      </c>
      <c r="R23" s="12">
        <f>IF(Q23="","",Q23)</f>
        <v>40.67</v>
      </c>
      <c r="S23" s="11">
        <f>IF(S$3=0,"",SUMIFS(INDEX(Inputs!$D$4:$AG$250,0,MATCH(S$2,Inputs!$D$2:$AG$2,0)),Inputs!$B$4:$B$250,$B23)/1000)</f>
        <v>41.626</v>
      </c>
      <c r="T23" s="11">
        <f>IF(T$3=0,"",SUMIFS(INDEX(Inputs!$D$4:$AG$250,0,MATCH(T$2,Inputs!$D$2:$AG$2,0)),Inputs!$B$4:$B$250,$B23)/1000)</f>
        <v>45.004</v>
      </c>
      <c r="U23" s="11">
        <f>IF(U$3=0,"",SUMIFS(INDEX(Inputs!$D$4:$AG$250,0,MATCH(U$2,Inputs!$D$2:$AG$2,0)),Inputs!$B$4:$B$250,$B23)/1000)</f>
        <v>96.143</v>
      </c>
      <c r="V23" s="11">
        <f>IF(V$3=0,"",SUMIFS(INDEX(Inputs!$D$4:$AG$250,0,MATCH(V$2,Inputs!$D$2:$AG$2,0)),Inputs!$B$4:$B$250,$B23)/1000)</f>
        <v>98.549</v>
      </c>
      <c r="W23" s="12">
        <f>IF(V23="","",V23)</f>
        <v>98.549</v>
      </c>
      <c r="X23" s="11">
        <f>IF(X$3=0,"",SUMIFS(INDEX(Inputs!$D$4:$AG$250,0,MATCH(X$2,Inputs!$D$2:$AG$2,0)),Inputs!$B$4:$B$250,$B23)/1000)</f>
        <v>100.278</v>
      </c>
      <c r="Y23" s="11">
        <f>IF(Y$3=0,"",SUMIFS(INDEX(Inputs!$D$4:$AG$250,0,MATCH(Y$2,Inputs!$D$2:$AG$2,0)),Inputs!$B$4:$B$250,$B23)/1000)</f>
        <v>80.784</v>
      </c>
      <c r="Z23" s="11">
        <f>IF(Z$3=0,"",SUMIFS(INDEX(Inputs!$D$4:$AG$250,0,MATCH(Z$2,Inputs!$D$2:$AG$2,0)),Inputs!$B$4:$B$250,$B23)/1000)</f>
        <v>73.022</v>
      </c>
      <c r="AA23" s="11">
        <f>IF(AA$3=0,"",SUMIFS(INDEX(Inputs!$D$4:$AG$250,0,MATCH(AA$2,Inputs!$D$2:$AG$2,0)),Inputs!$B$4:$B$250,$B23)/1000)</f>
        <v>98.014</v>
      </c>
      <c r="AB23" s="12">
        <f>IF(AA23="","",AA23)</f>
        <v>98.014</v>
      </c>
      <c r="AC23" s="11">
        <f>IF(AC$3=0,"",SUMIFS(INDEX(Inputs!$D$4:$AG$250,0,MATCH(AC$2,Inputs!$D$2:$AG$2,0)),Inputs!$B$4:$B$250,$B23)/1000)</f>
        <v>87.373</v>
      </c>
      <c r="AD23" s="11">
        <f>IF(AD$3=0,"",SUMIFS(INDEX(Inputs!$D$4:$AG$250,0,MATCH(AD$2,Inputs!$D$2:$AG$2,0)),Inputs!$B$4:$B$250,$B23)/1000)</f>
        <v>92.908</v>
      </c>
      <c r="AE23" s="11" t="str">
        <f>IF(AE$3=0,"",SUMIFS(INDEX(Inputs!$D$4:$AG$250,0,MATCH(AE$2,Inputs!$D$2:$AG$2,0)),Inputs!$B$4:$B$250,$B23)/1000)</f>
        <v/>
      </c>
      <c r="AF23" s="11" t="str">
        <f>IF(AF$3=0,"",SUMIFS(INDEX(Inputs!$D$4:$AG$250,0,MATCH(AF$2,Inputs!$D$2:$AG$2,0)),Inputs!$B$4:$B$250,$B23)/1000)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IF(D$3=0,"",SUMIFS(INDEX(Inputs!$D$4:$AG$250,0,MATCH(D$2,Inputs!$D$2:$AG$2,0)),Inputs!$B$4:$B$250,$B24)/1000)</f>
        <v>0</v>
      </c>
      <c r="E24" s="11">
        <f>IF(E$3=0,"",SUMIFS(INDEX(Inputs!$D$4:$AG$250,0,MATCH(E$2,Inputs!$D$2:$AG$2,0)),Inputs!$B$4:$B$250,$B24)/1000)</f>
        <v>0</v>
      </c>
      <c r="F24" s="11">
        <f>IF(F$3=0,"",SUMIFS(INDEX(Inputs!$D$4:$AG$250,0,MATCH(F$2,Inputs!$D$2:$AG$2,0)),Inputs!$B$4:$B$250,$B24)/1000)</f>
        <v>0</v>
      </c>
      <c r="G24" s="11">
        <f>IF(G$3=0,"",SUMIFS(INDEX(Inputs!$D$4:$AG$250,0,MATCH(G$2,Inputs!$D$2:$AG$2,0)),Inputs!$B$4:$B$250,$B24)/1000)</f>
        <v>0</v>
      </c>
      <c r="H24" s="12">
        <f>IF(G24="","",G24)</f>
        <v>0</v>
      </c>
      <c r="I24" s="11">
        <f>IF(I$3=0,"",SUMIFS(INDEX(Inputs!$D$4:$AG$250,0,MATCH(I$2,Inputs!$D$2:$AG$2,0)),Inputs!$B$4:$B$250,$B24)/1000)</f>
        <v>0</v>
      </c>
      <c r="J24" s="11">
        <f>IF(J$3=0,"",SUMIFS(INDEX(Inputs!$D$4:$AG$250,0,MATCH(J$2,Inputs!$D$2:$AG$2,0)),Inputs!$B$4:$B$250,$B24)/1000)</f>
        <v>0</v>
      </c>
      <c r="K24" s="11">
        <f>IF(K$3=0,"",SUMIFS(INDEX(Inputs!$D$4:$AG$250,0,MATCH(K$2,Inputs!$D$2:$AG$2,0)),Inputs!$B$4:$B$250,$B24)/1000)</f>
        <v>0</v>
      </c>
      <c r="L24" s="11">
        <f>IF(L$3=0,"",SUMIFS(INDEX(Inputs!$D$4:$AG$250,0,MATCH(L$2,Inputs!$D$2:$AG$2,0)),Inputs!$B$4:$B$250,$B24)/1000)</f>
        <v>0</v>
      </c>
      <c r="M24" s="12">
        <f>IF(L24="","",L24)</f>
        <v>0</v>
      </c>
      <c r="N24" s="11">
        <f>IF(N$3=0,"",SUMIFS(INDEX(Inputs!$D$4:$AG$250,0,MATCH(N$2,Inputs!$D$2:$AG$2,0)),Inputs!$B$4:$B$250,$B24)/1000)</f>
        <v>0</v>
      </c>
      <c r="O24" s="11">
        <f>IF(O$3=0,"",SUMIFS(INDEX(Inputs!$D$4:$AG$250,0,MATCH(O$2,Inputs!$D$2:$AG$2,0)),Inputs!$B$4:$B$250,$B24)/1000)</f>
        <v>0</v>
      </c>
      <c r="P24" s="11">
        <f>IF(P$3=0,"",SUMIFS(INDEX(Inputs!$D$4:$AG$250,0,MATCH(P$2,Inputs!$D$2:$AG$2,0)),Inputs!$B$4:$B$250,$B24)/1000)</f>
        <v>0</v>
      </c>
      <c r="Q24" s="11">
        <f>IF(Q$3=0,"",SUMIFS(INDEX(Inputs!$D$4:$AG$250,0,MATCH(Q$2,Inputs!$D$2:$AG$2,0)),Inputs!$B$4:$B$250,$B24)/1000)</f>
        <v>0</v>
      </c>
      <c r="R24" s="12">
        <f>IF(Q24="","",Q24)</f>
        <v>0</v>
      </c>
      <c r="S24" s="11">
        <f>IF(S$3=0,"",SUMIFS(INDEX(Inputs!$D$4:$AG$250,0,MATCH(S$2,Inputs!$D$2:$AG$2,0)),Inputs!$B$4:$B$250,$B24)/1000)</f>
        <v>0</v>
      </c>
      <c r="T24" s="11">
        <f>IF(T$3=0,"",SUMIFS(INDEX(Inputs!$D$4:$AG$250,0,MATCH(T$2,Inputs!$D$2:$AG$2,0)),Inputs!$B$4:$B$250,$B24)/1000)</f>
        <v>0</v>
      </c>
      <c r="U24" s="11">
        <f>IF(U$3=0,"",SUMIFS(INDEX(Inputs!$D$4:$AG$250,0,MATCH(U$2,Inputs!$D$2:$AG$2,0)),Inputs!$B$4:$B$250,$B24)/1000)</f>
        <v>0</v>
      </c>
      <c r="V24" s="11">
        <f>IF(V$3=0,"",SUMIFS(INDEX(Inputs!$D$4:$AG$250,0,MATCH(V$2,Inputs!$D$2:$AG$2,0)),Inputs!$B$4:$B$250,$B24)/1000)</f>
        <v>0</v>
      </c>
      <c r="W24" s="12">
        <f>IF(V24="","",V24)</f>
        <v>0</v>
      </c>
      <c r="X24" s="11">
        <f>IF(X$3=0,"",SUMIFS(INDEX(Inputs!$D$4:$AG$250,0,MATCH(X$2,Inputs!$D$2:$AG$2,0)),Inputs!$B$4:$B$250,$B24)/1000)</f>
        <v>0</v>
      </c>
      <c r="Y24" s="11">
        <f>IF(Y$3=0,"",SUMIFS(INDEX(Inputs!$D$4:$AG$250,0,MATCH(Y$2,Inputs!$D$2:$AG$2,0)),Inputs!$B$4:$B$250,$B24)/1000)</f>
        <v>0</v>
      </c>
      <c r="Z24" s="11">
        <f>IF(Z$3=0,"",SUMIFS(INDEX(Inputs!$D$4:$AG$250,0,MATCH(Z$2,Inputs!$D$2:$AG$2,0)),Inputs!$B$4:$B$250,$B24)/1000)</f>
        <v>0</v>
      </c>
      <c r="AA24" s="11">
        <f>IF(AA$3=0,"",SUMIFS(INDEX(Inputs!$D$4:$AG$250,0,MATCH(AA$2,Inputs!$D$2:$AG$2,0)),Inputs!$B$4:$B$250,$B24)/1000)</f>
        <v>0</v>
      </c>
      <c r="AB24" s="12">
        <f>IF(AA24="","",AA24)</f>
        <v>0</v>
      </c>
      <c r="AC24" s="11">
        <f>IF(AC$3=0,"",SUMIFS(INDEX(Inputs!$D$4:$AG$250,0,MATCH(AC$2,Inputs!$D$2:$AG$2,0)),Inputs!$B$4:$B$250,$B24)/1000)</f>
        <v>0</v>
      </c>
      <c r="AD24" s="11">
        <f>IF(AD$3=0,"",SUMIFS(INDEX(Inputs!$D$4:$AG$250,0,MATCH(AD$2,Inputs!$D$2:$AG$2,0)),Inputs!$B$4:$B$250,$B24)/1000)</f>
        <v>0</v>
      </c>
      <c r="AE24" s="11" t="str">
        <f>IF(AE$3=0,"",SUMIFS(INDEX(Inputs!$D$4:$AG$250,0,MATCH(AE$2,Inputs!$D$2:$AG$2,0)),Inputs!$B$4:$B$250,$B24)/1000)</f>
        <v/>
      </c>
      <c r="AF24" s="11" t="str">
        <f>IF(AF$3=0,"",SUMIFS(INDEX(Inputs!$D$4:$AG$250,0,MATCH(AF$2,Inputs!$D$2:$AG$2,0)),Inputs!$B$4:$B$250,$B24)/1000)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IF(D$3=0,"",SUMIFS(INDEX(Inputs!$D$4:$AG$250,0,MATCH(D$2,Inputs!$D$2:$AG$2,0)),Inputs!$B$4:$B$250,$B25)/1000)</f>
        <v>95.247</v>
      </c>
      <c r="E25" s="11">
        <f>IF(E$3=0,"",SUMIFS(INDEX(Inputs!$D$4:$AG$250,0,MATCH(E$2,Inputs!$D$2:$AG$2,0)),Inputs!$B$4:$B$250,$B25)/1000)</f>
        <v>94.179</v>
      </c>
      <c r="F25" s="11">
        <f>IF(F$3=0,"",SUMIFS(INDEX(Inputs!$D$4:$AG$250,0,MATCH(F$2,Inputs!$D$2:$AG$2,0)),Inputs!$B$4:$B$250,$B25)/1000)</f>
        <v>93.08</v>
      </c>
      <c r="G25" s="11">
        <f>IF(G$3=0,"",SUMIFS(INDEX(Inputs!$D$4:$AG$250,0,MATCH(G$2,Inputs!$D$2:$AG$2,0)),Inputs!$B$4:$B$250,$B25)/1000)</f>
        <v>90.841</v>
      </c>
      <c r="H25" s="12">
        <f>IF(G25="","",G25)</f>
        <v>90.841</v>
      </c>
      <c r="I25" s="11">
        <f>IF(I$3=0,"",SUMIFS(INDEX(Inputs!$D$4:$AG$250,0,MATCH(I$2,Inputs!$D$2:$AG$2,0)),Inputs!$B$4:$B$250,$B25)/1000)</f>
        <v>152.468</v>
      </c>
      <c r="J25" s="11">
        <f>IF(J$3=0,"",SUMIFS(INDEX(Inputs!$D$4:$AG$250,0,MATCH(J$2,Inputs!$D$2:$AG$2,0)),Inputs!$B$4:$B$250,$B25)/1000)</f>
        <v>388.625</v>
      </c>
      <c r="K25" s="11">
        <f>IF(K$3=0,"",SUMIFS(INDEX(Inputs!$D$4:$AG$250,0,MATCH(K$2,Inputs!$D$2:$AG$2,0)),Inputs!$B$4:$B$250,$B25)/1000)</f>
        <v>383.428</v>
      </c>
      <c r="L25" s="11">
        <f>IF(L$3=0,"",SUMIFS(INDEX(Inputs!$D$4:$AG$250,0,MATCH(L$2,Inputs!$D$2:$AG$2,0)),Inputs!$B$4:$B$250,$B25)/1000)</f>
        <v>525.522</v>
      </c>
      <c r="M25" s="12">
        <f>IF(L25="","",L25)</f>
        <v>525.522</v>
      </c>
      <c r="N25" s="11">
        <f>IF(N$3=0,"",SUMIFS(INDEX(Inputs!$D$4:$AG$250,0,MATCH(N$2,Inputs!$D$2:$AG$2,0)),Inputs!$B$4:$B$250,$B25)/1000)</f>
        <v>512.881</v>
      </c>
      <c r="O25" s="11">
        <f>IF(O$3=0,"",SUMIFS(INDEX(Inputs!$D$4:$AG$250,0,MATCH(O$2,Inputs!$D$2:$AG$2,0)),Inputs!$B$4:$B$250,$B25)/1000)</f>
        <v>511.514</v>
      </c>
      <c r="P25" s="11">
        <f>IF(P$3=0,"",SUMIFS(INDEX(Inputs!$D$4:$AG$250,0,MATCH(P$2,Inputs!$D$2:$AG$2,0)),Inputs!$B$4:$B$250,$B25)/1000)</f>
        <v>505.445</v>
      </c>
      <c r="Q25" s="11">
        <f>IF(Q$3=0,"",SUMIFS(INDEX(Inputs!$D$4:$AG$250,0,MATCH(Q$2,Inputs!$D$2:$AG$2,0)),Inputs!$B$4:$B$250,$B25)/1000)</f>
        <v>465.87</v>
      </c>
      <c r="R25" s="12">
        <f>IF(Q25="","",Q25)</f>
        <v>465.87</v>
      </c>
      <c r="S25" s="11">
        <f>IF(S$3=0,"",SUMIFS(INDEX(Inputs!$D$4:$AG$250,0,MATCH(S$2,Inputs!$D$2:$AG$2,0)),Inputs!$B$4:$B$250,$B25)/1000)</f>
        <v>459.368</v>
      </c>
      <c r="T25" s="11">
        <f>IF(T$3=0,"",SUMIFS(INDEX(Inputs!$D$4:$AG$250,0,MATCH(T$2,Inputs!$D$2:$AG$2,0)),Inputs!$B$4:$B$250,$B25)/1000)</f>
        <v>452.934</v>
      </c>
      <c r="U25" s="11">
        <f>IF(U$3=0,"",SUMIFS(INDEX(Inputs!$D$4:$AG$250,0,MATCH(U$2,Inputs!$D$2:$AG$2,0)),Inputs!$B$4:$B$250,$B25)/1000)</f>
        <v>481.238</v>
      </c>
      <c r="V25" s="11">
        <f>IF(V$3=0,"",SUMIFS(INDEX(Inputs!$D$4:$AG$250,0,MATCH(V$2,Inputs!$D$2:$AG$2,0)),Inputs!$B$4:$B$250,$B25)/1000)</f>
        <v>450.867</v>
      </c>
      <c r="W25" s="12">
        <f>IF(V25="","",V25)</f>
        <v>450.867</v>
      </c>
      <c r="X25" s="11">
        <f>IF(X$3=0,"",SUMIFS(INDEX(Inputs!$D$4:$AG$250,0,MATCH(X$2,Inputs!$D$2:$AG$2,0)),Inputs!$B$4:$B$250,$B25)/1000)</f>
        <v>453.354</v>
      </c>
      <c r="Y25" s="11">
        <f>IF(Y$3=0,"",SUMIFS(INDEX(Inputs!$D$4:$AG$250,0,MATCH(Y$2,Inputs!$D$2:$AG$2,0)),Inputs!$B$4:$B$250,$B25)/1000)</f>
        <v>448.098</v>
      </c>
      <c r="Z25" s="11">
        <f>IF(Z$3=0,"",SUMIFS(INDEX(Inputs!$D$4:$AG$250,0,MATCH(Z$2,Inputs!$D$2:$AG$2,0)),Inputs!$B$4:$B$250,$B25)/1000)</f>
        <v>442.417</v>
      </c>
      <c r="AA25" s="11">
        <f>IF(AA$3=0,"",SUMIFS(INDEX(Inputs!$D$4:$AG$250,0,MATCH(AA$2,Inputs!$D$2:$AG$2,0)),Inputs!$B$4:$B$250,$B25)/1000)</f>
        <v>490.998</v>
      </c>
      <c r="AB25" s="12">
        <f>IF(AA25="","",AA25)</f>
        <v>490.998</v>
      </c>
      <c r="AC25" s="11">
        <f>IF(AC$3=0,"",SUMIFS(INDEX(Inputs!$D$4:$AG$250,0,MATCH(AC$2,Inputs!$D$2:$AG$2,0)),Inputs!$B$4:$B$250,$B25)/1000)</f>
        <v>485.782</v>
      </c>
      <c r="AD25" s="11">
        <f>IF(AD$3=0,"",SUMIFS(INDEX(Inputs!$D$4:$AG$250,0,MATCH(AD$2,Inputs!$D$2:$AG$2,0)),Inputs!$B$4:$B$250,$B25)/1000)</f>
        <v>3830</v>
      </c>
      <c r="AE25" s="11" t="str">
        <f>IF(AE$3=0,"",SUMIFS(INDEX(Inputs!$D$4:$AG$250,0,MATCH(AE$2,Inputs!$D$2:$AG$2,0)),Inputs!$B$4:$B$250,$B25)/1000)</f>
        <v/>
      </c>
      <c r="AF25" s="11" t="str">
        <f>IF(AF$3=0,"",SUMIFS(INDEX(Inputs!$D$4:$AG$250,0,MATCH(AF$2,Inputs!$D$2:$AG$2,0)),Inputs!$B$4:$B$250,$B25)/1000)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IF(D$3=0,"",SUMIFS(INDEX(Inputs!$D$4:$AG$250,0,MATCH(D$2,Inputs!$D$2:$AG$2,0)),Inputs!$B$4:$B$250,$B26)/1000)</f>
        <v>43.419</v>
      </c>
      <c r="E26" s="11">
        <f>IF(E$3=0,"",SUMIFS(INDEX(Inputs!$D$4:$AG$250,0,MATCH(E$2,Inputs!$D$2:$AG$2,0)),Inputs!$B$4:$B$250,$B26)/1000)</f>
        <v>40.718</v>
      </c>
      <c r="F26" s="11">
        <f>IF(F$3=0,"",SUMIFS(INDEX(Inputs!$D$4:$AG$250,0,MATCH(F$2,Inputs!$D$2:$AG$2,0)),Inputs!$B$4:$B$250,$B26)/1000)</f>
        <v>46.987</v>
      </c>
      <c r="G26" s="11">
        <f>IF(G$3=0,"",SUMIFS(INDEX(Inputs!$D$4:$AG$250,0,MATCH(G$2,Inputs!$D$2:$AG$2,0)),Inputs!$B$4:$B$250,$B26)/1000)</f>
        <v>43.489</v>
      </c>
      <c r="H26" s="12">
        <f>IF(G26="","",G26)</f>
        <v>43.489</v>
      </c>
      <c r="I26" s="11">
        <f>IF(I$3=0,"",SUMIFS(INDEX(Inputs!$D$4:$AG$250,0,MATCH(I$2,Inputs!$D$2:$AG$2,0)),Inputs!$B$4:$B$250,$B26)/1000)</f>
        <v>42.267</v>
      </c>
      <c r="J26" s="11">
        <f>IF(J$3=0,"",SUMIFS(INDEX(Inputs!$D$4:$AG$250,0,MATCH(J$2,Inputs!$D$2:$AG$2,0)),Inputs!$B$4:$B$250,$B26)/1000)</f>
        <v>34.414</v>
      </c>
      <c r="K26" s="11">
        <f>IF(K$3=0,"",SUMIFS(INDEX(Inputs!$D$4:$AG$250,0,MATCH(K$2,Inputs!$D$2:$AG$2,0)),Inputs!$B$4:$B$250,$B26)/1000)</f>
        <v>41.127</v>
      </c>
      <c r="L26" s="11">
        <f>IF(L$3=0,"",SUMIFS(INDEX(Inputs!$D$4:$AG$250,0,MATCH(L$2,Inputs!$D$2:$AG$2,0)),Inputs!$B$4:$B$250,$B26)/1000)</f>
        <v>42.652</v>
      </c>
      <c r="M26" s="12">
        <f>IF(L26="","",L26)</f>
        <v>42.652</v>
      </c>
      <c r="N26" s="11">
        <f>IF(N$3=0,"",SUMIFS(INDEX(Inputs!$D$4:$AG$250,0,MATCH(N$2,Inputs!$D$2:$AG$2,0)),Inputs!$B$4:$B$250,$B26)/1000)</f>
        <v>44.296</v>
      </c>
      <c r="O26" s="11">
        <f>IF(O$3=0,"",SUMIFS(INDEX(Inputs!$D$4:$AG$250,0,MATCH(O$2,Inputs!$D$2:$AG$2,0)),Inputs!$B$4:$B$250,$B26)/1000)</f>
        <v>35.607</v>
      </c>
      <c r="P26" s="11">
        <f>IF(P$3=0,"",SUMIFS(INDEX(Inputs!$D$4:$AG$250,0,MATCH(P$2,Inputs!$D$2:$AG$2,0)),Inputs!$B$4:$B$250,$B26)/1000)</f>
        <v>41.664</v>
      </c>
      <c r="Q26" s="11">
        <f>IF(Q$3=0,"",SUMIFS(INDEX(Inputs!$D$4:$AG$250,0,MATCH(Q$2,Inputs!$D$2:$AG$2,0)),Inputs!$B$4:$B$250,$B26)/1000)</f>
        <v>67.157</v>
      </c>
      <c r="R26" s="12">
        <f>IF(Q26="","",Q26)</f>
        <v>67.157</v>
      </c>
      <c r="S26" s="11">
        <f>IF(S$3=0,"",SUMIFS(INDEX(Inputs!$D$4:$AG$250,0,MATCH(S$2,Inputs!$D$2:$AG$2,0)),Inputs!$B$4:$B$250,$B26)/1000)</f>
        <v>67.678</v>
      </c>
      <c r="T26" s="11">
        <f>IF(T$3=0,"",SUMIFS(INDEX(Inputs!$D$4:$AG$250,0,MATCH(T$2,Inputs!$D$2:$AG$2,0)),Inputs!$B$4:$B$250,$B26)/1000)</f>
        <v>73.183</v>
      </c>
      <c r="U26" s="11">
        <f>IF(U$3=0,"",SUMIFS(INDEX(Inputs!$D$4:$AG$250,0,MATCH(U$2,Inputs!$D$2:$AG$2,0)),Inputs!$B$4:$B$250,$B26)/1000)</f>
        <v>83.305</v>
      </c>
      <c r="V26" s="11">
        <f>IF(V$3=0,"",SUMIFS(INDEX(Inputs!$D$4:$AG$250,0,MATCH(V$2,Inputs!$D$2:$AG$2,0)),Inputs!$B$4:$B$250,$B26)/1000)</f>
        <v>123.991</v>
      </c>
      <c r="W26" s="12">
        <f>IF(V26="","",V26)</f>
        <v>123.991</v>
      </c>
      <c r="X26" s="11">
        <f>IF(X$3=0,"",SUMIFS(INDEX(Inputs!$D$4:$AG$250,0,MATCH(X$2,Inputs!$D$2:$AG$2,0)),Inputs!$B$4:$B$250,$B26)/1000)</f>
        <v>110.673</v>
      </c>
      <c r="Y26" s="11">
        <f>IF(Y$3=0,"",SUMIFS(INDEX(Inputs!$D$4:$AG$250,0,MATCH(Y$2,Inputs!$D$2:$AG$2,0)),Inputs!$B$4:$B$250,$B26)/1000)</f>
        <v>121.241</v>
      </c>
      <c r="Z26" s="11">
        <f>IF(Z$3=0,"",SUMIFS(INDEX(Inputs!$D$4:$AG$250,0,MATCH(Z$2,Inputs!$D$2:$AG$2,0)),Inputs!$B$4:$B$250,$B26)/1000)</f>
        <v>116.744</v>
      </c>
      <c r="AA26" s="11">
        <f>IF(AA$3=0,"",SUMIFS(INDEX(Inputs!$D$4:$AG$250,0,MATCH(AA$2,Inputs!$D$2:$AG$2,0)),Inputs!$B$4:$B$250,$B26)/1000)</f>
        <v>89.375</v>
      </c>
      <c r="AB26" s="12">
        <f>IF(AA26="","",AA26)</f>
        <v>89.375</v>
      </c>
      <c r="AC26" s="11">
        <f>IF(AC$3=0,"",SUMIFS(INDEX(Inputs!$D$4:$AG$250,0,MATCH(AC$2,Inputs!$D$2:$AG$2,0)),Inputs!$B$4:$B$250,$B26)/1000)</f>
        <v>106.819</v>
      </c>
      <c r="AD26" s="11">
        <f>IF(AD$3=0,"",SUMIFS(INDEX(Inputs!$D$4:$AG$250,0,MATCH(AD$2,Inputs!$D$2:$AG$2,0)),Inputs!$B$4:$B$250,$B26)/1000)</f>
        <v>1069.092</v>
      </c>
      <c r="AE26" s="11" t="str">
        <f>IF(AE$3=0,"",SUMIFS(INDEX(Inputs!$D$4:$AG$250,0,MATCH(AE$2,Inputs!$D$2:$AG$2,0)),Inputs!$B$4:$B$250,$B26)/1000)</f>
        <v/>
      </c>
      <c r="AF26" s="11" t="str">
        <f>IF(AF$3=0,"",SUMIFS(INDEX(Inputs!$D$4:$AG$250,0,MATCH(AF$2,Inputs!$D$2:$AG$2,0)),Inputs!$B$4:$B$250,$B26)/1000)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IF(D$3=0,"",SUMIFS(INDEX(Inputs!$D$4:$AG$250,0,MATCH(D$2,Inputs!$D$2:$AG$2,0)),Inputs!$B$4:$B$250,$B28)/1000)</f>
        <v>42.128</v>
      </c>
      <c r="E28" s="11">
        <f>IF(E$3=0,"",SUMIFS(INDEX(Inputs!$D$4:$AG$250,0,MATCH(E$2,Inputs!$D$2:$AG$2,0)),Inputs!$B$4:$B$250,$B28)/1000)</f>
        <v>32.44</v>
      </c>
      <c r="F28" s="11">
        <f>IF(F$3=0,"",SUMIFS(INDEX(Inputs!$D$4:$AG$250,0,MATCH(F$2,Inputs!$D$2:$AG$2,0)),Inputs!$B$4:$B$250,$B28)/1000)</f>
        <v>25.454</v>
      </c>
      <c r="G28" s="11">
        <f>IF(G$3=0,"",SUMIFS(INDEX(Inputs!$D$4:$AG$250,0,MATCH(G$2,Inputs!$D$2:$AG$2,0)),Inputs!$B$4:$B$250,$B28)/1000)</f>
        <v>43.81</v>
      </c>
      <c r="H28" s="12">
        <f>IF(G28="","",G28)</f>
        <v>43.81</v>
      </c>
      <c r="I28" s="11">
        <f>IF(I$3=0,"",SUMIFS(INDEX(Inputs!$D$4:$AG$250,0,MATCH(I$2,Inputs!$D$2:$AG$2,0)),Inputs!$B$4:$B$250,$B28)/1000)</f>
        <v>62.081</v>
      </c>
      <c r="J28" s="11">
        <f>IF(J$3=0,"",SUMIFS(INDEX(Inputs!$D$4:$AG$250,0,MATCH(J$2,Inputs!$D$2:$AG$2,0)),Inputs!$B$4:$B$250,$B28)/1000)</f>
        <v>72.522</v>
      </c>
      <c r="K28" s="11">
        <f>IF(K$3=0,"",SUMIFS(INDEX(Inputs!$D$4:$AG$250,0,MATCH(K$2,Inputs!$D$2:$AG$2,0)),Inputs!$B$4:$B$250,$B28)/1000)</f>
        <v>71.976</v>
      </c>
      <c r="L28" s="11">
        <f>IF(L$3=0,"",SUMIFS(INDEX(Inputs!$D$4:$AG$250,0,MATCH(L$2,Inputs!$D$2:$AG$2,0)),Inputs!$B$4:$B$250,$B28)/1000)</f>
        <v>65.821</v>
      </c>
      <c r="M28" s="12">
        <f>IF(L28="","",L28)</f>
        <v>65.821</v>
      </c>
      <c r="N28" s="11">
        <f>IF(N$3=0,"",SUMIFS(INDEX(Inputs!$D$4:$AG$250,0,MATCH(N$2,Inputs!$D$2:$AG$2,0)),Inputs!$B$4:$B$250,$B28)/1000)</f>
        <v>64.489</v>
      </c>
      <c r="O28" s="11">
        <f>IF(O$3=0,"",SUMIFS(INDEX(Inputs!$D$4:$AG$250,0,MATCH(O$2,Inputs!$D$2:$AG$2,0)),Inputs!$B$4:$B$250,$B28)/1000)</f>
        <v>50.98</v>
      </c>
      <c r="P28" s="11">
        <f>IF(P$3=0,"",SUMIFS(INDEX(Inputs!$D$4:$AG$250,0,MATCH(P$2,Inputs!$D$2:$AG$2,0)),Inputs!$B$4:$B$250,$B28)/1000)</f>
        <v>51.059</v>
      </c>
      <c r="Q28" s="11">
        <f>IF(Q$3=0,"",SUMIFS(INDEX(Inputs!$D$4:$AG$250,0,MATCH(Q$2,Inputs!$D$2:$AG$2,0)),Inputs!$B$4:$B$250,$B28)/1000)</f>
        <v>59.533</v>
      </c>
      <c r="R28" s="12">
        <f>IF(Q28="","",Q28)</f>
        <v>59.533</v>
      </c>
      <c r="S28" s="11">
        <f>IF(S$3=0,"",SUMIFS(INDEX(Inputs!$D$4:$AG$250,0,MATCH(S$2,Inputs!$D$2:$AG$2,0)),Inputs!$B$4:$B$250,$B28)/1000)</f>
        <v>52.949</v>
      </c>
      <c r="T28" s="11">
        <f>IF(T$3=0,"",SUMIFS(INDEX(Inputs!$D$4:$AG$250,0,MATCH(T$2,Inputs!$D$2:$AG$2,0)),Inputs!$B$4:$B$250,$B28)/1000)</f>
        <v>66.999</v>
      </c>
      <c r="U28" s="11">
        <f>IF(U$3=0,"",SUMIFS(INDEX(Inputs!$D$4:$AG$250,0,MATCH(U$2,Inputs!$D$2:$AG$2,0)),Inputs!$B$4:$B$250,$B28)/1000)</f>
        <v>68.396</v>
      </c>
      <c r="V28" s="11">
        <f>IF(V$3=0,"",SUMIFS(INDEX(Inputs!$D$4:$AG$250,0,MATCH(V$2,Inputs!$D$2:$AG$2,0)),Inputs!$B$4:$B$250,$B28)/1000)</f>
        <v>106.723</v>
      </c>
      <c r="W28" s="12">
        <f>IF(V28="","",V28)</f>
        <v>106.723</v>
      </c>
      <c r="X28" s="11">
        <f>IF(X$3=0,"",SUMIFS(INDEX(Inputs!$D$4:$AG$250,0,MATCH(X$2,Inputs!$D$2:$AG$2,0)),Inputs!$B$4:$B$250,$B28)/1000)</f>
        <v>111.86</v>
      </c>
      <c r="Y28" s="11">
        <f>IF(Y$3=0,"",SUMIFS(INDEX(Inputs!$D$4:$AG$250,0,MATCH(Y$2,Inputs!$D$2:$AG$2,0)),Inputs!$B$4:$B$250,$B28)/1000)</f>
        <v>178.175</v>
      </c>
      <c r="Z28" s="11">
        <f>IF(Z$3=0,"",SUMIFS(INDEX(Inputs!$D$4:$AG$250,0,MATCH(Z$2,Inputs!$D$2:$AG$2,0)),Inputs!$B$4:$B$250,$B28)/1000)</f>
        <v>138.488</v>
      </c>
      <c r="AA28" s="11">
        <f>IF(AA$3=0,"",SUMIFS(INDEX(Inputs!$D$4:$AG$250,0,MATCH(AA$2,Inputs!$D$2:$AG$2,0)),Inputs!$B$4:$B$250,$B28)/1000)</f>
        <v>145.788</v>
      </c>
      <c r="AB28" s="12">
        <f>IF(AA28="","",AA28)</f>
        <v>145.788</v>
      </c>
      <c r="AC28" s="11">
        <f>IF(AC$3=0,"",SUMIFS(INDEX(Inputs!$D$4:$AG$250,0,MATCH(AC$2,Inputs!$D$2:$AG$2,0)),Inputs!$B$4:$B$250,$B28)/1000)</f>
        <v>167.965</v>
      </c>
      <c r="AD28" s="11">
        <f>IF(AD$3=0,"",SUMIFS(INDEX(Inputs!$D$4:$AG$250,0,MATCH(AD$2,Inputs!$D$2:$AG$2,0)),Inputs!$B$4:$B$250,$B28)/1000)</f>
        <v>365.033</v>
      </c>
      <c r="AE28" s="11" t="str">
        <f>IF(AE$3=0,"",SUMIFS(INDEX(Inputs!$D$4:$AG$250,0,MATCH(AE$2,Inputs!$D$2:$AG$2,0)),Inputs!$B$4:$B$250,$B28)/1000)</f>
        <v/>
      </c>
      <c r="AF28" s="11" t="str">
        <f>IF(AF$3=0,"",SUMIFS(INDEX(Inputs!$D$4:$AG$250,0,MATCH(AF$2,Inputs!$D$2:$AG$2,0)),Inputs!$B$4:$B$250,$B28)/1000)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IF(D$3=0,"",SUMIFS(INDEX(Inputs!$D$4:$AG$250,0,MATCH(D$2,Inputs!$D$2:$AG$2,0)),Inputs!$B$4:$B$250,$B29)/1000)</f>
        <v>35.839</v>
      </c>
      <c r="E29" s="11">
        <f>IF(E$3=0,"",SUMIFS(INDEX(Inputs!$D$4:$AG$250,0,MATCH(E$2,Inputs!$D$2:$AG$2,0)),Inputs!$B$4:$B$250,$B29)/1000)</f>
        <v>36.049</v>
      </c>
      <c r="F29" s="11">
        <f>IF(F$3=0,"",SUMIFS(INDEX(Inputs!$D$4:$AG$250,0,MATCH(F$2,Inputs!$D$2:$AG$2,0)),Inputs!$B$4:$B$250,$B29)/1000)</f>
        <v>16.333</v>
      </c>
      <c r="G29" s="11">
        <f>IF(G$3=0,"",SUMIFS(INDEX(Inputs!$D$4:$AG$250,0,MATCH(G$2,Inputs!$D$2:$AG$2,0)),Inputs!$B$4:$B$250,$B29)/1000)</f>
        <v>12.71</v>
      </c>
      <c r="H29" s="12">
        <f>IF(G29="","",G29)</f>
        <v>12.71</v>
      </c>
      <c r="I29" s="11">
        <f>IF(I$3=0,"",SUMIFS(INDEX(Inputs!$D$4:$AG$250,0,MATCH(I$2,Inputs!$D$2:$AG$2,0)),Inputs!$B$4:$B$250,$B29)/1000)</f>
        <v>15.611</v>
      </c>
      <c r="J29" s="11">
        <f>IF(J$3=0,"",SUMIFS(INDEX(Inputs!$D$4:$AG$250,0,MATCH(J$2,Inputs!$D$2:$AG$2,0)),Inputs!$B$4:$B$250,$B29)/1000)</f>
        <v>27.959</v>
      </c>
      <c r="K29" s="11">
        <f>IF(K$3=0,"",SUMIFS(INDEX(Inputs!$D$4:$AG$250,0,MATCH(K$2,Inputs!$D$2:$AG$2,0)),Inputs!$B$4:$B$250,$B29)/1000)</f>
        <v>32.059</v>
      </c>
      <c r="L29" s="11">
        <f>IF(L$3=0,"",SUMIFS(INDEX(Inputs!$D$4:$AG$250,0,MATCH(L$2,Inputs!$D$2:$AG$2,0)),Inputs!$B$4:$B$250,$B29)/1000)</f>
        <v>24.849</v>
      </c>
      <c r="M29" s="12">
        <f>IF(L29="","",L29)</f>
        <v>24.849</v>
      </c>
      <c r="N29" s="11">
        <f>IF(N$3=0,"",SUMIFS(INDEX(Inputs!$D$4:$AG$250,0,MATCH(N$2,Inputs!$D$2:$AG$2,0)),Inputs!$B$4:$B$250,$B29)/1000)</f>
        <v>28.625</v>
      </c>
      <c r="O29" s="11">
        <f>IF(O$3=0,"",SUMIFS(INDEX(Inputs!$D$4:$AG$250,0,MATCH(O$2,Inputs!$D$2:$AG$2,0)),Inputs!$B$4:$B$250,$B29)/1000)</f>
        <v>31.021</v>
      </c>
      <c r="P29" s="11">
        <f>IF(P$3=0,"",SUMIFS(INDEX(Inputs!$D$4:$AG$250,0,MATCH(P$2,Inputs!$D$2:$AG$2,0)),Inputs!$B$4:$B$250,$B29)/1000)</f>
        <v>34.131</v>
      </c>
      <c r="Q29" s="11">
        <f>IF(Q$3=0,"",SUMIFS(INDEX(Inputs!$D$4:$AG$250,0,MATCH(Q$2,Inputs!$D$2:$AG$2,0)),Inputs!$B$4:$B$250,$B29)/1000)</f>
        <v>25.248</v>
      </c>
      <c r="R29" s="12">
        <f>IF(Q29="","",Q29)</f>
        <v>25.248</v>
      </c>
      <c r="S29" s="11">
        <f>IF(S$3=0,"",SUMIFS(INDEX(Inputs!$D$4:$AG$250,0,MATCH(S$2,Inputs!$D$2:$AG$2,0)),Inputs!$B$4:$B$250,$B29)/1000)</f>
        <v>28.991</v>
      </c>
      <c r="T29" s="11">
        <f>IF(T$3=0,"",SUMIFS(INDEX(Inputs!$D$4:$AG$250,0,MATCH(T$2,Inputs!$D$2:$AG$2,0)),Inputs!$B$4:$B$250,$B29)/1000)</f>
        <v>34.013</v>
      </c>
      <c r="U29" s="11">
        <f>IF(U$3=0,"",SUMIFS(INDEX(Inputs!$D$4:$AG$250,0,MATCH(U$2,Inputs!$D$2:$AG$2,0)),Inputs!$B$4:$B$250,$B29)/1000)</f>
        <v>36.196</v>
      </c>
      <c r="V29" s="11">
        <f>IF(V$3=0,"",SUMIFS(INDEX(Inputs!$D$4:$AG$250,0,MATCH(V$2,Inputs!$D$2:$AG$2,0)),Inputs!$B$4:$B$250,$B29)/1000)</f>
        <v>32.093</v>
      </c>
      <c r="W29" s="12">
        <f>IF(V29="","",V29)</f>
        <v>32.093</v>
      </c>
      <c r="X29" s="11">
        <f>IF(X$3=0,"",SUMIFS(INDEX(Inputs!$D$4:$AG$250,0,MATCH(X$2,Inputs!$D$2:$AG$2,0)),Inputs!$B$4:$B$250,$B29)/1000)</f>
        <v>33.649</v>
      </c>
      <c r="Y29" s="11">
        <f>IF(Y$3=0,"",SUMIFS(INDEX(Inputs!$D$4:$AG$250,0,MATCH(Y$2,Inputs!$D$2:$AG$2,0)),Inputs!$B$4:$B$250,$B29)/1000)</f>
        <v>38.644</v>
      </c>
      <c r="Z29" s="11">
        <f>IF(Z$3=0,"",SUMIFS(INDEX(Inputs!$D$4:$AG$250,0,MATCH(Z$2,Inputs!$D$2:$AG$2,0)),Inputs!$B$4:$B$250,$B29)/1000)</f>
        <v>40.727</v>
      </c>
      <c r="AA29" s="11">
        <f>IF(AA$3=0,"",SUMIFS(INDEX(Inputs!$D$4:$AG$250,0,MATCH(AA$2,Inputs!$D$2:$AG$2,0)),Inputs!$B$4:$B$250,$B29)/1000)</f>
        <v>31.894</v>
      </c>
      <c r="AB29" s="12">
        <f>IF(AA29="","",AA29)</f>
        <v>31.894</v>
      </c>
      <c r="AC29" s="11">
        <f>IF(AC$3=0,"",SUMIFS(INDEX(Inputs!$D$4:$AG$250,0,MATCH(AC$2,Inputs!$D$2:$AG$2,0)),Inputs!$B$4:$B$250,$B29)/1000)</f>
        <v>35.72</v>
      </c>
      <c r="AD29" s="11">
        <f>IF(AD$3=0,"",SUMIFS(INDEX(Inputs!$D$4:$AG$250,0,MATCH(AD$2,Inputs!$D$2:$AG$2,0)),Inputs!$B$4:$B$250,$B29)/1000)</f>
        <v>219.628</v>
      </c>
      <c r="AE29" s="11" t="str">
        <f>IF(AE$3=0,"",SUMIFS(INDEX(Inputs!$D$4:$AG$250,0,MATCH(AE$2,Inputs!$D$2:$AG$2,0)),Inputs!$B$4:$B$250,$B29)/1000)</f>
        <v/>
      </c>
      <c r="AF29" s="11" t="str">
        <f>IF(AF$3=0,"",SUMIFS(INDEX(Inputs!$D$4:$AG$250,0,MATCH(AF$2,Inputs!$D$2:$AG$2,0)),Inputs!$B$4:$B$250,$B29)/1000)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IF(D$3=0,"",SUMIFS(INDEX(Inputs!$D$4:$AG$250,0,MATCH(D$2,Inputs!$D$2:$AG$2,0)),Inputs!$B$4:$B$250,$B30)/1000)</f>
        <v>42.497</v>
      </c>
      <c r="E30" s="11">
        <f>IF(E$3=0,"",SUMIFS(INDEX(Inputs!$D$4:$AG$250,0,MATCH(E$2,Inputs!$D$2:$AG$2,0)),Inputs!$B$4:$B$250,$B30)/1000)</f>
        <v>42.4</v>
      </c>
      <c r="F30" s="11">
        <f>IF(F$3=0,"",SUMIFS(INDEX(Inputs!$D$4:$AG$250,0,MATCH(F$2,Inputs!$D$2:$AG$2,0)),Inputs!$B$4:$B$250,$B30)/1000)</f>
        <v>41.358</v>
      </c>
      <c r="G30" s="11">
        <f>IF(G$3=0,"",SUMIFS(INDEX(Inputs!$D$4:$AG$250,0,MATCH(G$2,Inputs!$D$2:$AG$2,0)),Inputs!$B$4:$B$250,$B30)/1000)</f>
        <v>38.874</v>
      </c>
      <c r="H30" s="12">
        <f>IF(G30="","",G30)</f>
        <v>38.874</v>
      </c>
      <c r="I30" s="11">
        <f>IF(I$3=0,"",SUMIFS(INDEX(Inputs!$D$4:$AG$250,0,MATCH(I$2,Inputs!$D$2:$AG$2,0)),Inputs!$B$4:$B$250,$B30)/1000)</f>
        <v>32.61</v>
      </c>
      <c r="J30" s="11">
        <f>IF(J$3=0,"",SUMIFS(INDEX(Inputs!$D$4:$AG$250,0,MATCH(J$2,Inputs!$D$2:$AG$2,0)),Inputs!$B$4:$B$250,$B30)/1000)</f>
        <v>46.395</v>
      </c>
      <c r="K30" s="11">
        <f>IF(K$3=0,"",SUMIFS(INDEX(Inputs!$D$4:$AG$250,0,MATCH(K$2,Inputs!$D$2:$AG$2,0)),Inputs!$B$4:$B$250,$B30)/1000)</f>
        <v>52.869</v>
      </c>
      <c r="L30" s="11">
        <f>IF(L$3=0,"",SUMIFS(INDEX(Inputs!$D$4:$AG$250,0,MATCH(L$2,Inputs!$D$2:$AG$2,0)),Inputs!$B$4:$B$250,$B30)/1000)</f>
        <v>66.577</v>
      </c>
      <c r="M30" s="12">
        <f>IF(L30="","",L30)</f>
        <v>66.577</v>
      </c>
      <c r="N30" s="11">
        <f>IF(N$3=0,"",SUMIFS(INDEX(Inputs!$D$4:$AG$250,0,MATCH(N$2,Inputs!$D$2:$AG$2,0)),Inputs!$B$4:$B$250,$B30)/1000)</f>
        <v>63.616</v>
      </c>
      <c r="O30" s="11">
        <f>IF(O$3=0,"",SUMIFS(INDEX(Inputs!$D$4:$AG$250,0,MATCH(O$2,Inputs!$D$2:$AG$2,0)),Inputs!$B$4:$B$250,$B30)/1000)</f>
        <v>55.713</v>
      </c>
      <c r="P30" s="11">
        <f>IF(P$3=0,"",SUMIFS(INDEX(Inputs!$D$4:$AG$250,0,MATCH(P$2,Inputs!$D$2:$AG$2,0)),Inputs!$B$4:$B$250,$B30)/1000)</f>
        <v>55.957</v>
      </c>
      <c r="Q30" s="11">
        <f>IF(Q$3=0,"",SUMIFS(INDEX(Inputs!$D$4:$AG$250,0,MATCH(Q$2,Inputs!$D$2:$AG$2,0)),Inputs!$B$4:$B$250,$B30)/1000)</f>
        <v>56.131</v>
      </c>
      <c r="R30" s="12">
        <f>IF(Q30="","",Q30)</f>
        <v>56.131</v>
      </c>
      <c r="S30" s="11">
        <f>IF(S$3=0,"",SUMIFS(INDEX(Inputs!$D$4:$AG$250,0,MATCH(S$2,Inputs!$D$2:$AG$2,0)),Inputs!$B$4:$B$250,$B30)/1000)</f>
        <v>64.613</v>
      </c>
      <c r="T30" s="11">
        <f>IF(T$3=0,"",SUMIFS(INDEX(Inputs!$D$4:$AG$250,0,MATCH(T$2,Inputs!$D$2:$AG$2,0)),Inputs!$B$4:$B$250,$B30)/1000)</f>
        <v>58.701</v>
      </c>
      <c r="U30" s="11">
        <f>IF(U$3=0,"",SUMIFS(INDEX(Inputs!$D$4:$AG$250,0,MATCH(U$2,Inputs!$D$2:$AG$2,0)),Inputs!$B$4:$B$250,$B30)/1000)</f>
        <v>55.928</v>
      </c>
      <c r="V30" s="11">
        <f>IF(V$3=0,"",SUMIFS(INDEX(Inputs!$D$4:$AG$250,0,MATCH(V$2,Inputs!$D$2:$AG$2,0)),Inputs!$B$4:$B$250,$B30)/1000)</f>
        <v>67.449</v>
      </c>
      <c r="W30" s="12">
        <f>IF(V30="","",V30)</f>
        <v>67.449</v>
      </c>
      <c r="X30" s="11">
        <f>IF(X$3=0,"",SUMIFS(INDEX(Inputs!$D$4:$AG$250,0,MATCH(X$2,Inputs!$D$2:$AG$2,0)),Inputs!$B$4:$B$250,$B30)/1000)</f>
        <v>61.144</v>
      </c>
      <c r="Y30" s="11">
        <f>IF(Y$3=0,"",SUMIFS(INDEX(Inputs!$D$4:$AG$250,0,MATCH(Y$2,Inputs!$D$2:$AG$2,0)),Inputs!$B$4:$B$250,$B30)/1000)</f>
        <v>59.377</v>
      </c>
      <c r="Z30" s="11">
        <f>IF(Z$3=0,"",SUMIFS(INDEX(Inputs!$D$4:$AG$250,0,MATCH(Z$2,Inputs!$D$2:$AG$2,0)),Inputs!$B$4:$B$250,$B30)/1000)</f>
        <v>61.971</v>
      </c>
      <c r="AA30" s="11">
        <f>IF(AA$3=0,"",SUMIFS(INDEX(Inputs!$D$4:$AG$250,0,MATCH(AA$2,Inputs!$D$2:$AG$2,0)),Inputs!$B$4:$B$250,$B30)/1000)</f>
        <v>57.697</v>
      </c>
      <c r="AB30" s="12">
        <f>IF(AA30="","",AA30)</f>
        <v>57.697</v>
      </c>
      <c r="AC30" s="11">
        <f>IF(AC$3=0,"",SUMIFS(INDEX(Inputs!$D$4:$AG$250,0,MATCH(AC$2,Inputs!$D$2:$AG$2,0)),Inputs!$B$4:$B$250,$B30)/1000)</f>
        <v>69.464</v>
      </c>
      <c r="AD30" s="11">
        <f>IF(AD$3=0,"",SUMIFS(INDEX(Inputs!$D$4:$AG$250,0,MATCH(AD$2,Inputs!$D$2:$AG$2,0)),Inputs!$B$4:$B$250,$B30)/1000)</f>
        <v>109.744</v>
      </c>
      <c r="AE30" s="11" t="str">
        <f>IF(AE$3=0,"",SUMIFS(INDEX(Inputs!$D$4:$AG$250,0,MATCH(AE$2,Inputs!$D$2:$AG$2,0)),Inputs!$B$4:$B$250,$B30)/1000)</f>
        <v/>
      </c>
      <c r="AF30" s="11" t="str">
        <f>IF(AF$3=0,"",SUMIFS(INDEX(Inputs!$D$4:$AG$250,0,MATCH(AF$2,Inputs!$D$2:$AG$2,0)),Inputs!$B$4:$B$250,$B30)/1000)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IF(D$3=0,"",SUMIFS(INDEX(Inputs!$D$4:$AG$250,0,MATCH(D$2,Inputs!$D$2:$AG$2,0)),Inputs!$B$4:$B$250,$B31)/1000)</f>
        <v>63.641</v>
      </c>
      <c r="E31" s="11">
        <f>IF(E$3=0,"",SUMIFS(INDEX(Inputs!$D$4:$AG$250,0,MATCH(E$2,Inputs!$D$2:$AG$2,0)),Inputs!$B$4:$B$250,$B31)/1000)</f>
        <v>75.452</v>
      </c>
      <c r="F31" s="11">
        <f>IF(F$3=0,"",SUMIFS(INDEX(Inputs!$D$4:$AG$250,0,MATCH(F$2,Inputs!$D$2:$AG$2,0)),Inputs!$B$4:$B$250,$B31)/1000)</f>
        <v>59.132</v>
      </c>
      <c r="G31" s="11">
        <f>IF(G$3=0,"",SUMIFS(INDEX(Inputs!$D$4:$AG$250,0,MATCH(G$2,Inputs!$D$2:$AG$2,0)),Inputs!$B$4:$B$250,$B31)/1000)</f>
        <v>67.325</v>
      </c>
      <c r="H31" s="12">
        <f>IF(G31="","",G31)</f>
        <v>67.325</v>
      </c>
      <c r="I31" s="11">
        <f>IF(I$3=0,"",SUMIFS(INDEX(Inputs!$D$4:$AG$250,0,MATCH(I$2,Inputs!$D$2:$AG$2,0)),Inputs!$B$4:$B$250,$B31)/1000)</f>
        <v>70.444</v>
      </c>
      <c r="J31" s="11">
        <f>IF(J$3=0,"",SUMIFS(INDEX(Inputs!$D$4:$AG$250,0,MATCH(J$2,Inputs!$D$2:$AG$2,0)),Inputs!$B$4:$B$250,$B31)/1000)</f>
        <v>69.793</v>
      </c>
      <c r="K31" s="11">
        <f>IF(K$3=0,"",SUMIFS(INDEX(Inputs!$D$4:$AG$250,0,MATCH(K$2,Inputs!$D$2:$AG$2,0)),Inputs!$B$4:$B$250,$B31)/1000)</f>
        <v>79.96</v>
      </c>
      <c r="L31" s="11">
        <f>IF(L$3=0,"",SUMIFS(INDEX(Inputs!$D$4:$AG$250,0,MATCH(L$2,Inputs!$D$2:$AG$2,0)),Inputs!$B$4:$B$250,$B31)/1000)</f>
        <v>112.808</v>
      </c>
      <c r="M31" s="12">
        <f>IF(L31="","",L31)</f>
        <v>112.808</v>
      </c>
      <c r="N31" s="11">
        <f>IF(N$3=0,"",SUMIFS(INDEX(Inputs!$D$4:$AG$250,0,MATCH(N$2,Inputs!$D$2:$AG$2,0)),Inputs!$B$4:$B$250,$B31)/1000)</f>
        <v>86.146</v>
      </c>
      <c r="O31" s="11">
        <f>IF(O$3=0,"",SUMIFS(INDEX(Inputs!$D$4:$AG$250,0,MATCH(O$2,Inputs!$D$2:$AG$2,0)),Inputs!$B$4:$B$250,$B31)/1000)</f>
        <v>70.791</v>
      </c>
      <c r="P31" s="11">
        <f>IF(P$3=0,"",SUMIFS(INDEX(Inputs!$D$4:$AG$250,0,MATCH(P$2,Inputs!$D$2:$AG$2,0)),Inputs!$B$4:$B$250,$B31)/1000)</f>
        <v>61.56</v>
      </c>
      <c r="Q31" s="11">
        <f>IF(Q$3=0,"",SUMIFS(INDEX(Inputs!$D$4:$AG$250,0,MATCH(Q$2,Inputs!$D$2:$AG$2,0)),Inputs!$B$4:$B$250,$B31)/1000)</f>
        <v>42.879</v>
      </c>
      <c r="R31" s="12">
        <f>IF(Q31="","",Q31)</f>
        <v>42.879</v>
      </c>
      <c r="S31" s="11">
        <f>IF(S$3=0,"",SUMIFS(INDEX(Inputs!$D$4:$AG$250,0,MATCH(S$2,Inputs!$D$2:$AG$2,0)),Inputs!$B$4:$B$250,$B31)/1000)</f>
        <v>41.462</v>
      </c>
      <c r="T31" s="11">
        <f>IF(T$3=0,"",SUMIFS(INDEX(Inputs!$D$4:$AG$250,0,MATCH(T$2,Inputs!$D$2:$AG$2,0)),Inputs!$B$4:$B$250,$B31)/1000)</f>
        <v>38.597</v>
      </c>
      <c r="U31" s="11">
        <f>IF(U$3=0,"",SUMIFS(INDEX(Inputs!$D$4:$AG$250,0,MATCH(U$2,Inputs!$D$2:$AG$2,0)),Inputs!$B$4:$B$250,$B31)/1000)</f>
        <v>38.621</v>
      </c>
      <c r="V31" s="11">
        <f>IF(V$3=0,"",SUMIFS(INDEX(Inputs!$D$4:$AG$250,0,MATCH(V$2,Inputs!$D$2:$AG$2,0)),Inputs!$B$4:$B$250,$B31)/1000)</f>
        <v>30.552</v>
      </c>
      <c r="W31" s="12">
        <f>IF(V31="","",V31)</f>
        <v>30.552</v>
      </c>
      <c r="X31" s="11">
        <f>IF(X$3=0,"",SUMIFS(INDEX(Inputs!$D$4:$AG$250,0,MATCH(X$2,Inputs!$D$2:$AG$2,0)),Inputs!$B$4:$B$250,$B31)/1000)</f>
        <v>24.081</v>
      </c>
      <c r="Y31" s="11">
        <f>IF(Y$3=0,"",SUMIFS(INDEX(Inputs!$D$4:$AG$250,0,MATCH(Y$2,Inputs!$D$2:$AG$2,0)),Inputs!$B$4:$B$250,$B31)/1000)</f>
        <v>26.99</v>
      </c>
      <c r="Z31" s="11">
        <f>IF(Z$3=0,"",SUMIFS(INDEX(Inputs!$D$4:$AG$250,0,MATCH(Z$2,Inputs!$D$2:$AG$2,0)),Inputs!$B$4:$B$250,$B31)/1000)</f>
        <v>25.007</v>
      </c>
      <c r="AA31" s="11">
        <f>IF(AA$3=0,"",SUMIFS(INDEX(Inputs!$D$4:$AG$250,0,MATCH(AA$2,Inputs!$D$2:$AG$2,0)),Inputs!$B$4:$B$250,$B31)/1000)</f>
        <v>106.368</v>
      </c>
      <c r="AB31" s="12">
        <f>IF(AA31="","",AA31)</f>
        <v>106.368</v>
      </c>
      <c r="AC31" s="11">
        <f>IF(AC$3=0,"",SUMIFS(INDEX(Inputs!$D$4:$AG$250,0,MATCH(AC$2,Inputs!$D$2:$AG$2,0)),Inputs!$B$4:$B$250,$B31)/1000)</f>
        <v>89.427</v>
      </c>
      <c r="AD31" s="11">
        <f>IF(AD$3=0,"",SUMIFS(INDEX(Inputs!$D$4:$AG$250,0,MATCH(AD$2,Inputs!$D$2:$AG$2,0)),Inputs!$B$4:$B$250,$B31)/1000)</f>
        <v>132.638</v>
      </c>
      <c r="AE31" s="11" t="str">
        <f>IF(AE$3=0,"",SUMIFS(INDEX(Inputs!$D$4:$AG$250,0,MATCH(AE$2,Inputs!$D$2:$AG$2,0)),Inputs!$B$4:$B$250,$B31)/1000)</f>
        <v/>
      </c>
      <c r="AF31" s="11" t="str">
        <f>IF(AF$3=0,"",SUMIFS(INDEX(Inputs!$D$4:$AG$250,0,MATCH(AF$2,Inputs!$D$2:$AG$2,0)),Inputs!$B$4:$B$250,$B31)/1000)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IF(D$3=0,"",SUMIFS(INDEX(Inputs!$D$4:$AG$250,0,MATCH(D$2,Inputs!$D$2:$AG$2,0)),Inputs!$B$4:$B$250,$B32)/1000)</f>
        <v>57.038</v>
      </c>
      <c r="E32" s="11">
        <f>IF(E$3=0,"",SUMIFS(INDEX(Inputs!$D$4:$AG$250,0,MATCH(E$2,Inputs!$D$2:$AG$2,0)),Inputs!$B$4:$B$250,$B32)/1000)</f>
        <v>69.002</v>
      </c>
      <c r="F32" s="11">
        <f>IF(F$3=0,"",SUMIFS(INDEX(Inputs!$D$4:$AG$250,0,MATCH(F$2,Inputs!$D$2:$AG$2,0)),Inputs!$B$4:$B$250,$B32)/1000)</f>
        <v>69.326</v>
      </c>
      <c r="G32" s="11">
        <f>IF(G$3=0,"",SUMIFS(INDEX(Inputs!$D$4:$AG$250,0,MATCH(G$2,Inputs!$D$2:$AG$2,0)),Inputs!$B$4:$B$250,$B32)/1000)</f>
        <v>16.844</v>
      </c>
      <c r="H32" s="12">
        <f>IF(G32="","",G32)</f>
        <v>16.844</v>
      </c>
      <c r="I32" s="11">
        <f>IF(I$3=0,"",SUMIFS(INDEX(Inputs!$D$4:$AG$250,0,MATCH(I$2,Inputs!$D$2:$AG$2,0)),Inputs!$B$4:$B$250,$B32)/1000)</f>
        <v>12.728</v>
      </c>
      <c r="J32" s="11">
        <f>IF(J$3=0,"",SUMIFS(INDEX(Inputs!$D$4:$AG$250,0,MATCH(J$2,Inputs!$D$2:$AG$2,0)),Inputs!$B$4:$B$250,$B32)/1000)</f>
        <v>28.581</v>
      </c>
      <c r="K32" s="11">
        <f>IF(K$3=0,"",SUMIFS(INDEX(Inputs!$D$4:$AG$250,0,MATCH(K$2,Inputs!$D$2:$AG$2,0)),Inputs!$B$4:$B$250,$B32)/1000)</f>
        <v>34.899</v>
      </c>
      <c r="L32" s="11">
        <f>IF(L$3=0,"",SUMIFS(INDEX(Inputs!$D$4:$AG$250,0,MATCH(L$2,Inputs!$D$2:$AG$2,0)),Inputs!$B$4:$B$250,$B32)/1000)</f>
        <v>37.616</v>
      </c>
      <c r="M32" s="12">
        <f>IF(L32="","",L32)</f>
        <v>37.616</v>
      </c>
      <c r="N32" s="11">
        <f>IF(N$3=0,"",SUMIFS(INDEX(Inputs!$D$4:$AG$250,0,MATCH(N$2,Inputs!$D$2:$AG$2,0)),Inputs!$B$4:$B$250,$B32)/1000)</f>
        <v>27.958</v>
      </c>
      <c r="O32" s="11">
        <f>IF(O$3=0,"",SUMIFS(INDEX(Inputs!$D$4:$AG$250,0,MATCH(O$2,Inputs!$D$2:$AG$2,0)),Inputs!$B$4:$B$250,$B32)/1000)</f>
        <v>52.088</v>
      </c>
      <c r="P32" s="11">
        <f>IF(P$3=0,"",SUMIFS(INDEX(Inputs!$D$4:$AG$250,0,MATCH(P$2,Inputs!$D$2:$AG$2,0)),Inputs!$B$4:$B$250,$B32)/1000)</f>
        <v>46.457</v>
      </c>
      <c r="Q32" s="11">
        <f>IF(Q$3=0,"",SUMIFS(INDEX(Inputs!$D$4:$AG$250,0,MATCH(Q$2,Inputs!$D$2:$AG$2,0)),Inputs!$B$4:$B$250,$B32)/1000)</f>
        <v>45.583</v>
      </c>
      <c r="R32" s="12">
        <f>IF(Q32="","",Q32)</f>
        <v>45.583</v>
      </c>
      <c r="S32" s="11">
        <f>IF(S$3=0,"",SUMIFS(INDEX(Inputs!$D$4:$AG$250,0,MATCH(S$2,Inputs!$D$2:$AG$2,0)),Inputs!$B$4:$B$250,$B32)/1000)</f>
        <v>46.797</v>
      </c>
      <c r="T32" s="11">
        <f>IF(T$3=0,"",SUMIFS(INDEX(Inputs!$D$4:$AG$250,0,MATCH(T$2,Inputs!$D$2:$AG$2,0)),Inputs!$B$4:$B$250,$B32)/1000)</f>
        <v>139.5</v>
      </c>
      <c r="U32" s="11">
        <f>IF(U$3=0,"",SUMIFS(INDEX(Inputs!$D$4:$AG$250,0,MATCH(U$2,Inputs!$D$2:$AG$2,0)),Inputs!$B$4:$B$250,$B32)/1000)</f>
        <v>308.682</v>
      </c>
      <c r="V32" s="11">
        <f>IF(V$3=0,"",SUMIFS(INDEX(Inputs!$D$4:$AG$250,0,MATCH(V$2,Inputs!$D$2:$AG$2,0)),Inputs!$B$4:$B$250,$B32)/1000)</f>
        <v>140.957</v>
      </c>
      <c r="W32" s="12">
        <f>IF(V32="","",V32)</f>
        <v>140.957</v>
      </c>
      <c r="X32" s="11">
        <f>IF(X$3=0,"",SUMIFS(INDEX(Inputs!$D$4:$AG$250,0,MATCH(X$2,Inputs!$D$2:$AG$2,0)),Inputs!$B$4:$B$250,$B32)/1000)</f>
        <v>182.561</v>
      </c>
      <c r="Y32" s="11">
        <f>IF(Y$3=0,"",SUMIFS(INDEX(Inputs!$D$4:$AG$250,0,MATCH(Y$2,Inputs!$D$2:$AG$2,0)),Inputs!$B$4:$B$250,$B32)/1000)</f>
        <v>235.849</v>
      </c>
      <c r="Z32" s="11">
        <f>IF(Z$3=0,"",SUMIFS(INDEX(Inputs!$D$4:$AG$250,0,MATCH(Z$2,Inputs!$D$2:$AG$2,0)),Inputs!$B$4:$B$250,$B32)/1000)</f>
        <v>191.487</v>
      </c>
      <c r="AA32" s="11">
        <f>IF(AA$3=0,"",SUMIFS(INDEX(Inputs!$D$4:$AG$250,0,MATCH(AA$2,Inputs!$D$2:$AG$2,0)),Inputs!$B$4:$B$250,$B32)/1000)</f>
        <v>178.483</v>
      </c>
      <c r="AB32" s="12">
        <f>IF(AA32="","",AA32)</f>
        <v>178.483</v>
      </c>
      <c r="AC32" s="11">
        <f>IF(AC$3=0,"",SUMIFS(INDEX(Inputs!$D$4:$AG$250,0,MATCH(AC$2,Inputs!$D$2:$AG$2,0)),Inputs!$B$4:$B$250,$B32)/1000)</f>
        <v>185.886</v>
      </c>
      <c r="AD32" s="11">
        <f>IF(AD$3=0,"",SUMIFS(INDEX(Inputs!$D$4:$AG$250,0,MATCH(AD$2,Inputs!$D$2:$AG$2,0)),Inputs!$B$4:$B$250,$B32)/1000)</f>
        <v>299.576</v>
      </c>
      <c r="AE32" s="11" t="str">
        <f>IF(AE$3=0,"",SUMIFS(INDEX(Inputs!$D$4:$AG$250,0,MATCH(AE$2,Inputs!$D$2:$AG$2,0)),Inputs!$B$4:$B$250,$B32)/1000)</f>
        <v/>
      </c>
      <c r="AF32" s="11" t="str">
        <f>IF(AF$3=0,"",SUMIFS(INDEX(Inputs!$D$4:$AG$250,0,MATCH(AF$2,Inputs!$D$2:$AG$2,0)),Inputs!$B$4:$B$250,$B32)/1000)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IF(D$3=0,"",SUMIFS(INDEX(Inputs!$D$4:$AG$250,0,MATCH(D$2,Inputs!$D$2:$AG$2,0)),Inputs!$B$4:$B$250,$B33)/1000)</f>
        <v>0</v>
      </c>
      <c r="E33" s="11">
        <f>IF(E$3=0,"",SUMIFS(INDEX(Inputs!$D$4:$AG$250,0,MATCH(E$2,Inputs!$D$2:$AG$2,0)),Inputs!$B$4:$B$250,$B33)/1000)</f>
        <v>0</v>
      </c>
      <c r="F33" s="11">
        <f>IF(F$3=0,"",SUMIFS(INDEX(Inputs!$D$4:$AG$250,0,MATCH(F$2,Inputs!$D$2:$AG$2,0)),Inputs!$B$4:$B$250,$B33)/1000)</f>
        <v>0</v>
      </c>
      <c r="G33" s="11">
        <f>IF(G$3=0,"",SUMIFS(INDEX(Inputs!$D$4:$AG$250,0,MATCH(G$2,Inputs!$D$2:$AG$2,0)),Inputs!$B$4:$B$250,$B33)/1000)</f>
        <v>0</v>
      </c>
      <c r="H33" s="12">
        <f>IF(G33="","",G33)</f>
        <v>0</v>
      </c>
      <c r="I33" s="11">
        <f>IF(I$3=0,"",SUMIFS(INDEX(Inputs!$D$4:$AG$250,0,MATCH(I$2,Inputs!$D$2:$AG$2,0)),Inputs!$B$4:$B$250,$B33)/1000)</f>
        <v>0</v>
      </c>
      <c r="J33" s="11">
        <f>IF(J$3=0,"",SUMIFS(INDEX(Inputs!$D$4:$AG$250,0,MATCH(J$2,Inputs!$D$2:$AG$2,0)),Inputs!$B$4:$B$250,$B33)/1000)</f>
        <v>0</v>
      </c>
      <c r="K33" s="11">
        <f>IF(K$3=0,"",SUMIFS(INDEX(Inputs!$D$4:$AG$250,0,MATCH(K$2,Inputs!$D$2:$AG$2,0)),Inputs!$B$4:$B$250,$B33)/1000)</f>
        <v>0</v>
      </c>
      <c r="L33" s="11">
        <f>IF(L$3=0,"",SUMIFS(INDEX(Inputs!$D$4:$AG$250,0,MATCH(L$2,Inputs!$D$2:$AG$2,0)),Inputs!$B$4:$B$250,$B33)/1000)</f>
        <v>0</v>
      </c>
      <c r="M33" s="12">
        <f>IF(L33="","",L33)</f>
        <v>0</v>
      </c>
      <c r="N33" s="11">
        <f>IF(N$3=0,"",SUMIFS(INDEX(Inputs!$D$4:$AG$250,0,MATCH(N$2,Inputs!$D$2:$AG$2,0)),Inputs!$B$4:$B$250,$B33)/1000)</f>
        <v>0</v>
      </c>
      <c r="O33" s="11">
        <f>IF(O$3=0,"",SUMIFS(INDEX(Inputs!$D$4:$AG$250,0,MATCH(O$2,Inputs!$D$2:$AG$2,0)),Inputs!$B$4:$B$250,$B33)/1000)</f>
        <v>0</v>
      </c>
      <c r="P33" s="11">
        <f>IF(P$3=0,"",SUMIFS(INDEX(Inputs!$D$4:$AG$250,0,MATCH(P$2,Inputs!$D$2:$AG$2,0)),Inputs!$B$4:$B$250,$B33)/1000)</f>
        <v>0</v>
      </c>
      <c r="Q33" s="11">
        <f>IF(Q$3=0,"",SUMIFS(INDEX(Inputs!$D$4:$AG$250,0,MATCH(Q$2,Inputs!$D$2:$AG$2,0)),Inputs!$B$4:$B$250,$B33)/1000)</f>
        <v>0</v>
      </c>
      <c r="R33" s="12">
        <f>IF(Q33="","",Q33)</f>
        <v>0</v>
      </c>
      <c r="S33" s="11">
        <f>IF(S$3=0,"",SUMIFS(INDEX(Inputs!$D$4:$AG$250,0,MATCH(S$2,Inputs!$D$2:$AG$2,0)),Inputs!$B$4:$B$250,$B33)/1000)</f>
        <v>0</v>
      </c>
      <c r="T33" s="11">
        <f>IF(T$3=0,"",SUMIFS(INDEX(Inputs!$D$4:$AG$250,0,MATCH(T$2,Inputs!$D$2:$AG$2,0)),Inputs!$B$4:$B$250,$B33)/1000)</f>
        <v>0</v>
      </c>
      <c r="U33" s="11">
        <f>IF(U$3=0,"",SUMIFS(INDEX(Inputs!$D$4:$AG$250,0,MATCH(U$2,Inputs!$D$2:$AG$2,0)),Inputs!$B$4:$B$250,$B33)/1000)</f>
        <v>0</v>
      </c>
      <c r="V33" s="11">
        <f>IF(V$3=0,"",SUMIFS(INDEX(Inputs!$D$4:$AG$250,0,MATCH(V$2,Inputs!$D$2:$AG$2,0)),Inputs!$B$4:$B$250,$B33)/1000)</f>
        <v>0</v>
      </c>
      <c r="W33" s="12">
        <f>IF(V33="","",V33)</f>
        <v>0</v>
      </c>
      <c r="X33" s="11">
        <f>IF(X$3=0,"",SUMIFS(INDEX(Inputs!$D$4:$AG$250,0,MATCH(X$2,Inputs!$D$2:$AG$2,0)),Inputs!$B$4:$B$250,$B33)/1000)</f>
        <v>0</v>
      </c>
      <c r="Y33" s="11">
        <f>IF(Y$3=0,"",SUMIFS(INDEX(Inputs!$D$4:$AG$250,0,MATCH(Y$2,Inputs!$D$2:$AG$2,0)),Inputs!$B$4:$B$250,$B33)/1000)</f>
        <v>0</v>
      </c>
      <c r="Z33" s="11">
        <f>IF(Z$3=0,"",SUMIFS(INDEX(Inputs!$D$4:$AG$250,0,MATCH(Z$2,Inputs!$D$2:$AG$2,0)),Inputs!$B$4:$B$250,$B33)/1000)</f>
        <v>0</v>
      </c>
      <c r="AA33" s="11">
        <f>IF(AA$3=0,"",SUMIFS(INDEX(Inputs!$D$4:$AG$250,0,MATCH(AA$2,Inputs!$D$2:$AG$2,0)),Inputs!$B$4:$B$250,$B33)/1000)</f>
        <v>0</v>
      </c>
      <c r="AB33" s="12">
        <f>IF(AA33="","",AA33)</f>
        <v>0</v>
      </c>
      <c r="AC33" s="11">
        <f>IF(AC$3=0,"",SUMIFS(INDEX(Inputs!$D$4:$AG$250,0,MATCH(AC$2,Inputs!$D$2:$AG$2,0)),Inputs!$B$4:$B$250,$B33)/1000)</f>
        <v>0</v>
      </c>
      <c r="AD33" s="11">
        <f>IF(AD$3=0,"",SUMIFS(INDEX(Inputs!$D$4:$AG$250,0,MATCH(AD$2,Inputs!$D$2:$AG$2,0)),Inputs!$B$4:$B$250,$B33)/1000)</f>
        <v>0</v>
      </c>
      <c r="AE33" s="11" t="str">
        <f>IF(AE$3=0,"",SUMIFS(INDEX(Inputs!$D$4:$AG$250,0,MATCH(AE$2,Inputs!$D$2:$AG$2,0)),Inputs!$B$4:$B$250,$B33)/1000)</f>
        <v/>
      </c>
      <c r="AF33" s="11" t="str">
        <f>IF(AF$3=0,"",SUMIFS(INDEX(Inputs!$D$4:$AG$250,0,MATCH(AF$2,Inputs!$D$2:$AG$2,0)),Inputs!$B$4:$B$250,$B33)/1000)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IF(D$3=0,"",SUMIFS(INDEX(Inputs!$D$4:$AG$250,0,MATCH(D$2,Inputs!$D$2:$AG$2,0)),Inputs!$B$4:$B$250,$B34)/1000)</f>
        <v>9.229</v>
      </c>
      <c r="E34" s="11">
        <f>IF(E$3=0,"",SUMIFS(INDEX(Inputs!$D$4:$AG$250,0,MATCH(E$2,Inputs!$D$2:$AG$2,0)),Inputs!$B$4:$B$250,$B34)/1000)</f>
        <v>10.401</v>
      </c>
      <c r="F34" s="11">
        <f>IF(F$3=0,"",SUMIFS(INDEX(Inputs!$D$4:$AG$250,0,MATCH(F$2,Inputs!$D$2:$AG$2,0)),Inputs!$B$4:$B$250,$B34)/1000)</f>
        <v>12.007</v>
      </c>
      <c r="G34" s="11">
        <f>IF(G$3=0,"",SUMIFS(INDEX(Inputs!$D$4:$AG$250,0,MATCH(G$2,Inputs!$D$2:$AG$2,0)),Inputs!$B$4:$B$250,$B34)/1000)</f>
        <v>9.526</v>
      </c>
      <c r="H34" s="12">
        <f>IF(G34="","",G34)</f>
        <v>9.526</v>
      </c>
      <c r="I34" s="11">
        <f>IF(I$3=0,"",SUMIFS(INDEX(Inputs!$D$4:$AG$250,0,MATCH(I$2,Inputs!$D$2:$AG$2,0)),Inputs!$B$4:$B$250,$B34)/1000)</f>
        <v>10.609</v>
      </c>
      <c r="J34" s="11">
        <f>IF(J$3=0,"",SUMIFS(INDEX(Inputs!$D$4:$AG$250,0,MATCH(J$2,Inputs!$D$2:$AG$2,0)),Inputs!$B$4:$B$250,$B34)/1000)</f>
        <v>13.717</v>
      </c>
      <c r="K34" s="11">
        <f>IF(K$3=0,"",SUMIFS(INDEX(Inputs!$D$4:$AG$250,0,MATCH(K$2,Inputs!$D$2:$AG$2,0)),Inputs!$B$4:$B$250,$B34)/1000)</f>
        <v>29.34</v>
      </c>
      <c r="L34" s="11">
        <f>IF(L$3=0,"",SUMIFS(INDEX(Inputs!$D$4:$AG$250,0,MATCH(L$2,Inputs!$D$2:$AG$2,0)),Inputs!$B$4:$B$250,$B34)/1000)</f>
        <v>15.211</v>
      </c>
      <c r="M34" s="12">
        <f>IF(L34="","",L34)</f>
        <v>15.211</v>
      </c>
      <c r="N34" s="11">
        <f>IF(N$3=0,"",SUMIFS(INDEX(Inputs!$D$4:$AG$250,0,MATCH(N$2,Inputs!$D$2:$AG$2,0)),Inputs!$B$4:$B$250,$B34)/1000)</f>
        <v>6.587</v>
      </c>
      <c r="O34" s="11">
        <f>IF(O$3=0,"",SUMIFS(INDEX(Inputs!$D$4:$AG$250,0,MATCH(O$2,Inputs!$D$2:$AG$2,0)),Inputs!$B$4:$B$250,$B34)/1000)</f>
        <v>26.872</v>
      </c>
      <c r="P34" s="11">
        <f>IF(P$3=0,"",SUMIFS(INDEX(Inputs!$D$4:$AG$250,0,MATCH(P$2,Inputs!$D$2:$AG$2,0)),Inputs!$B$4:$B$250,$B34)/1000)</f>
        <v>23.947</v>
      </c>
      <c r="Q34" s="11">
        <f>IF(Q$3=0,"",SUMIFS(INDEX(Inputs!$D$4:$AG$250,0,MATCH(Q$2,Inputs!$D$2:$AG$2,0)),Inputs!$B$4:$B$250,$B34)/1000)</f>
        <v>29.057</v>
      </c>
      <c r="R34" s="12">
        <f>IF(Q34="","",Q34)</f>
        <v>29.057</v>
      </c>
      <c r="S34" s="11">
        <f>IF(S$3=0,"",SUMIFS(INDEX(Inputs!$D$4:$AG$250,0,MATCH(S$2,Inputs!$D$2:$AG$2,0)),Inputs!$B$4:$B$250,$B34)/1000)</f>
        <v>30.796</v>
      </c>
      <c r="T34" s="11">
        <f>IF(T$3=0,"",SUMIFS(INDEX(Inputs!$D$4:$AG$250,0,MATCH(T$2,Inputs!$D$2:$AG$2,0)),Inputs!$B$4:$B$250,$B34)/1000)</f>
        <v>34.249</v>
      </c>
      <c r="U34" s="11">
        <f>IF(U$3=0,"",SUMIFS(INDEX(Inputs!$D$4:$AG$250,0,MATCH(U$2,Inputs!$D$2:$AG$2,0)),Inputs!$B$4:$B$250,$B34)/1000)</f>
        <v>50.151</v>
      </c>
      <c r="V34" s="11">
        <f>IF(V$3=0,"",SUMIFS(INDEX(Inputs!$D$4:$AG$250,0,MATCH(V$2,Inputs!$D$2:$AG$2,0)),Inputs!$B$4:$B$250,$B34)/1000)</f>
        <v>45.319</v>
      </c>
      <c r="W34" s="12">
        <f>IF(V34="","",V34)</f>
        <v>45.319</v>
      </c>
      <c r="X34" s="11">
        <f>IF(X$3=0,"",SUMIFS(INDEX(Inputs!$D$4:$AG$250,0,MATCH(X$2,Inputs!$D$2:$AG$2,0)),Inputs!$B$4:$B$250,$B34)/1000)</f>
        <v>44.844</v>
      </c>
      <c r="Y34" s="11">
        <f>IF(Y$3=0,"",SUMIFS(INDEX(Inputs!$D$4:$AG$250,0,MATCH(Y$2,Inputs!$D$2:$AG$2,0)),Inputs!$B$4:$B$250,$B34)/1000)</f>
        <v>39.655</v>
      </c>
      <c r="Z34" s="11">
        <f>IF(Z$3=0,"",SUMIFS(INDEX(Inputs!$D$4:$AG$250,0,MATCH(Z$2,Inputs!$D$2:$AG$2,0)),Inputs!$B$4:$B$250,$B34)/1000)</f>
        <v>37.7</v>
      </c>
      <c r="AA34" s="11">
        <f>IF(AA$3=0,"",SUMIFS(INDEX(Inputs!$D$4:$AG$250,0,MATCH(AA$2,Inputs!$D$2:$AG$2,0)),Inputs!$B$4:$B$250,$B34)/1000)</f>
        <v>49.243</v>
      </c>
      <c r="AB34" s="12">
        <f>IF(AA34="","",AA34)</f>
        <v>49.243</v>
      </c>
      <c r="AC34" s="11">
        <f>IF(AC$3=0,"",SUMIFS(INDEX(Inputs!$D$4:$AG$250,0,MATCH(AC$2,Inputs!$D$2:$AG$2,0)),Inputs!$B$4:$B$250,$B34)/1000)</f>
        <v>44.186</v>
      </c>
      <c r="AD34" s="11">
        <f>IF(AD$3=0,"",SUMIFS(INDEX(Inputs!$D$4:$AG$250,0,MATCH(AD$2,Inputs!$D$2:$AG$2,0)),Inputs!$B$4:$B$250,$B34)/1000)</f>
        <v>48.061</v>
      </c>
      <c r="AE34" s="11" t="str">
        <f>IF(AE$3=0,"",SUMIFS(INDEX(Inputs!$D$4:$AG$250,0,MATCH(AE$2,Inputs!$D$2:$AG$2,0)),Inputs!$B$4:$B$250,$B34)/1000)</f>
        <v/>
      </c>
      <c r="AF34" s="11" t="str">
        <f>IF(AF$3=0,"",SUMIFS(INDEX(Inputs!$D$4:$AG$250,0,MATCH(AF$2,Inputs!$D$2:$AG$2,0)),Inputs!$B$4:$B$250,$B34)/1000)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IF(D$3=0,"",SUMIFS(INDEX(Inputs!$D$4:$AG$250,0,MATCH(D$2,Inputs!$D$2:$AG$2,0)),Inputs!$B$4:$B$250,$B35)/1000)</f>
        <v>272.776</v>
      </c>
      <c r="E35" s="11">
        <f>IF(E$3=0,"",SUMIFS(INDEX(Inputs!$D$4:$AG$250,0,MATCH(E$2,Inputs!$D$2:$AG$2,0)),Inputs!$B$4:$B$250,$B35)/1000)</f>
        <v>212.701</v>
      </c>
      <c r="F35" s="11">
        <f>IF(F$3=0,"",SUMIFS(INDEX(Inputs!$D$4:$AG$250,0,MATCH(F$2,Inputs!$D$2:$AG$2,0)),Inputs!$B$4:$B$250,$B35)/1000)</f>
        <v>195.313</v>
      </c>
      <c r="G35" s="11">
        <f>IF(G$3=0,"",SUMIFS(INDEX(Inputs!$D$4:$AG$250,0,MATCH(G$2,Inputs!$D$2:$AG$2,0)),Inputs!$B$4:$B$250,$B35)/1000)</f>
        <v>539.432</v>
      </c>
      <c r="H35" s="12">
        <f>IF(G35="","",G35)</f>
        <v>539.432</v>
      </c>
      <c r="I35" s="11">
        <f>IF(I$3=0,"",SUMIFS(INDEX(Inputs!$D$4:$AG$250,0,MATCH(I$2,Inputs!$D$2:$AG$2,0)),Inputs!$B$4:$B$250,$B35)/1000)</f>
        <v>553.411</v>
      </c>
      <c r="J35" s="11">
        <f>IF(J$3=0,"",SUMIFS(INDEX(Inputs!$D$4:$AG$250,0,MATCH(J$2,Inputs!$D$2:$AG$2,0)),Inputs!$B$4:$B$250,$B35)/1000)</f>
        <v>559.965</v>
      </c>
      <c r="K35" s="11">
        <f>IF(K$3=0,"",SUMIFS(INDEX(Inputs!$D$4:$AG$250,0,MATCH(K$2,Inputs!$D$2:$AG$2,0)),Inputs!$B$4:$B$250,$B35)/1000)</f>
        <v>574.826</v>
      </c>
      <c r="L35" s="11">
        <f>IF(L$3=0,"",SUMIFS(INDEX(Inputs!$D$4:$AG$250,0,MATCH(L$2,Inputs!$D$2:$AG$2,0)),Inputs!$B$4:$B$250,$B35)/1000)</f>
        <v>977.538</v>
      </c>
      <c r="M35" s="12">
        <f>IF(L35="","",L35)</f>
        <v>977.538</v>
      </c>
      <c r="N35" s="11">
        <f>IF(N$3=0,"",SUMIFS(INDEX(Inputs!$D$4:$AG$250,0,MATCH(N$2,Inputs!$D$2:$AG$2,0)),Inputs!$B$4:$B$250,$B35)/1000)</f>
        <v>990.56</v>
      </c>
      <c r="O35" s="11">
        <f>IF(O$3=0,"",SUMIFS(INDEX(Inputs!$D$4:$AG$250,0,MATCH(O$2,Inputs!$D$2:$AG$2,0)),Inputs!$B$4:$B$250,$B35)/1000)</f>
        <v>955.452</v>
      </c>
      <c r="P35" s="11">
        <f>IF(P$3=0,"",SUMIFS(INDEX(Inputs!$D$4:$AG$250,0,MATCH(P$2,Inputs!$D$2:$AG$2,0)),Inputs!$B$4:$B$250,$B35)/1000)</f>
        <v>1098.201</v>
      </c>
      <c r="Q35" s="11">
        <f>IF(Q$3=0,"",SUMIFS(INDEX(Inputs!$D$4:$AG$250,0,MATCH(Q$2,Inputs!$D$2:$AG$2,0)),Inputs!$B$4:$B$250,$B35)/1000)</f>
        <v>1079.806</v>
      </c>
      <c r="R35" s="12">
        <f>IF(Q35="","",Q35)</f>
        <v>1079.806</v>
      </c>
      <c r="S35" s="11">
        <f>IF(S$3=0,"",SUMIFS(INDEX(Inputs!$D$4:$AG$250,0,MATCH(S$2,Inputs!$D$2:$AG$2,0)),Inputs!$B$4:$B$250,$B35)/1000)</f>
        <v>1085.754</v>
      </c>
      <c r="T35" s="11">
        <f>IF(T$3=0,"",SUMIFS(INDEX(Inputs!$D$4:$AG$250,0,MATCH(T$2,Inputs!$D$2:$AG$2,0)),Inputs!$B$4:$B$250,$B35)/1000)</f>
        <v>1133.232</v>
      </c>
      <c r="U35" s="11">
        <f>IF(U$3=0,"",SUMIFS(INDEX(Inputs!$D$4:$AG$250,0,MATCH(U$2,Inputs!$D$2:$AG$2,0)),Inputs!$B$4:$B$250,$B35)/1000)</f>
        <v>1585.62</v>
      </c>
      <c r="V35" s="11">
        <f>IF(V$3=0,"",SUMIFS(INDEX(Inputs!$D$4:$AG$250,0,MATCH(V$2,Inputs!$D$2:$AG$2,0)),Inputs!$B$4:$B$250,$B35)/1000)</f>
        <v>1726.341</v>
      </c>
      <c r="W35" s="12">
        <f>IF(V35="","",V35)</f>
        <v>1726.341</v>
      </c>
      <c r="X35" s="11">
        <f>IF(X$3=0,"",SUMIFS(INDEX(Inputs!$D$4:$AG$250,0,MATCH(X$2,Inputs!$D$2:$AG$2,0)),Inputs!$B$4:$B$250,$B35)/1000)</f>
        <v>1746.73</v>
      </c>
      <c r="Y35" s="11">
        <f>IF(Y$3=0,"",SUMIFS(INDEX(Inputs!$D$4:$AG$250,0,MATCH(Y$2,Inputs!$D$2:$AG$2,0)),Inputs!$B$4:$B$250,$B35)/1000)</f>
        <v>1666.378</v>
      </c>
      <c r="Z35" s="11">
        <f>IF(Z$3=0,"",SUMIFS(INDEX(Inputs!$D$4:$AG$250,0,MATCH(Z$2,Inputs!$D$2:$AG$2,0)),Inputs!$B$4:$B$250,$B35)/1000)</f>
        <v>1915.243</v>
      </c>
      <c r="AA35" s="11">
        <f>IF(AA$3=0,"",SUMIFS(INDEX(Inputs!$D$4:$AG$250,0,MATCH(AA$2,Inputs!$D$2:$AG$2,0)),Inputs!$B$4:$B$250,$B35)/1000)</f>
        <v>1943.929</v>
      </c>
      <c r="AB35" s="12">
        <f>IF(AA35="","",AA35)</f>
        <v>1943.929</v>
      </c>
      <c r="AC35" s="11">
        <f>IF(AC$3=0,"",SUMIFS(INDEX(Inputs!$D$4:$AG$250,0,MATCH(AC$2,Inputs!$D$2:$AG$2,0)),Inputs!$B$4:$B$250,$B35)/1000)</f>
        <v>2054.653</v>
      </c>
      <c r="AD35" s="11">
        <f>IF(AD$3=0,"",SUMIFS(INDEX(Inputs!$D$4:$AG$250,0,MATCH(AD$2,Inputs!$D$2:$AG$2,0)),Inputs!$B$4:$B$250,$B35)/1000)</f>
        <v>3485.914</v>
      </c>
      <c r="AE35" s="11" t="str">
        <f>IF(AE$3=0,"",SUMIFS(INDEX(Inputs!$D$4:$AG$250,0,MATCH(AE$2,Inputs!$D$2:$AG$2,0)),Inputs!$B$4:$B$250,$B35)/1000)</f>
        <v/>
      </c>
      <c r="AF35" s="11" t="str">
        <f>IF(AF$3=0,"",SUMIFS(INDEX(Inputs!$D$4:$AG$250,0,MATCH(AF$2,Inputs!$D$2:$AG$2,0)),Inputs!$B$4:$B$250,$B35)/1000)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IF(D$3=0,"",SUMIFS(INDEX(Inputs!$D$4:$AG$250,0,MATCH(D$2,Inputs!$D$2:$AG$2,0)),Inputs!$B$4:$B$250,$B36)/1000)</f>
        <v>11.17</v>
      </c>
      <c r="E36" s="11">
        <f>IF(E$3=0,"",SUMIFS(INDEX(Inputs!$D$4:$AG$250,0,MATCH(E$2,Inputs!$D$2:$AG$2,0)),Inputs!$B$4:$B$250,$B36)/1000)</f>
        <v>8.569</v>
      </c>
      <c r="F36" s="11">
        <f>IF(F$3=0,"",SUMIFS(INDEX(Inputs!$D$4:$AG$250,0,MATCH(F$2,Inputs!$D$2:$AG$2,0)),Inputs!$B$4:$B$250,$B36)/1000)</f>
        <v>11.432</v>
      </c>
      <c r="G36" s="11">
        <f>IF(G$3=0,"",SUMIFS(INDEX(Inputs!$D$4:$AG$250,0,MATCH(G$2,Inputs!$D$2:$AG$2,0)),Inputs!$B$4:$B$250,$B36)/1000)</f>
        <v>11.431</v>
      </c>
      <c r="H36" s="12">
        <f>IF(G36="","",G36)</f>
        <v>11.431</v>
      </c>
      <c r="I36" s="11">
        <f>IF(I$3=0,"",SUMIFS(INDEX(Inputs!$D$4:$AG$250,0,MATCH(I$2,Inputs!$D$2:$AG$2,0)),Inputs!$B$4:$B$250,$B36)/1000)</f>
        <v>11.811</v>
      </c>
      <c r="J36" s="11">
        <f>IF(J$3=0,"",SUMIFS(INDEX(Inputs!$D$4:$AG$250,0,MATCH(J$2,Inputs!$D$2:$AG$2,0)),Inputs!$B$4:$B$250,$B36)/1000)</f>
        <v>20.698</v>
      </c>
      <c r="K36" s="11">
        <f>IF(K$3=0,"",SUMIFS(INDEX(Inputs!$D$4:$AG$250,0,MATCH(K$2,Inputs!$D$2:$AG$2,0)),Inputs!$B$4:$B$250,$B36)/1000)</f>
        <v>18.482</v>
      </c>
      <c r="L36" s="11">
        <f>IF(L$3=0,"",SUMIFS(INDEX(Inputs!$D$4:$AG$250,0,MATCH(L$2,Inputs!$D$2:$AG$2,0)),Inputs!$B$4:$B$250,$B36)/1000)</f>
        <v>40.8</v>
      </c>
      <c r="M36" s="12">
        <f>IF(L36="","",L36)</f>
        <v>40.8</v>
      </c>
      <c r="N36" s="11">
        <f>IF(N$3=0,"",SUMIFS(INDEX(Inputs!$D$4:$AG$250,0,MATCH(N$2,Inputs!$D$2:$AG$2,0)),Inputs!$B$4:$B$250,$B36)/1000)</f>
        <v>43.454</v>
      </c>
      <c r="O36" s="11">
        <f>IF(O$3=0,"",SUMIFS(INDEX(Inputs!$D$4:$AG$250,0,MATCH(O$2,Inputs!$D$2:$AG$2,0)),Inputs!$B$4:$B$250,$B36)/1000)</f>
        <v>33.041</v>
      </c>
      <c r="P36" s="11">
        <f>IF(P$3=0,"",SUMIFS(INDEX(Inputs!$D$4:$AG$250,0,MATCH(P$2,Inputs!$D$2:$AG$2,0)),Inputs!$B$4:$B$250,$B36)/1000)</f>
        <v>27.498</v>
      </c>
      <c r="Q36" s="11">
        <f>IF(Q$3=0,"",SUMIFS(INDEX(Inputs!$D$4:$AG$250,0,MATCH(Q$2,Inputs!$D$2:$AG$2,0)),Inputs!$B$4:$B$250,$B36)/1000)</f>
        <v>23.329</v>
      </c>
      <c r="R36" s="12">
        <f>IF(Q36="","",Q36)</f>
        <v>23.329</v>
      </c>
      <c r="S36" s="11">
        <f>IF(S$3=0,"",SUMIFS(INDEX(Inputs!$D$4:$AG$250,0,MATCH(S$2,Inputs!$D$2:$AG$2,0)),Inputs!$B$4:$B$250,$B36)/1000)</f>
        <v>21.543</v>
      </c>
      <c r="T36" s="11">
        <f>IF(T$3=0,"",SUMIFS(INDEX(Inputs!$D$4:$AG$250,0,MATCH(T$2,Inputs!$D$2:$AG$2,0)),Inputs!$B$4:$B$250,$B36)/1000)</f>
        <v>20.191</v>
      </c>
      <c r="U36" s="11">
        <f>IF(U$3=0,"",SUMIFS(INDEX(Inputs!$D$4:$AG$250,0,MATCH(U$2,Inputs!$D$2:$AG$2,0)),Inputs!$B$4:$B$250,$B36)/1000)</f>
        <v>47.45</v>
      </c>
      <c r="V36" s="11">
        <f>IF(V$3=0,"",SUMIFS(INDEX(Inputs!$D$4:$AG$250,0,MATCH(V$2,Inputs!$D$2:$AG$2,0)),Inputs!$B$4:$B$250,$B36)/1000)</f>
        <v>62.382</v>
      </c>
      <c r="W36" s="12">
        <f>IF(V36="","",V36)</f>
        <v>62.382</v>
      </c>
      <c r="X36" s="11">
        <f>IF(X$3=0,"",SUMIFS(INDEX(Inputs!$D$4:$AG$250,0,MATCH(X$2,Inputs!$D$2:$AG$2,0)),Inputs!$B$4:$B$250,$B36)/1000)</f>
        <v>64.059</v>
      </c>
      <c r="Y36" s="11">
        <f>IF(Y$3=0,"",SUMIFS(INDEX(Inputs!$D$4:$AG$250,0,MATCH(Y$2,Inputs!$D$2:$AG$2,0)),Inputs!$B$4:$B$250,$B36)/1000)</f>
        <v>48.686</v>
      </c>
      <c r="Z36" s="11">
        <f>IF(Z$3=0,"",SUMIFS(INDEX(Inputs!$D$4:$AG$250,0,MATCH(Z$2,Inputs!$D$2:$AG$2,0)),Inputs!$B$4:$B$250,$B36)/1000)</f>
        <v>42.207</v>
      </c>
      <c r="AA36" s="11">
        <f>IF(AA$3=0,"",SUMIFS(INDEX(Inputs!$D$4:$AG$250,0,MATCH(AA$2,Inputs!$D$2:$AG$2,0)),Inputs!$B$4:$B$250,$B36)/1000)</f>
        <v>54.834</v>
      </c>
      <c r="AB36" s="12">
        <f>IF(AA36="","",AA36)</f>
        <v>54.834</v>
      </c>
      <c r="AC36" s="11">
        <f>IF(AC$3=0,"",SUMIFS(INDEX(Inputs!$D$4:$AG$250,0,MATCH(AC$2,Inputs!$D$2:$AG$2,0)),Inputs!$B$4:$B$250,$B36)/1000)</f>
        <v>48.425</v>
      </c>
      <c r="AD36" s="11">
        <f>IF(AD$3=0,"",SUMIFS(INDEX(Inputs!$D$4:$AG$250,0,MATCH(AD$2,Inputs!$D$2:$AG$2,0)),Inputs!$B$4:$B$250,$B36)/1000)</f>
        <v>49.663</v>
      </c>
      <c r="AE36" s="11" t="str">
        <f>IF(AE$3=0,"",SUMIFS(INDEX(Inputs!$D$4:$AG$250,0,MATCH(AE$2,Inputs!$D$2:$AG$2,0)),Inputs!$B$4:$B$250,$B36)/1000)</f>
        <v/>
      </c>
      <c r="AF36" s="11" t="str">
        <f>IF(AF$3=0,"",SUMIFS(INDEX(Inputs!$D$4:$AG$250,0,MATCH(AF$2,Inputs!$D$2:$AG$2,0)),Inputs!$B$4:$B$250,$B36)/1000)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IF(D$3=0,"",SUMIFS(INDEX(Inputs!$D$4:$AG$250,0,MATCH(D$2,Inputs!$D$2:$AG$2,0)),Inputs!$B$4:$B$250,$B37)/1000)</f>
        <v>0</v>
      </c>
      <c r="E37" s="11">
        <f>IF(E$3=0,"",SUMIFS(INDEX(Inputs!$D$4:$AG$250,0,MATCH(E$2,Inputs!$D$2:$AG$2,0)),Inputs!$B$4:$B$250,$B37)/1000)</f>
        <v>0</v>
      </c>
      <c r="F37" s="11">
        <f>IF(F$3=0,"",SUMIFS(INDEX(Inputs!$D$4:$AG$250,0,MATCH(F$2,Inputs!$D$2:$AG$2,0)),Inputs!$B$4:$B$250,$B37)/1000)</f>
        <v>0</v>
      </c>
      <c r="G37" s="11">
        <f>IF(G$3=0,"",SUMIFS(INDEX(Inputs!$D$4:$AG$250,0,MATCH(G$2,Inputs!$D$2:$AG$2,0)),Inputs!$B$4:$B$250,$B37)/1000)</f>
        <v>0</v>
      </c>
      <c r="H37" s="12">
        <f>IF(G37="","",G37)</f>
        <v>0</v>
      </c>
      <c r="I37" s="11">
        <f>IF(I$3=0,"",SUMIFS(INDEX(Inputs!$D$4:$AG$250,0,MATCH(I$2,Inputs!$D$2:$AG$2,0)),Inputs!$B$4:$B$250,$B37)/1000)</f>
        <v>0</v>
      </c>
      <c r="J37" s="11">
        <f>IF(J$3=0,"",SUMIFS(INDEX(Inputs!$D$4:$AG$250,0,MATCH(J$2,Inputs!$D$2:$AG$2,0)),Inputs!$B$4:$B$250,$B37)/1000)</f>
        <v>0</v>
      </c>
      <c r="K37" s="11">
        <f>IF(K$3=0,"",SUMIFS(INDEX(Inputs!$D$4:$AG$250,0,MATCH(K$2,Inputs!$D$2:$AG$2,0)),Inputs!$B$4:$B$250,$B37)/1000)</f>
        <v>0</v>
      </c>
      <c r="L37" s="11">
        <f>IF(L$3=0,"",SUMIFS(INDEX(Inputs!$D$4:$AG$250,0,MATCH(L$2,Inputs!$D$2:$AG$2,0)),Inputs!$B$4:$B$250,$B37)/1000)</f>
        <v>0</v>
      </c>
      <c r="M37" s="12">
        <f>IF(L37="","",L37)</f>
        <v>0</v>
      </c>
      <c r="N37" s="11">
        <f>IF(N$3=0,"",SUMIFS(INDEX(Inputs!$D$4:$AG$250,0,MATCH(N$2,Inputs!$D$2:$AG$2,0)),Inputs!$B$4:$B$250,$B37)/1000)</f>
        <v>0</v>
      </c>
      <c r="O37" s="11">
        <f>IF(O$3=0,"",SUMIFS(INDEX(Inputs!$D$4:$AG$250,0,MATCH(O$2,Inputs!$D$2:$AG$2,0)),Inputs!$B$4:$B$250,$B37)/1000)</f>
        <v>0</v>
      </c>
      <c r="P37" s="11">
        <f>IF(P$3=0,"",SUMIFS(INDEX(Inputs!$D$4:$AG$250,0,MATCH(P$2,Inputs!$D$2:$AG$2,0)),Inputs!$B$4:$B$250,$B37)/1000)</f>
        <v>0</v>
      </c>
      <c r="Q37" s="11">
        <f>IF(Q$3=0,"",SUMIFS(INDEX(Inputs!$D$4:$AG$250,0,MATCH(Q$2,Inputs!$D$2:$AG$2,0)),Inputs!$B$4:$B$250,$B37)/1000)</f>
        <v>0</v>
      </c>
      <c r="R37" s="12">
        <f>IF(Q37="","",Q37)</f>
        <v>0</v>
      </c>
      <c r="S37" s="11">
        <f>IF(S$3=0,"",SUMIFS(INDEX(Inputs!$D$4:$AG$250,0,MATCH(S$2,Inputs!$D$2:$AG$2,0)),Inputs!$B$4:$B$250,$B37)/1000)</f>
        <v>0</v>
      </c>
      <c r="T37" s="11">
        <f>IF(T$3=0,"",SUMIFS(INDEX(Inputs!$D$4:$AG$250,0,MATCH(T$2,Inputs!$D$2:$AG$2,0)),Inputs!$B$4:$B$250,$B37)/1000)</f>
        <v>0</v>
      </c>
      <c r="U37" s="11">
        <f>IF(U$3=0,"",SUMIFS(INDEX(Inputs!$D$4:$AG$250,0,MATCH(U$2,Inputs!$D$2:$AG$2,0)),Inputs!$B$4:$B$250,$B37)/1000)</f>
        <v>0</v>
      </c>
      <c r="V37" s="11">
        <f>IF(V$3=0,"",SUMIFS(INDEX(Inputs!$D$4:$AG$250,0,MATCH(V$2,Inputs!$D$2:$AG$2,0)),Inputs!$B$4:$B$250,$B37)/1000)</f>
        <v>0</v>
      </c>
      <c r="W37" s="12">
        <f>IF(V37="","",V37)</f>
        <v>0</v>
      </c>
      <c r="X37" s="11">
        <f>IF(X$3=0,"",SUMIFS(INDEX(Inputs!$D$4:$AG$250,0,MATCH(X$2,Inputs!$D$2:$AG$2,0)),Inputs!$B$4:$B$250,$B37)/1000)</f>
        <v>0</v>
      </c>
      <c r="Y37" s="11">
        <f>IF(Y$3=0,"",SUMIFS(INDEX(Inputs!$D$4:$AG$250,0,MATCH(Y$2,Inputs!$D$2:$AG$2,0)),Inputs!$B$4:$B$250,$B37)/1000)</f>
        <v>0</v>
      </c>
      <c r="Z37" s="11">
        <f>IF(Z$3=0,"",SUMIFS(INDEX(Inputs!$D$4:$AG$250,0,MATCH(Z$2,Inputs!$D$2:$AG$2,0)),Inputs!$B$4:$B$250,$B37)/1000)</f>
        <v>0</v>
      </c>
      <c r="AA37" s="11">
        <f>IF(AA$3=0,"",SUMIFS(INDEX(Inputs!$D$4:$AG$250,0,MATCH(AA$2,Inputs!$D$2:$AG$2,0)),Inputs!$B$4:$B$250,$B37)/1000)</f>
        <v>0</v>
      </c>
      <c r="AB37" s="12">
        <f>IF(AA37="","",AA37)</f>
        <v>0</v>
      </c>
      <c r="AC37" s="11">
        <f>IF(AC$3=0,"",SUMIFS(INDEX(Inputs!$D$4:$AG$250,0,MATCH(AC$2,Inputs!$D$2:$AG$2,0)),Inputs!$B$4:$B$250,$B37)/1000)</f>
        <v>0</v>
      </c>
      <c r="AD37" s="11">
        <f>IF(AD$3=0,"",SUMIFS(INDEX(Inputs!$D$4:$AG$250,0,MATCH(AD$2,Inputs!$D$2:$AG$2,0)),Inputs!$B$4:$B$250,$B37)/1000)</f>
        <v>0</v>
      </c>
      <c r="AE37" s="11" t="str">
        <f>IF(AE$3=0,"",SUMIFS(INDEX(Inputs!$D$4:$AG$250,0,MATCH(AE$2,Inputs!$D$2:$AG$2,0)),Inputs!$B$4:$B$250,$B37)/1000)</f>
        <v/>
      </c>
      <c r="AF37" s="11" t="str">
        <f>IF(AF$3=0,"",SUMIFS(INDEX(Inputs!$D$4:$AG$250,0,MATCH(AF$2,Inputs!$D$2:$AG$2,0)),Inputs!$B$4:$B$250,$B37)/1000)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IF(D$3=0,"",SUMIFS(INDEX(Inputs!$D$4:$AG$250,0,MATCH(D$2,Inputs!$D$2:$AG$2,0)),Inputs!$B$4:$B$250,$B38)/1000)</f>
        <v>17.817</v>
      </c>
      <c r="E38" s="11">
        <f>IF(E$3=0,"",SUMIFS(INDEX(Inputs!$D$4:$AG$250,0,MATCH(E$2,Inputs!$D$2:$AG$2,0)),Inputs!$B$4:$B$250,$B38)/1000)</f>
        <v>17.496</v>
      </c>
      <c r="F38" s="11">
        <f>IF(F$3=0,"",SUMIFS(INDEX(Inputs!$D$4:$AG$250,0,MATCH(F$2,Inputs!$D$2:$AG$2,0)),Inputs!$B$4:$B$250,$B38)/1000)</f>
        <v>19.982</v>
      </c>
      <c r="G38" s="11">
        <f>IF(G$3=0,"",SUMIFS(INDEX(Inputs!$D$4:$AG$250,0,MATCH(G$2,Inputs!$D$2:$AG$2,0)),Inputs!$B$4:$B$250,$B38)/1000)</f>
        <v>9.105</v>
      </c>
      <c r="H38" s="12">
        <f>IF(G38="","",G38)</f>
        <v>9.105</v>
      </c>
      <c r="I38" s="11">
        <f>IF(I$3=0,"",SUMIFS(INDEX(Inputs!$D$4:$AG$250,0,MATCH(I$2,Inputs!$D$2:$AG$2,0)),Inputs!$B$4:$B$250,$B38)/1000)</f>
        <v>9.105</v>
      </c>
      <c r="J38" s="11">
        <f>IF(J$3=0,"",SUMIFS(INDEX(Inputs!$D$4:$AG$250,0,MATCH(J$2,Inputs!$D$2:$AG$2,0)),Inputs!$B$4:$B$250,$B38)/1000)</f>
        <v>9.105</v>
      </c>
      <c r="K38" s="11">
        <f>IF(K$3=0,"",SUMIFS(INDEX(Inputs!$D$4:$AG$250,0,MATCH(K$2,Inputs!$D$2:$AG$2,0)),Inputs!$B$4:$B$250,$B38)/1000)</f>
        <v>9.105</v>
      </c>
      <c r="L38" s="11">
        <f>IF(L$3=0,"",SUMIFS(INDEX(Inputs!$D$4:$AG$250,0,MATCH(L$2,Inputs!$D$2:$AG$2,0)),Inputs!$B$4:$B$250,$B38)/1000)</f>
        <v>4.139</v>
      </c>
      <c r="M38" s="12">
        <f>IF(L38="","",L38)</f>
        <v>4.139</v>
      </c>
      <c r="N38" s="11">
        <f>IF(N$3=0,"",SUMIFS(INDEX(Inputs!$D$4:$AG$250,0,MATCH(N$2,Inputs!$D$2:$AG$2,0)),Inputs!$B$4:$B$250,$B38)/1000)</f>
        <v>4.139</v>
      </c>
      <c r="O38" s="11">
        <f>IF(O$3=0,"",SUMIFS(INDEX(Inputs!$D$4:$AG$250,0,MATCH(O$2,Inputs!$D$2:$AG$2,0)),Inputs!$B$4:$B$250,$B38)/1000)</f>
        <v>4.139</v>
      </c>
      <c r="P38" s="11">
        <f>IF(P$3=0,"",SUMIFS(INDEX(Inputs!$D$4:$AG$250,0,MATCH(P$2,Inputs!$D$2:$AG$2,0)),Inputs!$B$4:$B$250,$B38)/1000)</f>
        <v>4.139</v>
      </c>
      <c r="Q38" s="11">
        <f>IF(Q$3=0,"",SUMIFS(INDEX(Inputs!$D$4:$AG$250,0,MATCH(Q$2,Inputs!$D$2:$AG$2,0)),Inputs!$B$4:$B$250,$B38)/1000)</f>
        <v>4.139</v>
      </c>
      <c r="R38" s="12">
        <f>IF(Q38="","",Q38)</f>
        <v>4.139</v>
      </c>
      <c r="S38" s="11">
        <f>IF(S$3=0,"",SUMIFS(INDEX(Inputs!$D$4:$AG$250,0,MATCH(S$2,Inputs!$D$2:$AG$2,0)),Inputs!$B$4:$B$250,$B38)/1000)</f>
        <v>4.139</v>
      </c>
      <c r="T38" s="11">
        <f>IF(T$3=0,"",SUMIFS(INDEX(Inputs!$D$4:$AG$250,0,MATCH(T$2,Inputs!$D$2:$AG$2,0)),Inputs!$B$4:$B$250,$B38)/1000)</f>
        <v>4.139</v>
      </c>
      <c r="U38" s="11">
        <f>IF(U$3=0,"",SUMIFS(INDEX(Inputs!$D$4:$AG$250,0,MATCH(U$2,Inputs!$D$2:$AG$2,0)),Inputs!$B$4:$B$250,$B38)/1000)</f>
        <v>4.139</v>
      </c>
      <c r="V38" s="11">
        <f>IF(V$3=0,"",SUMIFS(INDEX(Inputs!$D$4:$AG$250,0,MATCH(V$2,Inputs!$D$2:$AG$2,0)),Inputs!$B$4:$B$250,$B38)/1000)</f>
        <v>3.68</v>
      </c>
      <c r="W38" s="12">
        <f>IF(V38="","",V38)</f>
        <v>3.68</v>
      </c>
      <c r="X38" s="11">
        <f>IF(X$3=0,"",SUMIFS(INDEX(Inputs!$D$4:$AG$250,0,MATCH(X$2,Inputs!$D$2:$AG$2,0)),Inputs!$B$4:$B$250,$B38)/1000)</f>
        <v>3.68</v>
      </c>
      <c r="Y38" s="11">
        <f>IF(Y$3=0,"",SUMIFS(INDEX(Inputs!$D$4:$AG$250,0,MATCH(Y$2,Inputs!$D$2:$AG$2,0)),Inputs!$B$4:$B$250,$B38)/1000)</f>
        <v>3.68</v>
      </c>
      <c r="Z38" s="11">
        <f>IF(Z$3=0,"",SUMIFS(INDEX(Inputs!$D$4:$AG$250,0,MATCH(Z$2,Inputs!$D$2:$AG$2,0)),Inputs!$B$4:$B$250,$B38)/1000)</f>
        <v>3.68</v>
      </c>
      <c r="AA38" s="11">
        <f>IF(AA$3=0,"",SUMIFS(INDEX(Inputs!$D$4:$AG$250,0,MATCH(AA$2,Inputs!$D$2:$AG$2,0)),Inputs!$B$4:$B$250,$B38)/1000)</f>
        <v>2.728</v>
      </c>
      <c r="AB38" s="12">
        <f>IF(AA38="","",AA38)</f>
        <v>2.728</v>
      </c>
      <c r="AC38" s="11">
        <f>IF(AC$3=0,"",SUMIFS(INDEX(Inputs!$D$4:$AG$250,0,MATCH(AC$2,Inputs!$D$2:$AG$2,0)),Inputs!$B$4:$B$250,$B38)/1000)</f>
        <v>2.728</v>
      </c>
      <c r="AD38" s="11">
        <f>IF(AD$3=0,"",SUMIFS(INDEX(Inputs!$D$4:$AG$250,0,MATCH(AD$2,Inputs!$D$2:$AG$2,0)),Inputs!$B$4:$B$250,$B38)/1000)</f>
        <v>597.286</v>
      </c>
      <c r="AE38" s="11" t="str">
        <f>IF(AE$3=0,"",SUMIFS(INDEX(Inputs!$D$4:$AG$250,0,MATCH(AE$2,Inputs!$D$2:$AG$2,0)),Inputs!$B$4:$B$250,$B38)/1000)</f>
        <v/>
      </c>
      <c r="AF38" s="11" t="str">
        <f>IF(AF$3=0,"",SUMIFS(INDEX(Inputs!$D$4:$AG$250,0,MATCH(AF$2,Inputs!$D$2:$AG$2,0)),Inputs!$B$4:$B$250,$B38)/1000)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IF(D$3=0,"",SUMIFS(INDEX(Inputs!$D$4:$AG$250,0,MATCH(D$2,Inputs!$D$2:$AG$2,0)),Inputs!$B$4:$B$250,$B39)/1000)</f>
        <v>85.655</v>
      </c>
      <c r="E39" s="11">
        <f>IF(E$3=0,"",SUMIFS(INDEX(Inputs!$D$4:$AG$250,0,MATCH(E$2,Inputs!$D$2:$AG$2,0)),Inputs!$B$4:$B$250,$B39)/1000)</f>
        <v>76.482</v>
      </c>
      <c r="F39" s="11">
        <f>IF(F$3=0,"",SUMIFS(INDEX(Inputs!$D$4:$AG$250,0,MATCH(F$2,Inputs!$D$2:$AG$2,0)),Inputs!$B$4:$B$250,$B39)/1000)</f>
        <v>89.692</v>
      </c>
      <c r="G39" s="11">
        <f>IF(G$3=0,"",SUMIFS(INDEX(Inputs!$D$4:$AG$250,0,MATCH(G$2,Inputs!$D$2:$AG$2,0)),Inputs!$B$4:$B$250,$B39)/1000)</f>
        <v>87.593</v>
      </c>
      <c r="H39" s="12">
        <f>IF(G39="","",G39)</f>
        <v>87.593</v>
      </c>
      <c r="I39" s="11">
        <f>IF(I$3=0,"",SUMIFS(INDEX(Inputs!$D$4:$AG$250,0,MATCH(I$2,Inputs!$D$2:$AG$2,0)),Inputs!$B$4:$B$250,$B39)/1000)</f>
        <v>90.417</v>
      </c>
      <c r="J39" s="11">
        <f>IF(J$3=0,"",SUMIFS(INDEX(Inputs!$D$4:$AG$250,0,MATCH(J$2,Inputs!$D$2:$AG$2,0)),Inputs!$B$4:$B$250,$B39)/1000)</f>
        <v>353.748</v>
      </c>
      <c r="K39" s="11">
        <f>IF(K$3=0,"",SUMIFS(INDEX(Inputs!$D$4:$AG$250,0,MATCH(K$2,Inputs!$D$2:$AG$2,0)),Inputs!$B$4:$B$250,$B39)/1000)</f>
        <v>355.709</v>
      </c>
      <c r="L39" s="11">
        <f>IF(L$3=0,"",SUMIFS(INDEX(Inputs!$D$4:$AG$250,0,MATCH(L$2,Inputs!$D$2:$AG$2,0)),Inputs!$B$4:$B$250,$B39)/1000)</f>
        <v>146.47</v>
      </c>
      <c r="M39" s="12">
        <f>IF(L39="","",L39)</f>
        <v>146.47</v>
      </c>
      <c r="N39" s="11">
        <f>IF(N$3=0,"",SUMIFS(INDEX(Inputs!$D$4:$AG$250,0,MATCH(N$2,Inputs!$D$2:$AG$2,0)),Inputs!$B$4:$B$250,$B39)/1000)</f>
        <v>147.813</v>
      </c>
      <c r="O39" s="11">
        <f>IF(O$3=0,"",SUMIFS(INDEX(Inputs!$D$4:$AG$250,0,MATCH(O$2,Inputs!$D$2:$AG$2,0)),Inputs!$B$4:$B$250,$B39)/1000)</f>
        <v>159.096</v>
      </c>
      <c r="P39" s="11">
        <f>IF(P$3=0,"",SUMIFS(INDEX(Inputs!$D$4:$AG$250,0,MATCH(P$2,Inputs!$D$2:$AG$2,0)),Inputs!$B$4:$B$250,$B39)/1000)</f>
        <v>172.115</v>
      </c>
      <c r="Q39" s="11">
        <f>IF(Q$3=0,"",SUMIFS(INDEX(Inputs!$D$4:$AG$250,0,MATCH(Q$2,Inputs!$D$2:$AG$2,0)),Inputs!$B$4:$B$250,$B39)/1000)</f>
        <v>152.046</v>
      </c>
      <c r="R39" s="12">
        <f>IF(Q39="","",Q39)</f>
        <v>152.046</v>
      </c>
      <c r="S39" s="11">
        <f>IF(S$3=0,"",SUMIFS(INDEX(Inputs!$D$4:$AG$250,0,MATCH(S$2,Inputs!$D$2:$AG$2,0)),Inputs!$B$4:$B$250,$B39)/1000)</f>
        <v>128.083</v>
      </c>
      <c r="T39" s="11">
        <f>IF(T$3=0,"",SUMIFS(INDEX(Inputs!$D$4:$AG$250,0,MATCH(T$2,Inputs!$D$2:$AG$2,0)),Inputs!$B$4:$B$250,$B39)/1000)</f>
        <v>120.231</v>
      </c>
      <c r="U39" s="11">
        <f>IF(U$3=0,"",SUMIFS(INDEX(Inputs!$D$4:$AG$250,0,MATCH(U$2,Inputs!$D$2:$AG$2,0)),Inputs!$B$4:$B$250,$B39)/1000)</f>
        <v>252.988</v>
      </c>
      <c r="V39" s="11">
        <f>IF(V$3=0,"",SUMIFS(INDEX(Inputs!$D$4:$AG$250,0,MATCH(V$2,Inputs!$D$2:$AG$2,0)),Inputs!$B$4:$B$250,$B39)/1000)</f>
        <v>244.831</v>
      </c>
      <c r="W39" s="12">
        <f>IF(V39="","",V39)</f>
        <v>244.831</v>
      </c>
      <c r="X39" s="11">
        <f>IF(X$3=0,"",SUMIFS(INDEX(Inputs!$D$4:$AG$250,0,MATCH(X$2,Inputs!$D$2:$AG$2,0)),Inputs!$B$4:$B$250,$B39)/1000)</f>
        <v>244.158</v>
      </c>
      <c r="Y39" s="11">
        <f>IF(Y$3=0,"",SUMIFS(INDEX(Inputs!$D$4:$AG$250,0,MATCH(Y$2,Inputs!$D$2:$AG$2,0)),Inputs!$B$4:$B$250,$B39)/1000)</f>
        <v>243.824</v>
      </c>
      <c r="Z39" s="11">
        <f>IF(Z$3=0,"",SUMIFS(INDEX(Inputs!$D$4:$AG$250,0,MATCH(Z$2,Inputs!$D$2:$AG$2,0)),Inputs!$B$4:$B$250,$B39)/1000)</f>
        <v>237.509</v>
      </c>
      <c r="AA39" s="11">
        <f>IF(AA$3=0,"",SUMIFS(INDEX(Inputs!$D$4:$AG$250,0,MATCH(AA$2,Inputs!$D$2:$AG$2,0)),Inputs!$B$4:$B$250,$B39)/1000)</f>
        <v>171.344</v>
      </c>
      <c r="AB39" s="12">
        <f>IF(AA39="","",AA39)</f>
        <v>171.344</v>
      </c>
      <c r="AC39" s="11">
        <f>IF(AC$3=0,"",SUMIFS(INDEX(Inputs!$D$4:$AG$250,0,MATCH(AC$2,Inputs!$D$2:$AG$2,0)),Inputs!$B$4:$B$250,$B39)/1000)</f>
        <v>175.142</v>
      </c>
      <c r="AD39" s="11">
        <f>IF(AD$3=0,"",SUMIFS(INDEX(Inputs!$D$4:$AG$250,0,MATCH(AD$2,Inputs!$D$2:$AG$2,0)),Inputs!$B$4:$B$250,$B39)/1000)</f>
        <v>765.768</v>
      </c>
      <c r="AE39" s="11" t="str">
        <f>IF(AE$3=0,"",SUMIFS(INDEX(Inputs!$D$4:$AG$250,0,MATCH(AE$2,Inputs!$D$2:$AG$2,0)),Inputs!$B$4:$B$250,$B39)/1000)</f>
        <v/>
      </c>
      <c r="AF39" s="11" t="str">
        <f>IF(AF$3=0,"",SUMIFS(INDEX(Inputs!$D$4:$AG$250,0,MATCH(AF$2,Inputs!$D$2:$AG$2,0)),Inputs!$B$4:$B$250,$B39)/1000)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IF(D$3=0,"",SUMIFS(INDEX(Inputs!$D$4:$AG$250,0,MATCH(D$2,Inputs!$D$2:$AG$2,0)),Inputs!$B$4:$B$250,$B41)/1000)</f>
        <v>16.358</v>
      </c>
      <c r="E41" s="11">
        <f>IF(E$3=0,"",SUMIFS(INDEX(Inputs!$D$4:$AG$250,0,MATCH(E$2,Inputs!$D$2:$AG$2,0)),Inputs!$B$4:$B$250,$B41)/1000)</f>
        <v>9.287</v>
      </c>
      <c r="F41" s="11">
        <f>IF(F$3=0,"",SUMIFS(INDEX(Inputs!$D$4:$AG$250,0,MATCH(F$2,Inputs!$D$2:$AG$2,0)),Inputs!$B$4:$B$250,$B41)/1000)</f>
        <v>10.144</v>
      </c>
      <c r="G41" s="11">
        <f>IF(G$3=0,"",SUMIFS(INDEX(Inputs!$D$4:$AG$250,0,MATCH(G$2,Inputs!$D$2:$AG$2,0)),Inputs!$B$4:$B$250,$B41)/1000)</f>
        <v>13.765</v>
      </c>
      <c r="H41" s="12">
        <f>IF(G41="","",G41)</f>
        <v>13.765</v>
      </c>
      <c r="I41" s="11">
        <f>IF(I$3=0,"",SUMIFS(INDEX(Inputs!$D$4:$AG$250,0,MATCH(I$2,Inputs!$D$2:$AG$2,0)),Inputs!$B$4:$B$250,$B41)/1000)</f>
        <v>14.538</v>
      </c>
      <c r="J41" s="11">
        <f>IF(J$3=0,"",SUMIFS(INDEX(Inputs!$D$4:$AG$250,0,MATCH(J$2,Inputs!$D$2:$AG$2,0)),Inputs!$B$4:$B$250,$B41)/1000)</f>
        <v>16.188</v>
      </c>
      <c r="K41" s="11">
        <f>IF(K$3=0,"",SUMIFS(INDEX(Inputs!$D$4:$AG$250,0,MATCH(K$2,Inputs!$D$2:$AG$2,0)),Inputs!$B$4:$B$250,$B41)/1000)</f>
        <v>17.655</v>
      </c>
      <c r="L41" s="11">
        <f>IF(L$3=0,"",SUMIFS(INDEX(Inputs!$D$4:$AG$250,0,MATCH(L$2,Inputs!$D$2:$AG$2,0)),Inputs!$B$4:$B$250,$B41)/1000)</f>
        <v>30.976</v>
      </c>
      <c r="M41" s="12">
        <f>IF(L41="","",L41)</f>
        <v>30.976</v>
      </c>
      <c r="N41" s="11">
        <f>IF(N$3=0,"",SUMIFS(INDEX(Inputs!$D$4:$AG$250,0,MATCH(N$2,Inputs!$D$2:$AG$2,0)),Inputs!$B$4:$B$250,$B41)/1000)</f>
        <v>43.064</v>
      </c>
      <c r="O41" s="11">
        <f>IF(O$3=0,"",SUMIFS(INDEX(Inputs!$D$4:$AG$250,0,MATCH(O$2,Inputs!$D$2:$AG$2,0)),Inputs!$B$4:$B$250,$B41)/1000)</f>
        <v>44.495</v>
      </c>
      <c r="P41" s="11">
        <f>IF(P$3=0,"",SUMIFS(INDEX(Inputs!$D$4:$AG$250,0,MATCH(P$2,Inputs!$D$2:$AG$2,0)),Inputs!$B$4:$B$250,$B41)/1000)</f>
        <v>46.538</v>
      </c>
      <c r="Q41" s="11">
        <f>IF(Q$3=0,"",SUMIFS(INDEX(Inputs!$D$4:$AG$250,0,MATCH(Q$2,Inputs!$D$2:$AG$2,0)),Inputs!$B$4:$B$250,$B41)/1000)</f>
        <v>38.588</v>
      </c>
      <c r="R41" s="12">
        <f>IF(Q41="","",Q41)</f>
        <v>38.588</v>
      </c>
      <c r="S41" s="11">
        <f>IF(S$3=0,"",SUMIFS(INDEX(Inputs!$D$4:$AG$250,0,MATCH(S$2,Inputs!$D$2:$AG$2,0)),Inputs!$B$4:$B$250,$B41)/1000)</f>
        <v>60.029</v>
      </c>
      <c r="T41" s="11">
        <f>IF(T$3=0,"",SUMIFS(INDEX(Inputs!$D$4:$AG$250,0,MATCH(T$2,Inputs!$D$2:$AG$2,0)),Inputs!$B$4:$B$250,$B41)/1000)</f>
        <v>61.598</v>
      </c>
      <c r="U41" s="11">
        <f>IF(U$3=0,"",SUMIFS(INDEX(Inputs!$D$4:$AG$250,0,MATCH(U$2,Inputs!$D$2:$AG$2,0)),Inputs!$B$4:$B$250,$B41)/1000)</f>
        <v>92.735</v>
      </c>
      <c r="V41" s="11">
        <f>IF(V$3=0,"",SUMIFS(INDEX(Inputs!$D$4:$AG$250,0,MATCH(V$2,Inputs!$D$2:$AG$2,0)),Inputs!$B$4:$B$250,$B41)/1000)</f>
        <v>95.715</v>
      </c>
      <c r="W41" s="12">
        <f>IF(V41="","",V41)</f>
        <v>95.715</v>
      </c>
      <c r="X41" s="11">
        <f>IF(X$3=0,"",SUMIFS(INDEX(Inputs!$D$4:$AG$250,0,MATCH(X$2,Inputs!$D$2:$AG$2,0)),Inputs!$B$4:$B$250,$B41)/1000)</f>
        <v>98.48</v>
      </c>
      <c r="Y41" s="11">
        <f>IF(Y$3=0,"",SUMIFS(INDEX(Inputs!$D$4:$AG$250,0,MATCH(Y$2,Inputs!$D$2:$AG$2,0)),Inputs!$B$4:$B$250,$B41)/1000)</f>
        <v>101.391</v>
      </c>
      <c r="Z41" s="11">
        <f>IF(Z$3=0,"",SUMIFS(INDEX(Inputs!$D$4:$AG$250,0,MATCH(Z$2,Inputs!$D$2:$AG$2,0)),Inputs!$B$4:$B$250,$B41)/1000)</f>
        <v>105.445</v>
      </c>
      <c r="AA41" s="11">
        <f>IF(AA$3=0,"",SUMIFS(INDEX(Inputs!$D$4:$AG$250,0,MATCH(AA$2,Inputs!$D$2:$AG$2,0)),Inputs!$B$4:$B$250,$B41)/1000)</f>
        <v>109.535</v>
      </c>
      <c r="AB41" s="12">
        <f>IF(AA41="","",AA41)</f>
        <v>109.535</v>
      </c>
      <c r="AC41" s="11">
        <f>IF(AC$3=0,"",SUMIFS(INDEX(Inputs!$D$4:$AG$250,0,MATCH(AC$2,Inputs!$D$2:$AG$2,0)),Inputs!$B$4:$B$250,$B41)/1000)</f>
        <v>113.373</v>
      </c>
      <c r="AD41" s="11">
        <f>IF(AD$3=0,"",SUMIFS(INDEX(Inputs!$D$4:$AG$250,0,MATCH(AD$2,Inputs!$D$2:$AG$2,0)),Inputs!$B$4:$B$250,$B41)/1000)</f>
        <v>400.716</v>
      </c>
      <c r="AE41" s="11" t="str">
        <f>IF(AE$3=0,"",SUMIFS(INDEX(Inputs!$D$4:$AG$250,0,MATCH(AE$2,Inputs!$D$2:$AG$2,0)),Inputs!$B$4:$B$250,$B41)/1000)</f>
        <v/>
      </c>
      <c r="AF41" s="11" t="str">
        <f>IF(AF$3=0,"",SUMIFS(INDEX(Inputs!$D$4:$AG$250,0,MATCH(AF$2,Inputs!$D$2:$AG$2,0)),Inputs!$B$4:$B$250,$B41)/1000)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IF(D$3=0,"",SUMIFS(INDEX(Inputs!$D$4:$AG$250,0,MATCH(D$2,Inputs!$D$2:$AG$2,0)),Inputs!$B$4:$B$250,$B42)/1000)</f>
        <v>0</v>
      </c>
      <c r="E42" s="11">
        <f>IF(E$3=0,"",SUMIFS(INDEX(Inputs!$D$4:$AG$250,0,MATCH(E$2,Inputs!$D$2:$AG$2,0)),Inputs!$B$4:$B$250,$B42)/1000)</f>
        <v>0</v>
      </c>
      <c r="F42" s="11">
        <f>IF(F$3=0,"",SUMIFS(INDEX(Inputs!$D$4:$AG$250,0,MATCH(F$2,Inputs!$D$2:$AG$2,0)),Inputs!$B$4:$B$250,$B42)/1000)</f>
        <v>0</v>
      </c>
      <c r="G42" s="11">
        <f>IF(G$3=0,"",SUMIFS(INDEX(Inputs!$D$4:$AG$250,0,MATCH(G$2,Inputs!$D$2:$AG$2,0)),Inputs!$B$4:$B$250,$B42)/1000)</f>
        <v>0</v>
      </c>
      <c r="H42" s="12">
        <f>IF(G42="","",G42)</f>
        <v>0</v>
      </c>
      <c r="I42" s="11">
        <f>IF(I$3=0,"",SUMIFS(INDEX(Inputs!$D$4:$AG$250,0,MATCH(I$2,Inputs!$D$2:$AG$2,0)),Inputs!$B$4:$B$250,$B42)/1000)</f>
        <v>0</v>
      </c>
      <c r="J42" s="11">
        <f>IF(J$3=0,"",SUMIFS(INDEX(Inputs!$D$4:$AG$250,0,MATCH(J$2,Inputs!$D$2:$AG$2,0)),Inputs!$B$4:$B$250,$B42)/1000)</f>
        <v>0</v>
      </c>
      <c r="K42" s="11">
        <f>IF(K$3=0,"",SUMIFS(INDEX(Inputs!$D$4:$AG$250,0,MATCH(K$2,Inputs!$D$2:$AG$2,0)),Inputs!$B$4:$B$250,$B42)/1000)</f>
        <v>0</v>
      </c>
      <c r="L42" s="11">
        <f>IF(L$3=0,"",SUMIFS(INDEX(Inputs!$D$4:$AG$250,0,MATCH(L$2,Inputs!$D$2:$AG$2,0)),Inputs!$B$4:$B$250,$B42)/1000)</f>
        <v>0</v>
      </c>
      <c r="M42" s="12">
        <f>IF(L42="","",L42)</f>
        <v>0</v>
      </c>
      <c r="N42" s="11">
        <f>IF(N$3=0,"",SUMIFS(INDEX(Inputs!$D$4:$AG$250,0,MATCH(N$2,Inputs!$D$2:$AG$2,0)),Inputs!$B$4:$B$250,$B42)/1000)</f>
        <v>0</v>
      </c>
      <c r="O42" s="11">
        <f>IF(O$3=0,"",SUMIFS(INDEX(Inputs!$D$4:$AG$250,0,MATCH(O$2,Inputs!$D$2:$AG$2,0)),Inputs!$B$4:$B$250,$B42)/1000)</f>
        <v>0</v>
      </c>
      <c r="P42" s="11">
        <f>IF(P$3=0,"",SUMIFS(INDEX(Inputs!$D$4:$AG$250,0,MATCH(P$2,Inputs!$D$2:$AG$2,0)),Inputs!$B$4:$B$250,$B42)/1000)</f>
        <v>0</v>
      </c>
      <c r="Q42" s="11">
        <f>IF(Q$3=0,"",SUMIFS(INDEX(Inputs!$D$4:$AG$250,0,MATCH(Q$2,Inputs!$D$2:$AG$2,0)),Inputs!$B$4:$B$250,$B42)/1000)</f>
        <v>0</v>
      </c>
      <c r="R42" s="12">
        <f>IF(Q42="","",Q42)</f>
        <v>0</v>
      </c>
      <c r="S42" s="11">
        <f>IF(S$3=0,"",SUMIFS(INDEX(Inputs!$D$4:$AG$250,0,MATCH(S$2,Inputs!$D$2:$AG$2,0)),Inputs!$B$4:$B$250,$B42)/1000)</f>
        <v>0</v>
      </c>
      <c r="T42" s="11">
        <f>IF(T$3=0,"",SUMIFS(INDEX(Inputs!$D$4:$AG$250,0,MATCH(T$2,Inputs!$D$2:$AG$2,0)),Inputs!$B$4:$B$250,$B42)/1000)</f>
        <v>0</v>
      </c>
      <c r="U42" s="11">
        <f>IF(U$3=0,"",SUMIFS(INDEX(Inputs!$D$4:$AG$250,0,MATCH(U$2,Inputs!$D$2:$AG$2,0)),Inputs!$B$4:$B$250,$B42)/1000)</f>
        <v>0</v>
      </c>
      <c r="V42" s="11">
        <f>IF(V$3=0,"",SUMIFS(INDEX(Inputs!$D$4:$AG$250,0,MATCH(V$2,Inputs!$D$2:$AG$2,0)),Inputs!$B$4:$B$250,$B42)/1000)</f>
        <v>0</v>
      </c>
      <c r="W42" s="12">
        <f>IF(V42="","",V42)</f>
        <v>0</v>
      </c>
      <c r="X42" s="11">
        <f>IF(X$3=0,"",SUMIFS(INDEX(Inputs!$D$4:$AG$250,0,MATCH(X$2,Inputs!$D$2:$AG$2,0)),Inputs!$B$4:$B$250,$B42)/1000)</f>
        <v>0</v>
      </c>
      <c r="Y42" s="11">
        <f>IF(Y$3=0,"",SUMIFS(INDEX(Inputs!$D$4:$AG$250,0,MATCH(Y$2,Inputs!$D$2:$AG$2,0)),Inputs!$B$4:$B$250,$B42)/1000)</f>
        <v>0</v>
      </c>
      <c r="Z42" s="11">
        <f>IF(Z$3=0,"",SUMIFS(INDEX(Inputs!$D$4:$AG$250,0,MATCH(Z$2,Inputs!$D$2:$AG$2,0)),Inputs!$B$4:$B$250,$B42)/1000)</f>
        <v>0</v>
      </c>
      <c r="AA42" s="11">
        <f>IF(AA$3=0,"",SUMIFS(INDEX(Inputs!$D$4:$AG$250,0,MATCH(AA$2,Inputs!$D$2:$AG$2,0)),Inputs!$B$4:$B$250,$B42)/1000)</f>
        <v>0</v>
      </c>
      <c r="AB42" s="12">
        <f>IF(AA42="","",AA42)</f>
        <v>0</v>
      </c>
      <c r="AC42" s="11">
        <f>IF(AC$3=0,"",SUMIFS(INDEX(Inputs!$D$4:$AG$250,0,MATCH(AC$2,Inputs!$D$2:$AG$2,0)),Inputs!$B$4:$B$250,$B42)/1000)</f>
        <v>0</v>
      </c>
      <c r="AD42" s="11">
        <f>IF(AD$3=0,"",SUMIFS(INDEX(Inputs!$D$4:$AG$250,0,MATCH(AD$2,Inputs!$D$2:$AG$2,0)),Inputs!$B$4:$B$250,$B42)/1000)</f>
        <v>0</v>
      </c>
      <c r="AE42" s="11" t="str">
        <f>IF(AE$3=0,"",SUMIFS(INDEX(Inputs!$D$4:$AG$250,0,MATCH(AE$2,Inputs!$D$2:$AG$2,0)),Inputs!$B$4:$B$250,$B42)/1000)</f>
        <v/>
      </c>
      <c r="AF42" s="11" t="str">
        <f>IF(AF$3=0,"",SUMIFS(INDEX(Inputs!$D$4:$AG$250,0,MATCH(AF$2,Inputs!$D$2:$AG$2,0)),Inputs!$B$4:$B$250,$B42)/1000)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IF(D$3=0,"",SUMIFS(INDEX(Inputs!$D$4:$AG$250,0,MATCH(D$2,Inputs!$D$2:$AG$2,0)),Inputs!$B$4:$B$250,$B43)/1000)</f>
        <v>817.544</v>
      </c>
      <c r="E43" s="11">
        <f>IF(E$3=0,"",SUMIFS(INDEX(Inputs!$D$4:$AG$250,0,MATCH(E$2,Inputs!$D$2:$AG$2,0)),Inputs!$B$4:$B$250,$B43)/1000)</f>
        <v>816.2</v>
      </c>
      <c r="F43" s="11">
        <f>IF(F$3=0,"",SUMIFS(INDEX(Inputs!$D$4:$AG$250,0,MATCH(F$2,Inputs!$D$2:$AG$2,0)),Inputs!$B$4:$B$250,$B43)/1000)</f>
        <v>816.2</v>
      </c>
      <c r="G43" s="11">
        <f>IF(G$3=0,"",SUMIFS(INDEX(Inputs!$D$4:$AG$250,0,MATCH(G$2,Inputs!$D$2:$AG$2,0)),Inputs!$B$4:$B$250,$B43)/1000)</f>
        <v>816.2</v>
      </c>
      <c r="H43" s="12">
        <f>IF(G43="","",G43)</f>
        <v>816.2</v>
      </c>
      <c r="I43" s="11">
        <f>IF(I$3=0,"",SUMIFS(INDEX(Inputs!$D$4:$AG$250,0,MATCH(I$2,Inputs!$D$2:$AG$2,0)),Inputs!$B$4:$B$250,$B43)/1000)</f>
        <v>816.2</v>
      </c>
      <c r="J43" s="11">
        <f>IF(J$3=0,"",SUMIFS(INDEX(Inputs!$D$4:$AG$250,0,MATCH(J$2,Inputs!$D$2:$AG$2,0)),Inputs!$B$4:$B$250,$B43)/1000)</f>
        <v>929.655</v>
      </c>
      <c r="K43" s="11">
        <f>IF(K$3=0,"",SUMIFS(INDEX(Inputs!$D$4:$AG$250,0,MATCH(K$2,Inputs!$D$2:$AG$2,0)),Inputs!$B$4:$B$250,$B43)/1000)</f>
        <v>929.655</v>
      </c>
      <c r="L43" s="11">
        <f>IF(L$3=0,"",SUMIFS(INDEX(Inputs!$D$4:$AG$250,0,MATCH(L$2,Inputs!$D$2:$AG$2,0)),Inputs!$B$4:$B$250,$B43)/1000)</f>
        <v>1113.454</v>
      </c>
      <c r="M43" s="12">
        <f>IF(L43="","",L43)</f>
        <v>1113.454</v>
      </c>
      <c r="N43" s="11">
        <f>IF(N$3=0,"",SUMIFS(INDEX(Inputs!$D$4:$AG$250,0,MATCH(N$2,Inputs!$D$2:$AG$2,0)),Inputs!$B$4:$B$250,$B43)/1000)</f>
        <v>1461.658</v>
      </c>
      <c r="O43" s="11">
        <f>IF(O$3=0,"",SUMIFS(INDEX(Inputs!$D$4:$AG$250,0,MATCH(O$2,Inputs!$D$2:$AG$2,0)),Inputs!$B$4:$B$250,$B43)/1000)</f>
        <v>1544.389</v>
      </c>
      <c r="P43" s="11">
        <f>IF(P$3=0,"",SUMIFS(INDEX(Inputs!$D$4:$AG$250,0,MATCH(P$2,Inputs!$D$2:$AG$2,0)),Inputs!$B$4:$B$250,$B43)/1000)</f>
        <v>1544.389</v>
      </c>
      <c r="Q43" s="11">
        <f>IF(Q$3=0,"",SUMIFS(INDEX(Inputs!$D$4:$AG$250,0,MATCH(Q$2,Inputs!$D$2:$AG$2,0)),Inputs!$B$4:$B$250,$B43)/1000)</f>
        <v>1544.389</v>
      </c>
      <c r="R43" s="12">
        <f>IF(Q43="","",Q43)</f>
        <v>1544.389</v>
      </c>
      <c r="S43" s="11">
        <f>IF(S$3=0,"",SUMIFS(INDEX(Inputs!$D$4:$AG$250,0,MATCH(S$2,Inputs!$D$2:$AG$2,0)),Inputs!$B$4:$B$250,$B43)/1000)</f>
        <v>1544.389</v>
      </c>
      <c r="T43" s="11">
        <f>IF(T$3=0,"",SUMIFS(INDEX(Inputs!$D$4:$AG$250,0,MATCH(T$2,Inputs!$D$2:$AG$2,0)),Inputs!$B$4:$B$250,$B43)/1000)</f>
        <v>1544.389</v>
      </c>
      <c r="U43" s="11">
        <f>IF(U$3=0,"",SUMIFS(INDEX(Inputs!$D$4:$AG$250,0,MATCH(U$2,Inputs!$D$2:$AG$2,0)),Inputs!$B$4:$B$250,$B43)/1000)</f>
        <v>1544.389</v>
      </c>
      <c r="V43" s="11">
        <f>IF(V$3=0,"",SUMIFS(INDEX(Inputs!$D$4:$AG$250,0,MATCH(V$2,Inputs!$D$2:$AG$2,0)),Inputs!$B$4:$B$250,$B43)/1000)</f>
        <v>1544.389</v>
      </c>
      <c r="W43" s="12">
        <f>IF(V43="","",V43)</f>
        <v>1544.389</v>
      </c>
      <c r="X43" s="11">
        <f>IF(X$3=0,"",SUMIFS(INDEX(Inputs!$D$4:$AG$250,0,MATCH(X$2,Inputs!$D$2:$AG$2,0)),Inputs!$B$4:$B$250,$B43)/1000)</f>
        <v>1544.389</v>
      </c>
      <c r="Y43" s="11">
        <f>IF(Y$3=0,"",SUMIFS(INDEX(Inputs!$D$4:$AG$250,0,MATCH(Y$2,Inputs!$D$2:$AG$2,0)),Inputs!$B$4:$B$250,$B43)/1000)</f>
        <v>2151.561</v>
      </c>
      <c r="Z43" s="11">
        <f>IF(Z$3=0,"",SUMIFS(INDEX(Inputs!$D$4:$AG$250,0,MATCH(Z$2,Inputs!$D$2:$AG$2,0)),Inputs!$B$4:$B$250,$B43)/1000)</f>
        <v>2150.122</v>
      </c>
      <c r="AA43" s="11">
        <f>IF(AA$3=0,"",SUMIFS(INDEX(Inputs!$D$4:$AG$250,0,MATCH(AA$2,Inputs!$D$2:$AG$2,0)),Inputs!$B$4:$B$250,$B43)/1000)</f>
        <v>2148.193</v>
      </c>
      <c r="AB43" s="12">
        <f>IF(AA43="","",AA43)</f>
        <v>2148.193</v>
      </c>
      <c r="AC43" s="11">
        <f>IF(AC$3=0,"",SUMIFS(INDEX(Inputs!$D$4:$AG$250,0,MATCH(AC$2,Inputs!$D$2:$AG$2,0)),Inputs!$B$4:$B$250,$B43)/1000)</f>
        <v>2147.299</v>
      </c>
      <c r="AD43" s="11">
        <f>IF(AD$3=0,"",SUMIFS(INDEX(Inputs!$D$4:$AG$250,0,MATCH(AD$2,Inputs!$D$2:$AG$2,0)),Inputs!$B$4:$B$250,$B43)/1000)</f>
        <v>5654.326</v>
      </c>
      <c r="AE43" s="11" t="str">
        <f>IF(AE$3=0,"",SUMIFS(INDEX(Inputs!$D$4:$AG$250,0,MATCH(AE$2,Inputs!$D$2:$AG$2,0)),Inputs!$B$4:$B$250,$B43)/1000)</f>
        <v/>
      </c>
      <c r="AF43" s="11" t="str">
        <f>IF(AF$3=0,"",SUMIFS(INDEX(Inputs!$D$4:$AG$250,0,MATCH(AF$2,Inputs!$D$2:$AG$2,0)),Inputs!$B$4:$B$250,$B43)/1000)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IF(D$3=0,"",SUMIFS(INDEX(Inputs!$D$4:$AG$250,0,MATCH(D$2,Inputs!$D$2:$AG$2,0)),Inputs!$B$4:$B$250,$B44)/1000)</f>
        <v>0</v>
      </c>
      <c r="E44" s="11">
        <f>IF(E$3=0,"",SUMIFS(INDEX(Inputs!$D$4:$AG$250,0,MATCH(E$2,Inputs!$D$2:$AG$2,0)),Inputs!$B$4:$B$250,$B44)/1000)</f>
        <v>0</v>
      </c>
      <c r="F44" s="11">
        <f>IF(F$3=0,"",SUMIFS(INDEX(Inputs!$D$4:$AG$250,0,MATCH(F$2,Inputs!$D$2:$AG$2,0)),Inputs!$B$4:$B$250,$B44)/1000)</f>
        <v>0</v>
      </c>
      <c r="G44" s="11">
        <f>IF(G$3=0,"",SUMIFS(INDEX(Inputs!$D$4:$AG$250,0,MATCH(G$2,Inputs!$D$2:$AG$2,0)),Inputs!$B$4:$B$250,$B44)/1000)</f>
        <v>0</v>
      </c>
      <c r="H44" s="12">
        <f>IF(G44="","",G44)</f>
        <v>0</v>
      </c>
      <c r="I44" s="11">
        <f>IF(I$3=0,"",SUMIFS(INDEX(Inputs!$D$4:$AG$250,0,MATCH(I$2,Inputs!$D$2:$AG$2,0)),Inputs!$B$4:$B$250,$B44)/1000)</f>
        <v>0</v>
      </c>
      <c r="J44" s="11">
        <f>IF(J$3=0,"",SUMIFS(INDEX(Inputs!$D$4:$AG$250,0,MATCH(J$2,Inputs!$D$2:$AG$2,0)),Inputs!$B$4:$B$250,$B44)/1000)</f>
        <v>0</v>
      </c>
      <c r="K44" s="11">
        <f>IF(K$3=0,"",SUMIFS(INDEX(Inputs!$D$4:$AG$250,0,MATCH(K$2,Inputs!$D$2:$AG$2,0)),Inputs!$B$4:$B$250,$B44)/1000)</f>
        <v>0</v>
      </c>
      <c r="L44" s="11">
        <f>IF(L$3=0,"",SUMIFS(INDEX(Inputs!$D$4:$AG$250,0,MATCH(L$2,Inputs!$D$2:$AG$2,0)),Inputs!$B$4:$B$250,$B44)/1000)</f>
        <v>0</v>
      </c>
      <c r="M44" s="12">
        <f>IF(L44="","",L44)</f>
        <v>0</v>
      </c>
      <c r="N44" s="11">
        <f>IF(N$3=0,"",SUMIFS(INDEX(Inputs!$D$4:$AG$250,0,MATCH(N$2,Inputs!$D$2:$AG$2,0)),Inputs!$B$4:$B$250,$B44)/1000)</f>
        <v>0</v>
      </c>
      <c r="O44" s="11">
        <f>IF(O$3=0,"",SUMIFS(INDEX(Inputs!$D$4:$AG$250,0,MATCH(O$2,Inputs!$D$2:$AG$2,0)),Inputs!$B$4:$B$250,$B44)/1000)</f>
        <v>0</v>
      </c>
      <c r="P44" s="11">
        <f>IF(P$3=0,"",SUMIFS(INDEX(Inputs!$D$4:$AG$250,0,MATCH(P$2,Inputs!$D$2:$AG$2,0)),Inputs!$B$4:$B$250,$B44)/1000)</f>
        <v>0</v>
      </c>
      <c r="Q44" s="11">
        <f>IF(Q$3=0,"",SUMIFS(INDEX(Inputs!$D$4:$AG$250,0,MATCH(Q$2,Inputs!$D$2:$AG$2,0)),Inputs!$B$4:$B$250,$B44)/1000)</f>
        <v>0</v>
      </c>
      <c r="R44" s="12">
        <f>IF(Q44="","",Q44)</f>
        <v>0</v>
      </c>
      <c r="S44" s="11">
        <f>IF(S$3=0,"",SUMIFS(INDEX(Inputs!$D$4:$AG$250,0,MATCH(S$2,Inputs!$D$2:$AG$2,0)),Inputs!$B$4:$B$250,$B44)/1000)</f>
        <v>0</v>
      </c>
      <c r="T44" s="11">
        <f>IF(T$3=0,"",SUMIFS(INDEX(Inputs!$D$4:$AG$250,0,MATCH(T$2,Inputs!$D$2:$AG$2,0)),Inputs!$B$4:$B$250,$B44)/1000)</f>
        <v>0</v>
      </c>
      <c r="U44" s="11">
        <f>IF(U$3=0,"",SUMIFS(INDEX(Inputs!$D$4:$AG$250,0,MATCH(U$2,Inputs!$D$2:$AG$2,0)),Inputs!$B$4:$B$250,$B44)/1000)</f>
        <v>0</v>
      </c>
      <c r="V44" s="11">
        <f>IF(V$3=0,"",SUMIFS(INDEX(Inputs!$D$4:$AG$250,0,MATCH(V$2,Inputs!$D$2:$AG$2,0)),Inputs!$B$4:$B$250,$B44)/1000)</f>
        <v>0</v>
      </c>
      <c r="W44" s="12">
        <f>IF(V44="","",V44)</f>
        <v>0</v>
      </c>
      <c r="X44" s="11">
        <f>IF(X$3=0,"",SUMIFS(INDEX(Inputs!$D$4:$AG$250,0,MATCH(X$2,Inputs!$D$2:$AG$2,0)),Inputs!$B$4:$B$250,$B44)/1000)</f>
        <v>0</v>
      </c>
      <c r="Y44" s="11">
        <f>IF(Y$3=0,"",SUMIFS(INDEX(Inputs!$D$4:$AG$250,0,MATCH(Y$2,Inputs!$D$2:$AG$2,0)),Inputs!$B$4:$B$250,$B44)/1000)</f>
        <v>0</v>
      </c>
      <c r="Z44" s="11">
        <f>IF(Z$3=0,"",SUMIFS(INDEX(Inputs!$D$4:$AG$250,0,MATCH(Z$2,Inputs!$D$2:$AG$2,0)),Inputs!$B$4:$B$250,$B44)/1000)</f>
        <v>0</v>
      </c>
      <c r="AA44" s="11">
        <f>IF(AA$3=0,"",SUMIFS(INDEX(Inputs!$D$4:$AG$250,0,MATCH(AA$2,Inputs!$D$2:$AG$2,0)),Inputs!$B$4:$B$250,$B44)/1000)</f>
        <v>0</v>
      </c>
      <c r="AB44" s="12">
        <f>IF(AA44="","",AA44)</f>
        <v>0</v>
      </c>
      <c r="AC44" s="11">
        <f>IF(AC$3=0,"",SUMIFS(INDEX(Inputs!$D$4:$AG$250,0,MATCH(AC$2,Inputs!$D$2:$AG$2,0)),Inputs!$B$4:$B$250,$B44)/1000)</f>
        <v>0</v>
      </c>
      <c r="AD44" s="11">
        <f>IF(AD$3=0,"",SUMIFS(INDEX(Inputs!$D$4:$AG$250,0,MATCH(AD$2,Inputs!$D$2:$AG$2,0)),Inputs!$B$4:$B$250,$B44)/1000)</f>
        <v>0</v>
      </c>
      <c r="AE44" s="11" t="str">
        <f>IF(AE$3=0,"",SUMIFS(INDEX(Inputs!$D$4:$AG$250,0,MATCH(AE$2,Inputs!$D$2:$AG$2,0)),Inputs!$B$4:$B$250,$B44)/1000)</f>
        <v/>
      </c>
      <c r="AF44" s="11" t="str">
        <f>IF(AF$3=0,"",SUMIFS(INDEX(Inputs!$D$4:$AG$250,0,MATCH(AF$2,Inputs!$D$2:$AG$2,0)),Inputs!$B$4:$B$250,$B44)/1000)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IF(D$3=0,"",SUMIFS(INDEX(Inputs!$D$4:$AG$250,0,MATCH(D$2,Inputs!$D$2:$AG$2,0)),Inputs!$B$4:$B$250,$B45)/1000)</f>
        <v>10.359</v>
      </c>
      <c r="E45" s="11">
        <f>IF(E$3=0,"",SUMIFS(INDEX(Inputs!$D$4:$AG$250,0,MATCH(E$2,Inputs!$D$2:$AG$2,0)),Inputs!$B$4:$B$250,$B45)/1000)</f>
        <v>10.359</v>
      </c>
      <c r="F45" s="11">
        <f>IF(F$3=0,"",SUMIFS(INDEX(Inputs!$D$4:$AG$250,0,MATCH(F$2,Inputs!$D$2:$AG$2,0)),Inputs!$B$4:$B$250,$B45)/1000)</f>
        <v>10.359</v>
      </c>
      <c r="G45" s="11">
        <f>IF(G$3=0,"",SUMIFS(INDEX(Inputs!$D$4:$AG$250,0,MATCH(G$2,Inputs!$D$2:$AG$2,0)),Inputs!$B$4:$B$250,$B45)/1000)</f>
        <v>10.359</v>
      </c>
      <c r="H45" s="12">
        <f>IF(G45="","",G45)</f>
        <v>10.359</v>
      </c>
      <c r="I45" s="11">
        <f>IF(I$3=0,"",SUMIFS(INDEX(Inputs!$D$4:$AG$250,0,MATCH(I$2,Inputs!$D$2:$AG$2,0)),Inputs!$B$4:$B$250,$B45)/1000)</f>
        <v>10.359</v>
      </c>
      <c r="J45" s="11">
        <f>IF(J$3=0,"",SUMIFS(INDEX(Inputs!$D$4:$AG$250,0,MATCH(J$2,Inputs!$D$2:$AG$2,0)),Inputs!$B$4:$B$250,$B45)/1000)</f>
        <v>8.763</v>
      </c>
      <c r="K45" s="11">
        <f>IF(K$3=0,"",SUMIFS(INDEX(Inputs!$D$4:$AG$250,0,MATCH(K$2,Inputs!$D$2:$AG$2,0)),Inputs!$B$4:$B$250,$B45)/1000)</f>
        <v>17.461</v>
      </c>
      <c r="L45" s="11">
        <f>IF(L$3=0,"",SUMIFS(INDEX(Inputs!$D$4:$AG$250,0,MATCH(L$2,Inputs!$D$2:$AG$2,0)),Inputs!$B$4:$B$250,$B45)/1000)</f>
        <v>325.895</v>
      </c>
      <c r="M45" s="12">
        <f>IF(L45="","",L45)</f>
        <v>325.895</v>
      </c>
      <c r="N45" s="11">
        <f>IF(N$3=0,"",SUMIFS(INDEX(Inputs!$D$4:$AG$250,0,MATCH(N$2,Inputs!$D$2:$AG$2,0)),Inputs!$B$4:$B$250,$B45)/1000)</f>
        <v>10.359</v>
      </c>
      <c r="O45" s="11">
        <f>IF(O$3=0,"",SUMIFS(INDEX(Inputs!$D$4:$AG$250,0,MATCH(O$2,Inputs!$D$2:$AG$2,0)),Inputs!$B$4:$B$250,$B45)/1000)</f>
        <v>10.359</v>
      </c>
      <c r="P45" s="11">
        <f>IF(P$3=0,"",SUMIFS(INDEX(Inputs!$D$4:$AG$250,0,MATCH(P$2,Inputs!$D$2:$AG$2,0)),Inputs!$B$4:$B$250,$B45)/1000)</f>
        <v>10.359</v>
      </c>
      <c r="Q45" s="11">
        <f>IF(Q$3=0,"",SUMIFS(INDEX(Inputs!$D$4:$AG$250,0,MATCH(Q$2,Inputs!$D$2:$AG$2,0)),Inputs!$B$4:$B$250,$B45)/1000)</f>
        <v>10.359</v>
      </c>
      <c r="R45" s="12">
        <f>IF(Q45="","",Q45)</f>
        <v>10.359</v>
      </c>
      <c r="S45" s="11">
        <f>IF(S$3=0,"",SUMIFS(INDEX(Inputs!$D$4:$AG$250,0,MATCH(S$2,Inputs!$D$2:$AG$2,0)),Inputs!$B$4:$B$250,$B45)/1000)</f>
        <v>10.359</v>
      </c>
      <c r="T45" s="11">
        <f>IF(T$3=0,"",SUMIFS(INDEX(Inputs!$D$4:$AG$250,0,MATCH(T$2,Inputs!$D$2:$AG$2,0)),Inputs!$B$4:$B$250,$B45)/1000)</f>
        <v>17.026</v>
      </c>
      <c r="U45" s="11">
        <f>IF(U$3=0,"",SUMIFS(INDEX(Inputs!$D$4:$AG$250,0,MATCH(U$2,Inputs!$D$2:$AG$2,0)),Inputs!$B$4:$B$250,$B45)/1000)</f>
        <v>10.359</v>
      </c>
      <c r="V45" s="11">
        <f>IF(V$3=0,"",SUMIFS(INDEX(Inputs!$D$4:$AG$250,0,MATCH(V$2,Inputs!$D$2:$AG$2,0)),Inputs!$B$4:$B$250,$B45)/1000)</f>
        <v>21.613</v>
      </c>
      <c r="W45" s="12">
        <f>IF(V45="","",V45)</f>
        <v>21.613</v>
      </c>
      <c r="X45" s="11">
        <f>IF(X$3=0,"",SUMIFS(INDEX(Inputs!$D$4:$AG$250,0,MATCH(X$2,Inputs!$D$2:$AG$2,0)),Inputs!$B$4:$B$250,$B45)/1000)</f>
        <v>21.613</v>
      </c>
      <c r="Y45" s="11">
        <f>IF(Y$3=0,"",SUMIFS(INDEX(Inputs!$D$4:$AG$250,0,MATCH(Y$2,Inputs!$D$2:$AG$2,0)),Inputs!$B$4:$B$250,$B45)/1000)</f>
        <v>21.613</v>
      </c>
      <c r="Z45" s="11">
        <f>IF(Z$3=0,"",SUMIFS(INDEX(Inputs!$D$4:$AG$250,0,MATCH(Z$2,Inputs!$D$2:$AG$2,0)),Inputs!$B$4:$B$250,$B45)/1000)</f>
        <v>21.613</v>
      </c>
      <c r="AA45" s="11">
        <f>IF(AA$3=0,"",SUMIFS(INDEX(Inputs!$D$4:$AG$250,0,MATCH(AA$2,Inputs!$D$2:$AG$2,0)),Inputs!$B$4:$B$250,$B45)/1000)</f>
        <v>21.613</v>
      </c>
      <c r="AB45" s="12">
        <f>IF(AA45="","",AA45)</f>
        <v>21.613</v>
      </c>
      <c r="AC45" s="11">
        <f>IF(AC$3=0,"",SUMIFS(INDEX(Inputs!$D$4:$AG$250,0,MATCH(AC$2,Inputs!$D$2:$AG$2,0)),Inputs!$B$4:$B$250,$B45)/1000)</f>
        <v>21.613</v>
      </c>
      <c r="AD45" s="11">
        <f>IF(AD$3=0,"",SUMIFS(INDEX(Inputs!$D$4:$AG$250,0,MATCH(AD$2,Inputs!$D$2:$AG$2,0)),Inputs!$B$4:$B$250,$B45)/1000)</f>
        <v>-82.535</v>
      </c>
      <c r="AE45" s="11" t="str">
        <f>IF(AE$3=0,"",SUMIFS(INDEX(Inputs!$D$4:$AG$250,0,MATCH(AE$2,Inputs!$D$2:$AG$2,0)),Inputs!$B$4:$B$250,$B45)/1000)</f>
        <v/>
      </c>
      <c r="AF45" s="11" t="str">
        <f>IF(AF$3=0,"",SUMIFS(INDEX(Inputs!$D$4:$AG$250,0,MATCH(AF$2,Inputs!$D$2:$AG$2,0)),Inputs!$B$4:$B$250,$B45)/1000)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IF(D$3=0,"",SUMIFS(INDEX(Inputs!$D$4:$AG$250,0,MATCH(D$2,Inputs!$D$2:$AG$2,0)),Inputs!$B$4:$B$250,$B46)/1000)</f>
        <v>0</v>
      </c>
      <c r="E46" s="11">
        <f>IF(E$3=0,"",SUMIFS(INDEX(Inputs!$D$4:$AG$250,0,MATCH(E$2,Inputs!$D$2:$AG$2,0)),Inputs!$B$4:$B$250,$B46)/1000)</f>
        <v>0</v>
      </c>
      <c r="F46" s="11">
        <f>IF(F$3=0,"",SUMIFS(INDEX(Inputs!$D$4:$AG$250,0,MATCH(F$2,Inputs!$D$2:$AG$2,0)),Inputs!$B$4:$B$250,$B46)/1000)</f>
        <v>0</v>
      </c>
      <c r="G46" s="11">
        <f>IF(G$3=0,"",SUMIFS(INDEX(Inputs!$D$4:$AG$250,0,MATCH(G$2,Inputs!$D$2:$AG$2,0)),Inputs!$B$4:$B$250,$B46)/1000)</f>
        <v>0</v>
      </c>
      <c r="H46" s="12">
        <f>IF(G46="","",G46)</f>
        <v>0</v>
      </c>
      <c r="I46" s="11">
        <f>IF(I$3=0,"",SUMIFS(INDEX(Inputs!$D$4:$AG$250,0,MATCH(I$2,Inputs!$D$2:$AG$2,0)),Inputs!$B$4:$B$250,$B46)/1000)</f>
        <v>0</v>
      </c>
      <c r="J46" s="11">
        <f>IF(J$3=0,"",SUMIFS(INDEX(Inputs!$D$4:$AG$250,0,MATCH(J$2,Inputs!$D$2:$AG$2,0)),Inputs!$B$4:$B$250,$B46)/1000)</f>
        <v>0</v>
      </c>
      <c r="K46" s="11">
        <f>IF(K$3=0,"",SUMIFS(INDEX(Inputs!$D$4:$AG$250,0,MATCH(K$2,Inputs!$D$2:$AG$2,0)),Inputs!$B$4:$B$250,$B46)/1000)</f>
        <v>0</v>
      </c>
      <c r="L46" s="11">
        <f>IF(L$3=0,"",SUMIFS(INDEX(Inputs!$D$4:$AG$250,0,MATCH(L$2,Inputs!$D$2:$AG$2,0)),Inputs!$B$4:$B$250,$B46)/1000)</f>
        <v>0</v>
      </c>
      <c r="M46" s="12">
        <f>IF(L46="","",L46)</f>
        <v>0</v>
      </c>
      <c r="N46" s="11">
        <f>IF(N$3=0,"",SUMIFS(INDEX(Inputs!$D$4:$AG$250,0,MATCH(N$2,Inputs!$D$2:$AG$2,0)),Inputs!$B$4:$B$250,$B46)/1000)</f>
        <v>0</v>
      </c>
      <c r="O46" s="11">
        <f>IF(O$3=0,"",SUMIFS(INDEX(Inputs!$D$4:$AG$250,0,MATCH(O$2,Inputs!$D$2:$AG$2,0)),Inputs!$B$4:$B$250,$B46)/1000)</f>
        <v>0</v>
      </c>
      <c r="P46" s="11">
        <f>IF(P$3=0,"",SUMIFS(INDEX(Inputs!$D$4:$AG$250,0,MATCH(P$2,Inputs!$D$2:$AG$2,0)),Inputs!$B$4:$B$250,$B46)/1000)</f>
        <v>0</v>
      </c>
      <c r="Q46" s="11">
        <f>IF(Q$3=0,"",SUMIFS(INDEX(Inputs!$D$4:$AG$250,0,MATCH(Q$2,Inputs!$D$2:$AG$2,0)),Inputs!$B$4:$B$250,$B46)/1000)</f>
        <v>0</v>
      </c>
      <c r="R46" s="12">
        <f>IF(Q46="","",Q46)</f>
        <v>0</v>
      </c>
      <c r="S46" s="11">
        <f>IF(S$3=0,"",SUMIFS(INDEX(Inputs!$D$4:$AG$250,0,MATCH(S$2,Inputs!$D$2:$AG$2,0)),Inputs!$B$4:$B$250,$B46)/1000)</f>
        <v>0</v>
      </c>
      <c r="T46" s="11">
        <f>IF(T$3=0,"",SUMIFS(INDEX(Inputs!$D$4:$AG$250,0,MATCH(T$2,Inputs!$D$2:$AG$2,0)),Inputs!$B$4:$B$250,$B46)/1000)</f>
        <v>0</v>
      </c>
      <c r="U46" s="11">
        <f>IF(U$3=0,"",SUMIFS(INDEX(Inputs!$D$4:$AG$250,0,MATCH(U$2,Inputs!$D$2:$AG$2,0)),Inputs!$B$4:$B$250,$B46)/1000)</f>
        <v>6.667</v>
      </c>
      <c r="V46" s="11">
        <f>IF(V$3=0,"",SUMIFS(INDEX(Inputs!$D$4:$AG$250,0,MATCH(V$2,Inputs!$D$2:$AG$2,0)),Inputs!$B$4:$B$250,$B46)/1000)</f>
        <v>0</v>
      </c>
      <c r="W46" s="12">
        <f>IF(V46="","",V46)</f>
        <v>0</v>
      </c>
      <c r="X46" s="11">
        <f>IF(X$3=0,"",SUMIFS(INDEX(Inputs!$D$4:$AG$250,0,MATCH(X$2,Inputs!$D$2:$AG$2,0)),Inputs!$B$4:$B$250,$B46)/1000)</f>
        <v>0</v>
      </c>
      <c r="Y46" s="11">
        <f>IF(Y$3=0,"",SUMIFS(INDEX(Inputs!$D$4:$AG$250,0,MATCH(Y$2,Inputs!$D$2:$AG$2,0)),Inputs!$B$4:$B$250,$B46)/1000)</f>
        <v>0</v>
      </c>
      <c r="Z46" s="11">
        <f>IF(Z$3=0,"",SUMIFS(INDEX(Inputs!$D$4:$AG$250,0,MATCH(Z$2,Inputs!$D$2:$AG$2,0)),Inputs!$B$4:$B$250,$B46)/1000)</f>
        <v>0</v>
      </c>
      <c r="AA46" s="11">
        <f>IF(AA$3=0,"",SUMIFS(INDEX(Inputs!$D$4:$AG$250,0,MATCH(AA$2,Inputs!$D$2:$AG$2,0)),Inputs!$B$4:$B$250,$B46)/1000)</f>
        <v>0</v>
      </c>
      <c r="AB46" s="12">
        <f>IF(AA46="","",AA46)</f>
        <v>0</v>
      </c>
      <c r="AC46" s="11">
        <f>IF(AC$3=0,"",SUMIFS(INDEX(Inputs!$D$4:$AG$250,0,MATCH(AC$2,Inputs!$D$2:$AG$2,0)),Inputs!$B$4:$B$250,$B46)/1000)</f>
        <v>0</v>
      </c>
      <c r="AD46" s="11">
        <f>IF(AD$3=0,"",SUMIFS(INDEX(Inputs!$D$4:$AG$250,0,MATCH(AD$2,Inputs!$D$2:$AG$2,0)),Inputs!$B$4:$B$250,$B46)/1000)</f>
        <v>0</v>
      </c>
      <c r="AE46" s="11" t="str">
        <f>IF(AE$3=0,"",SUMIFS(INDEX(Inputs!$D$4:$AG$250,0,MATCH(AE$2,Inputs!$D$2:$AG$2,0)),Inputs!$B$4:$B$250,$B46)/1000)</f>
        <v/>
      </c>
      <c r="AF46" s="11" t="str">
        <f>IF(AF$3=0,"",SUMIFS(INDEX(Inputs!$D$4:$AG$250,0,MATCH(AF$2,Inputs!$D$2:$AG$2,0)),Inputs!$B$4:$B$250,$B46)/1000)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IF(D$3=0,"",SUMIFS(INDEX(Inputs!$D$4:$AG$250,0,MATCH(D$2,Inputs!$D$2:$AG$2,0)),Inputs!$B$4:$B$250,$B47)/1000)</f>
        <v>-455.462</v>
      </c>
      <c r="E47" s="11">
        <f>IF(E$3=0,"",SUMIFS(INDEX(Inputs!$D$4:$AG$250,0,MATCH(E$2,Inputs!$D$2:$AG$2,0)),Inputs!$B$4:$B$250,$B47)/1000)</f>
        <v>-450.051</v>
      </c>
      <c r="F47" s="11">
        <f>IF(F$3=0,"",SUMIFS(INDEX(Inputs!$D$4:$AG$250,0,MATCH(F$2,Inputs!$D$2:$AG$2,0)),Inputs!$B$4:$B$250,$B47)/1000)</f>
        <v>-452.259</v>
      </c>
      <c r="G47" s="11">
        <f>IF(G$3=0,"",SUMIFS(INDEX(Inputs!$D$4:$AG$250,0,MATCH(G$2,Inputs!$D$2:$AG$2,0)),Inputs!$B$4:$B$250,$B47)/1000)</f>
        <v>-470.911</v>
      </c>
      <c r="H47" s="12">
        <f>IF(G47="","",G47)</f>
        <v>-470.911</v>
      </c>
      <c r="I47" s="11">
        <f>IF(I$3=0,"",SUMIFS(INDEX(Inputs!$D$4:$AG$250,0,MATCH(I$2,Inputs!$D$2:$AG$2,0)),Inputs!$B$4:$B$250,$B47)/1000)</f>
        <v>-491.058</v>
      </c>
      <c r="J47" s="11">
        <f>IF(J$3=0,"",SUMIFS(INDEX(Inputs!$D$4:$AG$250,0,MATCH(J$2,Inputs!$D$2:$AG$2,0)),Inputs!$B$4:$B$250,$B47)/1000)</f>
        <v>-503.028</v>
      </c>
      <c r="K47" s="11">
        <f>IF(K$3=0,"",SUMIFS(INDEX(Inputs!$D$4:$AG$250,0,MATCH(K$2,Inputs!$D$2:$AG$2,0)),Inputs!$B$4:$B$250,$B47)/1000)</f>
        <v>-534.121</v>
      </c>
      <c r="L47" s="11">
        <f>IF(L$3=0,"",SUMIFS(INDEX(Inputs!$D$4:$AG$250,0,MATCH(L$2,Inputs!$D$2:$AG$2,0)),Inputs!$B$4:$B$250,$B47)/1000)</f>
        <v>-888.858</v>
      </c>
      <c r="M47" s="12">
        <f>IF(L47="","",L47)</f>
        <v>-888.858</v>
      </c>
      <c r="N47" s="11">
        <f>IF(N$3=0,"",SUMIFS(INDEX(Inputs!$D$4:$AG$250,0,MATCH(N$2,Inputs!$D$2:$AG$2,0)),Inputs!$B$4:$B$250,$B47)/1000)</f>
        <v>-933.931</v>
      </c>
      <c r="O47" s="11">
        <f>IF(O$3=0,"",SUMIFS(INDEX(Inputs!$D$4:$AG$250,0,MATCH(O$2,Inputs!$D$2:$AG$2,0)),Inputs!$B$4:$B$250,$B47)/1000)</f>
        <v>-939.08</v>
      </c>
      <c r="P47" s="11">
        <f>IF(P$3=0,"",SUMIFS(INDEX(Inputs!$D$4:$AG$250,0,MATCH(P$2,Inputs!$D$2:$AG$2,0)),Inputs!$B$4:$B$250,$B47)/1000)</f>
        <v>-937.229</v>
      </c>
      <c r="Q47" s="11">
        <f>IF(Q$3=0,"",SUMIFS(INDEX(Inputs!$D$4:$AG$250,0,MATCH(Q$2,Inputs!$D$2:$AG$2,0)),Inputs!$B$4:$B$250,$B47)/1000)</f>
        <v>-848.743</v>
      </c>
      <c r="R47" s="12">
        <f>IF(Q47="","",Q47)</f>
        <v>-848.743</v>
      </c>
      <c r="S47" s="11">
        <f>IF(S$3=0,"",SUMIFS(INDEX(Inputs!$D$4:$AG$250,0,MATCH(S$2,Inputs!$D$2:$AG$2,0)),Inputs!$B$4:$B$250,$B47)/1000)</f>
        <v>-823.2</v>
      </c>
      <c r="T47" s="11">
        <f>IF(T$3=0,"",SUMIFS(INDEX(Inputs!$D$4:$AG$250,0,MATCH(T$2,Inputs!$D$2:$AG$2,0)),Inputs!$B$4:$B$250,$B47)/1000)</f>
        <v>-814.394</v>
      </c>
      <c r="U47" s="11">
        <f>IF(U$3=0,"",SUMIFS(INDEX(Inputs!$D$4:$AG$250,0,MATCH(U$2,Inputs!$D$2:$AG$2,0)),Inputs!$B$4:$B$250,$B47)/1000)</f>
        <v>-777.31</v>
      </c>
      <c r="V47" s="11">
        <f>IF(V$3=0,"",SUMIFS(INDEX(Inputs!$D$4:$AG$250,0,MATCH(V$2,Inputs!$D$2:$AG$2,0)),Inputs!$B$4:$B$250,$B47)/1000)</f>
        <v>-787.846</v>
      </c>
      <c r="W47" s="12">
        <f>IF(V47="","",V47)</f>
        <v>-787.846</v>
      </c>
      <c r="X47" s="11">
        <f>IF(X$3=0,"",SUMIFS(INDEX(Inputs!$D$4:$AG$250,0,MATCH(X$2,Inputs!$D$2:$AG$2,0)),Inputs!$B$4:$B$250,$B47)/1000)</f>
        <v>-794.168</v>
      </c>
      <c r="Y47" s="11">
        <f>IF(Y$3=0,"",SUMIFS(INDEX(Inputs!$D$4:$AG$250,0,MATCH(Y$2,Inputs!$D$2:$AG$2,0)),Inputs!$B$4:$B$250,$B47)/1000)</f>
        <v>-770.322</v>
      </c>
      <c r="Z47" s="11">
        <f>IF(Z$3=0,"",SUMIFS(INDEX(Inputs!$D$4:$AG$250,0,MATCH(Z$2,Inputs!$D$2:$AG$2,0)),Inputs!$B$4:$B$250,$B47)/1000)</f>
        <v>-747.034</v>
      </c>
      <c r="AA47" s="11">
        <f>IF(AA$3=0,"",SUMIFS(INDEX(Inputs!$D$4:$AG$250,0,MATCH(AA$2,Inputs!$D$2:$AG$2,0)),Inputs!$B$4:$B$250,$B47)/1000)</f>
        <v>-727.704</v>
      </c>
      <c r="AB47" s="12">
        <f>IF(AA47="","",AA47)</f>
        <v>-727.704</v>
      </c>
      <c r="AC47" s="11">
        <f>IF(AC$3=0,"",SUMIFS(INDEX(Inputs!$D$4:$AG$250,0,MATCH(AC$2,Inputs!$D$2:$AG$2,0)),Inputs!$B$4:$B$250,$B47)/1000)</f>
        <v>-708.92</v>
      </c>
      <c r="AD47" s="11">
        <f>IF(AD$3=0,"",SUMIFS(INDEX(Inputs!$D$4:$AG$250,0,MATCH(AD$2,Inputs!$D$2:$AG$2,0)),Inputs!$B$4:$B$250,$B47)/1000)</f>
        <v>-720.067</v>
      </c>
      <c r="AE47" s="11" t="str">
        <f>IF(AE$3=0,"",SUMIFS(INDEX(Inputs!$D$4:$AG$250,0,MATCH(AE$2,Inputs!$D$2:$AG$2,0)),Inputs!$B$4:$B$250,$B47)/1000)</f>
        <v/>
      </c>
      <c r="AF47" s="11" t="str">
        <f>IF(AF$3=0,"",SUMIFS(INDEX(Inputs!$D$4:$AG$250,0,MATCH(AF$2,Inputs!$D$2:$AG$2,0)),Inputs!$B$4:$B$250,$B47)/1000)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IF(SUMPRODUCT((Inputs!$B$4:$B$250=$B50)*ISNUMBER(INDEX(Inputs!$D$4:$AG$250,0,MATCH(D$2,Inputs!$D$2:$AG$2,0))))=0,"",SUMIFS(INDEX(Inputs!$D$4:$AG$250,0,MATCH(D$2,Inputs!$D$2:$AG$2,0)),Inputs!$B$4:$B$250,$B50)/1000)</f>
        <v>-46.579</v>
      </c>
      <c r="E50" s="11">
        <f>IF(SUMPRODUCT((Inputs!$B$4:$B$250=$B50)*ISNUMBER(INDEX(Inputs!$D$4:$AG$250,0,MATCH(E$2,Inputs!$D$2:$AG$2,0))))=0,"",SUMIFS(INDEX(Inputs!$D$4:$AG$250,0,MATCH(E$2,Inputs!$D$2:$AG$2,0)),Inputs!$B$4:$B$250,$B50)/1000)</f>
        <v>5.411</v>
      </c>
      <c r="F50" s="11">
        <f>IF(SUMPRODUCT((Inputs!$B$4:$B$250=$B50)*ISNUMBER(INDEX(Inputs!$D$4:$AG$250,0,MATCH(F$2,Inputs!$D$2:$AG$2,0))))=0,"",SUMIFS(INDEX(Inputs!$D$4:$AG$250,0,MATCH(F$2,Inputs!$D$2:$AG$2,0)),Inputs!$B$4:$B$250,$B50)/1000)</f>
        <v>-2.208</v>
      </c>
      <c r="G50" s="11">
        <f>IF(SUMPRODUCT((Inputs!$B$4:$B$250=$B50)*ISNUMBER(INDEX(Inputs!$D$4:$AG$250,0,MATCH(G$2,Inputs!$D$2:$AG$2,0))))=0,"",SUMIFS(INDEX(Inputs!$D$4:$AG$250,0,MATCH(G$2,Inputs!$D$2:$AG$2,0)),Inputs!$B$4:$B$250,$B50)/1000)</f>
        <v>-18.652</v>
      </c>
      <c r="H50" s="12">
        <f>IF(COUNT(D50:G50)=4,SUM(D50:G50),"")</f>
        <v>-62.028</v>
      </c>
      <c r="I50" s="11">
        <f>IF(SUMPRODUCT((Inputs!$B$4:$B$250=$B50)*ISNUMBER(INDEX(Inputs!$D$4:$AG$250,0,MATCH(I$2,Inputs!$D$2:$AG$2,0))))=0,"",SUMIFS(INDEX(Inputs!$D$4:$AG$250,0,MATCH(I$2,Inputs!$D$2:$AG$2,0)),Inputs!$B$4:$B$250,$B50)/1000)</f>
        <v>-20.147</v>
      </c>
      <c r="J50" s="11">
        <f>IF(SUMPRODUCT((Inputs!$B$4:$B$250=$B50)*ISNUMBER(INDEX(Inputs!$D$4:$AG$250,0,MATCH(J$2,Inputs!$D$2:$AG$2,0))))=0,"",SUMIFS(INDEX(Inputs!$D$4:$AG$250,0,MATCH(J$2,Inputs!$D$2:$AG$2,0)),Inputs!$B$4:$B$250,$B50)/1000)</f>
        <v>-11.97</v>
      </c>
      <c r="K50" s="11">
        <f>IF(SUMPRODUCT((Inputs!$B$4:$B$250=$B50)*ISNUMBER(INDEX(Inputs!$D$4:$AG$250,0,MATCH(K$2,Inputs!$D$2:$AG$2,0))))=0,"",SUMIFS(INDEX(Inputs!$D$4:$AG$250,0,MATCH(K$2,Inputs!$D$2:$AG$2,0)),Inputs!$B$4:$B$250,$B50)/1000)</f>
        <v>-31.093</v>
      </c>
      <c r="L50" s="11">
        <f>IF(SUMPRODUCT((Inputs!$B$4:$B$250=$B50)*ISNUMBER(INDEX(Inputs!$D$4:$AG$250,0,MATCH(L$2,Inputs!$D$2:$AG$2,0))))=0,"",SUMIFS(INDEX(Inputs!$D$4:$AG$250,0,MATCH(L$2,Inputs!$D$2:$AG$2,0)),Inputs!$B$4:$B$250,$B50)/1000)</f>
        <v>-85.796</v>
      </c>
      <c r="M50" s="12">
        <f>IF(COUNT(I50:L50)=4,SUM(I50:L50),"")</f>
        <v>-149.006</v>
      </c>
      <c r="N50" s="11">
        <f>IF(SUMPRODUCT((Inputs!$B$4:$B$250=$B50)*ISNUMBER(INDEX(Inputs!$D$4:$AG$250,0,MATCH(N$2,Inputs!$D$2:$AG$2,0))))=0,"",SUMIFS(INDEX(Inputs!$D$4:$AG$250,0,MATCH(N$2,Inputs!$D$2:$AG$2,0)),Inputs!$B$4:$B$250,$B50)/1000)</f>
        <v>-45.073</v>
      </c>
      <c r="O50" s="11">
        <f>IF(SUMPRODUCT((Inputs!$B$4:$B$250=$B50)*ISNUMBER(INDEX(Inputs!$D$4:$AG$250,0,MATCH(O$2,Inputs!$D$2:$AG$2,0))))=0,"",SUMIFS(INDEX(Inputs!$D$4:$AG$250,0,MATCH(O$2,Inputs!$D$2:$AG$2,0)),Inputs!$B$4:$B$250,$B50)/1000)</f>
        <v>-5.149</v>
      </c>
      <c r="P50" s="11">
        <f>IF(SUMPRODUCT((Inputs!$B$4:$B$250=$B50)*ISNUMBER(INDEX(Inputs!$D$4:$AG$250,0,MATCH(P$2,Inputs!$D$2:$AG$2,0))))=0,"",SUMIFS(INDEX(Inputs!$D$4:$AG$250,0,MATCH(P$2,Inputs!$D$2:$AG$2,0)),Inputs!$B$4:$B$250,$B50)/1000)</f>
        <v>1.851</v>
      </c>
      <c r="Q50" s="11">
        <f>IF(SUMPRODUCT((Inputs!$B$4:$B$250=$B50)*ISNUMBER(INDEX(Inputs!$D$4:$AG$250,0,MATCH(Q$2,Inputs!$D$2:$AG$2,0))))=0,"",SUMIFS(INDEX(Inputs!$D$4:$AG$250,0,MATCH(Q$2,Inputs!$D$2:$AG$2,0)),Inputs!$B$4:$B$250,$B50)/1000)</f>
        <v>88.486</v>
      </c>
      <c r="R50" s="12">
        <f>IF(COUNT(N50:Q50)=4,SUM(N50:Q50),"")</f>
        <v>40.115</v>
      </c>
      <c r="S50" s="11">
        <f>IF(SUMPRODUCT((Inputs!$B$4:$B$250=$B50)*ISNUMBER(INDEX(Inputs!$D$4:$AG$250,0,MATCH(S$2,Inputs!$D$2:$AG$2,0))))=0,"",SUMIFS(INDEX(Inputs!$D$4:$AG$250,0,MATCH(S$2,Inputs!$D$2:$AG$2,0)),Inputs!$B$4:$B$250,$B50)/1000)</f>
        <v>25.543</v>
      </c>
      <c r="T50" s="11">
        <f>IF(SUMPRODUCT((Inputs!$B$4:$B$250=$B50)*ISNUMBER(INDEX(Inputs!$D$4:$AG$250,0,MATCH(T$2,Inputs!$D$2:$AG$2,0))))=0,"",SUMIFS(INDEX(Inputs!$D$4:$AG$250,0,MATCH(T$2,Inputs!$D$2:$AG$2,0)),Inputs!$B$4:$B$250,$B50)/1000)</f>
        <v>8.806</v>
      </c>
      <c r="U50" s="11">
        <f>IF(SUMPRODUCT((Inputs!$B$4:$B$250=$B50)*ISNUMBER(INDEX(Inputs!$D$4:$AG$250,0,MATCH(U$2,Inputs!$D$2:$AG$2,0))))=0,"",SUMIFS(INDEX(Inputs!$D$4:$AG$250,0,MATCH(U$2,Inputs!$D$2:$AG$2,0)),Inputs!$B$4:$B$250,$B50)/1000)</f>
        <v>37.084</v>
      </c>
      <c r="V50" s="11">
        <f>IF(SUMPRODUCT((Inputs!$B$4:$B$250=$B50)*ISNUMBER(INDEX(Inputs!$D$4:$AG$250,0,MATCH(V$2,Inputs!$D$2:$AG$2,0))))=0,"",SUMIFS(INDEX(Inputs!$D$4:$AG$250,0,MATCH(V$2,Inputs!$D$2:$AG$2,0)),Inputs!$B$4:$B$250,$B50)/1000)</f>
        <v>-10.536</v>
      </c>
      <c r="W50" s="12">
        <f>IF(COUNT(S50:V50)=4,SUM(S50:V50),"")</f>
        <v>60.897</v>
      </c>
      <c r="X50" s="11">
        <f>IF(SUMPRODUCT((Inputs!$B$4:$B$250=$B50)*ISNUMBER(INDEX(Inputs!$D$4:$AG$250,0,MATCH(X$2,Inputs!$D$2:$AG$2,0))))=0,"",SUMIFS(INDEX(Inputs!$D$4:$AG$250,0,MATCH(X$2,Inputs!$D$2:$AG$2,0)),Inputs!$B$4:$B$250,$B50)/1000)</f>
        <v>-6.322</v>
      </c>
      <c r="Y50" s="11">
        <f>IF(SUMPRODUCT((Inputs!$B$4:$B$250=$B50)*ISNUMBER(INDEX(Inputs!$D$4:$AG$250,0,MATCH(Y$2,Inputs!$D$2:$AG$2,0))))=0,"",SUMIFS(INDEX(Inputs!$D$4:$AG$250,0,MATCH(Y$2,Inputs!$D$2:$AG$2,0)),Inputs!$B$4:$B$250,$B50)/1000)</f>
        <v>23.846</v>
      </c>
      <c r="Z50" s="11">
        <f>IF(SUMPRODUCT((Inputs!$B$4:$B$250=$B50)*ISNUMBER(INDEX(Inputs!$D$4:$AG$250,0,MATCH(Z$2,Inputs!$D$2:$AG$2,0))))=0,"",SUMIFS(INDEX(Inputs!$D$4:$AG$250,0,MATCH(Z$2,Inputs!$D$2:$AG$2,0)),Inputs!$B$4:$B$250,$B50)/1000)</f>
        <v>23.288</v>
      </c>
      <c r="AA50" s="11">
        <f>IF(SUMPRODUCT((Inputs!$B$4:$B$250=$B50)*ISNUMBER(INDEX(Inputs!$D$4:$AG$250,0,MATCH(AA$2,Inputs!$D$2:$AG$2,0))))=0,"",SUMIFS(INDEX(Inputs!$D$4:$AG$250,0,MATCH(AA$2,Inputs!$D$2:$AG$2,0)),Inputs!$B$4:$B$250,$B50)/1000)</f>
        <v>19.33</v>
      </c>
      <c r="AB50" s="12">
        <f>IF(COUNT(X50:AA50)=4,SUM(X50:AA50),"")</f>
        <v>60.142</v>
      </c>
      <c r="AC50" s="11">
        <f>IF(SUMPRODUCT((Inputs!$B$4:$B$250=$B50)*ISNUMBER(INDEX(Inputs!$D$4:$AG$250,0,MATCH(AC$2,Inputs!$D$2:$AG$2,0))))=0,"",SUMIFS(INDEX(Inputs!$D$4:$AG$250,0,MATCH(AC$2,Inputs!$D$2:$AG$2,0)),Inputs!$B$4:$B$250,$B50)/1000)</f>
        <v>18.784</v>
      </c>
      <c r="AD50" s="11">
        <f>IF(SUMPRODUCT((Inputs!$B$4:$B$250=$B50)*ISNUMBER(INDEX(Inputs!$D$4:$AG$250,0,MATCH(AD$2,Inputs!$D$2:$AG$2,0))))=0,"",SUMIFS(INDEX(Inputs!$D$4:$AG$250,0,MATCH(AD$2,Inputs!$D$2:$AG$2,0)),Inputs!$B$4:$B$250,$B50)/1000)</f>
        <v>-11.147</v>
      </c>
      <c r="AE50" s="11" t="str">
        <f>IF(SUMPRODUCT((Inputs!$B$4:$B$250=$B50)*ISNUMBER(INDEX(Inputs!$D$4:$AG$250,0,MATCH(AE$2,Inputs!$D$2:$AG$2,0))))=0,"",SUMIFS(INDEX(Inputs!$D$4:$AG$250,0,MATCH(AE$2,Inputs!$D$2:$AG$2,0)),Inputs!$B$4:$B$250,$B50)/1000)</f>
        <v/>
      </c>
      <c r="AF50" s="11" t="str">
        <f>IF(SUMPRODUCT((Inputs!$B$4:$B$250=$B50)*ISNUMBER(INDEX(Inputs!$D$4:$AG$250,0,MATCH(AF$2,Inputs!$D$2:$AG$2,0))))=0,"",SUMIFS(INDEX(Inputs!$D$4:$AG$250,0,MATCH(AF$2,Inputs!$D$2:$AG$2,0)),Inputs!$B$4:$B$250,$B50)/1000)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liquida - Tratamento e destinacao final (R$ mil; releases)</t>
        </is>
      </c>
      <c r="D53" s="11">
        <f>IF(SUMPRODUCT((Inputs!$B$4:$B$250=$B53)*ISNUMBER(INDEX(Inputs!$D$4:$AG$250,0,MATCH(D$2,Inputs!$D$2:$AG$2,0))))=0,"",SUMIFS(INDEX(Inputs!$D$4:$AG$250,0,MATCH(D$2,Inputs!$D$2:$AG$2,0)),Inputs!$B$4:$B$250,$B53)/1000)</f>
        <v>62.245</v>
      </c>
      <c r="E53" s="11">
        <f>IF(SUMPRODUCT((Inputs!$B$4:$B$250=$B53)*ISNUMBER(INDEX(Inputs!$D$4:$AG$250,0,MATCH(E$2,Inputs!$D$2:$AG$2,0))))=0,"",SUMIFS(INDEX(Inputs!$D$4:$AG$250,0,MATCH(E$2,Inputs!$D$2:$AG$2,0)),Inputs!$B$4:$B$250,$B53)/1000)</f>
        <v>62.273</v>
      </c>
      <c r="F53" s="11">
        <f>IF(SUMPRODUCT((Inputs!$B$4:$B$250=$B53)*ISNUMBER(INDEX(Inputs!$D$4:$AG$250,0,MATCH(F$2,Inputs!$D$2:$AG$2,0))))=0,"",SUMIFS(INDEX(Inputs!$D$4:$AG$250,0,MATCH(F$2,Inputs!$D$2:$AG$2,0)),Inputs!$B$4:$B$250,$B53)/1000)</f>
        <v>63.828</v>
      </c>
      <c r="G53" s="11">
        <f>IF(SUMPRODUCT((Inputs!$B$4:$B$250=$B53)*ISNUMBER(INDEX(Inputs!$D$4:$AG$250,0,MATCH(G$2,Inputs!$D$2:$AG$2,0))))=0,"",SUMIFS(INDEX(Inputs!$D$4:$AG$250,0,MATCH(G$2,Inputs!$D$2:$AG$2,0)),Inputs!$B$4:$B$250,$B53)/1000)</f>
        <v>78.351</v>
      </c>
      <c r="H53" s="12">
        <f>IF(COUNT(D53:G53)=4,SUM(D53:G53),"")</f>
        <v>266.697</v>
      </c>
      <c r="I53" s="11">
        <f>IF(SUMPRODUCT((Inputs!$B$4:$B$250=$B53)*ISNUMBER(INDEX(Inputs!$D$4:$AG$250,0,MATCH(I$2,Inputs!$D$2:$AG$2,0))))=0,"",SUMIFS(INDEX(Inputs!$D$4:$AG$250,0,MATCH(I$2,Inputs!$D$2:$AG$2,0)),Inputs!$B$4:$B$250,$B53)/1000)</f>
        <v>75.119</v>
      </c>
      <c r="J53" s="11">
        <f>IF(SUMPRODUCT((Inputs!$B$4:$B$250=$B53)*ISNUMBER(INDEX(Inputs!$D$4:$AG$250,0,MATCH(J$2,Inputs!$D$2:$AG$2,0))))=0,"",SUMIFS(INDEX(Inputs!$D$4:$AG$250,0,MATCH(J$2,Inputs!$D$2:$AG$2,0)),Inputs!$B$4:$B$250,$B53)/1000)</f>
        <v>121.928</v>
      </c>
      <c r="K53" s="11">
        <f>IF(SUMPRODUCT((Inputs!$B$4:$B$250=$B53)*ISNUMBER(INDEX(Inputs!$D$4:$AG$250,0,MATCH(K$2,Inputs!$D$2:$AG$2,0))))=0,"",SUMIFS(INDEX(Inputs!$D$4:$AG$250,0,MATCH(K$2,Inputs!$D$2:$AG$2,0)),Inputs!$B$4:$B$250,$B53)/1000)</f>
        <v>154.009</v>
      </c>
      <c r="L53" s="11">
        <f>IF(SUMPRODUCT((Inputs!$B$4:$B$250=$B53)*ISNUMBER(INDEX(Inputs!$D$4:$AG$250,0,MATCH(L$2,Inputs!$D$2:$AG$2,0))))=0,"",SUMIFS(INDEX(Inputs!$D$4:$AG$250,0,MATCH(L$2,Inputs!$D$2:$AG$2,0)),Inputs!$B$4:$B$250,$B53)/1000)</f>
        <v>140.74</v>
      </c>
      <c r="M53" s="12">
        <f>IF(COUNT(I53:L53)=4,SUM(I53:L53),"")</f>
        <v>491.796</v>
      </c>
      <c r="N53" s="11">
        <f>IF(SUMPRODUCT((Inputs!$B$4:$B$250=$B53)*ISNUMBER(INDEX(Inputs!$D$4:$AG$250,0,MATCH(N$2,Inputs!$D$2:$AG$2,0))))=0,"",SUMIFS(INDEX(Inputs!$D$4:$AG$250,0,MATCH(N$2,Inputs!$D$2:$AG$2,0)),Inputs!$B$4:$B$250,$B53)/1000)</f>
        <v>136.507</v>
      </c>
      <c r="O53" s="11">
        <f>IF(SUMPRODUCT((Inputs!$B$4:$B$250=$B53)*ISNUMBER(INDEX(Inputs!$D$4:$AG$250,0,MATCH(O$2,Inputs!$D$2:$AG$2,0))))=0,"",SUMIFS(INDEX(Inputs!$D$4:$AG$250,0,MATCH(O$2,Inputs!$D$2:$AG$2,0)),Inputs!$B$4:$B$250,$B53)/1000)</f>
        <v>148.257</v>
      </c>
      <c r="P53" s="11">
        <f>IF(SUMPRODUCT((Inputs!$B$4:$B$250=$B53)*ISNUMBER(INDEX(Inputs!$D$4:$AG$250,0,MATCH(P$2,Inputs!$D$2:$AG$2,0))))=0,"",SUMIFS(INDEX(Inputs!$D$4:$AG$250,0,MATCH(P$2,Inputs!$D$2:$AG$2,0)),Inputs!$B$4:$B$250,$B53)/1000)</f>
        <v>145.237</v>
      </c>
      <c r="Q53" s="11">
        <f>IF(SUMPRODUCT((Inputs!$B$4:$B$250=$B53)*ISNUMBER(INDEX(Inputs!$D$4:$AG$250,0,MATCH(Q$2,Inputs!$D$2:$AG$2,0))))=0,"",SUMIFS(INDEX(Inputs!$D$4:$AG$250,0,MATCH(Q$2,Inputs!$D$2:$AG$2,0)),Inputs!$B$4:$B$250,$B53)/1000)</f>
        <v>153.02</v>
      </c>
      <c r="R53" s="12">
        <f>IF(COUNT(N53:Q53)=4,SUM(N53:Q53),"")</f>
        <v>583.021</v>
      </c>
      <c r="S53" s="11">
        <f>IF(SUMPRODUCT((Inputs!$B$4:$B$250=$B53)*ISNUMBER(INDEX(Inputs!$D$4:$AG$250,0,MATCH(S$2,Inputs!$D$2:$AG$2,0))))=0,"",SUMIFS(INDEX(Inputs!$D$4:$AG$250,0,MATCH(S$2,Inputs!$D$2:$AG$2,0)),Inputs!$B$4:$B$250,$B53)/1000)</f>
        <v>162.45</v>
      </c>
      <c r="T53" s="11">
        <f>IF(SUMPRODUCT((Inputs!$B$4:$B$250=$B53)*ISNUMBER(INDEX(Inputs!$D$4:$AG$250,0,MATCH(T$2,Inputs!$D$2:$AG$2,0))))=0,"",SUMIFS(INDEX(Inputs!$D$4:$AG$250,0,MATCH(T$2,Inputs!$D$2:$AG$2,0)),Inputs!$B$4:$B$250,$B53)/1000)</f>
        <v>160.347</v>
      </c>
      <c r="U53" s="11">
        <f>IF(SUMPRODUCT((Inputs!$B$4:$B$250=$B53)*ISNUMBER(INDEX(Inputs!$D$4:$AG$250,0,MATCH(U$2,Inputs!$D$2:$AG$2,0))))=0,"",SUMIFS(INDEX(Inputs!$D$4:$AG$250,0,MATCH(U$2,Inputs!$D$2:$AG$2,0)),Inputs!$B$4:$B$250,$B53)/1000)</f>
        <v>163.478</v>
      </c>
      <c r="V53" s="11">
        <f>IF(SUMPRODUCT((Inputs!$B$4:$B$250=$B53)*ISNUMBER(INDEX(Inputs!$D$4:$AG$250,0,MATCH(V$2,Inputs!$D$2:$AG$2,0))))=0,"",SUMIFS(INDEX(Inputs!$D$4:$AG$250,0,MATCH(V$2,Inputs!$D$2:$AG$2,0)),Inputs!$B$4:$B$250,$B53)/1000)</f>
        <v>167.406</v>
      </c>
      <c r="W53" s="12">
        <f>IF(COUNT(S53:V53)=4,SUM(S53:V53),"")</f>
        <v>653.681</v>
      </c>
      <c r="X53" s="11">
        <f>IF(SUMPRODUCT((Inputs!$B$4:$B$250=$B53)*ISNUMBER(INDEX(Inputs!$D$4:$AG$250,0,MATCH(X$2,Inputs!$D$2:$AG$2,0))))=0,"",SUMIFS(INDEX(Inputs!$D$4:$AG$250,0,MATCH(X$2,Inputs!$D$2:$AG$2,0)),Inputs!$B$4:$B$250,$B53)/1000)</f>
        <v>174.283</v>
      </c>
      <c r="Y53" s="11">
        <f>IF(SUMPRODUCT((Inputs!$B$4:$B$250=$B53)*ISNUMBER(INDEX(Inputs!$D$4:$AG$250,0,MATCH(Y$2,Inputs!$D$2:$AG$2,0))))=0,"",SUMIFS(INDEX(Inputs!$D$4:$AG$250,0,MATCH(Y$2,Inputs!$D$2:$AG$2,0)),Inputs!$B$4:$B$250,$B53)/1000)</f>
        <v>178.679</v>
      </c>
      <c r="Z53" s="11">
        <f>IF(SUMPRODUCT((Inputs!$B$4:$B$250=$B53)*ISNUMBER(INDEX(Inputs!$D$4:$AG$250,0,MATCH(Z$2,Inputs!$D$2:$AG$2,0))))=0,"",SUMIFS(INDEX(Inputs!$D$4:$AG$250,0,MATCH(Z$2,Inputs!$D$2:$AG$2,0)),Inputs!$B$4:$B$250,$B53)/1000)</f>
        <v>182.316</v>
      </c>
      <c r="AA53" s="11">
        <f>IF(SUMPRODUCT((Inputs!$B$4:$B$250=$B53)*ISNUMBER(INDEX(Inputs!$D$4:$AG$250,0,MATCH(AA$2,Inputs!$D$2:$AG$2,0))))=0,"",SUMIFS(INDEX(Inputs!$D$4:$AG$250,0,MATCH(AA$2,Inputs!$D$2:$AG$2,0)),Inputs!$B$4:$B$250,$B53)/1000)</f>
        <v>181.543</v>
      </c>
      <c r="AB53" s="12">
        <f>IF(COUNT(X53:AA53)=4,SUM(X53:AA53),"")</f>
        <v>716.821</v>
      </c>
      <c r="AC53" s="11">
        <f>IF(SUMPRODUCT((Inputs!$B$4:$B$250=$B53)*ISNUMBER(INDEX(Inputs!$D$4:$AG$250,0,MATCH(AC$2,Inputs!$D$2:$AG$2,0))))=0,"",SUMIFS(INDEX(Inputs!$D$4:$AG$250,0,MATCH(AC$2,Inputs!$D$2:$AG$2,0)),Inputs!$B$4:$B$250,$B53)/1000)</f>
        <v>202.995</v>
      </c>
      <c r="AD53" s="11" t="str">
        <f>IF(SUMPRODUCT((Inputs!$B$4:$B$250=$B53)*ISNUMBER(INDEX(Inputs!$D$4:$AG$250,0,MATCH(AD$2,Inputs!$D$2:$AG$2,0))))=0,"",SUMIFS(INDEX(Inputs!$D$4:$AG$250,0,MATCH(AD$2,Inputs!$D$2:$AG$2,0)),Inputs!$B$4:$B$250,$B53)/1000)</f>
        <v/>
      </c>
      <c r="AE53" s="11" t="str">
        <f>IF(SUMPRODUCT((Inputs!$B$4:$B$250=$B53)*ISNUMBER(INDEX(Inputs!$D$4:$AG$250,0,MATCH(AE$2,Inputs!$D$2:$AG$2,0))))=0,"",SUMIFS(INDEX(Inputs!$D$4:$AG$250,0,MATCH(AE$2,Inputs!$D$2:$AG$2,0)),Inputs!$B$4:$B$250,$B53)/1000)</f>
        <v/>
      </c>
      <c r="AF53" s="11" t="str">
        <f>IF(SUMPRODUCT((Inputs!$B$4:$B$250=$B53)*ISNUMBER(INDEX(Inputs!$D$4:$AG$250,0,MATCH(AF$2,Inputs!$D$2:$AG$2,0))))=0,"",SUMIFS(INDEX(Inputs!$D$4:$AG$250,0,MATCH(AF$2,Inputs!$D$2:$AG$2,0)),Inputs!$B$4:$B$250,$B53)/1000)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liquida - Energia, biogas e credito de carbono (R$ mil)</t>
        </is>
      </c>
      <c r="D54" s="11">
        <f>IF(SUMPRODUCT((Inputs!$B$4:$B$250=$B54)*ISNUMBER(INDEX(Inputs!$D$4:$AG$250,0,MATCH(D$2,Inputs!$D$2:$AG$2,0))))=0,"",SUMIFS(INDEX(Inputs!$D$4:$AG$250,0,MATCH(D$2,Inputs!$D$2:$AG$2,0)),Inputs!$B$4:$B$250,$B54)/1000)</f>
        <v>11.233</v>
      </c>
      <c r="E54" s="11">
        <f>IF(SUMPRODUCT((Inputs!$B$4:$B$250=$B54)*ISNUMBER(INDEX(Inputs!$D$4:$AG$250,0,MATCH(E$2,Inputs!$D$2:$AG$2,0))))=0,"",SUMIFS(INDEX(Inputs!$D$4:$AG$250,0,MATCH(E$2,Inputs!$D$2:$AG$2,0)),Inputs!$B$4:$B$250,$B54)/1000)</f>
        <v>12.297</v>
      </c>
      <c r="F54" s="11">
        <f>IF(SUMPRODUCT((Inputs!$B$4:$B$250=$B54)*ISNUMBER(INDEX(Inputs!$D$4:$AG$250,0,MATCH(F$2,Inputs!$D$2:$AG$2,0))))=0,"",SUMIFS(INDEX(Inputs!$D$4:$AG$250,0,MATCH(F$2,Inputs!$D$2:$AG$2,0)),Inputs!$B$4:$B$250,$B54)/1000)</f>
        <v>19.858</v>
      </c>
      <c r="G54" s="11">
        <f>IF(SUMPRODUCT((Inputs!$B$4:$B$250=$B54)*ISNUMBER(INDEX(Inputs!$D$4:$AG$250,0,MATCH(G$2,Inputs!$D$2:$AG$2,0))))=0,"",SUMIFS(INDEX(Inputs!$D$4:$AG$250,0,MATCH(G$2,Inputs!$D$2:$AG$2,0)),Inputs!$B$4:$B$250,$B54)/1000)</f>
        <v>60.088</v>
      </c>
      <c r="H54" s="12">
        <f>IF(COUNT(D54:G54)=4,SUM(D54:G54),"")</f>
        <v>103.476</v>
      </c>
      <c r="I54" s="11">
        <f>IF(SUMPRODUCT((Inputs!$B$4:$B$250=$B54)*ISNUMBER(INDEX(Inputs!$D$4:$AG$250,0,MATCH(I$2,Inputs!$D$2:$AG$2,0))))=0,"",SUMIFS(INDEX(Inputs!$D$4:$AG$250,0,MATCH(I$2,Inputs!$D$2:$AG$2,0)),Inputs!$B$4:$B$250,$B54)/1000)</f>
        <v>9.996</v>
      </c>
      <c r="J54" s="11">
        <f>IF(SUMPRODUCT((Inputs!$B$4:$B$250=$B54)*ISNUMBER(INDEX(Inputs!$D$4:$AG$250,0,MATCH(J$2,Inputs!$D$2:$AG$2,0))))=0,"",SUMIFS(INDEX(Inputs!$D$4:$AG$250,0,MATCH(J$2,Inputs!$D$2:$AG$2,0)),Inputs!$B$4:$B$250,$B54)/1000)</f>
        <v>10.498</v>
      </c>
      <c r="K54" s="11">
        <f>IF(SUMPRODUCT((Inputs!$B$4:$B$250=$B54)*ISNUMBER(INDEX(Inputs!$D$4:$AG$250,0,MATCH(K$2,Inputs!$D$2:$AG$2,0))))=0,"",SUMIFS(INDEX(Inputs!$D$4:$AG$250,0,MATCH(K$2,Inputs!$D$2:$AG$2,0)),Inputs!$B$4:$B$250,$B54)/1000)</f>
        <v>22.127</v>
      </c>
      <c r="L54" s="11">
        <f>IF(SUMPRODUCT((Inputs!$B$4:$B$250=$B54)*ISNUMBER(INDEX(Inputs!$D$4:$AG$250,0,MATCH(L$2,Inputs!$D$2:$AG$2,0))))=0,"",SUMIFS(INDEX(Inputs!$D$4:$AG$250,0,MATCH(L$2,Inputs!$D$2:$AG$2,0)),Inputs!$B$4:$B$250,$B54)/1000)</f>
        <v>17.087</v>
      </c>
      <c r="M54" s="12">
        <f>IF(COUNT(I54:L54)=4,SUM(I54:L54),"")</f>
        <v>59.708</v>
      </c>
      <c r="N54" s="11">
        <f>IF(SUMPRODUCT((Inputs!$B$4:$B$250=$B54)*ISNUMBER(INDEX(Inputs!$D$4:$AG$250,0,MATCH(N$2,Inputs!$D$2:$AG$2,0))))=0,"",SUMIFS(INDEX(Inputs!$D$4:$AG$250,0,MATCH(N$2,Inputs!$D$2:$AG$2,0)),Inputs!$B$4:$B$250,$B54)/1000)</f>
        <v>28.881</v>
      </c>
      <c r="O54" s="11">
        <f>IF(SUMPRODUCT((Inputs!$B$4:$B$250=$B54)*ISNUMBER(INDEX(Inputs!$D$4:$AG$250,0,MATCH(O$2,Inputs!$D$2:$AG$2,0))))=0,"",SUMIFS(INDEX(Inputs!$D$4:$AG$250,0,MATCH(O$2,Inputs!$D$2:$AG$2,0)),Inputs!$B$4:$B$250,$B54)/1000)</f>
        <v>27.481</v>
      </c>
      <c r="P54" s="11">
        <f>IF(SUMPRODUCT((Inputs!$B$4:$B$250=$B54)*ISNUMBER(INDEX(Inputs!$D$4:$AG$250,0,MATCH(P$2,Inputs!$D$2:$AG$2,0))))=0,"",SUMIFS(INDEX(Inputs!$D$4:$AG$250,0,MATCH(P$2,Inputs!$D$2:$AG$2,0)),Inputs!$B$4:$B$250,$B54)/1000)</f>
        <v>30.562</v>
      </c>
      <c r="Q54" s="11">
        <f>IF(SUMPRODUCT((Inputs!$B$4:$B$250=$B54)*ISNUMBER(INDEX(Inputs!$D$4:$AG$250,0,MATCH(Q$2,Inputs!$D$2:$AG$2,0))))=0,"",SUMIFS(INDEX(Inputs!$D$4:$AG$250,0,MATCH(Q$2,Inputs!$D$2:$AG$2,0)),Inputs!$B$4:$B$250,$B54)/1000)</f>
        <v>29.824</v>
      </c>
      <c r="R54" s="12">
        <f>IF(COUNT(N54:Q54)=4,SUM(N54:Q54),"")</f>
        <v>116.748</v>
      </c>
      <c r="S54" s="11">
        <f>IF(SUMPRODUCT((Inputs!$B$4:$B$250=$B54)*ISNUMBER(INDEX(Inputs!$D$4:$AG$250,0,MATCH(S$2,Inputs!$D$2:$AG$2,0))))=0,"",SUMIFS(INDEX(Inputs!$D$4:$AG$250,0,MATCH(S$2,Inputs!$D$2:$AG$2,0)),Inputs!$B$4:$B$250,$B54)/1000)</f>
        <v>30.69</v>
      </c>
      <c r="T54" s="11">
        <f>IF(SUMPRODUCT((Inputs!$B$4:$B$250=$B54)*ISNUMBER(INDEX(Inputs!$D$4:$AG$250,0,MATCH(T$2,Inputs!$D$2:$AG$2,0))))=0,"",SUMIFS(INDEX(Inputs!$D$4:$AG$250,0,MATCH(T$2,Inputs!$D$2:$AG$2,0)),Inputs!$B$4:$B$250,$B54)/1000)</f>
        <v>33.98</v>
      </c>
      <c r="U54" s="11">
        <f>IF(SUMPRODUCT((Inputs!$B$4:$B$250=$B54)*ISNUMBER(INDEX(Inputs!$D$4:$AG$250,0,MATCH(U$2,Inputs!$D$2:$AG$2,0))))=0,"",SUMIFS(INDEX(Inputs!$D$4:$AG$250,0,MATCH(U$2,Inputs!$D$2:$AG$2,0)),Inputs!$B$4:$B$250,$B54)/1000)</f>
        <v>63.217</v>
      </c>
      <c r="V54" s="11">
        <f>IF(SUMPRODUCT((Inputs!$B$4:$B$250=$B54)*ISNUMBER(INDEX(Inputs!$D$4:$AG$250,0,MATCH(V$2,Inputs!$D$2:$AG$2,0))))=0,"",SUMIFS(INDEX(Inputs!$D$4:$AG$250,0,MATCH(V$2,Inputs!$D$2:$AG$2,0)),Inputs!$B$4:$B$250,$B54)/1000)</f>
        <v>41.805</v>
      </c>
      <c r="W54" s="12">
        <f>IF(COUNT(S54:V54)=4,SUM(S54:V54),"")</f>
        <v>169.692</v>
      </c>
      <c r="X54" s="11">
        <f>IF(SUMPRODUCT((Inputs!$B$4:$B$250=$B54)*ISNUMBER(INDEX(Inputs!$D$4:$AG$250,0,MATCH(X$2,Inputs!$D$2:$AG$2,0))))=0,"",SUMIFS(INDEX(Inputs!$D$4:$AG$250,0,MATCH(X$2,Inputs!$D$2:$AG$2,0)),Inputs!$B$4:$B$250,$B54)/1000)</f>
        <v>47.138</v>
      </c>
      <c r="Y54" s="11">
        <f>IF(SUMPRODUCT((Inputs!$B$4:$B$250=$B54)*ISNUMBER(INDEX(Inputs!$D$4:$AG$250,0,MATCH(Y$2,Inputs!$D$2:$AG$2,0))))=0,"",SUMIFS(INDEX(Inputs!$D$4:$AG$250,0,MATCH(Y$2,Inputs!$D$2:$AG$2,0)),Inputs!$B$4:$B$250,$B54)/1000)</f>
        <v>66.302</v>
      </c>
      <c r="Z54" s="11">
        <f>IF(SUMPRODUCT((Inputs!$B$4:$B$250=$B54)*ISNUMBER(INDEX(Inputs!$D$4:$AG$250,0,MATCH(Z$2,Inputs!$D$2:$AG$2,0))))=0,"",SUMIFS(INDEX(Inputs!$D$4:$AG$250,0,MATCH(Z$2,Inputs!$D$2:$AG$2,0)),Inputs!$B$4:$B$250,$B54)/1000)</f>
        <v>77.08</v>
      </c>
      <c r="AA54" s="11">
        <f>IF(SUMPRODUCT((Inputs!$B$4:$B$250=$B54)*ISNUMBER(INDEX(Inputs!$D$4:$AG$250,0,MATCH(AA$2,Inputs!$D$2:$AG$2,0))))=0,"",SUMIFS(INDEX(Inputs!$D$4:$AG$250,0,MATCH(AA$2,Inputs!$D$2:$AG$2,0)),Inputs!$B$4:$B$250,$B54)/1000)</f>
        <v>67.379</v>
      </c>
      <c r="AB54" s="12">
        <f>IF(COUNT(X54:AA54)=4,SUM(X54:AA54),"")</f>
        <v>257.899</v>
      </c>
      <c r="AC54" s="11">
        <f>IF(SUMPRODUCT((Inputs!$B$4:$B$250=$B54)*ISNUMBER(INDEX(Inputs!$D$4:$AG$250,0,MATCH(AC$2,Inputs!$D$2:$AG$2,0))))=0,"",SUMIFS(INDEX(Inputs!$D$4:$AG$250,0,MATCH(AC$2,Inputs!$D$2:$AG$2,0)),Inputs!$B$4:$B$250,$B54)/1000)</f>
        <v>111.014</v>
      </c>
      <c r="AD54" s="11" t="str">
        <f>IF(SUMPRODUCT((Inputs!$B$4:$B$250=$B54)*ISNUMBER(INDEX(Inputs!$D$4:$AG$250,0,MATCH(AD$2,Inputs!$D$2:$AG$2,0))))=0,"",SUMIFS(INDEX(Inputs!$D$4:$AG$250,0,MATCH(AD$2,Inputs!$D$2:$AG$2,0)),Inputs!$B$4:$B$250,$B54)/1000)</f>
        <v/>
      </c>
      <c r="AE54" s="11" t="str">
        <f>IF(SUMPRODUCT((Inputs!$B$4:$B$250=$B54)*ISNUMBER(INDEX(Inputs!$D$4:$AG$250,0,MATCH(AE$2,Inputs!$D$2:$AG$2,0))))=0,"",SUMIFS(INDEX(Inputs!$D$4:$AG$250,0,MATCH(AE$2,Inputs!$D$2:$AG$2,0)),Inputs!$B$4:$B$250,$B54)/1000)</f>
        <v/>
      </c>
      <c r="AF54" s="11" t="str">
        <f>IF(SUMPRODUCT((Inputs!$B$4:$B$250=$B54)*ISNUMBER(INDEX(Inputs!$D$4:$AG$250,0,MATCH(AF$2,Inputs!$D$2:$AG$2,0))))=0,"",SUMIFS(INDEX(Inputs!$D$4:$AG$250,0,MATCH(AF$2,Inputs!$D$2:$AG$2,0)),Inputs!$B$4:$B$250,$B54)/1000)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liquida - Beneficiamento de residuos / WtE (R$ mil)</t>
        </is>
      </c>
      <c r="D55" s="11">
        <f>IF(SUMPRODUCT((Inputs!$B$4:$B$250=$B55)*ISNUMBER(INDEX(Inputs!$D$4:$AG$250,0,MATCH(D$2,Inputs!$D$2:$AG$2,0))))=0,"",SUMIFS(INDEX(Inputs!$D$4:$AG$250,0,MATCH(D$2,Inputs!$D$2:$AG$2,0)),Inputs!$B$4:$B$250,$B55)/1000)</f>
        <v>10.626</v>
      </c>
      <c r="E55" s="11">
        <f>IF(SUMPRODUCT((Inputs!$B$4:$B$250=$B55)*ISNUMBER(INDEX(Inputs!$D$4:$AG$250,0,MATCH(E$2,Inputs!$D$2:$AG$2,0))))=0,"",SUMIFS(INDEX(Inputs!$D$4:$AG$250,0,MATCH(E$2,Inputs!$D$2:$AG$2,0)),Inputs!$B$4:$B$250,$B55)/1000)</f>
        <v>12.903</v>
      </c>
      <c r="F55" s="11">
        <f>IF(SUMPRODUCT((Inputs!$B$4:$B$250=$B55)*ISNUMBER(INDEX(Inputs!$D$4:$AG$250,0,MATCH(F$2,Inputs!$D$2:$AG$2,0))))=0,"",SUMIFS(INDEX(Inputs!$D$4:$AG$250,0,MATCH(F$2,Inputs!$D$2:$AG$2,0)),Inputs!$B$4:$B$250,$B55)/1000)</f>
        <v>8.793</v>
      </c>
      <c r="G55" s="11">
        <f>IF(SUMPRODUCT((Inputs!$B$4:$B$250=$B55)*ISNUMBER(INDEX(Inputs!$D$4:$AG$250,0,MATCH(G$2,Inputs!$D$2:$AG$2,0))))=0,"",SUMIFS(INDEX(Inputs!$D$4:$AG$250,0,MATCH(G$2,Inputs!$D$2:$AG$2,0)),Inputs!$B$4:$B$250,$B55)/1000)</f>
        <v>6.835</v>
      </c>
      <c r="H55" s="12">
        <f>IF(COUNT(D55:G55)=4,SUM(D55:G55),"")</f>
        <v>39.157</v>
      </c>
      <c r="I55" s="11">
        <f>IF(SUMPRODUCT((Inputs!$B$4:$B$250=$B55)*ISNUMBER(INDEX(Inputs!$D$4:$AG$250,0,MATCH(I$2,Inputs!$D$2:$AG$2,0))))=0,"",SUMIFS(INDEX(Inputs!$D$4:$AG$250,0,MATCH(I$2,Inputs!$D$2:$AG$2,0)),Inputs!$B$4:$B$250,$B55)/1000)</f>
        <v>3.78</v>
      </c>
      <c r="J55" s="11">
        <f>IF(SUMPRODUCT((Inputs!$B$4:$B$250=$B55)*ISNUMBER(INDEX(Inputs!$D$4:$AG$250,0,MATCH(J$2,Inputs!$D$2:$AG$2,0))))=0,"",SUMIFS(INDEX(Inputs!$D$4:$AG$250,0,MATCH(J$2,Inputs!$D$2:$AG$2,0)),Inputs!$B$4:$B$250,$B55)/1000)</f>
        <v>6.677</v>
      </c>
      <c r="K55" s="11">
        <f>IF(SUMPRODUCT((Inputs!$B$4:$B$250=$B55)*ISNUMBER(INDEX(Inputs!$D$4:$AG$250,0,MATCH(K$2,Inputs!$D$2:$AG$2,0))))=0,"",SUMIFS(INDEX(Inputs!$D$4:$AG$250,0,MATCH(K$2,Inputs!$D$2:$AG$2,0)),Inputs!$B$4:$B$250,$B55)/1000)</f>
        <v>11.911</v>
      </c>
      <c r="L55" s="11">
        <f>IF(SUMPRODUCT((Inputs!$B$4:$B$250=$B55)*ISNUMBER(INDEX(Inputs!$D$4:$AG$250,0,MATCH(L$2,Inputs!$D$2:$AG$2,0))))=0,"",SUMIFS(INDEX(Inputs!$D$4:$AG$250,0,MATCH(L$2,Inputs!$D$2:$AG$2,0)),Inputs!$B$4:$B$250,$B55)/1000)</f>
        <v>8.966</v>
      </c>
      <c r="M55" s="12">
        <f>IF(COUNT(I55:L55)=4,SUM(I55:L55),"")</f>
        <v>31.334</v>
      </c>
      <c r="N55" s="11">
        <f>IF(SUMPRODUCT((Inputs!$B$4:$B$250=$B55)*ISNUMBER(INDEX(Inputs!$D$4:$AG$250,0,MATCH(N$2,Inputs!$D$2:$AG$2,0))))=0,"",SUMIFS(INDEX(Inputs!$D$4:$AG$250,0,MATCH(N$2,Inputs!$D$2:$AG$2,0)),Inputs!$B$4:$B$250,$B55)/1000)</f>
        <v>12.524</v>
      </c>
      <c r="O55" s="11">
        <f>IF(SUMPRODUCT((Inputs!$B$4:$B$250=$B55)*ISNUMBER(INDEX(Inputs!$D$4:$AG$250,0,MATCH(O$2,Inputs!$D$2:$AG$2,0))))=0,"",SUMIFS(INDEX(Inputs!$D$4:$AG$250,0,MATCH(O$2,Inputs!$D$2:$AG$2,0)),Inputs!$B$4:$B$250,$B55)/1000)</f>
        <v>13.42</v>
      </c>
      <c r="P55" s="11">
        <f>IF(SUMPRODUCT((Inputs!$B$4:$B$250=$B55)*ISNUMBER(INDEX(Inputs!$D$4:$AG$250,0,MATCH(P$2,Inputs!$D$2:$AG$2,0))))=0,"",SUMIFS(INDEX(Inputs!$D$4:$AG$250,0,MATCH(P$2,Inputs!$D$2:$AG$2,0)),Inputs!$B$4:$B$250,$B55)/1000)</f>
        <v>10.484</v>
      </c>
      <c r="Q55" s="11">
        <f>IF(SUMPRODUCT((Inputs!$B$4:$B$250=$B55)*ISNUMBER(INDEX(Inputs!$D$4:$AG$250,0,MATCH(Q$2,Inputs!$D$2:$AG$2,0))))=0,"",SUMIFS(INDEX(Inputs!$D$4:$AG$250,0,MATCH(Q$2,Inputs!$D$2:$AG$2,0)),Inputs!$B$4:$B$250,$B55)/1000)</f>
        <v>8.945</v>
      </c>
      <c r="R55" s="12">
        <f>IF(COUNT(N55:Q55)=4,SUM(N55:Q55),"")</f>
        <v>45.373</v>
      </c>
      <c r="S55" s="11">
        <f>IF(SUMPRODUCT((Inputs!$B$4:$B$250=$B55)*ISNUMBER(INDEX(Inputs!$D$4:$AG$250,0,MATCH(S$2,Inputs!$D$2:$AG$2,0))))=0,"",SUMIFS(INDEX(Inputs!$D$4:$AG$250,0,MATCH(S$2,Inputs!$D$2:$AG$2,0)),Inputs!$B$4:$B$250,$B55)/1000)</f>
        <v>10.485</v>
      </c>
      <c r="T55" s="11">
        <f>IF(SUMPRODUCT((Inputs!$B$4:$B$250=$B55)*ISNUMBER(INDEX(Inputs!$D$4:$AG$250,0,MATCH(T$2,Inputs!$D$2:$AG$2,0))))=0,"",SUMIFS(INDEX(Inputs!$D$4:$AG$250,0,MATCH(T$2,Inputs!$D$2:$AG$2,0)),Inputs!$B$4:$B$250,$B55)/1000)</f>
        <v>13.901</v>
      </c>
      <c r="U55" s="11">
        <f>IF(SUMPRODUCT((Inputs!$B$4:$B$250=$B55)*ISNUMBER(INDEX(Inputs!$D$4:$AG$250,0,MATCH(U$2,Inputs!$D$2:$AG$2,0))))=0,"",SUMIFS(INDEX(Inputs!$D$4:$AG$250,0,MATCH(U$2,Inputs!$D$2:$AG$2,0)),Inputs!$B$4:$B$250,$B55)/1000)</f>
        <v>16.375</v>
      </c>
      <c r="V55" s="11">
        <f>IF(SUMPRODUCT((Inputs!$B$4:$B$250=$B55)*ISNUMBER(INDEX(Inputs!$D$4:$AG$250,0,MATCH(V$2,Inputs!$D$2:$AG$2,0))))=0,"",SUMIFS(INDEX(Inputs!$D$4:$AG$250,0,MATCH(V$2,Inputs!$D$2:$AG$2,0)),Inputs!$B$4:$B$250,$B55)/1000)</f>
        <v>16.41</v>
      </c>
      <c r="W55" s="12">
        <f>IF(COUNT(S55:V55)=4,SUM(S55:V55),"")</f>
        <v>57.171</v>
      </c>
      <c r="X55" s="11">
        <f>IF(SUMPRODUCT((Inputs!$B$4:$B$250=$B55)*ISNUMBER(INDEX(Inputs!$D$4:$AG$250,0,MATCH(X$2,Inputs!$D$2:$AG$2,0))))=0,"",SUMIFS(INDEX(Inputs!$D$4:$AG$250,0,MATCH(X$2,Inputs!$D$2:$AG$2,0)),Inputs!$B$4:$B$250,$B55)/1000)</f>
        <v>17.104</v>
      </c>
      <c r="Y55" s="11">
        <f>IF(SUMPRODUCT((Inputs!$B$4:$B$250=$B55)*ISNUMBER(INDEX(Inputs!$D$4:$AG$250,0,MATCH(Y$2,Inputs!$D$2:$AG$2,0))))=0,"",SUMIFS(INDEX(Inputs!$D$4:$AG$250,0,MATCH(Y$2,Inputs!$D$2:$AG$2,0)),Inputs!$B$4:$B$250,$B55)/1000)</f>
        <v>16.495</v>
      </c>
      <c r="Z55" s="11">
        <f>IF(SUMPRODUCT((Inputs!$B$4:$B$250=$B55)*ISNUMBER(INDEX(Inputs!$D$4:$AG$250,0,MATCH(Z$2,Inputs!$D$2:$AG$2,0))))=0,"",SUMIFS(INDEX(Inputs!$D$4:$AG$250,0,MATCH(Z$2,Inputs!$D$2:$AG$2,0)),Inputs!$B$4:$B$250,$B55)/1000)</f>
        <v>17.292</v>
      </c>
      <c r="AA55" s="11">
        <f>IF(SUMPRODUCT((Inputs!$B$4:$B$250=$B55)*ISNUMBER(INDEX(Inputs!$D$4:$AG$250,0,MATCH(AA$2,Inputs!$D$2:$AG$2,0))))=0,"",SUMIFS(INDEX(Inputs!$D$4:$AG$250,0,MATCH(AA$2,Inputs!$D$2:$AG$2,0)),Inputs!$B$4:$B$250,$B55)/1000)</f>
        <v>11.639</v>
      </c>
      <c r="AB55" s="12">
        <f>IF(COUNT(X55:AA55)=4,SUM(X55:AA55),"")</f>
        <v>62.53</v>
      </c>
      <c r="AC55" s="11">
        <f>IF(SUMPRODUCT((Inputs!$B$4:$B$250=$B55)*ISNUMBER(INDEX(Inputs!$D$4:$AG$250,0,MATCH(AC$2,Inputs!$D$2:$AG$2,0))))=0,"",SUMIFS(INDEX(Inputs!$D$4:$AG$250,0,MATCH(AC$2,Inputs!$D$2:$AG$2,0)),Inputs!$B$4:$B$250,$B55)/1000)</f>
        <v>13.253</v>
      </c>
      <c r="AD55" s="11" t="str">
        <f>IF(SUMPRODUCT((Inputs!$B$4:$B$250=$B55)*ISNUMBER(INDEX(Inputs!$D$4:$AG$250,0,MATCH(AD$2,Inputs!$D$2:$AG$2,0))))=0,"",SUMIFS(INDEX(Inputs!$D$4:$AG$250,0,MATCH(AD$2,Inputs!$D$2:$AG$2,0)),Inputs!$B$4:$B$250,$B55)/1000)</f>
        <v/>
      </c>
      <c r="AE55" s="11" t="str">
        <f>IF(SUMPRODUCT((Inputs!$B$4:$B$250=$B55)*ISNUMBER(INDEX(Inputs!$D$4:$AG$250,0,MATCH(AE$2,Inputs!$D$2:$AG$2,0))))=0,"",SUMIFS(INDEX(Inputs!$D$4:$AG$250,0,MATCH(AE$2,Inputs!$D$2:$AG$2,0)),Inputs!$B$4:$B$250,$B55)/1000)</f>
        <v/>
      </c>
      <c r="AF55" s="11" t="str">
        <f>IF(SUMPRODUCT((Inputs!$B$4:$B$250=$B55)*ISNUMBER(INDEX(Inputs!$D$4:$AG$250,0,MATCH(AF$2,Inputs!$D$2:$AG$2,0))))=0,"",SUMIFS(INDEX(Inputs!$D$4:$AG$250,0,MATCH(AF$2,Inputs!$D$2:$AG$2,0)),Inputs!$B$4:$B$250,$B55)/1000)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liquida - Engenharia ambiental (R$ mil)</t>
        </is>
      </c>
      <c r="D56" s="11">
        <f>IF(SUMPRODUCT((Inputs!$B$4:$B$250=$B56)*ISNUMBER(INDEX(Inputs!$D$4:$AG$250,0,MATCH(D$2,Inputs!$D$2:$AG$2,0))))=0,"",SUMIFS(INDEX(Inputs!$D$4:$AG$250,0,MATCH(D$2,Inputs!$D$2:$AG$2,0)),Inputs!$B$4:$B$250,$B56)/1000)</f>
        <v>3.521</v>
      </c>
      <c r="E56" s="11">
        <f>IF(SUMPRODUCT((Inputs!$B$4:$B$250=$B56)*ISNUMBER(INDEX(Inputs!$D$4:$AG$250,0,MATCH(E$2,Inputs!$D$2:$AG$2,0))))=0,"",SUMIFS(INDEX(Inputs!$D$4:$AG$250,0,MATCH(E$2,Inputs!$D$2:$AG$2,0)),Inputs!$B$4:$B$250,$B56)/1000)</f>
        <v>5.214</v>
      </c>
      <c r="F56" s="11">
        <f>IF(SUMPRODUCT((Inputs!$B$4:$B$250=$B56)*ISNUMBER(INDEX(Inputs!$D$4:$AG$250,0,MATCH(F$2,Inputs!$D$2:$AG$2,0))))=0,"",SUMIFS(INDEX(Inputs!$D$4:$AG$250,0,MATCH(F$2,Inputs!$D$2:$AG$2,0)),Inputs!$B$4:$B$250,$B56)/1000)</f>
        <v>7.362</v>
      </c>
      <c r="G56" s="11">
        <f>IF(SUMPRODUCT((Inputs!$B$4:$B$250=$B56)*ISNUMBER(INDEX(Inputs!$D$4:$AG$250,0,MATCH(G$2,Inputs!$D$2:$AG$2,0))))=0,"",SUMIFS(INDEX(Inputs!$D$4:$AG$250,0,MATCH(G$2,Inputs!$D$2:$AG$2,0)),Inputs!$B$4:$B$250,$B56)/1000)</f>
        <v>10.089</v>
      </c>
      <c r="H56" s="12">
        <f>IF(COUNT(D56:G56)=4,SUM(D56:G56),"")</f>
        <v>26.186</v>
      </c>
      <c r="I56" s="11">
        <f>IF(SUMPRODUCT((Inputs!$B$4:$B$250=$B56)*ISNUMBER(INDEX(Inputs!$D$4:$AG$250,0,MATCH(I$2,Inputs!$D$2:$AG$2,0))))=0,"",SUMIFS(INDEX(Inputs!$D$4:$AG$250,0,MATCH(I$2,Inputs!$D$2:$AG$2,0)),Inputs!$B$4:$B$250,$B56)/1000)</f>
        <v>10.331</v>
      </c>
      <c r="J56" s="11">
        <f>IF(SUMPRODUCT((Inputs!$B$4:$B$250=$B56)*ISNUMBER(INDEX(Inputs!$D$4:$AG$250,0,MATCH(J$2,Inputs!$D$2:$AG$2,0))))=0,"",SUMIFS(INDEX(Inputs!$D$4:$AG$250,0,MATCH(J$2,Inputs!$D$2:$AG$2,0)),Inputs!$B$4:$B$250,$B56)/1000)</f>
        <v>11.509</v>
      </c>
      <c r="K56" s="11">
        <f>IF(SUMPRODUCT((Inputs!$B$4:$B$250=$B56)*ISNUMBER(INDEX(Inputs!$D$4:$AG$250,0,MATCH(K$2,Inputs!$D$2:$AG$2,0))))=0,"",SUMIFS(INDEX(Inputs!$D$4:$AG$250,0,MATCH(K$2,Inputs!$D$2:$AG$2,0)),Inputs!$B$4:$B$250,$B56)/1000)</f>
        <v>9.129</v>
      </c>
      <c r="L56" s="11">
        <f>IF(SUMPRODUCT((Inputs!$B$4:$B$250=$B56)*ISNUMBER(INDEX(Inputs!$D$4:$AG$250,0,MATCH(L$2,Inputs!$D$2:$AG$2,0))))=0,"",SUMIFS(INDEX(Inputs!$D$4:$AG$250,0,MATCH(L$2,Inputs!$D$2:$AG$2,0)),Inputs!$B$4:$B$250,$B56)/1000)</f>
        <v>12.416</v>
      </c>
      <c r="M56" s="12">
        <f>IF(COUNT(I56:L56)=4,SUM(I56:L56),"")</f>
        <v>43.385</v>
      </c>
      <c r="N56" s="11">
        <f>IF(SUMPRODUCT((Inputs!$B$4:$B$250=$B56)*ISNUMBER(INDEX(Inputs!$D$4:$AG$250,0,MATCH(N$2,Inputs!$D$2:$AG$2,0))))=0,"",SUMIFS(INDEX(Inputs!$D$4:$AG$250,0,MATCH(N$2,Inputs!$D$2:$AG$2,0)),Inputs!$B$4:$B$250,$B56)/1000)</f>
        <v>10.933</v>
      </c>
      <c r="O56" s="11">
        <f>IF(SUMPRODUCT((Inputs!$B$4:$B$250=$B56)*ISNUMBER(INDEX(Inputs!$D$4:$AG$250,0,MATCH(O$2,Inputs!$D$2:$AG$2,0))))=0,"",SUMIFS(INDEX(Inputs!$D$4:$AG$250,0,MATCH(O$2,Inputs!$D$2:$AG$2,0)),Inputs!$B$4:$B$250,$B56)/1000)</f>
        <v>7.087</v>
      </c>
      <c r="P56" s="11">
        <f>IF(SUMPRODUCT((Inputs!$B$4:$B$250=$B56)*ISNUMBER(INDEX(Inputs!$D$4:$AG$250,0,MATCH(P$2,Inputs!$D$2:$AG$2,0))))=0,"",SUMIFS(INDEX(Inputs!$D$4:$AG$250,0,MATCH(P$2,Inputs!$D$2:$AG$2,0)),Inputs!$B$4:$B$250,$B56)/1000)</f>
        <v>6.316</v>
      </c>
      <c r="Q56" s="11">
        <f>IF(SUMPRODUCT((Inputs!$B$4:$B$250=$B56)*ISNUMBER(INDEX(Inputs!$D$4:$AG$250,0,MATCH(Q$2,Inputs!$D$2:$AG$2,0))))=0,"",SUMIFS(INDEX(Inputs!$D$4:$AG$250,0,MATCH(Q$2,Inputs!$D$2:$AG$2,0)),Inputs!$B$4:$B$250,$B56)/1000)</f>
        <v>6.798</v>
      </c>
      <c r="R56" s="12">
        <f>IF(COUNT(N56:Q56)=4,SUM(N56:Q56),"")</f>
        <v>31.134</v>
      </c>
      <c r="S56" s="11">
        <f>IF(SUMPRODUCT((Inputs!$B$4:$B$250=$B56)*ISNUMBER(INDEX(Inputs!$D$4:$AG$250,0,MATCH(S$2,Inputs!$D$2:$AG$2,0))))=0,"",SUMIFS(INDEX(Inputs!$D$4:$AG$250,0,MATCH(S$2,Inputs!$D$2:$AG$2,0)),Inputs!$B$4:$B$250,$B56)/1000)</f>
        <v>5.521</v>
      </c>
      <c r="T56" s="11">
        <f>IF(SUMPRODUCT((Inputs!$B$4:$B$250=$B56)*ISNUMBER(INDEX(Inputs!$D$4:$AG$250,0,MATCH(T$2,Inputs!$D$2:$AG$2,0))))=0,"",SUMIFS(INDEX(Inputs!$D$4:$AG$250,0,MATCH(T$2,Inputs!$D$2:$AG$2,0)),Inputs!$B$4:$B$250,$B56)/1000)</f>
        <v>6.819</v>
      </c>
      <c r="U56" s="11">
        <f>IF(SUMPRODUCT((Inputs!$B$4:$B$250=$B56)*ISNUMBER(INDEX(Inputs!$D$4:$AG$250,0,MATCH(U$2,Inputs!$D$2:$AG$2,0))))=0,"",SUMIFS(INDEX(Inputs!$D$4:$AG$250,0,MATCH(U$2,Inputs!$D$2:$AG$2,0)),Inputs!$B$4:$B$250,$B56)/1000)</f>
        <v>6.003</v>
      </c>
      <c r="V56" s="11">
        <f>IF(SUMPRODUCT((Inputs!$B$4:$B$250=$B56)*ISNUMBER(INDEX(Inputs!$D$4:$AG$250,0,MATCH(V$2,Inputs!$D$2:$AG$2,0))))=0,"",SUMIFS(INDEX(Inputs!$D$4:$AG$250,0,MATCH(V$2,Inputs!$D$2:$AG$2,0)),Inputs!$B$4:$B$250,$B56)/1000)</f>
        <v>4.585</v>
      </c>
      <c r="W56" s="12">
        <f>IF(COUNT(S56:V56)=4,SUM(S56:V56),"")</f>
        <v>22.928</v>
      </c>
      <c r="X56" s="11">
        <f>IF(SUMPRODUCT((Inputs!$B$4:$B$250=$B56)*ISNUMBER(INDEX(Inputs!$D$4:$AG$250,0,MATCH(X$2,Inputs!$D$2:$AG$2,0))))=0,"",SUMIFS(INDEX(Inputs!$D$4:$AG$250,0,MATCH(X$2,Inputs!$D$2:$AG$2,0)),Inputs!$B$4:$B$250,$B56)/1000)</f>
        <v>2.275</v>
      </c>
      <c r="Y56" s="11">
        <f>IF(SUMPRODUCT((Inputs!$B$4:$B$250=$B56)*ISNUMBER(INDEX(Inputs!$D$4:$AG$250,0,MATCH(Y$2,Inputs!$D$2:$AG$2,0))))=0,"",SUMIFS(INDEX(Inputs!$D$4:$AG$250,0,MATCH(Y$2,Inputs!$D$2:$AG$2,0)),Inputs!$B$4:$B$250,$B56)/1000)</f>
        <v>2.706</v>
      </c>
      <c r="Z56" s="11">
        <f>IF(SUMPRODUCT((Inputs!$B$4:$B$250=$B56)*ISNUMBER(INDEX(Inputs!$D$4:$AG$250,0,MATCH(Z$2,Inputs!$D$2:$AG$2,0))))=0,"",SUMIFS(INDEX(Inputs!$D$4:$AG$250,0,MATCH(Z$2,Inputs!$D$2:$AG$2,0)),Inputs!$B$4:$B$250,$B56)/1000)</f>
        <v>4.362</v>
      </c>
      <c r="AA56" s="11">
        <f>IF(SUMPRODUCT((Inputs!$B$4:$B$250=$B56)*ISNUMBER(INDEX(Inputs!$D$4:$AG$250,0,MATCH(AA$2,Inputs!$D$2:$AG$2,0))))=0,"",SUMIFS(INDEX(Inputs!$D$4:$AG$250,0,MATCH(AA$2,Inputs!$D$2:$AG$2,0)),Inputs!$B$4:$B$250,$B56)/1000)</f>
        <v>3.748</v>
      </c>
      <c r="AB56" s="12">
        <f>IF(COUNT(X56:AA56)=4,SUM(X56:AA56),"")</f>
        <v>13.091</v>
      </c>
      <c r="AC56" s="11">
        <f>IF(SUMPRODUCT((Inputs!$B$4:$B$250=$B56)*ISNUMBER(INDEX(Inputs!$D$4:$AG$250,0,MATCH(AC$2,Inputs!$D$2:$AG$2,0))))=0,"",SUMIFS(INDEX(Inputs!$D$4:$AG$250,0,MATCH(AC$2,Inputs!$D$2:$AG$2,0)),Inputs!$B$4:$B$250,$B56)/1000)</f>
        <v>3.814</v>
      </c>
      <c r="AD56" s="11" t="str">
        <f>IF(SUMPRODUCT((Inputs!$B$4:$B$250=$B56)*ISNUMBER(INDEX(Inputs!$D$4:$AG$250,0,MATCH(AD$2,Inputs!$D$2:$AG$2,0))))=0,"",SUMIFS(INDEX(Inputs!$D$4:$AG$250,0,MATCH(AD$2,Inputs!$D$2:$AG$2,0)),Inputs!$B$4:$B$250,$B56)/1000)</f>
        <v/>
      </c>
      <c r="AE56" s="11" t="str">
        <f>IF(SUMPRODUCT((Inputs!$B$4:$B$250=$B56)*ISNUMBER(INDEX(Inputs!$D$4:$AG$250,0,MATCH(AE$2,Inputs!$D$2:$AG$2,0))))=0,"",SUMIFS(INDEX(Inputs!$D$4:$AG$250,0,MATCH(AE$2,Inputs!$D$2:$AG$2,0)),Inputs!$B$4:$B$250,$B56)/1000)</f>
        <v/>
      </c>
      <c r="AF56" s="11" t="str">
        <f>IF(SUMPRODUCT((Inputs!$B$4:$B$250=$B56)*ISNUMBER(INDEX(Inputs!$D$4:$AG$250,0,MATCH(AF$2,Inputs!$D$2:$AG$2,0))))=0,"",SUMIFS(INDEX(Inputs!$D$4:$AG$250,0,MATCH(AF$2,Inputs!$D$2:$AG$2,0)),Inputs!$B$4:$B$250,$B56)/1000)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dos quais: receita de creditos de carbono (R$ mil; 2025-26 arredondado em R$ mi no release; 4T20 e 1T24 nao divulgados)</t>
        </is>
      </c>
      <c r="D57" s="11">
        <f>IF(SUMPRODUCT((Inputs!$B$4:$B$250=$B57)*ISNUMBER(INDEX(Inputs!$D$4:$AG$250,0,MATCH(D$2,Inputs!$D$2:$AG$2,0))))=0,"",SUMIFS(INDEX(Inputs!$D$4:$AG$250,0,MATCH(D$2,Inputs!$D$2:$AG$2,0)),Inputs!$B$4:$B$250,$B57)/1000)</f>
        <v>0</v>
      </c>
      <c r="E57" s="11">
        <f>IF(SUMPRODUCT((Inputs!$B$4:$B$250=$B57)*ISNUMBER(INDEX(Inputs!$D$4:$AG$250,0,MATCH(E$2,Inputs!$D$2:$AG$2,0))))=0,"",SUMIFS(INDEX(Inputs!$D$4:$AG$250,0,MATCH(E$2,Inputs!$D$2:$AG$2,0)),Inputs!$B$4:$B$250,$B57)/1000)</f>
        <v>0</v>
      </c>
      <c r="F57" s="11">
        <f>IF(SUMPRODUCT((Inputs!$B$4:$B$250=$B57)*ISNUMBER(INDEX(Inputs!$D$4:$AG$250,0,MATCH(F$2,Inputs!$D$2:$AG$2,0))))=0,"",SUMIFS(INDEX(Inputs!$D$4:$AG$250,0,MATCH(F$2,Inputs!$D$2:$AG$2,0)),Inputs!$B$4:$B$250,$B57)/1000)</f>
        <v>1.687</v>
      </c>
      <c r="G57" s="11">
        <f>IF(SUMPRODUCT((Inputs!$B$4:$B$250=$B57)*ISNUMBER(INDEX(Inputs!$D$4:$AG$250,0,MATCH(G$2,Inputs!$D$2:$AG$2,0))))=0,"",SUMIFS(INDEX(Inputs!$D$4:$AG$250,0,MATCH(G$2,Inputs!$D$2:$AG$2,0)),Inputs!$B$4:$B$250,$B57)/1000)</f>
        <v>42.103</v>
      </c>
      <c r="H57" s="12">
        <f>IF(COUNT(D57:G57)=4,SUM(D57:G57),"")</f>
        <v>43.79</v>
      </c>
      <c r="I57" s="11">
        <f>IF(SUMPRODUCT((Inputs!$B$4:$B$250=$B57)*ISNUMBER(INDEX(Inputs!$D$4:$AG$250,0,MATCH(I$2,Inputs!$D$2:$AG$2,0))))=0,"",SUMIFS(INDEX(Inputs!$D$4:$AG$250,0,MATCH(I$2,Inputs!$D$2:$AG$2,0)),Inputs!$B$4:$B$250,$B57)/1000)</f>
        <v>0</v>
      </c>
      <c r="J57" s="11">
        <f>IF(SUMPRODUCT((Inputs!$B$4:$B$250=$B57)*ISNUMBER(INDEX(Inputs!$D$4:$AG$250,0,MATCH(J$2,Inputs!$D$2:$AG$2,0))))=0,"",SUMIFS(INDEX(Inputs!$D$4:$AG$250,0,MATCH(J$2,Inputs!$D$2:$AG$2,0)),Inputs!$B$4:$B$250,$B57)/1000)</f>
        <v>0</v>
      </c>
      <c r="K57" s="11">
        <f>IF(SUMPRODUCT((Inputs!$B$4:$B$250=$B57)*ISNUMBER(INDEX(Inputs!$D$4:$AG$250,0,MATCH(K$2,Inputs!$D$2:$AG$2,0))))=0,"",SUMIFS(INDEX(Inputs!$D$4:$AG$250,0,MATCH(K$2,Inputs!$D$2:$AG$2,0)),Inputs!$B$4:$B$250,$B57)/1000)</f>
        <v>0</v>
      </c>
      <c r="L57" s="11">
        <f>IF(SUMPRODUCT((Inputs!$B$4:$B$250=$B57)*ISNUMBER(INDEX(Inputs!$D$4:$AG$250,0,MATCH(L$2,Inputs!$D$2:$AG$2,0))))=0,"",SUMIFS(INDEX(Inputs!$D$4:$AG$250,0,MATCH(L$2,Inputs!$D$2:$AG$2,0)),Inputs!$B$4:$B$250,$B57)/1000)</f>
        <v>0</v>
      </c>
      <c r="M57" s="12">
        <f>IF(COUNT(I57:L57)=4,SUM(I57:L57),"")</f>
        <v>0</v>
      </c>
      <c r="N57" s="11">
        <f>IF(SUMPRODUCT((Inputs!$B$4:$B$250=$B57)*ISNUMBER(INDEX(Inputs!$D$4:$AG$250,0,MATCH(N$2,Inputs!$D$2:$AG$2,0))))=0,"",SUMIFS(INDEX(Inputs!$D$4:$AG$250,0,MATCH(N$2,Inputs!$D$2:$AG$2,0)),Inputs!$B$4:$B$250,$B57)/1000)</f>
        <v>0</v>
      </c>
      <c r="O57" s="11">
        <f>IF(SUMPRODUCT((Inputs!$B$4:$B$250=$B57)*ISNUMBER(INDEX(Inputs!$D$4:$AG$250,0,MATCH(O$2,Inputs!$D$2:$AG$2,0))))=0,"",SUMIFS(INDEX(Inputs!$D$4:$AG$250,0,MATCH(O$2,Inputs!$D$2:$AG$2,0)),Inputs!$B$4:$B$250,$B57)/1000)</f>
        <v>0</v>
      </c>
      <c r="P57" s="11">
        <f>IF(SUMPRODUCT((Inputs!$B$4:$B$250=$B57)*ISNUMBER(INDEX(Inputs!$D$4:$AG$250,0,MATCH(P$2,Inputs!$D$2:$AG$2,0))))=0,"",SUMIFS(INDEX(Inputs!$D$4:$AG$250,0,MATCH(P$2,Inputs!$D$2:$AG$2,0)),Inputs!$B$4:$B$250,$B57)/1000)</f>
        <v>0</v>
      </c>
      <c r="Q57" s="11">
        <f>IF(SUMPRODUCT((Inputs!$B$4:$B$250=$B57)*ISNUMBER(INDEX(Inputs!$D$4:$AG$250,0,MATCH(Q$2,Inputs!$D$2:$AG$2,0))))=0,"",SUMIFS(INDEX(Inputs!$D$4:$AG$250,0,MATCH(Q$2,Inputs!$D$2:$AG$2,0)),Inputs!$B$4:$B$250,$B57)/1000)</f>
        <v>0</v>
      </c>
      <c r="R57" s="12">
        <f>IF(COUNT(N57:Q57)=4,SUM(N57:Q57),"")</f>
        <v>0</v>
      </c>
      <c r="S57" s="11" t="str">
        <f>IF(SUMPRODUCT((Inputs!$B$4:$B$250=$B57)*ISNUMBER(INDEX(Inputs!$D$4:$AG$250,0,MATCH(S$2,Inputs!$D$2:$AG$2,0))))=0,"",SUMIFS(INDEX(Inputs!$D$4:$AG$250,0,MATCH(S$2,Inputs!$D$2:$AG$2,0)),Inputs!$B$4:$B$250,$B57)/1000)</f>
        <v/>
      </c>
      <c r="T57" s="11">
        <f>IF(SUMPRODUCT((Inputs!$B$4:$B$250=$B57)*ISNUMBER(INDEX(Inputs!$D$4:$AG$250,0,MATCH(T$2,Inputs!$D$2:$AG$2,0))))=0,"",SUMIFS(INDEX(Inputs!$D$4:$AG$250,0,MATCH(T$2,Inputs!$D$2:$AG$2,0)),Inputs!$B$4:$B$250,$B57)/1000)</f>
        <v>0</v>
      </c>
      <c r="U57" s="11">
        <f>IF(SUMPRODUCT((Inputs!$B$4:$B$250=$B57)*ISNUMBER(INDEX(Inputs!$D$4:$AG$250,0,MATCH(U$2,Inputs!$D$2:$AG$2,0))))=0,"",SUMIFS(INDEX(Inputs!$D$4:$AG$250,0,MATCH(U$2,Inputs!$D$2:$AG$2,0)),Inputs!$B$4:$B$250,$B57)/1000)</f>
        <v>37.4</v>
      </c>
      <c r="V57" s="11">
        <f>IF(SUMPRODUCT((Inputs!$B$4:$B$250=$B57)*ISNUMBER(INDEX(Inputs!$D$4:$AG$250,0,MATCH(V$2,Inputs!$D$2:$AG$2,0))))=0,"",SUMIFS(INDEX(Inputs!$D$4:$AG$250,0,MATCH(V$2,Inputs!$D$2:$AG$2,0)),Inputs!$B$4:$B$250,$B57)/1000)</f>
        <v>0</v>
      </c>
      <c r="W57" s="12" t="str">
        <f>IF(COUNT(S57:V57)=4,SUM(S57:V57),"")</f>
        <v/>
      </c>
      <c r="X57" s="11">
        <f>IF(SUMPRODUCT((Inputs!$B$4:$B$250=$B57)*ISNUMBER(INDEX(Inputs!$D$4:$AG$250,0,MATCH(X$2,Inputs!$D$2:$AG$2,0))))=0,"",SUMIFS(INDEX(Inputs!$D$4:$AG$250,0,MATCH(X$2,Inputs!$D$2:$AG$2,0)),Inputs!$B$4:$B$250,$B57)/1000)</f>
        <v>0</v>
      </c>
      <c r="Y57" s="11">
        <f>IF(SUMPRODUCT((Inputs!$B$4:$B$250=$B57)*ISNUMBER(INDEX(Inputs!$D$4:$AG$250,0,MATCH(Y$2,Inputs!$D$2:$AG$2,0))))=0,"",SUMIFS(INDEX(Inputs!$D$4:$AG$250,0,MATCH(Y$2,Inputs!$D$2:$AG$2,0)),Inputs!$B$4:$B$250,$B57)/1000)</f>
        <v>5</v>
      </c>
      <c r="Z57" s="11">
        <f>IF(SUMPRODUCT((Inputs!$B$4:$B$250=$B57)*ISNUMBER(INDEX(Inputs!$D$4:$AG$250,0,MATCH(Z$2,Inputs!$D$2:$AG$2,0))))=0,"",SUMIFS(INDEX(Inputs!$D$4:$AG$250,0,MATCH(Z$2,Inputs!$D$2:$AG$2,0)),Inputs!$B$4:$B$250,$B57)/1000)</f>
        <v>14</v>
      </c>
      <c r="AA57" s="11">
        <f>IF(SUMPRODUCT((Inputs!$B$4:$B$250=$B57)*ISNUMBER(INDEX(Inputs!$D$4:$AG$250,0,MATCH(AA$2,Inputs!$D$2:$AG$2,0))))=0,"",SUMIFS(INDEX(Inputs!$D$4:$AG$250,0,MATCH(AA$2,Inputs!$D$2:$AG$2,0)),Inputs!$B$4:$B$250,$B57)/1000)</f>
        <v>16.5</v>
      </c>
      <c r="AB57" s="12">
        <f>IF(COUNT(X57:AA57)=4,SUM(X57:AA57),"")</f>
        <v>35.5</v>
      </c>
      <c r="AC57" s="11">
        <f>IF(SUMPRODUCT((Inputs!$B$4:$B$250=$B57)*ISNUMBER(INDEX(Inputs!$D$4:$AG$250,0,MATCH(AC$2,Inputs!$D$2:$AG$2,0))))=0,"",SUMIFS(INDEX(Inputs!$D$4:$AG$250,0,MATCH(AC$2,Inputs!$D$2:$AG$2,0)),Inputs!$B$4:$B$250,$B57)/1000)</f>
        <v>11.5</v>
      </c>
      <c r="AD57" s="11">
        <f>IF(SUMPRODUCT((Inputs!$B$4:$B$250=$B57)*ISNUMBER(INDEX(Inputs!$D$4:$AG$250,0,MATCH(AD$2,Inputs!$D$2:$AG$2,0))))=0,"",SUMIFS(INDEX(Inputs!$D$4:$AG$250,0,MATCH(AD$2,Inputs!$D$2:$AG$2,0)),Inputs!$B$4:$B$250,$B57)/1000)</f>
        <v>9.2</v>
      </c>
      <c r="AE57" s="11" t="str">
        <f>IF(SUMPRODUCT((Inputs!$B$4:$B$250=$B57)*ISNUMBER(INDEX(Inputs!$D$4:$AG$250,0,MATCH(AE$2,Inputs!$D$2:$AG$2,0))))=0,"",SUMIFS(INDEX(Inputs!$D$4:$AG$250,0,MATCH(AE$2,Inputs!$D$2:$AG$2,0)),Inputs!$B$4:$B$250,$B57)/1000)</f>
        <v/>
      </c>
      <c r="AF57" s="11" t="str">
        <f>IF(SUMPRODUCT((Inputs!$B$4:$B$250=$B57)*ISNUMBER(INDEX(Inputs!$D$4:$AG$250,0,MATCH(AF$2,Inputs!$D$2:$AG$2,0))))=0,"",SUMIFS(INDEX(Inputs!$D$4:$AG$250,0,MATCH(AF$2,Inputs!$D$2:$AG$2,0)),Inputs!$B$4:$B$250,$B57)/1000)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Volume de residuos recebidos nos ecoparques (mil t; Orizon legado)</t>
        </is>
      </c>
      <c r="D58" s="11">
        <f>IF(SUMPRODUCT((Inputs!$B$4:$B$250=$B58)*ISNUMBER(INDEX(Inputs!$D$4:$AG$250,0,MATCH(D$2,Inputs!$D$2:$AG$2,0))))=0,"",SUMIFS(INDEX(Inputs!$D$4:$AG$250,0,MATCH(D$2,Inputs!$D$2:$AG$2,0)),Inputs!$B$4:$B$250,$B58)/1000)</f>
        <v>1194.034</v>
      </c>
      <c r="E58" s="11">
        <f>IF(SUMPRODUCT((Inputs!$B$4:$B$250=$B58)*ISNUMBER(INDEX(Inputs!$D$4:$AG$250,0,MATCH(E$2,Inputs!$D$2:$AG$2,0))))=0,"",SUMIFS(INDEX(Inputs!$D$4:$AG$250,0,MATCH(E$2,Inputs!$D$2:$AG$2,0)),Inputs!$B$4:$B$250,$B58)/1000)</f>
        <v>1173.4</v>
      </c>
      <c r="F58" s="11">
        <f>IF(SUMPRODUCT((Inputs!$B$4:$B$250=$B58)*ISNUMBER(INDEX(Inputs!$D$4:$AG$250,0,MATCH(F$2,Inputs!$D$2:$AG$2,0))))=0,"",SUMIFS(INDEX(Inputs!$D$4:$AG$250,0,MATCH(F$2,Inputs!$D$2:$AG$2,0)),Inputs!$B$4:$B$250,$B58)/1000)</f>
        <v>1195.2</v>
      </c>
      <c r="G58" s="11">
        <f>IF(SUMPRODUCT((Inputs!$B$4:$B$250=$B58)*ISNUMBER(INDEX(Inputs!$D$4:$AG$250,0,MATCH(G$2,Inputs!$D$2:$AG$2,0))))=0,"",SUMIFS(INDEX(Inputs!$D$4:$AG$250,0,MATCH(G$2,Inputs!$D$2:$AG$2,0)),Inputs!$B$4:$B$250,$B58)/1000)</f>
        <v>1221.7</v>
      </c>
      <c r="H58" s="12">
        <f>IF(COUNT(D58:G58)=4,SUM(D58:G58),"")</f>
        <v>4784.334</v>
      </c>
      <c r="I58" s="11">
        <f>IF(SUMPRODUCT((Inputs!$B$4:$B$250=$B58)*ISNUMBER(INDEX(Inputs!$D$4:$AG$250,0,MATCH(I$2,Inputs!$D$2:$AG$2,0))))=0,"",SUMIFS(INDEX(Inputs!$D$4:$AG$250,0,MATCH(I$2,Inputs!$D$2:$AG$2,0)),Inputs!$B$4:$B$250,$B58)/1000)</f>
        <v>1245</v>
      </c>
      <c r="J58" s="11">
        <f>IF(SUMPRODUCT((Inputs!$B$4:$B$250=$B58)*ISNUMBER(INDEX(Inputs!$D$4:$AG$250,0,MATCH(J$2,Inputs!$D$2:$AG$2,0))))=0,"",SUMIFS(INDEX(Inputs!$D$4:$AG$250,0,MATCH(J$2,Inputs!$D$2:$AG$2,0)),Inputs!$B$4:$B$250,$B58)/1000)</f>
        <v>2064</v>
      </c>
      <c r="K58" s="11">
        <f>IF(SUMPRODUCT((Inputs!$B$4:$B$250=$B58)*ISNUMBER(INDEX(Inputs!$D$4:$AG$250,0,MATCH(K$2,Inputs!$D$2:$AG$2,0))))=0,"",SUMIFS(INDEX(Inputs!$D$4:$AG$250,0,MATCH(K$2,Inputs!$D$2:$AG$2,0)),Inputs!$B$4:$B$250,$B58)/1000)</f>
        <v>2012.136</v>
      </c>
      <c r="L58" s="11">
        <f>IF(SUMPRODUCT((Inputs!$B$4:$B$250=$B58)*ISNUMBER(INDEX(Inputs!$D$4:$AG$250,0,MATCH(L$2,Inputs!$D$2:$AG$2,0))))=0,"",SUMIFS(INDEX(Inputs!$D$4:$AG$250,0,MATCH(L$2,Inputs!$D$2:$AG$2,0)),Inputs!$B$4:$B$250,$B58)/1000)</f>
        <v>2174.6</v>
      </c>
      <c r="M58" s="12">
        <f>IF(COUNT(I58:L58)=4,SUM(I58:L58),"")</f>
        <v>7495.736</v>
      </c>
      <c r="N58" s="11">
        <f>IF(SUMPRODUCT((Inputs!$B$4:$B$250=$B58)*ISNUMBER(INDEX(Inputs!$D$4:$AG$250,0,MATCH(N$2,Inputs!$D$2:$AG$2,0))))=0,"",SUMIFS(INDEX(Inputs!$D$4:$AG$250,0,MATCH(N$2,Inputs!$D$2:$AG$2,0)),Inputs!$B$4:$B$250,$B58)/1000)</f>
        <v>2109.4</v>
      </c>
      <c r="O58" s="11">
        <f>IF(SUMPRODUCT((Inputs!$B$4:$B$250=$B58)*ISNUMBER(INDEX(Inputs!$D$4:$AG$250,0,MATCH(O$2,Inputs!$D$2:$AG$2,0))))=0,"",SUMIFS(INDEX(Inputs!$D$4:$AG$250,0,MATCH(O$2,Inputs!$D$2:$AG$2,0)),Inputs!$B$4:$B$250,$B58)/1000)</f>
        <v>2038.6</v>
      </c>
      <c r="P58" s="11">
        <f>IF(SUMPRODUCT((Inputs!$B$4:$B$250=$B58)*ISNUMBER(INDEX(Inputs!$D$4:$AG$250,0,MATCH(P$2,Inputs!$D$2:$AG$2,0))))=0,"",SUMIFS(INDEX(Inputs!$D$4:$AG$250,0,MATCH(P$2,Inputs!$D$2:$AG$2,0)),Inputs!$B$4:$B$250,$B58)/1000)</f>
        <v>2060.4</v>
      </c>
      <c r="Q58" s="11">
        <f>IF(SUMPRODUCT((Inputs!$B$4:$B$250=$B58)*ISNUMBER(INDEX(Inputs!$D$4:$AG$250,0,MATCH(Q$2,Inputs!$D$2:$AG$2,0))))=0,"",SUMIFS(INDEX(Inputs!$D$4:$AG$250,0,MATCH(Q$2,Inputs!$D$2:$AG$2,0)),Inputs!$B$4:$B$250,$B58)/1000)</f>
        <v>2129.9</v>
      </c>
      <c r="R58" s="12">
        <f>IF(COUNT(N58:Q58)=4,SUM(N58:Q58),"")</f>
        <v>8338.3</v>
      </c>
      <c r="S58" s="11">
        <f>IF(SUMPRODUCT((Inputs!$B$4:$B$250=$B58)*ISNUMBER(INDEX(Inputs!$D$4:$AG$250,0,MATCH(S$2,Inputs!$D$2:$AG$2,0))))=0,"",SUMIFS(INDEX(Inputs!$D$4:$AG$250,0,MATCH(S$2,Inputs!$D$2:$AG$2,0)),Inputs!$B$4:$B$250,$B58)/1000)</f>
        <v>2203.7</v>
      </c>
      <c r="T58" s="11">
        <f>IF(SUMPRODUCT((Inputs!$B$4:$B$250=$B58)*ISNUMBER(INDEX(Inputs!$D$4:$AG$250,0,MATCH(T$2,Inputs!$D$2:$AG$2,0))))=0,"",SUMIFS(INDEX(Inputs!$D$4:$AG$250,0,MATCH(T$2,Inputs!$D$2:$AG$2,0)),Inputs!$B$4:$B$250,$B58)/1000)</f>
        <v>2162.3</v>
      </c>
      <c r="U58" s="11">
        <f>IF(SUMPRODUCT((Inputs!$B$4:$B$250=$B58)*ISNUMBER(INDEX(Inputs!$D$4:$AG$250,0,MATCH(U$2,Inputs!$D$2:$AG$2,0))))=0,"",SUMIFS(INDEX(Inputs!$D$4:$AG$250,0,MATCH(U$2,Inputs!$D$2:$AG$2,0)),Inputs!$B$4:$B$250,$B58)/1000)</f>
        <v>2161.3</v>
      </c>
      <c r="V58" s="11">
        <f>IF(SUMPRODUCT((Inputs!$B$4:$B$250=$B58)*ISNUMBER(INDEX(Inputs!$D$4:$AG$250,0,MATCH(V$2,Inputs!$D$2:$AG$2,0))))=0,"",SUMIFS(INDEX(Inputs!$D$4:$AG$250,0,MATCH(V$2,Inputs!$D$2:$AG$2,0)),Inputs!$B$4:$B$250,$B58)/1000)</f>
        <v>2148.8</v>
      </c>
      <c r="W58" s="12">
        <f>IF(COUNT(S58:V58)=4,SUM(S58:V58),"")</f>
        <v>8676.1</v>
      </c>
      <c r="X58" s="11">
        <f>IF(SUMPRODUCT((Inputs!$B$4:$B$250=$B58)*ISNUMBER(INDEX(Inputs!$D$4:$AG$250,0,MATCH(X$2,Inputs!$D$2:$AG$2,0))))=0,"",SUMIFS(INDEX(Inputs!$D$4:$AG$250,0,MATCH(X$2,Inputs!$D$2:$AG$2,0)),Inputs!$B$4:$B$250,$B58)/1000)</f>
        <v>2175.8</v>
      </c>
      <c r="Y58" s="11">
        <f>IF(SUMPRODUCT((Inputs!$B$4:$B$250=$B58)*ISNUMBER(INDEX(Inputs!$D$4:$AG$250,0,MATCH(Y$2,Inputs!$D$2:$AG$2,0))))=0,"",SUMIFS(INDEX(Inputs!$D$4:$AG$250,0,MATCH(Y$2,Inputs!$D$2:$AG$2,0)),Inputs!$B$4:$B$250,$B58)/1000)</f>
        <v>2213.5</v>
      </c>
      <c r="Z58" s="11">
        <f>IF(SUMPRODUCT((Inputs!$B$4:$B$250=$B58)*ISNUMBER(INDEX(Inputs!$D$4:$AG$250,0,MATCH(Z$2,Inputs!$D$2:$AG$2,0))))=0,"",SUMIFS(INDEX(Inputs!$D$4:$AG$250,0,MATCH(Z$2,Inputs!$D$2:$AG$2,0)),Inputs!$B$4:$B$250,$B58)/1000)</f>
        <v>2226.9</v>
      </c>
      <c r="AA58" s="11">
        <f>IF(SUMPRODUCT((Inputs!$B$4:$B$250=$B58)*ISNUMBER(INDEX(Inputs!$D$4:$AG$250,0,MATCH(AA$2,Inputs!$D$2:$AG$2,0))))=0,"",SUMIFS(INDEX(Inputs!$D$4:$AG$250,0,MATCH(AA$2,Inputs!$D$2:$AG$2,0)),Inputs!$B$4:$B$250,$B58)/1000)</f>
        <v>2249.5</v>
      </c>
      <c r="AB58" s="12">
        <f>IF(COUNT(X58:AA58)=4,SUM(X58:AA58),"")</f>
        <v>8865.7</v>
      </c>
      <c r="AC58" s="11">
        <f>IF(SUMPRODUCT((Inputs!$B$4:$B$250=$B58)*ISNUMBER(INDEX(Inputs!$D$4:$AG$250,0,MATCH(AC$2,Inputs!$D$2:$AG$2,0))))=0,"",SUMIFS(INDEX(Inputs!$D$4:$AG$250,0,MATCH(AC$2,Inputs!$D$2:$AG$2,0)),Inputs!$B$4:$B$250,$B58)/1000)</f>
        <v>2306</v>
      </c>
      <c r="AD58" s="11">
        <f>IF(SUMPRODUCT((Inputs!$B$4:$B$250=$B58)*ISNUMBER(INDEX(Inputs!$D$4:$AG$250,0,MATCH(AD$2,Inputs!$D$2:$AG$2,0))))=0,"",SUMIFS(INDEX(Inputs!$D$4:$AG$250,0,MATCH(AD$2,Inputs!$D$2:$AG$2,0)),Inputs!$B$4:$B$250,$B58)/1000)</f>
        <v>2449.4</v>
      </c>
      <c r="AE58" s="11" t="str">
        <f>IF(SUMPRODUCT((Inputs!$B$4:$B$250=$B58)*ISNUMBER(INDEX(Inputs!$D$4:$AG$250,0,MATCH(AE$2,Inputs!$D$2:$AG$2,0))))=0,"",SUMIFS(INDEX(Inputs!$D$4:$AG$250,0,MATCH(AE$2,Inputs!$D$2:$AG$2,0)),Inputs!$B$4:$B$250,$B58)/1000)</f>
        <v/>
      </c>
      <c r="AF58" s="11" t="str">
        <f>IF(SUMPRODUCT((Inputs!$B$4:$B$250=$B58)*ISNUMBER(INDEX(Inputs!$D$4:$AG$250,0,MATCH(AF$2,Inputs!$D$2:$AG$2,0))))=0,"",SUMIFS(INDEX(Inputs!$D$4:$AG$250,0,MATCH(AF$2,Inputs!$D$2:$AG$2,0)),Inputs!$B$4:$B$250,$B58)/1000)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Volume recebido nas unidades de beneficiamento (mil t)</t>
        </is>
      </c>
      <c r="D59" s="11">
        <f>IF(SUMPRODUCT((Inputs!$B$4:$B$250=$B59)*ISNUMBER(INDEX(Inputs!$D$4:$AG$250,0,MATCH(D$2,Inputs!$D$2:$AG$2,0))))=0,"",SUMIFS(INDEX(Inputs!$D$4:$AG$250,0,MATCH(D$2,Inputs!$D$2:$AG$2,0)),Inputs!$B$4:$B$250,$B59)/1000)</f>
        <v>4.726</v>
      </c>
      <c r="E59" s="11">
        <f>IF(SUMPRODUCT((Inputs!$B$4:$B$250=$B59)*ISNUMBER(INDEX(Inputs!$D$4:$AG$250,0,MATCH(E$2,Inputs!$D$2:$AG$2,0))))=0,"",SUMIFS(INDEX(Inputs!$D$4:$AG$250,0,MATCH(E$2,Inputs!$D$2:$AG$2,0)),Inputs!$B$4:$B$250,$B59)/1000)</f>
        <v>4.1</v>
      </c>
      <c r="F59" s="11">
        <f>IF(SUMPRODUCT((Inputs!$B$4:$B$250=$B59)*ISNUMBER(INDEX(Inputs!$D$4:$AG$250,0,MATCH(F$2,Inputs!$D$2:$AG$2,0))))=0,"",SUMIFS(INDEX(Inputs!$D$4:$AG$250,0,MATCH(F$2,Inputs!$D$2:$AG$2,0)),Inputs!$B$4:$B$250,$B59)/1000)</f>
        <v>4.2</v>
      </c>
      <c r="G59" s="11">
        <f>IF(SUMPRODUCT((Inputs!$B$4:$B$250=$B59)*ISNUMBER(INDEX(Inputs!$D$4:$AG$250,0,MATCH(G$2,Inputs!$D$2:$AG$2,0))))=0,"",SUMIFS(INDEX(Inputs!$D$4:$AG$250,0,MATCH(G$2,Inputs!$D$2:$AG$2,0)),Inputs!$B$4:$B$250,$B59)/1000)</f>
        <v>6.6</v>
      </c>
      <c r="H59" s="12">
        <f>IF(COUNT(D59:G59)=4,SUM(D59:G59),"")</f>
        <v>19.626</v>
      </c>
      <c r="I59" s="11">
        <f>IF(SUMPRODUCT((Inputs!$B$4:$B$250=$B59)*ISNUMBER(INDEX(Inputs!$D$4:$AG$250,0,MATCH(I$2,Inputs!$D$2:$AG$2,0))))=0,"",SUMIFS(INDEX(Inputs!$D$4:$AG$250,0,MATCH(I$2,Inputs!$D$2:$AG$2,0)),Inputs!$B$4:$B$250,$B59)/1000)</f>
        <v>24.2</v>
      </c>
      <c r="J59" s="11">
        <f>IF(SUMPRODUCT((Inputs!$B$4:$B$250=$B59)*ISNUMBER(INDEX(Inputs!$D$4:$AG$250,0,MATCH(J$2,Inputs!$D$2:$AG$2,0))))=0,"",SUMIFS(INDEX(Inputs!$D$4:$AG$250,0,MATCH(J$2,Inputs!$D$2:$AG$2,0)),Inputs!$B$4:$B$250,$B59)/1000)</f>
        <v>24.4</v>
      </c>
      <c r="K59" s="11">
        <f>IF(SUMPRODUCT((Inputs!$B$4:$B$250=$B59)*ISNUMBER(INDEX(Inputs!$D$4:$AG$250,0,MATCH(K$2,Inputs!$D$2:$AG$2,0))))=0,"",SUMIFS(INDEX(Inputs!$D$4:$AG$250,0,MATCH(K$2,Inputs!$D$2:$AG$2,0)),Inputs!$B$4:$B$250,$B59)/1000)</f>
        <v>23.662</v>
      </c>
      <c r="L59" s="11">
        <f>IF(SUMPRODUCT((Inputs!$B$4:$B$250=$B59)*ISNUMBER(INDEX(Inputs!$D$4:$AG$250,0,MATCH(L$2,Inputs!$D$2:$AG$2,0))))=0,"",SUMIFS(INDEX(Inputs!$D$4:$AG$250,0,MATCH(L$2,Inputs!$D$2:$AG$2,0)),Inputs!$B$4:$B$250,$B59)/1000)</f>
        <v>23.9</v>
      </c>
      <c r="M59" s="12">
        <f>IF(COUNT(I59:L59)=4,SUM(I59:L59),"")</f>
        <v>96.162</v>
      </c>
      <c r="N59" s="11">
        <f>IF(SUMPRODUCT((Inputs!$B$4:$B$250=$B59)*ISNUMBER(INDEX(Inputs!$D$4:$AG$250,0,MATCH(N$2,Inputs!$D$2:$AG$2,0))))=0,"",SUMIFS(INDEX(Inputs!$D$4:$AG$250,0,MATCH(N$2,Inputs!$D$2:$AG$2,0)),Inputs!$B$4:$B$250,$B59)/1000)</f>
        <v>27.9</v>
      </c>
      <c r="O59" s="11">
        <f>IF(SUMPRODUCT((Inputs!$B$4:$B$250=$B59)*ISNUMBER(INDEX(Inputs!$D$4:$AG$250,0,MATCH(O$2,Inputs!$D$2:$AG$2,0))))=0,"",SUMIFS(INDEX(Inputs!$D$4:$AG$250,0,MATCH(O$2,Inputs!$D$2:$AG$2,0)),Inputs!$B$4:$B$250,$B59)/1000)</f>
        <v>28.5</v>
      </c>
      <c r="P59" s="11">
        <f>IF(SUMPRODUCT((Inputs!$B$4:$B$250=$B59)*ISNUMBER(INDEX(Inputs!$D$4:$AG$250,0,MATCH(P$2,Inputs!$D$2:$AG$2,0))))=0,"",SUMIFS(INDEX(Inputs!$D$4:$AG$250,0,MATCH(P$2,Inputs!$D$2:$AG$2,0)),Inputs!$B$4:$B$250,$B59)/1000)</f>
        <v>28.6</v>
      </c>
      <c r="Q59" s="11">
        <f>IF(SUMPRODUCT((Inputs!$B$4:$B$250=$B59)*ISNUMBER(INDEX(Inputs!$D$4:$AG$250,0,MATCH(Q$2,Inputs!$D$2:$AG$2,0))))=0,"",SUMIFS(INDEX(Inputs!$D$4:$AG$250,0,MATCH(Q$2,Inputs!$D$2:$AG$2,0)),Inputs!$B$4:$B$250,$B59)/1000)</f>
        <v>27.1</v>
      </c>
      <c r="R59" s="12">
        <f>IF(COUNT(N59:Q59)=4,SUM(N59:Q59),"")</f>
        <v>112.1</v>
      </c>
      <c r="S59" s="11">
        <f>IF(SUMPRODUCT((Inputs!$B$4:$B$250=$B59)*ISNUMBER(INDEX(Inputs!$D$4:$AG$250,0,MATCH(S$2,Inputs!$D$2:$AG$2,0))))=0,"",SUMIFS(INDEX(Inputs!$D$4:$AG$250,0,MATCH(S$2,Inputs!$D$2:$AG$2,0)),Inputs!$B$4:$B$250,$B59)/1000)</f>
        <v>25.7</v>
      </c>
      <c r="T59" s="11">
        <f>IF(SUMPRODUCT((Inputs!$B$4:$B$250=$B59)*ISNUMBER(INDEX(Inputs!$D$4:$AG$250,0,MATCH(T$2,Inputs!$D$2:$AG$2,0))))=0,"",SUMIFS(INDEX(Inputs!$D$4:$AG$250,0,MATCH(T$2,Inputs!$D$2:$AG$2,0)),Inputs!$B$4:$B$250,$B59)/1000)</f>
        <v>31</v>
      </c>
      <c r="U59" s="11">
        <f>IF(SUMPRODUCT((Inputs!$B$4:$B$250=$B59)*ISNUMBER(INDEX(Inputs!$D$4:$AG$250,0,MATCH(U$2,Inputs!$D$2:$AG$2,0))))=0,"",SUMIFS(INDEX(Inputs!$D$4:$AG$250,0,MATCH(U$2,Inputs!$D$2:$AG$2,0)),Inputs!$B$4:$B$250,$B59)/1000)</f>
        <v>36.7</v>
      </c>
      <c r="V59" s="11">
        <f>IF(SUMPRODUCT((Inputs!$B$4:$B$250=$B59)*ISNUMBER(INDEX(Inputs!$D$4:$AG$250,0,MATCH(V$2,Inputs!$D$2:$AG$2,0))))=0,"",SUMIFS(INDEX(Inputs!$D$4:$AG$250,0,MATCH(V$2,Inputs!$D$2:$AG$2,0)),Inputs!$B$4:$B$250,$B59)/1000)</f>
        <v>35.7</v>
      </c>
      <c r="W59" s="12">
        <f>IF(COUNT(S59:V59)=4,SUM(S59:V59),"")</f>
        <v>129.1</v>
      </c>
      <c r="X59" s="11">
        <f>IF(SUMPRODUCT((Inputs!$B$4:$B$250=$B59)*ISNUMBER(INDEX(Inputs!$D$4:$AG$250,0,MATCH(X$2,Inputs!$D$2:$AG$2,0))))=0,"",SUMIFS(INDEX(Inputs!$D$4:$AG$250,0,MATCH(X$2,Inputs!$D$2:$AG$2,0)),Inputs!$B$4:$B$250,$B59)/1000)</f>
        <v>35.4</v>
      </c>
      <c r="Y59" s="11">
        <f>IF(SUMPRODUCT((Inputs!$B$4:$B$250=$B59)*ISNUMBER(INDEX(Inputs!$D$4:$AG$250,0,MATCH(Y$2,Inputs!$D$2:$AG$2,0))))=0,"",SUMIFS(INDEX(Inputs!$D$4:$AG$250,0,MATCH(Y$2,Inputs!$D$2:$AG$2,0)),Inputs!$B$4:$B$250,$B59)/1000)</f>
        <v>33.9</v>
      </c>
      <c r="Z59" s="11">
        <f>IF(SUMPRODUCT((Inputs!$B$4:$B$250=$B59)*ISNUMBER(INDEX(Inputs!$D$4:$AG$250,0,MATCH(Z$2,Inputs!$D$2:$AG$2,0))))=0,"",SUMIFS(INDEX(Inputs!$D$4:$AG$250,0,MATCH(Z$2,Inputs!$D$2:$AG$2,0)),Inputs!$B$4:$B$250,$B59)/1000)</f>
        <v>33.1</v>
      </c>
      <c r="AA59" s="11">
        <f>IF(SUMPRODUCT((Inputs!$B$4:$B$250=$B59)*ISNUMBER(INDEX(Inputs!$D$4:$AG$250,0,MATCH(AA$2,Inputs!$D$2:$AG$2,0))))=0,"",SUMIFS(INDEX(Inputs!$D$4:$AG$250,0,MATCH(AA$2,Inputs!$D$2:$AG$2,0)),Inputs!$B$4:$B$250,$B59)/1000)</f>
        <v>27.7</v>
      </c>
      <c r="AB59" s="12">
        <f>IF(COUNT(X59:AA59)=4,SUM(X59:AA59),"")</f>
        <v>130.1</v>
      </c>
      <c r="AC59" s="11">
        <f>IF(SUMPRODUCT((Inputs!$B$4:$B$250=$B59)*ISNUMBER(INDEX(Inputs!$D$4:$AG$250,0,MATCH(AC$2,Inputs!$D$2:$AG$2,0))))=0,"",SUMIFS(INDEX(Inputs!$D$4:$AG$250,0,MATCH(AC$2,Inputs!$D$2:$AG$2,0)),Inputs!$B$4:$B$250,$B59)/1000)</f>
        <v>29</v>
      </c>
      <c r="AD59" s="11">
        <f>IF(SUMPRODUCT((Inputs!$B$4:$B$250=$B59)*ISNUMBER(INDEX(Inputs!$D$4:$AG$250,0,MATCH(AD$2,Inputs!$D$2:$AG$2,0))))=0,"",SUMIFS(INDEX(Inputs!$D$4:$AG$250,0,MATCH(AD$2,Inputs!$D$2:$AG$2,0)),Inputs!$B$4:$B$250,$B59)/1000)</f>
        <v>34.2</v>
      </c>
      <c r="AE59" s="11" t="str">
        <f>IF(SUMPRODUCT((Inputs!$B$4:$B$250=$B59)*ISNUMBER(INDEX(Inputs!$D$4:$AG$250,0,MATCH(AE$2,Inputs!$D$2:$AG$2,0))))=0,"",SUMIFS(INDEX(Inputs!$D$4:$AG$250,0,MATCH(AE$2,Inputs!$D$2:$AG$2,0)),Inputs!$B$4:$B$250,$B59)/1000)</f>
        <v/>
      </c>
      <c r="AF59" s="11" t="str">
        <f>IF(SUMPRODUCT((Inputs!$B$4:$B$250=$B59)*ISNUMBER(INDEX(Inputs!$D$4:$AG$250,0,MATCH(AF$2,Inputs!$D$2:$AG$2,0))))=0,"",SUMIFS(INDEX(Inputs!$D$4:$AG$250,0,MATCH(AF$2,Inputs!$D$2:$AG$2,0)),Inputs!$B$4:$B$250,$B59)/1000)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Biogas captado - media do trimestre (Nm3/h)</t>
        </is>
      </c>
      <c r="D60" s="11">
        <f>IF(SUMPRODUCT((Inputs!$B$4:$B$250=$B60)*ISNUMBER(INDEX(Inputs!$D$4:$AG$250,0,MATCH(D$2,Inputs!$D$2:$AG$2,0))))=0,"",SUMIFS(INDEX(Inputs!$D$4:$AG$250,0,MATCH(D$2,Inputs!$D$2:$AG$2,0)),Inputs!$B$4:$B$250,$B60)/1000)</f>
        <v>30616</v>
      </c>
      <c r="E60" s="11">
        <f>IF(SUMPRODUCT((Inputs!$B$4:$B$250=$B60)*ISNUMBER(INDEX(Inputs!$D$4:$AG$250,0,MATCH(E$2,Inputs!$D$2:$AG$2,0))))=0,"",SUMIFS(INDEX(Inputs!$D$4:$AG$250,0,MATCH(E$2,Inputs!$D$2:$AG$2,0)),Inputs!$B$4:$B$250,$B60)/1000)</f>
        <v>20900</v>
      </c>
      <c r="F60" s="11">
        <f>IF(SUMPRODUCT((Inputs!$B$4:$B$250=$B60)*ISNUMBER(INDEX(Inputs!$D$4:$AG$250,0,MATCH(F$2,Inputs!$D$2:$AG$2,0))))=0,"",SUMIFS(INDEX(Inputs!$D$4:$AG$250,0,MATCH(F$2,Inputs!$D$2:$AG$2,0)),Inputs!$B$4:$B$250,$B60)/1000)</f>
        <v>19000</v>
      </c>
      <c r="G60" s="11">
        <f>IF(SUMPRODUCT((Inputs!$B$4:$B$250=$B60)*ISNUMBER(INDEX(Inputs!$D$4:$AG$250,0,MATCH(G$2,Inputs!$D$2:$AG$2,0))))=0,"",SUMIFS(INDEX(Inputs!$D$4:$AG$250,0,MATCH(G$2,Inputs!$D$2:$AG$2,0)),Inputs!$B$4:$B$250,$B60)/1000)</f>
        <v>18700</v>
      </c>
      <c r="H60" s="12">
        <f>IF(COUNT(D60:G60)=4,SUM(D60:G60),"")</f>
        <v>89216</v>
      </c>
      <c r="I60" s="11">
        <f>IF(SUMPRODUCT((Inputs!$B$4:$B$250=$B60)*ISNUMBER(INDEX(Inputs!$D$4:$AG$250,0,MATCH(I$2,Inputs!$D$2:$AG$2,0))))=0,"",SUMIFS(INDEX(Inputs!$D$4:$AG$250,0,MATCH(I$2,Inputs!$D$2:$AG$2,0)),Inputs!$B$4:$B$250,$B60)/1000)</f>
        <v>32696</v>
      </c>
      <c r="J60" s="11">
        <f>IF(SUMPRODUCT((Inputs!$B$4:$B$250=$B60)*ISNUMBER(INDEX(Inputs!$D$4:$AG$250,0,MATCH(J$2,Inputs!$D$2:$AG$2,0))))=0,"",SUMIFS(INDEX(Inputs!$D$4:$AG$250,0,MATCH(J$2,Inputs!$D$2:$AG$2,0)),Inputs!$B$4:$B$250,$B60)/1000)</f>
        <v>36000</v>
      </c>
      <c r="K60" s="11">
        <f>IF(SUMPRODUCT((Inputs!$B$4:$B$250=$B60)*ISNUMBER(INDEX(Inputs!$D$4:$AG$250,0,MATCH(K$2,Inputs!$D$2:$AG$2,0))))=0,"",SUMIFS(INDEX(Inputs!$D$4:$AG$250,0,MATCH(K$2,Inputs!$D$2:$AG$2,0)),Inputs!$B$4:$B$250,$B60)/1000)</f>
        <v>43882</v>
      </c>
      <c r="L60" s="11">
        <f>IF(SUMPRODUCT((Inputs!$B$4:$B$250=$B60)*ISNUMBER(INDEX(Inputs!$D$4:$AG$250,0,MATCH(L$2,Inputs!$D$2:$AG$2,0))))=0,"",SUMIFS(INDEX(Inputs!$D$4:$AG$250,0,MATCH(L$2,Inputs!$D$2:$AG$2,0)),Inputs!$B$4:$B$250,$B60)/1000)</f>
        <v>49106</v>
      </c>
      <c r="M60" s="12">
        <f>IF(COUNT(I60:L60)=4,SUM(I60:L60),"")</f>
        <v>161684</v>
      </c>
      <c r="N60" s="11">
        <f>IF(SUMPRODUCT((Inputs!$B$4:$B$250=$B60)*ISNUMBER(INDEX(Inputs!$D$4:$AG$250,0,MATCH(N$2,Inputs!$D$2:$AG$2,0))))=0,"",SUMIFS(INDEX(Inputs!$D$4:$AG$250,0,MATCH(N$2,Inputs!$D$2:$AG$2,0)),Inputs!$B$4:$B$250,$B60)/1000)</f>
        <v>52061</v>
      </c>
      <c r="O60" s="11">
        <f>IF(SUMPRODUCT((Inputs!$B$4:$B$250=$B60)*ISNUMBER(INDEX(Inputs!$D$4:$AG$250,0,MATCH(O$2,Inputs!$D$2:$AG$2,0))))=0,"",SUMIFS(INDEX(Inputs!$D$4:$AG$250,0,MATCH(O$2,Inputs!$D$2:$AG$2,0)),Inputs!$B$4:$B$250,$B60)/1000)</f>
        <v>55224</v>
      </c>
      <c r="P60" s="11">
        <f>IF(SUMPRODUCT((Inputs!$B$4:$B$250=$B60)*ISNUMBER(INDEX(Inputs!$D$4:$AG$250,0,MATCH(P$2,Inputs!$D$2:$AG$2,0))))=0,"",SUMIFS(INDEX(Inputs!$D$4:$AG$250,0,MATCH(P$2,Inputs!$D$2:$AG$2,0)),Inputs!$B$4:$B$250,$B60)/1000)</f>
        <v>53763</v>
      </c>
      <c r="Q60" s="11">
        <f>IF(SUMPRODUCT((Inputs!$B$4:$B$250=$B60)*ISNUMBER(INDEX(Inputs!$D$4:$AG$250,0,MATCH(Q$2,Inputs!$D$2:$AG$2,0))))=0,"",SUMIFS(INDEX(Inputs!$D$4:$AG$250,0,MATCH(Q$2,Inputs!$D$2:$AG$2,0)),Inputs!$B$4:$B$250,$B60)/1000)</f>
        <v>56103</v>
      </c>
      <c r="R60" s="12">
        <f>IF(COUNT(N60:Q60)=4,SUM(N60:Q60),"")</f>
        <v>217151</v>
      </c>
      <c r="S60" s="11">
        <f>IF(SUMPRODUCT((Inputs!$B$4:$B$250=$B60)*ISNUMBER(INDEX(Inputs!$D$4:$AG$250,0,MATCH(S$2,Inputs!$D$2:$AG$2,0))))=0,"",SUMIFS(INDEX(Inputs!$D$4:$AG$250,0,MATCH(S$2,Inputs!$D$2:$AG$2,0)),Inputs!$B$4:$B$250,$B60)/1000)</f>
        <v>60167</v>
      </c>
      <c r="T60" s="11">
        <f>IF(SUMPRODUCT((Inputs!$B$4:$B$250=$B60)*ISNUMBER(INDEX(Inputs!$D$4:$AG$250,0,MATCH(T$2,Inputs!$D$2:$AG$2,0))))=0,"",SUMIFS(INDEX(Inputs!$D$4:$AG$250,0,MATCH(T$2,Inputs!$D$2:$AG$2,0)),Inputs!$B$4:$B$250,$B60)/1000)</f>
        <v>62599</v>
      </c>
      <c r="U60" s="11">
        <f>IF(SUMPRODUCT((Inputs!$B$4:$B$250=$B60)*ISNUMBER(INDEX(Inputs!$D$4:$AG$250,0,MATCH(U$2,Inputs!$D$2:$AG$2,0))))=0,"",SUMIFS(INDEX(Inputs!$D$4:$AG$250,0,MATCH(U$2,Inputs!$D$2:$AG$2,0)),Inputs!$B$4:$B$250,$B60)/1000)</f>
        <v>62271</v>
      </c>
      <c r="V60" s="11">
        <f>IF(SUMPRODUCT((Inputs!$B$4:$B$250=$B60)*ISNUMBER(INDEX(Inputs!$D$4:$AG$250,0,MATCH(V$2,Inputs!$D$2:$AG$2,0))))=0,"",SUMIFS(INDEX(Inputs!$D$4:$AG$250,0,MATCH(V$2,Inputs!$D$2:$AG$2,0)),Inputs!$B$4:$B$250,$B60)/1000)</f>
        <v>62102</v>
      </c>
      <c r="W60" s="12">
        <f>IF(COUNT(S60:V60)=4,SUM(S60:V60),"")</f>
        <v>247139</v>
      </c>
      <c r="X60" s="11">
        <f>IF(SUMPRODUCT((Inputs!$B$4:$B$250=$B60)*ISNUMBER(INDEX(Inputs!$D$4:$AG$250,0,MATCH(X$2,Inputs!$D$2:$AG$2,0))))=0,"",SUMIFS(INDEX(Inputs!$D$4:$AG$250,0,MATCH(X$2,Inputs!$D$2:$AG$2,0)),Inputs!$B$4:$B$250,$B60)/1000)</f>
        <v>60678</v>
      </c>
      <c r="Y60" s="11">
        <f>IF(SUMPRODUCT((Inputs!$B$4:$B$250=$B60)*ISNUMBER(INDEX(Inputs!$D$4:$AG$250,0,MATCH(Y$2,Inputs!$D$2:$AG$2,0))))=0,"",SUMIFS(INDEX(Inputs!$D$4:$AG$250,0,MATCH(Y$2,Inputs!$D$2:$AG$2,0)),Inputs!$B$4:$B$250,$B60)/1000)</f>
        <v>59779.3</v>
      </c>
      <c r="Z60" s="11">
        <f>IF(SUMPRODUCT((Inputs!$B$4:$B$250=$B60)*ISNUMBER(INDEX(Inputs!$D$4:$AG$250,0,MATCH(Z$2,Inputs!$D$2:$AG$2,0))))=0,"",SUMIFS(INDEX(Inputs!$D$4:$AG$250,0,MATCH(Z$2,Inputs!$D$2:$AG$2,0)),Inputs!$B$4:$B$250,$B60)/1000)</f>
        <v>57361</v>
      </c>
      <c r="AA60" s="11">
        <f>IF(SUMPRODUCT((Inputs!$B$4:$B$250=$B60)*ISNUMBER(INDEX(Inputs!$D$4:$AG$250,0,MATCH(AA$2,Inputs!$D$2:$AG$2,0))))=0,"",SUMIFS(INDEX(Inputs!$D$4:$AG$250,0,MATCH(AA$2,Inputs!$D$2:$AG$2,0)),Inputs!$B$4:$B$250,$B60)/1000)</f>
        <v>58971</v>
      </c>
      <c r="AB60" s="12">
        <f>IF(COUNT(X60:AA60)=4,SUM(X60:AA60),"")</f>
        <v>236789.3</v>
      </c>
      <c r="AC60" s="11">
        <f>IF(SUMPRODUCT((Inputs!$B$4:$B$250=$B60)*ISNUMBER(INDEX(Inputs!$D$4:$AG$250,0,MATCH(AC$2,Inputs!$D$2:$AG$2,0))))=0,"",SUMIFS(INDEX(Inputs!$D$4:$AG$250,0,MATCH(AC$2,Inputs!$D$2:$AG$2,0)),Inputs!$B$4:$B$250,$B60)/1000)</f>
        <v>52521</v>
      </c>
      <c r="AD60" s="11">
        <f>IF(SUMPRODUCT((Inputs!$B$4:$B$250=$B60)*ISNUMBER(INDEX(Inputs!$D$4:$AG$250,0,MATCH(AD$2,Inputs!$D$2:$AG$2,0))))=0,"",SUMIFS(INDEX(Inputs!$D$4:$AG$250,0,MATCH(AD$2,Inputs!$D$2:$AG$2,0)),Inputs!$B$4:$B$250,$B60)/1000)</f>
        <v>55200</v>
      </c>
      <c r="AE60" s="11" t="str">
        <f>IF(SUMPRODUCT((Inputs!$B$4:$B$250=$B60)*ISNUMBER(INDEX(Inputs!$D$4:$AG$250,0,MATCH(AE$2,Inputs!$D$2:$AG$2,0))))=0,"",SUMIFS(INDEX(Inputs!$D$4:$AG$250,0,MATCH(AE$2,Inputs!$D$2:$AG$2,0)),Inputs!$B$4:$B$250,$B60)/1000)</f>
        <v/>
      </c>
      <c r="AF60" s="11" t="str">
        <f>IF(SUMPRODUCT((Inputs!$B$4:$B$250=$B60)*ISNUMBER(INDEX(Inputs!$D$4:$AG$250,0,MATCH(AF$2,Inputs!$D$2:$AG$2,0))))=0,"",SUMIFS(INDEX(Inputs!$D$4:$AG$250,0,MATCH(AF$2,Inputs!$D$2:$AG$2,0)),Inputs!$B$4:$B$250,$B60)/1000)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Energia eletrica gerada (MWh no trimestre)</t>
        </is>
      </c>
      <c r="D61" s="11">
        <f>IF(SUMPRODUCT((Inputs!$B$4:$B$250=$B61)*ISNUMBER(INDEX(Inputs!$D$4:$AG$250,0,MATCH(D$2,Inputs!$D$2:$AG$2,0))))=0,"",SUMIFS(INDEX(Inputs!$D$4:$AG$250,0,MATCH(D$2,Inputs!$D$2:$AG$2,0)),Inputs!$B$4:$B$250,$B61)/1000)</f>
        <v>36479</v>
      </c>
      <c r="E61" s="11">
        <f>IF(SUMPRODUCT((Inputs!$B$4:$B$250=$B61)*ISNUMBER(INDEX(Inputs!$D$4:$AG$250,0,MATCH(E$2,Inputs!$D$2:$AG$2,0))))=0,"",SUMIFS(INDEX(Inputs!$D$4:$AG$250,0,MATCH(E$2,Inputs!$D$2:$AG$2,0)),Inputs!$B$4:$B$250,$B61)/1000)</f>
        <v>37000</v>
      </c>
      <c r="F61" s="11">
        <f>IF(SUMPRODUCT((Inputs!$B$4:$B$250=$B61)*ISNUMBER(INDEX(Inputs!$D$4:$AG$250,0,MATCH(F$2,Inputs!$D$2:$AG$2,0))))=0,"",SUMIFS(INDEX(Inputs!$D$4:$AG$250,0,MATCH(F$2,Inputs!$D$2:$AG$2,0)),Inputs!$B$4:$B$250,$B61)/1000)</f>
        <v>47500</v>
      </c>
      <c r="G61" s="11">
        <f>IF(SUMPRODUCT((Inputs!$B$4:$B$250=$B61)*ISNUMBER(INDEX(Inputs!$D$4:$AG$250,0,MATCH(G$2,Inputs!$D$2:$AG$2,0))))=0,"",SUMIFS(INDEX(Inputs!$D$4:$AG$250,0,MATCH(G$2,Inputs!$D$2:$AG$2,0)),Inputs!$B$4:$B$250,$B61)/1000)</f>
        <v>54100</v>
      </c>
      <c r="H61" s="12">
        <f>IF(COUNT(D61:G61)=4,SUM(D61:G61),"")</f>
        <v>175079</v>
      </c>
      <c r="I61" s="11">
        <f>IF(SUMPRODUCT((Inputs!$B$4:$B$250=$B61)*ISNUMBER(INDEX(Inputs!$D$4:$AG$250,0,MATCH(I$2,Inputs!$D$2:$AG$2,0))))=0,"",SUMIFS(INDEX(Inputs!$D$4:$AG$250,0,MATCH(I$2,Inputs!$D$2:$AG$2,0)),Inputs!$B$4:$B$250,$B61)/1000)</f>
        <v>41334</v>
      </c>
      <c r="J61" s="11">
        <f>IF(SUMPRODUCT((Inputs!$B$4:$B$250=$B61)*ISNUMBER(INDEX(Inputs!$D$4:$AG$250,0,MATCH(J$2,Inputs!$D$2:$AG$2,0))))=0,"",SUMIFS(INDEX(Inputs!$D$4:$AG$250,0,MATCH(J$2,Inputs!$D$2:$AG$2,0)),Inputs!$B$4:$B$250,$B61)/1000)</f>
        <v>57000</v>
      </c>
      <c r="K61" s="11">
        <f>IF(SUMPRODUCT((Inputs!$B$4:$B$250=$B61)*ISNUMBER(INDEX(Inputs!$D$4:$AG$250,0,MATCH(K$2,Inputs!$D$2:$AG$2,0))))=0,"",SUMIFS(INDEX(Inputs!$D$4:$AG$250,0,MATCH(K$2,Inputs!$D$2:$AG$2,0)),Inputs!$B$4:$B$250,$B61)/1000)</f>
        <v>91063</v>
      </c>
      <c r="L61" s="11">
        <f>IF(SUMPRODUCT((Inputs!$B$4:$B$250=$B61)*ISNUMBER(INDEX(Inputs!$D$4:$AG$250,0,MATCH(L$2,Inputs!$D$2:$AG$2,0))))=0,"",SUMIFS(INDEX(Inputs!$D$4:$AG$250,0,MATCH(L$2,Inputs!$D$2:$AG$2,0)),Inputs!$B$4:$B$250,$B61)/1000)</f>
        <v>100343</v>
      </c>
      <c r="M61" s="12">
        <f>IF(COUNT(I61:L61)=4,SUM(I61:L61),"")</f>
        <v>289740</v>
      </c>
      <c r="N61" s="11">
        <f>IF(SUMPRODUCT((Inputs!$B$4:$B$250=$B61)*ISNUMBER(INDEX(Inputs!$D$4:$AG$250,0,MATCH(N$2,Inputs!$D$2:$AG$2,0))))=0,"",SUMIFS(INDEX(Inputs!$D$4:$AG$250,0,MATCH(N$2,Inputs!$D$2:$AG$2,0)),Inputs!$B$4:$B$250,$B61)/1000)</f>
        <v>94524</v>
      </c>
      <c r="O61" s="11">
        <f>IF(SUMPRODUCT((Inputs!$B$4:$B$250=$B61)*ISNUMBER(INDEX(Inputs!$D$4:$AG$250,0,MATCH(O$2,Inputs!$D$2:$AG$2,0))))=0,"",SUMIFS(INDEX(Inputs!$D$4:$AG$250,0,MATCH(O$2,Inputs!$D$2:$AG$2,0)),Inputs!$B$4:$B$250,$B61)/1000)</f>
        <v>100744</v>
      </c>
      <c r="P61" s="11">
        <f>IF(SUMPRODUCT((Inputs!$B$4:$B$250=$B61)*ISNUMBER(INDEX(Inputs!$D$4:$AG$250,0,MATCH(P$2,Inputs!$D$2:$AG$2,0))))=0,"",SUMIFS(INDEX(Inputs!$D$4:$AG$250,0,MATCH(P$2,Inputs!$D$2:$AG$2,0)),Inputs!$B$4:$B$250,$B61)/1000)</f>
        <v>99428</v>
      </c>
      <c r="Q61" s="11">
        <f>IF(SUMPRODUCT((Inputs!$B$4:$B$250=$B61)*ISNUMBER(INDEX(Inputs!$D$4:$AG$250,0,MATCH(Q$2,Inputs!$D$2:$AG$2,0))))=0,"",SUMIFS(INDEX(Inputs!$D$4:$AG$250,0,MATCH(Q$2,Inputs!$D$2:$AG$2,0)),Inputs!$B$4:$B$250,$B61)/1000)</f>
        <v>103742</v>
      </c>
      <c r="R61" s="12">
        <f>IF(COUNT(N61:Q61)=4,SUM(N61:Q61),"")</f>
        <v>398438</v>
      </c>
      <c r="S61" s="11">
        <f>IF(SUMPRODUCT((Inputs!$B$4:$B$250=$B61)*ISNUMBER(INDEX(Inputs!$D$4:$AG$250,0,MATCH(S$2,Inputs!$D$2:$AG$2,0))))=0,"",SUMIFS(INDEX(Inputs!$D$4:$AG$250,0,MATCH(S$2,Inputs!$D$2:$AG$2,0)),Inputs!$B$4:$B$250,$B61)/1000)</f>
        <v>109152</v>
      </c>
      <c r="T61" s="11">
        <f>IF(SUMPRODUCT((Inputs!$B$4:$B$250=$B61)*ISNUMBER(INDEX(Inputs!$D$4:$AG$250,0,MATCH(T$2,Inputs!$D$2:$AG$2,0))))=0,"",SUMIFS(INDEX(Inputs!$D$4:$AG$250,0,MATCH(T$2,Inputs!$D$2:$AG$2,0)),Inputs!$B$4:$B$250,$B61)/1000)</f>
        <v>96313</v>
      </c>
      <c r="U61" s="11">
        <f>IF(SUMPRODUCT((Inputs!$B$4:$B$250=$B61)*ISNUMBER(INDEX(Inputs!$D$4:$AG$250,0,MATCH(U$2,Inputs!$D$2:$AG$2,0))))=0,"",SUMIFS(INDEX(Inputs!$D$4:$AG$250,0,MATCH(U$2,Inputs!$D$2:$AG$2,0)),Inputs!$B$4:$B$250,$B61)/1000)</f>
        <v>94214</v>
      </c>
      <c r="V61" s="11">
        <f>IF(SUMPRODUCT((Inputs!$B$4:$B$250=$B61)*ISNUMBER(INDEX(Inputs!$D$4:$AG$250,0,MATCH(V$2,Inputs!$D$2:$AG$2,0))))=0,"",SUMIFS(INDEX(Inputs!$D$4:$AG$250,0,MATCH(V$2,Inputs!$D$2:$AG$2,0)),Inputs!$B$4:$B$250,$B61)/1000)</f>
        <v>96129</v>
      </c>
      <c r="W61" s="12">
        <f>IF(COUNT(S61:V61)=4,SUM(S61:V61),"")</f>
        <v>395808</v>
      </c>
      <c r="X61" s="11">
        <f>IF(SUMPRODUCT((Inputs!$B$4:$B$250=$B61)*ISNUMBER(INDEX(Inputs!$D$4:$AG$250,0,MATCH(X$2,Inputs!$D$2:$AG$2,0))))=0,"",SUMIFS(INDEX(Inputs!$D$4:$AG$250,0,MATCH(X$2,Inputs!$D$2:$AG$2,0)),Inputs!$B$4:$B$250,$B61)/1000)</f>
        <v>83591</v>
      </c>
      <c r="Y61" s="11">
        <f>IF(SUMPRODUCT((Inputs!$B$4:$B$250=$B61)*ISNUMBER(INDEX(Inputs!$D$4:$AG$250,0,MATCH(Y$2,Inputs!$D$2:$AG$2,0))))=0,"",SUMIFS(INDEX(Inputs!$D$4:$AG$250,0,MATCH(Y$2,Inputs!$D$2:$AG$2,0)),Inputs!$B$4:$B$250,$B61)/1000)</f>
        <v>79398</v>
      </c>
      <c r="Z61" s="11">
        <f>IF(SUMPRODUCT((Inputs!$B$4:$B$250=$B61)*ISNUMBER(INDEX(Inputs!$D$4:$AG$250,0,MATCH(Z$2,Inputs!$D$2:$AG$2,0))))=0,"",SUMIFS(INDEX(Inputs!$D$4:$AG$250,0,MATCH(Z$2,Inputs!$D$2:$AG$2,0)),Inputs!$B$4:$B$250,$B61)/1000)</f>
        <v>79269</v>
      </c>
      <c r="AA61" s="11">
        <f>IF(SUMPRODUCT((Inputs!$B$4:$B$250=$B61)*ISNUMBER(INDEX(Inputs!$D$4:$AG$250,0,MATCH(AA$2,Inputs!$D$2:$AG$2,0))))=0,"",SUMIFS(INDEX(Inputs!$D$4:$AG$250,0,MATCH(AA$2,Inputs!$D$2:$AG$2,0)),Inputs!$B$4:$B$250,$B61)/1000)</f>
        <v>64259</v>
      </c>
      <c r="AB61" s="12">
        <f>IF(COUNT(X61:AA61)=4,SUM(X61:AA61),"")</f>
        <v>306517</v>
      </c>
      <c r="AC61" s="11">
        <f>IF(SUMPRODUCT((Inputs!$B$4:$B$250=$B61)*ISNUMBER(INDEX(Inputs!$D$4:$AG$250,0,MATCH(AC$2,Inputs!$D$2:$AG$2,0))))=0,"",SUMIFS(INDEX(Inputs!$D$4:$AG$250,0,MATCH(AC$2,Inputs!$D$2:$AG$2,0)),Inputs!$B$4:$B$250,$B61)/1000)</f>
        <v>23608</v>
      </c>
      <c r="AD61" s="11">
        <f>IF(SUMPRODUCT((Inputs!$B$4:$B$250=$B61)*ISNUMBER(INDEX(Inputs!$D$4:$AG$250,0,MATCH(AD$2,Inputs!$D$2:$AG$2,0))))=0,"",SUMIFS(INDEX(Inputs!$D$4:$AG$250,0,MATCH(AD$2,Inputs!$D$2:$AG$2,0)),Inputs!$B$4:$B$250,$B61)/1000)</f>
        <v>21465</v>
      </c>
      <c r="AE61" s="11" t="str">
        <f>IF(SUMPRODUCT((Inputs!$B$4:$B$250=$B61)*ISNUMBER(INDEX(Inputs!$D$4:$AG$250,0,MATCH(AE$2,Inputs!$D$2:$AG$2,0))))=0,"",SUMIFS(INDEX(Inputs!$D$4:$AG$250,0,MATCH(AE$2,Inputs!$D$2:$AG$2,0)),Inputs!$B$4:$B$250,$B61)/1000)</f>
        <v/>
      </c>
      <c r="AF61" s="11" t="str">
        <f>IF(SUMPRODUCT((Inputs!$B$4:$B$250=$B61)*ISNUMBER(INDEX(Inputs!$D$4:$AG$250,0,MATCH(AF$2,Inputs!$D$2:$AG$2,0))))=0,"",SUMIFS(INDEX(Inputs!$D$4:$AG$250,0,MATCH(AF$2,Inputs!$D$2:$AG$2,0)),Inputs!$B$4:$B$250,$B61)/1000)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Creditos de carbono gerados (tCO2e no trimestre)</t>
        </is>
      </c>
      <c r="D62" s="11">
        <f>IF(SUMPRODUCT((Inputs!$B$4:$B$250=$B62)*ISNUMBER(INDEX(Inputs!$D$4:$AG$250,0,MATCH(D$2,Inputs!$D$2:$AG$2,0))))=0,"",SUMIFS(INDEX(Inputs!$D$4:$AG$250,0,MATCH(D$2,Inputs!$D$2:$AG$2,0)),Inputs!$B$4:$B$250,$B62)/1000)</f>
        <v>407316</v>
      </c>
      <c r="E62" s="11">
        <f>IF(SUMPRODUCT((Inputs!$B$4:$B$250=$B62)*ISNUMBER(INDEX(Inputs!$D$4:$AG$250,0,MATCH(E$2,Inputs!$D$2:$AG$2,0))))=0,"",SUMIFS(INDEX(Inputs!$D$4:$AG$250,0,MATCH(E$2,Inputs!$D$2:$AG$2,0)),Inputs!$B$4:$B$250,$B62)/1000)</f>
        <v>379700</v>
      </c>
      <c r="F62" s="11">
        <f>IF(SUMPRODUCT((Inputs!$B$4:$B$250=$B62)*ISNUMBER(INDEX(Inputs!$D$4:$AG$250,0,MATCH(F$2,Inputs!$D$2:$AG$2,0))))=0,"",SUMIFS(INDEX(Inputs!$D$4:$AG$250,0,MATCH(F$2,Inputs!$D$2:$AG$2,0)),Inputs!$B$4:$B$250,$B62)/1000)</f>
        <v>367300</v>
      </c>
      <c r="G62" s="11">
        <f>IF(SUMPRODUCT((Inputs!$B$4:$B$250=$B62)*ISNUMBER(INDEX(Inputs!$D$4:$AG$250,0,MATCH(G$2,Inputs!$D$2:$AG$2,0))))=0,"",SUMIFS(INDEX(Inputs!$D$4:$AG$250,0,MATCH(G$2,Inputs!$D$2:$AG$2,0)),Inputs!$B$4:$B$250,$B62)/1000)</f>
        <v>455700</v>
      </c>
      <c r="H62" s="12">
        <f>IF(COUNT(D62:G62)=4,SUM(D62:G62),"")</f>
        <v>1610016</v>
      </c>
      <c r="I62" s="11">
        <f>IF(SUMPRODUCT((Inputs!$B$4:$B$250=$B62)*ISNUMBER(INDEX(Inputs!$D$4:$AG$250,0,MATCH(I$2,Inputs!$D$2:$AG$2,0))))=0,"",SUMIFS(INDEX(Inputs!$D$4:$AG$250,0,MATCH(I$2,Inputs!$D$2:$AG$2,0)),Inputs!$B$4:$B$250,$B62)/1000)</f>
        <v>483524</v>
      </c>
      <c r="J62" s="11">
        <f>IF(SUMPRODUCT((Inputs!$B$4:$B$250=$B62)*ISNUMBER(INDEX(Inputs!$D$4:$AG$250,0,MATCH(J$2,Inputs!$D$2:$AG$2,0))))=0,"",SUMIFS(INDEX(Inputs!$D$4:$AG$250,0,MATCH(J$2,Inputs!$D$2:$AG$2,0)),Inputs!$B$4:$B$250,$B62)/1000)</f>
        <v>473000</v>
      </c>
      <c r="K62" s="11">
        <f>IF(SUMPRODUCT((Inputs!$B$4:$B$250=$B62)*ISNUMBER(INDEX(Inputs!$D$4:$AG$250,0,MATCH(K$2,Inputs!$D$2:$AG$2,0))))=0,"",SUMIFS(INDEX(Inputs!$D$4:$AG$250,0,MATCH(K$2,Inputs!$D$2:$AG$2,0)),Inputs!$B$4:$B$250,$B62)/1000)</f>
        <v>437472</v>
      </c>
      <c r="L62" s="11">
        <f>IF(SUMPRODUCT((Inputs!$B$4:$B$250=$B62)*ISNUMBER(INDEX(Inputs!$D$4:$AG$250,0,MATCH(L$2,Inputs!$D$2:$AG$2,0))))=0,"",SUMIFS(INDEX(Inputs!$D$4:$AG$250,0,MATCH(L$2,Inputs!$D$2:$AG$2,0)),Inputs!$B$4:$B$250,$B62)/1000)</f>
        <v>654701</v>
      </c>
      <c r="M62" s="12">
        <f>IF(COUNT(I62:L62)=4,SUM(I62:L62),"")</f>
        <v>2048697</v>
      </c>
      <c r="N62" s="11">
        <f>IF(SUMPRODUCT((Inputs!$B$4:$B$250=$B62)*ISNUMBER(INDEX(Inputs!$D$4:$AG$250,0,MATCH(N$2,Inputs!$D$2:$AG$2,0))))=0,"",SUMIFS(INDEX(Inputs!$D$4:$AG$250,0,MATCH(N$2,Inputs!$D$2:$AG$2,0)),Inputs!$B$4:$B$250,$B62)/1000)</f>
        <v>743652</v>
      </c>
      <c r="O62" s="11">
        <f>IF(SUMPRODUCT((Inputs!$B$4:$B$250=$B62)*ISNUMBER(INDEX(Inputs!$D$4:$AG$250,0,MATCH(O$2,Inputs!$D$2:$AG$2,0))))=0,"",SUMIFS(INDEX(Inputs!$D$4:$AG$250,0,MATCH(O$2,Inputs!$D$2:$AG$2,0)),Inputs!$B$4:$B$250,$B62)/1000)</f>
        <v>702923</v>
      </c>
      <c r="P62" s="11">
        <f>IF(SUMPRODUCT((Inputs!$B$4:$B$250=$B62)*ISNUMBER(INDEX(Inputs!$D$4:$AG$250,0,MATCH(P$2,Inputs!$D$2:$AG$2,0))))=0,"",SUMIFS(INDEX(Inputs!$D$4:$AG$250,0,MATCH(P$2,Inputs!$D$2:$AG$2,0)),Inputs!$B$4:$B$250,$B62)/1000)</f>
        <v>752302</v>
      </c>
      <c r="Q62" s="11">
        <f>IF(SUMPRODUCT((Inputs!$B$4:$B$250=$B62)*ISNUMBER(INDEX(Inputs!$D$4:$AG$250,0,MATCH(Q$2,Inputs!$D$2:$AG$2,0))))=0,"",SUMIFS(INDEX(Inputs!$D$4:$AG$250,0,MATCH(Q$2,Inputs!$D$2:$AG$2,0)),Inputs!$B$4:$B$250,$B62)/1000)</f>
        <v>793097</v>
      </c>
      <c r="R62" s="12">
        <f>IF(COUNT(N62:Q62)=4,SUM(N62:Q62),"")</f>
        <v>2991974</v>
      </c>
      <c r="S62" s="11">
        <f>IF(SUMPRODUCT((Inputs!$B$4:$B$250=$B62)*ISNUMBER(INDEX(Inputs!$D$4:$AG$250,0,MATCH(S$2,Inputs!$D$2:$AG$2,0))))=0,"",SUMIFS(INDEX(Inputs!$D$4:$AG$250,0,MATCH(S$2,Inputs!$D$2:$AG$2,0)),Inputs!$B$4:$B$250,$B62)/1000)</f>
        <v>843664</v>
      </c>
      <c r="T62" s="11">
        <f>IF(SUMPRODUCT((Inputs!$B$4:$B$250=$B62)*ISNUMBER(INDEX(Inputs!$D$4:$AG$250,0,MATCH(T$2,Inputs!$D$2:$AG$2,0))))=0,"",SUMIFS(INDEX(Inputs!$D$4:$AG$250,0,MATCH(T$2,Inputs!$D$2:$AG$2,0)),Inputs!$B$4:$B$250,$B62)/1000)</f>
        <v>873852</v>
      </c>
      <c r="U62" s="11">
        <f>IF(SUMPRODUCT((Inputs!$B$4:$B$250=$B62)*ISNUMBER(INDEX(Inputs!$D$4:$AG$250,0,MATCH(U$2,Inputs!$D$2:$AG$2,0))))=0,"",SUMIFS(INDEX(Inputs!$D$4:$AG$250,0,MATCH(U$2,Inputs!$D$2:$AG$2,0)),Inputs!$B$4:$B$250,$B62)/1000)</f>
        <v>872269</v>
      </c>
      <c r="V62" s="11">
        <f>IF(SUMPRODUCT((Inputs!$B$4:$B$250=$B62)*ISNUMBER(INDEX(Inputs!$D$4:$AG$250,0,MATCH(V$2,Inputs!$D$2:$AG$2,0))))=0,"",SUMIFS(INDEX(Inputs!$D$4:$AG$250,0,MATCH(V$2,Inputs!$D$2:$AG$2,0)),Inputs!$B$4:$B$250,$B62)/1000)</f>
        <v>871843</v>
      </c>
      <c r="W62" s="12">
        <f>IF(COUNT(S62:V62)=4,SUM(S62:V62),"")</f>
        <v>3461628</v>
      </c>
      <c r="X62" s="11">
        <f>IF(SUMPRODUCT((Inputs!$B$4:$B$250=$B62)*ISNUMBER(INDEX(Inputs!$D$4:$AG$250,0,MATCH(X$2,Inputs!$D$2:$AG$2,0))))=0,"",SUMIFS(INDEX(Inputs!$D$4:$AG$250,0,MATCH(X$2,Inputs!$D$2:$AG$2,0)),Inputs!$B$4:$B$250,$B62)/1000)</f>
        <v>888674</v>
      </c>
      <c r="Y62" s="11">
        <f>IF(SUMPRODUCT((Inputs!$B$4:$B$250=$B62)*ISNUMBER(INDEX(Inputs!$D$4:$AG$250,0,MATCH(Y$2,Inputs!$D$2:$AG$2,0))))=0,"",SUMIFS(INDEX(Inputs!$D$4:$AG$250,0,MATCH(Y$2,Inputs!$D$2:$AG$2,0)),Inputs!$B$4:$B$250,$B62)/1000)</f>
        <v>864369</v>
      </c>
      <c r="Z62" s="11">
        <f>IF(SUMPRODUCT((Inputs!$B$4:$B$250=$B62)*ISNUMBER(INDEX(Inputs!$D$4:$AG$250,0,MATCH(Z$2,Inputs!$D$2:$AG$2,0))))=0,"",SUMIFS(INDEX(Inputs!$D$4:$AG$250,0,MATCH(Z$2,Inputs!$D$2:$AG$2,0)),Inputs!$B$4:$B$250,$B62)/1000)</f>
        <v>819192</v>
      </c>
      <c r="AA62" s="11">
        <f>IF(SUMPRODUCT((Inputs!$B$4:$B$250=$B62)*ISNUMBER(INDEX(Inputs!$D$4:$AG$250,0,MATCH(AA$2,Inputs!$D$2:$AG$2,0))))=0,"",SUMIFS(INDEX(Inputs!$D$4:$AG$250,0,MATCH(AA$2,Inputs!$D$2:$AG$2,0)),Inputs!$B$4:$B$250,$B62)/1000)</f>
        <v>670490</v>
      </c>
      <c r="AB62" s="12">
        <f>IF(COUNT(X62:AA62)=4,SUM(X62:AA62),"")</f>
        <v>3242725</v>
      </c>
      <c r="AC62" s="11">
        <f>IF(SUMPRODUCT((Inputs!$B$4:$B$250=$B62)*ISNUMBER(INDEX(Inputs!$D$4:$AG$250,0,MATCH(AC$2,Inputs!$D$2:$AG$2,0))))=0,"",SUMIFS(INDEX(Inputs!$D$4:$AG$250,0,MATCH(AC$2,Inputs!$D$2:$AG$2,0)),Inputs!$B$4:$B$250,$B62)/1000)</f>
        <v>554709</v>
      </c>
      <c r="AD62" s="11">
        <f>IF(SUMPRODUCT((Inputs!$B$4:$B$250=$B62)*ISNUMBER(INDEX(Inputs!$D$4:$AG$250,0,MATCH(AD$2,Inputs!$D$2:$AG$2,0))))=0,"",SUMIFS(INDEX(Inputs!$D$4:$AG$250,0,MATCH(AD$2,Inputs!$D$2:$AG$2,0)),Inputs!$B$4:$B$250,$B62)/1000)</f>
        <v>644500</v>
      </c>
      <c r="AE62" s="11" t="str">
        <f>IF(SUMPRODUCT((Inputs!$B$4:$B$250=$B62)*ISNUMBER(INDEX(Inputs!$D$4:$AG$250,0,MATCH(AE$2,Inputs!$D$2:$AG$2,0))))=0,"",SUMIFS(INDEX(Inputs!$D$4:$AG$250,0,MATCH(AE$2,Inputs!$D$2:$AG$2,0)),Inputs!$B$4:$B$250,$B62)/1000)</f>
        <v/>
      </c>
      <c r="AF62" s="11" t="str">
        <f>IF(SUMPRODUCT((Inputs!$B$4:$B$250=$B62)*ISNUMBER(INDEX(Inputs!$D$4:$AG$250,0,MATCH(AF$2,Inputs!$D$2:$AG$2,0))))=0,"",SUMIFS(INDEX(Inputs!$D$4:$AG$250,0,MATCH(AF$2,Inputs!$D$2:$AG$2,0)),Inputs!$B$4:$B$250,$B62)/1000)</f>
        <v/>
      </c>
      <c r="AG62" s="12" t="str">
        <f>IF(COUNT(AC62:AF62)=4,SUM(AC62:AF62),"")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2.57571741713036e-14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2.75335310107039e-14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535.838389231083</v>
      </c>
      <c r="AK1" s="12">
        <f>IF(AK2="","",SUM(AK2,AK3))</f>
        <v>503.920686067527</v>
      </c>
      <c r="AL1" s="12">
        <f>IF(AL2="","",SUM(AL2,AL3))</f>
        <v>1032.12207529861</v>
      </c>
      <c r="AM1" s="12">
        <f>IF(AM2="","",SUM(AM2,AM3))</f>
        <v>631.215906611173</v>
      </c>
      <c r="AN1" s="12">
        <f>IF(AN2="","",SUM(AN2,AN3))</f>
        <v>1187.47354205704</v>
      </c>
      <c r="AO1" s="12">
        <f>IF(AO2="","",SUM(AO2,AO3))</f>
        <v>749.178966726776</v>
      </c>
      <c r="AP1" s="12">
        <f>IF(AP2="","",SUM(AP2,AP3))</f>
        <v>704.553437169853</v>
      </c>
      <c r="AQ1" s="12">
        <f>IF(AQ2="","",SUM(AQ2,AQ3))</f>
        <v>3272.42185256484</v>
      </c>
      <c r="AR1" s="12">
        <f>IF(AR2="","",SUM(AR2,AR3))</f>
        <v>879.374344192381</v>
      </c>
      <c r="AS1" s="12">
        <f>IF(AS2="","",SUM(AS2,AS3))</f>
        <v>1654.32105933201</v>
      </c>
      <c r="AT1" s="12">
        <f>IF(AT2="","",SUM(AT2,AT3))</f>
        <v>1043.71381590342</v>
      </c>
      <c r="AU1" s="12">
        <f>IF(AU2="","",SUM(AU2,AU3))</f>
        <v>981.544048986362</v>
      </c>
      <c r="AV1" s="12">
        <f>IF(AV2="","",SUM(AV2,AV3))</f>
        <v>4558.95326841418</v>
      </c>
      <c r="AW1" s="12">
        <f>IF(AW2="","",SUM(AW2,AW3))</f>
        <v>1220.69778943137</v>
      </c>
      <c r="AX1" s="12">
        <f>IF(AX2="","",SUM(AX2,AX3))</f>
        <v>2296.43504324771</v>
      </c>
      <c r="AY1" s="12">
        <f>IF(AY2="","",SUM(AY2,AY3))</f>
        <v>1448.824560651</v>
      </c>
      <c r="AZ1" s="12">
        <f>IF(AZ2="","",SUM(AZ2,AZ3))</f>
        <v>1362.52400213879</v>
      </c>
      <c r="BA1" s="12">
        <f>IF(BA2="","",SUM(BA2,BA3))</f>
        <v>6328.48139546888</v>
      </c>
      <c r="BB1" s="12">
        <f>IF(BB2="","",SUM(BB2,BB3))</f>
        <v>1688.40022606759</v>
      </c>
      <c r="BC1" s="12">
        <f>IF(BC2="","",SUM(BC2,BC3))</f>
        <v>3176.29922798099</v>
      </c>
      <c r="BD1" s="12">
        <f>IF(BD2="","",SUM(BD2,BD3))</f>
        <v>2003.93228931373</v>
      </c>
      <c r="BE1" s="12">
        <f>IF(BE2="","",SUM(BE2,BE3))</f>
        <v>1884.56623183143</v>
      </c>
      <c r="BF1" s="12">
        <f>IF(BF2="","",SUM(BF2,BF3))</f>
        <v>8753.19797519374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IF(COUNT(I197,I273)&lt;2,"",ABS(I197-I273))</f>
        <v>0</v>
      </c>
      <c r="J2" s="12">
        <f>IF(COUNT(J197,J273)&lt;2,"",ABS(J197-J273))</f>
        <v>0</v>
      </c>
      <c r="K2" s="12">
        <f>IF(COUNT(K197,K273)&lt;2,"",ABS(K197-K273))</f>
        <v>0</v>
      </c>
      <c r="L2" s="12">
        <f>IF(COUNT(L197,L273)&lt;2,"",ABS(L197-L273))</f>
        <v>0</v>
      </c>
      <c r="M2" s="12">
        <f>IF(COUNT(M197,M273)&lt;2,"",ABS(M197-M273))</f>
        <v>0</v>
      </c>
      <c r="N2" s="12">
        <f>IF(COUNT(N197,N273)&lt;2,"",ABS(N197-N273))</f>
        <v>0</v>
      </c>
      <c r="O2" s="12">
        <f>IF(COUNT(O197,O273)&lt;2,"",ABS(O197-O273))</f>
        <v>0</v>
      </c>
      <c r="P2" s="12">
        <f>IF(COUNT(P197,P273)&lt;2,"",ABS(P197-P273))</f>
        <v>0</v>
      </c>
      <c r="Q2" s="12">
        <f>IF(COUNT(Q197,Q273)&lt;2,"",ABS(Q197-Q273))</f>
        <v>0</v>
      </c>
      <c r="R2" s="12">
        <f>IF(COUNT(R197,R273)&lt;2,"",ABS(R197-R273))</f>
        <v>0</v>
      </c>
      <c r="S2" s="12">
        <f>IF(COUNT(S197,S273)&lt;2,"",ABS(S197-S273))</f>
        <v>0</v>
      </c>
      <c r="T2" s="12">
        <f>IF(COUNT(T197,T273)&lt;2,"",ABS(T197-T273))</f>
        <v>0</v>
      </c>
      <c r="U2" s="12">
        <f>IF(COUNT(U197,U273)&lt;2,"",ABS(U197-U273))</f>
        <v>0</v>
      </c>
      <c r="V2" s="12">
        <f>IF(COUNT(V197,V273)&lt;2,"",ABS(V197-V273))</f>
        <v>0</v>
      </c>
      <c r="W2" s="12">
        <f>IF(COUNT(W197,W273)&lt;2,"",ABS(W197-W273))</f>
        <v>0</v>
      </c>
      <c r="X2" s="12">
        <f>IF(COUNT(X197,X273)&lt;2,"",ABS(X197-X273))</f>
        <v>0</v>
      </c>
      <c r="Y2" s="12">
        <f>IF(COUNT(Y197,Y273)&lt;2,"",ABS(Y197-Y273))</f>
        <v>0</v>
      </c>
      <c r="Z2" s="12">
        <f>IF(COUNT(Z197,Z273)&lt;2,"",ABS(Z197-Z273))</f>
        <v>0</v>
      </c>
      <c r="AA2" s="12">
        <f>IF(COUNT(AA197,AA273)&lt;2,"",ABS(AA197-AA273))</f>
        <v>0</v>
      </c>
      <c r="AB2" s="12">
        <f>IF(COUNT(AB197,AB273)&lt;2,"",ABS(AB197-AB273))</f>
        <v>0</v>
      </c>
      <c r="AC2" s="12">
        <f>IF(COUNT(AC197,AC273)&lt;2,"",ABS(AC197-AC273))</f>
        <v>0</v>
      </c>
      <c r="AD2" s="12">
        <f>IF(COUNT(AD197,AD273)&lt;2,"",ABS(AD197-AD273))</f>
        <v>0</v>
      </c>
      <c r="AE2" s="12">
        <f>IF(COUNT(AE197,AE273)&lt;2,"",ABS(AE197-AE273))</f>
        <v>0</v>
      </c>
      <c r="AF2" s="12">
        <f>IF(COUNT(AF197,AF273)&lt;2,"",ABS(AF197-AF273))</f>
        <v>0</v>
      </c>
      <c r="AG2" s="12">
        <f>IF(COUNT(AG197,AG273)&lt;2,"",ABS(AG197-AG273))</f>
        <v>0</v>
      </c>
      <c r="AH2" s="12">
        <f>IF(COUNT(AH197,AH273)&lt;2,"",ABS(AH197-AH273))</f>
        <v>0</v>
      </c>
      <c r="AI2" s="12">
        <f>IF(COUNT(AI197,AI273)&lt;2,"",ABS(AI197-AI273))</f>
        <v>0</v>
      </c>
      <c r="AJ2" s="12">
        <f>IF(COUNT(AJ197,AJ273)&lt;2,"",ABS(AJ197-AJ273))</f>
        <v>0</v>
      </c>
      <c r="AK2" s="12">
        <f>IF(COUNT(AK197,AK273)&lt;2,"",ABS(AK197-AK273))</f>
        <v>0</v>
      </c>
      <c r="AL2" s="12">
        <f>IF(COUNT(AL197,AL273)&lt;2,"",ABS(AL197-AL273))</f>
        <v>0</v>
      </c>
      <c r="AM2" s="12">
        <f>IF(COUNT(AM197,AM273)&lt;2,"",ABS(AM197-AM273))</f>
        <v>0</v>
      </c>
      <c r="AN2" s="12">
        <f>IF(COUNT(AN197,AN273)&lt;2,"",ABS(AN197-AN273))</f>
        <v>0</v>
      </c>
      <c r="AO2" s="12">
        <f>IF(COUNT(AO197,AO273)&lt;2,"",ABS(AO197-AO273))</f>
        <v>0</v>
      </c>
      <c r="AP2" s="12">
        <f>IF(COUNT(AP197,AP273)&lt;2,"",ABS(AP197-AP273))</f>
        <v>0</v>
      </c>
      <c r="AQ2" s="12">
        <f>IF(COUNT(AQ197,AQ273)&lt;2,"",ABS(AQ197-AQ273))</f>
        <v>0</v>
      </c>
      <c r="AR2" s="12">
        <f>IF(COUNT(AR197,AR273)&lt;2,"",ABS(AR197-AR273))</f>
        <v>0</v>
      </c>
      <c r="AS2" s="12">
        <f>IF(COUNT(AS197,AS273)&lt;2,"",ABS(AS197-AS273))</f>
        <v>0</v>
      </c>
      <c r="AT2" s="12">
        <f>IF(COUNT(AT197,AT273)&lt;2,"",ABS(AT197-AT273))</f>
        <v>0</v>
      </c>
      <c r="AU2" s="12">
        <f>IF(COUNT(AU197,AU273)&lt;2,"",ABS(AU197-AU273))</f>
        <v>0</v>
      </c>
      <c r="AV2" s="12">
        <f>IF(COUNT(AV197,AV273)&lt;2,"",ABS(AV197-AV273))</f>
        <v>0</v>
      </c>
      <c r="AW2" s="12">
        <f>IF(COUNT(AW197,AW273)&lt;2,"",ABS(AW197-AW273))</f>
        <v>0</v>
      </c>
      <c r="AX2" s="12">
        <f>IF(COUNT(AX197,AX273)&lt;2,"",ABS(AX197-AX273))</f>
        <v>0</v>
      </c>
      <c r="AY2" s="12">
        <f>IF(COUNT(AY197,AY273)&lt;2,"",ABS(AY197-AY273))</f>
        <v>0</v>
      </c>
      <c r="AZ2" s="12">
        <f>IF(COUNT(AZ197,AZ273)&lt;2,"",ABS(AZ197-AZ273))</f>
        <v>0</v>
      </c>
      <c r="BA2" s="12">
        <f>IF(COUNT(BA197,BA273)&lt;2,"",ABS(BA197-BA273))</f>
        <v>0</v>
      </c>
      <c r="BB2" s="12">
        <f>IF(COUNT(BB197,BB273)&lt;2,"",ABS(BB197-BB273))</f>
        <v>0</v>
      </c>
      <c r="BC2" s="12">
        <f>IF(COUNT(BC197,BC273)&lt;2,"",ABS(BC197-BC273))</f>
        <v>0</v>
      </c>
      <c r="BD2" s="12">
        <f>IF(COUNT(BD197,BD273)&lt;2,"",ABS(BD197-BD273))</f>
        <v>0</v>
      </c>
      <c r="BE2" s="12">
        <f>IF(COUNT(BE197,BE273)&lt;2,"",ABS(BE197-BE273))</f>
        <v>0</v>
      </c>
      <c r="BF2" s="12">
        <f>IF(COUNT(BF197,BF273)&lt;2,"",ABS(BF197-BF273))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IF(COUNT(I137,I4)&lt;2,"",ABS(I137-I4))</f>
        <v>0</v>
      </c>
      <c r="J3" s="12">
        <f>IF(COUNT(J137,J4)&lt;2,"",ABS(J137-J4))</f>
        <v>0</v>
      </c>
      <c r="K3" s="12">
        <f>IF(COUNT(K137,K4)&lt;2,"",ABS(K137-K4))</f>
        <v>0</v>
      </c>
      <c r="L3" s="12">
        <f>IF(COUNT(L137,L4)&lt;2,"",ABS(L137-L4))</f>
        <v>0</v>
      </c>
      <c r="M3" s="12">
        <f>IF(COUNT(M137,M4)&lt;2,"",ABS(M137-M4))</f>
        <v>0</v>
      </c>
      <c r="N3" s="12">
        <f>IF(COUNT(N137,N4)&lt;2,"",ABS(N137-N4))</f>
        <v>0</v>
      </c>
      <c r="O3" s="12">
        <f>IF(COUNT(O137,O4)&lt;2,"",ABS(O137-O4))</f>
        <v>0</v>
      </c>
      <c r="P3" s="12">
        <f>IF(COUNT(P137,P4)&lt;2,"",ABS(P137-P4))</f>
        <v>0</v>
      </c>
      <c r="Q3" s="12">
        <f>IF(COUNT(Q137,Q4)&lt;2,"",ABS(Q137-Q4))</f>
        <v>0</v>
      </c>
      <c r="R3" s="12">
        <f>IF(COUNT(R137,R4)&lt;2,"",ABS(R137-R4))</f>
        <v>0</v>
      </c>
      <c r="S3" s="12">
        <f>IF(COUNT(S137,S4)&lt;2,"",ABS(S137-S4))</f>
        <v>0</v>
      </c>
      <c r="T3" s="12">
        <f>IF(COUNT(T137,T4)&lt;2,"",ABS(T137-T4))</f>
        <v>0</v>
      </c>
      <c r="U3" s="12">
        <f>IF(COUNT(U137,U4)&lt;2,"",ABS(U137-U4))</f>
        <v>2.57571741713036e-14</v>
      </c>
      <c r="V3" s="12">
        <f>IF(COUNT(V137,V4)&lt;2,"",ABS(V137-V4))</f>
        <v>0</v>
      </c>
      <c r="W3" s="12">
        <f>IF(COUNT(W137,W4)&lt;2,"",ABS(W137-W4))</f>
        <v>0</v>
      </c>
      <c r="X3" s="12">
        <f>IF(COUNT(X137,X4)&lt;2,"",ABS(X137-X4))</f>
        <v>0</v>
      </c>
      <c r="Y3" s="12">
        <f>IF(COUNT(Y137,Y4)&lt;2,"",ABS(Y137-Y4))</f>
        <v>0</v>
      </c>
      <c r="Z3" s="12">
        <f>IF(COUNT(Z137,Z4)&lt;2,"",ABS(Z137-Z4))</f>
        <v>0</v>
      </c>
      <c r="AA3" s="12">
        <f>IF(COUNT(AA137,AA4)&lt;2,"",ABS(AA137-AA4))</f>
        <v>0</v>
      </c>
      <c r="AB3" s="12">
        <f>IF(COUNT(AB137,AB4)&lt;2,"",ABS(AB137-AB4))</f>
        <v>0</v>
      </c>
      <c r="AC3" s="12">
        <f>IF(COUNT(AC137,AC4)&lt;2,"",ABS(AC137-AC4))</f>
        <v>2.75335310107039e-14</v>
      </c>
      <c r="AD3" s="12">
        <f>IF(COUNT(AD137,AD4)&lt;2,"",ABS(AD137-AD4))</f>
        <v>0</v>
      </c>
      <c r="AE3" s="12">
        <f>IF(COUNT(AE137,AE4)&lt;2,"",ABS(AE137-AE4))</f>
        <v>0</v>
      </c>
      <c r="AF3" s="12">
        <f>IF(COUNT(AF137,AF4)&lt;2,"",ABS(AF137-AF4))</f>
        <v>0</v>
      </c>
      <c r="AG3" s="12">
        <f>IF(COUNT(AG137,AG4)&lt;2,"",ABS(AG137-AG4))</f>
        <v>0</v>
      </c>
      <c r="AH3" s="12">
        <f>IF(COUNT(AH137,AH4)&lt;2,"",ABS(AH137-AH4))</f>
        <v>0</v>
      </c>
      <c r="AI3" s="12">
        <f>IF(COUNT(AI137,AI4)&lt;2,"",ABS(AI137-AI4))</f>
        <v>0</v>
      </c>
      <c r="AJ3" s="12">
        <f>ABS(AJ137-AJ4)</f>
        <v>535.838389231083</v>
      </c>
      <c r="AK3" s="12">
        <f>ABS(AK137-AK4)</f>
        <v>503.920686067527</v>
      </c>
      <c r="AL3" s="12">
        <f>ABS(AL137-AL4)</f>
        <v>1032.12207529861</v>
      </c>
      <c r="AM3" s="12">
        <f>ABS(AM137-AM4)</f>
        <v>631.215906611173</v>
      </c>
      <c r="AN3" s="12">
        <f>ABS(AN137-AN4)</f>
        <v>1187.47354205704</v>
      </c>
      <c r="AO3" s="12">
        <f>ABS(AO137-AO4)</f>
        <v>749.178966726776</v>
      </c>
      <c r="AP3" s="12">
        <f>ABS(AP137-AP4)</f>
        <v>704.553437169853</v>
      </c>
      <c r="AQ3" s="12">
        <f>ABS(AQ137-AQ4)</f>
        <v>3272.42185256484</v>
      </c>
      <c r="AR3" s="12">
        <f>ABS(AR137-AR4)</f>
        <v>879.374344192381</v>
      </c>
      <c r="AS3" s="12">
        <f>ABS(AS137-AS4)</f>
        <v>1654.32105933201</v>
      </c>
      <c r="AT3" s="12">
        <f>ABS(AT137-AT4)</f>
        <v>1043.71381590342</v>
      </c>
      <c r="AU3" s="12">
        <f>ABS(AU137-AU4)</f>
        <v>981.544048986362</v>
      </c>
      <c r="AV3" s="12">
        <f>ABS(AV137-AV4)</f>
        <v>4558.95326841418</v>
      </c>
      <c r="AW3" s="12">
        <f>ABS(AW137-AW4)</f>
        <v>1220.69778943137</v>
      </c>
      <c r="AX3" s="12">
        <f>ABS(AX137-AX4)</f>
        <v>2296.43504324771</v>
      </c>
      <c r="AY3" s="12">
        <f>ABS(AY137-AY4)</f>
        <v>1448.824560651</v>
      </c>
      <c r="AZ3" s="12">
        <f>ABS(AZ137-AZ4)</f>
        <v>1362.52400213879</v>
      </c>
      <c r="BA3" s="12">
        <f>ABS(BA137-BA4)</f>
        <v>6328.48139546888</v>
      </c>
      <c r="BB3" s="12">
        <f>ABS(BB137-BB4)</f>
        <v>1688.40022606759</v>
      </c>
      <c r="BC3" s="12">
        <f>ABS(BC137-BC4)</f>
        <v>3176.29922798099</v>
      </c>
      <c r="BD3" s="12">
        <f>ABS(BD137-BD4)</f>
        <v>2003.93228931373</v>
      </c>
      <c r="BE3" s="12">
        <f>ABS(BE137-BE4)</f>
        <v>1884.56623183143</v>
      </c>
      <c r="BF3" s="12">
        <f>ABS(BF137-BF4)</f>
        <v>8753.19797519374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-46.579</v>
      </c>
      <c r="J4">
        <f>IF(ISNUMBER('Inputs (2)'!E50),'Inputs (2)'!E50,"")</f>
        <v>5.411</v>
      </c>
      <c r="K4">
        <f>IF(ISNUMBER('Inputs (2)'!F50),'Inputs (2)'!F50,"")</f>
        <v>-2.208</v>
      </c>
      <c r="L4">
        <f>IF(ISNUMBER('Inputs (2)'!G50),'Inputs (2)'!G50,"")</f>
        <v>-18.652</v>
      </c>
      <c r="M4" s="11">
        <f>IF(COUNT(I4:L4)=4,SUM(I4:L4),"")</f>
        <v>-62.028</v>
      </c>
      <c r="N4">
        <f>IF(ISNUMBER('Inputs (2)'!I50),'Inputs (2)'!I50,"")</f>
        <v>-20.147</v>
      </c>
      <c r="O4">
        <f>IF(ISNUMBER('Inputs (2)'!J50),'Inputs (2)'!J50,"")</f>
        <v>-11.97</v>
      </c>
      <c r="P4">
        <f>IF(ISNUMBER('Inputs (2)'!K50),'Inputs (2)'!K50,"")</f>
        <v>-31.093</v>
      </c>
      <c r="Q4">
        <f>IF(ISNUMBER('Inputs (2)'!L50),'Inputs (2)'!L50,"")</f>
        <v>-85.796</v>
      </c>
      <c r="R4" s="11">
        <f>IF(COUNT(N4:Q4)=4,SUM(N4:Q4),"")</f>
        <v>-149.006</v>
      </c>
      <c r="S4">
        <f>IF(ISNUMBER('Inputs (2)'!N50),'Inputs (2)'!N50,"")</f>
        <v>-45.073</v>
      </c>
      <c r="T4">
        <f>IF(ISNUMBER('Inputs (2)'!O50),'Inputs (2)'!O50,"")</f>
        <v>-5.149</v>
      </c>
      <c r="U4">
        <f>IF(ISNUMBER('Inputs (2)'!P50),'Inputs (2)'!P50,"")</f>
        <v>1.851</v>
      </c>
      <c r="V4">
        <f>IF(ISNUMBER('Inputs (2)'!Q50),'Inputs (2)'!Q50,"")</f>
        <v>88.486</v>
      </c>
      <c r="W4" s="11">
        <f>IF(COUNT(S4:V4)=4,SUM(S4:V4),"")</f>
        <v>40.115</v>
      </c>
      <c r="X4">
        <f>IF(ISNUMBER('Inputs (2)'!S50),'Inputs (2)'!S50,"")</f>
        <v>25.543</v>
      </c>
      <c r="Y4">
        <f>IF(ISNUMBER('Inputs (2)'!T50),'Inputs (2)'!T50,"")</f>
        <v>8.806</v>
      </c>
      <c r="Z4">
        <f>IF(ISNUMBER('Inputs (2)'!U50),'Inputs (2)'!U50,"")</f>
        <v>37.084</v>
      </c>
      <c r="AA4">
        <f>IF(ISNUMBER('Inputs (2)'!V50),'Inputs (2)'!V50,"")</f>
        <v>-10.536</v>
      </c>
      <c r="AB4" s="11">
        <f>IF(COUNT(X4:AA4)=4,SUM(X4:AA4),"")</f>
        <v>60.897</v>
      </c>
      <c r="AC4">
        <f>IF(ISNUMBER('Inputs (2)'!X50),'Inputs (2)'!X50,"")</f>
        <v>-6.322</v>
      </c>
      <c r="AD4">
        <f>IF(ISNUMBER('Inputs (2)'!Y50),'Inputs (2)'!Y50,"")</f>
        <v>23.846</v>
      </c>
      <c r="AE4">
        <f>IF(ISNUMBER('Inputs (2)'!Z50),'Inputs (2)'!Z50,"")</f>
        <v>23.288</v>
      </c>
      <c r="AF4">
        <f>IF(ISNUMBER('Inputs (2)'!AA50),'Inputs (2)'!AA50,"")</f>
        <v>19.33</v>
      </c>
      <c r="AG4" s="11">
        <f>IF(COUNT(AC4:AF4)=4,SUM(AC4:AF4),"")</f>
        <v>60.142</v>
      </c>
      <c r="AH4" s="11">
        <f>IF(ISNUMBER('Inputs (2)'!AC50),'Inputs (2)'!AC50,"")</f>
        <v>18.784</v>
      </c>
      <c r="AI4" s="11">
        <f>IF(ISNUMBER('Inputs (2)'!AD50),'Inputs (2)'!AD50,"")</f>
        <v>-11.147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87.625</v>
      </c>
      <c r="J15" s="34">
        <f>'Inputs (2)'!E4</f>
        <v>92.687</v>
      </c>
      <c r="K15" s="34">
        <f>'Inputs (2)'!F4</f>
        <v>99.841</v>
      </c>
      <c r="L15" s="34">
        <f>'Inputs (2)'!G4</f>
        <v>155.363</v>
      </c>
      <c r="M15" s="35">
        <f>'Inputs (2)'!H4</f>
        <v>435.516</v>
      </c>
      <c r="N15" s="34">
        <f>'Inputs (2)'!I4</f>
        <v>99.226</v>
      </c>
      <c r="O15" s="34">
        <f>'Inputs (2)'!J4</f>
        <v>150.612</v>
      </c>
      <c r="P15" s="34">
        <f>'Inputs (2)'!K4</f>
        <v>197.177</v>
      </c>
      <c r="Q15" s="34">
        <f>'Inputs (2)'!L4</f>
        <v>179.209</v>
      </c>
      <c r="R15" s="35">
        <f>'Inputs (2)'!M4</f>
        <v>626.224</v>
      </c>
      <c r="S15" s="34">
        <f>'Inputs (2)'!N4</f>
        <v>188.845</v>
      </c>
      <c r="T15" s="34">
        <f>'Inputs (2)'!O4</f>
        <v>196.245</v>
      </c>
      <c r="U15" s="34">
        <f>'Inputs (2)'!P4</f>
        <v>192.599</v>
      </c>
      <c r="V15" s="34">
        <f>'Inputs (2)'!Q4</f>
        <v>198.587</v>
      </c>
      <c r="W15" s="35">
        <f>'Inputs (2)'!R4</f>
        <v>776.276</v>
      </c>
      <c r="X15" s="34">
        <f>'Inputs (2)'!S4</f>
        <v>209.146</v>
      </c>
      <c r="Y15" s="34">
        <f>'Inputs (2)'!T4</f>
        <v>215.047</v>
      </c>
      <c r="Z15" s="34">
        <f>'Inputs (2)'!U4</f>
        <v>249.074</v>
      </c>
      <c r="AA15" s="34">
        <f>'Inputs (2)'!V4</f>
        <v>230.206</v>
      </c>
      <c r="AB15" s="35">
        <f>'Inputs (2)'!W4</f>
        <v>903.473</v>
      </c>
      <c r="AC15" s="34">
        <f>'Inputs (2)'!X4</f>
        <v>240.8</v>
      </c>
      <c r="AD15" s="34">
        <f>'Inputs (2)'!Y4</f>
        <v>264.181</v>
      </c>
      <c r="AE15" s="34">
        <f>'Inputs (2)'!Z4</f>
        <v>281.05</v>
      </c>
      <c r="AF15" s="34">
        <f>'Inputs (2)'!AA4</f>
        <v>264.309</v>
      </c>
      <c r="AG15" s="35">
        <f>'Inputs (2)'!AB4</f>
        <v>1050.34</v>
      </c>
      <c r="AH15" s="35">
        <f>'Inputs (2)'!AC4</f>
        <v>331.076</v>
      </c>
      <c r="AI15" s="35">
        <f>'Inputs (2)'!AD4</f>
        <v>622.836</v>
      </c>
      <c r="AJ15" s="35">
        <f>AE15*(1+AJ16)</f>
        <v>392.948233702898</v>
      </c>
      <c r="AK15" s="35">
        <f>AF15*(1+AK16)</f>
        <v>369.541913189039</v>
      </c>
      <c r="AL15" s="35">
        <f>SUM(AH15:AK15)</f>
        <v>1716.40214689194</v>
      </c>
      <c r="AM15" s="35">
        <f>AH15*(1+AM16)</f>
        <v>462.891760972855</v>
      </c>
      <c r="AN15" s="35">
        <f>AI15*(1+AN16)</f>
        <v>870.814111676137</v>
      </c>
      <c r="AO15" s="35">
        <f>AJ15*(1+AO16)</f>
        <v>549.398023021625</v>
      </c>
      <c r="AP15" s="35">
        <f>AK15*(1+AP16)</f>
        <v>516.672627884087</v>
      </c>
      <c r="AQ15" s="35">
        <f>SUM(AM15:AP15)</f>
        <v>2399.7765235547</v>
      </c>
      <c r="AR15" s="35">
        <f>AM15*(1+AR16)</f>
        <v>644.874652989861</v>
      </c>
      <c r="AS15" s="35">
        <f>AN15*(1+AS16)</f>
        <v>1213.16902877162</v>
      </c>
      <c r="AT15" s="35">
        <f>AO15*(1+AT16)</f>
        <v>765.390290604379</v>
      </c>
      <c r="AU15" s="35">
        <f>AP15*(1+AU16)</f>
        <v>719.799118731018</v>
      </c>
      <c r="AV15" s="35">
        <f>SUM(AR15:AU15)</f>
        <v>3343.23309109688</v>
      </c>
      <c r="AW15" s="35">
        <f>AR15*(1+AW16)</f>
        <v>895.178564810202</v>
      </c>
      <c r="AX15" s="35">
        <f>AS15*(1+AX16)</f>
        <v>1684.05271476074</v>
      </c>
      <c r="AY15" s="35">
        <f>AT15*(1+AY16)</f>
        <v>1062.47156511153</v>
      </c>
      <c r="AZ15" s="35">
        <f>AU15*(1+AZ16)</f>
        <v>999.184475726963</v>
      </c>
      <c r="BA15" s="35">
        <f>SUM(AW15:AZ15)</f>
        <v>4640.88732040943</v>
      </c>
      <c r="BB15" s="35">
        <f>AW15*(1+BB16)</f>
        <v>1238.16042290079</v>
      </c>
      <c r="BC15" s="35">
        <f>AX15*(1+BC16)</f>
        <v>2329.28658422185</v>
      </c>
      <c r="BD15" s="35">
        <f>AY15*(1+BD16)</f>
        <v>1469.5506506654</v>
      </c>
      <c r="BE15" s="35">
        <f>AZ15*(1+BE16)</f>
        <v>1382.01552366739</v>
      </c>
      <c r="BF15" s="35">
        <f>SUM(BB15:BE15)</f>
        <v>6419.01318145543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0.132393723252496</v>
      </c>
      <c r="O16" s="40">
        <f>IFERROR(O15/J15-1,"")</f>
        <v>0.62495279812703</v>
      </c>
      <c r="P16" s="40">
        <f>IFERROR(P15/K15-1,"")</f>
        <v>0.974910107070242</v>
      </c>
      <c r="Q16" s="40">
        <f>IFERROR(Q15/L15-1,"")</f>
        <v>0.153485707665274</v>
      </c>
      <c r="R16" s="40">
        <f>IFERROR(R15/M15-1,"")</f>
        <v>0.437889767540113</v>
      </c>
      <c r="S16" s="40">
        <f>IFERROR(S15/N15-1,"")</f>
        <v>0.90318061798319</v>
      </c>
      <c r="T16" s="40">
        <f>IFERROR(T15/O15-1,"")</f>
        <v>0.302983825989961</v>
      </c>
      <c r="U16" s="40">
        <f>IFERROR(U15/P15-1,"")</f>
        <v>-0.0232177180908524</v>
      </c>
      <c r="V16" s="40">
        <f>IFERROR(V15/Q15-1,"")</f>
        <v>0.10813073004146</v>
      </c>
      <c r="W16" s="40">
        <f>IFERROR(W15/R15-1,"")</f>
        <v>0.239613940059787</v>
      </c>
      <c r="X16" s="40">
        <f>IFERROR(X15/S15-1,"")</f>
        <v>0.107500860494056</v>
      </c>
      <c r="Y16" s="40">
        <f>IFERROR(Y15/T15-1,"")</f>
        <v>0.0958088104155519</v>
      </c>
      <c r="Z16" s="40">
        <f>IFERROR(Z15/U15-1,"")</f>
        <v>0.293225821525553</v>
      </c>
      <c r="AA16" s="40">
        <f>IFERROR(AA15/V15-1,"")</f>
        <v>0.15921988851234</v>
      </c>
      <c r="AB16" s="40">
        <f>IFERROR(AB15/W15-1,"")</f>
        <v>0.163855381333443</v>
      </c>
      <c r="AC16" s="40">
        <f>IFERROR(AC15/X15-1,"")</f>
        <v>0.151348818528684</v>
      </c>
      <c r="AD16" s="40">
        <f>IFERROR(AD15/Y15-1,"")</f>
        <v>0.228480285704985</v>
      </c>
      <c r="AE16" s="40">
        <f>IFERROR(AE15/Z15-1,"")</f>
        <v>0.128379517733686</v>
      </c>
      <c r="AF16" s="41">
        <f>IFERROR(AF15/AA15-1,"")</f>
        <v>0.148141230028757</v>
      </c>
      <c r="AG16" s="40">
        <f>IFERROR(AG15/AB15-1,"")</f>
        <v>0.162558261287277</v>
      </c>
      <c r="AH16" s="41">
        <f>IFERROR(AH15/AC15-1,"")</f>
        <v>0.374900332225914</v>
      </c>
      <c r="AI16" s="41">
        <f>IFERROR(AI15/AD15-1,"")</f>
        <v>1.35761088041911</v>
      </c>
      <c r="AJ16" s="41">
        <f>Control!$B$18</f>
        <v>0.398143510773522</v>
      </c>
      <c r="AK16" s="41">
        <f>Control!$B$18</f>
        <v>0.398143510773522</v>
      </c>
      <c r="AL16" s="42">
        <f>IFERROR(AL15/AG15-1,"")</f>
        <v>0.634139561372448</v>
      </c>
      <c r="AM16" s="41">
        <f>Control!$C$18</f>
        <v>0.398143510773522</v>
      </c>
      <c r="AN16" s="41">
        <f>Control!$C$18</f>
        <v>0.398143510773522</v>
      </c>
      <c r="AO16" s="41">
        <f>Control!$C$18</f>
        <v>0.398143510773522</v>
      </c>
      <c r="AP16" s="41">
        <f>Control!$C$18</f>
        <v>0.398143510773522</v>
      </c>
      <c r="AQ16" s="42">
        <f>IFERROR(AQ15/AL15-1,"")</f>
        <v>0.398143510773522</v>
      </c>
      <c r="AR16" s="41">
        <f>Control!$D$18</f>
        <v>0.393143510773522</v>
      </c>
      <c r="AS16" s="41">
        <f>Control!$D$18</f>
        <v>0.393143510773522</v>
      </c>
      <c r="AT16" s="41">
        <f>Control!$D$18</f>
        <v>0.393143510773522</v>
      </c>
      <c r="AU16" s="41">
        <f>Control!$D$18</f>
        <v>0.393143510773522</v>
      </c>
      <c r="AV16" s="42">
        <f>IFERROR(AV15/AQ15-1,"")</f>
        <v>0.393143510773522</v>
      </c>
      <c r="AW16" s="41">
        <f>Control!$E$18</f>
        <v>0.388143510773522</v>
      </c>
      <c r="AX16" s="41">
        <f>Control!$E$18</f>
        <v>0.388143510773522</v>
      </c>
      <c r="AY16" s="41">
        <f>Control!$E$18</f>
        <v>0.388143510773522</v>
      </c>
      <c r="AZ16" s="41">
        <f>Control!$E$18</f>
        <v>0.388143510773522</v>
      </c>
      <c r="BA16" s="42">
        <f>IFERROR(BA15/AV15-1,"")</f>
        <v>0.388143510773522</v>
      </c>
      <c r="BB16" s="41">
        <f>Control!$F$18</f>
        <v>0.383143510773522</v>
      </c>
      <c r="BC16" s="41">
        <f>Control!$F$18</f>
        <v>0.383143510773522</v>
      </c>
      <c r="BD16" s="41">
        <f>Control!$F$18</f>
        <v>0.383143510773522</v>
      </c>
      <c r="BE16" s="41">
        <f>Control!$F$18</f>
        <v>0.383143510773522</v>
      </c>
      <c r="BF16" s="42">
        <f>IFERROR(BF15/BA15-1,"")</f>
        <v>0.383143510773522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IF(ISNUMBER(I24),I24,"")</f>
        <v>0</v>
      </c>
      <c r="J17" s="40">
        <f>IF(ISNUMBER(J24),J24,"")</f>
        <v>0</v>
      </c>
      <c r="K17" s="40">
        <f>IF(ISNUMBER(K24),K24,"")</f>
        <v>0</v>
      </c>
      <c r="L17" s="40">
        <f>IF(ISNUMBER(L24),L24,"")</f>
        <v>0</v>
      </c>
      <c r="M17" s="39">
        <f>IF(ISNUMBER(M24),M24,"")</f>
        <v>0</v>
      </c>
      <c r="N17" s="40">
        <f>IF(ISNUMBER(N24),N24,"")</f>
        <v>0</v>
      </c>
      <c r="O17" s="40">
        <f>IF(ISNUMBER(O24),O24,"")</f>
        <v>0</v>
      </c>
      <c r="P17" s="40">
        <f>IF(ISNUMBER(P24),P24,"")</f>
        <v>0.001</v>
      </c>
      <c r="Q17" s="40">
        <f>IF(ISNUMBER(Q24),Q24,"")</f>
        <v>0</v>
      </c>
      <c r="R17" s="40">
        <f>IF(ISNUMBER(R24),R24,"")</f>
        <v>0.001</v>
      </c>
      <c r="S17" s="40">
        <f>IF(ISNUMBER(S24),S24,"")</f>
        <v>0</v>
      </c>
      <c r="T17" s="40">
        <f>IF(ISNUMBER(T24),T24,"")</f>
        <v>0</v>
      </c>
      <c r="U17" s="40">
        <f>IF(ISNUMBER(U24),U24,"")</f>
        <v>0</v>
      </c>
      <c r="V17" s="40">
        <f>IF(ISNUMBER(V24),V24,"")</f>
        <v>0</v>
      </c>
      <c r="W17" s="40">
        <f>IF(ISNUMBER(W24),W24,"")</f>
        <v>0</v>
      </c>
      <c r="X17" s="40">
        <f>IF(ISNUMBER(X24),X24,"")</f>
        <v>0</v>
      </c>
      <c r="Y17" s="40">
        <f>IF(ISNUMBER(Y24),Y24,"")</f>
        <v>0</v>
      </c>
      <c r="Z17" s="40">
        <f>IF(ISNUMBER(Z24),Z24,"")</f>
        <v>0.001</v>
      </c>
      <c r="AA17" s="40">
        <f>IF(ISNUMBER(AA24),AA24,"")</f>
        <v>0</v>
      </c>
      <c r="AB17" s="40">
        <f>IF(ISNUMBER(AB24),AB24,"")</f>
        <v>0.001</v>
      </c>
      <c r="AC17" s="40">
        <f>IF(ISNUMBER(AC24),AC24,"")</f>
        <v>0</v>
      </c>
      <c r="AD17" s="40">
        <f>IF(ISNUMBER(AD24),AD24,"")</f>
        <v>-0.001</v>
      </c>
      <c r="AE17" s="40">
        <f>IF(ISNUMBER(AE24),AE24,"")</f>
        <v>0</v>
      </c>
      <c r="AF17" s="40">
        <f>IF(ISNUMBER(AF24),AF24,"")</f>
        <v>0</v>
      </c>
      <c r="AG17" s="40">
        <f>IF(ISNUMBER(AG24),AG24,"")</f>
        <v>-0.001</v>
      </c>
      <c r="AH17" s="41">
        <f>IF(ISNUMBER(AH24),AH24,"")</f>
        <v>0</v>
      </c>
      <c r="AI17" s="41" t="str">
        <f>IF(ISNUMBER(AI24),AI24,"")</f>
        <v/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liquida por segmento - como a Cia divulga (releases; R$ milhoes; formato legado, ate 1T26)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Tratamento e destinacao final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62.245</v>
      </c>
      <c r="J19" s="269">
        <f>IFERROR(INDEX('Inputs (2)'!$D$53:$AL$53,MATCH(J$7&amp;"",'Inputs (2)'!$D$2:$AL$2,0)),"")</f>
        <v>62.273</v>
      </c>
      <c r="K19" s="269">
        <f>IFERROR(INDEX('Inputs (2)'!$D$53:$AL$53,MATCH(K$7&amp;"",'Inputs (2)'!$D$2:$AL$2,0)),"")</f>
        <v>63.828</v>
      </c>
      <c r="L19" s="269">
        <f>IFERROR(INDEX('Inputs (2)'!$D$53:$AL$53,MATCH(L$7&amp;"",'Inputs (2)'!$D$2:$AL$2,0)),"")</f>
        <v>78.351</v>
      </c>
      <c r="M19" s="270">
        <f>IF(COUNT(I19:L19)=4,SUM(I19:L19),"")</f>
        <v>266.697</v>
      </c>
      <c r="N19" s="269">
        <f>IFERROR(INDEX('Inputs (2)'!$D$53:$AL$53,MATCH(N$7&amp;"",'Inputs (2)'!$D$2:$AL$2,0)),"")</f>
        <v>75.119</v>
      </c>
      <c r="O19" s="269">
        <f>IFERROR(INDEX('Inputs (2)'!$D$53:$AL$53,MATCH(O$7&amp;"",'Inputs (2)'!$D$2:$AL$2,0)),"")</f>
        <v>121.928</v>
      </c>
      <c r="P19" s="269">
        <f>IFERROR(INDEX('Inputs (2)'!$D$53:$AL$53,MATCH(P$7&amp;"",'Inputs (2)'!$D$2:$AL$2,0)),"")</f>
        <v>154.009</v>
      </c>
      <c r="Q19" s="269">
        <f>IFERROR(INDEX('Inputs (2)'!$D$53:$AL$53,MATCH(Q$7&amp;"",'Inputs (2)'!$D$2:$AL$2,0)),"")</f>
        <v>140.74</v>
      </c>
      <c r="R19" s="270">
        <f>IF(COUNT(N19:Q19)=4,SUM(N19:Q19),"")</f>
        <v>491.796</v>
      </c>
      <c r="S19" s="269">
        <f>IFERROR(INDEX('Inputs (2)'!$D$53:$AL$53,MATCH(S$7&amp;"",'Inputs (2)'!$D$2:$AL$2,0)),"")</f>
        <v>136.507</v>
      </c>
      <c r="T19" s="269">
        <f>IFERROR(INDEX('Inputs (2)'!$D$53:$AL$53,MATCH(T$7&amp;"",'Inputs (2)'!$D$2:$AL$2,0)),"")</f>
        <v>148.257</v>
      </c>
      <c r="U19" s="269">
        <f>IFERROR(INDEX('Inputs (2)'!$D$53:$AL$53,MATCH(U$7&amp;"",'Inputs (2)'!$D$2:$AL$2,0)),"")</f>
        <v>145.237</v>
      </c>
      <c r="V19" s="269">
        <f>IFERROR(INDEX('Inputs (2)'!$D$53:$AL$53,MATCH(V$7&amp;"",'Inputs (2)'!$D$2:$AL$2,0)),"")</f>
        <v>153.02</v>
      </c>
      <c r="W19" s="270">
        <f>IF(COUNT(S19:V19)=4,SUM(S19:V19),"")</f>
        <v>583.021</v>
      </c>
      <c r="X19" s="269">
        <f>IFERROR(INDEX('Inputs (2)'!$D$53:$AL$53,MATCH(X$7&amp;"",'Inputs (2)'!$D$2:$AL$2,0)),"")</f>
        <v>162.45</v>
      </c>
      <c r="Y19" s="269">
        <f>IFERROR(INDEX('Inputs (2)'!$D$53:$AL$53,MATCH(Y$7&amp;"",'Inputs (2)'!$D$2:$AL$2,0)),"")</f>
        <v>160.347</v>
      </c>
      <c r="Z19" s="269">
        <f>IFERROR(INDEX('Inputs (2)'!$D$53:$AL$53,MATCH(Z$7&amp;"",'Inputs (2)'!$D$2:$AL$2,0)),"")</f>
        <v>163.478</v>
      </c>
      <c r="AA19" s="269">
        <f>IFERROR(INDEX('Inputs (2)'!$D$53:$AL$53,MATCH(AA$7&amp;"",'Inputs (2)'!$D$2:$AL$2,0)),"")</f>
        <v>167.406</v>
      </c>
      <c r="AB19" s="270">
        <f>IF(COUNT(X19:AA19)=4,SUM(X19:AA19),"")</f>
        <v>653.681</v>
      </c>
      <c r="AC19" s="269">
        <f>IFERROR(INDEX('Inputs (2)'!$D$53:$AL$53,MATCH(AC$7&amp;"",'Inputs (2)'!$D$2:$AL$2,0)),"")</f>
        <v>174.283</v>
      </c>
      <c r="AD19" s="269">
        <f>IFERROR(INDEX('Inputs (2)'!$D$53:$AL$53,MATCH(AD$7&amp;"",'Inputs (2)'!$D$2:$AL$2,0)),"")</f>
        <v>178.679</v>
      </c>
      <c r="AE19" s="269">
        <f>IFERROR(INDEX('Inputs (2)'!$D$53:$AL$53,MATCH(AE$7&amp;"",'Inputs (2)'!$D$2:$AL$2,0)),"")</f>
        <v>182.316</v>
      </c>
      <c r="AF19" s="269">
        <f>IFERROR(INDEX('Inputs (2)'!$D$53:$AL$53,MATCH(AF$7&amp;"",'Inputs (2)'!$D$2:$AL$2,0)),"")</f>
        <v>181.543</v>
      </c>
      <c r="AG19" s="270">
        <f>IF(COUNT(AC19:AF19)=4,SUM(AC19:AF19),"")</f>
        <v>716.821</v>
      </c>
      <c r="AH19" s="270">
        <f>IFERROR(INDEX('Inputs (2)'!$D$53:$AL$53,MATCH(AH$7&amp;"",'Inputs (2)'!$D$2:$AL$2,0)),"")</f>
        <v>202.995</v>
      </c>
      <c r="AI19" s="270" t="str">
        <f>IFERROR(INDEX('Inputs (2)'!$D$53:$AL$53,MATCH(AI$7&amp;"",'Inputs (2)'!$D$2:$AL$2,0)),"")</f>
        <v/>
      </c>
    </row>
    <row r="20">
      <c r="C20" s="268" t="inlineStr">
        <is>
          <t xml:space="preserve">   Energia, biogas e credito de carbono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11.233</v>
      </c>
      <c r="J20" s="269">
        <f>IFERROR(INDEX('Inputs (2)'!$D$54:$AL$54,MATCH(J$7&amp;"",'Inputs (2)'!$D$2:$AL$2,0)),"")</f>
        <v>12.297</v>
      </c>
      <c r="K20" s="269">
        <f>IFERROR(INDEX('Inputs (2)'!$D$54:$AL$54,MATCH(K$7&amp;"",'Inputs (2)'!$D$2:$AL$2,0)),"")</f>
        <v>19.858</v>
      </c>
      <c r="L20" s="269">
        <f>IFERROR(INDEX('Inputs (2)'!$D$54:$AL$54,MATCH(L$7&amp;"",'Inputs (2)'!$D$2:$AL$2,0)),"")</f>
        <v>60.088</v>
      </c>
      <c r="M20" s="270">
        <f>IF(COUNT(I20:L20)=4,SUM(I20:L20),"")</f>
        <v>103.476</v>
      </c>
      <c r="N20" s="269">
        <f>IFERROR(INDEX('Inputs (2)'!$D$54:$AL$54,MATCH(N$7&amp;"",'Inputs (2)'!$D$2:$AL$2,0)),"")</f>
        <v>9.996</v>
      </c>
      <c r="O20" s="269">
        <f>IFERROR(INDEX('Inputs (2)'!$D$54:$AL$54,MATCH(O$7&amp;"",'Inputs (2)'!$D$2:$AL$2,0)),"")</f>
        <v>10.498</v>
      </c>
      <c r="P20" s="269">
        <f>IFERROR(INDEX('Inputs (2)'!$D$54:$AL$54,MATCH(P$7&amp;"",'Inputs (2)'!$D$2:$AL$2,0)),"")</f>
        <v>22.127</v>
      </c>
      <c r="Q20" s="269">
        <f>IFERROR(INDEX('Inputs (2)'!$D$54:$AL$54,MATCH(Q$7&amp;"",'Inputs (2)'!$D$2:$AL$2,0)),"")</f>
        <v>17.087</v>
      </c>
      <c r="R20" s="270">
        <f>IF(COUNT(N20:Q20)=4,SUM(N20:Q20),"")</f>
        <v>59.708</v>
      </c>
      <c r="S20" s="269">
        <f>IFERROR(INDEX('Inputs (2)'!$D$54:$AL$54,MATCH(S$7&amp;"",'Inputs (2)'!$D$2:$AL$2,0)),"")</f>
        <v>28.881</v>
      </c>
      <c r="T20" s="269">
        <f>IFERROR(INDEX('Inputs (2)'!$D$54:$AL$54,MATCH(T$7&amp;"",'Inputs (2)'!$D$2:$AL$2,0)),"")</f>
        <v>27.481</v>
      </c>
      <c r="U20" s="269">
        <f>IFERROR(INDEX('Inputs (2)'!$D$54:$AL$54,MATCH(U$7&amp;"",'Inputs (2)'!$D$2:$AL$2,0)),"")</f>
        <v>30.562</v>
      </c>
      <c r="V20" s="269">
        <f>IFERROR(INDEX('Inputs (2)'!$D$54:$AL$54,MATCH(V$7&amp;"",'Inputs (2)'!$D$2:$AL$2,0)),"")</f>
        <v>29.824</v>
      </c>
      <c r="W20" s="270">
        <f>IF(COUNT(S20:V20)=4,SUM(S20:V20),"")</f>
        <v>116.748</v>
      </c>
      <c r="X20" s="269">
        <f>IFERROR(INDEX('Inputs (2)'!$D$54:$AL$54,MATCH(X$7&amp;"",'Inputs (2)'!$D$2:$AL$2,0)),"")</f>
        <v>30.69</v>
      </c>
      <c r="Y20" s="269">
        <f>IFERROR(INDEX('Inputs (2)'!$D$54:$AL$54,MATCH(Y$7&amp;"",'Inputs (2)'!$D$2:$AL$2,0)),"")</f>
        <v>33.98</v>
      </c>
      <c r="Z20" s="269">
        <f>IFERROR(INDEX('Inputs (2)'!$D$54:$AL$54,MATCH(Z$7&amp;"",'Inputs (2)'!$D$2:$AL$2,0)),"")</f>
        <v>63.217</v>
      </c>
      <c r="AA20" s="269">
        <f>IFERROR(INDEX('Inputs (2)'!$D$54:$AL$54,MATCH(AA$7&amp;"",'Inputs (2)'!$D$2:$AL$2,0)),"")</f>
        <v>41.805</v>
      </c>
      <c r="AB20" s="270">
        <f>IF(COUNT(X20:AA20)=4,SUM(X20:AA20),"")</f>
        <v>169.692</v>
      </c>
      <c r="AC20" s="269">
        <f>IFERROR(INDEX('Inputs (2)'!$D$54:$AL$54,MATCH(AC$7&amp;"",'Inputs (2)'!$D$2:$AL$2,0)),"")</f>
        <v>47.138</v>
      </c>
      <c r="AD20" s="269">
        <f>IFERROR(INDEX('Inputs (2)'!$D$54:$AL$54,MATCH(AD$7&amp;"",'Inputs (2)'!$D$2:$AL$2,0)),"")</f>
        <v>66.302</v>
      </c>
      <c r="AE20" s="269">
        <f>IFERROR(INDEX('Inputs (2)'!$D$54:$AL$54,MATCH(AE$7&amp;"",'Inputs (2)'!$D$2:$AL$2,0)),"")</f>
        <v>77.08</v>
      </c>
      <c r="AF20" s="269">
        <f>IFERROR(INDEX('Inputs (2)'!$D$54:$AL$54,MATCH(AF$7&amp;"",'Inputs (2)'!$D$2:$AL$2,0)),"")</f>
        <v>67.379</v>
      </c>
      <c r="AG20" s="270">
        <f>IF(COUNT(AC20:AF20)=4,SUM(AC20:AF20),"")</f>
        <v>257.899</v>
      </c>
      <c r="AH20" s="270">
        <f>IFERROR(INDEX('Inputs (2)'!$D$54:$AL$54,MATCH(AH$7&amp;"",'Inputs (2)'!$D$2:$AL$2,0)),"")</f>
        <v>111.014</v>
      </c>
      <c r="AI20" s="270" t="str">
        <f>IFERROR(INDEX('Inputs (2)'!$D$54:$AL$54,MATCH(AI$7&amp;"",'Inputs (2)'!$D$2:$AL$2,0)),"")</f>
        <v/>
      </c>
    </row>
    <row r="21">
      <c r="C21" s="268" t="inlineStr">
        <is>
          <t xml:space="preserve">   Beneficiamento de residuos / WtE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10.626</v>
      </c>
      <c r="J21" s="269">
        <f>IFERROR(INDEX('Inputs (2)'!$D$55:$AL$55,MATCH(J$7&amp;"",'Inputs (2)'!$D$2:$AL$2,0)),"")</f>
        <v>12.903</v>
      </c>
      <c r="K21" s="269">
        <f>IFERROR(INDEX('Inputs (2)'!$D$55:$AL$55,MATCH(K$7&amp;"",'Inputs (2)'!$D$2:$AL$2,0)),"")</f>
        <v>8.793</v>
      </c>
      <c r="L21" s="269">
        <f>IFERROR(INDEX('Inputs (2)'!$D$55:$AL$55,MATCH(L$7&amp;"",'Inputs (2)'!$D$2:$AL$2,0)),"")</f>
        <v>6.835</v>
      </c>
      <c r="M21" s="270">
        <f>IF(COUNT(I21:L21)=4,SUM(I21:L21),"")</f>
        <v>39.157</v>
      </c>
      <c r="N21" s="269">
        <f>IFERROR(INDEX('Inputs (2)'!$D$55:$AL$55,MATCH(N$7&amp;"",'Inputs (2)'!$D$2:$AL$2,0)),"")</f>
        <v>3.78</v>
      </c>
      <c r="O21" s="269">
        <f>IFERROR(INDEX('Inputs (2)'!$D$55:$AL$55,MATCH(O$7&amp;"",'Inputs (2)'!$D$2:$AL$2,0)),"")</f>
        <v>6.677</v>
      </c>
      <c r="P21" s="269">
        <f>IFERROR(INDEX('Inputs (2)'!$D$55:$AL$55,MATCH(P$7&amp;"",'Inputs (2)'!$D$2:$AL$2,0)),"")</f>
        <v>11.911</v>
      </c>
      <c r="Q21" s="269">
        <f>IFERROR(INDEX('Inputs (2)'!$D$55:$AL$55,MATCH(Q$7&amp;"",'Inputs (2)'!$D$2:$AL$2,0)),"")</f>
        <v>8.966</v>
      </c>
      <c r="R21" s="270">
        <f>IF(COUNT(N21:Q21)=4,SUM(N21:Q21),"")</f>
        <v>31.334</v>
      </c>
      <c r="S21" s="269">
        <f>IFERROR(INDEX('Inputs (2)'!$D$55:$AL$55,MATCH(S$7&amp;"",'Inputs (2)'!$D$2:$AL$2,0)),"")</f>
        <v>12.524</v>
      </c>
      <c r="T21" s="269">
        <f>IFERROR(INDEX('Inputs (2)'!$D$55:$AL$55,MATCH(T$7&amp;"",'Inputs (2)'!$D$2:$AL$2,0)),"")</f>
        <v>13.42</v>
      </c>
      <c r="U21" s="269">
        <f>IFERROR(INDEX('Inputs (2)'!$D$55:$AL$55,MATCH(U$7&amp;"",'Inputs (2)'!$D$2:$AL$2,0)),"")</f>
        <v>10.484</v>
      </c>
      <c r="V21" s="269">
        <f>IFERROR(INDEX('Inputs (2)'!$D$55:$AL$55,MATCH(V$7&amp;"",'Inputs (2)'!$D$2:$AL$2,0)),"")</f>
        <v>8.945</v>
      </c>
      <c r="W21" s="270">
        <f>IF(COUNT(S21:V21)=4,SUM(S21:V21),"")</f>
        <v>45.373</v>
      </c>
      <c r="X21" s="269">
        <f>IFERROR(INDEX('Inputs (2)'!$D$55:$AL$55,MATCH(X$7&amp;"",'Inputs (2)'!$D$2:$AL$2,0)),"")</f>
        <v>10.485</v>
      </c>
      <c r="Y21" s="269">
        <f>IFERROR(INDEX('Inputs (2)'!$D$55:$AL$55,MATCH(Y$7&amp;"",'Inputs (2)'!$D$2:$AL$2,0)),"")</f>
        <v>13.901</v>
      </c>
      <c r="Z21" s="269">
        <f>IFERROR(INDEX('Inputs (2)'!$D$55:$AL$55,MATCH(Z$7&amp;"",'Inputs (2)'!$D$2:$AL$2,0)),"")</f>
        <v>16.375</v>
      </c>
      <c r="AA21" s="269">
        <f>IFERROR(INDEX('Inputs (2)'!$D$55:$AL$55,MATCH(AA$7&amp;"",'Inputs (2)'!$D$2:$AL$2,0)),"")</f>
        <v>16.41</v>
      </c>
      <c r="AB21" s="270">
        <f>IF(COUNT(X21:AA21)=4,SUM(X21:AA21),"")</f>
        <v>57.171</v>
      </c>
      <c r="AC21" s="269">
        <f>IFERROR(INDEX('Inputs (2)'!$D$55:$AL$55,MATCH(AC$7&amp;"",'Inputs (2)'!$D$2:$AL$2,0)),"")</f>
        <v>17.104</v>
      </c>
      <c r="AD21" s="269">
        <f>IFERROR(INDEX('Inputs (2)'!$D$55:$AL$55,MATCH(AD$7&amp;"",'Inputs (2)'!$D$2:$AL$2,0)),"")</f>
        <v>16.495</v>
      </c>
      <c r="AE21" s="269">
        <f>IFERROR(INDEX('Inputs (2)'!$D$55:$AL$55,MATCH(AE$7&amp;"",'Inputs (2)'!$D$2:$AL$2,0)),"")</f>
        <v>17.292</v>
      </c>
      <c r="AF21" s="269">
        <f>IFERROR(INDEX('Inputs (2)'!$D$55:$AL$55,MATCH(AF$7&amp;"",'Inputs (2)'!$D$2:$AL$2,0)),"")</f>
        <v>11.639</v>
      </c>
      <c r="AG21" s="270">
        <f>IF(COUNT(AC21:AF21)=4,SUM(AC21:AF21),"")</f>
        <v>62.53</v>
      </c>
      <c r="AH21" s="270">
        <f>IFERROR(INDEX('Inputs (2)'!$D$55:$AL$55,MATCH(AH$7&amp;"",'Inputs (2)'!$D$2:$AL$2,0)),"")</f>
        <v>13.253</v>
      </c>
      <c r="AI21" s="270" t="str">
        <f>IFERROR(INDEX('Inputs (2)'!$D$55:$AL$55,MATCH(AI$7&amp;"",'Inputs (2)'!$D$2:$AL$2,0)),"")</f>
        <v/>
      </c>
    </row>
    <row r="22">
      <c r="C22" s="268" t="inlineStr">
        <is>
          <t xml:space="preserve">   Engenharia ambiental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>
        <f>IFERROR(INDEX('Inputs (2)'!$D$56:$AL$56,MATCH(I$7&amp;"",'Inputs (2)'!$D$2:$AL$2,0)),"")</f>
        <v>3.521</v>
      </c>
      <c r="J22" s="269">
        <f>IFERROR(INDEX('Inputs (2)'!$D$56:$AL$56,MATCH(J$7&amp;"",'Inputs (2)'!$D$2:$AL$2,0)),"")</f>
        <v>5.214</v>
      </c>
      <c r="K22" s="269">
        <f>IFERROR(INDEX('Inputs (2)'!$D$56:$AL$56,MATCH(K$7&amp;"",'Inputs (2)'!$D$2:$AL$2,0)),"")</f>
        <v>7.362</v>
      </c>
      <c r="L22" s="269">
        <f>IFERROR(INDEX('Inputs (2)'!$D$56:$AL$56,MATCH(L$7&amp;"",'Inputs (2)'!$D$2:$AL$2,0)),"")</f>
        <v>10.089</v>
      </c>
      <c r="M22" s="270">
        <f>IF(COUNT(I22:L22)=4,SUM(I22:L22),"")</f>
        <v>26.186</v>
      </c>
      <c r="N22" s="269">
        <f>IFERROR(INDEX('Inputs (2)'!$D$56:$AL$56,MATCH(N$7&amp;"",'Inputs (2)'!$D$2:$AL$2,0)),"")</f>
        <v>10.331</v>
      </c>
      <c r="O22" s="269">
        <f>IFERROR(INDEX('Inputs (2)'!$D$56:$AL$56,MATCH(O$7&amp;"",'Inputs (2)'!$D$2:$AL$2,0)),"")</f>
        <v>11.509</v>
      </c>
      <c r="P22" s="269">
        <f>IFERROR(INDEX('Inputs (2)'!$D$56:$AL$56,MATCH(P$7&amp;"",'Inputs (2)'!$D$2:$AL$2,0)),"")</f>
        <v>9.129</v>
      </c>
      <c r="Q22" s="269">
        <f>IFERROR(INDEX('Inputs (2)'!$D$56:$AL$56,MATCH(Q$7&amp;"",'Inputs (2)'!$D$2:$AL$2,0)),"")</f>
        <v>12.416</v>
      </c>
      <c r="R22" s="270">
        <f>IF(COUNT(N22:Q22)=4,SUM(N22:Q22),"")</f>
        <v>43.385</v>
      </c>
      <c r="S22" s="269">
        <f>IFERROR(INDEX('Inputs (2)'!$D$56:$AL$56,MATCH(S$7&amp;"",'Inputs (2)'!$D$2:$AL$2,0)),"")</f>
        <v>10.933</v>
      </c>
      <c r="T22" s="269">
        <f>IFERROR(INDEX('Inputs (2)'!$D$56:$AL$56,MATCH(T$7&amp;"",'Inputs (2)'!$D$2:$AL$2,0)),"")</f>
        <v>7.087</v>
      </c>
      <c r="U22" s="269">
        <f>IFERROR(INDEX('Inputs (2)'!$D$56:$AL$56,MATCH(U$7&amp;"",'Inputs (2)'!$D$2:$AL$2,0)),"")</f>
        <v>6.316</v>
      </c>
      <c r="V22" s="269">
        <f>IFERROR(INDEX('Inputs (2)'!$D$56:$AL$56,MATCH(V$7&amp;"",'Inputs (2)'!$D$2:$AL$2,0)),"")</f>
        <v>6.798</v>
      </c>
      <c r="W22" s="270">
        <f>IF(COUNT(S22:V22)=4,SUM(S22:V22),"")</f>
        <v>31.134</v>
      </c>
      <c r="X22" s="269">
        <f>IFERROR(INDEX('Inputs (2)'!$D$56:$AL$56,MATCH(X$7&amp;"",'Inputs (2)'!$D$2:$AL$2,0)),"")</f>
        <v>5.521</v>
      </c>
      <c r="Y22" s="269">
        <f>IFERROR(INDEX('Inputs (2)'!$D$56:$AL$56,MATCH(Y$7&amp;"",'Inputs (2)'!$D$2:$AL$2,0)),"")</f>
        <v>6.819</v>
      </c>
      <c r="Z22" s="269">
        <f>IFERROR(INDEX('Inputs (2)'!$D$56:$AL$56,MATCH(Z$7&amp;"",'Inputs (2)'!$D$2:$AL$2,0)),"")</f>
        <v>6.003</v>
      </c>
      <c r="AA22" s="269">
        <f>IFERROR(INDEX('Inputs (2)'!$D$56:$AL$56,MATCH(AA$7&amp;"",'Inputs (2)'!$D$2:$AL$2,0)),"")</f>
        <v>4.585</v>
      </c>
      <c r="AB22" s="270">
        <f>IF(COUNT(X22:AA22)=4,SUM(X22:AA22),"")</f>
        <v>22.928</v>
      </c>
      <c r="AC22" s="269">
        <f>IFERROR(INDEX('Inputs (2)'!$D$56:$AL$56,MATCH(AC$7&amp;"",'Inputs (2)'!$D$2:$AL$2,0)),"")</f>
        <v>2.275</v>
      </c>
      <c r="AD22" s="269">
        <f>IFERROR(INDEX('Inputs (2)'!$D$56:$AL$56,MATCH(AD$7&amp;"",'Inputs (2)'!$D$2:$AL$2,0)),"")</f>
        <v>2.706</v>
      </c>
      <c r="AE22" s="269">
        <f>IFERROR(INDEX('Inputs (2)'!$D$56:$AL$56,MATCH(AE$7&amp;"",'Inputs (2)'!$D$2:$AL$2,0)),"")</f>
        <v>4.362</v>
      </c>
      <c r="AF22" s="269">
        <f>IFERROR(INDEX('Inputs (2)'!$D$56:$AL$56,MATCH(AF$7&amp;"",'Inputs (2)'!$D$2:$AL$2,0)),"")</f>
        <v>3.748</v>
      </c>
      <c r="AG22" s="270">
        <f>IF(COUNT(AC22:AF22)=4,SUM(AC22:AF22),"")</f>
        <v>13.091</v>
      </c>
      <c r="AH22" s="270">
        <f>IFERROR(INDEX('Inputs (2)'!$D$56:$AL$56,MATCH(AH$7&amp;"",'Inputs (2)'!$D$2:$AL$2,0)),"")</f>
        <v>3.814</v>
      </c>
      <c r="AI22" s="270" t="str">
        <f>IFERROR(INDEX('Inputs (2)'!$D$56:$AL$56,MATCH(AI$7&amp;"",'Inputs (2)'!$D$2:$AL$2,0)),"")</f>
        <v/>
      </c>
    </row>
    <row r="23">
      <c r="C23" s="271" t="inlineStr">
        <is>
          <t>Receita liquida (soma dos segmentos)</t>
        </is>
      </c>
      <c r="D23" s="269" t="str">
        <f>IF(COUNT(D19:D22)&lt;4,"",SUM(D19:D22))</f>
        <v/>
      </c>
      <c r="E23" s="269" t="str">
        <f>IF(COUNT(E19:E22)&lt;4,"",SUM(E19:E22))</f>
        <v/>
      </c>
      <c r="F23" s="269" t="str">
        <f>IF(COUNT(F19:F22)&lt;4,"",SUM(F19:F22))</f>
        <v/>
      </c>
      <c r="G23" s="269" t="str">
        <f>IF(COUNT(G19:G22)&lt;4,"",SUM(G19:G22))</f>
        <v/>
      </c>
      <c r="H23" s="270" t="str">
        <f>IF(COUNT(H19:H22)&lt;4,"",SUM(H19:H22))</f>
        <v/>
      </c>
      <c r="I23" s="269">
        <f>IF(COUNT(I19:I22)&lt;4,"",SUM(I19:I22))</f>
        <v>87.625</v>
      </c>
      <c r="J23" s="269">
        <f>IF(COUNT(J19:J22)&lt;4,"",SUM(J19:J22))</f>
        <v>92.687</v>
      </c>
      <c r="K23" s="269">
        <f>IF(COUNT(K19:K22)&lt;4,"",SUM(K19:K22))</f>
        <v>99.841</v>
      </c>
      <c r="L23" s="269">
        <f>IF(COUNT(L19:L22)&lt;4,"",SUM(L19:L22))</f>
        <v>155.363</v>
      </c>
      <c r="M23" s="270">
        <f>IF(COUNT(M19:M22)&lt;4,"",SUM(M19:M22))</f>
        <v>435.516</v>
      </c>
      <c r="N23" s="269">
        <f>IF(COUNT(N19:N22)&lt;4,"",SUM(N19:N22))</f>
        <v>99.226</v>
      </c>
      <c r="O23" s="269">
        <f>IF(COUNT(O19:O22)&lt;4,"",SUM(O19:O22))</f>
        <v>150.612</v>
      </c>
      <c r="P23" s="269">
        <f>IF(COUNT(P19:P22)&lt;4,"",SUM(P19:P22))</f>
        <v>197.176</v>
      </c>
      <c r="Q23" s="269">
        <f>IF(COUNT(Q19:Q22)&lt;4,"",SUM(Q19:Q22))</f>
        <v>179.209</v>
      </c>
      <c r="R23" s="270">
        <f>IF(COUNT(R19:R22)&lt;4,"",SUM(R19:R22))</f>
        <v>626.223</v>
      </c>
      <c r="S23" s="269">
        <f>IF(COUNT(S19:S22)&lt;4,"",SUM(S19:S22))</f>
        <v>188.845</v>
      </c>
      <c r="T23" s="269">
        <f>IF(COUNT(T19:T22)&lt;4,"",SUM(T19:T22))</f>
        <v>196.245</v>
      </c>
      <c r="U23" s="269">
        <f>IF(COUNT(U19:U22)&lt;4,"",SUM(U19:U22))</f>
        <v>192.599</v>
      </c>
      <c r="V23" s="269">
        <f>IF(COUNT(V19:V22)&lt;4,"",SUM(V19:V22))</f>
        <v>198.587</v>
      </c>
      <c r="W23" s="270">
        <f>IF(COUNT(W19:W22)&lt;4,"",SUM(W19:W22))</f>
        <v>776.276</v>
      </c>
      <c r="X23" s="269">
        <f>IF(COUNT(X19:X22)&lt;4,"",SUM(X19:X22))</f>
        <v>209.146</v>
      </c>
      <c r="Y23" s="269">
        <f>IF(COUNT(Y19:Y22)&lt;4,"",SUM(Y19:Y22))</f>
        <v>215.047</v>
      </c>
      <c r="Z23" s="269">
        <f>IF(COUNT(Z19:Z22)&lt;4,"",SUM(Z19:Z22))</f>
        <v>249.073</v>
      </c>
      <c r="AA23" s="269">
        <f>IF(COUNT(AA19:AA22)&lt;4,"",SUM(AA19:AA22))</f>
        <v>230.206</v>
      </c>
      <c r="AB23" s="270">
        <f>IF(COUNT(AB19:AB22)&lt;4,"",SUM(AB19:AB22))</f>
        <v>903.472</v>
      </c>
      <c r="AC23" s="269">
        <f>IF(COUNT(AC19:AC22)&lt;4,"",SUM(AC19:AC22))</f>
        <v>240.8</v>
      </c>
      <c r="AD23" s="269">
        <f>IF(COUNT(AD19:AD22)&lt;4,"",SUM(AD19:AD22))</f>
        <v>264.182</v>
      </c>
      <c r="AE23" s="269">
        <f>IF(COUNT(AE19:AE22)&lt;4,"",SUM(AE19:AE22))</f>
        <v>281.05</v>
      </c>
      <c r="AF23" s="269">
        <f>IF(COUNT(AF19:AF22)&lt;4,"",SUM(AF19:AF22))</f>
        <v>264.309</v>
      </c>
      <c r="AG23" s="270">
        <f>IF(COUNT(AG19:AG22)&lt;4,"",SUM(AG19:AG22))</f>
        <v>1050.341</v>
      </c>
      <c r="AH23" s="270">
        <f>IF(COUNT(AH19:AH22)&lt;4,"",SUM(AH19:AH22))</f>
        <v>331.076</v>
      </c>
      <c r="AI23" s="270" t="str">
        <f>IF(COUNT(AI19:AI22)&lt;4,"",SUM(AI19:AI22))</f>
        <v/>
      </c>
    </row>
    <row r="24">
      <c r="C24" s="268" t="inlineStr">
        <is>
          <t>Check vs Net Revenues (linha 15; diferencas de R$ 1 mil = arredondamento)</t>
        </is>
      </c>
      <c r="D24" s="269" t="str">
        <f>IF(COUNT(D23)=0,"",ROUND(D15-D23,3))</f>
        <v/>
      </c>
      <c r="E24" s="269" t="str">
        <f>IF(COUNT(E23)=0,"",ROUND(E15-E23,3))</f>
        <v/>
      </c>
      <c r="F24" s="269" t="str">
        <f>IF(COUNT(F23)=0,"",ROUND(F15-F23,3))</f>
        <v/>
      </c>
      <c r="G24" s="269" t="str">
        <f>IF(COUNT(G23)=0,"",ROUND(G15-G23,3))</f>
        <v/>
      </c>
      <c r="H24" s="270" t="str">
        <f>IF(COUNT(H23)=0,"",ROUND(H15-H23,3))</f>
        <v/>
      </c>
      <c r="I24" s="269">
        <f>IF(COUNT(I23)=0,"",ROUND(I15-I23,3))</f>
        <v>0</v>
      </c>
      <c r="J24" s="269">
        <f>IF(COUNT(J23)=0,"",ROUND(J15-J23,3))</f>
        <v>0</v>
      </c>
      <c r="K24" s="269">
        <f>IF(COUNT(K23)=0,"",ROUND(K15-K23,3))</f>
        <v>0</v>
      </c>
      <c r="L24" s="269">
        <f>IF(COUNT(L23)=0,"",ROUND(L15-L23,3))</f>
        <v>0</v>
      </c>
      <c r="M24" s="270">
        <f>IF(COUNT(M23)=0,"",ROUND(M15-M23,3))</f>
        <v>0</v>
      </c>
      <c r="N24" s="269">
        <f>IF(COUNT(N23)=0,"",ROUND(N15-N23,3))</f>
        <v>0</v>
      </c>
      <c r="O24" s="269">
        <f>IF(COUNT(O23)=0,"",ROUND(O15-O23,3))</f>
        <v>0</v>
      </c>
      <c r="P24" s="269">
        <f>IF(COUNT(P23)=0,"",ROUND(P15-P23,3))</f>
        <v>0.001</v>
      </c>
      <c r="Q24" s="269">
        <f>IF(COUNT(Q23)=0,"",ROUND(Q15-Q23,3))</f>
        <v>0</v>
      </c>
      <c r="R24" s="270">
        <f>IF(COUNT(R23)=0,"",ROUND(R15-R23,3))</f>
        <v>0.001</v>
      </c>
      <c r="S24" s="269">
        <f>IF(COUNT(S23)=0,"",ROUND(S15-S23,3))</f>
        <v>0</v>
      </c>
      <c r="T24" s="269">
        <f>IF(COUNT(T23)=0,"",ROUND(T15-T23,3))</f>
        <v>0</v>
      </c>
      <c r="U24" s="269">
        <f>IF(COUNT(U23)=0,"",ROUND(U15-U23,3))</f>
        <v>0</v>
      </c>
      <c r="V24" s="269">
        <f>IF(COUNT(V23)=0,"",ROUND(V15-V23,3))</f>
        <v>0</v>
      </c>
      <c r="W24" s="270">
        <f>IF(COUNT(W23)=0,"",ROUND(W15-W23,3))</f>
        <v>0</v>
      </c>
      <c r="X24" s="269">
        <f>IF(COUNT(X23)=0,"",ROUND(X15-X23,3))</f>
        <v>0</v>
      </c>
      <c r="Y24" s="269">
        <f>IF(COUNT(Y23)=0,"",ROUND(Y15-Y23,3))</f>
        <v>0</v>
      </c>
      <c r="Z24" s="269">
        <f>IF(COUNT(Z23)=0,"",ROUND(Z15-Z23,3))</f>
        <v>0.001</v>
      </c>
      <c r="AA24" s="269">
        <f>IF(COUNT(AA23)=0,"",ROUND(AA15-AA23,3))</f>
        <v>0</v>
      </c>
      <c r="AB24" s="270">
        <f>IF(COUNT(AB23)=0,"",ROUND(AB15-AB23,3))</f>
        <v>0.001</v>
      </c>
      <c r="AC24" s="269">
        <f>IF(COUNT(AC23)=0,"",ROUND(AC15-AC23,3))</f>
        <v>0</v>
      </c>
      <c r="AD24" s="269">
        <f>IF(COUNT(AD23)=0,"",ROUND(AD15-AD23,3))</f>
        <v>-0.001</v>
      </c>
      <c r="AE24" s="269">
        <f>IF(COUNT(AE23)=0,"",ROUND(AE15-AE23,3))</f>
        <v>0</v>
      </c>
      <c r="AF24" s="269">
        <f>IF(COUNT(AF23)=0,"",ROUND(AF15-AF23,3))</f>
        <v>0</v>
      </c>
      <c r="AG24" s="270">
        <f>IF(COUNT(AG23)=0,"",ROUND(AG15-AG23,3))</f>
        <v>-0.001</v>
      </c>
      <c r="AH24" s="270">
        <f>IF(COUNT(AH23)=0,"",ROUND(AH15-AH23,3))</f>
        <v>0</v>
      </c>
      <c r="AI24" s="270" t="str">
        <f>IF(COUNT(AI23)=0,"",ROUND(AI15-AI23,3))</f>
        <v/>
      </c>
    </row>
    <row r="25">
      <c r="C25" s="268" t="inlineStr">
        <is>
          <t xml:space="preserve">   dos quais: creditos de carbono (dentro de Energia)</t>
        </is>
      </c>
      <c r="D25" s="269" t="str">
        <f>IFERROR(INDEX('Inputs (2)'!$D$57:$AL$57,MATCH(D$7&amp;"",'Inputs (2)'!$D$2:$AL$2,0)),"")</f>
        <v/>
      </c>
      <c r="E25" s="269" t="str">
        <f>IFERROR(INDEX('Inputs (2)'!$D$57:$AL$57,MATCH(E$7&amp;"",'Inputs (2)'!$D$2:$AL$2,0)),"")</f>
        <v/>
      </c>
      <c r="F25" s="269" t="str">
        <f>IFERROR(INDEX('Inputs (2)'!$D$57:$AL$57,MATCH(F$7&amp;"",'Inputs (2)'!$D$2:$AL$2,0)),"")</f>
        <v/>
      </c>
      <c r="G25" s="269" t="str">
        <f>IFERROR(INDEX('Inputs (2)'!$D$57:$AL$57,MATCH(G$7&amp;"",'Inputs (2)'!$D$2:$AL$2,0)),"")</f>
        <v/>
      </c>
      <c r="H25" s="270" t="str">
        <f>IF(COUNT(D25:G25)=4,SUM(D25:G25),"")</f>
        <v/>
      </c>
      <c r="I25" s="269">
        <f>IFERROR(INDEX('Inputs (2)'!$D$57:$AL$57,MATCH(I$7&amp;"",'Inputs (2)'!$D$2:$AL$2,0)),"")</f>
        <v>0</v>
      </c>
      <c r="J25" s="269">
        <f>IFERROR(INDEX('Inputs (2)'!$D$57:$AL$57,MATCH(J$7&amp;"",'Inputs (2)'!$D$2:$AL$2,0)),"")</f>
        <v>0</v>
      </c>
      <c r="K25" s="269">
        <f>IFERROR(INDEX('Inputs (2)'!$D$57:$AL$57,MATCH(K$7&amp;"",'Inputs (2)'!$D$2:$AL$2,0)),"")</f>
        <v>1.687</v>
      </c>
      <c r="L25" s="269">
        <f>IFERROR(INDEX('Inputs (2)'!$D$57:$AL$57,MATCH(L$7&amp;"",'Inputs (2)'!$D$2:$AL$2,0)),"")</f>
        <v>42.103</v>
      </c>
      <c r="M25" s="270">
        <f>IF(COUNT(I25:L25)=4,SUM(I25:L25),"")</f>
        <v>43.79</v>
      </c>
      <c r="N25" s="269">
        <f>IFERROR(INDEX('Inputs (2)'!$D$57:$AL$57,MATCH(N$7&amp;"",'Inputs (2)'!$D$2:$AL$2,0)),"")</f>
        <v>0</v>
      </c>
      <c r="O25" s="269">
        <f>IFERROR(INDEX('Inputs (2)'!$D$57:$AL$57,MATCH(O$7&amp;"",'Inputs (2)'!$D$2:$AL$2,0)),"")</f>
        <v>0</v>
      </c>
      <c r="P25" s="269">
        <f>IFERROR(INDEX('Inputs (2)'!$D$57:$AL$57,MATCH(P$7&amp;"",'Inputs (2)'!$D$2:$AL$2,0)),"")</f>
        <v>0</v>
      </c>
      <c r="Q25" s="269">
        <f>IFERROR(INDEX('Inputs (2)'!$D$57:$AL$57,MATCH(Q$7&amp;"",'Inputs (2)'!$D$2:$AL$2,0)),"")</f>
        <v>0</v>
      </c>
      <c r="R25" s="270">
        <f>IF(COUNT(N25:Q25)=4,SUM(N25:Q25),"")</f>
        <v>0</v>
      </c>
      <c r="S25" s="269">
        <f>IFERROR(INDEX('Inputs (2)'!$D$57:$AL$57,MATCH(S$7&amp;"",'Inputs (2)'!$D$2:$AL$2,0)),"")</f>
        <v>0</v>
      </c>
      <c r="T25" s="269">
        <f>IFERROR(INDEX('Inputs (2)'!$D$57:$AL$57,MATCH(T$7&amp;"",'Inputs (2)'!$D$2:$AL$2,0)),"")</f>
        <v>0</v>
      </c>
      <c r="U25" s="269">
        <f>IFERROR(INDEX('Inputs (2)'!$D$57:$AL$57,MATCH(U$7&amp;"",'Inputs (2)'!$D$2:$AL$2,0)),"")</f>
        <v>0</v>
      </c>
      <c r="V25" s="269">
        <f>IFERROR(INDEX('Inputs (2)'!$D$57:$AL$57,MATCH(V$7&amp;"",'Inputs (2)'!$D$2:$AL$2,0)),"")</f>
        <v>0</v>
      </c>
      <c r="W25" s="270">
        <f>IF(COUNT(S25:V25)=4,SUM(S25:V25),"")</f>
        <v>0</v>
      </c>
      <c r="X25" s="269" t="str">
        <f>IFERROR(INDEX('Inputs (2)'!$D$57:$AL$57,MATCH(X$7&amp;"",'Inputs (2)'!$D$2:$AL$2,0)),"")</f>
        <v/>
      </c>
      <c r="Y25" s="269">
        <f>IFERROR(INDEX('Inputs (2)'!$D$57:$AL$57,MATCH(Y$7&amp;"",'Inputs (2)'!$D$2:$AL$2,0)),"")</f>
        <v>0</v>
      </c>
      <c r="Z25" s="269">
        <f>IFERROR(INDEX('Inputs (2)'!$D$57:$AL$57,MATCH(Z$7&amp;"",'Inputs (2)'!$D$2:$AL$2,0)),"")</f>
        <v>37.4</v>
      </c>
      <c r="AA25" s="269">
        <f>IFERROR(INDEX('Inputs (2)'!$D$57:$AL$57,MATCH(AA$7&amp;"",'Inputs (2)'!$D$2:$AL$2,0)),"")</f>
        <v>0</v>
      </c>
      <c r="AB25" s="270" t="str">
        <f>IF(COUNT(X25:AA25)=4,SUM(X25:AA25),"")</f>
        <v/>
      </c>
      <c r="AC25" s="269">
        <f>IFERROR(INDEX('Inputs (2)'!$D$57:$AL$57,MATCH(AC$7&amp;"",'Inputs (2)'!$D$2:$AL$2,0)),"")</f>
        <v>0</v>
      </c>
      <c r="AD25" s="269">
        <f>IFERROR(INDEX('Inputs (2)'!$D$57:$AL$57,MATCH(AD$7&amp;"",'Inputs (2)'!$D$2:$AL$2,0)),"")</f>
        <v>5</v>
      </c>
      <c r="AE25" s="269">
        <f>IFERROR(INDEX('Inputs (2)'!$D$57:$AL$57,MATCH(AE$7&amp;"",'Inputs (2)'!$D$2:$AL$2,0)),"")</f>
        <v>14</v>
      </c>
      <c r="AF25" s="269">
        <f>IFERROR(INDEX('Inputs (2)'!$D$57:$AL$57,MATCH(AF$7&amp;"",'Inputs (2)'!$D$2:$AL$2,0)),"")</f>
        <v>16.5</v>
      </c>
      <c r="AG25" s="270">
        <f>IF(COUNT(AC25:AF25)=4,SUM(AC25:AF25),"")</f>
        <v>35.5</v>
      </c>
      <c r="AH25" s="270">
        <f>IFERROR(INDEX('Inputs (2)'!$D$57:$AL$57,MATCH(AH$7&amp;"",'Inputs (2)'!$D$2:$AL$2,0)),"")</f>
        <v>11.5</v>
      </c>
      <c r="AI25" s="270">
        <f>IFERROR(INDEX('Inputs (2)'!$D$57:$AL$57,MATCH(AI$7&amp;"",'Inputs (2)'!$D$2:$AL$2,0)),"")</f>
        <v>9.2</v>
      </c>
    </row>
    <row r="26">
      <c r="C26" s="268" t="inlineStr">
        <is>
          <t xml:space="preserve">   Energia e biogas ex-creditos de carbono</t>
        </is>
      </c>
      <c r="D26" s="269" t="str">
        <f>IF(COUNT(D20,D25)&lt;2,"",D20-D25)</f>
        <v/>
      </c>
      <c r="E26" s="269" t="str">
        <f>IF(COUNT(E20,E25)&lt;2,"",E20-E25)</f>
        <v/>
      </c>
      <c r="F26" s="269" t="str">
        <f>IF(COUNT(F20,F25)&lt;2,"",F20-F25)</f>
        <v/>
      </c>
      <c r="G26" s="269" t="str">
        <f>IF(COUNT(G20,G25)&lt;2,"",G20-G25)</f>
        <v/>
      </c>
      <c r="H26" s="270" t="str">
        <f>IF(COUNT(H20,H25)&lt;2,"",H20-H25)</f>
        <v/>
      </c>
      <c r="I26" s="269">
        <f>IF(COUNT(I20,I25)&lt;2,"",I20-I25)</f>
        <v>11.233</v>
      </c>
      <c r="J26" s="269">
        <f>IF(COUNT(J20,J25)&lt;2,"",J20-J25)</f>
        <v>12.297</v>
      </c>
      <c r="K26" s="269">
        <f>IF(COUNT(K20,K25)&lt;2,"",K20-K25)</f>
        <v>18.171</v>
      </c>
      <c r="L26" s="269">
        <f>IF(COUNT(L20,L25)&lt;2,"",L20-L25)</f>
        <v>17.985</v>
      </c>
      <c r="M26" s="270">
        <f>IF(COUNT(M20,M25)&lt;2,"",M20-M25)</f>
        <v>59.686</v>
      </c>
      <c r="N26" s="269">
        <f>IF(COUNT(N20,N25)&lt;2,"",N20-N25)</f>
        <v>9.996</v>
      </c>
      <c r="O26" s="269">
        <f>IF(COUNT(O20,O25)&lt;2,"",O20-O25)</f>
        <v>10.498</v>
      </c>
      <c r="P26" s="269">
        <f>IF(COUNT(P20,P25)&lt;2,"",P20-P25)</f>
        <v>22.127</v>
      </c>
      <c r="Q26" s="269">
        <f>IF(COUNT(Q20,Q25)&lt;2,"",Q20-Q25)</f>
        <v>17.087</v>
      </c>
      <c r="R26" s="270">
        <f>IF(COUNT(R20,R25)&lt;2,"",R20-R25)</f>
        <v>59.708</v>
      </c>
      <c r="S26" s="269">
        <f>IF(COUNT(S20,S25)&lt;2,"",S20-S25)</f>
        <v>28.881</v>
      </c>
      <c r="T26" s="269">
        <f>IF(COUNT(T20,T25)&lt;2,"",T20-T25)</f>
        <v>27.481</v>
      </c>
      <c r="U26" s="269">
        <f>IF(COUNT(U20,U25)&lt;2,"",U20-U25)</f>
        <v>30.562</v>
      </c>
      <c r="V26" s="269">
        <f>IF(COUNT(V20,V25)&lt;2,"",V20-V25)</f>
        <v>29.824</v>
      </c>
      <c r="W26" s="270">
        <f>IF(COUNT(W20,W25)&lt;2,"",W20-W25)</f>
        <v>116.748</v>
      </c>
      <c r="X26" s="269" t="str">
        <f>IF(COUNT(X20,X25)&lt;2,"",X20-X25)</f>
        <v/>
      </c>
      <c r="Y26" s="269">
        <f>IF(COUNT(Y20,Y25)&lt;2,"",Y20-Y25)</f>
        <v>33.98</v>
      </c>
      <c r="Z26" s="269">
        <f>IF(COUNT(Z20,Z25)&lt;2,"",Z20-Z25)</f>
        <v>25.817</v>
      </c>
      <c r="AA26" s="269">
        <f>IF(COUNT(AA20,AA25)&lt;2,"",AA20-AA25)</f>
        <v>41.805</v>
      </c>
      <c r="AB26" s="270" t="str">
        <f>IF(COUNT(AB20,AB25)&lt;2,"",AB20-AB25)</f>
        <v/>
      </c>
      <c r="AC26" s="269">
        <f>IF(COUNT(AC20,AC25)&lt;2,"",AC20-AC25)</f>
        <v>47.138</v>
      </c>
      <c r="AD26" s="269">
        <f>IF(COUNT(AD20,AD25)&lt;2,"",AD20-AD25)</f>
        <v>61.302</v>
      </c>
      <c r="AE26" s="269">
        <f>IF(COUNT(AE20,AE25)&lt;2,"",AE20-AE25)</f>
        <v>63.08</v>
      </c>
      <c r="AF26" s="269">
        <f>IF(COUNT(AF20,AF25)&lt;2,"",AF20-AF25)</f>
        <v>50.879</v>
      </c>
      <c r="AG26" s="270">
        <f>IF(COUNT(AG20,AG25)&lt;2,"",AG20-AG25)</f>
        <v>222.399</v>
      </c>
      <c r="AH26" s="270">
        <f>IF(COUNT(AH20,AH25)&lt;2,"",AH20-AH25)</f>
        <v>99.514</v>
      </c>
      <c r="AI26" s="270" t="str">
        <f>IF(COUNT(AI20,AI25)&lt;2,"",AI20-AI25)</f>
        <v/>
      </c>
    </row>
    <row r="27">
      <c r="C27" s="268" t="inlineStr">
        <is>
          <t xml:space="preserve">   % YoY Tratamento e destinacao final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IFERROR(I19/D19-1,"")</f>
        <v/>
      </c>
      <c r="J27" s="272" t="str">
        <f>IFERROR(J19/E19-1,"")</f>
        <v/>
      </c>
      <c r="K27" s="272" t="str">
        <f>IFERROR(K19/F19-1,"")</f>
        <v/>
      </c>
      <c r="L27" s="272" t="str">
        <f>IFERROR(L19/G19-1,"")</f>
        <v/>
      </c>
      <c r="M27" s="273" t="str">
        <f>IFERROR(M19/H19-1,"")</f>
        <v/>
      </c>
      <c r="N27" s="272">
        <f>IFERROR(N19/I19-1,"")</f>
        <v>0.20682785765925</v>
      </c>
      <c r="O27" s="272">
        <f>IFERROR(O19/J19-1,"")</f>
        <v>0.957959308207409</v>
      </c>
      <c r="P27" s="272">
        <f>IFERROR(P19/K19-1,"")</f>
        <v>1.41287522717303</v>
      </c>
      <c r="Q27" s="272">
        <f>IFERROR(Q19/L19-1,"")</f>
        <v>0.796275733557964</v>
      </c>
      <c r="R27" s="273">
        <f>IFERROR(R19/M19-1,"")</f>
        <v>0.844025242128708</v>
      </c>
      <c r="S27" s="272">
        <f>IFERROR(S19/N19-1,"")</f>
        <v>0.817210026757545</v>
      </c>
      <c r="T27" s="272">
        <f>IFERROR(T19/O19-1,"")</f>
        <v>0.215938914769372</v>
      </c>
      <c r="U27" s="272">
        <f>IFERROR(U19/P19-1,"")</f>
        <v>-0.0569577102636858</v>
      </c>
      <c r="V27" s="272">
        <f>IFERROR(V19/Q19-1,"")</f>
        <v>0.0872530908057412</v>
      </c>
      <c r="W27" s="273">
        <f>IFERROR(W19/R19-1,"")</f>
        <v>0.185493578638297</v>
      </c>
      <c r="X27" s="272">
        <f>IFERROR(X19/S19-1,"")</f>
        <v>0.190048861963123</v>
      </c>
      <c r="Y27" s="272">
        <f>IFERROR(Y19/T19-1,"")</f>
        <v>0.0815475829134544</v>
      </c>
      <c r="Z27" s="272">
        <f>IFERROR(Z19/U19-1,"")</f>
        <v>0.12559471759951</v>
      </c>
      <c r="AA27" s="272">
        <f>IFERROR(AA19/V19-1,"")</f>
        <v>0.0940138543981179</v>
      </c>
      <c r="AB27" s="273">
        <f>IFERROR(AB19/W19-1,"")</f>
        <v>0.1211963205442</v>
      </c>
      <c r="AC27" s="272">
        <f>IFERROR(AC19/X19-1,"")</f>
        <v>0.0728408741151123</v>
      </c>
      <c r="AD27" s="272">
        <f>IFERROR(AD19/Y19-1,"")</f>
        <v>0.114327053203365</v>
      </c>
      <c r="AE27" s="272">
        <f>IFERROR(AE19/Z19-1,"")</f>
        <v>0.115232630690368</v>
      </c>
      <c r="AF27" s="272">
        <f>IFERROR(AF19/AA19-1,"")</f>
        <v>0.0844473913718744</v>
      </c>
      <c r="AG27" s="273">
        <f>IFERROR(AG19/AB19-1,"")</f>
        <v>0.0965914566891191</v>
      </c>
      <c r="AH27" s="273">
        <f>IFERROR(AH19/AC19-1,"")</f>
        <v>0.164743549284784</v>
      </c>
      <c r="AI27" s="273" t="str">
        <f>IFERROR(AI19/AD19-1,"")</f>
        <v/>
      </c>
    </row>
    <row r="28">
      <c r="C28" s="268" t="inlineStr">
        <is>
          <t xml:space="preserve">   % YoY Energia, biogas e carbono</t>
        </is>
      </c>
      <c r="D28" s="272" t="str">
        <f>""</f>
        <v/>
      </c>
      <c r="E28" s="272" t="str">
        <f>""</f>
        <v/>
      </c>
      <c r="F28" s="272" t="str">
        <f>""</f>
        <v/>
      </c>
      <c r="G28" s="272" t="str">
        <f>""</f>
        <v/>
      </c>
      <c r="H28" s="273" t="str">
        <f>""</f>
        <v/>
      </c>
      <c r="I28" s="272" t="str">
        <f>IFERROR(I20/D20-1,"")</f>
        <v/>
      </c>
      <c r="J28" s="272" t="str">
        <f>IFERROR(J20/E20-1,"")</f>
        <v/>
      </c>
      <c r="K28" s="272" t="str">
        <f>IFERROR(K20/F20-1,"")</f>
        <v/>
      </c>
      <c r="L28" s="272" t="str">
        <f>IFERROR(L20/G20-1,"")</f>
        <v/>
      </c>
      <c r="M28" s="273" t="str">
        <f>IFERROR(M20/H20-1,"")</f>
        <v/>
      </c>
      <c r="N28" s="272">
        <f>IFERROR(N20/I20-1,"")</f>
        <v>-0.110121962076026</v>
      </c>
      <c r="O28" s="272">
        <f>IFERROR(O20/J20-1,"")</f>
        <v>-0.146295844514922</v>
      </c>
      <c r="P28" s="272">
        <f>IFERROR(P20/K20-1,"")</f>
        <v>0.11426125490986</v>
      </c>
      <c r="Q28" s="272">
        <f>IFERROR(Q20/L20-1,"")</f>
        <v>-0.715633737185461</v>
      </c>
      <c r="R28" s="273">
        <f>IFERROR(R20/M20-1,"")</f>
        <v>-0.422977308747922</v>
      </c>
      <c r="S28" s="272">
        <f>IFERROR(S20/N20-1,"")</f>
        <v>1.88925570228091</v>
      </c>
      <c r="T28" s="272">
        <f>IFERROR(T20/O20-1,"")</f>
        <v>1.61773671175462</v>
      </c>
      <c r="U28" s="272">
        <f>IFERROR(U20/P20-1,"")</f>
        <v>0.381208478329643</v>
      </c>
      <c r="V28" s="272">
        <f>IFERROR(V20/Q20-1,"")</f>
        <v>0.745420495113244</v>
      </c>
      <c r="W28" s="273">
        <f>IFERROR(W20/R20-1,"")</f>
        <v>0.955315870570108</v>
      </c>
      <c r="X28" s="272">
        <f>IFERROR(X20/S20-1,"")</f>
        <v>0.0626363353069492</v>
      </c>
      <c r="Y28" s="272">
        <f>IFERROR(Y20/T20-1,"")</f>
        <v>0.23649066627852</v>
      </c>
      <c r="Z28" s="272">
        <f>IFERROR(Z20/U20-1,"")</f>
        <v>1.06848373797526</v>
      </c>
      <c r="AA28" s="272">
        <f>IFERROR(AA20/V20-1,"")</f>
        <v>0.401723444206009</v>
      </c>
      <c r="AB28" s="273">
        <f>IFERROR(AB20/W20-1,"")</f>
        <v>0.453489567273101</v>
      </c>
      <c r="AC28" s="272">
        <f>IFERROR(AC20/X20-1,"")</f>
        <v>0.535940045617465</v>
      </c>
      <c r="AD28" s="272">
        <f>IFERROR(AD20/Y20-1,"")</f>
        <v>0.951206592113008</v>
      </c>
      <c r="AE28" s="272">
        <f>IFERROR(AE20/Z20-1,"")</f>
        <v>0.219292278975592</v>
      </c>
      <c r="AF28" s="272">
        <f>IFERROR(AF20/AA20-1,"")</f>
        <v>0.611745006578161</v>
      </c>
      <c r="AG28" s="273">
        <f>IFERROR(AG20/AB20-1,"")</f>
        <v>0.519806472903849</v>
      </c>
      <c r="AH28" s="273">
        <f>IFERROR(AH20/AC20-1,"")</f>
        <v>1.35508506937078</v>
      </c>
      <c r="AI28" s="273" t="str">
        <f>IFERROR(AI20/AD20-1,"")</f>
        <v/>
      </c>
    </row>
    <row r="29">
      <c r="C29" s="268" t="inlineStr">
        <is>
          <t xml:space="preserve">   % YoY receita liquida</t>
        </is>
      </c>
      <c r="D29" s="272" t="str">
        <f>""</f>
        <v/>
      </c>
      <c r="E29" s="272" t="str">
        <f>""</f>
        <v/>
      </c>
      <c r="F29" s="272" t="str">
        <f>""</f>
        <v/>
      </c>
      <c r="G29" s="272" t="str">
        <f>""</f>
        <v/>
      </c>
      <c r="H29" s="273" t="str">
        <f>""</f>
        <v/>
      </c>
      <c r="I29" s="272" t="str">
        <f>IFERROR(I23/D23-1,"")</f>
        <v/>
      </c>
      <c r="J29" s="272" t="str">
        <f>IFERROR(J23/E23-1,"")</f>
        <v/>
      </c>
      <c r="K29" s="272" t="str">
        <f>IFERROR(K23/F23-1,"")</f>
        <v/>
      </c>
      <c r="L29" s="272" t="str">
        <f>IFERROR(L23/G23-1,"")</f>
        <v/>
      </c>
      <c r="M29" s="273" t="str">
        <f>IFERROR(M23/H23-1,"")</f>
        <v/>
      </c>
      <c r="N29" s="272">
        <f>IFERROR(N23/I23-1,"")</f>
        <v>0.132393723252496</v>
      </c>
      <c r="O29" s="272">
        <f>IFERROR(O23/J23-1,"")</f>
        <v>0.62495279812703</v>
      </c>
      <c r="P29" s="272">
        <f>IFERROR(P23/K23-1,"")</f>
        <v>0.97490009114492</v>
      </c>
      <c r="Q29" s="272">
        <f>IFERROR(Q23/L23-1,"")</f>
        <v>0.153485707665274</v>
      </c>
      <c r="R29" s="273">
        <f>IFERROR(R23/M23-1,"")</f>
        <v>0.43788747141322</v>
      </c>
      <c r="S29" s="272">
        <f>IFERROR(S23/N23-1,"")</f>
        <v>0.90318061798319</v>
      </c>
      <c r="T29" s="272">
        <f>IFERROR(T23/O23-1,"")</f>
        <v>0.302983825989961</v>
      </c>
      <c r="U29" s="272">
        <f>IFERROR(U23/P23-1,"")</f>
        <v>-0.0232127642309409</v>
      </c>
      <c r="V29" s="272">
        <f>IFERROR(V23/Q23-1,"")</f>
        <v>0.10813073004146</v>
      </c>
      <c r="W29" s="273">
        <f>IFERROR(W23/R23-1,"")</f>
        <v>0.239615919568588</v>
      </c>
      <c r="X29" s="272">
        <f>IFERROR(X23/S23-1,"")</f>
        <v>0.107500860494056</v>
      </c>
      <c r="Y29" s="272">
        <f>IFERROR(Y23/T23-1,"")</f>
        <v>0.0958088104155519</v>
      </c>
      <c r="Z29" s="272">
        <f>IFERROR(Z23/U23-1,"")</f>
        <v>0.293220629390599</v>
      </c>
      <c r="AA29" s="272">
        <f>IFERROR(AA23/V23-1,"")</f>
        <v>0.15921988851234</v>
      </c>
      <c r="AB29" s="273">
        <f>IFERROR(AB23/W23-1,"")</f>
        <v>0.163854093131824</v>
      </c>
      <c r="AC29" s="272">
        <f>IFERROR(AC23/X23-1,"")</f>
        <v>0.151348818528683</v>
      </c>
      <c r="AD29" s="272">
        <f>IFERROR(AD23/Y23-1,"")</f>
        <v>0.228484935851233</v>
      </c>
      <c r="AE29" s="272">
        <f>IFERROR(AE23/Z23-1,"")</f>
        <v>0.12838404805017</v>
      </c>
      <c r="AF29" s="272">
        <f>IFERROR(AF23/AA23-1,"")</f>
        <v>0.148141230028757</v>
      </c>
      <c r="AG29" s="273">
        <f>IFERROR(AG23/AB23-1,"")</f>
        <v>0.16256065489578</v>
      </c>
      <c r="AH29" s="273">
        <f>IFERROR(AH23/AC23-1,"")</f>
        <v>0.374900332225914</v>
      </c>
      <c r="AI29" s="273" t="str">
        <f>IFERROR(AI23/AD23-1,"")</f>
        <v/>
      </c>
    </row>
    <row r="30">
      <c r="C30" s="268" t="inlineStr">
        <is>
          <t xml:space="preserve">   % Tratamento e destinacao na receita</t>
        </is>
      </c>
      <c r="D30" s="272" t="str">
        <f>IFERROR(D19/D23,"")</f>
        <v/>
      </c>
      <c r="E30" s="272" t="str">
        <f>IFERROR(E19/E23,"")</f>
        <v/>
      </c>
      <c r="F30" s="272" t="str">
        <f>IFERROR(F19/F23,"")</f>
        <v/>
      </c>
      <c r="G30" s="272" t="str">
        <f>IFERROR(G19/G23,"")</f>
        <v/>
      </c>
      <c r="H30" s="273" t="str">
        <f>IFERROR(H19/H23,"")</f>
        <v/>
      </c>
      <c r="I30" s="272">
        <f>IFERROR(I19/I23,"")</f>
        <v>0.710356633380884</v>
      </c>
      <c r="J30" s="272">
        <f>IFERROR(J19/J23,"")</f>
        <v>0.671863368109875</v>
      </c>
      <c r="K30" s="272">
        <f>IFERROR(K19/K23,"")</f>
        <v>0.639296481405435</v>
      </c>
      <c r="L30" s="272">
        <f>IFERROR(L19/L23,"")</f>
        <v>0.504309262823195</v>
      </c>
      <c r="M30" s="273">
        <f>IFERROR(M19/M23,"")</f>
        <v>0.612370154024192</v>
      </c>
      <c r="N30" s="272">
        <f>IFERROR(N19/N23,"")</f>
        <v>0.757049563622438</v>
      </c>
      <c r="O30" s="272">
        <f>IFERROR(O19/O23,"")</f>
        <v>0.809550367832576</v>
      </c>
      <c r="P30" s="272">
        <f>IFERROR(P19/P23,"")</f>
        <v>0.781073761512557</v>
      </c>
      <c r="Q30" s="272">
        <f>IFERROR(Q19/Q23,"")</f>
        <v>0.785340021985503</v>
      </c>
      <c r="R30" s="273">
        <f>IFERROR(R19/R23,"")</f>
        <v>0.78533685284635</v>
      </c>
      <c r="S30" s="272">
        <f>IFERROR(S19/S23,"")</f>
        <v>0.722852074452594</v>
      </c>
      <c r="T30" s="272">
        <f>IFERROR(T19/T23,"")</f>
        <v>0.755468929144692</v>
      </c>
      <c r="U30" s="272">
        <f>IFERROR(U19/U23,"")</f>
        <v>0.754090104309991</v>
      </c>
      <c r="V30" s="272">
        <f>IFERROR(V19/V23,"")</f>
        <v>0.770543892601228</v>
      </c>
      <c r="W30" s="273">
        <f>IFERROR(W19/W23,"")</f>
        <v>0.751048596117876</v>
      </c>
      <c r="X30" s="272">
        <f>IFERROR(X19/X23,"")</f>
        <v>0.776730131104587</v>
      </c>
      <c r="Y30" s="272">
        <f>IFERROR(Y19/Y23,"")</f>
        <v>0.745637000283659</v>
      </c>
      <c r="Z30" s="272">
        <f>IFERROR(Z19/Z23,"")</f>
        <v>0.656345729966717</v>
      </c>
      <c r="AA30" s="272">
        <f>IFERROR(AA19/AA23,"")</f>
        <v>0.727200854886493</v>
      </c>
      <c r="AB30" s="273">
        <f>IFERROR(AB19/AB23,"")</f>
        <v>0.723521038836843</v>
      </c>
      <c r="AC30" s="272">
        <f>IFERROR(AC19/AC23,"")</f>
        <v>0.723766611295681</v>
      </c>
      <c r="AD30" s="272">
        <f>IFERROR(AD19/AD23,"")</f>
        <v>0.676348123642035</v>
      </c>
      <c r="AE30" s="272">
        <f>IFERROR(AE19/AE23,"")</f>
        <v>0.648695961572674</v>
      </c>
      <c r="AF30" s="272">
        <f>IFERROR(AF19/AF23,"")</f>
        <v>0.686858941617576</v>
      </c>
      <c r="AG30" s="273">
        <f>IFERROR(AG19/AG23,"")</f>
        <v>0.682465028024232</v>
      </c>
      <c r="AH30" s="273">
        <f>IFERROR(AH19/AH23,"")</f>
        <v>0.613137164880571</v>
      </c>
      <c r="AI30" s="273" t="str">
        <f>IFERROR(AI19/AI23,"")</f>
        <v/>
      </c>
    </row>
    <row r="31"/>
    <row r="32">
      <c r="C32" s="267" t="inlineStr">
        <is>
          <t>Drivers operacionais - volume x preco e valorizacao do biogas (releases)</t>
        </is>
      </c>
      <c r="D32" s="267">
        <f>D7</f>
        <v>0</v>
      </c>
      <c r="E32" s="267">
        <f>E7</f>
        <v>0</v>
      </c>
      <c r="F32" s="267">
        <f>F7</f>
        <v>0</v>
      </c>
      <c r="G32" s="267">
        <f>G7</f>
        <v>0</v>
      </c>
      <c r="H32" s="267">
        <f>H7</f>
        <v>2020</v>
      </c>
      <c r="I32" s="267" t="str">
        <f>I7</f>
        <v>1Q21</v>
      </c>
      <c r="J32" s="267" t="str">
        <f>J7</f>
        <v>2Q21</v>
      </c>
      <c r="K32" s="267" t="str">
        <f>K7</f>
        <v>3Q21</v>
      </c>
      <c r="L32" s="267" t="str">
        <f>L7</f>
        <v>4Q21</v>
      </c>
      <c r="M32" s="267">
        <f>M7</f>
        <v>2021</v>
      </c>
      <c r="N32" s="267" t="str">
        <f>N7</f>
        <v>1Q22</v>
      </c>
      <c r="O32" s="267" t="str">
        <f>O7</f>
        <v>2Q22</v>
      </c>
      <c r="P32" s="267" t="str">
        <f>P7</f>
        <v>3Q22</v>
      </c>
      <c r="Q32" s="267" t="str">
        <f>Q7</f>
        <v>4Q22</v>
      </c>
      <c r="R32" s="267">
        <f>R7</f>
        <v>2022</v>
      </c>
      <c r="S32" s="267" t="str">
        <f>S7</f>
        <v>1Q23</v>
      </c>
      <c r="T32" s="267" t="str">
        <f>T7</f>
        <v>2Q23</v>
      </c>
      <c r="U32" s="267" t="str">
        <f>U7</f>
        <v>3Q23</v>
      </c>
      <c r="V32" s="267" t="str">
        <f>V7</f>
        <v>4Q23</v>
      </c>
      <c r="W32" s="267">
        <f>W7</f>
        <v>2023</v>
      </c>
      <c r="X32" s="267" t="str">
        <f>X7</f>
        <v>1Q24</v>
      </c>
      <c r="Y32" s="267" t="str">
        <f>Y7</f>
        <v>2Q24</v>
      </c>
      <c r="Z32" s="267" t="str">
        <f>Z7</f>
        <v>3Q24</v>
      </c>
      <c r="AA32" s="267" t="str">
        <f>AA7</f>
        <v>4Q24</v>
      </c>
      <c r="AB32" s="267">
        <f>AB7</f>
        <v>2024</v>
      </c>
      <c r="AC32" s="267" t="str">
        <f>AC7</f>
        <v>1Q25</v>
      </c>
      <c r="AD32" s="267" t="str">
        <f>AD7</f>
        <v>2Q25</v>
      </c>
      <c r="AE32" s="267" t="str">
        <f>AE7</f>
        <v>3Q25</v>
      </c>
      <c r="AF32" s="267" t="str">
        <f>AF7</f>
        <v>4Q25</v>
      </c>
      <c r="AG32" s="267">
        <f>AG7</f>
        <v>2025</v>
      </c>
      <c r="AH32" s="267" t="str">
        <f>AH7</f>
        <v>1Q26</v>
      </c>
      <c r="AI32" s="267" t="str">
        <f>AI7</f>
        <v>2Q26</v>
      </c>
    </row>
    <row r="33">
      <c r="C33" s="268" t="inlineStr">
        <is>
          <t>Volume recebido nos ecoparques (mil t)</t>
        </is>
      </c>
      <c r="D33" s="274" t="str">
        <f>IFERROR(INDEX('Inputs (2)'!$D$58:$AL$58,MATCH(D$7&amp;"",'Inputs (2)'!$D$2:$AL$2,0)),"")</f>
        <v/>
      </c>
      <c r="E33" s="274" t="str">
        <f>IFERROR(INDEX('Inputs (2)'!$D$58:$AL$58,MATCH(E$7&amp;"",'Inputs (2)'!$D$2:$AL$2,0)),"")</f>
        <v/>
      </c>
      <c r="F33" s="274" t="str">
        <f>IFERROR(INDEX('Inputs (2)'!$D$58:$AL$58,MATCH(F$7&amp;"",'Inputs (2)'!$D$2:$AL$2,0)),"")</f>
        <v/>
      </c>
      <c r="G33" s="274" t="str">
        <f>IFERROR(INDEX('Inputs (2)'!$D$58:$AL$58,MATCH(G$7&amp;"",'Inputs (2)'!$D$2:$AL$2,0)),"")</f>
        <v/>
      </c>
      <c r="H33" s="275" t="str">
        <f>IF(COUNT(D33:G33)=4,SUM(D33:G33),"")</f>
        <v/>
      </c>
      <c r="I33" s="274">
        <f>IFERROR(INDEX('Inputs (2)'!$D$58:$AL$58,MATCH(I$7&amp;"",'Inputs (2)'!$D$2:$AL$2,0)),"")</f>
        <v>1194.034</v>
      </c>
      <c r="J33" s="274">
        <f>IFERROR(INDEX('Inputs (2)'!$D$58:$AL$58,MATCH(J$7&amp;"",'Inputs (2)'!$D$2:$AL$2,0)),"")</f>
        <v>1173.4</v>
      </c>
      <c r="K33" s="274">
        <f>IFERROR(INDEX('Inputs (2)'!$D$58:$AL$58,MATCH(K$7&amp;"",'Inputs (2)'!$D$2:$AL$2,0)),"")</f>
        <v>1195.2</v>
      </c>
      <c r="L33" s="274">
        <f>IFERROR(INDEX('Inputs (2)'!$D$58:$AL$58,MATCH(L$7&amp;"",'Inputs (2)'!$D$2:$AL$2,0)),"")</f>
        <v>1221.7</v>
      </c>
      <c r="M33" s="275">
        <f>IF(COUNT(I33:L33)=4,SUM(I33:L33),"")</f>
        <v>4784.334</v>
      </c>
      <c r="N33" s="274">
        <f>IFERROR(INDEX('Inputs (2)'!$D$58:$AL$58,MATCH(N$7&amp;"",'Inputs (2)'!$D$2:$AL$2,0)),"")</f>
        <v>1245</v>
      </c>
      <c r="O33" s="274">
        <f>IFERROR(INDEX('Inputs (2)'!$D$58:$AL$58,MATCH(O$7&amp;"",'Inputs (2)'!$D$2:$AL$2,0)),"")</f>
        <v>2064</v>
      </c>
      <c r="P33" s="274">
        <f>IFERROR(INDEX('Inputs (2)'!$D$58:$AL$58,MATCH(P$7&amp;"",'Inputs (2)'!$D$2:$AL$2,0)),"")</f>
        <v>2012.136</v>
      </c>
      <c r="Q33" s="274">
        <f>IFERROR(INDEX('Inputs (2)'!$D$58:$AL$58,MATCH(Q$7&amp;"",'Inputs (2)'!$D$2:$AL$2,0)),"")</f>
        <v>2174.6</v>
      </c>
      <c r="R33" s="275">
        <f>IF(COUNT(N33:Q33)=4,SUM(N33:Q33),"")</f>
        <v>7495.736</v>
      </c>
      <c r="S33" s="274">
        <f>IFERROR(INDEX('Inputs (2)'!$D$58:$AL$58,MATCH(S$7&amp;"",'Inputs (2)'!$D$2:$AL$2,0)),"")</f>
        <v>2109.4</v>
      </c>
      <c r="T33" s="274">
        <f>IFERROR(INDEX('Inputs (2)'!$D$58:$AL$58,MATCH(T$7&amp;"",'Inputs (2)'!$D$2:$AL$2,0)),"")</f>
        <v>2038.6</v>
      </c>
      <c r="U33" s="274">
        <f>IFERROR(INDEX('Inputs (2)'!$D$58:$AL$58,MATCH(U$7&amp;"",'Inputs (2)'!$D$2:$AL$2,0)),"")</f>
        <v>2060.4</v>
      </c>
      <c r="V33" s="274">
        <f>IFERROR(INDEX('Inputs (2)'!$D$58:$AL$58,MATCH(V$7&amp;"",'Inputs (2)'!$D$2:$AL$2,0)),"")</f>
        <v>2129.9</v>
      </c>
      <c r="W33" s="275">
        <f>IF(COUNT(S33:V33)=4,SUM(S33:V33),"")</f>
        <v>8338.3</v>
      </c>
      <c r="X33" s="274">
        <f>IFERROR(INDEX('Inputs (2)'!$D$58:$AL$58,MATCH(X$7&amp;"",'Inputs (2)'!$D$2:$AL$2,0)),"")</f>
        <v>2203.7</v>
      </c>
      <c r="Y33" s="274">
        <f>IFERROR(INDEX('Inputs (2)'!$D$58:$AL$58,MATCH(Y$7&amp;"",'Inputs (2)'!$D$2:$AL$2,0)),"")</f>
        <v>2162.3</v>
      </c>
      <c r="Z33" s="274">
        <f>IFERROR(INDEX('Inputs (2)'!$D$58:$AL$58,MATCH(Z$7&amp;"",'Inputs (2)'!$D$2:$AL$2,0)),"")</f>
        <v>2161.3</v>
      </c>
      <c r="AA33" s="274">
        <f>IFERROR(INDEX('Inputs (2)'!$D$58:$AL$58,MATCH(AA$7&amp;"",'Inputs (2)'!$D$2:$AL$2,0)),"")</f>
        <v>2148.8</v>
      </c>
      <c r="AB33" s="275">
        <f>IF(COUNT(X33:AA33)=4,SUM(X33:AA33),"")</f>
        <v>8676.1</v>
      </c>
      <c r="AC33" s="274">
        <f>IFERROR(INDEX('Inputs (2)'!$D$58:$AL$58,MATCH(AC$7&amp;"",'Inputs (2)'!$D$2:$AL$2,0)),"")</f>
        <v>2175.8</v>
      </c>
      <c r="AD33" s="274">
        <f>IFERROR(INDEX('Inputs (2)'!$D$58:$AL$58,MATCH(AD$7&amp;"",'Inputs (2)'!$D$2:$AL$2,0)),"")</f>
        <v>2213.5</v>
      </c>
      <c r="AE33" s="274">
        <f>IFERROR(INDEX('Inputs (2)'!$D$58:$AL$58,MATCH(AE$7&amp;"",'Inputs (2)'!$D$2:$AL$2,0)),"")</f>
        <v>2226.9</v>
      </c>
      <c r="AF33" s="274">
        <f>IFERROR(INDEX('Inputs (2)'!$D$58:$AL$58,MATCH(AF$7&amp;"",'Inputs (2)'!$D$2:$AL$2,0)),"")</f>
        <v>2249.5</v>
      </c>
      <c r="AG33" s="275">
        <f>IF(COUNT(AC33:AF33)=4,SUM(AC33:AF33),"")</f>
        <v>8865.7</v>
      </c>
      <c r="AH33" s="275">
        <f>IFERROR(INDEX('Inputs (2)'!$D$58:$AL$58,MATCH(AH$7&amp;"",'Inputs (2)'!$D$2:$AL$2,0)),"")</f>
        <v>2306</v>
      </c>
      <c r="AI33" s="275">
        <f>IFERROR(INDEX('Inputs (2)'!$D$58:$AL$58,MATCH(AI$7&amp;"",'Inputs (2)'!$D$2:$AL$2,0)),"")</f>
        <v>2449.4</v>
      </c>
    </row>
    <row r="34">
      <c r="C34" s="268" t="inlineStr">
        <is>
          <t xml:space="preserve">   % YoY volume</t>
        </is>
      </c>
      <c r="D34" s="272" t="str">
        <f>""</f>
        <v/>
      </c>
      <c r="E34" s="272" t="str">
        <f>""</f>
        <v/>
      </c>
      <c r="F34" s="272" t="str">
        <f>""</f>
        <v/>
      </c>
      <c r="G34" s="272" t="str">
        <f>""</f>
        <v/>
      </c>
      <c r="H34" s="273" t="str">
        <f>""</f>
        <v/>
      </c>
      <c r="I34" s="272" t="str">
        <f>IFERROR(I33/D33-1,"")</f>
        <v/>
      </c>
      <c r="J34" s="272" t="str">
        <f>IFERROR(J33/E33-1,"")</f>
        <v/>
      </c>
      <c r="K34" s="272" t="str">
        <f>IFERROR(K33/F33-1,"")</f>
        <v/>
      </c>
      <c r="L34" s="272" t="str">
        <f>IFERROR(L33/G33-1,"")</f>
        <v/>
      </c>
      <c r="M34" s="273" t="str">
        <f>IFERROR(M33/H33-1,"")</f>
        <v/>
      </c>
      <c r="N34" s="272">
        <f>IFERROR(N33/I33-1,"")</f>
        <v>0.0426838766735285</v>
      </c>
      <c r="O34" s="272">
        <f>IFERROR(O33/J33-1,"")</f>
        <v>0.758990966422362</v>
      </c>
      <c r="P34" s="272">
        <f>IFERROR(P33/K33-1,"")</f>
        <v>0.6835140562249</v>
      </c>
      <c r="Q34" s="272">
        <f>IFERROR(Q33/L33-1,"")</f>
        <v>0.779978718179586</v>
      </c>
      <c r="R34" s="273">
        <f>IFERROR(R33/M33-1,"")</f>
        <v>0.566725065599517</v>
      </c>
      <c r="S34" s="272">
        <f>IFERROR(S33/N33-1,"")</f>
        <v>0.69429718875502</v>
      </c>
      <c r="T34" s="272">
        <f>IFERROR(T33/O33-1,"")</f>
        <v>-0.0123062015503876</v>
      </c>
      <c r="U34" s="272">
        <f>IFERROR(U33/P33-1,"")</f>
        <v>0.0239864502200646</v>
      </c>
      <c r="V34" s="272">
        <f>IFERROR(V33/Q33-1,"")</f>
        <v>-0.0205555044605904</v>
      </c>
      <c r="W34" s="273">
        <f>IFERROR(W33/R33-1,"")</f>
        <v>0.11240577309553</v>
      </c>
      <c r="X34" s="272">
        <f>IFERROR(X33/S33-1,"")</f>
        <v>0.0447046553522328</v>
      </c>
      <c r="Y34" s="272">
        <f>IFERROR(Y33/T33-1,"")</f>
        <v>0.0606788972824488</v>
      </c>
      <c r="Z34" s="272">
        <f>IFERROR(Z33/U33-1,"")</f>
        <v>0.0489710735779461</v>
      </c>
      <c r="AA34" s="272">
        <f>IFERROR(AA33/V33-1,"")</f>
        <v>0.00887365604018964</v>
      </c>
      <c r="AB34" s="273">
        <f>IFERROR(AB33/W33-1,"")</f>
        <v>0.0405118549344592</v>
      </c>
      <c r="AC34" s="272">
        <f>IFERROR(AC33/X33-1,"")</f>
        <v>-0.0126605254798746</v>
      </c>
      <c r="AD34" s="272">
        <f>IFERROR(AD33/Y33-1,"")</f>
        <v>0.0236784904962308</v>
      </c>
      <c r="AE34" s="272">
        <f>IFERROR(AE33/Z33-1,"")</f>
        <v>0.0303521029010319</v>
      </c>
      <c r="AF34" s="272">
        <f>IFERROR(AF33/AA33-1,"")</f>
        <v>0.0468633655994042</v>
      </c>
      <c r="AG34" s="273">
        <f>IFERROR(AG33/AB33-1,"")</f>
        <v>0.0218531367780455</v>
      </c>
      <c r="AH34" s="273">
        <f>IFERROR(AH33/AC33-1,"")</f>
        <v>0.0598400588289365</v>
      </c>
      <c r="AI34" s="273">
        <f>IFERROR(AI33/AD33-1,"")</f>
        <v>0.106573300203298</v>
      </c>
    </row>
    <row r="35">
      <c r="C35" s="268" t="inlineStr">
        <is>
          <t>Preco medio implicito de destinacao (R$/t = receita de tratamento / volume)</t>
        </is>
      </c>
      <c r="D35" s="269" t="str">
        <f>IFERROR(D19/D33*1000,"")</f>
        <v/>
      </c>
      <c r="E35" s="269" t="str">
        <f>IFERROR(E19/E33*1000,"")</f>
        <v/>
      </c>
      <c r="F35" s="269" t="str">
        <f>IFERROR(F19/F33*1000,"")</f>
        <v/>
      </c>
      <c r="G35" s="269" t="str">
        <f>IFERROR(G19/G33*1000,"")</f>
        <v/>
      </c>
      <c r="H35" s="270" t="str">
        <f>IFERROR(H19/H33*1000,"")</f>
        <v/>
      </c>
      <c r="I35" s="269">
        <f>IFERROR(I19/I33*1000,"")</f>
        <v>52.1300063482279</v>
      </c>
      <c r="J35" s="269">
        <f>IFERROR(J19/J33*1000,"")</f>
        <v>53.0705641724902</v>
      </c>
      <c r="K35" s="269">
        <f>IFERROR(K19/K33*1000,"")</f>
        <v>53.4036144578313</v>
      </c>
      <c r="L35" s="269">
        <f>IFERROR(L19/L33*1000,"")</f>
        <v>64.1327658181223</v>
      </c>
      <c r="M35" s="270">
        <f>IFERROR(M19/M33*1000,"")</f>
        <v>55.7438088561543</v>
      </c>
      <c r="N35" s="269">
        <f>IFERROR(N19/N33*1000,"")</f>
        <v>60.336546184739</v>
      </c>
      <c r="O35" s="269">
        <f>IFERROR(O19/O33*1000,"")</f>
        <v>59.0736434108527</v>
      </c>
      <c r="P35" s="269">
        <f>IFERROR(P19/P33*1000,"")</f>
        <v>76.5400549465841</v>
      </c>
      <c r="Q35" s="269">
        <f>IFERROR(Q19/Q33*1000,"")</f>
        <v>64.7199484962752</v>
      </c>
      <c r="R35" s="270">
        <f>IFERROR(R19/R33*1000,"")</f>
        <v>65.610101529723</v>
      </c>
      <c r="S35" s="269">
        <f>IFERROR(S19/S33*1000,"")</f>
        <v>64.7136626528871</v>
      </c>
      <c r="T35" s="269">
        <f>IFERROR(T19/T33*1000,"")</f>
        <v>72.7249092514471</v>
      </c>
      <c r="U35" s="269">
        <f>IFERROR(U19/U33*1000,"")</f>
        <v>70.4897107357795</v>
      </c>
      <c r="V35" s="269">
        <f>IFERROR(V19/V33*1000,"")</f>
        <v>71.843748532795</v>
      </c>
      <c r="W35" s="270">
        <f>IFERROR(W19/W33*1000,"")</f>
        <v>69.9208471750837</v>
      </c>
      <c r="X35" s="269">
        <f>IFERROR(X19/X33*1000,"")</f>
        <v>73.7169306166901</v>
      </c>
      <c r="Y35" s="269">
        <f>IFERROR(Y19/Y33*1000,"")</f>
        <v>74.1557600702955</v>
      </c>
      <c r="Z35" s="269">
        <f>IFERROR(Z19/Z33*1000,"")</f>
        <v>75.6387359459584</v>
      </c>
      <c r="AA35" s="269">
        <f>IFERROR(AA19/AA33*1000,"")</f>
        <v>77.906738644825</v>
      </c>
      <c r="AB35" s="270">
        <f>IFERROR(AB19/AB33*1000,"")</f>
        <v>75.3427231129194</v>
      </c>
      <c r="AC35" s="269">
        <f>IFERROR(AC19/AC33*1000,"")</f>
        <v>80.1006526335141</v>
      </c>
      <c r="AD35" s="269">
        <f>IFERROR(AD19/AD33*1000,"")</f>
        <v>80.722385362548</v>
      </c>
      <c r="AE35" s="269">
        <f>IFERROR(AE19/AE33*1000,"")</f>
        <v>81.8698639364139</v>
      </c>
      <c r="AF35" s="269">
        <f>IFERROR(AF19/AF33*1000,"")</f>
        <v>80.7037119359858</v>
      </c>
      <c r="AG35" s="270">
        <f>IFERROR(AG19/AG33*1000,"")</f>
        <v>80.8532885164172</v>
      </c>
      <c r="AH35" s="270">
        <f>IFERROR(AH19/AH33*1000,"")</f>
        <v>88.0290546400694</v>
      </c>
      <c r="AI35" s="270" t="str">
        <f>IFERROR(AI19/AI33*1000,"")</f>
        <v/>
      </c>
    </row>
    <row r="36">
      <c r="C36" s="268" t="inlineStr">
        <is>
          <t xml:space="preserve">   % YoY preco medio</t>
        </is>
      </c>
      <c r="D36" s="272" t="str">
        <f>""</f>
        <v/>
      </c>
      <c r="E36" s="272" t="str">
        <f>""</f>
        <v/>
      </c>
      <c r="F36" s="272" t="str">
        <f>""</f>
        <v/>
      </c>
      <c r="G36" s="272" t="str">
        <f>""</f>
        <v/>
      </c>
      <c r="H36" s="273" t="str">
        <f>""</f>
        <v/>
      </c>
      <c r="I36" s="272" t="str">
        <f>IFERROR(I35/D35-1,"")</f>
        <v/>
      </c>
      <c r="J36" s="272" t="str">
        <f>IFERROR(J35/E35-1,"")</f>
        <v/>
      </c>
      <c r="K36" s="272" t="str">
        <f>IFERROR(K35/F35-1,"")</f>
        <v/>
      </c>
      <c r="L36" s="272" t="str">
        <f>IFERROR(L35/G35-1,"")</f>
        <v/>
      </c>
      <c r="M36" s="273" t="str">
        <f>IFERROR(M35/H35-1,"")</f>
        <v/>
      </c>
      <c r="N36" s="272">
        <f>IFERROR(N35/I35-1,"")</f>
        <v>0.157424493327152</v>
      </c>
      <c r="O36" s="272">
        <f>IFERROR(O35/J35-1,"")</f>
        <v>0.113115044695046</v>
      </c>
      <c r="P36" s="272">
        <f>IFERROR(P35/K35-1,"")</f>
        <v>0.433237351509641</v>
      </c>
      <c r="Q36" s="272">
        <f>IFERROR(Q35/L35-1,"")</f>
        <v>0.0091557360837693</v>
      </c>
      <c r="R36" s="273">
        <f>IFERROR(R35/M35-1,"")</f>
        <v>0.176993515083056</v>
      </c>
      <c r="S36" s="272">
        <f>IFERROR(S35/N35-1,"")</f>
        <v>0.0725450285925586</v>
      </c>
      <c r="T36" s="272">
        <f>IFERROR(T35/O35-1,"")</f>
        <v>0.231088943433721</v>
      </c>
      <c r="U36" s="272">
        <f>IFERROR(U35/P35-1,"")</f>
        <v>-0.0790480777029372</v>
      </c>
      <c r="V36" s="272">
        <f>IFERROR(V35/Q35-1,"")</f>
        <v>0.110071163559869</v>
      </c>
      <c r="W36" s="273">
        <f>IFERROR(W35/R35-1,"")</f>
        <v>0.0657024687487757</v>
      </c>
      <c r="X36" s="272">
        <f>IFERROR(X35/S35-1,"")</f>
        <v>0.139124685494855</v>
      </c>
      <c r="Y36" s="272">
        <f>IFERROR(Y35/T35-1,"")</f>
        <v>0.0196748381479757</v>
      </c>
      <c r="Z36" s="272">
        <f>IFERROR(Z35/U35-1,"")</f>
        <v>0.0730464794993893</v>
      </c>
      <c r="AA36" s="272">
        <f>IFERROR(AA35/V35-1,"")</f>
        <v>0.084391338646012</v>
      </c>
      <c r="AB36" s="273">
        <f>IFERROR(AB35/W35-1,"")</f>
        <v>0.0775430527072882</v>
      </c>
      <c r="AC36" s="272">
        <f>IFERROR(AC35/X35-1,"")</f>
        <v>0.0865977729053555</v>
      </c>
      <c r="AD36" s="272">
        <f>IFERROR(AD35/Y35-1,"")</f>
        <v>0.088551789989445</v>
      </c>
      <c r="AE36" s="272">
        <f>IFERROR(AE35/Z35-1,"")</f>
        <v>0.0823801179716615</v>
      </c>
      <c r="AF36" s="272">
        <f>IFERROR(AF35/AA35-1,"")</f>
        <v>0.0359015579372677</v>
      </c>
      <c r="AG36" s="273">
        <f>IFERROR(AG35/AB35-1,"")</f>
        <v>0.0731399818830396</v>
      </c>
      <c r="AH36" s="273">
        <f>IFERROR(AH35/AC35-1,"")</f>
        <v>0.0989804919921218</v>
      </c>
      <c r="AI36" s="273" t="str">
        <f>IFERROR(AI35/AD35-1,"")</f>
        <v/>
      </c>
    </row>
    <row r="37">
      <c r="C37" s="268" t="inlineStr">
        <is>
          <t>Volume nas unidades de beneficiamento (mil t)</t>
        </is>
      </c>
      <c r="D37" s="269" t="str">
        <f>IFERROR(INDEX('Inputs (2)'!$D$59:$AL$59,MATCH(D$7&amp;"",'Inputs (2)'!$D$2:$AL$2,0)),"")</f>
        <v/>
      </c>
      <c r="E37" s="269" t="str">
        <f>IFERROR(INDEX('Inputs (2)'!$D$59:$AL$59,MATCH(E$7&amp;"",'Inputs (2)'!$D$2:$AL$2,0)),"")</f>
        <v/>
      </c>
      <c r="F37" s="269" t="str">
        <f>IFERROR(INDEX('Inputs (2)'!$D$59:$AL$59,MATCH(F$7&amp;"",'Inputs (2)'!$D$2:$AL$2,0)),"")</f>
        <v/>
      </c>
      <c r="G37" s="269" t="str">
        <f>IFERROR(INDEX('Inputs (2)'!$D$59:$AL$59,MATCH(G$7&amp;"",'Inputs (2)'!$D$2:$AL$2,0)),"")</f>
        <v/>
      </c>
      <c r="H37" s="270" t="str">
        <f>IF(COUNT(D37:G37)=4,SUM(D37:G37),"")</f>
        <v/>
      </c>
      <c r="I37" s="269">
        <f>IFERROR(INDEX('Inputs (2)'!$D$59:$AL$59,MATCH(I$7&amp;"",'Inputs (2)'!$D$2:$AL$2,0)),"")</f>
        <v>4.726</v>
      </c>
      <c r="J37" s="269">
        <f>IFERROR(INDEX('Inputs (2)'!$D$59:$AL$59,MATCH(J$7&amp;"",'Inputs (2)'!$D$2:$AL$2,0)),"")</f>
        <v>4.1</v>
      </c>
      <c r="K37" s="269">
        <f>IFERROR(INDEX('Inputs (2)'!$D$59:$AL$59,MATCH(K$7&amp;"",'Inputs (2)'!$D$2:$AL$2,0)),"")</f>
        <v>4.2</v>
      </c>
      <c r="L37" s="269">
        <f>IFERROR(INDEX('Inputs (2)'!$D$59:$AL$59,MATCH(L$7&amp;"",'Inputs (2)'!$D$2:$AL$2,0)),"")</f>
        <v>6.6</v>
      </c>
      <c r="M37" s="270">
        <f>IF(COUNT(I37:L37)=4,SUM(I37:L37),"")</f>
        <v>19.626</v>
      </c>
      <c r="N37" s="269">
        <f>IFERROR(INDEX('Inputs (2)'!$D$59:$AL$59,MATCH(N$7&amp;"",'Inputs (2)'!$D$2:$AL$2,0)),"")</f>
        <v>24.2</v>
      </c>
      <c r="O37" s="269">
        <f>IFERROR(INDEX('Inputs (2)'!$D$59:$AL$59,MATCH(O$7&amp;"",'Inputs (2)'!$D$2:$AL$2,0)),"")</f>
        <v>24.4</v>
      </c>
      <c r="P37" s="269">
        <f>IFERROR(INDEX('Inputs (2)'!$D$59:$AL$59,MATCH(P$7&amp;"",'Inputs (2)'!$D$2:$AL$2,0)),"")</f>
        <v>23.662</v>
      </c>
      <c r="Q37" s="269">
        <f>IFERROR(INDEX('Inputs (2)'!$D$59:$AL$59,MATCH(Q$7&amp;"",'Inputs (2)'!$D$2:$AL$2,0)),"")</f>
        <v>23.9</v>
      </c>
      <c r="R37" s="270">
        <f>IF(COUNT(N37:Q37)=4,SUM(N37:Q37),"")</f>
        <v>96.162</v>
      </c>
      <c r="S37" s="269">
        <f>IFERROR(INDEX('Inputs (2)'!$D$59:$AL$59,MATCH(S$7&amp;"",'Inputs (2)'!$D$2:$AL$2,0)),"")</f>
        <v>27.9</v>
      </c>
      <c r="T37" s="269">
        <f>IFERROR(INDEX('Inputs (2)'!$D$59:$AL$59,MATCH(T$7&amp;"",'Inputs (2)'!$D$2:$AL$2,0)),"")</f>
        <v>28.5</v>
      </c>
      <c r="U37" s="269">
        <f>IFERROR(INDEX('Inputs (2)'!$D$59:$AL$59,MATCH(U$7&amp;"",'Inputs (2)'!$D$2:$AL$2,0)),"")</f>
        <v>28.6</v>
      </c>
      <c r="V37" s="269">
        <f>IFERROR(INDEX('Inputs (2)'!$D$59:$AL$59,MATCH(V$7&amp;"",'Inputs (2)'!$D$2:$AL$2,0)),"")</f>
        <v>27.1</v>
      </c>
      <c r="W37" s="270">
        <f>IF(COUNT(S37:V37)=4,SUM(S37:V37),"")</f>
        <v>112.1</v>
      </c>
      <c r="X37" s="269">
        <f>IFERROR(INDEX('Inputs (2)'!$D$59:$AL$59,MATCH(X$7&amp;"",'Inputs (2)'!$D$2:$AL$2,0)),"")</f>
        <v>25.7</v>
      </c>
      <c r="Y37" s="269">
        <f>IFERROR(INDEX('Inputs (2)'!$D$59:$AL$59,MATCH(Y$7&amp;"",'Inputs (2)'!$D$2:$AL$2,0)),"")</f>
        <v>31</v>
      </c>
      <c r="Z37" s="269">
        <f>IFERROR(INDEX('Inputs (2)'!$D$59:$AL$59,MATCH(Z$7&amp;"",'Inputs (2)'!$D$2:$AL$2,0)),"")</f>
        <v>36.7</v>
      </c>
      <c r="AA37" s="269">
        <f>IFERROR(INDEX('Inputs (2)'!$D$59:$AL$59,MATCH(AA$7&amp;"",'Inputs (2)'!$D$2:$AL$2,0)),"")</f>
        <v>35.7</v>
      </c>
      <c r="AB37" s="270">
        <f>IF(COUNT(X37:AA37)=4,SUM(X37:AA37),"")</f>
        <v>129.1</v>
      </c>
      <c r="AC37" s="269">
        <f>IFERROR(INDEX('Inputs (2)'!$D$59:$AL$59,MATCH(AC$7&amp;"",'Inputs (2)'!$D$2:$AL$2,0)),"")</f>
        <v>35.4</v>
      </c>
      <c r="AD37" s="269">
        <f>IFERROR(INDEX('Inputs (2)'!$D$59:$AL$59,MATCH(AD$7&amp;"",'Inputs (2)'!$D$2:$AL$2,0)),"")</f>
        <v>33.9</v>
      </c>
      <c r="AE37" s="269">
        <f>IFERROR(INDEX('Inputs (2)'!$D$59:$AL$59,MATCH(AE$7&amp;"",'Inputs (2)'!$D$2:$AL$2,0)),"")</f>
        <v>33.1</v>
      </c>
      <c r="AF37" s="269">
        <f>IFERROR(INDEX('Inputs (2)'!$D$59:$AL$59,MATCH(AF$7&amp;"",'Inputs (2)'!$D$2:$AL$2,0)),"")</f>
        <v>27.7</v>
      </c>
      <c r="AG37" s="270">
        <f>IF(COUNT(AC37:AF37)=4,SUM(AC37:AF37),"")</f>
        <v>130.1</v>
      </c>
      <c r="AH37" s="270">
        <f>IFERROR(INDEX('Inputs (2)'!$D$59:$AL$59,MATCH(AH$7&amp;"",'Inputs (2)'!$D$2:$AL$2,0)),"")</f>
        <v>29</v>
      </c>
      <c r="AI37" s="270">
        <f>IFERROR(INDEX('Inputs (2)'!$D$59:$AL$59,MATCH(AI$7&amp;"",'Inputs (2)'!$D$2:$AL$2,0)),"")</f>
        <v>34.2</v>
      </c>
    </row>
    <row r="38">
      <c r="C38" s="268" t="inlineStr">
        <is>
          <t>Biogas captado - media do trimestre (mil Nm3/h)</t>
        </is>
      </c>
      <c r="D38" s="269" t="str">
        <f>IFERROR(IFERROR(INDEX('Inputs (2)'!$D$60:$AL$60,MATCH(D$7&amp;"",'Inputs (2)'!$D$2:$AL$2,0)),"")/1000,"")</f>
        <v/>
      </c>
      <c r="E38" s="269" t="str">
        <f>IFERROR(IFERROR(INDEX('Inputs (2)'!$D$60:$AL$60,MATCH(E$7&amp;"",'Inputs (2)'!$D$2:$AL$2,0)),"")/1000,"")</f>
        <v/>
      </c>
      <c r="F38" s="269" t="str">
        <f>IFERROR(IFERROR(INDEX('Inputs (2)'!$D$60:$AL$60,MATCH(F$7&amp;"",'Inputs (2)'!$D$2:$AL$2,0)),"")/1000,"")</f>
        <v/>
      </c>
      <c r="G38" s="269" t="str">
        <f>IFERROR(IFERROR(INDEX('Inputs (2)'!$D$60:$AL$60,MATCH(G$7&amp;"",'Inputs (2)'!$D$2:$AL$2,0)),"")/1000,"")</f>
        <v/>
      </c>
      <c r="H38" s="270" t="n"/>
      <c r="I38" s="269">
        <f>IFERROR(IFERROR(INDEX('Inputs (2)'!$D$60:$AL$60,MATCH(I$7&amp;"",'Inputs (2)'!$D$2:$AL$2,0)),"")/1000,"")</f>
        <v>30.616</v>
      </c>
      <c r="J38" s="269">
        <f>IFERROR(IFERROR(INDEX('Inputs (2)'!$D$60:$AL$60,MATCH(J$7&amp;"",'Inputs (2)'!$D$2:$AL$2,0)),"")/1000,"")</f>
        <v>20.9</v>
      </c>
      <c r="K38" s="269">
        <f>IFERROR(IFERROR(INDEX('Inputs (2)'!$D$60:$AL$60,MATCH(K$7&amp;"",'Inputs (2)'!$D$2:$AL$2,0)),"")/1000,"")</f>
        <v>19</v>
      </c>
      <c r="L38" s="269">
        <f>IFERROR(IFERROR(INDEX('Inputs (2)'!$D$60:$AL$60,MATCH(L$7&amp;"",'Inputs (2)'!$D$2:$AL$2,0)),"")/1000,"")</f>
        <v>18.7</v>
      </c>
      <c r="M38" s="270" t="n"/>
      <c r="N38" s="269">
        <f>IFERROR(IFERROR(INDEX('Inputs (2)'!$D$60:$AL$60,MATCH(N$7&amp;"",'Inputs (2)'!$D$2:$AL$2,0)),"")/1000,"")</f>
        <v>32.696</v>
      </c>
      <c r="O38" s="269">
        <f>IFERROR(IFERROR(INDEX('Inputs (2)'!$D$60:$AL$60,MATCH(O$7&amp;"",'Inputs (2)'!$D$2:$AL$2,0)),"")/1000,"")</f>
        <v>36</v>
      </c>
      <c r="P38" s="269">
        <f>IFERROR(IFERROR(INDEX('Inputs (2)'!$D$60:$AL$60,MATCH(P$7&amp;"",'Inputs (2)'!$D$2:$AL$2,0)),"")/1000,"")</f>
        <v>43.882</v>
      </c>
      <c r="Q38" s="269">
        <f>IFERROR(IFERROR(INDEX('Inputs (2)'!$D$60:$AL$60,MATCH(Q$7&amp;"",'Inputs (2)'!$D$2:$AL$2,0)),"")/1000,"")</f>
        <v>49.106</v>
      </c>
      <c r="R38" s="270" t="n"/>
      <c r="S38" s="269">
        <f>IFERROR(IFERROR(INDEX('Inputs (2)'!$D$60:$AL$60,MATCH(S$7&amp;"",'Inputs (2)'!$D$2:$AL$2,0)),"")/1000,"")</f>
        <v>52.061</v>
      </c>
      <c r="T38" s="269">
        <f>IFERROR(IFERROR(INDEX('Inputs (2)'!$D$60:$AL$60,MATCH(T$7&amp;"",'Inputs (2)'!$D$2:$AL$2,0)),"")/1000,"")</f>
        <v>55.224</v>
      </c>
      <c r="U38" s="269">
        <f>IFERROR(IFERROR(INDEX('Inputs (2)'!$D$60:$AL$60,MATCH(U$7&amp;"",'Inputs (2)'!$D$2:$AL$2,0)),"")/1000,"")</f>
        <v>53.763</v>
      </c>
      <c r="V38" s="269">
        <f>IFERROR(IFERROR(INDEX('Inputs (2)'!$D$60:$AL$60,MATCH(V$7&amp;"",'Inputs (2)'!$D$2:$AL$2,0)),"")/1000,"")</f>
        <v>56.103</v>
      </c>
      <c r="W38" s="270" t="n"/>
      <c r="X38" s="269">
        <f>IFERROR(IFERROR(INDEX('Inputs (2)'!$D$60:$AL$60,MATCH(X$7&amp;"",'Inputs (2)'!$D$2:$AL$2,0)),"")/1000,"")</f>
        <v>60.167</v>
      </c>
      <c r="Y38" s="269">
        <f>IFERROR(IFERROR(INDEX('Inputs (2)'!$D$60:$AL$60,MATCH(Y$7&amp;"",'Inputs (2)'!$D$2:$AL$2,0)),"")/1000,"")</f>
        <v>62.599</v>
      </c>
      <c r="Z38" s="269">
        <f>IFERROR(IFERROR(INDEX('Inputs (2)'!$D$60:$AL$60,MATCH(Z$7&amp;"",'Inputs (2)'!$D$2:$AL$2,0)),"")/1000,"")</f>
        <v>62.271</v>
      </c>
      <c r="AA38" s="269">
        <f>IFERROR(IFERROR(INDEX('Inputs (2)'!$D$60:$AL$60,MATCH(AA$7&amp;"",'Inputs (2)'!$D$2:$AL$2,0)),"")/1000,"")</f>
        <v>62.102</v>
      </c>
      <c r="AB38" s="270" t="n"/>
      <c r="AC38" s="269">
        <f>IFERROR(IFERROR(INDEX('Inputs (2)'!$D$60:$AL$60,MATCH(AC$7&amp;"",'Inputs (2)'!$D$2:$AL$2,0)),"")/1000,"")</f>
        <v>60.678</v>
      </c>
      <c r="AD38" s="269">
        <f>IFERROR(IFERROR(INDEX('Inputs (2)'!$D$60:$AL$60,MATCH(AD$7&amp;"",'Inputs (2)'!$D$2:$AL$2,0)),"")/1000,"")</f>
        <v>59.7793</v>
      </c>
      <c r="AE38" s="269">
        <f>IFERROR(IFERROR(INDEX('Inputs (2)'!$D$60:$AL$60,MATCH(AE$7&amp;"",'Inputs (2)'!$D$2:$AL$2,0)),"")/1000,"")</f>
        <v>57.361</v>
      </c>
      <c r="AF38" s="269">
        <f>IFERROR(IFERROR(INDEX('Inputs (2)'!$D$60:$AL$60,MATCH(AF$7&amp;"",'Inputs (2)'!$D$2:$AL$2,0)),"")/1000,"")</f>
        <v>58.971</v>
      </c>
      <c r="AG38" s="270" t="n"/>
      <c r="AH38" s="270">
        <f>IFERROR(IFERROR(INDEX('Inputs (2)'!$D$60:$AL$60,MATCH(AH$7&amp;"",'Inputs (2)'!$D$2:$AL$2,0)),"")/1000,"")</f>
        <v>52.521</v>
      </c>
      <c r="AI38" s="270">
        <f>IFERROR(IFERROR(INDEX('Inputs (2)'!$D$60:$AL$60,MATCH(AI$7&amp;"",'Inputs (2)'!$D$2:$AL$2,0)),"")/1000,"")</f>
        <v>55.2</v>
      </c>
    </row>
    <row r="39">
      <c r="C39" s="268" t="inlineStr">
        <is>
          <t>Energia eletrica gerada (GWh)</t>
        </is>
      </c>
      <c r="D39" s="269" t="str">
        <f>IFERROR(IFERROR(INDEX('Inputs (2)'!$D$61:$AL$61,MATCH(D$7&amp;"",'Inputs (2)'!$D$2:$AL$2,0)),"")/1000,"")</f>
        <v/>
      </c>
      <c r="E39" s="269" t="str">
        <f>IFERROR(IFERROR(INDEX('Inputs (2)'!$D$61:$AL$61,MATCH(E$7&amp;"",'Inputs (2)'!$D$2:$AL$2,0)),"")/1000,"")</f>
        <v/>
      </c>
      <c r="F39" s="269" t="str">
        <f>IFERROR(IFERROR(INDEX('Inputs (2)'!$D$61:$AL$61,MATCH(F$7&amp;"",'Inputs (2)'!$D$2:$AL$2,0)),"")/1000,"")</f>
        <v/>
      </c>
      <c r="G39" s="269" t="str">
        <f>IFERROR(IFERROR(INDEX('Inputs (2)'!$D$61:$AL$61,MATCH(G$7&amp;"",'Inputs (2)'!$D$2:$AL$2,0)),"")/1000,"")</f>
        <v/>
      </c>
      <c r="H39" s="270" t="str">
        <f>IF(COUNT(D39:G39)=4,SUM(D39:G39),"")</f>
        <v/>
      </c>
      <c r="I39" s="269">
        <f>IFERROR(IFERROR(INDEX('Inputs (2)'!$D$61:$AL$61,MATCH(I$7&amp;"",'Inputs (2)'!$D$2:$AL$2,0)),"")/1000,"")</f>
        <v>36.479</v>
      </c>
      <c r="J39" s="269">
        <f>IFERROR(IFERROR(INDEX('Inputs (2)'!$D$61:$AL$61,MATCH(J$7&amp;"",'Inputs (2)'!$D$2:$AL$2,0)),"")/1000,"")</f>
        <v>37</v>
      </c>
      <c r="K39" s="269">
        <f>IFERROR(IFERROR(INDEX('Inputs (2)'!$D$61:$AL$61,MATCH(K$7&amp;"",'Inputs (2)'!$D$2:$AL$2,0)),"")/1000,"")</f>
        <v>47.5</v>
      </c>
      <c r="L39" s="269">
        <f>IFERROR(IFERROR(INDEX('Inputs (2)'!$D$61:$AL$61,MATCH(L$7&amp;"",'Inputs (2)'!$D$2:$AL$2,0)),"")/1000,"")</f>
        <v>54.1</v>
      </c>
      <c r="M39" s="270">
        <f>IF(COUNT(I39:L39)=4,SUM(I39:L39),"")</f>
        <v>175.079</v>
      </c>
      <c r="N39" s="269">
        <f>IFERROR(IFERROR(INDEX('Inputs (2)'!$D$61:$AL$61,MATCH(N$7&amp;"",'Inputs (2)'!$D$2:$AL$2,0)),"")/1000,"")</f>
        <v>41.334</v>
      </c>
      <c r="O39" s="269">
        <f>IFERROR(IFERROR(INDEX('Inputs (2)'!$D$61:$AL$61,MATCH(O$7&amp;"",'Inputs (2)'!$D$2:$AL$2,0)),"")/1000,"")</f>
        <v>57</v>
      </c>
      <c r="P39" s="269">
        <f>IFERROR(IFERROR(INDEX('Inputs (2)'!$D$61:$AL$61,MATCH(P$7&amp;"",'Inputs (2)'!$D$2:$AL$2,0)),"")/1000,"")</f>
        <v>91.063</v>
      </c>
      <c r="Q39" s="269">
        <f>IFERROR(IFERROR(INDEX('Inputs (2)'!$D$61:$AL$61,MATCH(Q$7&amp;"",'Inputs (2)'!$D$2:$AL$2,0)),"")/1000,"")</f>
        <v>100.343</v>
      </c>
      <c r="R39" s="270">
        <f>IF(COUNT(N39:Q39)=4,SUM(N39:Q39),"")</f>
        <v>289.74</v>
      </c>
      <c r="S39" s="269">
        <f>IFERROR(IFERROR(INDEX('Inputs (2)'!$D$61:$AL$61,MATCH(S$7&amp;"",'Inputs (2)'!$D$2:$AL$2,0)),"")/1000,"")</f>
        <v>94.524</v>
      </c>
      <c r="T39" s="269">
        <f>IFERROR(IFERROR(INDEX('Inputs (2)'!$D$61:$AL$61,MATCH(T$7&amp;"",'Inputs (2)'!$D$2:$AL$2,0)),"")/1000,"")</f>
        <v>100.744</v>
      </c>
      <c r="U39" s="269">
        <f>IFERROR(IFERROR(INDEX('Inputs (2)'!$D$61:$AL$61,MATCH(U$7&amp;"",'Inputs (2)'!$D$2:$AL$2,0)),"")/1000,"")</f>
        <v>99.428</v>
      </c>
      <c r="V39" s="269">
        <f>IFERROR(IFERROR(INDEX('Inputs (2)'!$D$61:$AL$61,MATCH(V$7&amp;"",'Inputs (2)'!$D$2:$AL$2,0)),"")/1000,"")</f>
        <v>103.742</v>
      </c>
      <c r="W39" s="270">
        <f>IF(COUNT(S39:V39)=4,SUM(S39:V39),"")</f>
        <v>398.438</v>
      </c>
      <c r="X39" s="269">
        <f>IFERROR(IFERROR(INDEX('Inputs (2)'!$D$61:$AL$61,MATCH(X$7&amp;"",'Inputs (2)'!$D$2:$AL$2,0)),"")/1000,"")</f>
        <v>109.152</v>
      </c>
      <c r="Y39" s="269">
        <f>IFERROR(IFERROR(INDEX('Inputs (2)'!$D$61:$AL$61,MATCH(Y$7&amp;"",'Inputs (2)'!$D$2:$AL$2,0)),"")/1000,"")</f>
        <v>96.313</v>
      </c>
      <c r="Z39" s="269">
        <f>IFERROR(IFERROR(INDEX('Inputs (2)'!$D$61:$AL$61,MATCH(Z$7&amp;"",'Inputs (2)'!$D$2:$AL$2,0)),"")/1000,"")</f>
        <v>94.214</v>
      </c>
      <c r="AA39" s="269">
        <f>IFERROR(IFERROR(INDEX('Inputs (2)'!$D$61:$AL$61,MATCH(AA$7&amp;"",'Inputs (2)'!$D$2:$AL$2,0)),"")/1000,"")</f>
        <v>96.129</v>
      </c>
      <c r="AB39" s="270">
        <f>IF(COUNT(X39:AA39)=4,SUM(X39:AA39),"")</f>
        <v>395.808</v>
      </c>
      <c r="AC39" s="269">
        <f>IFERROR(IFERROR(INDEX('Inputs (2)'!$D$61:$AL$61,MATCH(AC$7&amp;"",'Inputs (2)'!$D$2:$AL$2,0)),"")/1000,"")</f>
        <v>83.591</v>
      </c>
      <c r="AD39" s="269">
        <f>IFERROR(IFERROR(INDEX('Inputs (2)'!$D$61:$AL$61,MATCH(AD$7&amp;"",'Inputs (2)'!$D$2:$AL$2,0)),"")/1000,"")</f>
        <v>79.398</v>
      </c>
      <c r="AE39" s="269">
        <f>IFERROR(IFERROR(INDEX('Inputs (2)'!$D$61:$AL$61,MATCH(AE$7&amp;"",'Inputs (2)'!$D$2:$AL$2,0)),"")/1000,"")</f>
        <v>79.269</v>
      </c>
      <c r="AF39" s="269">
        <f>IFERROR(IFERROR(INDEX('Inputs (2)'!$D$61:$AL$61,MATCH(AF$7&amp;"",'Inputs (2)'!$D$2:$AL$2,0)),"")/1000,"")</f>
        <v>64.259</v>
      </c>
      <c r="AG39" s="270">
        <f>IF(COUNT(AC39:AF39)=4,SUM(AC39:AF39),"")</f>
        <v>306.517</v>
      </c>
      <c r="AH39" s="270">
        <f>IFERROR(IFERROR(INDEX('Inputs (2)'!$D$61:$AL$61,MATCH(AH$7&amp;"",'Inputs (2)'!$D$2:$AL$2,0)),"")/1000,"")</f>
        <v>23.608</v>
      </c>
      <c r="AI39" s="270">
        <f>IFERROR(IFERROR(INDEX('Inputs (2)'!$D$61:$AL$61,MATCH(AI$7&amp;"",'Inputs (2)'!$D$2:$AL$2,0)),"")/1000,"")</f>
        <v>21.465</v>
      </c>
    </row>
    <row r="40">
      <c r="C40" s="268" t="inlineStr">
        <is>
          <t>Creditos de carbono gerados (mil tCO2e)</t>
        </is>
      </c>
      <c r="D40" s="269" t="str">
        <f>IFERROR(IFERROR(INDEX('Inputs (2)'!$D$62:$AL$62,MATCH(D$7&amp;"",'Inputs (2)'!$D$2:$AL$2,0)),"")/1000,"")</f>
        <v/>
      </c>
      <c r="E40" s="269" t="str">
        <f>IFERROR(IFERROR(INDEX('Inputs (2)'!$D$62:$AL$62,MATCH(E$7&amp;"",'Inputs (2)'!$D$2:$AL$2,0)),"")/1000,"")</f>
        <v/>
      </c>
      <c r="F40" s="269" t="str">
        <f>IFERROR(IFERROR(INDEX('Inputs (2)'!$D$62:$AL$62,MATCH(F$7&amp;"",'Inputs (2)'!$D$2:$AL$2,0)),"")/1000,"")</f>
        <v/>
      </c>
      <c r="G40" s="269" t="str">
        <f>IFERROR(IFERROR(INDEX('Inputs (2)'!$D$62:$AL$62,MATCH(G$7&amp;"",'Inputs (2)'!$D$2:$AL$2,0)),"")/1000,"")</f>
        <v/>
      </c>
      <c r="H40" s="270" t="str">
        <f>IF(COUNT(D40:G40)=4,SUM(D40:G40),"")</f>
        <v/>
      </c>
      <c r="I40" s="269">
        <f>IFERROR(IFERROR(INDEX('Inputs (2)'!$D$62:$AL$62,MATCH(I$7&amp;"",'Inputs (2)'!$D$2:$AL$2,0)),"")/1000,"")</f>
        <v>407.316</v>
      </c>
      <c r="J40" s="269">
        <f>IFERROR(IFERROR(INDEX('Inputs (2)'!$D$62:$AL$62,MATCH(J$7&amp;"",'Inputs (2)'!$D$2:$AL$2,0)),"")/1000,"")</f>
        <v>379.7</v>
      </c>
      <c r="K40" s="269">
        <f>IFERROR(IFERROR(INDEX('Inputs (2)'!$D$62:$AL$62,MATCH(K$7&amp;"",'Inputs (2)'!$D$2:$AL$2,0)),"")/1000,"")</f>
        <v>367.3</v>
      </c>
      <c r="L40" s="269">
        <f>IFERROR(IFERROR(INDEX('Inputs (2)'!$D$62:$AL$62,MATCH(L$7&amp;"",'Inputs (2)'!$D$2:$AL$2,0)),"")/1000,"")</f>
        <v>455.7</v>
      </c>
      <c r="M40" s="270">
        <f>IF(COUNT(I40:L40)=4,SUM(I40:L40),"")</f>
        <v>1610.016</v>
      </c>
      <c r="N40" s="269">
        <f>IFERROR(IFERROR(INDEX('Inputs (2)'!$D$62:$AL$62,MATCH(N$7&amp;"",'Inputs (2)'!$D$2:$AL$2,0)),"")/1000,"")</f>
        <v>483.524</v>
      </c>
      <c r="O40" s="269">
        <f>IFERROR(IFERROR(INDEX('Inputs (2)'!$D$62:$AL$62,MATCH(O$7&amp;"",'Inputs (2)'!$D$2:$AL$2,0)),"")/1000,"")</f>
        <v>473</v>
      </c>
      <c r="P40" s="269">
        <f>IFERROR(IFERROR(INDEX('Inputs (2)'!$D$62:$AL$62,MATCH(P$7&amp;"",'Inputs (2)'!$D$2:$AL$2,0)),"")/1000,"")</f>
        <v>437.472</v>
      </c>
      <c r="Q40" s="269">
        <f>IFERROR(IFERROR(INDEX('Inputs (2)'!$D$62:$AL$62,MATCH(Q$7&amp;"",'Inputs (2)'!$D$2:$AL$2,0)),"")/1000,"")</f>
        <v>654.701</v>
      </c>
      <c r="R40" s="270">
        <f>IF(COUNT(N40:Q40)=4,SUM(N40:Q40),"")</f>
        <v>2048.697</v>
      </c>
      <c r="S40" s="269">
        <f>IFERROR(IFERROR(INDEX('Inputs (2)'!$D$62:$AL$62,MATCH(S$7&amp;"",'Inputs (2)'!$D$2:$AL$2,0)),"")/1000,"")</f>
        <v>743.652</v>
      </c>
      <c r="T40" s="269">
        <f>IFERROR(IFERROR(INDEX('Inputs (2)'!$D$62:$AL$62,MATCH(T$7&amp;"",'Inputs (2)'!$D$2:$AL$2,0)),"")/1000,"")</f>
        <v>702.923</v>
      </c>
      <c r="U40" s="269">
        <f>IFERROR(IFERROR(INDEX('Inputs (2)'!$D$62:$AL$62,MATCH(U$7&amp;"",'Inputs (2)'!$D$2:$AL$2,0)),"")/1000,"")</f>
        <v>752.302</v>
      </c>
      <c r="V40" s="269">
        <f>IFERROR(IFERROR(INDEX('Inputs (2)'!$D$62:$AL$62,MATCH(V$7&amp;"",'Inputs (2)'!$D$2:$AL$2,0)),"")/1000,"")</f>
        <v>793.097</v>
      </c>
      <c r="W40" s="270">
        <f>IF(COUNT(S40:V40)=4,SUM(S40:V40),"")</f>
        <v>2991.974</v>
      </c>
      <c r="X40" s="269">
        <f>IFERROR(IFERROR(INDEX('Inputs (2)'!$D$62:$AL$62,MATCH(X$7&amp;"",'Inputs (2)'!$D$2:$AL$2,0)),"")/1000,"")</f>
        <v>843.664</v>
      </c>
      <c r="Y40" s="269">
        <f>IFERROR(IFERROR(INDEX('Inputs (2)'!$D$62:$AL$62,MATCH(Y$7&amp;"",'Inputs (2)'!$D$2:$AL$2,0)),"")/1000,"")</f>
        <v>873.852</v>
      </c>
      <c r="Z40" s="269">
        <f>IFERROR(IFERROR(INDEX('Inputs (2)'!$D$62:$AL$62,MATCH(Z$7&amp;"",'Inputs (2)'!$D$2:$AL$2,0)),"")/1000,"")</f>
        <v>872.269</v>
      </c>
      <c r="AA40" s="269">
        <f>IFERROR(IFERROR(INDEX('Inputs (2)'!$D$62:$AL$62,MATCH(AA$7&amp;"",'Inputs (2)'!$D$2:$AL$2,0)),"")/1000,"")</f>
        <v>871.843</v>
      </c>
      <c r="AB40" s="270">
        <f>IF(COUNT(X40:AA40)=4,SUM(X40:AA40),"")</f>
        <v>3461.628</v>
      </c>
      <c r="AC40" s="269">
        <f>IFERROR(IFERROR(INDEX('Inputs (2)'!$D$62:$AL$62,MATCH(AC$7&amp;"",'Inputs (2)'!$D$2:$AL$2,0)),"")/1000,"")</f>
        <v>888.674</v>
      </c>
      <c r="AD40" s="269">
        <f>IFERROR(IFERROR(INDEX('Inputs (2)'!$D$62:$AL$62,MATCH(AD$7&amp;"",'Inputs (2)'!$D$2:$AL$2,0)),"")/1000,"")</f>
        <v>864.369</v>
      </c>
      <c r="AE40" s="269">
        <f>IFERROR(IFERROR(INDEX('Inputs (2)'!$D$62:$AL$62,MATCH(AE$7&amp;"",'Inputs (2)'!$D$2:$AL$2,0)),"")/1000,"")</f>
        <v>819.192</v>
      </c>
      <c r="AF40" s="269">
        <f>IFERROR(IFERROR(INDEX('Inputs (2)'!$D$62:$AL$62,MATCH(AF$7&amp;"",'Inputs (2)'!$D$2:$AL$2,0)),"")/1000,"")</f>
        <v>670.49</v>
      </c>
      <c r="AG40" s="270">
        <f>IF(COUNT(AC40:AF40)=4,SUM(AC40:AF40),"")</f>
        <v>3242.725</v>
      </c>
      <c r="AH40" s="270">
        <f>IFERROR(IFERROR(INDEX('Inputs (2)'!$D$62:$AL$62,MATCH(AH$7&amp;"",'Inputs (2)'!$D$2:$AL$2,0)),"")/1000,"")</f>
        <v>554.709</v>
      </c>
      <c r="AI40" s="270">
        <f>IFERROR(IFERROR(INDEX('Inputs (2)'!$D$62:$AL$62,MATCH(AI$7&amp;"",'Inputs (2)'!$D$2:$AL$2,0)),"")/1000,"")</f>
        <v>644.5</v>
      </c>
    </row>
    <row r="41"/>
    <row r="42"/>
    <row r="43"/>
    <row r="44"/>
    <row r="45"/>
    <row r="46"/>
    <row r="47"/>
    <row r="48"/>
    <row r="49"/>
    <row r="50"/>
    <row r="51"/>
    <row r="52" hidden="1" outlineLevel="1" customFormat="1" s="43">
      <c r="A52" s="36" t="n"/>
      <c r="B52" s="37" t="n"/>
      <c r="C52" s="45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</row>
    <row r="53" hidden="1" outlineLevel="1" customFormat="1" s="43">
      <c r="A53" s="36" t="n"/>
      <c r="B53" s="37" t="n"/>
      <c r="C53" s="45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  <c r="BC53" s="39" t="n"/>
      <c r="BD53" s="39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39" t="n"/>
      <c r="BQ53" s="39" t="n"/>
      <c r="BR53" s="39" t="n"/>
      <c r="BS53" s="39" t="n"/>
      <c r="BT53" s="39" t="n"/>
      <c r="BU53" s="39" t="n"/>
      <c r="BV53" s="39" t="n"/>
      <c r="BW53" s="39" t="n"/>
      <c r="BX53" s="39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39" t="n"/>
      <c r="CH53" s="39" t="n"/>
      <c r="CI53" s="39" t="n"/>
      <c r="CJ53" s="39" t="n"/>
      <c r="CK53" s="39" t="n"/>
      <c r="CL53" s="39" t="n"/>
      <c r="CM53" s="39" t="n"/>
      <c r="CN53" s="39" t="n"/>
      <c r="CO53" s="39" t="n"/>
      <c r="CP53" s="39" t="n"/>
      <c r="CQ53" s="39" t="n"/>
      <c r="CR53" s="39" t="n"/>
      <c r="CS53" s="39" t="n"/>
      <c r="CT53" s="39" t="n"/>
      <c r="CU53" s="39" t="n"/>
      <c r="CV53" s="39" t="n"/>
      <c r="CW53" s="39" t="n"/>
      <c r="CX53" s="39" t="n"/>
      <c r="CY53" s="39" t="n"/>
    </row>
    <row r="54" collapsed="1">
      <c r="C54" s="13" t="inlineStr">
        <is>
          <t>COGS (cash)</t>
        </is>
      </c>
      <c r="D54" s="46" t="n"/>
      <c r="E54" s="46" t="n"/>
      <c r="F54" s="46" t="n"/>
      <c r="G54" s="46" t="n"/>
      <c r="H54" s="12" t="n"/>
      <c r="I54" s="46">
        <f>'Inputs (2)'!D5</f>
        <v>-48.705</v>
      </c>
      <c r="J54" s="46">
        <f>'Inputs (2)'!E5</f>
        <v>-47.306</v>
      </c>
      <c r="K54" s="46">
        <f>'Inputs (2)'!F5</f>
        <v>-48.248</v>
      </c>
      <c r="L54" s="46">
        <f>'Inputs (2)'!G5</f>
        <v>-58.945</v>
      </c>
      <c r="M54" s="12">
        <f>'Inputs (2)'!H5</f>
        <v>-203.204</v>
      </c>
      <c r="N54" s="46">
        <f>'Inputs (2)'!I5</f>
        <v>-49.525</v>
      </c>
      <c r="O54" s="46">
        <f>'Inputs (2)'!J5</f>
        <v>-76.402</v>
      </c>
      <c r="P54" s="46">
        <f>'Inputs (2)'!K5</f>
        <v>-90.519</v>
      </c>
      <c r="Q54" s="46">
        <f>'Inputs (2)'!L5</f>
        <v>-86.165</v>
      </c>
      <c r="R54" s="12">
        <f>'Inputs (2)'!M5</f>
        <v>-302.611</v>
      </c>
      <c r="S54" s="46">
        <f>'Inputs (2)'!N5</f>
        <v>-86.346</v>
      </c>
      <c r="T54" s="46">
        <f>'Inputs (2)'!O5</f>
        <v>-94.069</v>
      </c>
      <c r="U54" s="46">
        <f>'Inputs (2)'!P5</f>
        <v>-83.558</v>
      </c>
      <c r="V54" s="46">
        <f>'Inputs (2)'!Q5</f>
        <v>-98.966</v>
      </c>
      <c r="W54" s="12">
        <f>'Inputs (2)'!R5</f>
        <v>-362.939</v>
      </c>
      <c r="X54" s="46">
        <f>'Inputs (2)'!S5</f>
        <v>-77.369</v>
      </c>
      <c r="Y54" s="46">
        <f>'Inputs (2)'!T5</f>
        <v>-88.846</v>
      </c>
      <c r="Z54" s="46">
        <f>'Inputs (2)'!U5</f>
        <v>-84.274</v>
      </c>
      <c r="AA54" s="46">
        <f>'Inputs (2)'!V5</f>
        <v>-83.47</v>
      </c>
      <c r="AB54" s="12">
        <f>'Inputs (2)'!W5</f>
        <v>-333.959</v>
      </c>
      <c r="AC54" s="46">
        <f>'Inputs (2)'!X5</f>
        <v>-91.237</v>
      </c>
      <c r="AD54" s="46">
        <f>'Inputs (2)'!Y5</f>
        <v>-97.161</v>
      </c>
      <c r="AE54" s="46">
        <f>'Inputs (2)'!Z5</f>
        <v>-99.666</v>
      </c>
      <c r="AF54" s="46">
        <f>'Inputs (2)'!AA5</f>
        <v>-95.835</v>
      </c>
      <c r="AG54" s="12">
        <f>'Inputs (2)'!AB5</f>
        <v>-383.899</v>
      </c>
      <c r="AH54" s="12">
        <f>'Inputs (2)'!AC5</f>
        <v>-146.967</v>
      </c>
      <c r="AI54" s="12">
        <f>'Inputs (2)'!AD5</f>
        <v>-372.145</v>
      </c>
      <c r="AJ54" s="12">
        <f>-(1-AJ55)*AJ15</f>
        <v>-164.074762556467</v>
      </c>
      <c r="AK54" s="12">
        <f>-(1-AK55)*AK15</f>
        <v>-154.301499436176</v>
      </c>
      <c r="AL54" s="12">
        <f>SUM(AH54:AK54)</f>
        <v>-837.488261992644</v>
      </c>
      <c r="AM54" s="12">
        <f>-(1-AM55)*AM15</f>
        <v>-193.279544878651</v>
      </c>
      <c r="AN54" s="12">
        <f>-(1-AN55)*AN15</f>
        <v>-363.606720553709</v>
      </c>
      <c r="AO54" s="12">
        <f>-(1-AO55)*AO15</f>
        <v>-229.400064550031</v>
      </c>
      <c r="AP54" s="12">
        <f>-(1-AP55)*AP15</f>
        <v>-215.735640139314</v>
      </c>
      <c r="AQ54" s="12">
        <f>SUM(AM54:AP54)</f>
        <v>-1002.02197012171</v>
      </c>
      <c r="AR54" s="12">
        <f>-(1-AR55)*AR15</f>
        <v>-269.266143712953</v>
      </c>
      <c r="AS54" s="12">
        <f>-(1-AS55)*AS15</f>
        <v>-506.556343213041</v>
      </c>
      <c r="AT54" s="12">
        <f>-(1-AT55)*AT15</f>
        <v>-319.587211298903</v>
      </c>
      <c r="AU54" s="12">
        <f>-(1-AU55)*AU15</f>
        <v>-300.550707102657</v>
      </c>
      <c r="AV54" s="12">
        <f>SUM(AR54:AU54)</f>
        <v>-1395.96040532755</v>
      </c>
      <c r="AW54" s="12">
        <f>-(1-AW55)*AW15</f>
        <v>-373.780050066146</v>
      </c>
      <c r="AX54" s="12">
        <f>-(1-AX55)*AX15</f>
        <v>-703.172900672348</v>
      </c>
      <c r="AY54" s="12">
        <f>-(1-AY55)*AY15</f>
        <v>-443.632913490779</v>
      </c>
      <c r="AZ54" s="12">
        <f>-(1-AZ55)*AZ15</f>
        <v>-417.207513722947</v>
      </c>
      <c r="BA54" s="12">
        <f>SUM(AW54:AZ54)</f>
        <v>-1937.79337795222</v>
      </c>
      <c r="BB54" s="12">
        <f>-(1-BB55)*BB15</f>
        <v>-516.991450705592</v>
      </c>
      <c r="BC54" s="12">
        <f>-(1-BC55)*BC15</f>
        <v>-972.589034516752</v>
      </c>
      <c r="BD54" s="12">
        <f>-(1-BD55)*BD15</f>
        <v>-613.607985460322</v>
      </c>
      <c r="BE54" s="12">
        <f>-(1-BE55)*BE15</f>
        <v>-577.057865251849</v>
      </c>
      <c r="BF54" s="12">
        <f>SUM(BB54:BE54)</f>
        <v>-2680.24633593452</v>
      </c>
      <c r="BG54" s="12" t="n"/>
      <c r="BH54" s="12" t="n"/>
      <c r="BI54" s="12" t="n"/>
      <c r="BJ54" s="12" t="n"/>
      <c r="BK54" s="12" t="n"/>
      <c r="BL54" s="12" t="n"/>
      <c r="BM54" s="12" t="n"/>
      <c r="BN54" s="12" t="n"/>
      <c r="BO54" s="12" t="n"/>
      <c r="BP54" s="12" t="n"/>
      <c r="BQ54" s="12" t="n"/>
      <c r="BR54" s="12" t="n"/>
      <c r="BS54" s="12" t="n"/>
      <c r="BT54" s="12" t="n"/>
      <c r="BU54" s="12" t="n"/>
      <c r="BV54" s="12" t="n"/>
      <c r="BW54" s="12" t="n"/>
      <c r="BX54" s="12" t="n"/>
      <c r="BY54" s="12" t="n"/>
      <c r="BZ54" s="12" t="n"/>
      <c r="CA54" s="12" t="n"/>
      <c r="CB54" s="12" t="n"/>
      <c r="CC54" s="12" t="n"/>
      <c r="CD54" s="12" t="n"/>
      <c r="CE54" s="12" t="n"/>
      <c r="CF54" s="12" t="n"/>
      <c r="CG54" s="12" t="n"/>
      <c r="CH54" s="12" t="n"/>
      <c r="CI54" s="12" t="n"/>
      <c r="CJ54" s="12" t="n"/>
      <c r="CK54" s="12" t="n"/>
      <c r="CL54" s="12" t="n"/>
      <c r="CM54" s="12" t="n"/>
      <c r="CN54" s="12" t="n"/>
      <c r="CO54" s="12" t="n"/>
      <c r="CP54" s="12" t="n"/>
      <c r="CQ54" s="12" t="n"/>
      <c r="CR54" s="12" t="n"/>
      <c r="CS54" s="12" t="n"/>
      <c r="CT54" s="12" t="n"/>
      <c r="CU54" s="12" t="n"/>
      <c r="CV54" s="12" t="n"/>
      <c r="CW54" s="12" t="n"/>
      <c r="CX54" s="12" t="n"/>
      <c r="CY54" s="12" t="n"/>
    </row>
    <row r="55" hidden="1" outlineLevel="1" customFormat="1" s="3">
      <c r="C55" s="47" t="inlineStr">
        <is>
          <t>% Gross Margin</t>
        </is>
      </c>
      <c r="D55" s="48" t="n"/>
      <c r="E55" s="48" t="n"/>
      <c r="F55" s="48" t="n"/>
      <c r="G55" s="48" t="n"/>
      <c r="H55" s="48" t="n"/>
      <c r="I55" s="48">
        <f>IFERROR((I15+I54)/I$15,"")</f>
        <v>0.44416547788873</v>
      </c>
      <c r="J55" s="48">
        <f>IFERROR((J15+J54)/J$15,"")</f>
        <v>0.48961558794653</v>
      </c>
      <c r="K55" s="48">
        <f>IFERROR((K15+K54)/K$15,"")</f>
        <v>0.516751635099809</v>
      </c>
      <c r="L55" s="48">
        <f>IFERROR((L15+L54)/L$15,"")</f>
        <v>0.620598211929481</v>
      </c>
      <c r="M55" s="48">
        <f>IFERROR((M15+M54)/M$15,"")</f>
        <v>0.533417830803002</v>
      </c>
      <c r="N55" s="48">
        <f>IFERROR((N15+N54)/N$15,"")</f>
        <v>0.500886864329914</v>
      </c>
      <c r="O55" s="48">
        <f>IFERROR((O15+O54)/O$15,"")</f>
        <v>0.49272302339787</v>
      </c>
      <c r="P55" s="48">
        <f>IFERROR((P15+P54)/P$15,"")</f>
        <v>0.540925158613834</v>
      </c>
      <c r="Q55" s="48">
        <f>IFERROR((Q15+Q54)/Q$15,"")</f>
        <v>0.519192674475054</v>
      </c>
      <c r="R55" s="48">
        <f>IFERROR((R15+R54)/R$15,"")</f>
        <v>0.516768760060298</v>
      </c>
      <c r="S55" s="48">
        <f>IFERROR((S15+S54)/S$15,"")</f>
        <v>0.542767878418809</v>
      </c>
      <c r="T55" s="48">
        <f>IFERROR((T15+T54)/T$15,"")</f>
        <v>0.52065530331983</v>
      </c>
      <c r="U55" s="48">
        <f>IFERROR((U15+U54)/U$15,"")</f>
        <v>0.566155587516031</v>
      </c>
      <c r="V55" s="48">
        <f>IFERROR((V15+V54)/V$15,"")</f>
        <v>0.501649151253607</v>
      </c>
      <c r="W55" s="48">
        <f>IFERROR((W15+W54)/W$15,"")</f>
        <v>0.532461392597478</v>
      </c>
      <c r="X55" s="48">
        <f>IFERROR((X15+X54)/X$15,"")</f>
        <v>0.630071815860691</v>
      </c>
      <c r="Y55" s="48">
        <f>IFERROR((Y15+Y54)/Y$15,"")</f>
        <v>0.5868531065302</v>
      </c>
      <c r="Z55" s="48">
        <f>IFERROR((Z15+Z54)/Z$15,"")</f>
        <v>0.661650754394277</v>
      </c>
      <c r="AA55" s="48">
        <f>IFERROR((AA15+AA54)/AA$15,"")</f>
        <v>0.63741170951235</v>
      </c>
      <c r="AB55" s="48">
        <f>IFERROR((AB15+AB54)/AB$15,"")</f>
        <v>0.630360840888438</v>
      </c>
      <c r="AC55" s="48">
        <f>IFERROR((AC15+AC54)/AC$15,"")</f>
        <v>0.621108803986711</v>
      </c>
      <c r="AD55" s="48">
        <f>IFERROR((AD15+AD54)/AD$15,"")</f>
        <v>0.632218062616161</v>
      </c>
      <c r="AE55" s="48">
        <f>IFERROR((AE15+AE54)/AE$15,"")</f>
        <v>0.645379825653798</v>
      </c>
      <c r="AF55" s="41">
        <f>IFERROR((AF15+AF54)/AF$15,"")</f>
        <v>0.637413027933215</v>
      </c>
      <c r="AG55" s="48">
        <f>IFERROR((AG15+AG54)/AG$15,"")</f>
        <v>0.634500257059619</v>
      </c>
      <c r="AH55" s="49">
        <f>IFERROR((AH15+AH54)/AH$15,"")</f>
        <v>0.556092860853701</v>
      </c>
      <c r="AI55" s="49">
        <f>IFERROR((AI15+AI54)/AI$15,"")</f>
        <v>0.402499213276047</v>
      </c>
      <c r="AJ55" s="49">
        <f>Control!$B$19</f>
        <v>0.582451965719939</v>
      </c>
      <c r="AK55" s="49">
        <f>Control!$B$19</f>
        <v>0.582451965719939</v>
      </c>
      <c r="AL55" s="48">
        <f>IFERROR((AL15+AL54)/AL$15,"")</f>
        <v>0.512067574892534</v>
      </c>
      <c r="AM55" s="49">
        <f>Control!$C$19</f>
        <v>0.582451965719939</v>
      </c>
      <c r="AN55" s="49">
        <f>Control!$C$19</f>
        <v>0.582451965719939</v>
      </c>
      <c r="AO55" s="49">
        <f>Control!$C$19</f>
        <v>0.582451965719939</v>
      </c>
      <c r="AP55" s="49">
        <f>Control!$C$19</f>
        <v>0.582451965719939</v>
      </c>
      <c r="AQ55" s="48">
        <f>IFERROR((AQ15+AQ54)/AQ$15,"")</f>
        <v>0.582451965719939</v>
      </c>
      <c r="AR55" s="49">
        <f>Control!$D$19</f>
        <v>0.582451965719939</v>
      </c>
      <c r="AS55" s="49">
        <f>Control!$D$19</f>
        <v>0.582451965719939</v>
      </c>
      <c r="AT55" s="49">
        <f>Control!$D$19</f>
        <v>0.582451965719939</v>
      </c>
      <c r="AU55" s="49">
        <f>Control!$D$19</f>
        <v>0.582451965719939</v>
      </c>
      <c r="AV55" s="48">
        <f>IFERROR((AV15+AV54)/AV$15,"")</f>
        <v>0.582451965719939</v>
      </c>
      <c r="AW55" s="49">
        <f>Control!$E$19</f>
        <v>0.582451965719939</v>
      </c>
      <c r="AX55" s="49">
        <f>Control!$E$19</f>
        <v>0.582451965719939</v>
      </c>
      <c r="AY55" s="49">
        <f>Control!$E$19</f>
        <v>0.582451965719939</v>
      </c>
      <c r="AZ55" s="49">
        <f>Control!$E$19</f>
        <v>0.582451965719939</v>
      </c>
      <c r="BA55" s="48">
        <f>IFERROR((BA15+BA54)/BA$15,"")</f>
        <v>0.582451965719939</v>
      </c>
      <c r="BB55" s="49">
        <f>Control!$F$19</f>
        <v>0.582451965719939</v>
      </c>
      <c r="BC55" s="49">
        <f>Control!$F$19</f>
        <v>0.582451965719939</v>
      </c>
      <c r="BD55" s="49">
        <f>Control!$F$19</f>
        <v>0.582451965719939</v>
      </c>
      <c r="BE55" s="49">
        <f>Control!$F$19</f>
        <v>0.582451965719939</v>
      </c>
      <c r="BF55" s="48">
        <f>IFERROR((BF15+BF54)/BF$15,"")</f>
        <v>0.582451965719939</v>
      </c>
      <c r="BG55" s="49" t="n"/>
      <c r="BH55" s="49" t="n"/>
      <c r="BI55" s="49" t="n"/>
      <c r="BJ55" s="49" t="n"/>
      <c r="BK55" s="48" t="n"/>
      <c r="BL55" s="49" t="n"/>
      <c r="BM55" s="49" t="n"/>
      <c r="BN55" s="49" t="n"/>
      <c r="BO55" s="49" t="n"/>
      <c r="BP55" s="48" t="n"/>
      <c r="BQ55" s="49" t="n"/>
      <c r="BR55" s="49" t="n"/>
      <c r="BS55" s="49" t="n"/>
      <c r="BT55" s="49" t="n"/>
      <c r="BU55" s="48" t="n"/>
      <c r="BV55" s="49" t="n"/>
      <c r="BW55" s="49" t="n"/>
      <c r="BX55" s="49" t="n"/>
      <c r="BY55" s="49" t="n"/>
      <c r="BZ55" s="48" t="n"/>
      <c r="CA55" s="49" t="n"/>
      <c r="CB55" s="49" t="n"/>
      <c r="CC55" s="49" t="n"/>
      <c r="CD55" s="49" t="n"/>
      <c r="CE55" s="48" t="n"/>
      <c r="CF55" s="49" t="n"/>
      <c r="CG55" s="49" t="n"/>
      <c r="CH55" s="49" t="n"/>
      <c r="CI55" s="49" t="n"/>
      <c r="CJ55" s="48" t="n"/>
      <c r="CK55" s="49" t="n"/>
      <c r="CL55" s="49" t="n"/>
      <c r="CM55" s="49" t="n"/>
      <c r="CN55" s="49" t="n"/>
      <c r="CO55" s="48" t="n"/>
      <c r="CP55" s="49" t="n"/>
      <c r="CQ55" s="49" t="n"/>
      <c r="CR55" s="49" t="n"/>
      <c r="CS55" s="49" t="n"/>
      <c r="CT55" s="48" t="n"/>
      <c r="CU55" s="49" t="n"/>
      <c r="CV55" s="49" t="n"/>
      <c r="CW55" s="49" t="n"/>
      <c r="CX55" s="49" t="n"/>
      <c r="CY55" s="48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collapsed="1">
      <c r="C58" s="13" t="inlineStr">
        <is>
          <t>SG&amp;A and Other (cash)</t>
        </is>
      </c>
      <c r="D58" s="46" t="n"/>
      <c r="E58" s="46" t="n"/>
      <c r="F58" s="46" t="n"/>
      <c r="G58" s="46" t="n"/>
      <c r="H58" s="12" t="n"/>
      <c r="I58" s="46">
        <f>'Inputs (2)'!D6</f>
        <v>-52.253</v>
      </c>
      <c r="J58" s="46">
        <f>'Inputs (2)'!E6</f>
        <v>-8.569</v>
      </c>
      <c r="K58" s="46">
        <f>'Inputs (2)'!F6</f>
        <v>-18.866</v>
      </c>
      <c r="L58" s="46">
        <f>'Inputs (2)'!G6</f>
        <v>-20.271</v>
      </c>
      <c r="M58" s="12">
        <f>'Inputs (2)'!H6</f>
        <v>-99.959</v>
      </c>
      <c r="N58" s="46">
        <f>'Inputs (2)'!I6</f>
        <v>-22.12</v>
      </c>
      <c r="O58" s="46">
        <f>'Inputs (2)'!J6</f>
        <v>-19.144</v>
      </c>
      <c r="P58" s="46">
        <f>'Inputs (2)'!K6</f>
        <v>-46.061</v>
      </c>
      <c r="Q58" s="46">
        <f>'Inputs (2)'!L6</f>
        <v>-50.785</v>
      </c>
      <c r="R58" s="12">
        <f>'Inputs (2)'!M6</f>
        <v>-138.11</v>
      </c>
      <c r="S58" s="46">
        <f>'Inputs (2)'!N6</f>
        <v>-33.418</v>
      </c>
      <c r="T58" s="46">
        <f>'Inputs (2)'!O6</f>
        <v>-25.614</v>
      </c>
      <c r="U58" s="46">
        <f>'Inputs (2)'!P6</f>
        <v>-29.084</v>
      </c>
      <c r="V58" s="46">
        <f>'Inputs (2)'!Q6</f>
        <v>19.099</v>
      </c>
      <c r="W58" s="12">
        <f>'Inputs (2)'!R6</f>
        <v>-69.017</v>
      </c>
      <c r="X58" s="46">
        <f>'Inputs (2)'!S6</f>
        <v>-30.227</v>
      </c>
      <c r="Y58" s="46">
        <f>'Inputs (2)'!T6</f>
        <v>-32.052</v>
      </c>
      <c r="Z58" s="46">
        <f>'Inputs (2)'!U6</f>
        <v>-39.082</v>
      </c>
      <c r="AA58" s="46">
        <f>'Inputs (2)'!V6</f>
        <v>-53.755</v>
      </c>
      <c r="AB58" s="12">
        <f>'Inputs (2)'!W6</f>
        <v>-155.116</v>
      </c>
      <c r="AC58" s="46">
        <f>'Inputs (2)'!X6</f>
        <v>-45.378</v>
      </c>
      <c r="AD58" s="46">
        <f>'Inputs (2)'!Y6</f>
        <v>-44.509</v>
      </c>
      <c r="AE58" s="46">
        <f>'Inputs (2)'!Z6</f>
        <v>-53.315</v>
      </c>
      <c r="AF58" s="46">
        <f>'Inputs (2)'!AA6</f>
        <v>-38.925</v>
      </c>
      <c r="AG58" s="12">
        <f>'Inputs (2)'!AB6</f>
        <v>-182.127</v>
      </c>
      <c r="AH58" s="12">
        <f>'Inputs (2)'!AC6</f>
        <v>-45.97</v>
      </c>
      <c r="AI58" s="12">
        <f>'Inputs (2)'!AD6</f>
        <v>-96.043</v>
      </c>
      <c r="AJ58" s="12">
        <f>-AJ15*AJ59</f>
        <v>-64.6366565601776</v>
      </c>
      <c r="AK58" s="12">
        <f>-AK15*AK59</f>
        <v>-60.7865150640953</v>
      </c>
      <c r="AL58" s="12">
        <f>SUM(AH58:AK58)</f>
        <v>-267.436171624273</v>
      </c>
      <c r="AM58" s="12">
        <f>-AM15*AM59</f>
        <v>-76.1417744433993</v>
      </c>
      <c r="AN58" s="12">
        <f>-AN15*AN59</f>
        <v>-143.241546434139</v>
      </c>
      <c r="AO58" s="12">
        <f>-AO15*AO59</f>
        <v>-90.3713219277091</v>
      </c>
      <c r="AP58" s="12">
        <f>-AP15*AP59</f>
        <v>-84.9882715794018</v>
      </c>
      <c r="AQ58" s="12">
        <f>SUM(AM58:AP58)</f>
        <v>-394.742914384649</v>
      </c>
      <c r="AR58" s="12">
        <f>-AR15*AR59</f>
        <v>-106.076418964603</v>
      </c>
      <c r="AS58" s="12">
        <f>-AS15*AS59</f>
        <v>-199.556030887885</v>
      </c>
      <c r="AT58" s="12">
        <f>-AT15*AT59</f>
        <v>-125.900220703613</v>
      </c>
      <c r="AU58" s="12">
        <f>-AU15*AU59</f>
        <v>-118.400859042701</v>
      </c>
      <c r="AV58" s="12">
        <f>SUM(AR58:AU58)</f>
        <v>-549.933529598802</v>
      </c>
      <c r="AW58" s="12">
        <f>-AW15*AW59</f>
        <v>-147.249292631807</v>
      </c>
      <c r="AX58" s="12">
        <f>-AX15*AX59</f>
        <v>-277.012409312738</v>
      </c>
      <c r="AY58" s="12">
        <f>-AY15*AY59</f>
        <v>-174.767574374674</v>
      </c>
      <c r="AZ58" s="12">
        <f>-AZ15*AZ59</f>
        <v>-164.357384150136</v>
      </c>
      <c r="BA58" s="12">
        <f>SUM(AW58:AZ58)</f>
        <v>-763.386660469356</v>
      </c>
      <c r="BB58" s="12">
        <f>-BB15*BB59</f>
        <v>-203.666903569675</v>
      </c>
      <c r="BC58" s="12">
        <f>-BC15*BC59</f>
        <v>-383.147916344652</v>
      </c>
      <c r="BD58" s="12">
        <f>-BD15*BD59</f>
        <v>-241.72863638996</v>
      </c>
      <c r="BE58" s="12">
        <f>-BE15*BE59</f>
        <v>-227.329849334972</v>
      </c>
      <c r="BF58" s="12">
        <f>SUM(BB58:BE58)</f>
        <v>-1055.87330563926</v>
      </c>
      <c r="BG58" s="12" t="n"/>
      <c r="BH58" s="12" t="n"/>
      <c r="BI58" s="12" t="n"/>
      <c r="BJ58" s="12" t="n"/>
      <c r="BK58" s="12" t="n"/>
      <c r="BL58" s="12" t="n"/>
      <c r="BM58" s="12" t="n"/>
      <c r="BN58" s="12" t="n"/>
      <c r="BO58" s="12" t="n"/>
      <c r="BP58" s="12" t="n"/>
      <c r="BQ58" s="12" t="n"/>
      <c r="BR58" s="12" t="n"/>
      <c r="BS58" s="12" t="n"/>
      <c r="BT58" s="12" t="n"/>
      <c r="BU58" s="12" t="n"/>
      <c r="BV58" s="12" t="n"/>
      <c r="BW58" s="12" t="n"/>
      <c r="BX58" s="12" t="n"/>
      <c r="BY58" s="12" t="n"/>
      <c r="BZ58" s="12" t="n"/>
      <c r="CA58" s="12" t="n"/>
      <c r="CB58" s="12" t="n"/>
      <c r="CC58" s="12" t="n"/>
      <c r="CD58" s="12" t="n"/>
      <c r="CE58" s="12" t="n"/>
      <c r="CF58" s="12" t="n"/>
      <c r="CG58" s="12" t="n"/>
      <c r="CH58" s="12" t="n"/>
      <c r="CI58" s="12" t="n"/>
      <c r="CJ58" s="12" t="n"/>
      <c r="CK58" s="12" t="n"/>
      <c r="CL58" s="12" t="n"/>
      <c r="CM58" s="12" t="n"/>
      <c r="CN58" s="12" t="n"/>
      <c r="CO58" s="12" t="n"/>
      <c r="CP58" s="12" t="n"/>
      <c r="CQ58" s="12" t="n"/>
      <c r="CR58" s="12" t="n"/>
      <c r="CS58" s="12" t="n"/>
      <c r="CT58" s="12" t="n"/>
      <c r="CU58" s="12" t="n"/>
      <c r="CV58" s="12" t="n"/>
      <c r="CW58" s="12" t="n"/>
      <c r="CX58" s="12" t="n"/>
      <c r="CY58" s="12" t="n"/>
    </row>
    <row r="59" hidden="1" outlineLevel="1">
      <c r="C59" s="38" t="inlineStr">
        <is>
          <t>% SG&amp;A and Other Margin</t>
        </is>
      </c>
      <c r="D59" s="51" t="n"/>
      <c r="E59" s="51" t="n"/>
      <c r="F59" s="51" t="n"/>
      <c r="G59" s="51" t="n"/>
      <c r="H59" s="51" t="n"/>
      <c r="I59" s="51">
        <f>IFERROR(-(I58/I$15),"")</f>
        <v>0.596325249643367</v>
      </c>
      <c r="J59" s="51">
        <f>IFERROR(-(J58/J$15),"")</f>
        <v>0.0924509370246097</v>
      </c>
      <c r="K59" s="51">
        <f>IFERROR(-(K58/K$15),"")</f>
        <v>0.188960447110906</v>
      </c>
      <c r="L59" s="51">
        <f>IFERROR(-(L58/L$15),"")</f>
        <v>0.130475080939477</v>
      </c>
      <c r="M59" s="51">
        <f>IFERROR(-(M58/M$15),"")</f>
        <v>0.229518548113043</v>
      </c>
      <c r="N59" s="51">
        <f>IFERROR(-(N58/N$15),"")</f>
        <v>0.222925442928265</v>
      </c>
      <c r="O59" s="51">
        <f>IFERROR(-(O58/O$15),"")</f>
        <v>0.127108065758373</v>
      </c>
      <c r="P59" s="51">
        <f>IFERROR(-(P58/P$15),"")</f>
        <v>0.233602296413882</v>
      </c>
      <c r="Q59" s="51">
        <f>IFERROR(-(Q58/Q$15),"")</f>
        <v>0.283384205034345</v>
      </c>
      <c r="R59" s="51">
        <f>IFERROR(-(R58/R$15),"")</f>
        <v>0.220544086461075</v>
      </c>
      <c r="S59" s="51">
        <f>IFERROR(-(S58/S$15),"")</f>
        <v>0.176959940692102</v>
      </c>
      <c r="T59" s="51">
        <f>IFERROR(-(T58/T$15),"")</f>
        <v>0.130520522815868</v>
      </c>
      <c r="U59" s="51">
        <f>IFERROR(-(U58/U$15),"")</f>
        <v>0.151008053001314</v>
      </c>
      <c r="V59" s="51">
        <f>IFERROR(-(V58/V$15),"")</f>
        <v>-0.0961744726492671</v>
      </c>
      <c r="W59" s="51">
        <f>IFERROR(-(W58/W$15),"")</f>
        <v>0.0889078111393371</v>
      </c>
      <c r="X59" s="51">
        <f>IFERROR(-(X58/X$15),"")</f>
        <v>0.144525833628183</v>
      </c>
      <c r="Y59" s="51">
        <f>IFERROR(-(Y58/Y$15),"")</f>
        <v>0.149046487512032</v>
      </c>
      <c r="Z59" s="51">
        <f>IFERROR(-(Z58/Z$15),"")</f>
        <v>0.156909191645856</v>
      </c>
      <c r="AA59" s="51">
        <f>IFERROR(-(AA58/AA$15),"")</f>
        <v>0.233508249133385</v>
      </c>
      <c r="AB59" s="51">
        <f>IFERROR(-(AB58/AB$15),"")</f>
        <v>0.171688583942188</v>
      </c>
      <c r="AC59" s="51">
        <f>IFERROR(-(AC58/AC$15),"")</f>
        <v>0.188446843853821</v>
      </c>
      <c r="AD59" s="51">
        <f>IFERROR(-(AD58/AD$15),"")</f>
        <v>0.168479186618266</v>
      </c>
      <c r="AE59" s="51">
        <f>IFERROR(-(AE58/AE$15),"")</f>
        <v>0.189699341754136</v>
      </c>
      <c r="AF59" s="41">
        <f>IFERROR(-(AF58/AF$15),"")</f>
        <v>0.147270808031509</v>
      </c>
      <c r="AG59" s="51">
        <f>IFERROR(-(AG58/AG$15),"")</f>
        <v>0.173398137745873</v>
      </c>
      <c r="AH59" s="52">
        <f>IFERROR(-(AH58/AH$15),"")</f>
        <v>0.13885029419227</v>
      </c>
      <c r="AI59" s="52">
        <f>IFERROR(-(AI58/AI$15),"")</f>
        <v>0.154202711468187</v>
      </c>
      <c r="AJ59" s="52">
        <f>Control!$B$20</f>
        <v>0.164491530986365</v>
      </c>
      <c r="AK59" s="52">
        <f>Control!$B$20</f>
        <v>0.164491530986365</v>
      </c>
      <c r="AL59" s="51">
        <f>IFERROR(-(AL58/AL$15),"")</f>
        <v>0.155812070095896</v>
      </c>
      <c r="AM59" s="52">
        <f>Control!$C$20</f>
        <v>0.164491530986365</v>
      </c>
      <c r="AN59" s="52">
        <f>Control!$C$20</f>
        <v>0.164491530986365</v>
      </c>
      <c r="AO59" s="52">
        <f>Control!$C$20</f>
        <v>0.164491530986365</v>
      </c>
      <c r="AP59" s="52">
        <f>Control!$C$20</f>
        <v>0.164491530986365</v>
      </c>
      <c r="AQ59" s="51">
        <f>IFERROR(-(AQ58/AQ$15),"")</f>
        <v>0.164491530986365</v>
      </c>
      <c r="AR59" s="52">
        <f>Control!$D$20</f>
        <v>0.164491530986365</v>
      </c>
      <c r="AS59" s="52">
        <f>Control!$D$20</f>
        <v>0.164491530986365</v>
      </c>
      <c r="AT59" s="52">
        <f>Control!$D$20</f>
        <v>0.164491530986365</v>
      </c>
      <c r="AU59" s="52">
        <f>Control!$D$20</f>
        <v>0.164491530986365</v>
      </c>
      <c r="AV59" s="51">
        <f>IFERROR(-(AV58/AV$15),"")</f>
        <v>0.164491530986365</v>
      </c>
      <c r="AW59" s="52">
        <f>Control!$E$20</f>
        <v>0.164491530986365</v>
      </c>
      <c r="AX59" s="52">
        <f>Control!$E$20</f>
        <v>0.164491530986365</v>
      </c>
      <c r="AY59" s="52">
        <f>Control!$E$20</f>
        <v>0.164491530986365</v>
      </c>
      <c r="AZ59" s="52">
        <f>Control!$E$20</f>
        <v>0.164491530986365</v>
      </c>
      <c r="BA59" s="51">
        <f>IFERROR(-(BA58/BA$15),"")</f>
        <v>0.164491530986365</v>
      </c>
      <c r="BB59" s="52">
        <f>Control!$F$20</f>
        <v>0.164491530986365</v>
      </c>
      <c r="BC59" s="52">
        <f>Control!$F$20</f>
        <v>0.164491530986365</v>
      </c>
      <c r="BD59" s="52">
        <f>Control!$F$20</f>
        <v>0.164491530986365</v>
      </c>
      <c r="BE59" s="52">
        <f>Control!$F$20</f>
        <v>0.164491530986365</v>
      </c>
      <c r="BF59" s="51">
        <f>IFERROR(-(BF58/BF$15),"")</f>
        <v>0.164491530986365</v>
      </c>
      <c r="BG59" s="52" t="n"/>
      <c r="BH59" s="52" t="n"/>
      <c r="BI59" s="52" t="n"/>
      <c r="BJ59" s="52" t="n"/>
      <c r="BK59" s="51" t="n"/>
      <c r="BL59" s="52" t="n"/>
      <c r="BM59" s="52" t="n"/>
      <c r="BN59" s="52" t="n"/>
      <c r="BO59" s="52" t="n"/>
      <c r="BP59" s="51" t="n"/>
      <c r="BQ59" s="52" t="n"/>
      <c r="BR59" s="52" t="n"/>
      <c r="BS59" s="52" t="n"/>
      <c r="BT59" s="52" t="n"/>
      <c r="BU59" s="51" t="n"/>
      <c r="BV59" s="52" t="n"/>
      <c r="BW59" s="52" t="n"/>
      <c r="BX59" s="52" t="n"/>
      <c r="BY59" s="52" t="n"/>
      <c r="BZ59" s="51" t="n"/>
      <c r="CA59" s="52" t="n"/>
      <c r="CB59" s="52" t="n"/>
      <c r="CC59" s="52" t="n"/>
      <c r="CD59" s="52" t="n"/>
      <c r="CE59" s="51" t="n"/>
      <c r="CF59" s="52" t="n"/>
      <c r="CG59" s="52" t="n"/>
      <c r="CH59" s="52" t="n"/>
      <c r="CI59" s="52" t="n"/>
      <c r="CJ59" s="51" t="n"/>
      <c r="CK59" s="52" t="n"/>
      <c r="CL59" s="52" t="n"/>
      <c r="CM59" s="52" t="n"/>
      <c r="CN59" s="52" t="n"/>
      <c r="CO59" s="51" t="n"/>
      <c r="CP59" s="52" t="n"/>
      <c r="CQ59" s="52" t="n"/>
      <c r="CR59" s="52" t="n"/>
      <c r="CS59" s="52" t="n"/>
      <c r="CT59" s="51" t="n"/>
      <c r="CU59" s="52" t="n"/>
      <c r="CV59" s="52" t="n"/>
      <c r="CW59" s="52" t="n"/>
      <c r="CX59" s="52" t="n"/>
      <c r="CY59" s="51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Com Vendas</t>
        </is>
      </c>
      <c r="D61" s="11" t="n"/>
      <c r="E61" s="11" t="n"/>
      <c r="F61" s="11" t="n"/>
      <c r="G61" s="11" t="n"/>
      <c r="H61" s="50" t="n"/>
      <c r="I61" s="11" t="n"/>
      <c r="J61" s="11" t="n"/>
      <c r="K61" s="11" t="n"/>
      <c r="L61" s="11" t="n"/>
      <c r="M61" s="50" t="n"/>
      <c r="N61" s="11" t="n"/>
      <c r="O61" s="11" t="n"/>
      <c r="P61" s="11" t="n"/>
      <c r="Q61" s="11" t="n"/>
      <c r="R61" s="50" t="n"/>
      <c r="S61" s="11" t="n"/>
      <c r="T61" s="11" t="n"/>
      <c r="U61" s="11" t="n"/>
      <c r="V61" s="11" t="n"/>
      <c r="W61" s="50" t="n"/>
      <c r="X61" s="11" t="n"/>
      <c r="Y61" s="11" t="n"/>
      <c r="Z61" s="11" t="n"/>
      <c r="AA61" s="11" t="n"/>
      <c r="AB61" s="50" t="n"/>
      <c r="AC61" s="11" t="n"/>
      <c r="AD61" s="11" t="n"/>
      <c r="AE61" s="11" t="n"/>
      <c r="AF61" s="11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inlineStr">
        <is>
          <t>Gerais &amp; Administrativas</t>
        </is>
      </c>
      <c r="D62" s="11" t="n"/>
      <c r="E62" s="11" t="n"/>
      <c r="F62" s="11" t="n"/>
      <c r="G62" s="11" t="n"/>
      <c r="H62" s="50" t="n"/>
      <c r="I62" s="11" t="n"/>
      <c r="J62" s="11" t="n"/>
      <c r="K62" s="11" t="n"/>
      <c r="L62" s="11" t="n"/>
      <c r="M62" s="50" t="n"/>
      <c r="N62" s="11" t="n"/>
      <c r="O62" s="11" t="n"/>
      <c r="P62" s="11" t="n"/>
      <c r="Q62" s="11" t="n"/>
      <c r="R62" s="50" t="n"/>
      <c r="S62" s="11" t="n"/>
      <c r="T62" s="11" t="n"/>
      <c r="U62" s="11" t="n"/>
      <c r="V62" s="11" t="n"/>
      <c r="W62" s="50" t="n"/>
      <c r="X62" s="11" t="n"/>
      <c r="Y62" s="11" t="n"/>
      <c r="Z62" s="11" t="n"/>
      <c r="AA62" s="11" t="n"/>
      <c r="AB62" s="50" t="n"/>
      <c r="AC62" s="11" t="n"/>
      <c r="AD62" s="11" t="n"/>
      <c r="AE62" s="11" t="n"/>
      <c r="AF62" s="11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Outras Receitas (Despesas) Operacionais, Líquidas</t>
        </is>
      </c>
      <c r="D63" s="11" t="n"/>
      <c r="E63" s="11" t="n"/>
      <c r="F63" s="11" t="n"/>
      <c r="G63" s="11" t="n"/>
      <c r="H63" s="50" t="n"/>
      <c r="I63" s="11" t="n"/>
      <c r="J63" s="11" t="n"/>
      <c r="K63" s="11" t="n"/>
      <c r="L63" s="11" t="n"/>
      <c r="M63" s="50" t="n"/>
      <c r="N63" s="11" t="n"/>
      <c r="O63" s="11" t="n"/>
      <c r="P63" s="11" t="n"/>
      <c r="Q63" s="11" t="n"/>
      <c r="R63" s="50" t="n"/>
      <c r="S63" s="11" t="n"/>
      <c r="T63" s="11" t="n"/>
      <c r="U63" s="11" t="n"/>
      <c r="V63" s="11" t="n"/>
      <c r="W63" s="50" t="n"/>
      <c r="X63" s="11" t="n"/>
      <c r="Y63" s="11" t="n"/>
      <c r="Z63" s="11" t="n"/>
      <c r="AA63" s="11" t="n"/>
      <c r="AB63" s="50" t="n"/>
      <c r="AC63" s="11" t="n"/>
      <c r="AD63" s="11" t="n"/>
      <c r="AE63" s="11" t="n"/>
      <c r="AF63" s="11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Com Vendas (%)</t>
        </is>
      </c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inlineStr">
        <is>
          <t>Gerais &amp; Administrativas (%)</t>
        </is>
      </c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inlineStr">
        <is>
          <t>Outras Receitas (Despesas) Operacionais, Líquidas (%)</t>
        </is>
      </c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hidden="1" outlineLevel="1"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</row>
    <row r="69" collapsed="1" customFormat="1" s="32">
      <c r="A69" s="30" t="n"/>
      <c r="B69" s="3" t="n"/>
      <c r="C69" s="33" t="inlineStr">
        <is>
          <t>EBITDA</t>
        </is>
      </c>
      <c r="D69" s="35" t="n"/>
      <c r="E69" s="35" t="n"/>
      <c r="F69" s="35" t="n"/>
      <c r="G69" s="35" t="n"/>
      <c r="H69" s="35" t="n"/>
      <c r="I69" s="35">
        <f>SUM(I15,I54,I58)</f>
        <v>-13.333</v>
      </c>
      <c r="J69" s="35">
        <f>SUM(J15,J54,J58)</f>
        <v>36.812</v>
      </c>
      <c r="K69" s="35">
        <f>SUM(K15,K54,K58)</f>
        <v>32.727</v>
      </c>
      <c r="L69" s="35">
        <f>SUM(L15,L54,L58)</f>
        <v>76.147</v>
      </c>
      <c r="M69" s="35">
        <f>SUM(I69:L69)</f>
        <v>132.353</v>
      </c>
      <c r="N69" s="35">
        <f>SUM(N15,N54,N58)</f>
        <v>27.581</v>
      </c>
      <c r="O69" s="35">
        <f>SUM(O15,O54,O58)</f>
        <v>55.066</v>
      </c>
      <c r="P69" s="35">
        <f>SUM(P15,P54,P58)</f>
        <v>60.597</v>
      </c>
      <c r="Q69" s="35">
        <f>SUM(Q15,Q54,Q58)</f>
        <v>42.259</v>
      </c>
      <c r="R69" s="35">
        <f>SUM(N69:Q69)</f>
        <v>185.503</v>
      </c>
      <c r="S69" s="35">
        <f>SUM(S15,S54,S58)</f>
        <v>69.081</v>
      </c>
      <c r="T69" s="35">
        <f>SUM(T15,T54,T58)</f>
        <v>76.562</v>
      </c>
      <c r="U69" s="35">
        <f>SUM(U15,U54,U58)</f>
        <v>79.957</v>
      </c>
      <c r="V69" s="35">
        <f>SUM(V15,V54,V58)</f>
        <v>118.72</v>
      </c>
      <c r="W69" s="35">
        <f>SUM(S69:V69)</f>
        <v>344.32</v>
      </c>
      <c r="X69" s="35">
        <f>SUM(X15,X54,X58)</f>
        <v>101.55</v>
      </c>
      <c r="Y69" s="35">
        <f>SUM(Y15,Y54,Y58)</f>
        <v>94.149</v>
      </c>
      <c r="Z69" s="35">
        <f>SUM(Z15,Z54,Z58)</f>
        <v>125.718</v>
      </c>
      <c r="AA69" s="35">
        <f>SUM(AA15,AA54,AA58)</f>
        <v>92.981</v>
      </c>
      <c r="AB69" s="35">
        <f>SUM(X69:AA69)</f>
        <v>414.398</v>
      </c>
      <c r="AC69" s="35">
        <f>SUM(AC15,AC54,AC58)</f>
        <v>104.185</v>
      </c>
      <c r="AD69" s="35">
        <f>SUM(AD15,AD54,AD58)</f>
        <v>122.511</v>
      </c>
      <c r="AE69" s="35">
        <f>SUM(AE15,AE54,AE58)</f>
        <v>128.069</v>
      </c>
      <c r="AF69" s="35">
        <f>SUM(AF15,AF54,AF58)</f>
        <v>129.549</v>
      </c>
      <c r="AG69" s="35">
        <f>SUM(AC69:AF69)</f>
        <v>484.314</v>
      </c>
      <c r="AH69" s="35">
        <f>SUM(AH15,AH54,AH58)</f>
        <v>138.139</v>
      </c>
      <c r="AI69" s="35">
        <f>SUM(AI15,AI54,AI58)</f>
        <v>154.648</v>
      </c>
      <c r="AJ69" s="35">
        <f>SUM(AJ15,AJ54,AJ58)</f>
        <v>164.236814586254</v>
      </c>
      <c r="AK69" s="35">
        <f>SUM(AK15,AK54,AK58)</f>
        <v>154.453898688767</v>
      </c>
      <c r="AL69" s="35">
        <f>SUM(AH69:AK69)</f>
        <v>611.477713275021</v>
      </c>
      <c r="AM69" s="35">
        <f>SUM(AM15,AM54,AM58)</f>
        <v>193.470441650804</v>
      </c>
      <c r="AN69" s="35">
        <f>SUM(AN15,AN54,AN58)</f>
        <v>363.96584468829</v>
      </c>
      <c r="AO69" s="35">
        <f>SUM(AO15,AO54,AO58)</f>
        <v>229.626636543884</v>
      </c>
      <c r="AP69" s="35">
        <f>SUM(AP15,AP54,AP58)</f>
        <v>215.948716165371</v>
      </c>
      <c r="AQ69" s="35">
        <f>SUM(AM69:AP69)</f>
        <v>1003.01163904835</v>
      </c>
      <c r="AR69" s="35">
        <f>SUM(AR15,AR54,AR58)</f>
        <v>269.532090312305</v>
      </c>
      <c r="AS69" s="35">
        <f>SUM(AS15,AS54,AS58)</f>
        <v>507.056654670694</v>
      </c>
      <c r="AT69" s="35">
        <f>SUM(AT15,AT54,AT58)</f>
        <v>319.902858601863</v>
      </c>
      <c r="AU69" s="35">
        <f>SUM(AU15,AU54,AU58)</f>
        <v>300.84755258566</v>
      </c>
      <c r="AV69" s="35">
        <f>SUM(AR69:AU69)</f>
        <v>1397.33915617052</v>
      </c>
      <c r="AW69" s="35">
        <f>SUM(AW15,AW54,AW58)</f>
        <v>374.149222112249</v>
      </c>
      <c r="AX69" s="35">
        <f>SUM(AX15,AX54,AX58)</f>
        <v>703.867404775655</v>
      </c>
      <c r="AY69" s="35">
        <f>SUM(AY15,AY54,AY58)</f>
        <v>444.071077246075</v>
      </c>
      <c r="AZ69" s="35">
        <f>SUM(AZ15,AZ54,AZ58)</f>
        <v>417.61957785388</v>
      </c>
      <c r="BA69" s="35">
        <f>SUM(AW69:AZ69)</f>
        <v>1939.70728198786</v>
      </c>
      <c r="BB69" s="35">
        <f>SUM(BB15,BB54,BB58)</f>
        <v>517.502068625518</v>
      </c>
      <c r="BC69" s="35">
        <f>SUM(BC15,BC54,BC58)</f>
        <v>973.549633360447</v>
      </c>
      <c r="BD69" s="35">
        <f>SUM(BD15,BD54,BD58)</f>
        <v>614.214028815117</v>
      </c>
      <c r="BE69" s="35">
        <f>SUM(BE15,BE54,BE58)</f>
        <v>577.627809080572</v>
      </c>
      <c r="BF69" s="35">
        <f>SUM(BB69:BE69)</f>
        <v>2682.89353988165</v>
      </c>
      <c r="BG69" s="35" t="n"/>
      <c r="BH69" s="35" t="n"/>
      <c r="BI69" s="35" t="n"/>
      <c r="BJ69" s="35" t="n"/>
      <c r="BK69" s="35" t="n"/>
      <c r="BL69" s="35" t="n"/>
      <c r="BM69" s="35" t="n"/>
      <c r="BN69" s="35" t="n"/>
      <c r="BO69" s="35" t="n"/>
      <c r="BP69" s="35" t="n"/>
      <c r="BQ69" s="35" t="n"/>
      <c r="BR69" s="35" t="n"/>
      <c r="BS69" s="35" t="n"/>
      <c r="BT69" s="35" t="n"/>
      <c r="BU69" s="35" t="n"/>
      <c r="BV69" s="35" t="n"/>
      <c r="BW69" s="35" t="n"/>
      <c r="BX69" s="35" t="n"/>
      <c r="BY69" s="35" t="n"/>
      <c r="BZ69" s="35" t="n"/>
      <c r="CA69" s="35" t="n"/>
      <c r="CB69" s="35" t="n"/>
      <c r="CC69" s="35" t="n"/>
      <c r="CD69" s="35" t="n"/>
      <c r="CE69" s="35" t="n"/>
      <c r="CF69" s="35" t="n"/>
      <c r="CG69" s="35" t="n"/>
      <c r="CH69" s="35" t="n"/>
      <c r="CI69" s="35" t="n"/>
      <c r="CJ69" s="35" t="n"/>
      <c r="CK69" s="35" t="n"/>
      <c r="CL69" s="35" t="n"/>
      <c r="CM69" s="35" t="n"/>
      <c r="CN69" s="35" t="n"/>
      <c r="CO69" s="35" t="n"/>
      <c r="CP69" s="35" t="n"/>
      <c r="CQ69" s="35" t="n"/>
      <c r="CR69" s="35" t="n"/>
      <c r="CS69" s="35" t="n"/>
      <c r="CT69" s="35" t="n"/>
      <c r="CU69" s="35" t="n"/>
      <c r="CV69" s="35" t="n"/>
      <c r="CW69" s="35" t="n"/>
      <c r="CX69" s="35" t="n"/>
      <c r="CY69" s="35" t="n"/>
    </row>
    <row r="70" ht="13.5" customHeight="1">
      <c r="C70" s="13" t="inlineStr">
        <is>
          <t>D&amp;A</t>
        </is>
      </c>
      <c r="D70" s="46" t="n"/>
      <c r="E70" s="46" t="n"/>
      <c r="F70" s="46" t="n"/>
      <c r="G70" s="46" t="n"/>
      <c r="H70" s="12" t="n"/>
      <c r="I70" s="46">
        <f>'Inputs (2)'!D7</f>
        <v>-10.679</v>
      </c>
      <c r="J70" s="46">
        <f>'Inputs (2)'!E7</f>
        <v>-11.878</v>
      </c>
      <c r="K70" s="46">
        <f>'Inputs (2)'!F7</f>
        <v>-13.134</v>
      </c>
      <c r="L70" s="46">
        <f>'Inputs (2)'!G7</f>
        <v>-17.704</v>
      </c>
      <c r="M70" s="12">
        <f>'Inputs (2)'!H7</f>
        <v>-53.395</v>
      </c>
      <c r="N70" s="46">
        <f>'Inputs (2)'!I7</f>
        <v>-15.688</v>
      </c>
      <c r="O70" s="46">
        <f>'Inputs (2)'!J7</f>
        <v>-30.096</v>
      </c>
      <c r="P70" s="46">
        <f>'Inputs (2)'!K7</f>
        <v>-48.076</v>
      </c>
      <c r="Q70" s="46">
        <f>'Inputs (2)'!L7</f>
        <v>-41.858</v>
      </c>
      <c r="R70" s="12">
        <f>'Inputs (2)'!M7</f>
        <v>-135.718</v>
      </c>
      <c r="S70" s="46">
        <f>'Inputs (2)'!N7</f>
        <v>-60.225</v>
      </c>
      <c r="T70" s="46">
        <f>'Inputs (2)'!O7</f>
        <v>-35.636</v>
      </c>
      <c r="U70" s="46">
        <f>'Inputs (2)'!P7</f>
        <v>-37.234</v>
      </c>
      <c r="V70" s="46">
        <f>'Inputs (2)'!Q7</f>
        <v>-32.565</v>
      </c>
      <c r="W70" s="12">
        <f>'Inputs (2)'!R7</f>
        <v>-165.66</v>
      </c>
      <c r="X70" s="46">
        <f>'Inputs (2)'!S7</f>
        <v>-35.203</v>
      </c>
      <c r="Y70" s="46">
        <f>'Inputs (2)'!T7</f>
        <v>-32.275</v>
      </c>
      <c r="Z70" s="46">
        <f>'Inputs (2)'!U7</f>
        <v>-39.87</v>
      </c>
      <c r="AA70" s="46">
        <f>'Inputs (2)'!V7</f>
        <v>-48.619</v>
      </c>
      <c r="AB70" s="12">
        <f>'Inputs (2)'!W7</f>
        <v>-155.967</v>
      </c>
      <c r="AC70" s="46">
        <f>'Inputs (2)'!X7</f>
        <v>-48.663</v>
      </c>
      <c r="AD70" s="46">
        <f>'Inputs (2)'!Y7</f>
        <v>-42.936</v>
      </c>
      <c r="AE70" s="46">
        <f>'Inputs (2)'!Z7</f>
        <v>-44.612</v>
      </c>
      <c r="AF70" s="46">
        <f>'Inputs (2)'!AA7</f>
        <v>-44.967</v>
      </c>
      <c r="AG70" s="12">
        <f>'Inputs (2)'!AB7</f>
        <v>-181.178</v>
      </c>
      <c r="AH70" s="12">
        <f>'Inputs (2)'!AC7</f>
        <v>-51.389</v>
      </c>
      <c r="AI70" s="12">
        <f>'Inputs (2)'!AD7</f>
        <v>-57.892</v>
      </c>
      <c r="AJ70" s="12">
        <f>-AJ71*AJ15</f>
        <v>-61.6696040607832</v>
      </c>
      <c r="AK70" s="12">
        <f>-AK71*AK15</f>
        <v>-57.9961977573441</v>
      </c>
      <c r="AL70" s="12">
        <f>SUM(AH70:AK70)</f>
        <v>-228.946801818127</v>
      </c>
      <c r="AM70" s="12">
        <f>-AM71*AM15</f>
        <v>-72.6465961004371</v>
      </c>
      <c r="AN70" s="12">
        <f>-AN71*AN15</f>
        <v>-136.666249830286</v>
      </c>
      <c r="AO70" s="12">
        <f>-AO71*AO15</f>
        <v>-86.2229567295565</v>
      </c>
      <c r="AP70" s="12">
        <f>-AP71*AP15</f>
        <v>-81.0870075439685</v>
      </c>
      <c r="AQ70" s="12">
        <f>SUM(AM70:AP70)</f>
        <v>-376.622810204248</v>
      </c>
      <c r="AR70" s="12">
        <f>-AR71*AR15</f>
        <v>-101.207133937109</v>
      </c>
      <c r="AS70" s="12">
        <f>-AS71*AS15</f>
        <v>-190.395699092816</v>
      </c>
      <c r="AT70" s="12">
        <f>-AT71*AT15</f>
        <v>-120.120952647488</v>
      </c>
      <c r="AU70" s="12">
        <f>-AU71*AU15</f>
        <v>-112.965838367923</v>
      </c>
      <c r="AV70" s="12">
        <f>SUM(AR70:AU70)</f>
        <v>-524.689624045337</v>
      </c>
      <c r="AW70" s="12">
        <f>-AW71*AW15</f>
        <v>-140.490026218785</v>
      </c>
      <c r="AX70" s="12">
        <f>-AX71*AX15</f>
        <v>-264.296554174881</v>
      </c>
      <c r="AY70" s="12">
        <f>-AY71*AY15</f>
        <v>-166.745120925544</v>
      </c>
      <c r="AZ70" s="12">
        <f>-AZ71*AZ15</f>
        <v>-156.812795469523</v>
      </c>
      <c r="BA70" s="12">
        <f>SUM(AW70:AZ70)</f>
        <v>-728.344496788733</v>
      </c>
      <c r="BB70" s="12">
        <f>-BB71*BB15</f>
        <v>-194.317868092914</v>
      </c>
      <c r="BC70" s="12">
        <f>-BC71*BC15</f>
        <v>-365.560063826789</v>
      </c>
      <c r="BD70" s="12">
        <f>-BD71*BD15</f>
        <v>-230.632431961312</v>
      </c>
      <c r="BE70" s="12">
        <f>-BE71*BE15</f>
        <v>-216.894600459927</v>
      </c>
      <c r="BF70" s="12">
        <f>SUM(BB70:BE70)</f>
        <v>-1007.40496434094</v>
      </c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 customFormat="1" s="56">
      <c r="A71" s="53" t="n"/>
      <c r="B71" s="53" t="n"/>
      <c r="C71" s="54" t="inlineStr">
        <is>
          <t>% of Revenue</t>
        </is>
      </c>
      <c r="D71" s="53" t="n"/>
      <c r="E71" s="53" t="n"/>
      <c r="F71" s="53" t="n"/>
      <c r="G71" s="53" t="n"/>
      <c r="H71" s="53" t="n"/>
      <c r="I71" s="53">
        <f>IFERROR(-I70/I15,"")</f>
        <v>0.121871611982882</v>
      </c>
      <c r="J71" s="53">
        <f>IFERROR(-J70/J15,"")</f>
        <v>0.128151736489475</v>
      </c>
      <c r="K71" s="53">
        <f>IFERROR(-K70/K15,"")</f>
        <v>0.131549163169439</v>
      </c>
      <c r="L71" s="53">
        <f>IFERROR(-L70/L15,"")</f>
        <v>0.113952485469513</v>
      </c>
      <c r="M71" s="53" t="n"/>
      <c r="N71" s="53">
        <f>IFERROR(-N70/N15,"")</f>
        <v>0.158103722814585</v>
      </c>
      <c r="O71" s="53">
        <f>IFERROR(-O70/O15,"")</f>
        <v>0.199824715162138</v>
      </c>
      <c r="P71" s="53">
        <f>IFERROR(-P70/P15,"")</f>
        <v>0.243821541051948</v>
      </c>
      <c r="Q71" s="53">
        <f>IFERROR(-Q70/Q15,"")</f>
        <v>0.233570858606432</v>
      </c>
      <c r="R71" s="53" t="n"/>
      <c r="S71" s="53">
        <f>IFERROR(-S70/S15,"")</f>
        <v>0.318912335513252</v>
      </c>
      <c r="T71" s="53">
        <f>IFERROR(-T70/T15,"")</f>
        <v>0.181589339855793</v>
      </c>
      <c r="U71" s="53">
        <f>IFERROR(-U70/U15,"")</f>
        <v>0.193323952876183</v>
      </c>
      <c r="V71" s="53">
        <f>IFERROR(-V70/V15,"")</f>
        <v>0.163983543736498</v>
      </c>
      <c r="W71" s="53" t="n"/>
      <c r="X71" s="53">
        <f>IFERROR(-X70/X15,"")</f>
        <v>0.168317825825022</v>
      </c>
      <c r="Y71" s="53">
        <f>IFERROR(-Y70/Y15,"")</f>
        <v>0.150083470125135</v>
      </c>
      <c r="Z71" s="53">
        <f>IFERROR(-Z70/Z15,"")</f>
        <v>0.160072910058858</v>
      </c>
      <c r="AA71" s="53">
        <f>IFERROR(-AA70/AA15,"")</f>
        <v>0.211197796755949</v>
      </c>
      <c r="AB71" s="53" t="n"/>
      <c r="AC71" s="53">
        <f>IFERROR(-AC70/AC15,"")</f>
        <v>0.202088870431894</v>
      </c>
      <c r="AD71" s="53">
        <f>IFERROR(-AD70/AD15,"")</f>
        <v>0.162524935555547</v>
      </c>
      <c r="AE71" s="53">
        <f>IFERROR(-AE70/AE15,"")</f>
        <v>0.158733321473048</v>
      </c>
      <c r="AF71" s="55">
        <f>IFERROR(-AF70/AF15,"")</f>
        <v>0.170130415536361</v>
      </c>
      <c r="AG71" s="53" t="n"/>
      <c r="AH71" s="55">
        <f>IFERROR(-AH70/AH15,"")</f>
        <v>0.15521813722529</v>
      </c>
      <c r="AI71" s="55">
        <f>IFERROR(-AI70/AI15,"")</f>
        <v>0.092949026710081</v>
      </c>
      <c r="AJ71" s="55">
        <f>Control!$B$21</f>
        <v>0.156940784488703</v>
      </c>
      <c r="AK71" s="55">
        <f>Control!$B$21</f>
        <v>0.156940784488703</v>
      </c>
      <c r="AL71" s="53" t="n"/>
      <c r="AM71" s="55">
        <f>Control!$C$21</f>
        <v>0.156940784488703</v>
      </c>
      <c r="AN71" s="55">
        <f>Control!$C$21</f>
        <v>0.156940784488703</v>
      </c>
      <c r="AO71" s="55">
        <f>Control!$C$21</f>
        <v>0.156940784488703</v>
      </c>
      <c r="AP71" s="55">
        <f>Control!$C$21</f>
        <v>0.156940784488703</v>
      </c>
      <c r="AQ71" s="53" t="n"/>
      <c r="AR71" s="55">
        <f>Control!$D$21</f>
        <v>0.156940784488703</v>
      </c>
      <c r="AS71" s="55">
        <f>Control!$D$21</f>
        <v>0.156940784488703</v>
      </c>
      <c r="AT71" s="55">
        <f>Control!$D$21</f>
        <v>0.156940784488703</v>
      </c>
      <c r="AU71" s="55">
        <f>Control!$D$21</f>
        <v>0.156940784488703</v>
      </c>
      <c r="AV71" s="53" t="n"/>
      <c r="AW71" s="55">
        <f>Control!$E$21</f>
        <v>0.156940784488703</v>
      </c>
      <c r="AX71" s="55">
        <f>Control!$E$21</f>
        <v>0.156940784488703</v>
      </c>
      <c r="AY71" s="55">
        <f>Control!$E$21</f>
        <v>0.156940784488703</v>
      </c>
      <c r="AZ71" s="55">
        <f>Control!$E$21</f>
        <v>0.156940784488703</v>
      </c>
      <c r="BA71" s="53" t="n"/>
      <c r="BB71" s="55">
        <f>Control!$F$21</f>
        <v>0.156940784488703</v>
      </c>
      <c r="BC71" s="55">
        <f>Control!$F$21</f>
        <v>0.156940784488703</v>
      </c>
      <c r="BD71" s="55">
        <f>Control!$F$21</f>
        <v>0.156940784488703</v>
      </c>
      <c r="BE71" s="55">
        <f>Control!$F$21</f>
        <v>0.156940784488703</v>
      </c>
      <c r="BF71" s="53" t="n"/>
      <c r="BG71" s="55" t="n"/>
      <c r="BH71" s="55" t="n"/>
      <c r="BI71" s="55" t="n"/>
      <c r="BJ71" s="55" t="n"/>
      <c r="BK71" s="53" t="n"/>
      <c r="BL71" s="55" t="n"/>
      <c r="BM71" s="55" t="n"/>
      <c r="BN71" s="55" t="n"/>
      <c r="BO71" s="55" t="n"/>
      <c r="BP71" s="53" t="n"/>
      <c r="BQ71" s="55" t="n"/>
      <c r="BR71" s="55" t="n"/>
      <c r="BS71" s="55" t="n"/>
      <c r="BT71" s="55" t="n"/>
      <c r="BU71" s="53" t="n"/>
      <c r="BV71" s="55" t="n"/>
      <c r="BW71" s="55" t="n"/>
      <c r="BX71" s="55" t="n"/>
      <c r="BY71" s="55" t="n"/>
      <c r="BZ71" s="53" t="n"/>
      <c r="CA71" s="55" t="n"/>
      <c r="CB71" s="55" t="n"/>
      <c r="CC71" s="55" t="n"/>
      <c r="CD71" s="55" t="n"/>
      <c r="CE71" s="53" t="n"/>
      <c r="CF71" s="55" t="n"/>
      <c r="CG71" s="55" t="n"/>
      <c r="CH71" s="55" t="n"/>
      <c r="CI71" s="55" t="n"/>
      <c r="CJ71" s="53" t="n"/>
      <c r="CK71" s="55" t="n"/>
      <c r="CL71" s="55" t="n"/>
      <c r="CM71" s="55" t="n"/>
      <c r="CN71" s="55" t="n"/>
      <c r="CO71" s="53" t="n"/>
      <c r="CP71" s="55" t="n"/>
      <c r="CQ71" s="55" t="n"/>
      <c r="CR71" s="55" t="n"/>
      <c r="CS71" s="55" t="n"/>
      <c r="CT71" s="53" t="n"/>
      <c r="CU71" s="55" t="n"/>
      <c r="CV71" s="55" t="n"/>
      <c r="CW71" s="55" t="n"/>
      <c r="CX71" s="55" t="n"/>
      <c r="CY71" s="53" t="n"/>
    </row>
    <row r="72" hidden="1" outlineLevel="1">
      <c r="C72" s="50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collapsed="1" customFormat="1" s="32">
      <c r="A73" s="30" t="n"/>
      <c r="B73" s="3" t="n"/>
      <c r="C73" s="33" t="inlineStr">
        <is>
          <t>Operating Profit - EBIT</t>
        </is>
      </c>
      <c r="D73" s="35" t="n"/>
      <c r="E73" s="35" t="n"/>
      <c r="F73" s="35" t="n"/>
      <c r="G73" s="35" t="n"/>
      <c r="H73" s="35" t="n"/>
      <c r="I73" s="35">
        <f>SUM(I69,I70)</f>
        <v>-24.012</v>
      </c>
      <c r="J73" s="35">
        <f>SUM(J69,J70)</f>
        <v>24.934</v>
      </c>
      <c r="K73" s="35">
        <f>SUM(K69,K70)</f>
        <v>19.593</v>
      </c>
      <c r="L73" s="35">
        <f>SUM(L69,L70)</f>
        <v>58.443</v>
      </c>
      <c r="M73" s="35">
        <f>SUM(I73:L73)</f>
        <v>78.958</v>
      </c>
      <c r="N73" s="35">
        <f>SUM(N69,N70)</f>
        <v>11.893</v>
      </c>
      <c r="O73" s="35">
        <f>SUM(O69,O70)</f>
        <v>24.97</v>
      </c>
      <c r="P73" s="35">
        <f>SUM(P69,P70)</f>
        <v>12.521</v>
      </c>
      <c r="Q73" s="35">
        <f>SUM(Q69,Q70)</f>
        <v>0.401000000000003</v>
      </c>
      <c r="R73" s="35">
        <f>SUM(N73:Q73)</f>
        <v>49.785</v>
      </c>
      <c r="S73" s="35">
        <f>SUM(S69,S70)</f>
        <v>8.85599999999999</v>
      </c>
      <c r="T73" s="35">
        <f>SUM(T69,T70)</f>
        <v>40.926</v>
      </c>
      <c r="U73" s="35">
        <f>SUM(U69,U70)</f>
        <v>42.723</v>
      </c>
      <c r="V73" s="35">
        <f>SUM(V69,V70)</f>
        <v>86.155</v>
      </c>
      <c r="W73" s="35">
        <f>SUM(S73:V73)</f>
        <v>178.66</v>
      </c>
      <c r="X73" s="35">
        <f>SUM(X69,X70)</f>
        <v>66.347</v>
      </c>
      <c r="Y73" s="35">
        <f>SUM(Y69,Y70)</f>
        <v>61.874</v>
      </c>
      <c r="Z73" s="35">
        <f>SUM(Z69,Z70)</f>
        <v>85.848</v>
      </c>
      <c r="AA73" s="35">
        <f>SUM(AA69,AA70)</f>
        <v>44.362</v>
      </c>
      <c r="AB73" s="35">
        <f>SUM(X73:AA73)</f>
        <v>258.431</v>
      </c>
      <c r="AC73" s="35">
        <f>SUM(AC69,AC70)</f>
        <v>55.522</v>
      </c>
      <c r="AD73" s="35">
        <f>SUM(AD69,AD70)</f>
        <v>79.575</v>
      </c>
      <c r="AE73" s="35">
        <f>SUM(AE69,AE70)</f>
        <v>83.457</v>
      </c>
      <c r="AF73" s="35">
        <f>SUM(AF69,AF70)</f>
        <v>84.582</v>
      </c>
      <c r="AG73" s="35">
        <f>SUM(AC73:AF73)</f>
        <v>303.136</v>
      </c>
      <c r="AH73" s="35">
        <f>SUM(AH69,AH70)</f>
        <v>86.75</v>
      </c>
      <c r="AI73" s="35">
        <f>SUM(AI69,AI70)</f>
        <v>96.756</v>
      </c>
      <c r="AJ73" s="35">
        <f>SUM(AJ69,AJ70)</f>
        <v>102.56721052547</v>
      </c>
      <c r="AK73" s="35">
        <f>SUM(AK69,AK70)</f>
        <v>96.4577009314234</v>
      </c>
      <c r="AL73" s="35">
        <f>SUM(AL69,AL70)</f>
        <v>382.530911456894</v>
      </c>
      <c r="AM73" s="35">
        <f>SUM(AM69,AM70)</f>
        <v>120.823845550367</v>
      </c>
      <c r="AN73" s="35">
        <f>SUM(AN69,AN70)</f>
        <v>227.299594858003</v>
      </c>
      <c r="AO73" s="35">
        <f>SUM(AO69,AO70)</f>
        <v>143.403679814328</v>
      </c>
      <c r="AP73" s="35">
        <f>SUM(AP69,AP70)</f>
        <v>134.861708621403</v>
      </c>
      <c r="AQ73" s="35">
        <f>SUM(AQ69,AQ70)</f>
        <v>626.388828844101</v>
      </c>
      <c r="AR73" s="35">
        <f>SUM(AR69,AR70)</f>
        <v>168.324956375196</v>
      </c>
      <c r="AS73" s="35">
        <f>SUM(AS69,AS70)</f>
        <v>316.660955577878</v>
      </c>
      <c r="AT73" s="35">
        <f>SUM(AT69,AT70)</f>
        <v>199.781905954375</v>
      </c>
      <c r="AU73" s="35">
        <f>SUM(AU69,AU70)</f>
        <v>187.881714217737</v>
      </c>
      <c r="AV73" s="35">
        <f>SUM(AV69,AV70)</f>
        <v>872.649532125185</v>
      </c>
      <c r="AW73" s="35">
        <f>SUM(AW69,AW70)</f>
        <v>233.659195893464</v>
      </c>
      <c r="AX73" s="35">
        <f>SUM(AX69,AX70)</f>
        <v>439.570850600774</v>
      </c>
      <c r="AY73" s="35">
        <f>SUM(AY69,AY70)</f>
        <v>277.325956320532</v>
      </c>
      <c r="AZ73" s="35">
        <f>SUM(AZ69,AZ70)</f>
        <v>260.806782384357</v>
      </c>
      <c r="BA73" s="35">
        <f>SUM(BA69,BA70)</f>
        <v>1211.36278519913</v>
      </c>
      <c r="BB73" s="35">
        <f>SUM(BB69,BB70)</f>
        <v>323.184200532604</v>
      </c>
      <c r="BC73" s="35">
        <f>SUM(BC69,BC70)</f>
        <v>607.989569533658</v>
      </c>
      <c r="BD73" s="35">
        <f>SUM(BD69,BD70)</f>
        <v>383.581596853805</v>
      </c>
      <c r="BE73" s="35">
        <f>SUM(BE69,BE70)</f>
        <v>360.733208620645</v>
      </c>
      <c r="BF73" s="35">
        <f>SUM(BF69,BF70)</f>
        <v>1675.48857554071</v>
      </c>
      <c r="BG73" s="35" t="n"/>
      <c r="BH73" s="35" t="n"/>
      <c r="BI73" s="35" t="n"/>
      <c r="BJ73" s="35" t="n"/>
      <c r="BK73" s="35" t="n"/>
      <c r="BL73" s="35" t="n"/>
      <c r="BM73" s="35" t="n"/>
      <c r="BN73" s="35" t="n"/>
      <c r="BO73" s="35" t="n"/>
      <c r="BP73" s="35" t="n"/>
      <c r="BQ73" s="35" t="n"/>
      <c r="BR73" s="35" t="n"/>
      <c r="BS73" s="35" t="n"/>
      <c r="BT73" s="35" t="n"/>
      <c r="BU73" s="35" t="n"/>
      <c r="BV73" s="35" t="n"/>
      <c r="BW73" s="35" t="n"/>
      <c r="BX73" s="35" t="n"/>
      <c r="BY73" s="35" t="n"/>
      <c r="BZ73" s="35" t="n"/>
      <c r="CA73" s="35" t="n"/>
      <c r="CB73" s="35" t="n"/>
      <c r="CC73" s="35" t="n"/>
      <c r="CD73" s="35" t="n"/>
      <c r="CE73" s="35" t="n"/>
      <c r="CF73" s="35" t="n"/>
      <c r="CG73" s="35" t="n"/>
      <c r="CH73" s="35" t="n"/>
      <c r="CI73" s="35" t="n"/>
      <c r="CJ73" s="35" t="n"/>
      <c r="CK73" s="35" t="n"/>
      <c r="CL73" s="35" t="n"/>
      <c r="CM73" s="35" t="n"/>
      <c r="CN73" s="35" t="n"/>
      <c r="CO73" s="35" t="n"/>
      <c r="CP73" s="35" t="n"/>
      <c r="CQ73" s="35" t="n"/>
      <c r="CR73" s="35" t="n"/>
      <c r="CS73" s="35" t="n"/>
      <c r="CT73" s="35" t="n"/>
      <c r="CU73" s="35" t="n"/>
      <c r="CV73" s="35" t="n"/>
      <c r="CW73" s="35" t="n"/>
      <c r="CX73" s="35" t="n"/>
      <c r="CY73" s="35" t="n"/>
    </row>
    <row r="74">
      <c r="C74" s="14" t="inlineStr">
        <is>
          <t>Interest Expense</t>
        </is>
      </c>
      <c r="D74" s="46" t="n"/>
      <c r="E74" s="46" t="n"/>
      <c r="F74" s="46" t="n"/>
      <c r="G74" s="46" t="n"/>
      <c r="H74" s="12" t="n"/>
      <c r="I74" s="46">
        <f>'Inputs (2)'!D8</f>
        <v>-24.167</v>
      </c>
      <c r="J74" s="46">
        <f>'Inputs (2)'!E8</f>
        <v>-22.467</v>
      </c>
      <c r="K74" s="46">
        <f>'Inputs (2)'!F8</f>
        <v>-23.898</v>
      </c>
      <c r="L74" s="46">
        <f>'Inputs (2)'!G8</f>
        <v>-55.165</v>
      </c>
      <c r="M74" s="12">
        <f>'Inputs (2)'!H8</f>
        <v>-125.697</v>
      </c>
      <c r="N74" s="46">
        <f>'Inputs (2)'!I8</f>
        <v>-41.349</v>
      </c>
      <c r="O74" s="46">
        <f>'Inputs (2)'!J8</f>
        <v>-69.039</v>
      </c>
      <c r="P74" s="46">
        <f>'Inputs (2)'!K8</f>
        <v>-37.467</v>
      </c>
      <c r="Q74" s="46">
        <f>'Inputs (2)'!L8</f>
        <v>-83.725</v>
      </c>
      <c r="R74" s="12">
        <f>'Inputs (2)'!M8</f>
        <v>-231.58</v>
      </c>
      <c r="S74" s="46">
        <f>'Inputs (2)'!N8</f>
        <v>-52.374</v>
      </c>
      <c r="T74" s="46">
        <f>'Inputs (2)'!O8</f>
        <v>-45.602</v>
      </c>
      <c r="U74" s="46">
        <f>'Inputs (2)'!P8</f>
        <v>-45.529</v>
      </c>
      <c r="V74" s="46">
        <f>'Inputs (2)'!Q8</f>
        <v>-55.686</v>
      </c>
      <c r="W74" s="12">
        <f>'Inputs (2)'!R8</f>
        <v>-199.191</v>
      </c>
      <c r="X74" s="46">
        <f>'Inputs (2)'!S8</f>
        <v>-46.582</v>
      </c>
      <c r="Y74" s="46">
        <f>'Inputs (2)'!T8</f>
        <v>-48.709</v>
      </c>
      <c r="Z74" s="46">
        <f>'Inputs (2)'!U8</f>
        <v>-56.076</v>
      </c>
      <c r="AA74" s="46">
        <f>'Inputs (2)'!V8</f>
        <v>-78.046</v>
      </c>
      <c r="AB74" s="12">
        <f>'Inputs (2)'!W8</f>
        <v>-229.413</v>
      </c>
      <c r="AC74" s="46">
        <f>'Inputs (2)'!X8</f>
        <v>-74.07</v>
      </c>
      <c r="AD74" s="46">
        <f>'Inputs (2)'!Y8</f>
        <v>-73.588</v>
      </c>
      <c r="AE74" s="46">
        <f>'Inputs (2)'!Z8</f>
        <v>-89.868</v>
      </c>
      <c r="AF74" s="46">
        <f>'Inputs (2)'!AA8</f>
        <v>-87.635</v>
      </c>
      <c r="AG74" s="12">
        <f>'Inputs (2)'!AB8</f>
        <v>-325.161</v>
      </c>
      <c r="AH74" s="12">
        <f>'Inputs (2)'!AC8</f>
        <v>-77.362</v>
      </c>
      <c r="AI74" s="12">
        <f>'Inputs (2)'!AD8</f>
        <v>-88.947</v>
      </c>
      <c r="AJ74" s="12" t="str">
        <f>IF(Control!$E$9="","",-AI92*Control!$E$9/4)</f>
        <v/>
      </c>
      <c r="AK74" s="12" t="str">
        <f>IF(Control!$E$9="","",-AJ92*Control!$E$9/4)</f>
        <v/>
      </c>
      <c r="AL74" s="12">
        <f>SUM(AH74:AK74)</f>
        <v>-166.309</v>
      </c>
      <c r="AM74" s="12" t="str">
        <f>IF(Control!$E$9="","",-AL92*Control!$E$9/4)</f>
        <v/>
      </c>
      <c r="AN74" s="12" t="str">
        <f>IF(Control!$E$9="","",-AM92*Control!$E$9/4)</f>
        <v/>
      </c>
      <c r="AO74" s="12" t="str">
        <f>IF(Control!$E$9="","",-AN92*Control!$E$9/4)</f>
        <v/>
      </c>
      <c r="AP74" s="12" t="str">
        <f>IF(Control!$E$9="","",-AO92*Control!$E$9/4)</f>
        <v/>
      </c>
      <c r="AQ74" s="12">
        <f>SUM(AM74:AP74)</f>
        <v>0</v>
      </c>
      <c r="AR74" s="12" t="str">
        <f>IF(Control!$E$9="","",-AQ92*Control!$E$9/4)</f>
        <v/>
      </c>
      <c r="AS74" s="12" t="str">
        <f>IF(Control!$E$9="","",-AR92*Control!$E$9/4)</f>
        <v/>
      </c>
      <c r="AT74" s="12" t="str">
        <f>IF(Control!$E$9="","",-AS92*Control!$E$9/4)</f>
        <v/>
      </c>
      <c r="AU74" s="12" t="str">
        <f>IF(Control!$E$9="","",-AT92*Control!$E$9/4)</f>
        <v/>
      </c>
      <c r="AV74" s="12">
        <f>SUM(AR74:AU74)</f>
        <v>0</v>
      </c>
      <c r="AW74" s="12" t="str">
        <f>IF(Control!$E$9="","",-AV92*Control!$E$9/4)</f>
        <v/>
      </c>
      <c r="AX74" s="12" t="str">
        <f>IF(Control!$E$9="","",-AW92*Control!$E$9/4)</f>
        <v/>
      </c>
      <c r="AY74" s="12" t="str">
        <f>IF(Control!$E$9="","",-AX92*Control!$E$9/4)</f>
        <v/>
      </c>
      <c r="AZ74" s="12" t="str">
        <f>IF(Control!$E$9="","",-AY92*Control!$E$9/4)</f>
        <v/>
      </c>
      <c r="BA74" s="12">
        <f>SUM(AW74:AZ74)</f>
        <v>0</v>
      </c>
      <c r="BB74" s="12" t="str">
        <f>IF(Control!$E$9="","",-BA92*Control!$E$9/4)</f>
        <v/>
      </c>
      <c r="BC74" s="12" t="str">
        <f>IF(Control!$E$9="","",-BB92*Control!$E$9/4)</f>
        <v/>
      </c>
      <c r="BD74" s="12" t="str">
        <f>IF(Control!$E$9="","",-BC92*Control!$E$9/4)</f>
        <v/>
      </c>
      <c r="BE74" s="12" t="str">
        <f>IF(Control!$E$9="","",-BD92*Control!$E$9/4)</f>
        <v/>
      </c>
      <c r="BF74" s="12">
        <f>SUM(BB74:BE74)</f>
        <v>0</v>
      </c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0" t="inlineStr">
        <is>
          <t>% of Debt</t>
        </is>
      </c>
      <c r="D75" s="53" t="n"/>
      <c r="E75" s="53" t="n"/>
      <c r="F75" s="53" t="n"/>
      <c r="G75" s="53" t="n"/>
      <c r="H75" s="12" t="n"/>
      <c r="I75" s="53">
        <f>IFERROR(-I74/SUM(I212+I217),"")</f>
        <v>0.0732746335813519</v>
      </c>
      <c r="J75" s="53">
        <f>IFERROR(-J74/SUM(J212+J217),"")</f>
        <v>0.0797542092203491</v>
      </c>
      <c r="K75" s="53">
        <f>IFERROR(-K74/SUM(K212+K217),"")</f>
        <v>0.090304150181946</v>
      </c>
      <c r="L75" s="53">
        <f>IFERROR(-L74/SUM(L212+L217),"")</f>
        <v>0.0991683984209277</v>
      </c>
      <c r="M75" s="12" t="n"/>
      <c r="N75" s="53">
        <f>IFERROR(-N74/SUM(N212+N217),"")</f>
        <v>0.0730368337104492</v>
      </c>
      <c r="O75" s="53">
        <f>IFERROR(-O74/SUM(O212+O217),"")</f>
        <v>0.117304339847692</v>
      </c>
      <c r="P75" s="53">
        <f>IFERROR(-P74/SUM(P212+P217),"")</f>
        <v>0.0614490138997089</v>
      </c>
      <c r="Q75" s="53">
        <f>IFERROR(-Q74/SUM(Q212+Q217),"")</f>
        <v>0.0824751712548047</v>
      </c>
      <c r="R75" s="12" t="n"/>
      <c r="S75" s="53">
        <f>IFERROR(-S74/SUM(S212+S217),"")</f>
        <v>0.0514217716329019</v>
      </c>
      <c r="T75" s="53">
        <f>IFERROR(-T74/SUM(T212+T217),"")</f>
        <v>0.0452607340651488</v>
      </c>
      <c r="U75" s="53">
        <f>IFERROR(-U74/SUM(U212+U217),"")</f>
        <v>0.0397751992298136</v>
      </c>
      <c r="V75" s="53">
        <f>IFERROR(-V74/SUM(V212+V217),"")</f>
        <v>0.0494815570438311</v>
      </c>
      <c r="W75" s="12" t="n"/>
      <c r="X75" s="53">
        <f>IFERROR(-X74/SUM(X212+X217),"")</f>
        <v>0.0411301566110489</v>
      </c>
      <c r="Y75" s="53">
        <f>IFERROR(-Y74/SUM(Y212+Y217),"")</f>
        <v>0.03827121499263</v>
      </c>
      <c r="Z75" s="53">
        <f>IFERROR(-Z74/SUM(Z212+Z217),"")</f>
        <v>0.0296024604313357</v>
      </c>
      <c r="AA75" s="53">
        <f>IFERROR(-AA74/SUM(AA212+AA217),"")</f>
        <v>0.0417962210638045</v>
      </c>
      <c r="AB75" s="12" t="n"/>
      <c r="AC75" s="53">
        <f>IFERROR(-AC74/SUM(AC212+AC217),"")</f>
        <v>0.0383923420572635</v>
      </c>
      <c r="AD75" s="53">
        <f>IFERROR(-AD74/SUM(AD212+AD217),"")</f>
        <v>0.038685183208944</v>
      </c>
      <c r="AE75" s="53">
        <f>IFERROR(-AE74/SUM(AE212+AE217),"")</f>
        <v>0.042657578332297</v>
      </c>
      <c r="AF75" s="55">
        <f>IFERROR(-AF74/SUM(AF212+AF217),"")</f>
        <v>0.0412902867115339</v>
      </c>
      <c r="AG75" s="12" t="n"/>
      <c r="AH75" s="11">
        <f>IFERROR(-AH74/SUM(AH212+AH217),"")</f>
        <v>0.0345282987709654</v>
      </c>
      <c r="AI75" s="11">
        <f>IFERROR(-AI74/SUM(AI212+AI217),"")</f>
        <v>0.0234968260383728</v>
      </c>
      <c r="AJ75" s="11" t="str">
        <f>IFERROR(Control!$E$9,0)</f>
        <v/>
      </c>
      <c r="AK75" s="11" t="str">
        <f>IFERROR(Control!$E$9,0)</f>
        <v/>
      </c>
      <c r="AL75" s="12" t="n"/>
      <c r="AM75" s="11" t="str">
        <f>IFERROR(Control!$E$9,0)</f>
        <v/>
      </c>
      <c r="AN75" s="11" t="str">
        <f>IFERROR(Control!$E$9,0)</f>
        <v/>
      </c>
      <c r="AO75" s="11" t="str">
        <f>IFERROR(Control!$E$9,0)</f>
        <v/>
      </c>
      <c r="AP75" s="11" t="str">
        <f>IFERROR(Control!$E$9,0)</f>
        <v/>
      </c>
      <c r="AQ75" s="12" t="n"/>
      <c r="AR75" s="11" t="str">
        <f>IFERROR(Control!$E$9,0)</f>
        <v/>
      </c>
      <c r="AS75" s="11" t="str">
        <f>IFERROR(Control!$E$9,0)</f>
        <v/>
      </c>
      <c r="AT75" s="11" t="str">
        <f>IFERROR(Control!$E$9,0)</f>
        <v/>
      </c>
      <c r="AU75" s="11" t="str">
        <f>IFERROR(Control!$E$9,0)</f>
        <v/>
      </c>
      <c r="AV75" s="12" t="n"/>
      <c r="AW75" s="11" t="str">
        <f>IFERROR(Control!$E$9,0)</f>
        <v/>
      </c>
      <c r="AX75" s="11" t="str">
        <f>IFERROR(Control!$E$9,0)</f>
        <v/>
      </c>
      <c r="AY75" s="11" t="str">
        <f>IFERROR(Control!$E$9,0)</f>
        <v/>
      </c>
      <c r="AZ75" s="11" t="str">
        <f>IFERROR(Control!$E$9,0)</f>
        <v/>
      </c>
      <c r="BA75" s="12" t="n"/>
      <c r="BB75" s="11" t="str">
        <f>IFERROR(Control!$E$9,0)</f>
        <v/>
      </c>
      <c r="BC75" s="11" t="str">
        <f>IFERROR(Control!$E$9,0)</f>
        <v/>
      </c>
      <c r="BD75" s="11" t="str">
        <f>IFERROR(Control!$E$9,0)</f>
        <v/>
      </c>
      <c r="BE75" s="11" t="str">
        <f>IFERROR(Control!$E$9,0)</f>
        <v/>
      </c>
      <c r="BF75" s="12" t="n"/>
      <c r="BG75" s="11" t="n"/>
      <c r="BH75" s="11" t="n"/>
      <c r="BI75" s="11" t="n"/>
      <c r="BJ75" s="11" t="n"/>
      <c r="BK75" s="12" t="n"/>
      <c r="BL75" s="11" t="n"/>
      <c r="BM75" s="11" t="n"/>
      <c r="BN75" s="11" t="n"/>
      <c r="BO75" s="11" t="n"/>
      <c r="BP75" s="12" t="n"/>
      <c r="BQ75" s="11" t="n"/>
      <c r="BR75" s="11" t="n"/>
      <c r="BS75" s="11" t="n"/>
      <c r="BT75" s="11" t="n"/>
      <c r="BU75" s="12" t="n"/>
      <c r="BV75" s="11" t="n"/>
      <c r="BW75" s="11" t="n"/>
      <c r="BX75" s="11" t="n"/>
      <c r="BY75" s="11" t="n"/>
      <c r="BZ75" s="12" t="n"/>
      <c r="CA75" s="11" t="n"/>
      <c r="CB75" s="11" t="n"/>
      <c r="CC75" s="11" t="n"/>
      <c r="CD75" s="11" t="n"/>
      <c r="CE75" s="12" t="n"/>
      <c r="CF75" s="11" t="n"/>
      <c r="CG75" s="11" t="n"/>
      <c r="CH75" s="11" t="n"/>
      <c r="CI75" s="11" t="n"/>
      <c r="CJ75" s="12" t="n"/>
      <c r="CK75" s="11" t="n"/>
      <c r="CL75" s="11" t="n"/>
      <c r="CM75" s="11" t="n"/>
      <c r="CN75" s="11" t="n"/>
      <c r="CO75" s="12" t="n"/>
      <c r="CP75" s="11" t="n"/>
      <c r="CQ75" s="11" t="n"/>
      <c r="CR75" s="11" t="n"/>
      <c r="CS75" s="11" t="n"/>
      <c r="CT75" s="12" t="n"/>
      <c r="CU75" s="11" t="n"/>
      <c r="CV75" s="11" t="n"/>
      <c r="CW75" s="11" t="n"/>
      <c r="CX75" s="11" t="n"/>
      <c r="CY75" s="12" t="n"/>
    </row>
    <row r="76" hidden="1" outlineLevel="1">
      <c r="C76" s="50" t="inlineStr">
        <is>
          <t>%CDI</t>
        </is>
      </c>
      <c r="D76" s="11" t="n"/>
      <c r="E76" s="11" t="n"/>
      <c r="F76" s="11" t="n"/>
      <c r="G76" s="11" t="n"/>
      <c r="H76" s="12" t="n"/>
      <c r="I76" s="11" t="n"/>
      <c r="J76" s="11" t="n"/>
      <c r="K76" s="11" t="n"/>
      <c r="L76" s="11" t="n"/>
      <c r="M76" s="12" t="n"/>
      <c r="N76" s="11" t="n"/>
      <c r="O76" s="11" t="n"/>
      <c r="P76" s="11" t="n"/>
      <c r="Q76" s="11" t="n"/>
      <c r="R76" s="12" t="n"/>
      <c r="S76" s="11" t="n"/>
      <c r="T76" s="11" t="n"/>
      <c r="U76" s="11" t="n"/>
      <c r="V76" s="11" t="n"/>
      <c r="W76" s="12" t="n"/>
      <c r="X76" s="11" t="n"/>
      <c r="Y76" s="11" t="n"/>
      <c r="Z76" s="11" t="n"/>
      <c r="AA76" s="11" t="n"/>
      <c r="AB76" s="12" t="n"/>
      <c r="AC76" s="11" t="n"/>
      <c r="AD76" s="11" t="n"/>
      <c r="AE76" s="11" t="n"/>
      <c r="AF76" s="11" t="n"/>
      <c r="AG76" s="12" t="n"/>
      <c r="AH76" s="11" t="n"/>
      <c r="AI76" s="11" t="n"/>
      <c r="AJ76" s="11" t="n"/>
      <c r="AK76" s="11" t="n"/>
      <c r="AL76" s="12" t="n"/>
      <c r="AM76" s="11" t="n"/>
      <c r="AN76" s="11" t="n"/>
      <c r="AO76" s="11" t="n"/>
      <c r="AP76" s="11" t="n"/>
      <c r="AQ76" s="12" t="n"/>
      <c r="AR76" s="11" t="n"/>
      <c r="AS76" s="11" t="n"/>
      <c r="AT76" s="11" t="n"/>
      <c r="AU76" s="11" t="n"/>
      <c r="AV76" s="12" t="n"/>
      <c r="AW76" s="11" t="n"/>
      <c r="AX76" s="11" t="n"/>
      <c r="AY76" s="11" t="n"/>
      <c r="AZ76" s="11" t="n"/>
      <c r="BA76" s="12" t="n"/>
      <c r="BB76" s="11" t="n"/>
      <c r="BC76" s="11" t="n"/>
      <c r="BD76" s="11" t="n"/>
      <c r="BE76" s="11" t="n"/>
      <c r="BF76" s="12" t="n"/>
      <c r="BG76" s="11" t="n"/>
      <c r="BH76" s="11" t="n"/>
      <c r="BI76" s="11" t="n"/>
      <c r="BJ76" s="11" t="n"/>
      <c r="BK76" s="12" t="n"/>
      <c r="BL76" s="11" t="n"/>
      <c r="BM76" s="11" t="n"/>
      <c r="BN76" s="11" t="n"/>
      <c r="BO76" s="11" t="n"/>
      <c r="BP76" s="12" t="n"/>
      <c r="BQ76" s="11" t="n"/>
      <c r="BR76" s="11" t="n"/>
      <c r="BS76" s="11" t="n"/>
      <c r="BT76" s="11" t="n"/>
      <c r="BU76" s="12" t="n"/>
      <c r="BV76" s="11" t="n"/>
      <c r="BW76" s="11" t="n"/>
      <c r="BX76" s="11" t="n"/>
      <c r="BY76" s="11" t="n"/>
      <c r="BZ76" s="12" t="n"/>
      <c r="CA76" s="11" t="n"/>
      <c r="CB76" s="11" t="n"/>
      <c r="CC76" s="11" t="n"/>
      <c r="CD76" s="11" t="n"/>
      <c r="CE76" s="12" t="n"/>
      <c r="CF76" s="11" t="n"/>
      <c r="CG76" s="11" t="n"/>
      <c r="CH76" s="11" t="n"/>
      <c r="CI76" s="11" t="n"/>
      <c r="CJ76" s="12" t="n"/>
      <c r="CK76" s="11" t="n"/>
      <c r="CL76" s="11" t="n"/>
      <c r="CM76" s="11" t="n"/>
      <c r="CN76" s="11" t="n"/>
      <c r="CO76" s="12" t="n"/>
      <c r="CP76" s="11" t="n"/>
      <c r="CQ76" s="11" t="n"/>
      <c r="CR76" s="11" t="n"/>
      <c r="CS76" s="11" t="n"/>
      <c r="CT76" s="12" t="n"/>
      <c r="CU76" s="11" t="n"/>
      <c r="CV76" s="11" t="n"/>
      <c r="CW76" s="11" t="n"/>
      <c r="CX76" s="11" t="n"/>
      <c r="CY76" s="12" t="n"/>
    </row>
    <row r="77" hidden="1" outlineLevel="1">
      <c r="C77" s="57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RECEITA FINANCEIRA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DESPESA FINANCEIRA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OUTROS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Cash and equivalents (inc. investment securities)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Interest on cash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Average interest rate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% CDI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Current portion of long-term debt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Short term debt (Revolving credit facility)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Long term debt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Convertible debt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Total debt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Interest expense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Average interest rate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Stake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PRE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CDI+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Spread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PRE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CDI+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Rendimentos de aplicações financeiras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RECEITAS FINANCEIRAS - Variação cambial ativa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Atualização de contas a pagar por aquisição de empresas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Resultado positivo com instrumentos derivativos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Descontos obtidos de fornecedores por antecipação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Atualização monetária sobre Exclusão ICMS da base de PIS/COFINS (nota explicativa nº 7)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RECEITAS FINANCEIRAS - Outras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Encargos sobre empréstimos, financiamentos e debêntures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Variação cambial passiva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Resultado negativo com instrumentos derivativos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Juros sobre arrendamento - IFRS16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Despesas bancárias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Despesas com obtenção de empréstimos e financiamentos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Atualização de contas a pagar por aquisição de empresas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DESPESAS FINANCEIRAS - Outras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CHECK [EX IFRS-16]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collapsed="1">
      <c r="C123" s="14" t="inlineStr">
        <is>
          <t>Nonoperating Income / (Loss)</t>
        </is>
      </c>
      <c r="D123" s="46" t="n"/>
      <c r="E123" s="46" t="n"/>
      <c r="F123" s="46" t="n"/>
      <c r="G123" s="46" t="n"/>
      <c r="H123" s="12" t="n"/>
      <c r="I123" s="46">
        <f>'Inputs (2)'!D9</f>
        <v>4.747</v>
      </c>
      <c r="J123" s="46">
        <f>'Inputs (2)'!E9</f>
        <v>8.841</v>
      </c>
      <c r="K123" s="46">
        <f>'Inputs (2)'!F9</f>
        <v>9.664</v>
      </c>
      <c r="L123" s="46">
        <f>'Inputs (2)'!G9</f>
        <v>3.268</v>
      </c>
      <c r="M123" s="12">
        <f>'Inputs (2)'!H9</f>
        <v>26.52</v>
      </c>
      <c r="N123" s="46">
        <f>'Inputs (2)'!I9</f>
        <v>14.314</v>
      </c>
      <c r="O123" s="46">
        <f>'Inputs (2)'!J9</f>
        <v>58.345</v>
      </c>
      <c r="P123" s="46">
        <f>'Inputs (2)'!K9</f>
        <v>0.531</v>
      </c>
      <c r="Q123" s="46">
        <f>'Inputs (2)'!L9</f>
        <v>4.031</v>
      </c>
      <c r="R123" s="12">
        <f>'Inputs (2)'!M9</f>
        <v>77.221</v>
      </c>
      <c r="S123" s="46">
        <f>'Inputs (2)'!N9</f>
        <v>4.578</v>
      </c>
      <c r="T123" s="46">
        <f>'Inputs (2)'!O9</f>
        <v>8.653</v>
      </c>
      <c r="U123" s="46">
        <f>'Inputs (2)'!P9</f>
        <v>11.044</v>
      </c>
      <c r="V123" s="46">
        <f>'Inputs (2)'!Q9</f>
        <v>56.112</v>
      </c>
      <c r="W123" s="12">
        <f>'Inputs (2)'!R9</f>
        <v>80.387</v>
      </c>
      <c r="X123" s="46">
        <f>'Inputs (2)'!S9</f>
        <v>7.702</v>
      </c>
      <c r="Y123" s="46">
        <f>'Inputs (2)'!T9</f>
        <v>12.609</v>
      </c>
      <c r="Z123" s="46">
        <f>'Inputs (2)'!U9</f>
        <v>9.343</v>
      </c>
      <c r="AA123" s="46">
        <f>'Inputs (2)'!V9</f>
        <v>28.989</v>
      </c>
      <c r="AB123" s="12">
        <f>'Inputs (2)'!W9</f>
        <v>58.643</v>
      </c>
      <c r="AC123" s="46">
        <f>'Inputs (2)'!X9</f>
        <v>18.835</v>
      </c>
      <c r="AD123" s="46">
        <f>'Inputs (2)'!Y9</f>
        <v>24.933</v>
      </c>
      <c r="AE123" s="46">
        <f>'Inputs (2)'!Z9</f>
        <v>36.113</v>
      </c>
      <c r="AF123" s="46">
        <f>'Inputs (2)'!AA9</f>
        <v>32.198</v>
      </c>
      <c r="AG123" s="12">
        <f>'Inputs (2)'!AB9</f>
        <v>112.079</v>
      </c>
      <c r="AH123" s="12">
        <f>'Inputs (2)'!AC9</f>
        <v>25.952</v>
      </c>
      <c r="AI123" s="12">
        <f>'Inputs (2)'!AD9</f>
        <v>35.17</v>
      </c>
      <c r="AJ123" s="12">
        <f>AJ15*Control!$B$23</f>
        <v>33.9573202499365</v>
      </c>
      <c r="AK123" s="12">
        <f>AK15*Control!$B$23</f>
        <v>31.9346214479291</v>
      </c>
      <c r="AL123" s="12">
        <f>SUM(AH123:AK123)</f>
        <v>127.013941697866</v>
      </c>
      <c r="AM123" s="12">
        <f>AM15*Control!$C$23</f>
        <v>40.0016145136736</v>
      </c>
      <c r="AN123" s="12">
        <f>AN15*Control!$C$23</f>
        <v>75.252949707132</v>
      </c>
      <c r="AO123" s="12">
        <f>AO15*Control!$C$23</f>
        <v>47.477206950707</v>
      </c>
      <c r="AP123" s="12">
        <f>AP15*Control!$C$23</f>
        <v>44.649183746431</v>
      </c>
      <c r="AQ123" s="12">
        <f>SUM(AM123:AP123)</f>
        <v>207.380954917944</v>
      </c>
      <c r="AR123" s="12">
        <f>AR15*Control!$D$23</f>
        <v>55.7279896801884</v>
      </c>
      <c r="AS123" s="12">
        <f>AS15*Control!$D$23</f>
        <v>104.838158551057</v>
      </c>
      <c r="AT123" s="12">
        <f>AT15*Control!$D$23</f>
        <v>66.142562773029</v>
      </c>
      <c r="AU123" s="12">
        <f>AU15*Control!$D$23</f>
        <v>62.2027205976749</v>
      </c>
      <c r="AV123" s="12">
        <f>SUM(AR123:AU123)</f>
        <v>288.911431601949</v>
      </c>
      <c r="AW123" s="12">
        <f>AW15*Control!$E$23</f>
        <v>77.3584472430073</v>
      </c>
      <c r="AX123" s="12">
        <f>AX15*Control!$E$23</f>
        <v>145.530409474096</v>
      </c>
      <c r="AY123" s="12">
        <f>AY15*Control!$E$23</f>
        <v>91.8153692993106</v>
      </c>
      <c r="AZ123" s="12">
        <f>AZ15*Control!$E$23</f>
        <v>86.3463029501209</v>
      </c>
      <c r="BA123" s="12">
        <f>SUM(AW123:AZ123)</f>
        <v>401.050528966534</v>
      </c>
      <c r="BB123" s="12">
        <f>BB15*Control!$F$23</f>
        <v>106.997834307681</v>
      </c>
      <c r="BC123" s="12">
        <f>BC15*Control!$F$23</f>
        <v>201.289441484309</v>
      </c>
      <c r="BD123" s="12">
        <f>BD15*Control!$F$23</f>
        <v>126.993832235616</v>
      </c>
      <c r="BE123" s="12">
        <f>BE15*Control!$F$23</f>
        <v>119.429328604744</v>
      </c>
      <c r="BF123" s="12">
        <f>SUM(BB123:BE123)</f>
        <v>554.71043663235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0" t="inlineStr">
        <is>
          <t>Resultado Não Recorrente</t>
        </is>
      </c>
      <c r="D125" s="11" t="n"/>
      <c r="E125" s="11" t="n"/>
      <c r="F125" s="11" t="n"/>
      <c r="G125" s="11" t="n"/>
      <c r="H125" s="12" t="n"/>
      <c r="I125" s="11" t="n"/>
      <c r="J125" s="11" t="n"/>
      <c r="K125" s="11" t="n"/>
      <c r="L125" s="11" t="n"/>
      <c r="M125" s="12" t="n"/>
      <c r="N125" s="11" t="n"/>
      <c r="O125" s="11" t="n"/>
      <c r="P125" s="11" t="n"/>
      <c r="Q125" s="11" t="n"/>
      <c r="R125" s="12" t="n"/>
      <c r="S125" s="11" t="n"/>
      <c r="T125" s="11" t="n"/>
      <c r="U125" s="11" t="n"/>
      <c r="V125" s="11" t="n"/>
      <c r="W125" s="12" t="n"/>
      <c r="X125" s="11" t="n"/>
      <c r="Y125" s="11" t="n"/>
      <c r="Z125" s="11" t="n"/>
      <c r="AA125" s="11" t="n"/>
      <c r="AB125" s="12" t="n"/>
      <c r="AC125" s="11" t="n"/>
      <c r="AD125" s="11" t="n"/>
      <c r="AE125" s="11" t="n"/>
      <c r="AF125" s="11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0" t="inlineStr">
        <is>
          <t>Plano de Opção de Compra de Ações</t>
        </is>
      </c>
      <c r="D126" s="11" t="n"/>
      <c r="E126" s="11" t="n"/>
      <c r="F126" s="11" t="n"/>
      <c r="G126" s="11" t="n"/>
      <c r="H126" s="12" t="n"/>
      <c r="I126" s="11" t="n"/>
      <c r="J126" s="11" t="n"/>
      <c r="K126" s="11" t="n"/>
      <c r="L126" s="11" t="n"/>
      <c r="M126" s="12" t="n"/>
      <c r="N126" s="11" t="n"/>
      <c r="O126" s="11" t="n"/>
      <c r="P126" s="11" t="n"/>
      <c r="Q126" s="11" t="n"/>
      <c r="R126" s="12" t="n"/>
      <c r="S126" s="11" t="n"/>
      <c r="T126" s="11" t="n"/>
      <c r="U126" s="11" t="n"/>
      <c r="V126" s="11" t="n"/>
      <c r="W126" s="12" t="n"/>
      <c r="X126" s="11" t="n"/>
      <c r="Y126" s="11" t="n"/>
      <c r="Z126" s="11" t="n"/>
      <c r="AA126" s="11" t="n"/>
      <c r="AB126" s="12" t="n"/>
      <c r="AC126" s="11" t="n"/>
      <c r="AD126" s="11" t="n"/>
      <c r="AE126" s="11" t="n"/>
      <c r="AF126" s="11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0" t="inlineStr">
        <is>
          <t>Baixa Imobilizado</t>
        </is>
      </c>
      <c r="D127" s="11" t="n"/>
      <c r="E127" s="11" t="n"/>
      <c r="F127" s="11" t="n"/>
      <c r="G127" s="11" t="n"/>
      <c r="H127" s="12" t="n"/>
      <c r="I127" s="11" t="n"/>
      <c r="J127" s="11" t="n"/>
      <c r="K127" s="11" t="n"/>
      <c r="L127" s="11" t="n"/>
      <c r="M127" s="12" t="n"/>
      <c r="N127" s="11" t="n"/>
      <c r="O127" s="11" t="n"/>
      <c r="P127" s="11" t="n"/>
      <c r="Q127" s="11" t="n"/>
      <c r="R127" s="12" t="n"/>
      <c r="S127" s="11" t="n"/>
      <c r="T127" s="11" t="n"/>
      <c r="U127" s="11" t="n"/>
      <c r="V127" s="11" t="n"/>
      <c r="W127" s="12" t="n"/>
      <c r="X127" s="11" t="n"/>
      <c r="Y127" s="11" t="n"/>
      <c r="Z127" s="11" t="n"/>
      <c r="AA127" s="11" t="n"/>
      <c r="AB127" s="12" t="n"/>
      <c r="AC127" s="11" t="n"/>
      <c r="AD127" s="11" t="n"/>
      <c r="AE127" s="11" t="n"/>
      <c r="AF127" s="11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collapsed="1" customFormat="1" s="32">
      <c r="A130" s="30" t="n"/>
      <c r="B130" s="3" t="n"/>
      <c r="C130" s="33" t="inlineStr">
        <is>
          <t>Pretax Income - EBT</t>
        </is>
      </c>
      <c r="D130" s="35" t="n"/>
      <c r="E130" s="35" t="n"/>
      <c r="F130" s="35" t="n"/>
      <c r="G130" s="35" t="n"/>
      <c r="H130" s="35" t="n"/>
      <c r="I130" s="35">
        <f>SUM(I73,I74,I123)</f>
        <v>-43.432</v>
      </c>
      <c r="J130" s="35">
        <f>SUM(J73,J74,J123)</f>
        <v>11.308</v>
      </c>
      <c r="K130" s="35">
        <f>SUM(K73,K74,K123)</f>
        <v>5.359</v>
      </c>
      <c r="L130" s="35">
        <f>SUM(L73,L74,L123)</f>
        <v>6.54599999999999</v>
      </c>
      <c r="M130" s="35">
        <f>SUM(I130:L130)</f>
        <v>-20.219</v>
      </c>
      <c r="N130" s="35">
        <f>SUM(N73,N74,N123)</f>
        <v>-15.142</v>
      </c>
      <c r="O130" s="35">
        <f>SUM(O73,O74,O123)</f>
        <v>14.276</v>
      </c>
      <c r="P130" s="35">
        <f>SUM(P73,P74,P123)</f>
        <v>-24.415</v>
      </c>
      <c r="Q130" s="35">
        <f>SUM(Q73,Q74,Q123)</f>
        <v>-79.293</v>
      </c>
      <c r="R130" s="35">
        <f>SUM(N130:Q130)</f>
        <v>-104.574</v>
      </c>
      <c r="S130" s="35">
        <f>SUM(S73,S74,S123)</f>
        <v>-38.94</v>
      </c>
      <c r="T130" s="35">
        <f>SUM(T73,T74,T123)</f>
        <v>3.977</v>
      </c>
      <c r="U130" s="35">
        <f>SUM(U73,U74,U123)</f>
        <v>8.23799999999998</v>
      </c>
      <c r="V130" s="35">
        <f>SUM(V73,V74,V123)</f>
        <v>86.581</v>
      </c>
      <c r="W130" s="35">
        <f>SUM(S130:V130)</f>
        <v>59.856</v>
      </c>
      <c r="X130" s="35">
        <f>SUM(X73,X74,X123)</f>
        <v>27.467</v>
      </c>
      <c r="Y130" s="35">
        <f>SUM(Y73,Y74,Y123)</f>
        <v>25.774</v>
      </c>
      <c r="Z130" s="35">
        <f>SUM(Z73,Z74,Z123)</f>
        <v>39.115</v>
      </c>
      <c r="AA130" s="35">
        <f>SUM(AA73,AA74,AA123)</f>
        <v>-4.69500000000001</v>
      </c>
      <c r="AB130" s="35">
        <f>SUM(X130:AA130)</f>
        <v>87.661</v>
      </c>
      <c r="AC130" s="35">
        <f>SUM(AC73,AC74,AC123)</f>
        <v>0.287000000000027</v>
      </c>
      <c r="AD130" s="35">
        <f>SUM(AD73,AD74,AD123)</f>
        <v>30.92</v>
      </c>
      <c r="AE130" s="35">
        <f>SUM(AE73,AE74,AE123)</f>
        <v>29.702</v>
      </c>
      <c r="AF130" s="35">
        <f>SUM(AF73,AF74,AF123)</f>
        <v>29.145</v>
      </c>
      <c r="AG130" s="35">
        <f>SUM(AC130:AF130)</f>
        <v>90.0540000000001</v>
      </c>
      <c r="AH130" s="35">
        <f>SUM(AH73,AH74,AH123)</f>
        <v>35.34</v>
      </c>
      <c r="AI130" s="35">
        <f>SUM(AI73,AI74,AI123)</f>
        <v>42.979</v>
      </c>
      <c r="AJ130" s="35">
        <f>SUM(AJ73,AJ74,AJ123:AJ128)</f>
        <v>136.524530775407</v>
      </c>
      <c r="AK130" s="35">
        <f>SUM(AK73,AK74,AK123:AK128)</f>
        <v>128.392322379352</v>
      </c>
      <c r="AL130" s="35">
        <f>SUM(AH130:AK130)</f>
        <v>343.235853154759</v>
      </c>
      <c r="AM130" s="35">
        <f>SUM(AM73,AM74,AM123:AM128)</f>
        <v>160.825460064041</v>
      </c>
      <c r="AN130" s="35">
        <f>SUM(AN73,AN74,AN123:AN128)</f>
        <v>302.552544565135</v>
      </c>
      <c r="AO130" s="35">
        <f>SUM(AO73,AO74,AO123:AO128)</f>
        <v>190.880886765035</v>
      </c>
      <c r="AP130" s="35">
        <f>SUM(AP73,AP74,AP123:AP128)</f>
        <v>179.510892367834</v>
      </c>
      <c r="AQ130" s="35">
        <f>SUM(AM130:AP130)</f>
        <v>833.769783762044</v>
      </c>
      <c r="AR130" s="35">
        <f>SUM(AR73,AR74,AR123:AR128)</f>
        <v>224.052946055384</v>
      </c>
      <c r="AS130" s="35">
        <f>SUM(AS73,AS74,AS123:AS128)</f>
        <v>421.499114128935</v>
      </c>
      <c r="AT130" s="35">
        <f>SUM(AT73,AT74,AT123:AT128)</f>
        <v>265.924468727404</v>
      </c>
      <c r="AU130" s="35">
        <f>SUM(AU73,AU74,AU123:AU128)</f>
        <v>250.084434815412</v>
      </c>
      <c r="AV130" s="35">
        <f>SUM(AR130:AU130)</f>
        <v>1161.56096372713</v>
      </c>
      <c r="AW130" s="35">
        <f>SUM(AW73,AW74,AW123:AW128)</f>
        <v>311.017643136472</v>
      </c>
      <c r="AX130" s="35">
        <f>SUM(AX73,AX74,AX123:AX128)</f>
        <v>585.101260074869</v>
      </c>
      <c r="AY130" s="35">
        <f>SUM(AY73,AY74,AY123:AY128)</f>
        <v>369.141325619842</v>
      </c>
      <c r="AZ130" s="35">
        <f>SUM(AZ73,AZ74,AZ123:AZ128)</f>
        <v>347.153085334477</v>
      </c>
      <c r="BA130" s="35">
        <f>SUM(AW130:AZ130)</f>
        <v>1612.41331416566</v>
      </c>
      <c r="BB130" s="35">
        <f>SUM(BB73,BB74,BB123:BB128)</f>
        <v>430.182034840286</v>
      </c>
      <c r="BC130" s="35">
        <f>SUM(BC73,BC74,BC123:BC128)</f>
        <v>809.279011017966</v>
      </c>
      <c r="BD130" s="35">
        <f>SUM(BD73,BD74,BD123:BD128)</f>
        <v>510.575429089421</v>
      </c>
      <c r="BE130" s="35">
        <f>SUM(BE73,BE74,BE123:BE128)</f>
        <v>480.162537225389</v>
      </c>
      <c r="BF130" s="35">
        <f>SUM(BB130:BE130)</f>
        <v>2230.19901217306</v>
      </c>
      <c r="BG130" s="35" t="n"/>
      <c r="BH130" s="35" t="n"/>
      <c r="BI130" s="35" t="n"/>
      <c r="BJ130" s="35" t="n"/>
      <c r="BK130" s="35" t="n"/>
      <c r="BL130" s="35" t="n"/>
      <c r="BM130" s="35" t="n"/>
      <c r="BN130" s="35" t="n"/>
      <c r="BO130" s="35" t="n"/>
      <c r="BP130" s="35" t="n"/>
      <c r="BQ130" s="35" t="n"/>
      <c r="BR130" s="35" t="n"/>
      <c r="BS130" s="35" t="n"/>
      <c r="BT130" s="35" t="n"/>
      <c r="BU130" s="35" t="n"/>
      <c r="BV130" s="35" t="n"/>
      <c r="BW130" s="35" t="n"/>
      <c r="BX130" s="35" t="n"/>
      <c r="BY130" s="35" t="n"/>
      <c r="BZ130" s="35" t="n"/>
      <c r="CA130" s="35" t="n"/>
      <c r="CB130" s="35" t="n"/>
      <c r="CC130" s="35" t="n"/>
      <c r="CD130" s="35" t="n"/>
      <c r="CE130" s="35" t="n"/>
      <c r="CF130" s="35" t="n"/>
      <c r="CG130" s="35" t="n"/>
      <c r="CH130" s="35" t="n"/>
      <c r="CI130" s="35" t="n"/>
      <c r="CJ130" s="35" t="n"/>
      <c r="CK130" s="35" t="n"/>
      <c r="CL130" s="35" t="n"/>
      <c r="CM130" s="35" t="n"/>
      <c r="CN130" s="35" t="n"/>
      <c r="CO130" s="35" t="n"/>
      <c r="CP130" s="35" t="n"/>
      <c r="CQ130" s="35" t="n"/>
      <c r="CR130" s="35" t="n"/>
      <c r="CS130" s="35" t="n"/>
      <c r="CT130" s="35" t="n"/>
      <c r="CU130" s="35" t="n"/>
      <c r="CV130" s="35" t="n"/>
      <c r="CW130" s="35" t="n"/>
      <c r="CX130" s="35" t="n"/>
      <c r="CY130" s="35" t="n"/>
    </row>
    <row r="131">
      <c r="C131" s="14" t="inlineStr">
        <is>
          <t>Taxes</t>
        </is>
      </c>
      <c r="D131" s="46" t="n"/>
      <c r="E131" s="46" t="n"/>
      <c r="F131" s="46" t="n"/>
      <c r="G131" s="46" t="n"/>
      <c r="H131" s="12" t="n"/>
      <c r="I131" s="46">
        <f>'Inputs (2)'!D10</f>
        <v>-2.195</v>
      </c>
      <c r="J131" s="46">
        <f>'Inputs (2)'!E10</f>
        <v>-4.937</v>
      </c>
      <c r="K131" s="46">
        <f>'Inputs (2)'!F10</f>
        <v>-6.923</v>
      </c>
      <c r="L131" s="46">
        <f>'Inputs (2)'!G10</f>
        <v>-21.959</v>
      </c>
      <c r="M131" s="12">
        <f>'Inputs (2)'!H10</f>
        <v>-36.014</v>
      </c>
      <c r="N131" s="46">
        <f>'Inputs (2)'!I10</f>
        <v>-4.231</v>
      </c>
      <c r="O131" s="46">
        <f>'Inputs (2)'!J10</f>
        <v>-18.959</v>
      </c>
      <c r="P131" s="46">
        <f>'Inputs (2)'!K10</f>
        <v>-14.78</v>
      </c>
      <c r="Q131" s="46">
        <f>'Inputs (2)'!L10</f>
        <v>-8.64</v>
      </c>
      <c r="R131" s="12">
        <f>'Inputs (2)'!M10</f>
        <v>-46.61</v>
      </c>
      <c r="S131" s="46">
        <f>'Inputs (2)'!N10</f>
        <v>-7.213</v>
      </c>
      <c r="T131" s="46">
        <f>'Inputs (2)'!O10</f>
        <v>-9.89</v>
      </c>
      <c r="U131" s="46">
        <f>'Inputs (2)'!P10</f>
        <v>-6.123</v>
      </c>
      <c r="V131" s="46">
        <f>'Inputs (2)'!Q10</f>
        <v>2.477</v>
      </c>
      <c r="W131" s="12">
        <f>'Inputs (2)'!R10</f>
        <v>-20.749</v>
      </c>
      <c r="X131" s="46">
        <f>'Inputs (2)'!S10</f>
        <v>-1.743</v>
      </c>
      <c r="Y131" s="46">
        <f>'Inputs (2)'!T10</f>
        <v>-16.947</v>
      </c>
      <c r="Z131" s="46">
        <f>'Inputs (2)'!U10</f>
        <v>-3.096</v>
      </c>
      <c r="AA131" s="46">
        <f>'Inputs (2)'!V10</f>
        <v>-6.086</v>
      </c>
      <c r="AB131" s="12">
        <f>'Inputs (2)'!W10</f>
        <v>-27.872</v>
      </c>
      <c r="AC131" s="46">
        <f>'Inputs (2)'!X10</f>
        <v>-8.023</v>
      </c>
      <c r="AD131" s="46">
        <f>'Inputs (2)'!Y10</f>
        <v>-5.741</v>
      </c>
      <c r="AE131" s="46">
        <f>'Inputs (2)'!Z10</f>
        <v>-3.384</v>
      </c>
      <c r="AF131" s="46">
        <f>'Inputs (2)'!AA10</f>
        <v>-5.759</v>
      </c>
      <c r="AG131" s="12">
        <f>'Inputs (2)'!AB10</f>
        <v>-22.907</v>
      </c>
      <c r="AH131" s="12">
        <f>'Inputs (2)'!AC10</f>
        <v>-12.257</v>
      </c>
      <c r="AI131" s="12">
        <f>'Inputs (2)'!AD10</f>
        <v>-32.25</v>
      </c>
      <c r="AJ131" s="12">
        <f>-AJ130*AJ132</f>
        <v>-672.36292000649</v>
      </c>
      <c r="AK131" s="12">
        <f>-AK130*AK132</f>
        <v>-632.313008446879</v>
      </c>
      <c r="AL131" s="12">
        <f>SUM(AH131:AK131)</f>
        <v>-1349.18292845337</v>
      </c>
      <c r="AM131" s="12">
        <f>-AM130*AM132</f>
        <v>-792.041366675213</v>
      </c>
      <c r="AN131" s="12">
        <f>-AN130*AN132</f>
        <v>-1490.02608662217</v>
      </c>
      <c r="AO131" s="12">
        <f>-AO130*AO132</f>
        <v>-940.059853491811</v>
      </c>
      <c r="AP131" s="12">
        <f>-AP130*AP132</f>
        <v>-884.064329537687</v>
      </c>
      <c r="AQ131" s="12">
        <f>SUM(AM131:AP131)</f>
        <v>-4106.19163632689</v>
      </c>
      <c r="AR131" s="12">
        <f>-AR130*AR132</f>
        <v>-1103.42729024777</v>
      </c>
      <c r="AS131" s="12">
        <f>-AS130*AS132</f>
        <v>-2075.82017346095</v>
      </c>
      <c r="AT131" s="12">
        <f>-AT130*AT132</f>
        <v>-1309.63828463082</v>
      </c>
      <c r="AU131" s="12">
        <f>-AU130*AU132</f>
        <v>-1231.62848380177</v>
      </c>
      <c r="AV131" s="12">
        <f>SUM(AR131:AU131)</f>
        <v>-5720.51423214131</v>
      </c>
      <c r="AW131" s="12">
        <f>-AW130*AW132</f>
        <v>-1531.71543256785</v>
      </c>
      <c r="AX131" s="12">
        <f>-AX130*AX132</f>
        <v>-2881.53630332258</v>
      </c>
      <c r="AY131" s="12">
        <f>-AY130*AY132</f>
        <v>-1817.96588627084</v>
      </c>
      <c r="AZ131" s="12">
        <f>-AZ130*AZ132</f>
        <v>-1709.67708747326</v>
      </c>
      <c r="BA131" s="12">
        <f>SUM(AW131:AZ131)</f>
        <v>-7940.89470963454</v>
      </c>
      <c r="BB131" s="12">
        <f>-BB130*BB132</f>
        <v>-2118.58226090788</v>
      </c>
      <c r="BC131" s="12">
        <f>-BC130*BC132</f>
        <v>-3985.57823899895</v>
      </c>
      <c r="BD131" s="12">
        <f>-BD130*BD132</f>
        <v>-2514.50771840315</v>
      </c>
      <c r="BE131" s="12">
        <f>-BE130*BE132</f>
        <v>-2364.72876905682</v>
      </c>
      <c r="BF131" s="12">
        <f>SUM(BB131:BE131)</f>
        <v>-10983.3969873668</v>
      </c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hidden="1" outlineLevel="1">
      <c r="C132" s="57" t="inlineStr">
        <is>
          <t>% ETR</t>
        </is>
      </c>
      <c r="D132" s="53" t="n"/>
      <c r="E132" s="53" t="n"/>
      <c r="F132" s="53" t="n"/>
      <c r="G132" s="53" t="n"/>
      <c r="H132" s="53" t="n"/>
      <c r="I132" s="53">
        <f>IFERROR(-I131/I130,"")</f>
        <v>-0.050538773254743</v>
      </c>
      <c r="J132" s="53">
        <f>IFERROR(-J131/J130,"")</f>
        <v>0.436593562079944</v>
      </c>
      <c r="K132" s="53">
        <f>IFERROR(-K131/K130,"")</f>
        <v>1.29184549356223</v>
      </c>
      <c r="L132" s="53">
        <f>IFERROR(-L131/L130,"")</f>
        <v>3.35456767491598</v>
      </c>
      <c r="M132" s="53">
        <f>IFERROR(-M131/M130,"")</f>
        <v>-1.78119590484198</v>
      </c>
      <c r="N132" s="53">
        <f>IFERROR(-N131/N130,"")</f>
        <v>-0.27942147668736</v>
      </c>
      <c r="O132" s="53">
        <f>IFERROR(-O131/O130,"")</f>
        <v>1.32803306248249</v>
      </c>
      <c r="P132" s="53">
        <f>IFERROR(-P131/P130,"")</f>
        <v>-0.605365553962728</v>
      </c>
      <c r="Q132" s="53">
        <f>IFERROR(-Q131/Q130,"")</f>
        <v>-0.108962960160418</v>
      </c>
      <c r="R132" s="53">
        <f>IFERROR(-R131/R130,"")</f>
        <v>-0.445713083558055</v>
      </c>
      <c r="S132" s="53">
        <f>IFERROR(-S131/S130,"")</f>
        <v>-0.185233692860811</v>
      </c>
      <c r="T132" s="53">
        <f>IFERROR(-T131/T130,"")</f>
        <v>2.48679909479507</v>
      </c>
      <c r="U132" s="53">
        <f>IFERROR(-U131/U130,"")</f>
        <v>0.743262927895123</v>
      </c>
      <c r="V132" s="53">
        <f>IFERROR(-V131/V130,"")</f>
        <v>-0.0286090481745418</v>
      </c>
      <c r="W132" s="53">
        <f>IFERROR(-W131/W130,"")</f>
        <v>0.346648623362737</v>
      </c>
      <c r="X132" s="53">
        <f>IFERROR(-X131/X130,"")</f>
        <v>0.06345796774311</v>
      </c>
      <c r="Y132" s="53">
        <f>IFERROR(-Y131/Y130,"")</f>
        <v>0.657523085279739</v>
      </c>
      <c r="Z132" s="53">
        <f>IFERROR(-Z131/Z130,"")</f>
        <v>0.0791512207592995</v>
      </c>
      <c r="AA132" s="53">
        <f>IFERROR(-AA131/AA130,"")</f>
        <v>-1.29627263045793</v>
      </c>
      <c r="AB132" s="53">
        <f>IFERROR(-AB131/AB130,"")</f>
        <v>0.317952110972953</v>
      </c>
      <c r="AC132" s="53">
        <f>IFERROR(-AC131/AC130,"")</f>
        <v>27.9547038327499</v>
      </c>
      <c r="AD132" s="53">
        <f>IFERROR(-AD131/AD130,"")</f>
        <v>0.185672703751617</v>
      </c>
      <c r="AE132" s="53">
        <f>IFERROR(-AE131/AE130,"")</f>
        <v>0.113931721769578</v>
      </c>
      <c r="AF132" s="41">
        <f>IFERROR(-AF131/AF130,"")</f>
        <v>0.197598215817464</v>
      </c>
      <c r="AG132" s="53">
        <f>IFERROR(-AG131/AG130,"")</f>
        <v>0.254369600461945</v>
      </c>
      <c r="AH132" s="41">
        <f>IFERROR(-AH131/AH130,"")</f>
        <v>0.346830786644029</v>
      </c>
      <c r="AI132" s="41">
        <f>IFERROR(-AI131/AI130,"")</f>
        <v>0.750366458037646</v>
      </c>
      <c r="AJ132" s="41">
        <f>Control!$B$22</f>
        <v>4.92485061979505</v>
      </c>
      <c r="AK132" s="41">
        <f>Control!$B$22</f>
        <v>4.92485061979505</v>
      </c>
      <c r="AL132" s="53">
        <f>IFERROR(-AL131/AL130,"")</f>
        <v>3.93077505176898</v>
      </c>
      <c r="AM132" s="41">
        <f>Control!$C$22</f>
        <v>4.92485061979505</v>
      </c>
      <c r="AN132" s="41">
        <f>Control!$C$22</f>
        <v>4.92485061979505</v>
      </c>
      <c r="AO132" s="41">
        <f>Control!$C$22</f>
        <v>4.92485061979505</v>
      </c>
      <c r="AP132" s="41">
        <f>Control!$C$22</f>
        <v>4.92485061979505</v>
      </c>
      <c r="AQ132" s="53">
        <f>IFERROR(-AQ131/AQ130,"")</f>
        <v>4.92485061979505</v>
      </c>
      <c r="AR132" s="41">
        <f>Control!$D$22</f>
        <v>4.92485061979505</v>
      </c>
      <c r="AS132" s="41">
        <f>Control!$D$22</f>
        <v>4.92485061979505</v>
      </c>
      <c r="AT132" s="41">
        <f>Control!$D$22</f>
        <v>4.92485061979505</v>
      </c>
      <c r="AU132" s="41">
        <f>Control!$D$22</f>
        <v>4.92485061979505</v>
      </c>
      <c r="AV132" s="53">
        <f>IFERROR(-AV131/AV130,"")</f>
        <v>4.92485061979505</v>
      </c>
      <c r="AW132" s="41">
        <f>Control!$E$22</f>
        <v>4.92485061979505</v>
      </c>
      <c r="AX132" s="41">
        <f>Control!$E$22</f>
        <v>4.92485061979505</v>
      </c>
      <c r="AY132" s="41">
        <f>Control!$E$22</f>
        <v>4.92485061979505</v>
      </c>
      <c r="AZ132" s="41">
        <f>Control!$E$22</f>
        <v>4.92485061979505</v>
      </c>
      <c r="BA132" s="53">
        <f>IFERROR(-BA131/BA130,"")</f>
        <v>4.92485061979505</v>
      </c>
      <c r="BB132" s="41">
        <f>Control!$F$22</f>
        <v>4.92485061979505</v>
      </c>
      <c r="BC132" s="41">
        <f>Control!$F$22</f>
        <v>4.92485061979505</v>
      </c>
      <c r="BD132" s="41">
        <f>Control!$F$22</f>
        <v>4.92485061979505</v>
      </c>
      <c r="BE132" s="41">
        <f>Control!$F$22</f>
        <v>4.92485061979505</v>
      </c>
      <c r="BF132" s="53">
        <f>IFERROR(-BF131/BF130,"")</f>
        <v>4.92485061979505</v>
      </c>
      <c r="BG132" s="41" t="n"/>
      <c r="BH132" s="41" t="n"/>
      <c r="BI132" s="41" t="n"/>
      <c r="BJ132" s="41" t="n"/>
      <c r="BK132" s="53" t="n"/>
      <c r="BL132" s="41" t="n"/>
      <c r="BM132" s="41" t="n"/>
      <c r="BN132" s="41" t="n"/>
      <c r="BO132" s="41" t="n"/>
      <c r="BP132" s="53" t="n"/>
      <c r="BQ132" s="41" t="n"/>
      <c r="BR132" s="41" t="n"/>
      <c r="BS132" s="41" t="n"/>
      <c r="BT132" s="41" t="n"/>
      <c r="BU132" s="53" t="n"/>
      <c r="BV132" s="41" t="n"/>
      <c r="BW132" s="41" t="n"/>
      <c r="BX132" s="41" t="n"/>
      <c r="BY132" s="41" t="n"/>
      <c r="BZ132" s="53" t="n"/>
      <c r="CA132" s="41" t="n"/>
      <c r="CB132" s="41" t="n"/>
      <c r="CC132" s="41" t="n"/>
      <c r="CD132" s="41" t="n"/>
      <c r="CE132" s="53" t="n"/>
      <c r="CF132" s="41" t="n"/>
      <c r="CG132" s="41" t="n"/>
      <c r="CH132" s="41" t="n"/>
      <c r="CI132" s="41" t="n"/>
      <c r="CJ132" s="53" t="n"/>
      <c r="CK132" s="41" t="n"/>
      <c r="CL132" s="41" t="n"/>
      <c r="CM132" s="41" t="n"/>
      <c r="CN132" s="41" t="n"/>
      <c r="CO132" s="53" t="n"/>
      <c r="CP132" s="41" t="n"/>
      <c r="CQ132" s="41" t="n"/>
      <c r="CR132" s="41" t="n"/>
      <c r="CS132" s="41" t="n"/>
      <c r="CT132" s="53" t="n"/>
      <c r="CU132" s="41" t="n"/>
      <c r="CV132" s="41" t="n"/>
      <c r="CW132" s="41" t="n"/>
      <c r="CX132" s="41" t="n"/>
      <c r="CY132" s="53" t="n"/>
    </row>
    <row r="133" hidden="1" outlineLevel="1">
      <c r="C133" s="57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collapsed="1">
      <c r="C135" s="14" t="inlineStr">
        <is>
          <t>Equity in Income of Affiliates, after tax (enter as +)</t>
        </is>
      </c>
      <c r="D135" s="46" t="n"/>
      <c r="E135" s="46" t="n"/>
      <c r="F135" s="46" t="n"/>
      <c r="G135" s="46" t="n"/>
      <c r="H135" s="12" t="n"/>
      <c r="I135" s="46">
        <f>'Inputs (2)'!D11</f>
        <v>0.102</v>
      </c>
      <c r="J135" s="46">
        <f>'Inputs (2)'!E11</f>
        <v>0.028</v>
      </c>
      <c r="K135" s="46">
        <f>'Inputs (2)'!F11</f>
        <v>0.215</v>
      </c>
      <c r="L135" s="46">
        <f>'Inputs (2)'!G11</f>
        <v>0.379</v>
      </c>
      <c r="M135" s="12">
        <f>'Inputs (2)'!H11</f>
        <v>0.724</v>
      </c>
      <c r="N135" s="46">
        <f>'Inputs (2)'!I11</f>
        <v>-0.001</v>
      </c>
      <c r="O135" s="46">
        <f>'Inputs (2)'!J11</f>
        <v>-5.637</v>
      </c>
      <c r="P135" s="46">
        <f>'Inputs (2)'!K11</f>
        <v>9.569</v>
      </c>
      <c r="Q135" s="46">
        <f>'Inputs (2)'!L11</f>
        <v>3.789</v>
      </c>
      <c r="R135" s="12">
        <f>'Inputs (2)'!M11</f>
        <v>7.72</v>
      </c>
      <c r="S135" s="46">
        <f>'Inputs (2)'!N11</f>
        <v>2.973</v>
      </c>
      <c r="T135" s="46">
        <f>'Inputs (2)'!O11</f>
        <v>3.062</v>
      </c>
      <c r="U135" s="46">
        <f>'Inputs (2)'!P11</f>
        <v>1.779</v>
      </c>
      <c r="V135" s="46">
        <f>'Inputs (2)'!Q11</f>
        <v>3.246</v>
      </c>
      <c r="W135" s="12">
        <f>'Inputs (2)'!R11</f>
        <v>11.06</v>
      </c>
      <c r="X135" s="46">
        <f>'Inputs (2)'!S11</f>
        <v>4.47</v>
      </c>
      <c r="Y135" s="46">
        <f>'Inputs (2)'!T11</f>
        <v>2.332</v>
      </c>
      <c r="Z135" s="46">
        <f>'Inputs (2)'!U11</f>
        <v>5.237</v>
      </c>
      <c r="AA135" s="46">
        <f>'Inputs (2)'!V11</f>
        <v>2.648</v>
      </c>
      <c r="AB135" s="12">
        <f>'Inputs (2)'!W11</f>
        <v>14.687</v>
      </c>
      <c r="AC135" s="46">
        <f>'Inputs (2)'!X11</f>
        <v>4.179</v>
      </c>
      <c r="AD135" s="46">
        <f>'Inputs (2)'!Y11</f>
        <v>1.578</v>
      </c>
      <c r="AE135" s="46">
        <f>'Inputs (2)'!Z11</f>
        <v>1.024</v>
      </c>
      <c r="AF135" s="46">
        <f>'Inputs (2)'!AA11</f>
        <v>0.034</v>
      </c>
      <c r="AG135" s="12">
        <f>'Inputs (2)'!AB11</f>
        <v>6.815</v>
      </c>
      <c r="AH135" s="12">
        <f>'Inputs (2)'!AC11</f>
        <v>-0.461</v>
      </c>
      <c r="AI135" s="12">
        <f>'Inputs (2)'!AD11</f>
        <v>-4.378</v>
      </c>
      <c r="AJ135" s="12">
        <f>0</f>
        <v>0</v>
      </c>
      <c r="AK135" s="12">
        <f>0</f>
        <v>0</v>
      </c>
      <c r="AL135" s="12">
        <f>SUM(AH135:AK135)</f>
        <v>-4.839</v>
      </c>
      <c r="AM135" s="12">
        <f>0</f>
        <v>0</v>
      </c>
      <c r="AN135" s="12">
        <f>0</f>
        <v>0</v>
      </c>
      <c r="AO135" s="12">
        <f>0</f>
        <v>0</v>
      </c>
      <c r="AP135" s="12">
        <f>0</f>
        <v>0</v>
      </c>
      <c r="AQ135" s="12">
        <f>SUM(AM135:AP135)</f>
        <v>0</v>
      </c>
      <c r="AR135" s="12">
        <f>0</f>
        <v>0</v>
      </c>
      <c r="AS135" s="12">
        <f>0</f>
        <v>0</v>
      </c>
      <c r="AT135" s="12">
        <f>0</f>
        <v>0</v>
      </c>
      <c r="AU135" s="12">
        <f>0</f>
        <v>0</v>
      </c>
      <c r="AV135" s="12">
        <f>SUM(AR135:AU135)</f>
        <v>0</v>
      </c>
      <c r="AW135" s="12">
        <f>0</f>
        <v>0</v>
      </c>
      <c r="AX135" s="12">
        <f>0</f>
        <v>0</v>
      </c>
      <c r="AY135" s="12">
        <f>0</f>
        <v>0</v>
      </c>
      <c r="AZ135" s="12">
        <f>0</f>
        <v>0</v>
      </c>
      <c r="BA135" s="12">
        <f>SUM(AW135:AZ135)</f>
        <v>0</v>
      </c>
      <c r="BB135" s="12">
        <f>0</f>
        <v>0</v>
      </c>
      <c r="BC135" s="12">
        <f>0</f>
        <v>0</v>
      </c>
      <c r="BD135" s="12">
        <f>0</f>
        <v>0</v>
      </c>
      <c r="BE135" s="12">
        <f>0</f>
        <v>0</v>
      </c>
      <c r="BF135" s="12">
        <f>SUM(BB135:BE135)</f>
        <v>0</v>
      </c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>
      <c r="C136" s="14" t="inlineStr">
        <is>
          <t>Minority Interest Expense, after tax (enter as - )</t>
        </is>
      </c>
      <c r="D136" s="46" t="n"/>
      <c r="E136" s="46" t="n"/>
      <c r="F136" s="46" t="n"/>
      <c r="G136" s="46" t="n"/>
      <c r="H136" s="12" t="n"/>
      <c r="I136" s="46">
        <f>'Inputs (2)'!D12</f>
        <v>-1.054</v>
      </c>
      <c r="J136" s="46">
        <f>'Inputs (2)'!E12</f>
        <v>-0.988</v>
      </c>
      <c r="K136" s="46">
        <f>'Inputs (2)'!F12</f>
        <v>-0.859</v>
      </c>
      <c r="L136" s="46">
        <f>'Inputs (2)'!G12</f>
        <v>-3.618</v>
      </c>
      <c r="M136" s="12">
        <f>'Inputs (2)'!H12</f>
        <v>-6.519</v>
      </c>
      <c r="N136" s="46">
        <f>'Inputs (2)'!I12</f>
        <v>-0.773</v>
      </c>
      <c r="O136" s="46">
        <f>'Inputs (2)'!J12</f>
        <v>-1.65</v>
      </c>
      <c r="P136" s="46">
        <f>'Inputs (2)'!K12</f>
        <v>-1.467</v>
      </c>
      <c r="Q136" s="46">
        <f>'Inputs (2)'!L12</f>
        <v>-1.652</v>
      </c>
      <c r="R136" s="12">
        <f>'Inputs (2)'!M12</f>
        <v>-5.542</v>
      </c>
      <c r="S136" s="46">
        <f>'Inputs (2)'!N12</f>
        <v>-1.893</v>
      </c>
      <c r="T136" s="46">
        <f>'Inputs (2)'!O12</f>
        <v>-2.298</v>
      </c>
      <c r="U136" s="46">
        <f>'Inputs (2)'!P12</f>
        <v>-2.043</v>
      </c>
      <c r="V136" s="46">
        <f>'Inputs (2)'!Q12</f>
        <v>-3.818</v>
      </c>
      <c r="W136" s="12">
        <f>'Inputs (2)'!R12</f>
        <v>-10.052</v>
      </c>
      <c r="X136" s="46">
        <f>'Inputs (2)'!S12</f>
        <v>-4.651</v>
      </c>
      <c r="Y136" s="46">
        <f>'Inputs (2)'!T12</f>
        <v>-2.353</v>
      </c>
      <c r="Z136" s="46">
        <f>'Inputs (2)'!U12</f>
        <v>-4.172</v>
      </c>
      <c r="AA136" s="46">
        <f>'Inputs (2)'!V12</f>
        <v>-2.403</v>
      </c>
      <c r="AB136" s="12">
        <f>'Inputs (2)'!W12</f>
        <v>-13.579</v>
      </c>
      <c r="AC136" s="46">
        <f>'Inputs (2)'!X12</f>
        <v>-2.765</v>
      </c>
      <c r="AD136" s="46">
        <f>'Inputs (2)'!Y12</f>
        <v>-2.911</v>
      </c>
      <c r="AE136" s="46">
        <f>'Inputs (2)'!Z12</f>
        <v>-4.054</v>
      </c>
      <c r="AF136" s="46">
        <f>'Inputs (2)'!AA12</f>
        <v>-4.09</v>
      </c>
      <c r="AG136" s="12">
        <f>'Inputs (2)'!AB12</f>
        <v>-13.82</v>
      </c>
      <c r="AH136" s="12">
        <f>'Inputs (2)'!AC12</f>
        <v>-3.838</v>
      </c>
      <c r="AI136" s="12">
        <f>'Inputs (2)'!AD12</f>
        <v>-17.498</v>
      </c>
      <c r="AJ136" s="12">
        <f>0</f>
        <v>0</v>
      </c>
      <c r="AK136" s="12">
        <f>0</f>
        <v>0</v>
      </c>
      <c r="AL136" s="12">
        <f>SUM(AH136:AK136)</f>
        <v>-21.336</v>
      </c>
      <c r="AM136" s="12">
        <f>0</f>
        <v>0</v>
      </c>
      <c r="AN136" s="12">
        <f>0</f>
        <v>0</v>
      </c>
      <c r="AO136" s="12">
        <f>0</f>
        <v>0</v>
      </c>
      <c r="AP136" s="12">
        <f>0</f>
        <v>0</v>
      </c>
      <c r="AQ136" s="12">
        <f>SUM(AM136:AP136)</f>
        <v>0</v>
      </c>
      <c r="AR136" s="12">
        <f>0</f>
        <v>0</v>
      </c>
      <c r="AS136" s="12">
        <f>0</f>
        <v>0</v>
      </c>
      <c r="AT136" s="12">
        <f>0</f>
        <v>0</v>
      </c>
      <c r="AU136" s="12">
        <f>0</f>
        <v>0</v>
      </c>
      <c r="AV136" s="12">
        <f>SUM(AR136:AU136)</f>
        <v>0</v>
      </c>
      <c r="AW136" s="12">
        <f>0</f>
        <v>0</v>
      </c>
      <c r="AX136" s="12">
        <f>0</f>
        <v>0</v>
      </c>
      <c r="AY136" s="12">
        <f>0</f>
        <v>0</v>
      </c>
      <c r="AZ136" s="12">
        <f>0</f>
        <v>0</v>
      </c>
      <c r="BA136" s="12">
        <f>SUM(AW136:AZ136)</f>
        <v>0</v>
      </c>
      <c r="BB136" s="12">
        <f>0</f>
        <v>0</v>
      </c>
      <c r="BC136" s="12">
        <f>0</f>
        <v>0</v>
      </c>
      <c r="BD136" s="12">
        <f>0</f>
        <v>0</v>
      </c>
      <c r="BE136" s="12">
        <f>0</f>
        <v>0</v>
      </c>
      <c r="BF136" s="12">
        <f>SUM(BB136:BE136)</f>
        <v>0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customFormat="1" s="32">
      <c r="A137" s="30" t="n"/>
      <c r="B137" s="3" t="n"/>
      <c r="C137" s="33" t="inlineStr">
        <is>
          <t>Net Income</t>
        </is>
      </c>
      <c r="D137" s="35" t="n"/>
      <c r="E137" s="35" t="n"/>
      <c r="F137" s="35" t="n"/>
      <c r="G137" s="35" t="n"/>
      <c r="H137" s="35" t="n"/>
      <c r="I137" s="35">
        <f>SUM(I130,I131,I135,I136)</f>
        <v>-46.579</v>
      </c>
      <c r="J137" s="35">
        <f>SUM(J130,J131,J135,J136)</f>
        <v>5.411</v>
      </c>
      <c r="K137" s="35">
        <f>SUM(K130,K131,K135,K136)</f>
        <v>-2.208</v>
      </c>
      <c r="L137" s="35">
        <f>SUM(L130,L131,L135,L136)</f>
        <v>-18.652</v>
      </c>
      <c r="M137" s="35">
        <f>SUM(I137:L137)</f>
        <v>-62.028</v>
      </c>
      <c r="N137" s="35">
        <f>SUM(N130,N131,N135,N136)</f>
        <v>-20.147</v>
      </c>
      <c r="O137" s="35">
        <f>SUM(O130,O131,O135,O136)</f>
        <v>-11.97</v>
      </c>
      <c r="P137" s="35">
        <f>SUM(P130,P131,P135,P136)</f>
        <v>-31.093</v>
      </c>
      <c r="Q137" s="35">
        <f>SUM(Q130,Q131,Q135,Q136)</f>
        <v>-85.796</v>
      </c>
      <c r="R137" s="35">
        <f>SUM(N137:Q137)</f>
        <v>-149.006</v>
      </c>
      <c r="S137" s="35">
        <f>SUM(S130,S131,S135,S136)</f>
        <v>-45.073</v>
      </c>
      <c r="T137" s="35">
        <f>SUM(T130,T131,T135,T136)</f>
        <v>-5.149</v>
      </c>
      <c r="U137" s="35">
        <f>SUM(U130,U131,U135,U136)</f>
        <v>1.85099999999997</v>
      </c>
      <c r="V137" s="35">
        <f>SUM(V130,V131,V135,V136)</f>
        <v>88.486</v>
      </c>
      <c r="W137" s="35">
        <f>SUM(S137:V137)</f>
        <v>40.115</v>
      </c>
      <c r="X137" s="35">
        <f>SUM(X130,X131,X135,X136)</f>
        <v>25.543</v>
      </c>
      <c r="Y137" s="35">
        <f>SUM(Y130,Y131,Y135,Y136)</f>
        <v>8.806</v>
      </c>
      <c r="Z137" s="35">
        <f>SUM(Z130,Z131,Z135,Z136)</f>
        <v>37.084</v>
      </c>
      <c r="AA137" s="35">
        <f>SUM(AA130,AA131,AA135,AA136)</f>
        <v>-10.536</v>
      </c>
      <c r="AB137" s="35">
        <f>SUM(X137:AA137)</f>
        <v>60.897</v>
      </c>
      <c r="AC137" s="35">
        <f>SUM(AC130,AC131,AC135,AC136)</f>
        <v>-6.32199999999997</v>
      </c>
      <c r="AD137" s="35">
        <f>SUM(AD130,AD131,AD135,AD136)</f>
        <v>23.846</v>
      </c>
      <c r="AE137" s="35">
        <f>SUM(AE130,AE131,AE135,AE136)</f>
        <v>23.288</v>
      </c>
      <c r="AF137" s="35">
        <f>SUM(AF130,AF131,AF135,AF136)</f>
        <v>19.33</v>
      </c>
      <c r="AG137" s="35">
        <f>SUM(AC137:AF137)</f>
        <v>60.1420000000001</v>
      </c>
      <c r="AH137" s="35">
        <f>SUM(AH130,AH131,AH135,AH136)</f>
        <v>18.784</v>
      </c>
      <c r="AI137" s="35">
        <f>SUM(AI130,AI131,AI135,AI136)</f>
        <v>-11.147</v>
      </c>
      <c r="AJ137" s="35">
        <f>SUM(AJ130,AJ131,AJ135,AJ136)</f>
        <v>-535.838389231083</v>
      </c>
      <c r="AK137" s="35">
        <f>SUM(AK130,AK131,AK135,AK136)</f>
        <v>-503.920686067527</v>
      </c>
      <c r="AL137" s="35">
        <f>SUM(AH137:AK137)</f>
        <v>-1032.12207529861</v>
      </c>
      <c r="AM137" s="35">
        <f>SUM(AM130,AM131,AM135,AM136)</f>
        <v>-631.215906611173</v>
      </c>
      <c r="AN137" s="35">
        <f>SUM(AN130,AN131,AN135,AN136)</f>
        <v>-1187.47354205704</v>
      </c>
      <c r="AO137" s="35">
        <f>SUM(AO130,AO131,AO135,AO136)</f>
        <v>-749.178966726776</v>
      </c>
      <c r="AP137" s="35">
        <f>SUM(AP130,AP131,AP135,AP136)</f>
        <v>-704.553437169853</v>
      </c>
      <c r="AQ137" s="35">
        <f>SUM(AM137:AP137)</f>
        <v>-3272.42185256484</v>
      </c>
      <c r="AR137" s="35">
        <f>SUM(AR130,AR131,AR135,AR136)</f>
        <v>-879.374344192381</v>
      </c>
      <c r="AS137" s="35">
        <f>SUM(AS130,AS131,AS135,AS136)</f>
        <v>-1654.32105933201</v>
      </c>
      <c r="AT137" s="35">
        <f>SUM(AT130,AT131,AT135,AT136)</f>
        <v>-1043.71381590342</v>
      </c>
      <c r="AU137" s="35">
        <f>SUM(AU130,AU131,AU135,AU136)</f>
        <v>-981.544048986362</v>
      </c>
      <c r="AV137" s="35">
        <f>SUM(AR137:AU137)</f>
        <v>-4558.95326841418</v>
      </c>
      <c r="AW137" s="35">
        <f>SUM(AW130,AW131,AW135,AW136)</f>
        <v>-1220.69778943137</v>
      </c>
      <c r="AX137" s="35">
        <f>SUM(AX130,AX131,AX135,AX136)</f>
        <v>-2296.43504324771</v>
      </c>
      <c r="AY137" s="35">
        <f>SUM(AY130,AY131,AY135,AY136)</f>
        <v>-1448.824560651</v>
      </c>
      <c r="AZ137" s="35">
        <f>SUM(AZ130,AZ131,AZ135,AZ136)</f>
        <v>-1362.52400213879</v>
      </c>
      <c r="BA137" s="35">
        <f>SUM(AW137:AZ137)</f>
        <v>-6328.48139546888</v>
      </c>
      <c r="BB137" s="35">
        <f>SUM(BB130,BB131,BB135,BB136)</f>
        <v>-1688.40022606759</v>
      </c>
      <c r="BC137" s="35">
        <f>SUM(BC130,BC131,BC135,BC136)</f>
        <v>-3176.29922798099</v>
      </c>
      <c r="BD137" s="35">
        <f>SUM(BD130,BD131,BD135,BD136)</f>
        <v>-2003.93228931373</v>
      </c>
      <c r="BE137" s="35">
        <f>SUM(BE130,BE131,BE135,BE136)</f>
        <v>-1884.56623183143</v>
      </c>
      <c r="BF137" s="35">
        <f>SUM(BB137:BE137)</f>
        <v>-8753.19797519374</v>
      </c>
      <c r="BG137" s="35" t="n"/>
      <c r="BH137" s="35" t="n"/>
      <c r="BI137" s="35" t="n"/>
      <c r="BJ137" s="35" t="n"/>
      <c r="BK137" s="35" t="n"/>
      <c r="BL137" s="35" t="n"/>
      <c r="BM137" s="35" t="n"/>
      <c r="BN137" s="35" t="n"/>
      <c r="BO137" s="35" t="n"/>
      <c r="BP137" s="35" t="n"/>
      <c r="BQ137" s="35" t="n"/>
      <c r="BR137" s="35" t="n"/>
      <c r="BS137" s="35" t="n"/>
      <c r="BT137" s="35" t="n"/>
      <c r="BU137" s="35" t="n"/>
      <c r="BV137" s="35" t="n"/>
      <c r="BW137" s="35" t="n"/>
      <c r="BX137" s="35" t="n"/>
      <c r="BY137" s="35" t="n"/>
      <c r="BZ137" s="35" t="n"/>
      <c r="CA137" s="35" t="n"/>
      <c r="CB137" s="35" t="n"/>
      <c r="CC137" s="35" t="n"/>
      <c r="CD137" s="35" t="n"/>
      <c r="CE137" s="35" t="n"/>
      <c r="CF137" s="35" t="n"/>
      <c r="CG137" s="35" t="n"/>
      <c r="CH137" s="35" t="n"/>
      <c r="CI137" s="35" t="n"/>
      <c r="CJ137" s="35" t="n"/>
      <c r="CK137" s="35" t="n"/>
      <c r="CL137" s="35" t="n"/>
      <c r="CM137" s="35" t="n"/>
      <c r="CN137" s="35" t="n"/>
      <c r="CO137" s="35" t="n"/>
      <c r="CP137" s="35" t="n"/>
      <c r="CQ137" s="35" t="n"/>
      <c r="CR137" s="35" t="n"/>
      <c r="CS137" s="35" t="n"/>
      <c r="CT137" s="35" t="n"/>
      <c r="CU137" s="35" t="n"/>
      <c r="CV137" s="35" t="n"/>
      <c r="CW137" s="35" t="n"/>
      <c r="CX137" s="35" t="n"/>
      <c r="CY137" s="35" t="n"/>
    </row>
    <row r="138">
      <c r="C138" s="13" t="inlineStr">
        <is>
          <t>Common Dividends</t>
        </is>
      </c>
      <c r="D138" s="46" t="n"/>
      <c r="E138" s="46" t="n"/>
      <c r="F138" s="46" t="n"/>
      <c r="G138" s="46" t="n"/>
      <c r="H138" s="12" t="n"/>
      <c r="I138" s="46">
        <f>'Inputs (2)'!D13</f>
        <v>0</v>
      </c>
      <c r="J138" s="46">
        <f>'Inputs (2)'!E13</f>
        <v>0</v>
      </c>
      <c r="K138" s="46">
        <f>'Inputs (2)'!F13</f>
        <v>0</v>
      </c>
      <c r="L138" s="46">
        <f>'Inputs (2)'!G13</f>
        <v>0</v>
      </c>
      <c r="M138" s="12">
        <f>'Inputs (2)'!H13</f>
        <v>0</v>
      </c>
      <c r="N138" s="46">
        <f>'Inputs (2)'!I13</f>
        <v>0</v>
      </c>
      <c r="O138" s="46">
        <f>'Inputs (2)'!J13</f>
        <v>0</v>
      </c>
      <c r="P138" s="46">
        <f>'Inputs (2)'!K13</f>
        <v>0</v>
      </c>
      <c r="Q138" s="46">
        <f>'Inputs (2)'!L13</f>
        <v>0</v>
      </c>
      <c r="R138" s="12">
        <f>'Inputs (2)'!M13</f>
        <v>0</v>
      </c>
      <c r="S138" s="46">
        <f>'Inputs (2)'!N13</f>
        <v>0</v>
      </c>
      <c r="T138" s="46">
        <f>'Inputs (2)'!O13</f>
        <v>0</v>
      </c>
      <c r="U138" s="46">
        <f>'Inputs (2)'!P13</f>
        <v>0</v>
      </c>
      <c r="V138" s="46">
        <f>'Inputs (2)'!Q13</f>
        <v>0</v>
      </c>
      <c r="W138" s="12">
        <f>'Inputs (2)'!R13</f>
        <v>0</v>
      </c>
      <c r="X138" s="46">
        <f>'Inputs (2)'!S13</f>
        <v>0</v>
      </c>
      <c r="Y138" s="46">
        <f>'Inputs (2)'!T13</f>
        <v>0</v>
      </c>
      <c r="Z138" s="46">
        <f>'Inputs (2)'!U13</f>
        <v>0</v>
      </c>
      <c r="AA138" s="46">
        <f>'Inputs (2)'!V13</f>
        <v>0</v>
      </c>
      <c r="AB138" s="12">
        <f>'Inputs (2)'!W13</f>
        <v>0</v>
      </c>
      <c r="AC138" s="46">
        <f>'Inputs (2)'!X13</f>
        <v>0</v>
      </c>
      <c r="AD138" s="46">
        <f>'Inputs (2)'!Y13</f>
        <v>0</v>
      </c>
      <c r="AE138" s="46">
        <f>'Inputs (2)'!Z13</f>
        <v>0</v>
      </c>
      <c r="AF138" s="46">
        <f>'Inputs (2)'!AA13</f>
        <v>0</v>
      </c>
      <c r="AG138" s="12">
        <f>'Inputs (2)'!AB13</f>
        <v>0</v>
      </c>
      <c r="AH138" s="12">
        <f>'Inputs (2)'!AC13</f>
        <v>0</v>
      </c>
      <c r="AI138" s="12">
        <f>'Inputs (2)'!AD13</f>
        <v>0</v>
      </c>
      <c r="AJ138" s="12">
        <f>-MAX(0,AJ137)*Control!$E$15</f>
        <v>0</v>
      </c>
      <c r="AK138" s="12">
        <f>-MAX(0,AK137)*Control!$E$15</f>
        <v>0</v>
      </c>
      <c r="AL138" s="12">
        <f>SUM(AH138:AK138)</f>
        <v>0</v>
      </c>
      <c r="AM138" s="12">
        <f>-MAX(0,AM137)*Control!$E$15</f>
        <v>0</v>
      </c>
      <c r="AN138" s="12">
        <f>-MAX(0,AN137)*Control!$E$15</f>
        <v>0</v>
      </c>
      <c r="AO138" s="12">
        <f>-MAX(0,AO137)*Control!$E$15</f>
        <v>0</v>
      </c>
      <c r="AP138" s="12">
        <f>-MAX(0,AP137)*Control!$E$15</f>
        <v>0</v>
      </c>
      <c r="AQ138" s="12">
        <f>SUM(AM138:AP138)</f>
        <v>0</v>
      </c>
      <c r="AR138" s="12">
        <f>-MAX(0,AR137)*Control!$E$15</f>
        <v>0</v>
      </c>
      <c r="AS138" s="12">
        <f>-MAX(0,AS137)*Control!$E$15</f>
        <v>0</v>
      </c>
      <c r="AT138" s="12">
        <f>-MAX(0,AT137)*Control!$E$15</f>
        <v>0</v>
      </c>
      <c r="AU138" s="12">
        <f>-MAX(0,AU137)*Control!$E$15</f>
        <v>0</v>
      </c>
      <c r="AV138" s="12">
        <f>SUM(AR138:AU138)</f>
        <v>0</v>
      </c>
      <c r="AW138" s="12">
        <f>-MAX(0,AW137)*Control!$E$15</f>
        <v>0</v>
      </c>
      <c r="AX138" s="12">
        <f>-MAX(0,AX137)*Control!$E$15</f>
        <v>0</v>
      </c>
      <c r="AY138" s="12">
        <f>-MAX(0,AY137)*Control!$E$15</f>
        <v>0</v>
      </c>
      <c r="AZ138" s="12">
        <f>-MAX(0,AZ137)*Control!$E$15</f>
        <v>0</v>
      </c>
      <c r="BA138" s="12">
        <f>SUM(AW138:AZ138)</f>
        <v>0</v>
      </c>
      <c r="BB138" s="12">
        <f>-MAX(0,BB137)*Control!$E$15</f>
        <v>0</v>
      </c>
      <c r="BC138" s="12">
        <f>-MAX(0,BC137)*Control!$E$15</f>
        <v>0</v>
      </c>
      <c r="BD138" s="12">
        <f>-MAX(0,BD137)*Control!$E$15</f>
        <v>0</v>
      </c>
      <c r="BE138" s="12">
        <f>-MAX(0,BE137)*Control!$E$15</f>
        <v>0</v>
      </c>
      <c r="BF138" s="12">
        <f>SUM(BB138:BE138)</f>
        <v>0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0" t="inlineStr">
        <is>
          <t>% DVD Payout</t>
        </is>
      </c>
      <c r="D139" s="58" t="n"/>
      <c r="E139" s="58" t="n"/>
      <c r="F139" s="58" t="n"/>
      <c r="G139" s="58" t="n"/>
      <c r="H139" s="58" t="n"/>
      <c r="I139" s="58">
        <f>IF(I137=0,"",-I138/I137)</f>
        <v>0</v>
      </c>
      <c r="J139" s="58">
        <f>IF(J137=0,"",-J138/J137)</f>
        <v>0</v>
      </c>
      <c r="K139" s="58">
        <f>IF(K137=0,"",-K138/K137)</f>
        <v>0</v>
      </c>
      <c r="L139" s="58">
        <f>IF(L137=0,"",-L138/L137)</f>
        <v>0</v>
      </c>
      <c r="M139" s="58">
        <f>IF(M137=0,"",-M138/M137)</f>
        <v>0</v>
      </c>
      <c r="N139" s="58">
        <f>IF(N137=0,"",-N138/N137)</f>
        <v>0</v>
      </c>
      <c r="O139" s="58">
        <f>IF(O137=0,"",-O138/O137)</f>
        <v>0</v>
      </c>
      <c r="P139" s="58">
        <f>IF(P137=0,"",-P138/P137)</f>
        <v>0</v>
      </c>
      <c r="Q139" s="58">
        <f>IF(Q137=0,"",-Q138/Q137)</f>
        <v>0</v>
      </c>
      <c r="R139" s="58">
        <f>IF(R137=0,"",-R138/R137)</f>
        <v>0</v>
      </c>
      <c r="S139" s="58">
        <f>IF(S137=0,"",-S138/S137)</f>
        <v>0</v>
      </c>
      <c r="T139" s="58">
        <f>IF(T137=0,"",-T138/T137)</f>
        <v>0</v>
      </c>
      <c r="U139" s="58">
        <f>IF(U137=0,"",-U138/U137)</f>
        <v>0</v>
      </c>
      <c r="V139" s="58">
        <f>IF(V137=0,"",-V138/V137)</f>
        <v>0</v>
      </c>
      <c r="W139" s="58">
        <f>IF(W137=0,"",-W138/W137)</f>
        <v>0</v>
      </c>
      <c r="X139" s="58">
        <f>IF(X137=0,"",-X138/X137)</f>
        <v>0</v>
      </c>
      <c r="Y139" s="58">
        <f>IF(Y137=0,"",-Y138/Y137)</f>
        <v>0</v>
      </c>
      <c r="Z139" s="58">
        <f>IF(Z137=0,"",-Z138/Z137)</f>
        <v>0</v>
      </c>
      <c r="AA139" s="58">
        <f>IF(AA137=0,"",-AA138/AA137)</f>
        <v>0</v>
      </c>
      <c r="AB139" s="58">
        <f>IF(AB137=0,"",-AB138/AB137)</f>
        <v>0</v>
      </c>
      <c r="AC139" s="58">
        <f>IF(AC137=0,"",-AC138/AC137)</f>
        <v>0</v>
      </c>
      <c r="AD139" s="58">
        <f>IF(AD137=0,"",-AD138/AD137)</f>
        <v>0</v>
      </c>
      <c r="AE139" s="58">
        <f>IF(AE137=0,"",-AE138/AE137)</f>
        <v>0</v>
      </c>
      <c r="AF139" s="41">
        <f>IF(AF137=0,"",-AF138/AF137)</f>
        <v>0</v>
      </c>
      <c r="AG139" s="12">
        <f>IF(AG137=0,"",-AG138/AG137)</f>
        <v>0</v>
      </c>
      <c r="AH139" s="41">
        <f>IF(AH137=0,"",-AH138/AH137)</f>
        <v>0</v>
      </c>
      <c r="AI139" s="41">
        <f>IF(AI137=0,"",-AI138/AI137)</f>
        <v>0</v>
      </c>
      <c r="AJ139" s="41">
        <f>IF(AJ137=0,"",-AJ138/AJ137)</f>
        <v>0</v>
      </c>
      <c r="AK139" s="41">
        <f>IF(AK137=0,"",-AK138/AK137)</f>
        <v>0</v>
      </c>
      <c r="AL139" s="12">
        <f>IF(AL137=0,"",-AL138/AL137)</f>
        <v>0</v>
      </c>
      <c r="AM139" s="41">
        <f>IF(AM137=0,"",-AM138/AM137)</f>
        <v>0</v>
      </c>
      <c r="AN139" s="41">
        <f>IF(AN137=0,"",-AN138/AN137)</f>
        <v>0</v>
      </c>
      <c r="AO139" s="41">
        <f>IF(AO137=0,"",-AO138/AO137)</f>
        <v>0</v>
      </c>
      <c r="AP139" s="41">
        <f>IF(AP137=0,"",-AP138/AP137)</f>
        <v>0</v>
      </c>
      <c r="AQ139" s="12">
        <f>IF(AQ137=0,"",-AQ138/AQ137)</f>
        <v>0</v>
      </c>
      <c r="AR139" s="41">
        <f>IF(AR137=0,"",-AR138/AR137)</f>
        <v>0</v>
      </c>
      <c r="AS139" s="41">
        <f>IF(AS137=0,"",-AS138/AS137)</f>
        <v>0</v>
      </c>
      <c r="AT139" s="41">
        <f>IF(AT137=0,"",-AT138/AT137)</f>
        <v>0</v>
      </c>
      <c r="AU139" s="41">
        <f>IF(AU137=0,"",-AU138/AU137)</f>
        <v>0</v>
      </c>
      <c r="AV139" s="12">
        <f>IF(AV137=0,"",-AV138/AV137)</f>
        <v>0</v>
      </c>
      <c r="AW139" s="41">
        <f>IF(AW137=0,"",-AW138/AW137)</f>
        <v>0</v>
      </c>
      <c r="AX139" s="41">
        <f>IF(AX137=0,"",-AX138/AX137)</f>
        <v>0</v>
      </c>
      <c r="AY139" s="41">
        <f>IF(AY137=0,"",-AY138/AY137)</f>
        <v>0</v>
      </c>
      <c r="AZ139" s="41">
        <f>IF(AZ137=0,"",-AZ138/AZ137)</f>
        <v>0</v>
      </c>
      <c r="BA139" s="12">
        <f>IF(BA137=0,"",-BA138/BA137)</f>
        <v>0</v>
      </c>
      <c r="BB139" s="41">
        <f>IF(BB137=0,"",-BB138/BB137)</f>
        <v>0</v>
      </c>
      <c r="BC139" s="41">
        <f>IF(BC137=0,"",-BC138/BC137)</f>
        <v>0</v>
      </c>
      <c r="BD139" s="41">
        <f>IF(BD137=0,"",-BD138/BD137)</f>
        <v>0</v>
      </c>
      <c r="BE139" s="41">
        <f>IF(BE137=0,"",-BE138/BE137)</f>
        <v>0</v>
      </c>
      <c r="BF139" s="12">
        <f>IF(BF137=0,"",-BF138/BF137)</f>
        <v>0</v>
      </c>
      <c r="BG139" s="41" t="n"/>
      <c r="BH139" s="41" t="n"/>
      <c r="BI139" s="41" t="n"/>
      <c r="BJ139" s="41" t="n"/>
      <c r="BK139" s="12" t="n"/>
      <c r="BL139" s="41" t="n"/>
      <c r="BM139" s="41" t="n"/>
      <c r="BN139" s="41" t="n"/>
      <c r="BO139" s="41" t="n"/>
      <c r="BP139" s="12" t="n"/>
      <c r="BQ139" s="41" t="n"/>
      <c r="BR139" s="41" t="n"/>
      <c r="BS139" s="41" t="n"/>
      <c r="BT139" s="41" t="n"/>
      <c r="BU139" s="12" t="n"/>
      <c r="BV139" s="41" t="n"/>
      <c r="BW139" s="41" t="n"/>
      <c r="BX139" s="41" t="n"/>
      <c r="BY139" s="41" t="n"/>
      <c r="BZ139" s="12" t="n"/>
      <c r="CA139" s="41" t="n"/>
      <c r="CB139" s="41" t="n"/>
      <c r="CC139" s="41" t="n"/>
      <c r="CD139" s="41" t="n"/>
      <c r="CE139" s="12" t="n"/>
      <c r="CF139" s="41" t="n"/>
      <c r="CG139" s="41" t="n"/>
      <c r="CH139" s="41" t="n"/>
      <c r="CI139" s="41" t="n"/>
      <c r="CJ139" s="12" t="n"/>
      <c r="CK139" s="41" t="n"/>
      <c r="CL139" s="41" t="n"/>
      <c r="CM139" s="41" t="n"/>
      <c r="CN139" s="41" t="n"/>
      <c r="CO139" s="12" t="n"/>
      <c r="CP139" s="41" t="n"/>
      <c r="CQ139" s="41" t="n"/>
      <c r="CR139" s="41" t="n"/>
      <c r="CS139" s="41" t="n"/>
      <c r="CT139" s="12" t="n"/>
      <c r="CU139" s="41" t="n"/>
      <c r="CV139" s="41" t="n"/>
      <c r="CW139" s="41" t="n"/>
      <c r="CX139" s="41" t="n"/>
      <c r="CY139" s="12" t="n"/>
    </row>
    <row r="140" hidden="1" outlineLevel="1">
      <c r="C140" s="18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18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 ht="11.25" customHeight="1">
      <c r="C142" s="31" t="inlineStr">
        <is>
          <t>Balance Sheet</t>
        </is>
      </c>
      <c r="D142" s="31" t="n"/>
      <c r="E142" s="31" t="n"/>
      <c r="F142" s="31" t="n"/>
      <c r="G142" s="31" t="n"/>
      <c r="H142" s="31" t="n"/>
      <c r="I142" s="31" t="str">
        <f>I13</f>
        <v>1Q21</v>
      </c>
      <c r="J142" s="31" t="str">
        <f>J13</f>
        <v>2Q21</v>
      </c>
      <c r="K142" s="31" t="str">
        <f>K13</f>
        <v>3Q21</v>
      </c>
      <c r="L142" s="31" t="str">
        <f>L13</f>
        <v>4Q21</v>
      </c>
      <c r="M142" s="31">
        <f>M13</f>
        <v>2021</v>
      </c>
      <c r="N142" s="31" t="str">
        <f>N13</f>
        <v>1Q22</v>
      </c>
      <c r="O142" s="31" t="str">
        <f>O13</f>
        <v>2Q22</v>
      </c>
      <c r="P142" s="31" t="str">
        <f>P13</f>
        <v>3Q22</v>
      </c>
      <c r="Q142" s="31" t="str">
        <f>Q13</f>
        <v>4Q22</v>
      </c>
      <c r="R142" s="31">
        <f>R13</f>
        <v>2022</v>
      </c>
      <c r="S142" s="31" t="str">
        <f>S13</f>
        <v>1Q23</v>
      </c>
      <c r="T142" s="31" t="str">
        <f>T13</f>
        <v>2Q23</v>
      </c>
      <c r="U142" s="31" t="str">
        <f>U13</f>
        <v>3Q23</v>
      </c>
      <c r="V142" s="31" t="str">
        <f>V13</f>
        <v>4Q23</v>
      </c>
      <c r="W142" s="31">
        <f>W13</f>
        <v>2023</v>
      </c>
      <c r="X142" s="31" t="str">
        <f>X13</f>
        <v>1Q24</v>
      </c>
      <c r="Y142" s="31" t="str">
        <f>Y13</f>
        <v>2Q24</v>
      </c>
      <c r="Z142" s="31" t="str">
        <f>Z13</f>
        <v>3Q24</v>
      </c>
      <c r="AA142" s="31" t="str">
        <f>AA13</f>
        <v>4Q24</v>
      </c>
      <c r="AB142" s="31">
        <f>AB13</f>
        <v>2024</v>
      </c>
      <c r="AC142" s="31" t="str">
        <f>AC13</f>
        <v>1Q25</v>
      </c>
      <c r="AD142" s="31" t="str">
        <f>AD13</f>
        <v>2Q25</v>
      </c>
      <c r="AE142" s="31" t="str">
        <f>AE13</f>
        <v>3Q25</v>
      </c>
      <c r="AF142" s="31" t="str">
        <f>AF13</f>
        <v>4Q25</v>
      </c>
      <c r="AG142" s="31">
        <f>AG13</f>
        <v>2025</v>
      </c>
      <c r="AH142" s="31" t="str">
        <f>AH13</f>
        <v>1Q26</v>
      </c>
      <c r="AI142" s="31" t="str">
        <f>AI13</f>
        <v>2Q26</v>
      </c>
      <c r="AJ142" s="31" t="str">
        <f>AJ13</f>
        <v>3Q26</v>
      </c>
      <c r="AK142" s="31" t="str">
        <f>AK13</f>
        <v>4Q26</v>
      </c>
      <c r="AL142" s="31">
        <f>AL13</f>
        <v>2026</v>
      </c>
      <c r="AM142" s="31" t="str">
        <f>AM13</f>
        <v>1Q27</v>
      </c>
      <c r="AN142" s="31" t="str">
        <f>AN13</f>
        <v>2Q27</v>
      </c>
      <c r="AO142" s="31" t="str">
        <f>AO13</f>
        <v>3Q27</v>
      </c>
      <c r="AP142" s="31" t="str">
        <f>AP13</f>
        <v>4Q27</v>
      </c>
      <c r="AQ142" s="31">
        <f>AQ13</f>
        <v>2027</v>
      </c>
      <c r="AR142" s="31" t="str">
        <f>AR13</f>
        <v>1Q28</v>
      </c>
      <c r="AS142" s="31" t="str">
        <f>AS13</f>
        <v>2Q28</v>
      </c>
      <c r="AT142" s="31" t="str">
        <f>AT13</f>
        <v>3Q28</v>
      </c>
      <c r="AU142" s="31" t="str">
        <f>AU13</f>
        <v>4Q28</v>
      </c>
      <c r="AV142" s="31">
        <f>AV13</f>
        <v>2028</v>
      </c>
      <c r="AW142" s="31" t="str">
        <f>AW13</f>
        <v>1Q29</v>
      </c>
      <c r="AX142" s="31" t="str">
        <f>AX13</f>
        <v>2Q29</v>
      </c>
      <c r="AY142" s="31" t="str">
        <f>AY13</f>
        <v>3Q29</v>
      </c>
      <c r="AZ142" s="31" t="str">
        <f>AZ13</f>
        <v>4Q29</v>
      </c>
      <c r="BA142" s="31">
        <f>BA13</f>
        <v>2029</v>
      </c>
      <c r="BB142" s="31" t="str">
        <f>BB13</f>
        <v>1Q30</v>
      </c>
      <c r="BC142" s="31" t="str">
        <f>BC13</f>
        <v>2Q30</v>
      </c>
      <c r="BD142" s="31" t="str">
        <f>BD13</f>
        <v>3Q30</v>
      </c>
      <c r="BE142" s="31" t="str">
        <f>BE13</f>
        <v>4Q30</v>
      </c>
      <c r="BF142" s="31">
        <f>BF13</f>
        <v>2030</v>
      </c>
      <c r="BG142" s="31" t="n"/>
      <c r="BH142" s="31" t="n"/>
      <c r="BI142" s="31" t="n"/>
      <c r="BJ142" s="31" t="n"/>
      <c r="BK142" s="31" t="n"/>
      <c r="BL142" s="31" t="n"/>
      <c r="BM142" s="31" t="n"/>
      <c r="BN142" s="31" t="n"/>
      <c r="BO142" s="31" t="n"/>
      <c r="BP142" s="31" t="n"/>
      <c r="BQ142" s="31" t="n"/>
      <c r="BR142" s="31" t="n"/>
      <c r="BS142" s="31" t="n"/>
      <c r="BT142" s="31" t="n"/>
      <c r="BU142" s="31" t="n"/>
      <c r="BV142" s="31" t="n"/>
      <c r="BW142" s="31" t="n"/>
      <c r="BX142" s="31" t="n"/>
      <c r="BY142" s="31" t="n"/>
      <c r="BZ142" s="31" t="n"/>
      <c r="CA142" s="31" t="n"/>
      <c r="CB142" s="31" t="n"/>
      <c r="CC142" s="31" t="n"/>
      <c r="CD142" s="31" t="n"/>
      <c r="CE142" s="31" t="n"/>
      <c r="CF142" s="31" t="n"/>
      <c r="CG142" s="31" t="n"/>
      <c r="CH142" s="31" t="n"/>
      <c r="CI142" s="31" t="n"/>
      <c r="CJ142" s="31" t="n"/>
      <c r="CK142" s="31" t="n"/>
      <c r="CL142" s="31" t="n"/>
      <c r="CM142" s="31" t="n"/>
      <c r="CN142" s="31" t="n"/>
      <c r="CO142" s="31" t="n"/>
      <c r="CP142" s="31" t="n"/>
      <c r="CQ142" s="31" t="n"/>
      <c r="CR142" s="31" t="n"/>
      <c r="CS142" s="31" t="n"/>
      <c r="CT142" s="31" t="n"/>
      <c r="CU142" s="31" t="n"/>
      <c r="CV142" s="31" t="n"/>
      <c r="CW142" s="31" t="n"/>
      <c r="CX142" s="31" t="n"/>
      <c r="CY142" s="31" t="n"/>
    </row>
    <row r="143">
      <c r="C143" s="18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>
      <c r="C144" s="13" t="inlineStr">
        <is>
          <t>Cash and equivalents (inc. investment securities)</t>
        </is>
      </c>
      <c r="D144" s="46" t="n"/>
      <c r="E144" s="46" t="n"/>
      <c r="F144" s="46" t="n"/>
      <c r="G144" s="46" t="n"/>
      <c r="H144" s="12" t="n"/>
      <c r="I144" s="46">
        <f>'Inputs (2)'!D15</f>
        <v>351.55</v>
      </c>
      <c r="J144" s="46">
        <f>'Inputs (2)'!E15</f>
        <v>265.616</v>
      </c>
      <c r="K144" s="46">
        <f>'Inputs (2)'!F15</f>
        <v>210.74</v>
      </c>
      <c r="L144" s="46">
        <f>'Inputs (2)'!G15</f>
        <v>401.375</v>
      </c>
      <c r="M144" s="12">
        <f>'Inputs (2)'!H15</f>
        <v>401.375</v>
      </c>
      <c r="N144" s="46">
        <f>'Inputs (2)'!I15</f>
        <v>274.885</v>
      </c>
      <c r="O144" s="46">
        <f>'Inputs (2)'!J15</f>
        <v>61.846</v>
      </c>
      <c r="P144" s="46">
        <f>'Inputs (2)'!K15</f>
        <v>46.907</v>
      </c>
      <c r="Q144" s="46">
        <f>'Inputs (2)'!L15</f>
        <v>240.797</v>
      </c>
      <c r="R144" s="12">
        <f>'Inputs (2)'!M15</f>
        <v>240.797</v>
      </c>
      <c r="S144" s="46">
        <f>'Inputs (2)'!N15</f>
        <v>192.927</v>
      </c>
      <c r="T144" s="46">
        <f>'Inputs (2)'!O15</f>
        <v>217.733</v>
      </c>
      <c r="U144" s="46">
        <f>'Inputs (2)'!P15</f>
        <v>263.359</v>
      </c>
      <c r="V144" s="46">
        <f>'Inputs (2)'!Q15</f>
        <v>323.034</v>
      </c>
      <c r="W144" s="12">
        <f>'Inputs (2)'!R15</f>
        <v>323.034</v>
      </c>
      <c r="X144" s="46">
        <f>'Inputs (2)'!S15</f>
        <v>272.932</v>
      </c>
      <c r="Y144" s="46">
        <f>'Inputs (2)'!T15</f>
        <v>309.587</v>
      </c>
      <c r="Z144" s="46">
        <f>'Inputs (2)'!U15</f>
        <v>794.179</v>
      </c>
      <c r="AA144" s="46">
        <f>'Inputs (2)'!V15</f>
        <v>601.823</v>
      </c>
      <c r="AB144" s="12">
        <f>'Inputs (2)'!W15</f>
        <v>601.823</v>
      </c>
      <c r="AC144" s="46">
        <f>'Inputs (2)'!X15</f>
        <v>549.637</v>
      </c>
      <c r="AD144" s="46">
        <f>'Inputs (2)'!Y15</f>
        <v>1012.91</v>
      </c>
      <c r="AE144" s="46">
        <f>'Inputs (2)'!Z15</f>
        <v>1058.856</v>
      </c>
      <c r="AF144" s="46">
        <f>'Inputs (2)'!AA15</f>
        <v>922.369</v>
      </c>
      <c r="AG144" s="12">
        <f>'Inputs (2)'!AB15</f>
        <v>922.369</v>
      </c>
      <c r="AH144" s="12">
        <f>'Inputs (2)'!AC15</f>
        <v>870.114</v>
      </c>
      <c r="AI144" s="12">
        <f>'Inputs (2)'!AD15</f>
        <v>1544.303</v>
      </c>
      <c r="AJ144" s="12">
        <f>AJ273-SUM(AJ145,AJ149,AJ153,AJ154,AJ155,AJ161,AJ166,AJ176,AJ179,AJ180,AJ189)</f>
        <v>1089.11871444844</v>
      </c>
      <c r="AK144" s="12">
        <f>AK273-SUM(AK145,AK149,AK153,AK154,AK155,AK161,AK166,AK176,AK179,AK180,AK189)</f>
        <v>460.362797447562</v>
      </c>
      <c r="AL144" s="12">
        <f>AK144</f>
        <v>460.362797447562</v>
      </c>
      <c r="AM144" s="12">
        <f>AM273-SUM(AM145,AM149,AM153,AM154,AM155,AM161,AM166,AM176,AM179,AM180,AM189)</f>
        <v>-358.016434818246</v>
      </c>
      <c r="AN144" s="12">
        <f>AN273-SUM(AN145,AN149,AN153,AN154,AN155,AN161,AN166,AN176,AN179,AN180,AN189)</f>
        <v>-2113.18518044386</v>
      </c>
      <c r="AO144" s="12">
        <f>AO273-SUM(AO145,AO149,AO153,AO154,AO155,AO161,AO166,AO176,AO179,AO180,AO189)</f>
        <v>-2691.38846182171</v>
      </c>
      <c r="AP144" s="12">
        <f>AP273-SUM(AP145,AP149,AP153,AP154,AP155,AP161,AP166,AP176,AP179,AP180,AP189)</f>
        <v>-3126.2032956127</v>
      </c>
      <c r="AQ144" s="12">
        <f>AP144</f>
        <v>-3126.2032956127</v>
      </c>
      <c r="AR144" s="12">
        <f>AR273-SUM(AR145,AR149,AR153,AR154,AR155,AR161,AR166,AR176,AR179,AR180,AR189)</f>
        <v>-3652.25080640089</v>
      </c>
      <c r="AS144" s="12">
        <f>AS273-SUM(AS145,AS149,AS153,AS154,AS155,AS161,AS166,AS176,AS179,AS180,AS189)</f>
        <v>-5252.35488266216</v>
      </c>
      <c r="AT144" s="12">
        <f>AT273-SUM(AT145,AT149,AT153,AT154,AT155,AT161,AT166,AT176,AT179,AT180,AT189)</f>
        <v>-4878.66622712613</v>
      </c>
      <c r="AU144" s="12">
        <f>AU273-SUM(AU145,AU149,AU153,AU154,AU155,AU161,AU166,AU176,AU179,AU180,AU189)</f>
        <v>-3845.10918959155</v>
      </c>
      <c r="AV144" s="12">
        <f>AU144</f>
        <v>-3845.10918959155</v>
      </c>
      <c r="AW144" s="12">
        <f>AW273-SUM(AW145,AW149,AW153,AW154,AW155,AW161,AW166,AW176,AW179,AW180,AW189)</f>
        <v>-2324.0111085971</v>
      </c>
      <c r="AX144" s="12">
        <f>AX273-SUM(AX145,AX149,AX153,AX154,AX155,AX161,AX166,AX176,AX179,AX180,AX189)</f>
        <v>-1417.90179068926</v>
      </c>
      <c r="AY144" s="12">
        <f>AY273-SUM(AY145,AY149,AY153,AY154,AY155,AY161,AY166,AY176,AY179,AY180,AY189)</f>
        <v>3426.5624837769</v>
      </c>
      <c r="AZ144" s="12">
        <f>AZ273-SUM(AZ145,AZ149,AZ153,AZ154,AZ155,AZ161,AZ166,AZ176,AZ179,AZ180,AZ189)</f>
        <v>10852.9931080855</v>
      </c>
      <c r="BA144" s="12">
        <f>AZ144</f>
        <v>10852.9931080855</v>
      </c>
      <c r="BB144" s="12">
        <f>BB273-SUM(BB145,BB149,BB153,BB154,BB155,BB161,BB166,BB176,BB179,BB180,BB189)</f>
        <v>21167.8887196124</v>
      </c>
      <c r="BC144" s="12">
        <f>BC273-SUM(BC145,BC149,BC153,BC154,BC155,BC161,BC166,BC176,BC179,BC180,BC189)</f>
        <v>33751.1278017671</v>
      </c>
      <c r="BD144" s="12">
        <f>BD273-SUM(BD145,BD149,BD153,BD154,BD155,BD161,BD166,BD176,BD179,BD180,BD189)</f>
        <v>56088.1437677577</v>
      </c>
      <c r="BE144" s="12">
        <f>BE273-SUM(BE145,BE149,BE153,BE154,BE155,BE161,BE166,BE176,BE179,BE180,BE189)</f>
        <v>87939.4472441099</v>
      </c>
      <c r="BF144" s="12">
        <f>BE144</f>
        <v>87939.4472441099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>
      <c r="C145" s="14" t="inlineStr">
        <is>
          <t>Accounts receivable</t>
        </is>
      </c>
      <c r="D145" s="46" t="n"/>
      <c r="E145" s="46" t="n"/>
      <c r="F145" s="46" t="n"/>
      <c r="G145" s="46" t="n"/>
      <c r="H145" s="12" t="n"/>
      <c r="I145" s="46">
        <f>'Inputs (2)'!D16</f>
        <v>129.652</v>
      </c>
      <c r="J145" s="46">
        <f>'Inputs (2)'!E16</f>
        <v>147.827</v>
      </c>
      <c r="K145" s="46">
        <f>'Inputs (2)'!F16</f>
        <v>131.016</v>
      </c>
      <c r="L145" s="46">
        <f>'Inputs (2)'!G16</f>
        <v>163.362</v>
      </c>
      <c r="M145" s="12">
        <f>'Inputs (2)'!H16</f>
        <v>163.362</v>
      </c>
      <c r="N145" s="46">
        <f>'Inputs (2)'!I16</f>
        <v>166.673</v>
      </c>
      <c r="O145" s="46">
        <f>'Inputs (2)'!J16</f>
        <v>249.356</v>
      </c>
      <c r="P145" s="46">
        <f>'Inputs (2)'!K16</f>
        <v>284.134</v>
      </c>
      <c r="Q145" s="46">
        <f>'Inputs (2)'!L16</f>
        <v>258.897</v>
      </c>
      <c r="R145" s="12">
        <f>'Inputs (2)'!M16</f>
        <v>258.897</v>
      </c>
      <c r="S145" s="46">
        <f>'Inputs (2)'!N16</f>
        <v>242.769</v>
      </c>
      <c r="T145" s="46">
        <f>'Inputs (2)'!O16</f>
        <v>216.24</v>
      </c>
      <c r="U145" s="46">
        <f>'Inputs (2)'!P16</f>
        <v>236.505</v>
      </c>
      <c r="V145" s="46">
        <f>'Inputs (2)'!Q16</f>
        <v>184.168</v>
      </c>
      <c r="W145" s="12">
        <f>'Inputs (2)'!R16</f>
        <v>184.168</v>
      </c>
      <c r="X145" s="46">
        <f>'Inputs (2)'!S16</f>
        <v>207.49</v>
      </c>
      <c r="Y145" s="46">
        <f>'Inputs (2)'!T16</f>
        <v>209.745</v>
      </c>
      <c r="Z145" s="46">
        <f>'Inputs (2)'!U16</f>
        <v>212.121</v>
      </c>
      <c r="AA145" s="46">
        <f>'Inputs (2)'!V16</f>
        <v>194.288</v>
      </c>
      <c r="AB145" s="12">
        <f>'Inputs (2)'!W16</f>
        <v>194.288</v>
      </c>
      <c r="AC145" s="46">
        <f>'Inputs (2)'!X16</f>
        <v>210.775</v>
      </c>
      <c r="AD145" s="46">
        <f>'Inputs (2)'!Y16</f>
        <v>229.449</v>
      </c>
      <c r="AE145" s="46">
        <f>'Inputs (2)'!Z16</f>
        <v>261.497</v>
      </c>
      <c r="AF145" s="46">
        <f>'Inputs (2)'!AA16</f>
        <v>281.694</v>
      </c>
      <c r="AG145" s="12">
        <f>'Inputs (2)'!AB16</f>
        <v>281.694</v>
      </c>
      <c r="AH145" s="12">
        <f>'Inputs (2)'!AC16</f>
        <v>311.671</v>
      </c>
      <c r="AI145" s="12">
        <f>'Inputs (2)'!AD16</f>
        <v>822.886</v>
      </c>
      <c r="AJ145" s="12">
        <f>(AJ146/(AJ$5-AI$5))*AJ$15</f>
        <v>388.974899195941</v>
      </c>
      <c r="AK145" s="12">
        <f>(AK146/(AK$5-AJ$5))*AK$15</f>
        <v>365.805253981782</v>
      </c>
      <c r="AL145" s="12">
        <f>AK145</f>
        <v>365.805253981782</v>
      </c>
      <c r="AM145" s="12">
        <f>(AM146/(AM$5-AL$5))*AM$15</f>
        <v>468.393656439541</v>
      </c>
      <c r="AN145" s="12">
        <f>(AN146/(AN$5-AM$5))*AN$15</f>
        <v>871.481413656226</v>
      </c>
      <c r="AO145" s="12">
        <f>(AO146/(AO$5-AN$5))*AO$15</f>
        <v>543.84273116459</v>
      </c>
      <c r="AP145" s="12">
        <f>(AP146/(AP$5-AO$5))*AP$15</f>
        <v>511.448242061489</v>
      </c>
      <c r="AQ145" s="12">
        <f>AP145</f>
        <v>511.448242061489</v>
      </c>
      <c r="AR145" s="12">
        <f>(AR146/(AR$5-AQ$5))*AR$15</f>
        <v>645.368818308359</v>
      </c>
      <c r="AS145" s="12">
        <f>(AS146/(AS$5-AR$5))*AS$15</f>
        <v>1214.09867619491</v>
      </c>
      <c r="AT145" s="12">
        <f>(AT146/(AT$5-AS$5))*AT$15</f>
        <v>757.650971803297</v>
      </c>
      <c r="AU145" s="12">
        <f>(AU146/(AU$5-AT$5))*AU$15</f>
        <v>712.520799524489</v>
      </c>
      <c r="AV145" s="12">
        <f>AU145</f>
        <v>712.520799524489</v>
      </c>
      <c r="AW145" s="12">
        <f>(AW146/(AW$5-AV$5))*AW$15</f>
        <v>905.81858760355</v>
      </c>
      <c r="AX145" s="12">
        <f>(AX146/(AX$5-AW$5))*AX$15</f>
        <v>1685.34319879868</v>
      </c>
      <c r="AY145" s="12">
        <f>(AY146/(AY$5-AX$5))*AY$15</f>
        <v>1051.72827994</v>
      </c>
      <c r="AZ145" s="12">
        <f>(AZ146/(AZ$5-AY$5))*AZ$15</f>
        <v>989.081124151081</v>
      </c>
      <c r="BA145" s="12">
        <f>AZ145</f>
        <v>989.081124151081</v>
      </c>
      <c r="BB145" s="12">
        <f>(BB146/(BB$5-BA$5))*BB$15</f>
        <v>1252.87710138189</v>
      </c>
      <c r="BC145" s="12">
        <f>(BC146/(BC$5-BB$5))*BC$15</f>
        <v>2331.07150884469</v>
      </c>
      <c r="BD145" s="12">
        <f>(BD146/(BD$5-BC$5))*BD$15</f>
        <v>1454.69114549601</v>
      </c>
      <c r="BE145" s="12">
        <f>(BE146/(BE$5-BD$5))*BE$15</f>
        <v>1368.04113849815</v>
      </c>
      <c r="BF145" s="12">
        <f>BE145</f>
        <v>1368.04113849815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inlineStr">
        <is>
          <t>DSO</t>
        </is>
      </c>
      <c r="D146" s="12" t="n"/>
      <c r="E146" s="12" t="n"/>
      <c r="F146" s="12" t="n"/>
      <c r="G146" s="12" t="n"/>
      <c r="H146" s="12" t="n"/>
      <c r="I146" s="12">
        <f>IFERROR((I145/I$15)*(I$5-H$5),"")</f>
        <v>133.166105563481</v>
      </c>
      <c r="J146" s="12">
        <f>IFERROR((J145/J$15)*(J$5-I$5),"")</f>
        <v>145.136394532135</v>
      </c>
      <c r="K146" s="12">
        <f>IFERROR((K145/K$15)*(K$5-J$5),"")</f>
        <v>120.726675413908</v>
      </c>
      <c r="L146" s="12">
        <f>IFERROR((L145/L$15)*(L$5-K$5),"")</f>
        <v>96.7367005014064</v>
      </c>
      <c r="M146" s="12" t="n"/>
      <c r="N146" s="12">
        <f>IFERROR((N145/N$15)*(N$5-M$5),"")</f>
        <v>151.175800697398</v>
      </c>
      <c r="O146" s="12">
        <f>IFERROR((O145/O$15)*(O$5-N$5),"")</f>
        <v>150.661275329987</v>
      </c>
      <c r="P146" s="12">
        <f>IFERROR((P145/P$15)*(P$5-O$5),"")</f>
        <v>132.572906576325</v>
      </c>
      <c r="Q146" s="12">
        <f>IFERROR((Q145/Q$15)*(Q$5-P$5),"")</f>
        <v>132.909195408713</v>
      </c>
      <c r="R146" s="12" t="n"/>
      <c r="S146" s="12">
        <f>IFERROR((S145/S$15)*(S$5-R$5),"")</f>
        <v>115.699171278032</v>
      </c>
      <c r="T146" s="12">
        <f>IFERROR((T145/T$15)*(T$5-S$5),"")</f>
        <v>100.271803103264</v>
      </c>
      <c r="U146" s="12">
        <f>IFERROR((U145/U$15)*(U$5-T$5),"")</f>
        <v>112.972860710596</v>
      </c>
      <c r="V146" s="12">
        <f>IFERROR((V145/V$15)*(V$5-U$5),"")</f>
        <v>85.3200662681847</v>
      </c>
      <c r="W146" s="12" t="n"/>
      <c r="X146" s="12">
        <f>IFERROR((X145/X$15)*(X$5-W$5),"")</f>
        <v>90.2794698440324</v>
      </c>
      <c r="Y146" s="12">
        <f>IFERROR((Y145/Y$15)*(Y$5-X$5),"")</f>
        <v>88.756388138407</v>
      </c>
      <c r="Z146" s="12">
        <f>IFERROR((Z145/Z$15)*(Z$5-Y$5),"")</f>
        <v>78.3507391377663</v>
      </c>
      <c r="AA146" s="12">
        <f>IFERROR((AA145/AA$15)*(AA$5-Z$5),"")</f>
        <v>77.6456564989618</v>
      </c>
      <c r="AB146" s="12" t="n"/>
      <c r="AC146" s="12">
        <f>IFERROR((AC145/AC$15)*(AC$5-AB$5),"")</f>
        <v>78.7780315614618</v>
      </c>
      <c r="AD146" s="12">
        <f>IFERROR((AD145/AD$15)*(AD$5-AC$5),"")</f>
        <v>79.0361873109724</v>
      </c>
      <c r="AE146" s="12">
        <f>IFERROR((AE145/AE$15)*(AE$5-AD$5),"")</f>
        <v>85.599444938623</v>
      </c>
      <c r="AF146" s="11">
        <f>IFERROR((AF145/AF$15)*(AF$5-AE$5),"")</f>
        <v>98.0513262885486</v>
      </c>
      <c r="AG146" s="12" t="n"/>
      <c r="AH146" s="11">
        <f>IFERROR((AH145/AH$15)*(AH$5-AG$5),"")</f>
        <v>84.7249272070461</v>
      </c>
      <c r="AI146" s="11">
        <f>IFERROR((AI145/AI$15)*(AI$5-AH$5),"")</f>
        <v>120.228480691546</v>
      </c>
      <c r="AJ146" s="11">
        <f>Control!$B$25</f>
        <v>91.0697329996997</v>
      </c>
      <c r="AK146" s="11">
        <f>Control!$B$25</f>
        <v>91.0697329996997</v>
      </c>
      <c r="AL146" s="12" t="n"/>
      <c r="AM146" s="11">
        <f>Control!$C$25</f>
        <v>91.0697329996997</v>
      </c>
      <c r="AN146" s="11">
        <f>Control!$C$25</f>
        <v>91.0697329996997</v>
      </c>
      <c r="AO146" s="11">
        <f>Control!$C$25</f>
        <v>91.0697329996997</v>
      </c>
      <c r="AP146" s="11">
        <f>Control!$C$25</f>
        <v>91.0697329996997</v>
      </c>
      <c r="AQ146" s="12" t="n"/>
      <c r="AR146" s="11">
        <f>Control!$D$25</f>
        <v>91.0697329996997</v>
      </c>
      <c r="AS146" s="11">
        <f>Control!$D$25</f>
        <v>91.0697329996997</v>
      </c>
      <c r="AT146" s="11">
        <f>Control!$D$25</f>
        <v>91.0697329996997</v>
      </c>
      <c r="AU146" s="11">
        <f>Control!$D$25</f>
        <v>91.0697329996997</v>
      </c>
      <c r="AV146" s="12" t="n"/>
      <c r="AW146" s="11">
        <f>Control!$E$25</f>
        <v>91.0697329996997</v>
      </c>
      <c r="AX146" s="11">
        <f>Control!$E$25</f>
        <v>91.0697329996997</v>
      </c>
      <c r="AY146" s="11">
        <f>Control!$E$25</f>
        <v>91.0697329996997</v>
      </c>
      <c r="AZ146" s="11">
        <f>Control!$E$25</f>
        <v>91.0697329996997</v>
      </c>
      <c r="BA146" s="12" t="n"/>
      <c r="BB146" s="11">
        <f>Control!$F$25</f>
        <v>91.0697329996997</v>
      </c>
      <c r="BC146" s="11">
        <f>Control!$F$25</f>
        <v>91.0697329996997</v>
      </c>
      <c r="BD146" s="11">
        <f>Control!$F$25</f>
        <v>91.0697329996997</v>
      </c>
      <c r="BE146" s="11">
        <f>Control!$F$25</f>
        <v>91.0697329996997</v>
      </c>
      <c r="BF146" s="12" t="n"/>
      <c r="BG146" s="11" t="n"/>
      <c r="BH146" s="11" t="n"/>
      <c r="BI146" s="11" t="n"/>
      <c r="BJ146" s="11" t="n"/>
      <c r="BK146" s="12" t="n"/>
      <c r="BL146" s="11" t="n"/>
      <c r="BM146" s="11" t="n"/>
      <c r="BN146" s="11" t="n"/>
      <c r="BO146" s="11" t="n"/>
      <c r="BP146" s="12" t="n"/>
      <c r="BQ146" s="11" t="n"/>
      <c r="BR146" s="11" t="n"/>
      <c r="BS146" s="11" t="n"/>
      <c r="BT146" s="11" t="n"/>
      <c r="BU146" s="12" t="n"/>
      <c r="BV146" s="11" t="n"/>
      <c r="BW146" s="11" t="n"/>
      <c r="BX146" s="11" t="n"/>
      <c r="BY146" s="11" t="n"/>
      <c r="BZ146" s="12" t="n"/>
      <c r="CA146" s="11" t="n"/>
      <c r="CB146" s="11" t="n"/>
      <c r="CC146" s="11" t="n"/>
      <c r="CD146" s="11" t="n"/>
      <c r="CE146" s="12" t="n"/>
      <c r="CF146" s="11" t="n"/>
      <c r="CG146" s="11" t="n"/>
      <c r="CH146" s="11" t="n"/>
      <c r="CI146" s="11" t="n"/>
      <c r="CJ146" s="12" t="n"/>
      <c r="CK146" s="11" t="n"/>
      <c r="CL146" s="11" t="n"/>
      <c r="CM146" s="11" t="n"/>
      <c r="CN146" s="11" t="n"/>
      <c r="CO146" s="12" t="n"/>
      <c r="CP146" s="11" t="n"/>
      <c r="CQ146" s="11" t="n"/>
      <c r="CR146" s="11" t="n"/>
      <c r="CS146" s="11" t="n"/>
      <c r="CT146" s="12" t="n"/>
      <c r="CU146" s="11" t="n"/>
      <c r="CV146" s="11" t="n"/>
      <c r="CW146" s="11" t="n"/>
      <c r="CX146" s="11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collapsed="1">
      <c r="C149" s="14" t="inlineStr">
        <is>
          <t>Inventories</t>
        </is>
      </c>
      <c r="D149" s="46" t="n"/>
      <c r="E149" s="46" t="n"/>
      <c r="F149" s="46" t="n"/>
      <c r="G149" s="46" t="n"/>
      <c r="H149" s="12" t="n"/>
      <c r="I149" s="46">
        <f>'Inputs (2)'!D17</f>
        <v>0</v>
      </c>
      <c r="J149" s="46">
        <f>'Inputs (2)'!E17</f>
        <v>0</v>
      </c>
      <c r="K149" s="46">
        <f>'Inputs (2)'!F17</f>
        <v>0</v>
      </c>
      <c r="L149" s="46">
        <f>'Inputs (2)'!G17</f>
        <v>0</v>
      </c>
      <c r="M149" s="12">
        <f>'Inputs (2)'!H17</f>
        <v>0</v>
      </c>
      <c r="N149" s="46">
        <f>'Inputs (2)'!I17</f>
        <v>0</v>
      </c>
      <c r="O149" s="46">
        <f>'Inputs (2)'!J17</f>
        <v>0</v>
      </c>
      <c r="P149" s="46">
        <f>'Inputs (2)'!K17</f>
        <v>0</v>
      </c>
      <c r="Q149" s="46">
        <f>'Inputs (2)'!L17</f>
        <v>0</v>
      </c>
      <c r="R149" s="12">
        <f>'Inputs (2)'!M17</f>
        <v>0</v>
      </c>
      <c r="S149" s="46">
        <f>'Inputs (2)'!N17</f>
        <v>0</v>
      </c>
      <c r="T149" s="46">
        <f>'Inputs (2)'!O17</f>
        <v>0</v>
      </c>
      <c r="U149" s="46">
        <f>'Inputs (2)'!P17</f>
        <v>0</v>
      </c>
      <c r="V149" s="46">
        <f>'Inputs (2)'!Q17</f>
        <v>0</v>
      </c>
      <c r="W149" s="12">
        <f>'Inputs (2)'!R17</f>
        <v>0</v>
      </c>
      <c r="X149" s="46">
        <f>'Inputs (2)'!S17</f>
        <v>0</v>
      </c>
      <c r="Y149" s="46">
        <f>'Inputs (2)'!T17</f>
        <v>0</v>
      </c>
      <c r="Z149" s="46">
        <f>'Inputs (2)'!U17</f>
        <v>0</v>
      </c>
      <c r="AA149" s="46">
        <f>'Inputs (2)'!V17</f>
        <v>0</v>
      </c>
      <c r="AB149" s="12">
        <f>'Inputs (2)'!W17</f>
        <v>0</v>
      </c>
      <c r="AC149" s="46">
        <f>'Inputs (2)'!X17</f>
        <v>0</v>
      </c>
      <c r="AD149" s="46">
        <f>'Inputs (2)'!Y17</f>
        <v>0</v>
      </c>
      <c r="AE149" s="46">
        <f>'Inputs (2)'!Z17</f>
        <v>0</v>
      </c>
      <c r="AF149" s="46">
        <f>'Inputs (2)'!AA17</f>
        <v>0</v>
      </c>
      <c r="AG149" s="12">
        <f>'Inputs (2)'!AB17</f>
        <v>0</v>
      </c>
      <c r="AH149" s="12">
        <f>'Inputs (2)'!AC17</f>
        <v>0</v>
      </c>
      <c r="AI149" s="12">
        <f>'Inputs (2)'!AD17</f>
        <v>0</v>
      </c>
      <c r="AJ149" s="12">
        <f>(AJ150/(AJ$5-AI$5))*-AJ$54</f>
        <v>0</v>
      </c>
      <c r="AK149" s="12">
        <f>(AK150/(AK$5-AJ$5))*-AK$54</f>
        <v>0</v>
      </c>
      <c r="AL149" s="12">
        <f>AK149</f>
        <v>0</v>
      </c>
      <c r="AM149" s="12">
        <f>(AM150/(AM$5-AL$5))*-AM$54</f>
        <v>0</v>
      </c>
      <c r="AN149" s="12">
        <f>(AN150/(AN$5-AM$5))*-AN$54</f>
        <v>0</v>
      </c>
      <c r="AO149" s="12">
        <f>(AO150/(AO$5-AN$5))*-AO$54</f>
        <v>0</v>
      </c>
      <c r="AP149" s="12">
        <f>(AP150/(AP$5-AO$5))*-AP$54</f>
        <v>0</v>
      </c>
      <c r="AQ149" s="12">
        <f>AP149</f>
        <v>0</v>
      </c>
      <c r="AR149" s="12">
        <f>(AR150/(AR$5-AQ$5))*-AR$54</f>
        <v>0</v>
      </c>
      <c r="AS149" s="12">
        <f>(AS150/(AS$5-AR$5))*-AS$54</f>
        <v>0</v>
      </c>
      <c r="AT149" s="12">
        <f>(AT150/(AT$5-AS$5))*-AT$54</f>
        <v>0</v>
      </c>
      <c r="AU149" s="12">
        <f>(AU150/(AU$5-AT$5))*-AU$54</f>
        <v>0</v>
      </c>
      <c r="AV149" s="12">
        <f>AU149</f>
        <v>0</v>
      </c>
      <c r="AW149" s="12">
        <f>(AW150/(AW$5-AV$5))*-AW$54</f>
        <v>0</v>
      </c>
      <c r="AX149" s="12">
        <f>(AX150/(AX$5-AW$5))*-AX$54</f>
        <v>0</v>
      </c>
      <c r="AY149" s="12">
        <f>(AY150/(AY$5-AX$5))*-AY$54</f>
        <v>0</v>
      </c>
      <c r="AZ149" s="12">
        <f>(AZ150/(AZ$5-AY$5))*-AZ$54</f>
        <v>0</v>
      </c>
      <c r="BA149" s="12">
        <f>AZ149</f>
        <v>0</v>
      </c>
      <c r="BB149" s="12">
        <f>(BB150/(BB$5-BA$5))*-BB$54</f>
        <v>0</v>
      </c>
      <c r="BC149" s="12">
        <f>(BC150/(BC$5-BB$5))*-BC$54</f>
        <v>0</v>
      </c>
      <c r="BD149" s="12">
        <f>(BD150/(BD$5-BC$5))*-BD$54</f>
        <v>0</v>
      </c>
      <c r="BE149" s="12">
        <f>(BE150/(BE$5-BD$5))*-BE$54</f>
        <v>0</v>
      </c>
      <c r="BF149" s="12">
        <f>BE149</f>
        <v>0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inlineStr">
        <is>
          <t>DIO</t>
        </is>
      </c>
      <c r="D150" s="12" t="n"/>
      <c r="E150" s="12" t="n"/>
      <c r="F150" s="12" t="n"/>
      <c r="G150" s="12" t="n"/>
      <c r="H150" s="12" t="n"/>
      <c r="I150" s="12">
        <f>IFERROR(((I149/I$54)*(I$5-H$5))*-1,"")</f>
        <v>0</v>
      </c>
      <c r="J150" s="12">
        <f>IFERROR(((J149/J$54)*(J$5-I$5))*-1,"")</f>
        <v>0</v>
      </c>
      <c r="K150" s="12">
        <f>IFERROR(((K149/K$54)*(K$5-J$5))*-1,"")</f>
        <v>0</v>
      </c>
      <c r="L150" s="12">
        <f>IFERROR(((L149/L$54)*(L$5-K$5))*-1,"")</f>
        <v>0</v>
      </c>
      <c r="M150" s="12" t="n"/>
      <c r="N150" s="12">
        <f>IFERROR(((N149/N$54)*(N$5-M$5))*-1,"")</f>
        <v>0</v>
      </c>
      <c r="O150" s="12">
        <f>IFERROR(((O149/O$54)*(O$5-N$5))*-1,"")</f>
        <v>0</v>
      </c>
      <c r="P150" s="12">
        <f>IFERROR(((P149/P$54)*(P$5-O$5))*-1,"")</f>
        <v>0</v>
      </c>
      <c r="Q150" s="12">
        <f>IFERROR(((Q149/Q$54)*(Q$5-P$5))*-1,"")</f>
        <v>0</v>
      </c>
      <c r="R150" s="12" t="n"/>
      <c r="S150" s="12">
        <f>IFERROR(((S149/S$54)*(S$5-R$5))*-1,"")</f>
        <v>0</v>
      </c>
      <c r="T150" s="12">
        <f>IFERROR(((T149/T$54)*(T$5-S$5))*-1,"")</f>
        <v>0</v>
      </c>
      <c r="U150" s="12">
        <f>IFERROR(((U149/U$54)*(U$5-T$5))*-1,"")</f>
        <v>0</v>
      </c>
      <c r="V150" s="12">
        <f>IFERROR(((V149/V$54)*(V$5-U$5))*-1,"")</f>
        <v>0</v>
      </c>
      <c r="W150" s="12" t="n"/>
      <c r="X150" s="12">
        <f>IFERROR(((X149/X$54)*(X$5-W$5))*-1,"")</f>
        <v>0</v>
      </c>
      <c r="Y150" s="12">
        <f>IFERROR(((Y149/Y$54)*(Y$5-X$5))*-1,"")</f>
        <v>0</v>
      </c>
      <c r="Z150" s="12">
        <f>IFERROR(((Z149/Z$54)*(Z$5-Y$5))*-1,"")</f>
        <v>0</v>
      </c>
      <c r="AA150" s="12">
        <f>IFERROR(((AA149/AA$54)*(AA$5-Z$5))*-1,"")</f>
        <v>0</v>
      </c>
      <c r="AB150" s="12" t="n"/>
      <c r="AC150" s="12">
        <f>IFERROR(((AC149/AC$54)*(AC$5-AB$5))*-1,"")</f>
        <v>0</v>
      </c>
      <c r="AD150" s="12">
        <f>IFERROR(((AD149/AD$54)*(AD$5-AC$5))*-1,"")</f>
        <v>0</v>
      </c>
      <c r="AE150" s="12">
        <f>IFERROR(((AE149/AE$54)*(AE$5-AD$5))*-1,"")</f>
        <v>0</v>
      </c>
      <c r="AF150" s="11">
        <f>IFERROR(((AF149/AF$54)*(AF$5-AE$5))*-1,"")</f>
        <v>0</v>
      </c>
      <c r="AG150" s="12" t="n"/>
      <c r="AH150" s="11">
        <f>IFERROR(((AH149/AH$54)*(AH$5-AG$5))*-1,"")</f>
        <v>0</v>
      </c>
      <c r="AI150" s="11">
        <f>IFERROR(((AI149/AI$54)*(AI$5-AH$5))*-1,"")</f>
        <v>0</v>
      </c>
      <c r="AJ150" s="11">
        <f>Control!$B$26</f>
        <v>0</v>
      </c>
      <c r="AK150" s="11">
        <f>Control!$B$26</f>
        <v>0</v>
      </c>
      <c r="AL150" s="12" t="n"/>
      <c r="AM150" s="11">
        <f>Control!$C$26</f>
        <v>0</v>
      </c>
      <c r="AN150" s="11">
        <f>Control!$C$26</f>
        <v>0</v>
      </c>
      <c r="AO150" s="11">
        <f>Control!$C$26</f>
        <v>0</v>
      </c>
      <c r="AP150" s="11">
        <f>Control!$C$26</f>
        <v>0</v>
      </c>
      <c r="AQ150" s="12" t="n"/>
      <c r="AR150" s="11">
        <f>Control!$D$26</f>
        <v>0</v>
      </c>
      <c r="AS150" s="11">
        <f>Control!$D$26</f>
        <v>0</v>
      </c>
      <c r="AT150" s="11">
        <f>Control!$D$26</f>
        <v>0</v>
      </c>
      <c r="AU150" s="11">
        <f>Control!$D$26</f>
        <v>0</v>
      </c>
      <c r="AV150" s="12" t="n"/>
      <c r="AW150" s="11">
        <f>Control!$E$26</f>
        <v>0</v>
      </c>
      <c r="AX150" s="11">
        <f>Control!$E$26</f>
        <v>0</v>
      </c>
      <c r="AY150" s="11">
        <f>Control!$E$26</f>
        <v>0</v>
      </c>
      <c r="AZ150" s="11">
        <f>Control!$E$26</f>
        <v>0</v>
      </c>
      <c r="BA150" s="12" t="n"/>
      <c r="BB150" s="11">
        <f>Control!$F$26</f>
        <v>0</v>
      </c>
      <c r="BC150" s="11">
        <f>Control!$F$26</f>
        <v>0</v>
      </c>
      <c r="BD150" s="11">
        <f>Control!$F$26</f>
        <v>0</v>
      </c>
      <c r="BE150" s="11">
        <f>Control!$F$26</f>
        <v>0</v>
      </c>
      <c r="BF150" s="12" t="n"/>
      <c r="BG150" s="11" t="n"/>
      <c r="BH150" s="11" t="n"/>
      <c r="BI150" s="11" t="n"/>
      <c r="BJ150" s="11" t="n"/>
      <c r="BK150" s="12" t="n"/>
      <c r="BL150" s="11" t="n"/>
      <c r="BM150" s="11" t="n"/>
      <c r="BN150" s="11" t="n"/>
      <c r="BO150" s="11" t="n"/>
      <c r="BP150" s="12" t="n"/>
      <c r="BQ150" s="11" t="n"/>
      <c r="BR150" s="11" t="n"/>
      <c r="BS150" s="11" t="n"/>
      <c r="BT150" s="11" t="n"/>
      <c r="BU150" s="12" t="n"/>
      <c r="BV150" s="11" t="n"/>
      <c r="BW150" s="11" t="n"/>
      <c r="BX150" s="11" t="n"/>
      <c r="BY150" s="11" t="n"/>
      <c r="BZ150" s="12" t="n"/>
      <c r="CA150" s="11" t="n"/>
      <c r="CB150" s="11" t="n"/>
      <c r="CC150" s="11" t="n"/>
      <c r="CD150" s="11" t="n"/>
      <c r="CE150" s="12" t="n"/>
      <c r="CF150" s="11" t="n"/>
      <c r="CG150" s="11" t="n"/>
      <c r="CH150" s="11" t="n"/>
      <c r="CI150" s="11" t="n"/>
      <c r="CJ150" s="12" t="n"/>
      <c r="CK150" s="11" t="n"/>
      <c r="CL150" s="11" t="n"/>
      <c r="CM150" s="11" t="n"/>
      <c r="CN150" s="11" t="n"/>
      <c r="CO150" s="12" t="n"/>
      <c r="CP150" s="11" t="n"/>
      <c r="CQ150" s="11" t="n"/>
      <c r="CR150" s="11" t="n"/>
      <c r="CS150" s="11" t="n"/>
      <c r="CT150" s="12" t="n"/>
      <c r="CU150" s="11" t="n"/>
      <c r="CV150" s="11" t="n"/>
      <c r="CW150" s="11" t="n"/>
      <c r="CX150" s="11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collapsed="1">
      <c r="C153" s="14" t="inlineStr">
        <is>
          <t>Deferred income taxes</t>
        </is>
      </c>
      <c r="D153" s="46" t="n"/>
      <c r="E153" s="46" t="n"/>
      <c r="F153" s="46" t="n"/>
      <c r="G153" s="46" t="n"/>
      <c r="H153" s="12" t="n"/>
      <c r="I153" s="46">
        <f>'Inputs (2)'!D18</f>
        <v>77.555</v>
      </c>
      <c r="J153" s="46">
        <f>'Inputs (2)'!E18</f>
        <v>77.455</v>
      </c>
      <c r="K153" s="46">
        <f>'Inputs (2)'!F18</f>
        <v>79.154</v>
      </c>
      <c r="L153" s="46">
        <f>'Inputs (2)'!G18</f>
        <v>69.563</v>
      </c>
      <c r="M153" s="12">
        <f>'Inputs (2)'!H18</f>
        <v>69.563</v>
      </c>
      <c r="N153" s="46">
        <f>'Inputs (2)'!I18</f>
        <v>69.511</v>
      </c>
      <c r="O153" s="46">
        <f>'Inputs (2)'!J18</f>
        <v>62.675</v>
      </c>
      <c r="P153" s="46">
        <f>'Inputs (2)'!K18</f>
        <v>60.56</v>
      </c>
      <c r="Q153" s="46">
        <f>'Inputs (2)'!L18</f>
        <v>53.09</v>
      </c>
      <c r="R153" s="12">
        <f>'Inputs (2)'!M18</f>
        <v>53.09</v>
      </c>
      <c r="S153" s="46">
        <f>'Inputs (2)'!N18</f>
        <v>62.972</v>
      </c>
      <c r="T153" s="46">
        <f>'Inputs (2)'!O18</f>
        <v>63.54</v>
      </c>
      <c r="U153" s="46">
        <f>'Inputs (2)'!P18</f>
        <v>64.128</v>
      </c>
      <c r="V153" s="46">
        <f>'Inputs (2)'!Q18</f>
        <v>76.287</v>
      </c>
      <c r="W153" s="12">
        <f>'Inputs (2)'!R18</f>
        <v>76.287</v>
      </c>
      <c r="X153" s="46">
        <f>'Inputs (2)'!S18</f>
        <v>76.755</v>
      </c>
      <c r="Y153" s="46">
        <f>'Inputs (2)'!T18</f>
        <v>77.275</v>
      </c>
      <c r="Z153" s="46">
        <f>'Inputs (2)'!U18</f>
        <v>78.453</v>
      </c>
      <c r="AA153" s="46">
        <f>'Inputs (2)'!V18</f>
        <v>79.973</v>
      </c>
      <c r="AB153" s="12">
        <f>'Inputs (2)'!W18</f>
        <v>79.973</v>
      </c>
      <c r="AC153" s="46">
        <f>'Inputs (2)'!X18</f>
        <v>80.773</v>
      </c>
      <c r="AD153" s="46">
        <f>'Inputs (2)'!Y18</f>
        <v>81.277</v>
      </c>
      <c r="AE153" s="46">
        <f>'Inputs (2)'!Z18</f>
        <v>81.875</v>
      </c>
      <c r="AF153" s="46">
        <f>'Inputs (2)'!AA18</f>
        <v>82.325</v>
      </c>
      <c r="AG153" s="12">
        <f>'Inputs (2)'!AB18</f>
        <v>82.325</v>
      </c>
      <c r="AH153" s="12">
        <f>'Inputs (2)'!AC18</f>
        <v>84.986</v>
      </c>
      <c r="AI153" s="12">
        <f>'Inputs (2)'!AD18</f>
        <v>85.345</v>
      </c>
      <c r="AJ153" s="12">
        <f>AI153</f>
        <v>85.345</v>
      </c>
      <c r="AK153" s="12">
        <f>AJ153</f>
        <v>85.345</v>
      </c>
      <c r="AL153" s="12">
        <f>AK153</f>
        <v>85.345</v>
      </c>
      <c r="AM153" s="12">
        <f>AL153</f>
        <v>85.345</v>
      </c>
      <c r="AN153" s="12">
        <f>AM153</f>
        <v>85.345</v>
      </c>
      <c r="AO153" s="12">
        <f>AN153</f>
        <v>85.345</v>
      </c>
      <c r="AP153" s="12">
        <f>AO153</f>
        <v>85.345</v>
      </c>
      <c r="AQ153" s="12">
        <f>AP153</f>
        <v>85.345</v>
      </c>
      <c r="AR153" s="12">
        <f>AQ153</f>
        <v>85.345</v>
      </c>
      <c r="AS153" s="12">
        <f>AR153</f>
        <v>85.345</v>
      </c>
      <c r="AT153" s="12">
        <f>AS153</f>
        <v>85.345</v>
      </c>
      <c r="AU153" s="12">
        <f>AT153</f>
        <v>85.345</v>
      </c>
      <c r="AV153" s="12">
        <f>AU153</f>
        <v>85.345</v>
      </c>
      <c r="AW153" s="12">
        <f>AV153</f>
        <v>85.345</v>
      </c>
      <c r="AX153" s="12">
        <f>AW153</f>
        <v>85.345</v>
      </c>
      <c r="AY153" s="12">
        <f>AX153</f>
        <v>85.345</v>
      </c>
      <c r="AZ153" s="12">
        <f>AY153</f>
        <v>85.345</v>
      </c>
      <c r="BA153" s="12">
        <f>AZ153</f>
        <v>85.345</v>
      </c>
      <c r="BB153" s="12">
        <f>BA153</f>
        <v>85.345</v>
      </c>
      <c r="BC153" s="12">
        <f>BB153</f>
        <v>85.345</v>
      </c>
      <c r="BD153" s="12">
        <f>BC153</f>
        <v>85.345</v>
      </c>
      <c r="BE153" s="12">
        <f>BD153</f>
        <v>85.345</v>
      </c>
      <c r="BF153" s="12">
        <f>BE153</f>
        <v>85.345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>
      <c r="C154" s="14" t="inlineStr">
        <is>
          <t>Prepaid expenses</t>
        </is>
      </c>
      <c r="D154" s="46" t="n"/>
      <c r="E154" s="46" t="n"/>
      <c r="F154" s="46" t="n"/>
      <c r="G154" s="46" t="n"/>
      <c r="H154" s="12" t="n"/>
      <c r="I154" s="46">
        <f>'Inputs (2)'!D19</f>
        <v>15.496</v>
      </c>
      <c r="J154" s="46">
        <f>'Inputs (2)'!E19</f>
        <v>14.198</v>
      </c>
      <c r="K154" s="46">
        <f>'Inputs (2)'!F19</f>
        <v>11.118</v>
      </c>
      <c r="L154" s="46">
        <f>'Inputs (2)'!G19</f>
        <v>31.276</v>
      </c>
      <c r="M154" s="12">
        <f>'Inputs (2)'!H19</f>
        <v>31.276</v>
      </c>
      <c r="N154" s="46">
        <f>'Inputs (2)'!I19</f>
        <v>29.85</v>
      </c>
      <c r="O154" s="46">
        <f>'Inputs (2)'!J19</f>
        <v>39.457</v>
      </c>
      <c r="P154" s="46">
        <f>'Inputs (2)'!K19</f>
        <v>32.52</v>
      </c>
      <c r="Q154" s="46">
        <f>'Inputs (2)'!L19</f>
        <v>66.61</v>
      </c>
      <c r="R154" s="12">
        <f>'Inputs (2)'!M19</f>
        <v>66.61</v>
      </c>
      <c r="S154" s="46">
        <f>'Inputs (2)'!N19</f>
        <v>67.208</v>
      </c>
      <c r="T154" s="46">
        <f>'Inputs (2)'!O19</f>
        <v>59.864</v>
      </c>
      <c r="U154" s="46">
        <f>'Inputs (2)'!P19</f>
        <v>72.984</v>
      </c>
      <c r="V154" s="46">
        <f>'Inputs (2)'!Q19</f>
        <v>55.392</v>
      </c>
      <c r="W154" s="12">
        <f>'Inputs (2)'!R19</f>
        <v>55.392</v>
      </c>
      <c r="X154" s="46">
        <f>'Inputs (2)'!S19</f>
        <v>61.007</v>
      </c>
      <c r="Y154" s="46">
        <f>'Inputs (2)'!T19</f>
        <v>70.199</v>
      </c>
      <c r="Z154" s="46">
        <f>'Inputs (2)'!U19</f>
        <v>69.438</v>
      </c>
      <c r="AA154" s="46">
        <f>'Inputs (2)'!V19</f>
        <v>64.71</v>
      </c>
      <c r="AB154" s="12">
        <f>'Inputs (2)'!W19</f>
        <v>64.71</v>
      </c>
      <c r="AC154" s="46">
        <f>'Inputs (2)'!X19</f>
        <v>71.189</v>
      </c>
      <c r="AD154" s="46">
        <f>'Inputs (2)'!Y19</f>
        <v>66.307</v>
      </c>
      <c r="AE154" s="46">
        <f>'Inputs (2)'!Z19</f>
        <v>68.472</v>
      </c>
      <c r="AF154" s="46">
        <f>'Inputs (2)'!AA19</f>
        <v>74.018</v>
      </c>
      <c r="AG154" s="12">
        <f>'Inputs (2)'!AB19</f>
        <v>74.018</v>
      </c>
      <c r="AH154" s="12">
        <f>'Inputs (2)'!AC19</f>
        <v>81.923</v>
      </c>
      <c r="AI154" s="12">
        <f>'Inputs (2)'!AD19</f>
        <v>201.152</v>
      </c>
      <c r="AJ154" s="12">
        <f>AI154</f>
        <v>201.152</v>
      </c>
      <c r="AK154" s="12">
        <f>AJ154</f>
        <v>201.152</v>
      </c>
      <c r="AL154" s="12">
        <f>AK154</f>
        <v>201.152</v>
      </c>
      <c r="AM154" s="12">
        <f>AL154</f>
        <v>201.152</v>
      </c>
      <c r="AN154" s="12">
        <f>AM154</f>
        <v>201.152</v>
      </c>
      <c r="AO154" s="12">
        <f>AN154</f>
        <v>201.152</v>
      </c>
      <c r="AP154" s="12">
        <f>AO154</f>
        <v>201.152</v>
      </c>
      <c r="AQ154" s="12">
        <f>AP154</f>
        <v>201.152</v>
      </c>
      <c r="AR154" s="12">
        <f>AQ154</f>
        <v>201.152</v>
      </c>
      <c r="AS154" s="12">
        <f>AR154</f>
        <v>201.152</v>
      </c>
      <c r="AT154" s="12">
        <f>AS154</f>
        <v>201.152</v>
      </c>
      <c r="AU154" s="12">
        <f>AT154</f>
        <v>201.152</v>
      </c>
      <c r="AV154" s="12">
        <f>AU154</f>
        <v>201.152</v>
      </c>
      <c r="AW154" s="12">
        <f>AV154</f>
        <v>201.152</v>
      </c>
      <c r="AX154" s="12">
        <f>AW154</f>
        <v>201.152</v>
      </c>
      <c r="AY154" s="12">
        <f>AX154</f>
        <v>201.152</v>
      </c>
      <c r="AZ154" s="12">
        <f>AY154</f>
        <v>201.152</v>
      </c>
      <c r="BA154" s="12">
        <f>AZ154</f>
        <v>201.152</v>
      </c>
      <c r="BB154" s="12">
        <f>BA154</f>
        <v>201.152</v>
      </c>
      <c r="BC154" s="12">
        <f>BB154</f>
        <v>201.152</v>
      </c>
      <c r="BD154" s="12">
        <f>BC154</f>
        <v>201.152</v>
      </c>
      <c r="BE154" s="12">
        <f>BD154</f>
        <v>201.152</v>
      </c>
      <c r="BF154" s="12">
        <f>BE154</f>
        <v>201.152</v>
      </c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>
      <c r="C155" s="14" t="inlineStr">
        <is>
          <t>Other current assets</t>
        </is>
      </c>
      <c r="D155" s="46" t="n"/>
      <c r="E155" s="46" t="n"/>
      <c r="F155" s="46" t="n"/>
      <c r="G155" s="46" t="n"/>
      <c r="H155" s="12" t="n"/>
      <c r="I155" s="46">
        <f>'Inputs (2)'!D20</f>
        <v>11.09</v>
      </c>
      <c r="J155" s="46">
        <f>'Inputs (2)'!E20</f>
        <v>13.927</v>
      </c>
      <c r="K155" s="46">
        <f>'Inputs (2)'!F20</f>
        <v>17.947</v>
      </c>
      <c r="L155" s="46">
        <f>'Inputs (2)'!G20</f>
        <v>7.136</v>
      </c>
      <c r="M155" s="12">
        <f>'Inputs (2)'!H20</f>
        <v>7.136</v>
      </c>
      <c r="N155" s="46">
        <f>'Inputs (2)'!I20</f>
        <v>11.111</v>
      </c>
      <c r="O155" s="46">
        <f>'Inputs (2)'!J20</f>
        <v>11.562</v>
      </c>
      <c r="P155" s="46">
        <f>'Inputs (2)'!K20</f>
        <v>11.519</v>
      </c>
      <c r="Q155" s="46">
        <f>'Inputs (2)'!L20</f>
        <v>13.907</v>
      </c>
      <c r="R155" s="12">
        <f>'Inputs (2)'!M20</f>
        <v>13.907</v>
      </c>
      <c r="S155" s="46">
        <f>'Inputs (2)'!N20</f>
        <v>22.276</v>
      </c>
      <c r="T155" s="46">
        <f>'Inputs (2)'!O20</f>
        <v>26.09</v>
      </c>
      <c r="U155" s="46">
        <f>'Inputs (2)'!P20</f>
        <v>33.197</v>
      </c>
      <c r="V155" s="46">
        <f>'Inputs (2)'!Q20</f>
        <v>30.042</v>
      </c>
      <c r="W155" s="12">
        <f>'Inputs (2)'!R20</f>
        <v>30.042</v>
      </c>
      <c r="X155" s="46">
        <f>'Inputs (2)'!S20</f>
        <v>44.227</v>
      </c>
      <c r="Y155" s="46">
        <f>'Inputs (2)'!T20</f>
        <v>37.837</v>
      </c>
      <c r="Z155" s="46">
        <f>'Inputs (2)'!U20</f>
        <v>40.005</v>
      </c>
      <c r="AA155" s="46">
        <f>'Inputs (2)'!V20</f>
        <v>50.927</v>
      </c>
      <c r="AB155" s="12">
        <f>'Inputs (2)'!W20</f>
        <v>50.927</v>
      </c>
      <c r="AC155" s="46">
        <f>'Inputs (2)'!X20</f>
        <v>51.368</v>
      </c>
      <c r="AD155" s="46">
        <f>'Inputs (2)'!Y20</f>
        <v>58.273</v>
      </c>
      <c r="AE155" s="46">
        <f>'Inputs (2)'!Z20</f>
        <v>64.471</v>
      </c>
      <c r="AF155" s="46">
        <f>'Inputs (2)'!AA20</f>
        <v>67.166</v>
      </c>
      <c r="AG155" s="12">
        <f>'Inputs (2)'!AB20</f>
        <v>67.166</v>
      </c>
      <c r="AH155" s="12">
        <f>'Inputs (2)'!AC20</f>
        <v>82.627</v>
      </c>
      <c r="AI155" s="12">
        <f>'Inputs (2)'!AD20</f>
        <v>230.817</v>
      </c>
      <c r="AJ155" s="12">
        <f>AI155</f>
        <v>230.817</v>
      </c>
      <c r="AK155" s="12">
        <f>AJ155</f>
        <v>230.817</v>
      </c>
      <c r="AL155" s="12">
        <f>AK155</f>
        <v>230.817</v>
      </c>
      <c r="AM155" s="12">
        <f>AL155</f>
        <v>230.817</v>
      </c>
      <c r="AN155" s="12">
        <f>AM155</f>
        <v>230.817</v>
      </c>
      <c r="AO155" s="12">
        <f>AN155</f>
        <v>230.817</v>
      </c>
      <c r="AP155" s="12">
        <f>AO155</f>
        <v>230.817</v>
      </c>
      <c r="AQ155" s="12">
        <f>AP155</f>
        <v>230.817</v>
      </c>
      <c r="AR155" s="12">
        <f>AQ155</f>
        <v>230.817</v>
      </c>
      <c r="AS155" s="12">
        <f>AR155</f>
        <v>230.817</v>
      </c>
      <c r="AT155" s="12">
        <f>AS155</f>
        <v>230.817</v>
      </c>
      <c r="AU155" s="12">
        <f>AT155</f>
        <v>230.817</v>
      </c>
      <c r="AV155" s="12">
        <f>AU155</f>
        <v>230.817</v>
      </c>
      <c r="AW155" s="12">
        <f>AV155</f>
        <v>230.817</v>
      </c>
      <c r="AX155" s="12">
        <f>AW155</f>
        <v>230.817</v>
      </c>
      <c r="AY155" s="12">
        <f>AX155</f>
        <v>230.817</v>
      </c>
      <c r="AZ155" s="12">
        <f>AY155</f>
        <v>230.817</v>
      </c>
      <c r="BA155" s="12">
        <f>AZ155</f>
        <v>230.817</v>
      </c>
      <c r="BB155" s="12">
        <f>BA155</f>
        <v>230.817</v>
      </c>
      <c r="BC155" s="12">
        <f>BB155</f>
        <v>230.817</v>
      </c>
      <c r="BD155" s="12">
        <f>BC155</f>
        <v>230.817</v>
      </c>
      <c r="BE155" s="12">
        <f>BD155</f>
        <v>230.817</v>
      </c>
      <c r="BF155" s="12">
        <f>BE155</f>
        <v>230.817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9" t="inlineStr">
        <is>
          <t>%(Var.)</t>
        </is>
      </c>
      <c r="D156" s="12" t="n"/>
      <c r="E156" s="40" t="n"/>
      <c r="F156" s="40" t="n"/>
      <c r="G156" s="40" t="n"/>
      <c r="H156" s="12" t="n"/>
      <c r="I156" s="40" t="str">
        <f>""</f>
        <v/>
      </c>
      <c r="J156" s="40">
        <f>IFERROR(IF(I155=0,"",J155/I155-1),"")</f>
        <v>0.255816050495942</v>
      </c>
      <c r="K156" s="40">
        <f>IFERROR(IF(J155=0,"",K155/J155-1),"")</f>
        <v>0.288647950025131</v>
      </c>
      <c r="L156" s="40">
        <f>IFERROR(IF(K155=0,"",L155/K155-1),"")</f>
        <v>-0.60238479968797</v>
      </c>
      <c r="M156" s="12">
        <f>IFERROR(IF(L155=0,"",M155/L155-1),"")</f>
        <v>0</v>
      </c>
      <c r="N156" s="40">
        <f>IFERROR(IF(M155=0,"",N155/M155-1),"")</f>
        <v>0.557034753363229</v>
      </c>
      <c r="O156" s="40">
        <f>IFERROR(IF(N155=0,"",O155/N155-1),"")</f>
        <v>0.0405904059040589</v>
      </c>
      <c r="P156" s="40">
        <f>IFERROR(IF(O155=0,"",P155/O155-1),"")</f>
        <v>-0.00371907974398888</v>
      </c>
      <c r="Q156" s="40">
        <f>IFERROR(IF(P155=0,"",Q155/P155-1),"")</f>
        <v>0.207309662297074</v>
      </c>
      <c r="R156" s="12">
        <f>IFERROR(IF(Q155=0,"",R155/Q155-1),"")</f>
        <v>0</v>
      </c>
      <c r="S156" s="40">
        <f>IFERROR(IF(R155=0,"",S155/R155-1),"")</f>
        <v>0.601783274609909</v>
      </c>
      <c r="T156" s="40">
        <f>IFERROR(IF(S155=0,"",T155/S155-1),"")</f>
        <v>0.17121565810738</v>
      </c>
      <c r="U156" s="40">
        <f>IFERROR(IF(T155=0,"",U155/T155-1),"")</f>
        <v>0.272403219624377</v>
      </c>
      <c r="V156" s="40">
        <f>IFERROR(IF(U155=0,"",V155/U155-1),"")</f>
        <v>-0.0950387083170167</v>
      </c>
      <c r="W156" s="12">
        <f>IFERROR(IF(V155=0,"",W155/V155-1),"")</f>
        <v>0</v>
      </c>
      <c r="X156" s="40">
        <f>IFERROR(IF(W155=0,"",X155/W155-1),"")</f>
        <v>0.472172292124359</v>
      </c>
      <c r="Y156" s="40">
        <f>IFERROR(IF(X155=0,"",Y155/X155-1),"")</f>
        <v>-0.14448187758609</v>
      </c>
      <c r="Z156" s="40">
        <f>IFERROR(IF(Y155=0,"",Z155/Y155-1),"")</f>
        <v>0.0572984116076856</v>
      </c>
      <c r="AA156" s="40">
        <f>IFERROR(IF(Z155=0,"",AA155/Z155-1),"")</f>
        <v>0.273015873015873</v>
      </c>
      <c r="AB156" s="12">
        <f>IFERROR(IF(AA155=0,"",AB155/AA155-1),"")</f>
        <v>0</v>
      </c>
      <c r="AC156" s="40">
        <f>IFERROR(IF(AB155=0,"",AC155/AB155-1),"")</f>
        <v>0.00865945372788501</v>
      </c>
      <c r="AD156" s="40">
        <f>IFERROR(IF(AC155=0,"",AD155/AC155-1),"")</f>
        <v>0.134422208378757</v>
      </c>
      <c r="AE156" s="40">
        <f>IFERROR(IF(AD155=0,"",AE155/AD155-1),"")</f>
        <v>0.106361436685944</v>
      </c>
      <c r="AF156" s="55">
        <f>IFERROR(IF(AE155=0,"",AF155/AE155-1),"")</f>
        <v>0.0418017403173518</v>
      </c>
      <c r="AG156" s="12">
        <f>IFERROR(IF(AF155=0,"",AG155/AF155-1),"")</f>
        <v>0</v>
      </c>
      <c r="AH156" s="12">
        <f>IFERROR(IF(AG155=0,"",AH155/AG155-1),"")</f>
        <v>0.230190870380848</v>
      </c>
      <c r="AI156" s="12">
        <f>IFERROR(IF(AH155=0,"",AI155/AH155-1),"")</f>
        <v>1.79348154961453</v>
      </c>
      <c r="AJ156" s="12">
        <f>IFERROR(IF(AI155=0,"",AJ155/AI155-1),"")</f>
        <v>0</v>
      </c>
      <c r="AK156" s="12">
        <f>IFERROR(IF(AJ155=0,"",AK155/AJ155-1),"")</f>
        <v>0</v>
      </c>
      <c r="AL156" s="12">
        <f>IFERROR(IF(AK155=0,"",AL155/AK155-1),"")</f>
        <v>0</v>
      </c>
      <c r="AM156" s="12">
        <f>IFERROR(IF(AL155=0,"",AM155/AL155-1),"")</f>
        <v>0</v>
      </c>
      <c r="AN156" s="12">
        <f>IFERROR(IF(AM155=0,"",AN155/AM155-1),"")</f>
        <v>0</v>
      </c>
      <c r="AO156" s="12">
        <f>IFERROR(IF(AN155=0,"",AO155/AN155-1),"")</f>
        <v>0</v>
      </c>
      <c r="AP156" s="12">
        <f>IFERROR(IF(AO155=0,"",AP155/AO155-1),"")</f>
        <v>0</v>
      </c>
      <c r="AQ156" s="12">
        <f>IFERROR(IF(AP155=0,"",AQ155/AP155-1),"")</f>
        <v>0</v>
      </c>
      <c r="AR156" s="12">
        <f>IFERROR(IF(AQ155=0,"",AR155/AQ155-1),"")</f>
        <v>0</v>
      </c>
      <c r="AS156" s="12">
        <f>IFERROR(IF(AR155=0,"",AS155/AR155-1),"")</f>
        <v>0</v>
      </c>
      <c r="AT156" s="12">
        <f>IFERROR(IF(AS155=0,"",AT155/AS155-1),"")</f>
        <v>0</v>
      </c>
      <c r="AU156" s="12">
        <f>IFERROR(IF(AT155=0,"",AU155/AT155-1),"")</f>
        <v>0</v>
      </c>
      <c r="AV156" s="12">
        <f>IFERROR(IF(AU155=0,"",AV155/AU155-1),"")</f>
        <v>0</v>
      </c>
      <c r="AW156" s="12">
        <f>IFERROR(IF(AV155=0,"",AW155/AV155-1),"")</f>
        <v>0</v>
      </c>
      <c r="AX156" s="12">
        <f>IFERROR(IF(AW155=0,"",AX155/AW155-1),"")</f>
        <v>0</v>
      </c>
      <c r="AY156" s="12">
        <f>IFERROR(IF(AX155=0,"",AY155/AX155-1),"")</f>
        <v>0</v>
      </c>
      <c r="AZ156" s="12">
        <f>IFERROR(IF(AY155=0,"",AZ155/AY155-1),"")</f>
        <v>0</v>
      </c>
      <c r="BA156" s="12">
        <f>IFERROR(IF(AZ155=0,"",BA155/AZ155-1),"")</f>
        <v>0</v>
      </c>
      <c r="BB156" s="12">
        <f>IFERROR(IF(BA155=0,"",BB155/BA155-1),"")</f>
        <v>0</v>
      </c>
      <c r="BC156" s="12">
        <f>IFERROR(IF(BB155=0,"",BC155/BB155-1),"")</f>
        <v>0</v>
      </c>
      <c r="BD156" s="12">
        <f>IFERROR(IF(BC155=0,"",BD155/BC155-1),"")</f>
        <v>0</v>
      </c>
      <c r="BE156" s="12">
        <f>IFERROR(IF(BD155=0,"",BE155/BD155-1),"")</f>
        <v>0</v>
      </c>
      <c r="BF156" s="12">
        <f>IFERROR(IF(BE155=0,"",BF155/BE155-1),"")</f>
        <v>0</v>
      </c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57" t="n"/>
      <c r="D157" s="12" t="n"/>
      <c r="E157" s="40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60" t="inlineStr">
        <is>
          <t xml:space="preserve">Impostos e Contribuições a Recuperar </t>
        </is>
      </c>
      <c r="D158" s="11" t="n"/>
      <c r="E158" s="11" t="n"/>
      <c r="F158" s="11" t="n"/>
      <c r="G158" s="11" t="n"/>
      <c r="H158" s="12" t="n"/>
      <c r="I158" s="11" t="n"/>
      <c r="J158" s="11" t="n"/>
      <c r="K158" s="11" t="n"/>
      <c r="L158" s="11" t="n"/>
      <c r="M158" s="12" t="n"/>
      <c r="N158" s="11" t="n"/>
      <c r="O158" s="11" t="n"/>
      <c r="P158" s="11" t="n"/>
      <c r="Q158" s="11" t="n"/>
      <c r="R158" s="12" t="n"/>
      <c r="S158" s="11" t="n"/>
      <c r="T158" s="11" t="n"/>
      <c r="U158" s="11" t="n"/>
      <c r="V158" s="11" t="n"/>
      <c r="W158" s="12" t="n"/>
      <c r="X158" s="11" t="n"/>
      <c r="Y158" s="11" t="n"/>
      <c r="Z158" s="11" t="n"/>
      <c r="AA158" s="11" t="n"/>
      <c r="AB158" s="12" t="n"/>
      <c r="AC158" s="11" t="n"/>
      <c r="AD158" s="11" t="n"/>
      <c r="AE158" s="11" t="n"/>
      <c r="AF158" s="11" t="n"/>
      <c r="AG158" s="12">
        <f>AF158</f>
        <v>0</v>
      </c>
      <c r="AH158" s="61">
        <f>IFERROR(AG158*AH15/AG15,"")</f>
        <v>0</v>
      </c>
      <c r="AI158" s="61">
        <f>IFERROR(AH158*AI15/AH15,"")</f>
        <v>0</v>
      </c>
      <c r="AJ158" s="61">
        <f>IFERROR(AI158*AJ15/AI15,"")</f>
        <v>0</v>
      </c>
      <c r="AK158" s="61">
        <f>IFERROR(AJ158*AK15/AJ15,"")</f>
        <v>0</v>
      </c>
      <c r="AL158" s="12">
        <f>IFERROR(AK158,"")</f>
        <v>0</v>
      </c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60" t="inlineStr">
        <is>
          <t>Outros Créditos</t>
        </is>
      </c>
      <c r="D159" s="11" t="n"/>
      <c r="E159" s="11" t="n"/>
      <c r="F159" s="11" t="n"/>
      <c r="G159" s="11" t="n"/>
      <c r="H159" s="12" t="n"/>
      <c r="I159" s="11" t="n"/>
      <c r="J159" s="11" t="n"/>
      <c r="K159" s="11" t="n"/>
      <c r="L159" s="11" t="n"/>
      <c r="M159" s="12" t="n"/>
      <c r="N159" s="11" t="n"/>
      <c r="O159" s="11" t="n"/>
      <c r="P159" s="11" t="n"/>
      <c r="Q159" s="11" t="n"/>
      <c r="R159" s="12" t="n"/>
      <c r="S159" s="11" t="n"/>
      <c r="T159" s="11" t="n"/>
      <c r="U159" s="11" t="n"/>
      <c r="V159" s="11" t="n"/>
      <c r="W159" s="12" t="n"/>
      <c r="X159" s="11" t="n"/>
      <c r="Y159" s="11" t="n"/>
      <c r="Z159" s="11" t="n"/>
      <c r="AA159" s="11" t="n"/>
      <c r="AB159" s="12" t="n"/>
      <c r="AC159" s="11" t="n"/>
      <c r="AD159" s="11" t="n"/>
      <c r="AE159" s="11" t="n"/>
      <c r="AF159" s="11" t="n"/>
      <c r="AG159" s="12">
        <f>AF159</f>
        <v>0</v>
      </c>
      <c r="AH159" s="12">
        <f>AG159</f>
        <v>0</v>
      </c>
      <c r="AI159" s="12">
        <f>AH159</f>
        <v>0</v>
      </c>
      <c r="AJ159" s="12">
        <f>AI159</f>
        <v>0</v>
      </c>
      <c r="AK159" s="12">
        <f>AJ159</f>
        <v>0</v>
      </c>
      <c r="AL159" s="12">
        <f>AK159</f>
        <v>0</v>
      </c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collapsed="1">
      <c r="C161" s="14" t="inlineStr">
        <is>
          <t>Equity in affiliates</t>
        </is>
      </c>
      <c r="D161" s="46" t="n"/>
      <c r="E161" s="46" t="n"/>
      <c r="F161" s="46" t="n"/>
      <c r="G161" s="46" t="n"/>
      <c r="H161" s="12" t="n"/>
      <c r="I161" s="46">
        <f>'Inputs (2)'!D21</f>
        <v>0</v>
      </c>
      <c r="J161" s="46">
        <f>'Inputs (2)'!E21</f>
        <v>0</v>
      </c>
      <c r="K161" s="46">
        <f>'Inputs (2)'!F21</f>
        <v>1.623</v>
      </c>
      <c r="L161" s="46">
        <f>'Inputs (2)'!G21</f>
        <v>4.422</v>
      </c>
      <c r="M161" s="12">
        <f>'Inputs (2)'!H21</f>
        <v>4.422</v>
      </c>
      <c r="N161" s="46">
        <f>'Inputs (2)'!I21</f>
        <v>15.439</v>
      </c>
      <c r="O161" s="46">
        <f>'Inputs (2)'!J21</f>
        <v>30.919</v>
      </c>
      <c r="P161" s="46">
        <f>'Inputs (2)'!K21</f>
        <v>39.86</v>
      </c>
      <c r="Q161" s="46">
        <f>'Inputs (2)'!L21</f>
        <v>44.084</v>
      </c>
      <c r="R161" s="12">
        <f>'Inputs (2)'!M21</f>
        <v>44.084</v>
      </c>
      <c r="S161" s="46">
        <f>'Inputs (2)'!N21</f>
        <v>47.169</v>
      </c>
      <c r="T161" s="46">
        <f>'Inputs (2)'!O21</f>
        <v>79.3</v>
      </c>
      <c r="U161" s="46">
        <f>'Inputs (2)'!P21</f>
        <v>77.972</v>
      </c>
      <c r="V161" s="46">
        <f>'Inputs (2)'!Q21</f>
        <v>98.957</v>
      </c>
      <c r="W161" s="12">
        <f>'Inputs (2)'!R21</f>
        <v>98.957</v>
      </c>
      <c r="X161" s="46">
        <f>'Inputs (2)'!S21</f>
        <v>102.447</v>
      </c>
      <c r="Y161" s="46">
        <f>'Inputs (2)'!T21</f>
        <v>101.856</v>
      </c>
      <c r="Z161" s="46">
        <f>'Inputs (2)'!U21</f>
        <v>106.556</v>
      </c>
      <c r="AA161" s="46">
        <f>'Inputs (2)'!V21</f>
        <v>112.801</v>
      </c>
      <c r="AB161" s="12">
        <f>'Inputs (2)'!W21</f>
        <v>112.801</v>
      </c>
      <c r="AC161" s="46">
        <f>'Inputs (2)'!X21</f>
        <v>116.825</v>
      </c>
      <c r="AD161" s="46">
        <f>'Inputs (2)'!Y21</f>
        <v>118.672</v>
      </c>
      <c r="AE161" s="46">
        <f>'Inputs (2)'!Z21</f>
        <v>119.706</v>
      </c>
      <c r="AF161" s="46">
        <f>'Inputs (2)'!AA21</f>
        <v>117.461</v>
      </c>
      <c r="AG161" s="12">
        <f>'Inputs (2)'!AB21</f>
        <v>117.461</v>
      </c>
      <c r="AH161" s="12">
        <f>'Inputs (2)'!AC21</f>
        <v>117.036</v>
      </c>
      <c r="AI161" s="12">
        <f>'Inputs (2)'!AD21</f>
        <v>142.539</v>
      </c>
      <c r="AJ161" s="12">
        <f>AI161+AJ135</f>
        <v>142.539</v>
      </c>
      <c r="AK161" s="12">
        <f>AJ161+AK135</f>
        <v>142.539</v>
      </c>
      <c r="AL161" s="12">
        <f>AK161</f>
        <v>142.539</v>
      </c>
      <c r="AM161" s="12">
        <f>AL161+AM135</f>
        <v>142.539</v>
      </c>
      <c r="AN161" s="12">
        <f>AM161+AN135</f>
        <v>142.539</v>
      </c>
      <c r="AO161" s="12">
        <f>AN161+AO135</f>
        <v>142.539</v>
      </c>
      <c r="AP161" s="12">
        <f>AO161+AP135</f>
        <v>142.539</v>
      </c>
      <c r="AQ161" s="12">
        <f>AP161</f>
        <v>142.539</v>
      </c>
      <c r="AR161" s="12">
        <f>AQ161+AR135</f>
        <v>142.539</v>
      </c>
      <c r="AS161" s="12">
        <f>AR161+AS135</f>
        <v>142.539</v>
      </c>
      <c r="AT161" s="12">
        <f>AS161+AT135</f>
        <v>142.539</v>
      </c>
      <c r="AU161" s="12">
        <f>AT161+AU135</f>
        <v>142.539</v>
      </c>
      <c r="AV161" s="12">
        <f>AU161</f>
        <v>142.539</v>
      </c>
      <c r="AW161" s="12">
        <f>AV161+AW135</f>
        <v>142.539</v>
      </c>
      <c r="AX161" s="12">
        <f>AW161+AX135</f>
        <v>142.539</v>
      </c>
      <c r="AY161" s="12">
        <f>AX161+AY135</f>
        <v>142.539</v>
      </c>
      <c r="AZ161" s="12">
        <f>AY161+AZ135</f>
        <v>142.539</v>
      </c>
      <c r="BA161" s="12">
        <f>AZ161</f>
        <v>142.539</v>
      </c>
      <c r="BB161" s="12">
        <f>BA161+BB135</f>
        <v>142.539</v>
      </c>
      <c r="BC161" s="12">
        <f>BB161+BC135</f>
        <v>142.539</v>
      </c>
      <c r="BD161" s="12">
        <f>BC161+BD135</f>
        <v>142.539</v>
      </c>
      <c r="BE161" s="12">
        <f>BD161+BE135</f>
        <v>142.539</v>
      </c>
      <c r="BF161" s="12">
        <f>BE161</f>
        <v>142.539</v>
      </c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inlineStr">
        <is>
          <t>Equity in Income - % YoY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>
        <f>IF(I135=0,0,N135/I135-1)</f>
        <v>-1.00980392156863</v>
      </c>
      <c r="O163" s="12">
        <f>IF(J135=0,0,O135/J135-1)</f>
        <v>-202.321428571429</v>
      </c>
      <c r="P163" s="12">
        <f>IF(K135=0,0,P135/K135-1)</f>
        <v>43.5069767441861</v>
      </c>
      <c r="Q163" s="12">
        <f>IF(L135=0,0,Q135/L135-1)</f>
        <v>8.99736147757256</v>
      </c>
      <c r="R163" s="12" t="n"/>
      <c r="S163" s="12">
        <f>IF(N135=0,0,S135/N135-1)</f>
        <v>-2974</v>
      </c>
      <c r="T163" s="12">
        <f>IF(O135=0,0,T135/O135-1)</f>
        <v>-1.5431967358524</v>
      </c>
      <c r="U163" s="12">
        <f>IF(P135=0,0,U135/P135-1)</f>
        <v>-0.81408715644268</v>
      </c>
      <c r="V163" s="12">
        <f>IF(Q135=0,0,V135/Q135-1)</f>
        <v>-0.143309580364212</v>
      </c>
      <c r="W163" s="12" t="n"/>
      <c r="X163" s="12">
        <f>IF(S135=0,0,X135/S135-1)</f>
        <v>0.503531786074672</v>
      </c>
      <c r="Y163" s="12">
        <f>IF(T135=0,0,Y135/T135-1)</f>
        <v>-0.238406270411496</v>
      </c>
      <c r="Z163" s="12">
        <f>IF(U135=0,0,Z135/U135-1)</f>
        <v>1.94378864530635</v>
      </c>
      <c r="AA163" s="12">
        <f>IF(V135=0,0,AA135/V135-1)</f>
        <v>-0.18422674060382</v>
      </c>
      <c r="AB163" s="12" t="n"/>
      <c r="AC163" s="12">
        <f>IF(X135=0,0,AC135/X135-1)</f>
        <v>-0.0651006711409395</v>
      </c>
      <c r="AD163" s="12">
        <f>IF(Y135=0,0,AD135/Y135-1)</f>
        <v>-0.323327615780446</v>
      </c>
      <c r="AE163" s="12">
        <f>IF(Z135=0,0,AE135/Z135-1)</f>
        <v>-0.804468206988734</v>
      </c>
      <c r="AF163" s="12">
        <f>IF(AA135=0,0,AF135/AA135-1)</f>
        <v>-0.987160120845921</v>
      </c>
      <c r="AG163" s="12" t="n"/>
      <c r="AH163" s="11">
        <f>IF(AC135=0,0,AH135/AC135-1)</f>
        <v>-1.11031347212252</v>
      </c>
      <c r="AI163" s="11">
        <f>IF(AD135=0,0,AI135/AD135-1)</f>
        <v>-3.7743979721166</v>
      </c>
      <c r="AJ163" s="11" t="n"/>
      <c r="AK163" s="11" t="n"/>
      <c r="AL163" s="12" t="n"/>
      <c r="AM163" s="11" t="n"/>
      <c r="AN163" s="11" t="n"/>
      <c r="AO163" s="11" t="n"/>
      <c r="AP163" s="11" t="n"/>
      <c r="AQ163" s="12" t="n"/>
      <c r="AR163" s="11" t="n"/>
      <c r="AS163" s="11" t="n"/>
      <c r="AT163" s="11" t="n"/>
      <c r="AU163" s="11" t="n"/>
      <c r="AV163" s="12" t="n"/>
      <c r="AW163" s="11" t="n"/>
      <c r="AX163" s="11" t="n"/>
      <c r="AY163" s="11" t="n"/>
      <c r="AZ163" s="11" t="n"/>
      <c r="BA163" s="12" t="n"/>
      <c r="BB163" s="11" t="n"/>
      <c r="BC163" s="11" t="n"/>
      <c r="BD163" s="11" t="n"/>
      <c r="BE163" s="11" t="n"/>
      <c r="BF163" s="12" t="n"/>
      <c r="BG163" s="11" t="n"/>
      <c r="BH163" s="11" t="n"/>
      <c r="BI163" s="11" t="n"/>
      <c r="BJ163" s="11" t="n"/>
      <c r="BK163" s="12" t="n"/>
      <c r="BL163" s="11" t="n"/>
      <c r="BM163" s="11" t="n"/>
      <c r="BN163" s="11" t="n"/>
      <c r="BO163" s="11" t="n"/>
      <c r="BP163" s="12" t="n"/>
      <c r="BQ163" s="11" t="n"/>
      <c r="BR163" s="11" t="n"/>
      <c r="BS163" s="11" t="n"/>
      <c r="BT163" s="11" t="n"/>
      <c r="BU163" s="12" t="n"/>
      <c r="BV163" s="11" t="n"/>
      <c r="BW163" s="11" t="n"/>
      <c r="BX163" s="11" t="n"/>
      <c r="BY163" s="11" t="n"/>
      <c r="BZ163" s="12" t="n"/>
      <c r="CA163" s="11" t="n"/>
      <c r="CB163" s="11" t="n"/>
      <c r="CC163" s="11" t="n"/>
      <c r="CD163" s="11" t="n"/>
      <c r="CE163" s="12" t="n"/>
      <c r="CF163" s="11" t="n"/>
      <c r="CG163" s="11" t="n"/>
      <c r="CH163" s="11" t="n"/>
      <c r="CI163" s="11" t="n"/>
      <c r="CJ163" s="12" t="n"/>
      <c r="CK163" s="11" t="n"/>
      <c r="CL163" s="11" t="n"/>
      <c r="CM163" s="11" t="n"/>
      <c r="CN163" s="11" t="n"/>
      <c r="CO163" s="12" t="n"/>
      <c r="CP163" s="11" t="n"/>
      <c r="CQ163" s="11" t="n"/>
      <c r="CR163" s="11" t="n"/>
      <c r="CS163" s="11" t="n"/>
      <c r="CT163" s="12" t="n"/>
      <c r="CU163" s="11" t="n"/>
      <c r="CV163" s="11" t="n"/>
      <c r="CW163" s="11" t="n"/>
      <c r="CX163" s="11" t="n"/>
      <c r="CY163" s="12" t="n"/>
    </row>
    <row r="164" hidden="1" outlineLevel="1">
      <c r="C164" s="57" t="inlineStr">
        <is>
          <t>Dividends (enter as -)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1" t="n"/>
      <c r="AI164" s="11" t="n"/>
      <c r="AJ164" s="11" t="n"/>
      <c r="AK164" s="11" t="n"/>
      <c r="AL164" s="12" t="n"/>
      <c r="AM164" s="11" t="n"/>
      <c r="AN164" s="11" t="n"/>
      <c r="AO164" s="11" t="n"/>
      <c r="AP164" s="11" t="n"/>
      <c r="AQ164" s="12" t="n"/>
      <c r="AR164" s="11" t="n"/>
      <c r="AS164" s="11" t="n"/>
      <c r="AT164" s="11" t="n"/>
      <c r="AU164" s="11" t="n"/>
      <c r="AV164" s="12" t="n"/>
      <c r="AW164" s="11" t="n"/>
      <c r="AX164" s="11" t="n"/>
      <c r="AY164" s="11" t="n"/>
      <c r="AZ164" s="11" t="n"/>
      <c r="BA164" s="12" t="n"/>
      <c r="BB164" s="11" t="n"/>
      <c r="BC164" s="11" t="n"/>
      <c r="BD164" s="11" t="n"/>
      <c r="BE164" s="11" t="n"/>
      <c r="BF164" s="12" t="n"/>
      <c r="BG164" s="11" t="n"/>
      <c r="BH164" s="11" t="n"/>
      <c r="BI164" s="11" t="n"/>
      <c r="BJ164" s="11" t="n"/>
      <c r="BK164" s="12" t="n"/>
      <c r="BL164" s="11" t="n"/>
      <c r="BM164" s="11" t="n"/>
      <c r="BN164" s="11" t="n"/>
      <c r="BO164" s="11" t="n"/>
      <c r="BP164" s="12" t="n"/>
      <c r="BQ164" s="11" t="n"/>
      <c r="BR164" s="11" t="n"/>
      <c r="BS164" s="11" t="n"/>
      <c r="BT164" s="11" t="n"/>
      <c r="BU164" s="12" t="n"/>
      <c r="BV164" s="11" t="n"/>
      <c r="BW164" s="11" t="n"/>
      <c r="BX164" s="11" t="n"/>
      <c r="BY164" s="11" t="n"/>
      <c r="BZ164" s="12" t="n"/>
      <c r="CA164" s="11" t="n"/>
      <c r="CB164" s="11" t="n"/>
      <c r="CC164" s="11" t="n"/>
      <c r="CD164" s="11" t="n"/>
      <c r="CE164" s="12" t="n"/>
      <c r="CF164" s="11" t="n"/>
      <c r="CG164" s="11" t="n"/>
      <c r="CH164" s="11" t="n"/>
      <c r="CI164" s="11" t="n"/>
      <c r="CJ164" s="12" t="n"/>
      <c r="CK164" s="11" t="n"/>
      <c r="CL164" s="11" t="n"/>
      <c r="CM164" s="11" t="n"/>
      <c r="CN164" s="11" t="n"/>
      <c r="CO164" s="12" t="n"/>
      <c r="CP164" s="11" t="n"/>
      <c r="CQ164" s="11" t="n"/>
      <c r="CR164" s="11" t="n"/>
      <c r="CS164" s="11" t="n"/>
      <c r="CT164" s="12" t="n"/>
      <c r="CU164" s="11" t="n"/>
      <c r="CV164" s="11" t="n"/>
      <c r="CW164" s="11" t="n"/>
      <c r="CX164" s="11" t="n"/>
      <c r="CY164" s="12" t="n"/>
    </row>
    <row r="165" hidden="1" outlineLevel="1">
      <c r="C165" s="57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collapsed="1">
      <c r="C166" s="14" t="inlineStr">
        <is>
          <t>PP&amp;E</t>
        </is>
      </c>
      <c r="D166" s="46" t="n"/>
      <c r="E166" s="46" t="n"/>
      <c r="F166" s="46" t="n"/>
      <c r="G166" s="46" t="n"/>
      <c r="H166" s="12" t="n"/>
      <c r="I166" s="46">
        <f>'Inputs (2)'!D22</f>
        <v>284.571</v>
      </c>
      <c r="J166" s="46">
        <f>'Inputs (2)'!E22</f>
        <v>295.006</v>
      </c>
      <c r="K166" s="46">
        <f>'Inputs (2)'!F22</f>
        <v>310.592</v>
      </c>
      <c r="L166" s="46">
        <f>'Inputs (2)'!G22</f>
        <v>375.789</v>
      </c>
      <c r="M166" s="12">
        <f>'Inputs (2)'!H22</f>
        <v>375.789</v>
      </c>
      <c r="N166" s="46">
        <f>'Inputs (2)'!I22</f>
        <v>436.313</v>
      </c>
      <c r="O166" s="46">
        <f>'Inputs (2)'!J22</f>
        <v>743.024</v>
      </c>
      <c r="P166" s="46">
        <f>'Inputs (2)'!K22</f>
        <v>745.099</v>
      </c>
      <c r="Q166" s="46">
        <f>'Inputs (2)'!L22</f>
        <v>785.079</v>
      </c>
      <c r="R166" s="12">
        <f>'Inputs (2)'!M22</f>
        <v>785.079</v>
      </c>
      <c r="S166" s="46">
        <f>'Inputs (2)'!N22</f>
        <v>815.367</v>
      </c>
      <c r="T166" s="46">
        <f>'Inputs (2)'!O22</f>
        <v>842.62</v>
      </c>
      <c r="U166" s="46">
        <f>'Inputs (2)'!P22</f>
        <v>904.989</v>
      </c>
      <c r="V166" s="46">
        <f>'Inputs (2)'!Q22</f>
        <v>920.767</v>
      </c>
      <c r="W166" s="12">
        <f>'Inputs (2)'!R22</f>
        <v>920.767</v>
      </c>
      <c r="X166" s="46">
        <f>'Inputs (2)'!S22</f>
        <v>963.174</v>
      </c>
      <c r="Y166" s="46">
        <f>'Inputs (2)'!T22</f>
        <v>1080.851</v>
      </c>
      <c r="Z166" s="46">
        <f>'Inputs (2)'!U22</f>
        <v>1363.573</v>
      </c>
      <c r="AA166" s="46">
        <f>'Inputs (2)'!V22</f>
        <v>1556.269</v>
      </c>
      <c r="AB166" s="12">
        <f>'Inputs (2)'!W22</f>
        <v>1556.269</v>
      </c>
      <c r="AC166" s="46">
        <f>'Inputs (2)'!X22</f>
        <v>1642.208</v>
      </c>
      <c r="AD166" s="46">
        <f>'Inputs (2)'!Y22</f>
        <v>1828.49</v>
      </c>
      <c r="AE166" s="46">
        <f>'Inputs (2)'!Z22</f>
        <v>1937.105</v>
      </c>
      <c r="AF166" s="46">
        <f>'Inputs (2)'!AA22</f>
        <v>2070.525</v>
      </c>
      <c r="AG166" s="12">
        <f>'Inputs (2)'!AB22</f>
        <v>2070.525</v>
      </c>
      <c r="AH166" s="12">
        <f>'Inputs (2)'!AC22</f>
        <v>2218.63</v>
      </c>
      <c r="AI166" s="12">
        <f>'Inputs (2)'!AD22</f>
        <v>3306.709</v>
      </c>
      <c r="AJ166" s="12">
        <f>AJ171</f>
        <v>3645.1725414798</v>
      </c>
      <c r="AK166" s="12">
        <f>AK171</f>
        <v>3963.47519291188</v>
      </c>
      <c r="AL166" s="12">
        <f>AK166</f>
        <v>3963.47519291188</v>
      </c>
      <c r="AM166" s="12">
        <f>AM171</f>
        <v>4362.18416092102</v>
      </c>
      <c r="AN166" s="12">
        <f>AN171</f>
        <v>5112.25453388353</v>
      </c>
      <c r="AO166" s="12">
        <f>AO171</f>
        <v>5585.47513803694</v>
      </c>
      <c r="AP166" s="12">
        <f>AP171</f>
        <v>6030.50792459871</v>
      </c>
      <c r="AQ166" s="12">
        <f>AP166</f>
        <v>6030.50792459871</v>
      </c>
      <c r="AR166" s="12">
        <f>AR171</f>
        <v>6585.96673606784</v>
      </c>
      <c r="AS166" s="12">
        <f>AS171</f>
        <v>7630.92240878405</v>
      </c>
      <c r="AT166" s="12">
        <f>AT171</f>
        <v>8290.1866226247</v>
      </c>
      <c r="AU166" s="12">
        <f>AU171</f>
        <v>8910.18116130468</v>
      </c>
      <c r="AV166" s="12">
        <f>AU166</f>
        <v>8910.18116130468</v>
      </c>
      <c r="AW166" s="12">
        <f>AW171</f>
        <v>9681.23770594753</v>
      </c>
      <c r="AX166" s="12">
        <f>AX171</f>
        <v>11131.7861420745</v>
      </c>
      <c r="AY166" s="12">
        <f>AY171</f>
        <v>12046.9394824026</v>
      </c>
      <c r="AZ166" s="12">
        <f>AZ171</f>
        <v>12907.5808779863</v>
      </c>
      <c r="BA166" s="12">
        <f>AZ166</f>
        <v>12907.5808779863</v>
      </c>
      <c r="BB166" s="12">
        <f>BB171</f>
        <v>13974.0627341485</v>
      </c>
      <c r="BC166" s="12">
        <f>BC171</f>
        <v>15980.3793906402</v>
      </c>
      <c r="BD166" s="12">
        <f>BD171</f>
        <v>17246.1677946777</v>
      </c>
      <c r="BE166" s="12">
        <f>BE171</f>
        <v>18436.5583560823</v>
      </c>
      <c r="BF166" s="12">
        <f>BE166</f>
        <v>18436.5583560823</v>
      </c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inlineStr">
        <is>
          <t>Capital expenditures</t>
        </is>
      </c>
      <c r="D168" s="12" t="n"/>
      <c r="E168" s="12" t="n"/>
      <c r="F168" s="12" t="n"/>
      <c r="G168" s="12" t="n"/>
      <c r="H168" s="12" t="n"/>
      <c r="I168" s="12" t="n"/>
      <c r="J168" s="12">
        <f>J166-I166-J70</f>
        <v>22.3129999999999</v>
      </c>
      <c r="K168" s="12">
        <f>K166-J166-K70</f>
        <v>28.72</v>
      </c>
      <c r="L168" s="12">
        <f>L166-K166-L70</f>
        <v>82.901</v>
      </c>
      <c r="M168" s="12" t="n"/>
      <c r="N168" s="12">
        <f>N166-M166-N70</f>
        <v>76.212</v>
      </c>
      <c r="O168" s="12">
        <f>O166-N166-O70</f>
        <v>336.807</v>
      </c>
      <c r="P168" s="12">
        <f>P166-O166-P70</f>
        <v>50.151</v>
      </c>
      <c r="Q168" s="12">
        <f>Q166-P166-Q70</f>
        <v>81.8379999999999</v>
      </c>
      <c r="R168" s="12" t="n"/>
      <c r="S168" s="12">
        <f>S166-R166-S70</f>
        <v>90.513</v>
      </c>
      <c r="T168" s="12">
        <f>T166-S166-T70</f>
        <v>62.889</v>
      </c>
      <c r="U168" s="12">
        <f>U166-T166-U70</f>
        <v>99.603</v>
      </c>
      <c r="V168" s="12">
        <f>V166-U166-V70</f>
        <v>48.343</v>
      </c>
      <c r="W168" s="12" t="n"/>
      <c r="X168" s="12">
        <f>X166-W166-X70</f>
        <v>77.6099999999999</v>
      </c>
      <c r="Y168" s="12">
        <f>Y166-X166-Y70</f>
        <v>149.952</v>
      </c>
      <c r="Z168" s="12">
        <f>Z166-Y166-Z70</f>
        <v>322.592</v>
      </c>
      <c r="AA168" s="12">
        <f>AA166-Z166-AA70</f>
        <v>241.315</v>
      </c>
      <c r="AB168" s="12" t="n"/>
      <c r="AC168" s="12">
        <f>AC166-AB166-AC70</f>
        <v>134.602</v>
      </c>
      <c r="AD168" s="12">
        <f>AD166-AC166-AD70</f>
        <v>229.218</v>
      </c>
      <c r="AE168" s="12">
        <f>AE166-AD166-AE70</f>
        <v>153.227</v>
      </c>
      <c r="AF168" s="11">
        <f>AF166-AE166-AF70</f>
        <v>178.387</v>
      </c>
      <c r="AG168" s="12">
        <f>SUM(AC168:AF168)</f>
        <v>695.434</v>
      </c>
      <c r="AH168" s="11">
        <f>AH166-AG166-AH70</f>
        <v>199.494</v>
      </c>
      <c r="AI168" s="11">
        <f>AI166-AH166-AI70</f>
        <v>1145.971</v>
      </c>
      <c r="AJ168" s="11">
        <f>AJ15*Control!$B$24</f>
        <v>400.133145540587</v>
      </c>
      <c r="AK168" s="11">
        <f>AK15*Control!$B$24</f>
        <v>376.298849189422</v>
      </c>
      <c r="AL168" s="12" t="n"/>
      <c r="AM168" s="11">
        <f>AM15*Control!$C$24</f>
        <v>471.355564109572</v>
      </c>
      <c r="AN168" s="11">
        <f>AN15*Control!$C$24</f>
        <v>886.736622792801</v>
      </c>
      <c r="AO168" s="11">
        <f>AO15*Control!$C$24</f>
        <v>559.443560882968</v>
      </c>
      <c r="AP168" s="11">
        <f>AP15*Control!$C$24</f>
        <v>526.119794105734</v>
      </c>
      <c r="AQ168" s="12" t="n"/>
      <c r="AR168" s="11">
        <f>AR15*Control!$D$24</f>
        <v>656.665945406243</v>
      </c>
      <c r="AS168" s="11">
        <f>AS15*Control!$D$24</f>
        <v>1235.35137180902</v>
      </c>
      <c r="AT168" s="11">
        <f>AT15*Control!$D$24</f>
        <v>779.385166488139</v>
      </c>
      <c r="AU168" s="11">
        <f>AU15*Control!$D$24</f>
        <v>732.960377047905</v>
      </c>
      <c r="AV168" s="12" t="n"/>
      <c r="AW168" s="11">
        <f>AW15*Control!$E$24</f>
        <v>911.546570861637</v>
      </c>
      <c r="AX168" s="11">
        <f>AX15*Control!$E$24</f>
        <v>1714.84499030186</v>
      </c>
      <c r="AY168" s="11">
        <f>AY15*Control!$E$24</f>
        <v>1081.89846125365</v>
      </c>
      <c r="AZ168" s="11">
        <f>AZ15*Control!$E$24</f>
        <v>1017.45419105316</v>
      </c>
      <c r="BA168" s="12" t="n"/>
      <c r="BB168" s="11">
        <f>BB15*Control!$F$24</f>
        <v>1260.79972425513</v>
      </c>
      <c r="BC168" s="11">
        <f>BC15*Control!$F$24</f>
        <v>2371.8767203185</v>
      </c>
      <c r="BD168" s="11">
        <f>BD15*Control!$F$24</f>
        <v>1496.42083599885</v>
      </c>
      <c r="BE168" s="11">
        <f>BE15*Control!$F$24</f>
        <v>1407.28516186451</v>
      </c>
      <c r="BF168" s="12" t="n"/>
      <c r="BG168" s="11" t="n"/>
      <c r="BH168" s="11" t="n"/>
      <c r="BI168" s="11" t="n"/>
      <c r="BJ168" s="11" t="n"/>
      <c r="BK168" s="12" t="n"/>
      <c r="BL168" s="11" t="n"/>
      <c r="BM168" s="11" t="n"/>
      <c r="BN168" s="11" t="n"/>
      <c r="BO168" s="11" t="n"/>
      <c r="BP168" s="12" t="n"/>
      <c r="BQ168" s="11" t="n"/>
      <c r="BR168" s="11" t="n"/>
      <c r="BS168" s="11" t="n"/>
      <c r="BT168" s="11" t="n"/>
      <c r="BU168" s="12" t="n"/>
      <c r="BV168" s="11" t="n"/>
      <c r="BW168" s="11" t="n"/>
      <c r="BX168" s="11" t="n"/>
      <c r="BY168" s="11" t="n"/>
      <c r="BZ168" s="12" t="n"/>
      <c r="CA168" s="11" t="n"/>
      <c r="CB168" s="11" t="n"/>
      <c r="CC168" s="11" t="n"/>
      <c r="CD168" s="11" t="n"/>
      <c r="CE168" s="12" t="n"/>
      <c r="CF168" s="11" t="n"/>
      <c r="CG168" s="11" t="n"/>
      <c r="CH168" s="11" t="n"/>
      <c r="CI168" s="11" t="n"/>
      <c r="CJ168" s="12" t="n"/>
      <c r="CK168" s="11" t="n"/>
      <c r="CL168" s="11" t="n"/>
      <c r="CM168" s="11" t="n"/>
      <c r="CN168" s="11" t="n"/>
      <c r="CO168" s="12" t="n"/>
      <c r="CP168" s="11" t="n"/>
      <c r="CQ168" s="11" t="n"/>
      <c r="CR168" s="11" t="n"/>
      <c r="CS168" s="11" t="n"/>
      <c r="CT168" s="12" t="n"/>
      <c r="CU168" s="11" t="n"/>
      <c r="CV168" s="11" t="n"/>
      <c r="CW168" s="11" t="n"/>
      <c r="CX168" s="11" t="n"/>
      <c r="CY168" s="12" t="n"/>
    </row>
    <row r="169" hidden="1" outlineLevel="1">
      <c r="C169" s="57" t="inlineStr">
        <is>
          <t>Recurring asset sales (enter as -)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>
        <f>SUM(I169:L169)</f>
        <v>0</v>
      </c>
      <c r="N169" s="12" t="n"/>
      <c r="O169" s="12" t="n"/>
      <c r="P169" s="12" t="n"/>
      <c r="Q169" s="12" t="n"/>
      <c r="R169" s="12">
        <f>SUM(N169:Q169)</f>
        <v>0</v>
      </c>
      <c r="S169" s="12" t="n"/>
      <c r="T169" s="12" t="n"/>
      <c r="U169" s="12" t="n"/>
      <c r="V169" s="12" t="n"/>
      <c r="W169" s="12">
        <f>SUM(S169:V169)</f>
        <v>0</v>
      </c>
      <c r="X169" s="12" t="n"/>
      <c r="Y169" s="12" t="n"/>
      <c r="Z169" s="12" t="n"/>
      <c r="AA169" s="12" t="n"/>
      <c r="AB169" s="12">
        <f>SUM(X169:AA169)</f>
        <v>0</v>
      </c>
      <c r="AC169" s="12" t="n"/>
      <c r="AD169" s="12" t="n"/>
      <c r="AE169" s="12" t="n"/>
      <c r="AF169" s="11" t="n"/>
      <c r="AG169" s="12">
        <f>SUM(AC169:AF169)</f>
        <v>0</v>
      </c>
      <c r="AH169" s="11" t="n"/>
      <c r="AI169" s="11" t="n"/>
      <c r="AJ169" s="11">
        <f>0</f>
        <v>0</v>
      </c>
      <c r="AK169" s="11">
        <f>0</f>
        <v>0</v>
      </c>
      <c r="AL169" s="12" t="n"/>
      <c r="AM169" s="11">
        <f>0</f>
        <v>0</v>
      </c>
      <c r="AN169" s="11">
        <f>0</f>
        <v>0</v>
      </c>
      <c r="AO169" s="11">
        <f>0</f>
        <v>0</v>
      </c>
      <c r="AP169" s="11">
        <f>0</f>
        <v>0</v>
      </c>
      <c r="AQ169" s="12" t="n"/>
      <c r="AR169" s="11">
        <f>0</f>
        <v>0</v>
      </c>
      <c r="AS169" s="11">
        <f>0</f>
        <v>0</v>
      </c>
      <c r="AT169" s="11">
        <f>0</f>
        <v>0</v>
      </c>
      <c r="AU169" s="11">
        <f>0</f>
        <v>0</v>
      </c>
      <c r="AV169" s="12" t="n"/>
      <c r="AW169" s="11">
        <f>0</f>
        <v>0</v>
      </c>
      <c r="AX169" s="11">
        <f>0</f>
        <v>0</v>
      </c>
      <c r="AY169" s="11">
        <f>0</f>
        <v>0</v>
      </c>
      <c r="AZ169" s="11">
        <f>0</f>
        <v>0</v>
      </c>
      <c r="BA169" s="12" t="n"/>
      <c r="BB169" s="11">
        <f>0</f>
        <v>0</v>
      </c>
      <c r="BC169" s="11">
        <f>0</f>
        <v>0</v>
      </c>
      <c r="BD169" s="11">
        <f>0</f>
        <v>0</v>
      </c>
      <c r="BE169" s="11">
        <f>0</f>
        <v>0</v>
      </c>
      <c r="BF169" s="12" t="n"/>
      <c r="BG169" s="11" t="n"/>
      <c r="BH169" s="11" t="n"/>
      <c r="BI169" s="11" t="n"/>
      <c r="BJ169" s="11" t="n"/>
      <c r="BK169" s="12" t="n"/>
      <c r="BL169" s="11" t="n"/>
      <c r="BM169" s="11" t="n"/>
      <c r="BN169" s="11" t="n"/>
      <c r="BO169" s="11" t="n"/>
      <c r="BP169" s="12" t="n"/>
      <c r="BQ169" s="11" t="n"/>
      <c r="BR169" s="11" t="n"/>
      <c r="BS169" s="11" t="n"/>
      <c r="BT169" s="11" t="n"/>
      <c r="BU169" s="12" t="n"/>
      <c r="BV169" s="11" t="n"/>
      <c r="BW169" s="11" t="n"/>
      <c r="BX169" s="11" t="n"/>
      <c r="BY169" s="11" t="n"/>
      <c r="BZ169" s="12" t="n"/>
      <c r="CA169" s="11" t="n"/>
      <c r="CB169" s="11" t="n"/>
      <c r="CC169" s="11" t="n"/>
      <c r="CD169" s="11" t="n"/>
      <c r="CE169" s="12" t="n"/>
      <c r="CF169" s="11" t="n"/>
      <c r="CG169" s="11" t="n"/>
      <c r="CH169" s="11" t="n"/>
      <c r="CI169" s="11" t="n"/>
      <c r="CJ169" s="12" t="n"/>
      <c r="CK169" s="11" t="n"/>
      <c r="CL169" s="11" t="n"/>
      <c r="CM169" s="11" t="n"/>
      <c r="CN169" s="11" t="n"/>
      <c r="CO169" s="12" t="n"/>
      <c r="CP169" s="11" t="n"/>
      <c r="CQ169" s="11" t="n"/>
      <c r="CR169" s="11" t="n"/>
      <c r="CS169" s="11" t="n"/>
      <c r="CT169" s="12" t="n"/>
      <c r="CU169" s="11" t="n"/>
      <c r="CV169" s="11" t="n"/>
      <c r="CW169" s="11" t="n"/>
      <c r="CX169" s="11" t="n"/>
      <c r="CY169" s="12" t="n"/>
    </row>
    <row r="170" hidden="1" outlineLevel="1">
      <c r="C170" s="57" t="inlineStr">
        <is>
          <t>Depreciation</t>
        </is>
      </c>
      <c r="D170" s="12" t="n"/>
      <c r="E170" s="12" t="n"/>
      <c r="F170" s="12" t="n"/>
      <c r="G170" s="12" t="n"/>
      <c r="H170" s="12" t="n"/>
      <c r="I170" s="12">
        <f>I70</f>
        <v>-10.679</v>
      </c>
      <c r="J170" s="12">
        <f>J70</f>
        <v>-11.878</v>
      </c>
      <c r="K170" s="12">
        <f>K70</f>
        <v>-13.134</v>
      </c>
      <c r="L170" s="12">
        <f>L70</f>
        <v>-17.704</v>
      </c>
      <c r="M170" s="12" t="n"/>
      <c r="N170" s="12">
        <f>N70</f>
        <v>-15.688</v>
      </c>
      <c r="O170" s="12">
        <f>O70</f>
        <v>-30.096</v>
      </c>
      <c r="P170" s="12">
        <f>P70</f>
        <v>-48.076</v>
      </c>
      <c r="Q170" s="12">
        <f>Q70</f>
        <v>-41.858</v>
      </c>
      <c r="R170" s="12" t="n"/>
      <c r="S170" s="12">
        <f>S70</f>
        <v>-60.225</v>
      </c>
      <c r="T170" s="12">
        <f>T70</f>
        <v>-35.636</v>
      </c>
      <c r="U170" s="12">
        <f>U70</f>
        <v>-37.234</v>
      </c>
      <c r="V170" s="12">
        <f>V70</f>
        <v>-32.565</v>
      </c>
      <c r="W170" s="12" t="n"/>
      <c r="X170" s="12">
        <f>X70</f>
        <v>-35.203</v>
      </c>
      <c r="Y170" s="12">
        <f>Y70</f>
        <v>-32.275</v>
      </c>
      <c r="Z170" s="12">
        <f>Z70</f>
        <v>-39.87</v>
      </c>
      <c r="AA170" s="12">
        <f>AA70</f>
        <v>-48.619</v>
      </c>
      <c r="AB170" s="12" t="n"/>
      <c r="AC170" s="12">
        <f>AC70</f>
        <v>-48.663</v>
      </c>
      <c r="AD170" s="12">
        <f>AD70</f>
        <v>-42.936</v>
      </c>
      <c r="AE170" s="12">
        <f>AE70</f>
        <v>-44.612</v>
      </c>
      <c r="AF170" s="12">
        <f>AF70</f>
        <v>-44.967</v>
      </c>
      <c r="AG170" s="12" t="n"/>
      <c r="AH170" s="12">
        <f>AH70</f>
        <v>-51.389</v>
      </c>
      <c r="AI170" s="12">
        <f>AI70</f>
        <v>-57.892</v>
      </c>
      <c r="AJ170" s="12">
        <f>AJ70</f>
        <v>-61.6696040607832</v>
      </c>
      <c r="AK170" s="12">
        <f>AK70</f>
        <v>-57.9961977573441</v>
      </c>
      <c r="AL170" s="12" t="n"/>
      <c r="AM170" s="12">
        <f>AM70</f>
        <v>-72.6465961004371</v>
      </c>
      <c r="AN170" s="12">
        <f>AN70</f>
        <v>-136.666249830286</v>
      </c>
      <c r="AO170" s="12">
        <f>AO70</f>
        <v>-86.2229567295565</v>
      </c>
      <c r="AP170" s="12">
        <f>AP70</f>
        <v>-81.0870075439685</v>
      </c>
      <c r="AQ170" s="12" t="n"/>
      <c r="AR170" s="12">
        <f>AR70</f>
        <v>-101.207133937109</v>
      </c>
      <c r="AS170" s="12">
        <f>AS70</f>
        <v>-190.395699092816</v>
      </c>
      <c r="AT170" s="12">
        <f>AT70</f>
        <v>-120.120952647488</v>
      </c>
      <c r="AU170" s="12">
        <f>AU70</f>
        <v>-112.965838367923</v>
      </c>
      <c r="AV170" s="12" t="n"/>
      <c r="AW170" s="12">
        <f>AW70</f>
        <v>-140.490026218785</v>
      </c>
      <c r="AX170" s="12">
        <f>AX70</f>
        <v>-264.296554174881</v>
      </c>
      <c r="AY170" s="12">
        <f>AY70</f>
        <v>-166.745120925544</v>
      </c>
      <c r="AZ170" s="12">
        <f>AZ70</f>
        <v>-156.812795469523</v>
      </c>
      <c r="BA170" s="12" t="n"/>
      <c r="BB170" s="12">
        <f>BB70</f>
        <v>-194.317868092914</v>
      </c>
      <c r="BC170" s="12">
        <f>BC70</f>
        <v>-365.560063826789</v>
      </c>
      <c r="BD170" s="12">
        <f>BD70</f>
        <v>-230.632431961312</v>
      </c>
      <c r="BE170" s="12">
        <f>BE70</f>
        <v>-216.894600459927</v>
      </c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inlineStr">
        <is>
          <t>PP&amp;E</t>
        </is>
      </c>
      <c r="D171" s="12" t="n"/>
      <c r="E171" s="12" t="n"/>
      <c r="F171" s="12" t="n"/>
      <c r="G171" s="12" t="n"/>
      <c r="H171" s="12" t="n"/>
      <c r="I171" s="12">
        <f>I166</f>
        <v>284.571</v>
      </c>
      <c r="J171" s="12">
        <f>J166</f>
        <v>295.006</v>
      </c>
      <c r="K171" s="12">
        <f>K166</f>
        <v>310.592</v>
      </c>
      <c r="L171" s="12">
        <f>L166</f>
        <v>375.789</v>
      </c>
      <c r="M171" s="12" t="n"/>
      <c r="N171" s="12">
        <f>N166</f>
        <v>436.313</v>
      </c>
      <c r="O171" s="12">
        <f>O166</f>
        <v>743.024</v>
      </c>
      <c r="P171" s="12">
        <f>P166</f>
        <v>745.099</v>
      </c>
      <c r="Q171" s="12">
        <f>Q166</f>
        <v>785.079</v>
      </c>
      <c r="R171" s="12" t="n"/>
      <c r="S171" s="12">
        <f>S166</f>
        <v>815.367</v>
      </c>
      <c r="T171" s="12">
        <f>T166</f>
        <v>842.62</v>
      </c>
      <c r="U171" s="12">
        <f>U166</f>
        <v>904.989</v>
      </c>
      <c r="V171" s="12">
        <f>V166</f>
        <v>920.767</v>
      </c>
      <c r="W171" s="12" t="n"/>
      <c r="X171" s="12">
        <f>X166</f>
        <v>963.174</v>
      </c>
      <c r="Y171" s="12">
        <f>Y166</f>
        <v>1080.851</v>
      </c>
      <c r="Z171" s="12">
        <f>Z166</f>
        <v>1363.573</v>
      </c>
      <c r="AA171" s="12">
        <f>Y171+SUM(AA168:AA170)</f>
        <v>1273.547</v>
      </c>
      <c r="AB171" s="12" t="n"/>
      <c r="AC171" s="12">
        <f>AC166</f>
        <v>1642.208</v>
      </c>
      <c r="AD171" s="12">
        <f>AD166</f>
        <v>1828.49</v>
      </c>
      <c r="AE171" s="12">
        <f>AE166</f>
        <v>1937.105</v>
      </c>
      <c r="AF171" s="12">
        <f>AF166</f>
        <v>2070.525</v>
      </c>
      <c r="AG171" s="12" t="n"/>
      <c r="AH171" s="12">
        <f>AH166</f>
        <v>2218.63</v>
      </c>
      <c r="AI171" s="12">
        <f>AI166</f>
        <v>3306.709</v>
      </c>
      <c r="AJ171" s="12">
        <f>AI171+SUM(AJ168:AJ170)</f>
        <v>3645.1725414798</v>
      </c>
      <c r="AK171" s="12">
        <f>AJ171+SUM(AK168:AK170)</f>
        <v>3963.47519291188</v>
      </c>
      <c r="AL171" s="12" t="n"/>
      <c r="AM171" s="12">
        <f>AK171+SUM(AM168:AM170)</f>
        <v>4362.18416092102</v>
      </c>
      <c r="AN171" s="12">
        <f>AM171+SUM(AN168:AN170)</f>
        <v>5112.25453388353</v>
      </c>
      <c r="AO171" s="12">
        <f>AN171+SUM(AO168:AO170)</f>
        <v>5585.47513803694</v>
      </c>
      <c r="AP171" s="12">
        <f>AO171+SUM(AP168:AP170)</f>
        <v>6030.50792459871</v>
      </c>
      <c r="AQ171" s="12" t="n"/>
      <c r="AR171" s="12">
        <f>AP171+SUM(AR168:AR170)</f>
        <v>6585.96673606784</v>
      </c>
      <c r="AS171" s="12">
        <f>AR171+SUM(AS168:AS170)</f>
        <v>7630.92240878405</v>
      </c>
      <c r="AT171" s="12">
        <f>AS171+SUM(AT168:AT170)</f>
        <v>8290.1866226247</v>
      </c>
      <c r="AU171" s="12">
        <f>AT171+SUM(AU168:AU170)</f>
        <v>8910.18116130468</v>
      </c>
      <c r="AV171" s="12" t="n"/>
      <c r="AW171" s="12">
        <f>AU171+SUM(AW168:AW170)</f>
        <v>9681.23770594753</v>
      </c>
      <c r="AX171" s="12">
        <f>AW171+SUM(AX168:AX170)</f>
        <v>11131.7861420745</v>
      </c>
      <c r="AY171" s="12">
        <f>AX171+SUM(AY168:AY170)</f>
        <v>12046.9394824026</v>
      </c>
      <c r="AZ171" s="12">
        <f>AY171+SUM(AZ168:AZ170)</f>
        <v>12907.5808779863</v>
      </c>
      <c r="BA171" s="12" t="n"/>
      <c r="BB171" s="12">
        <f>AZ171+SUM(BB168:BB170)</f>
        <v>13974.0627341485</v>
      </c>
      <c r="BC171" s="12">
        <f>BB171+SUM(BC168:BC170)</f>
        <v>15980.3793906402</v>
      </c>
      <c r="BD171" s="12">
        <f>BC171+SUM(BD168:BD170)</f>
        <v>17246.1677946777</v>
      </c>
      <c r="BE171" s="12">
        <f>BD171+SUM(BE168:BE170)</f>
        <v>18436.5583560823</v>
      </c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>
        <f>IF(AJ15=0,"",AJ168/AJ15)</f>
        <v>1.01828462688325</v>
      </c>
      <c r="AK172" s="12">
        <f>IF(AK15=0,"",AK168/AK15)</f>
        <v>1.01828462688325</v>
      </c>
      <c r="AL172" s="12" t="n"/>
      <c r="AM172" s="12">
        <f>IF(AM15=0,"",AM168/AM15)</f>
        <v>1.01828462688325</v>
      </c>
      <c r="AN172" s="12">
        <f>IF(AN15=0,"",AN168/AN15)</f>
        <v>1.01828462688325</v>
      </c>
      <c r="AO172" s="12">
        <f>IF(AO15=0,"",AO168/AO15)</f>
        <v>1.01828462688325</v>
      </c>
      <c r="AP172" s="12">
        <f>IF(AP15=0,"",AP168/AP15)</f>
        <v>1.01828462688325</v>
      </c>
      <c r="AQ172" s="12" t="n"/>
      <c r="AR172" s="12">
        <f>IF(AR15=0,"",AR168/AR15)</f>
        <v>1.01828462688325</v>
      </c>
      <c r="AS172" s="12">
        <f>IF(AS15=0,"",AS168/AS15)</f>
        <v>1.01828462688325</v>
      </c>
      <c r="AT172" s="12">
        <f>IF(AT15=0,"",AT168/AT15)</f>
        <v>1.01828462688325</v>
      </c>
      <c r="AU172" s="12">
        <f>IF(AU15=0,"",AU168/AU15)</f>
        <v>1.01828462688325</v>
      </c>
      <c r="AV172" s="12" t="n"/>
      <c r="AW172" s="12">
        <f>IF(AW15=0,"",AW168/AW15)</f>
        <v>1.01828462688325</v>
      </c>
      <c r="AX172" s="12">
        <f>IF(AX15=0,"",AX168/AX15)</f>
        <v>1.01828462688325</v>
      </c>
      <c r="AY172" s="12">
        <f>IF(AY15=0,"",AY168/AY15)</f>
        <v>1.01828462688325</v>
      </c>
      <c r="AZ172" s="12">
        <f>IF(AZ15=0,"",AZ168/AZ15)</f>
        <v>1.01828462688325</v>
      </c>
      <c r="BA172" s="12" t="n"/>
      <c r="BB172" s="12">
        <f>IF(BB15=0,"",BB168/BB15)</f>
        <v>1.01828462688325</v>
      </c>
      <c r="BC172" s="12">
        <f>IF(BC15=0,"",BC168/BC15)</f>
        <v>1.01828462688325</v>
      </c>
      <c r="BD172" s="12">
        <f>IF(BD15=0,"",BD168/BD15)</f>
        <v>1.01828462688325</v>
      </c>
      <c r="BE172" s="12">
        <f>IF(BE15=0,"",BE168/BE15)</f>
        <v>1.01828462688325</v>
      </c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Capital expenditures (% Net Revenues)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58">
        <f>IFERROR(AF168/AF15,"")</f>
        <v>0.674918372056949</v>
      </c>
      <c r="AG173" s="58">
        <f>IFERROR(AG168/AG15,"")</f>
        <v>0.662103699754365</v>
      </c>
      <c r="AH173" s="58">
        <f>IFERROR(AH168/AH15,"")</f>
        <v>0.602562553613068</v>
      </c>
      <c r="AI173" s="58">
        <f>IFERROR(AI168/AI15,"")</f>
        <v>1.83992415338869</v>
      </c>
      <c r="AJ173" s="58">
        <f>IFERROR(AJ168/AJ15,"")</f>
        <v>1.01828462688325</v>
      </c>
      <c r="AK173" s="58">
        <f>IFERROR(AK168/AK15,"")</f>
        <v>1.01828462688325</v>
      </c>
      <c r="AL173" s="58">
        <f>IFERROR(AL168/AL15,"")</f>
        <v>0</v>
      </c>
      <c r="AM173" s="58">
        <f>IFERROR(AM168/AM15,"")</f>
        <v>1.01828462688325</v>
      </c>
      <c r="AN173" s="58">
        <f>IFERROR(AN168/AN15,"")</f>
        <v>1.01828462688325</v>
      </c>
      <c r="AO173" s="58">
        <f>IFERROR(AO168/AO15,"")</f>
        <v>1.01828462688325</v>
      </c>
      <c r="AP173" s="58">
        <f>IFERROR(AP168/AP15,"")</f>
        <v>1.01828462688325</v>
      </c>
      <c r="AQ173" s="58">
        <f>IFERROR(AQ168/AQ15,"")</f>
        <v>0</v>
      </c>
      <c r="AR173" s="58">
        <f>IFERROR(AR168/AR15,"")</f>
        <v>1.01828462688325</v>
      </c>
      <c r="AS173" s="58">
        <f>IFERROR(AS168/AS15,"")</f>
        <v>1.01828462688325</v>
      </c>
      <c r="AT173" s="58">
        <f>IFERROR(AT168/AT15,"")</f>
        <v>1.01828462688325</v>
      </c>
      <c r="AU173" s="58">
        <f>IFERROR(AU168/AU15,"")</f>
        <v>1.01828462688325</v>
      </c>
      <c r="AV173" s="58">
        <f>IFERROR(AV168/AV15,"")</f>
        <v>0</v>
      </c>
      <c r="AW173" s="58">
        <f>IFERROR(AW168/AW15,"")</f>
        <v>1.01828462688325</v>
      </c>
      <c r="AX173" s="58">
        <f>IFERROR(AX168/AX15,"")</f>
        <v>1.01828462688325</v>
      </c>
      <c r="AY173" s="58">
        <f>IFERROR(AY168/AY15,"")</f>
        <v>1.01828462688325</v>
      </c>
      <c r="AZ173" s="58">
        <f>IFERROR(AZ168/AZ15,"")</f>
        <v>1.01828462688325</v>
      </c>
      <c r="BA173" s="58">
        <f>IFERROR(BA168/BA15,"")</f>
        <v>0</v>
      </c>
      <c r="BB173" s="58">
        <f>IFERROR(BB168/BB15,"")</f>
        <v>1.01828462688325</v>
      </c>
      <c r="BC173" s="58">
        <f>IFERROR(BC168/BC15,"")</f>
        <v>1.01828462688325</v>
      </c>
      <c r="BD173" s="58">
        <f>IFERROR(BD168/BD15,"")</f>
        <v>1.01828462688325</v>
      </c>
      <c r="BE173" s="58">
        <f>IFERROR(BE168/BE15,"")</f>
        <v>1.01828462688325</v>
      </c>
      <c r="BF173" s="58">
        <f>IFERROR(BF168/BF15,"")</f>
        <v>0</v>
      </c>
      <c r="BG173" s="58" t="n"/>
      <c r="BH173" s="58" t="n"/>
      <c r="BI173" s="58" t="n"/>
      <c r="BJ173" s="58" t="n"/>
      <c r="BK173" s="58" t="n"/>
      <c r="BL173" s="58" t="n"/>
      <c r="BM173" s="58" t="n"/>
      <c r="BN173" s="58" t="n"/>
      <c r="BO173" s="58" t="n"/>
      <c r="BP173" s="58" t="n"/>
      <c r="BQ173" s="58" t="n"/>
      <c r="BR173" s="58" t="n"/>
      <c r="BS173" s="58" t="n"/>
      <c r="BT173" s="58" t="n"/>
      <c r="BU173" s="58" t="n"/>
      <c r="BV173" s="58" t="n"/>
      <c r="BW173" s="58" t="n"/>
      <c r="BX173" s="58" t="n"/>
      <c r="BY173" s="58" t="n"/>
      <c r="BZ173" s="58" t="n"/>
      <c r="CA173" s="58" t="n"/>
      <c r="CB173" s="58" t="n"/>
      <c r="CC173" s="58" t="n"/>
      <c r="CD173" s="58" t="n"/>
      <c r="CE173" s="58" t="n"/>
      <c r="CF173" s="58" t="n"/>
      <c r="CG173" s="58" t="n"/>
      <c r="CH173" s="58" t="n"/>
      <c r="CI173" s="58" t="n"/>
      <c r="CJ173" s="58" t="n"/>
      <c r="CK173" s="58" t="n"/>
      <c r="CL173" s="58" t="n"/>
      <c r="CM173" s="58" t="n"/>
      <c r="CN173" s="58" t="n"/>
      <c r="CO173" s="58" t="n"/>
      <c r="CP173" s="58" t="n"/>
      <c r="CQ173" s="58" t="n"/>
      <c r="CR173" s="58" t="n"/>
      <c r="CS173" s="58" t="n"/>
      <c r="CT173" s="58" t="n"/>
      <c r="CU173" s="58" t="n"/>
      <c r="CV173" s="58" t="n"/>
      <c r="CW173" s="58" t="n"/>
      <c r="CX173" s="58" t="n"/>
      <c r="CY173" s="58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collapsed="1">
      <c r="C176" s="14" t="inlineStr">
        <is>
          <t>Right-of-use-assets</t>
        </is>
      </c>
      <c r="D176" s="46" t="n"/>
      <c r="E176" s="46" t="n"/>
      <c r="F176" s="46" t="n"/>
      <c r="G176" s="46" t="n"/>
      <c r="H176" s="12" t="n"/>
      <c r="I176" s="46">
        <f>'Inputs (2)'!D23</f>
        <v>18.009</v>
      </c>
      <c r="J176" s="46">
        <f>'Inputs (2)'!E23</f>
        <v>17.861</v>
      </c>
      <c r="K176" s="46">
        <f>'Inputs (2)'!F23</f>
        <v>22.216</v>
      </c>
      <c r="L176" s="46">
        <f>'Inputs (2)'!G23</f>
        <v>18.81</v>
      </c>
      <c r="M176" s="12">
        <f>'Inputs (2)'!H23</f>
        <v>18.81</v>
      </c>
      <c r="N176" s="46">
        <f>'Inputs (2)'!I23</f>
        <v>20.349</v>
      </c>
      <c r="O176" s="46">
        <f>'Inputs (2)'!J23</f>
        <v>32.183</v>
      </c>
      <c r="P176" s="46">
        <f>'Inputs (2)'!K23</f>
        <v>44.721</v>
      </c>
      <c r="Q176" s="46">
        <f>'Inputs (2)'!L23</f>
        <v>42.658</v>
      </c>
      <c r="R176" s="12">
        <f>'Inputs (2)'!M23</f>
        <v>42.658</v>
      </c>
      <c r="S176" s="46">
        <f>'Inputs (2)'!N23</f>
        <v>36.672</v>
      </c>
      <c r="T176" s="46">
        <f>'Inputs (2)'!O23</f>
        <v>46.848</v>
      </c>
      <c r="U176" s="46">
        <f>'Inputs (2)'!P23</f>
        <v>38.878</v>
      </c>
      <c r="V176" s="46">
        <f>'Inputs (2)'!Q23</f>
        <v>40.67</v>
      </c>
      <c r="W176" s="12">
        <f>'Inputs (2)'!R23</f>
        <v>40.67</v>
      </c>
      <c r="X176" s="46">
        <f>'Inputs (2)'!S23</f>
        <v>41.626</v>
      </c>
      <c r="Y176" s="46">
        <f>'Inputs (2)'!T23</f>
        <v>45.004</v>
      </c>
      <c r="Z176" s="46">
        <f>'Inputs (2)'!U23</f>
        <v>96.143</v>
      </c>
      <c r="AA176" s="46">
        <f>'Inputs (2)'!V23</f>
        <v>98.549</v>
      </c>
      <c r="AB176" s="12">
        <f>'Inputs (2)'!W23</f>
        <v>98.549</v>
      </c>
      <c r="AC176" s="46">
        <f>'Inputs (2)'!X23</f>
        <v>100.278</v>
      </c>
      <c r="AD176" s="46">
        <f>'Inputs (2)'!Y23</f>
        <v>80.784</v>
      </c>
      <c r="AE176" s="46">
        <f>'Inputs (2)'!Z23</f>
        <v>73.022</v>
      </c>
      <c r="AF176" s="46">
        <f>'Inputs (2)'!AA23</f>
        <v>98.014</v>
      </c>
      <c r="AG176" s="12">
        <f>'Inputs (2)'!AB23</f>
        <v>98.014</v>
      </c>
      <c r="AH176" s="12">
        <f>'Inputs (2)'!AC23</f>
        <v>87.373</v>
      </c>
      <c r="AI176" s="12">
        <f>'Inputs (2)'!AD23</f>
        <v>92.908</v>
      </c>
      <c r="AJ176" s="12">
        <f>AI176</f>
        <v>92.908</v>
      </c>
      <c r="AK176" s="12">
        <f>AJ176</f>
        <v>92.908</v>
      </c>
      <c r="AL176" s="12">
        <f>AK176</f>
        <v>92.908</v>
      </c>
      <c r="AM176" s="12">
        <f>AL176</f>
        <v>92.908</v>
      </c>
      <c r="AN176" s="12">
        <f>AM176</f>
        <v>92.908</v>
      </c>
      <c r="AO176" s="12">
        <f>AN176</f>
        <v>92.908</v>
      </c>
      <c r="AP176" s="12">
        <f>AO176</f>
        <v>92.908</v>
      </c>
      <c r="AQ176" s="12">
        <f>AP176</f>
        <v>92.908</v>
      </c>
      <c r="AR176" s="12">
        <f>AQ176</f>
        <v>92.908</v>
      </c>
      <c r="AS176" s="12">
        <f>AR176</f>
        <v>92.908</v>
      </c>
      <c r="AT176" s="12">
        <f>AS176</f>
        <v>92.908</v>
      </c>
      <c r="AU176" s="12">
        <f>AT176</f>
        <v>92.908</v>
      </c>
      <c r="AV176" s="12">
        <f>AU176</f>
        <v>92.908</v>
      </c>
      <c r="AW176" s="12">
        <f>AV176</f>
        <v>92.908</v>
      </c>
      <c r="AX176" s="12">
        <f>AW176</f>
        <v>92.908</v>
      </c>
      <c r="AY176" s="12">
        <f>AX176</f>
        <v>92.908</v>
      </c>
      <c r="AZ176" s="12">
        <f>AY176</f>
        <v>92.908</v>
      </c>
      <c r="BA176" s="12">
        <f>AZ176</f>
        <v>92.908</v>
      </c>
      <c r="BB176" s="12">
        <f>BA176</f>
        <v>92.908</v>
      </c>
      <c r="BC176" s="12">
        <f>BB176</f>
        <v>92.908</v>
      </c>
      <c r="BD176" s="12">
        <f>BC176</f>
        <v>92.908</v>
      </c>
      <c r="BE176" s="12">
        <f>BD176</f>
        <v>92.908</v>
      </c>
      <c r="BF176" s="12">
        <f>BE176</f>
        <v>92.908</v>
      </c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9" t="inlineStr">
        <is>
          <t>%(Var.)</t>
        </is>
      </c>
      <c r="D177" s="12" t="n"/>
      <c r="E177" s="40" t="n"/>
      <c r="F177" s="40" t="n"/>
      <c r="G177" s="40" t="n"/>
      <c r="H177" s="12" t="n"/>
      <c r="I177" s="40" t="str">
        <f>""</f>
        <v/>
      </c>
      <c r="J177" s="40">
        <f>IFERROR(IF(I176=0,"",J176/I176-1),"")</f>
        <v>-0.00821811316563936</v>
      </c>
      <c r="K177" s="40">
        <f>IFERROR(IF(J176=0,"",K176/J176-1),"")</f>
        <v>0.243827333296008</v>
      </c>
      <c r="L177" s="40">
        <f>IFERROR(IF(K176=0,"",L176/K176-1),"")</f>
        <v>-0.153312927619734</v>
      </c>
      <c r="M177" s="12">
        <f>IFERROR(IF(L176=0,"",M176/L176-1),"")</f>
        <v>0</v>
      </c>
      <c r="N177" s="40">
        <f>IFERROR(IF(M176=0,"",N176/M176-1),"")</f>
        <v>0.081818181818182</v>
      </c>
      <c r="O177" s="40">
        <f>IFERROR(IF(N176=0,"",O176/N176-1),"")</f>
        <v>0.581551919013219</v>
      </c>
      <c r="P177" s="40">
        <f>IFERROR(IF(O176=0,"",P176/O176-1),"")</f>
        <v>0.38958456327875</v>
      </c>
      <c r="Q177" s="40">
        <f>IFERROR(IF(P176=0,"",Q176/P176-1),"")</f>
        <v>-0.0461304532546231</v>
      </c>
      <c r="R177" s="12">
        <f>IFERROR(IF(Q176=0,"",R176/Q176-1),"")</f>
        <v>0</v>
      </c>
      <c r="S177" s="40">
        <f>IFERROR(IF(R176=0,"",S176/R176-1),"")</f>
        <v>-0.140325378592527</v>
      </c>
      <c r="T177" s="40">
        <f>IFERROR(IF(S176=0,"",T176/S176-1),"")</f>
        <v>0.277486910994764</v>
      </c>
      <c r="U177" s="40">
        <f>IFERROR(IF(T176=0,"",U176/T176-1),"")</f>
        <v>-0.170124658469945</v>
      </c>
      <c r="V177" s="40">
        <f>IFERROR(IF(U176=0,"",V176/U176-1),"")</f>
        <v>0.0460929060136839</v>
      </c>
      <c r="W177" s="12">
        <f>IFERROR(IF(V176=0,"",W176/V176-1),"")</f>
        <v>0</v>
      </c>
      <c r="X177" s="40">
        <f>IFERROR(IF(W176=0,"",X176/W176-1),"")</f>
        <v>0.0235062699778705</v>
      </c>
      <c r="Y177" s="40">
        <f>IFERROR(IF(X176=0,"",Y176/X176-1),"")</f>
        <v>0.0811512035746889</v>
      </c>
      <c r="Z177" s="40">
        <f>IFERROR(IF(Y176=0,"",Z176/Y176-1),"")</f>
        <v>1.13632121589192</v>
      </c>
      <c r="AA177" s="40">
        <f>IFERROR(IF(Z176=0,"",AA176/Z176-1),"")</f>
        <v>0.0250252228451371</v>
      </c>
      <c r="AB177" s="12">
        <f>IFERROR(IF(AA176=0,"",AB176/AA176-1),"")</f>
        <v>0</v>
      </c>
      <c r="AC177" s="40">
        <f>IFERROR(IF(AB176=0,"",AC176/AB176-1),"")</f>
        <v>0.0175445717358878</v>
      </c>
      <c r="AD177" s="40">
        <f>IFERROR(IF(AC176=0,"",AD176/AC176-1),"")</f>
        <v>-0.194399569197631</v>
      </c>
      <c r="AE177" s="40">
        <f>IFERROR(IF(AD176=0,"",AE176/AD176-1),"")</f>
        <v>-0.0960833828480887</v>
      </c>
      <c r="AF177" s="55">
        <f>IFERROR(IF(AE176=0,"",AF176/AE176-1),"")</f>
        <v>0.342253019637917</v>
      </c>
      <c r="AG177" s="12">
        <f>IFERROR(IF(AF176=0,"",AG176/AF176-1),"")</f>
        <v>0</v>
      </c>
      <c r="AH177" s="55">
        <f>IFERROR(IF(AG176=0,"",AH176/AG176-1),"")</f>
        <v>-0.108566123206889</v>
      </c>
      <c r="AI177" s="55">
        <f>IFERROR(IF(AH176=0,"",AI176/AH176-1),"")</f>
        <v>0.063349089535669</v>
      </c>
      <c r="AJ177" s="55">
        <f>IFERROR(IF(AI176=0,"",AJ176/AI176-1),"")</f>
        <v>0</v>
      </c>
      <c r="AK177" s="55">
        <f>IFERROR(IF(AJ176=0,"",AK176/AJ176-1),"")</f>
        <v>0</v>
      </c>
      <c r="AL177" s="12">
        <f>IFERROR(IF(AK176=0,"",AL176/AK176-1),"")</f>
        <v>0</v>
      </c>
      <c r="AM177" s="55">
        <f>IFERROR(IF(AL176=0,"",AM176/AL176-1),"")</f>
        <v>0</v>
      </c>
      <c r="AN177" s="55">
        <f>IFERROR(IF(AM176=0,"",AN176/AM176-1),"")</f>
        <v>0</v>
      </c>
      <c r="AO177" s="55">
        <f>IFERROR(IF(AN176=0,"",AO176/AN176-1),"")</f>
        <v>0</v>
      </c>
      <c r="AP177" s="55">
        <f>IFERROR(IF(AO176=0,"",AP176/AO176-1),"")</f>
        <v>0</v>
      </c>
      <c r="AQ177" s="12">
        <f>IFERROR(IF(AP176=0,"",AQ176/AP176-1),"")</f>
        <v>0</v>
      </c>
      <c r="AR177" s="55">
        <f>IFERROR(IF(AQ176=0,"",AR176/AQ176-1),"")</f>
        <v>0</v>
      </c>
      <c r="AS177" s="55">
        <f>IFERROR(IF(AR176=0,"",AS176/AR176-1),"")</f>
        <v>0</v>
      </c>
      <c r="AT177" s="55">
        <f>IFERROR(IF(AS176=0,"",AT176/AS176-1),"")</f>
        <v>0</v>
      </c>
      <c r="AU177" s="55">
        <f>IFERROR(IF(AT176=0,"",AU176/AT176-1),"")</f>
        <v>0</v>
      </c>
      <c r="AV177" s="12">
        <f>IFERROR(IF(AU176=0,"",AV176/AU176-1),"")</f>
        <v>0</v>
      </c>
      <c r="AW177" s="55">
        <f>IFERROR(IF(AV176=0,"",AW176/AV176-1),"")</f>
        <v>0</v>
      </c>
      <c r="AX177" s="55">
        <f>IFERROR(IF(AW176=0,"",AX176/AW176-1),"")</f>
        <v>0</v>
      </c>
      <c r="AY177" s="55">
        <f>IFERROR(IF(AX176=0,"",AY176/AX176-1),"")</f>
        <v>0</v>
      </c>
      <c r="AZ177" s="55">
        <f>IFERROR(IF(AY176=0,"",AZ176/AY176-1),"")</f>
        <v>0</v>
      </c>
      <c r="BA177" s="12">
        <f>IFERROR(IF(AZ176=0,"",BA176/AZ176-1),"")</f>
        <v>0</v>
      </c>
      <c r="BB177" s="55">
        <f>IFERROR(IF(BA176=0,"",BB176/BA176-1),"")</f>
        <v>0</v>
      </c>
      <c r="BC177" s="55">
        <f>IFERROR(IF(BB176=0,"",BC176/BB176-1),"")</f>
        <v>0</v>
      </c>
      <c r="BD177" s="55">
        <f>IFERROR(IF(BC176=0,"",BD176/BC176-1),"")</f>
        <v>0</v>
      </c>
      <c r="BE177" s="55">
        <f>IFERROR(IF(BD176=0,"",BE176/BD176-1),"")</f>
        <v>0</v>
      </c>
      <c r="BF177" s="12">
        <f>IFERROR(IF(BE176=0,"",BF176/BE176-1),"")</f>
        <v>0</v>
      </c>
      <c r="BG177" s="55" t="n"/>
      <c r="BH177" s="55" t="n"/>
      <c r="BI177" s="55" t="n"/>
      <c r="BJ177" s="55" t="n"/>
      <c r="BK177" s="12" t="n"/>
      <c r="BL177" s="55" t="n"/>
      <c r="BM177" s="55" t="n"/>
      <c r="BN177" s="55" t="n"/>
      <c r="BO177" s="55" t="n"/>
      <c r="BP177" s="12" t="n"/>
      <c r="BQ177" s="55" t="n"/>
      <c r="BR177" s="55" t="n"/>
      <c r="BS177" s="55" t="n"/>
      <c r="BT177" s="55" t="n"/>
      <c r="BU177" s="12" t="n"/>
      <c r="BV177" s="55" t="n"/>
      <c r="BW177" s="55" t="n"/>
      <c r="BX177" s="55" t="n"/>
      <c r="BY177" s="55" t="n"/>
      <c r="BZ177" s="12" t="n"/>
      <c r="CA177" s="55" t="n"/>
      <c r="CB177" s="55" t="n"/>
      <c r="CC177" s="55" t="n"/>
      <c r="CD177" s="55" t="n"/>
      <c r="CE177" s="12" t="n"/>
      <c r="CF177" s="55" t="n"/>
      <c r="CG177" s="55" t="n"/>
      <c r="CH177" s="55" t="n"/>
      <c r="CI177" s="55" t="n"/>
      <c r="CJ177" s="12" t="n"/>
      <c r="CK177" s="55" t="n"/>
      <c r="CL177" s="55" t="n"/>
      <c r="CM177" s="55" t="n"/>
      <c r="CN177" s="55" t="n"/>
      <c r="CO177" s="12" t="n"/>
      <c r="CP177" s="55" t="n"/>
      <c r="CQ177" s="55" t="n"/>
      <c r="CR177" s="55" t="n"/>
      <c r="CS177" s="55" t="n"/>
      <c r="CT177" s="12" t="n"/>
      <c r="CU177" s="55" t="n"/>
      <c r="CV177" s="55" t="n"/>
      <c r="CW177" s="55" t="n"/>
      <c r="CX177" s="55" t="n"/>
      <c r="CY177" s="12" t="n"/>
    </row>
    <row r="178" hidden="1" outlineLevel="1">
      <c r="C178" s="57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collapsed="1">
      <c r="C179" s="14" t="inlineStr">
        <is>
          <t>Goodwill</t>
        </is>
      </c>
      <c r="D179" s="46" t="n"/>
      <c r="E179" s="46" t="n"/>
      <c r="F179" s="46" t="n"/>
      <c r="G179" s="46" t="n"/>
      <c r="H179" s="12" t="n"/>
      <c r="I179" s="46">
        <f>'Inputs (2)'!D24</f>
        <v>0</v>
      </c>
      <c r="J179" s="46">
        <f>'Inputs (2)'!E24</f>
        <v>0</v>
      </c>
      <c r="K179" s="46">
        <f>'Inputs (2)'!F24</f>
        <v>0</v>
      </c>
      <c r="L179" s="46">
        <f>'Inputs (2)'!G24</f>
        <v>0</v>
      </c>
      <c r="M179" s="12">
        <f>'Inputs (2)'!H24</f>
        <v>0</v>
      </c>
      <c r="N179" s="46">
        <f>'Inputs (2)'!I24</f>
        <v>0</v>
      </c>
      <c r="O179" s="46">
        <f>'Inputs (2)'!J24</f>
        <v>0</v>
      </c>
      <c r="P179" s="46">
        <f>'Inputs (2)'!K24</f>
        <v>0</v>
      </c>
      <c r="Q179" s="46">
        <f>'Inputs (2)'!L24</f>
        <v>0</v>
      </c>
      <c r="R179" s="12">
        <f>'Inputs (2)'!M24</f>
        <v>0</v>
      </c>
      <c r="S179" s="46">
        <f>'Inputs (2)'!N24</f>
        <v>0</v>
      </c>
      <c r="T179" s="46">
        <f>'Inputs (2)'!O24</f>
        <v>0</v>
      </c>
      <c r="U179" s="46">
        <f>'Inputs (2)'!P24</f>
        <v>0</v>
      </c>
      <c r="V179" s="46">
        <f>'Inputs (2)'!Q24</f>
        <v>0</v>
      </c>
      <c r="W179" s="12">
        <f>'Inputs (2)'!R24</f>
        <v>0</v>
      </c>
      <c r="X179" s="46">
        <f>'Inputs (2)'!S24</f>
        <v>0</v>
      </c>
      <c r="Y179" s="46">
        <f>'Inputs (2)'!T24</f>
        <v>0</v>
      </c>
      <c r="Z179" s="46">
        <f>'Inputs (2)'!U24</f>
        <v>0</v>
      </c>
      <c r="AA179" s="46">
        <f>'Inputs (2)'!V24</f>
        <v>0</v>
      </c>
      <c r="AB179" s="12">
        <f>'Inputs (2)'!W24</f>
        <v>0</v>
      </c>
      <c r="AC179" s="46">
        <f>'Inputs (2)'!X24</f>
        <v>0</v>
      </c>
      <c r="AD179" s="46">
        <f>'Inputs (2)'!Y24</f>
        <v>0</v>
      </c>
      <c r="AE179" s="46">
        <f>'Inputs (2)'!Z24</f>
        <v>0</v>
      </c>
      <c r="AF179" s="46">
        <f>'Inputs (2)'!AA24</f>
        <v>0</v>
      </c>
      <c r="AG179" s="12">
        <f>'Inputs (2)'!AB24</f>
        <v>0</v>
      </c>
      <c r="AH179" s="12">
        <f>'Inputs (2)'!AC24</f>
        <v>0</v>
      </c>
      <c r="AI179" s="12">
        <f>'Inputs (2)'!AD24</f>
        <v>0</v>
      </c>
      <c r="AJ179" s="12">
        <f>AI179</f>
        <v>0</v>
      </c>
      <c r="AK179" s="12">
        <f>AJ179</f>
        <v>0</v>
      </c>
      <c r="AL179" s="12">
        <f>AK179</f>
        <v>0</v>
      </c>
      <c r="AM179" s="12">
        <f>AL179</f>
        <v>0</v>
      </c>
      <c r="AN179" s="12">
        <f>AM179</f>
        <v>0</v>
      </c>
      <c r="AO179" s="12">
        <f>AN179</f>
        <v>0</v>
      </c>
      <c r="AP179" s="12">
        <f>AO179</f>
        <v>0</v>
      </c>
      <c r="AQ179" s="12">
        <f>AP179</f>
        <v>0</v>
      </c>
      <c r="AR179" s="12">
        <f>AQ179</f>
        <v>0</v>
      </c>
      <c r="AS179" s="12">
        <f>AR179</f>
        <v>0</v>
      </c>
      <c r="AT179" s="12">
        <f>AS179</f>
        <v>0</v>
      </c>
      <c r="AU179" s="12">
        <f>AT179</f>
        <v>0</v>
      </c>
      <c r="AV179" s="12">
        <f>AU179</f>
        <v>0</v>
      </c>
      <c r="AW179" s="12">
        <f>AV179</f>
        <v>0</v>
      </c>
      <c r="AX179" s="12">
        <f>AW179</f>
        <v>0</v>
      </c>
      <c r="AY179" s="12">
        <f>AX179</f>
        <v>0</v>
      </c>
      <c r="AZ179" s="12">
        <f>AY179</f>
        <v>0</v>
      </c>
      <c r="BA179" s="12">
        <f>AZ179</f>
        <v>0</v>
      </c>
      <c r="BB179" s="12">
        <f>BA179</f>
        <v>0</v>
      </c>
      <c r="BC179" s="12">
        <f>BB179</f>
        <v>0</v>
      </c>
      <c r="BD179" s="12">
        <f>BC179</f>
        <v>0</v>
      </c>
      <c r="BE179" s="12">
        <f>BD179</f>
        <v>0</v>
      </c>
      <c r="BF179" s="12">
        <f>BE179</f>
        <v>0</v>
      </c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>
      <c r="C180" s="14" t="inlineStr">
        <is>
          <t>Intangibles</t>
        </is>
      </c>
      <c r="D180" s="46" t="n"/>
      <c r="E180" s="46" t="n"/>
      <c r="F180" s="46" t="n"/>
      <c r="G180" s="46" t="n"/>
      <c r="H180" s="12" t="n"/>
      <c r="I180" s="46">
        <f>'Inputs (2)'!D25</f>
        <v>95.247</v>
      </c>
      <c r="J180" s="46">
        <f>'Inputs (2)'!E25</f>
        <v>94.179</v>
      </c>
      <c r="K180" s="46">
        <f>'Inputs (2)'!F25</f>
        <v>93.08</v>
      </c>
      <c r="L180" s="46">
        <f>'Inputs (2)'!G25</f>
        <v>90.841</v>
      </c>
      <c r="M180" s="12">
        <f>'Inputs (2)'!H25</f>
        <v>90.841</v>
      </c>
      <c r="N180" s="46">
        <f>'Inputs (2)'!I25</f>
        <v>152.468</v>
      </c>
      <c r="O180" s="46">
        <f>'Inputs (2)'!J25</f>
        <v>388.625</v>
      </c>
      <c r="P180" s="46">
        <f>'Inputs (2)'!K25</f>
        <v>383.428</v>
      </c>
      <c r="Q180" s="46">
        <f>'Inputs (2)'!L25</f>
        <v>525.522</v>
      </c>
      <c r="R180" s="12">
        <f>'Inputs (2)'!M25</f>
        <v>525.522</v>
      </c>
      <c r="S180" s="46">
        <f>'Inputs (2)'!N25</f>
        <v>512.881</v>
      </c>
      <c r="T180" s="46">
        <f>'Inputs (2)'!O25</f>
        <v>511.514</v>
      </c>
      <c r="U180" s="46">
        <f>'Inputs (2)'!P25</f>
        <v>505.445</v>
      </c>
      <c r="V180" s="46">
        <f>'Inputs (2)'!Q25</f>
        <v>465.87</v>
      </c>
      <c r="W180" s="12">
        <f>'Inputs (2)'!R25</f>
        <v>465.87</v>
      </c>
      <c r="X180" s="46">
        <f>'Inputs (2)'!S25</f>
        <v>459.368</v>
      </c>
      <c r="Y180" s="46">
        <f>'Inputs (2)'!T25</f>
        <v>452.934</v>
      </c>
      <c r="Z180" s="46">
        <f>'Inputs (2)'!U25</f>
        <v>481.238</v>
      </c>
      <c r="AA180" s="46">
        <f>'Inputs (2)'!V25</f>
        <v>450.867</v>
      </c>
      <c r="AB180" s="12">
        <f>'Inputs (2)'!W25</f>
        <v>450.867</v>
      </c>
      <c r="AC180" s="46">
        <f>'Inputs (2)'!X25</f>
        <v>453.354</v>
      </c>
      <c r="AD180" s="46">
        <f>'Inputs (2)'!Y25</f>
        <v>448.098</v>
      </c>
      <c r="AE180" s="46">
        <f>'Inputs (2)'!Z25</f>
        <v>442.417</v>
      </c>
      <c r="AF180" s="46">
        <f>'Inputs (2)'!AA25</f>
        <v>490.998</v>
      </c>
      <c r="AG180" s="12">
        <f>'Inputs (2)'!AB25</f>
        <v>490.998</v>
      </c>
      <c r="AH180" s="12">
        <f>'Inputs (2)'!AC25</f>
        <v>485.782</v>
      </c>
      <c r="AI180" s="12">
        <f>'Inputs (2)'!AD25</f>
        <v>3830</v>
      </c>
      <c r="AJ180" s="12">
        <f>AI180</f>
        <v>3830</v>
      </c>
      <c r="AK180" s="12">
        <f>AJ180</f>
        <v>3830</v>
      </c>
      <c r="AL180" s="12">
        <f>AK180</f>
        <v>3830</v>
      </c>
      <c r="AM180" s="16">
        <f>AL180</f>
        <v>3830</v>
      </c>
      <c r="AN180" s="12">
        <f>AM180</f>
        <v>3830</v>
      </c>
      <c r="AO180" s="12">
        <f>AN180</f>
        <v>3830</v>
      </c>
      <c r="AP180" s="12">
        <f>AO180</f>
        <v>3830</v>
      </c>
      <c r="AQ180" s="12">
        <f>AP180</f>
        <v>3830</v>
      </c>
      <c r="AR180" s="16">
        <f>AQ180</f>
        <v>3830</v>
      </c>
      <c r="AS180" s="12">
        <f>AR180</f>
        <v>3830</v>
      </c>
      <c r="AT180" s="12">
        <f>AS180</f>
        <v>3830</v>
      </c>
      <c r="AU180" s="12">
        <f>AT180</f>
        <v>3830</v>
      </c>
      <c r="AV180" s="12">
        <f>AU180</f>
        <v>3830</v>
      </c>
      <c r="AW180" s="16">
        <f>AV180</f>
        <v>3830</v>
      </c>
      <c r="AX180" s="12">
        <f>AW180</f>
        <v>3830</v>
      </c>
      <c r="AY180" s="12">
        <f>AX180</f>
        <v>3830</v>
      </c>
      <c r="AZ180" s="12">
        <f>AY180</f>
        <v>3830</v>
      </c>
      <c r="BA180" s="12">
        <f>AZ180</f>
        <v>3830</v>
      </c>
      <c r="BB180" s="16">
        <f>BA180</f>
        <v>3830</v>
      </c>
      <c r="BC180" s="12">
        <f>BB180</f>
        <v>3830</v>
      </c>
      <c r="BD180" s="12">
        <f>BC180</f>
        <v>3830</v>
      </c>
      <c r="BE180" s="12">
        <f>BD180</f>
        <v>3830</v>
      </c>
      <c r="BF180" s="12">
        <f>BE180</f>
        <v>3830</v>
      </c>
      <c r="BH180" s="12" t="n"/>
      <c r="BI180" s="12" t="n"/>
      <c r="BJ180" s="12" t="n"/>
      <c r="BK180" s="12" t="n"/>
      <c r="BM180" s="12" t="n"/>
      <c r="BN180" s="12" t="n"/>
      <c r="BO180" s="12" t="n"/>
      <c r="BP180" s="12" t="n"/>
      <c r="BR180" s="12" t="n"/>
      <c r="BS180" s="12" t="n"/>
      <c r="BT180" s="12" t="n"/>
      <c r="BU180" s="12" t="n"/>
      <c r="BW180" s="12" t="n"/>
      <c r="BX180" s="12" t="n"/>
      <c r="BY180" s="12" t="n"/>
      <c r="BZ180" s="12" t="n"/>
      <c r="CB180" s="12" t="n"/>
      <c r="CC180" s="12" t="n"/>
      <c r="CD180" s="12" t="n"/>
      <c r="CE180" s="12" t="n"/>
      <c r="CG180" s="12" t="n"/>
      <c r="CH180" s="12" t="n"/>
      <c r="CI180" s="12" t="n"/>
      <c r="CJ180" s="12" t="n"/>
      <c r="CL180" s="12" t="n"/>
      <c r="CM180" s="12" t="n"/>
      <c r="CN180" s="12" t="n"/>
      <c r="CO180" s="12" t="n"/>
      <c r="CQ180" s="12" t="n"/>
      <c r="CR180" s="12" t="n"/>
      <c r="CS180" s="12" t="n"/>
      <c r="CT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Purchase of intangible assets</t>
        </is>
      </c>
      <c r="D182" s="12" t="n"/>
      <c r="E182" s="12" t="n"/>
      <c r="F182" s="12" t="n"/>
      <c r="G182" s="12" t="n"/>
      <c r="H182" s="12" t="n"/>
      <c r="I182" s="12" t="str">
        <f>IF(COUNT(H180)=0,"",I180-H180-I84)</f>
        <v/>
      </c>
      <c r="J182" s="12">
        <f>J180-I180-J84</f>
        <v>-1.068</v>
      </c>
      <c r="K182" s="12">
        <f>K180-J180-K84</f>
        <v>-1.099</v>
      </c>
      <c r="L182" s="12">
        <f>L180-K180-L84</f>
        <v>-2.239</v>
      </c>
      <c r="M182" s="12" t="n"/>
      <c r="N182" s="12">
        <f>N180-M180-N84</f>
        <v>61.627</v>
      </c>
      <c r="O182" s="12">
        <f>O180-N180-O84</f>
        <v>236.157</v>
      </c>
      <c r="P182" s="12">
        <f>P180-O180-P84</f>
        <v>-5.197</v>
      </c>
      <c r="Q182" s="12">
        <f>Q180-P180-Q84</f>
        <v>142.094</v>
      </c>
      <c r="R182" s="12" t="n"/>
      <c r="S182" s="12">
        <f>S180-R180-S84</f>
        <v>-12.6410000000001</v>
      </c>
      <c r="T182" s="12">
        <f>T180-S180-T84</f>
        <v>-1.36699999999996</v>
      </c>
      <c r="U182" s="12">
        <f>U180-T180-U84</f>
        <v>-6.06900000000002</v>
      </c>
      <c r="V182" s="12">
        <f>V180-U180-V84</f>
        <v>-39.575</v>
      </c>
      <c r="W182" s="12" t="n"/>
      <c r="X182" s="12">
        <f>X180-W180-X84</f>
        <v>-6.50200000000001</v>
      </c>
      <c r="Y182" s="12">
        <f>Y180-X180-Y84</f>
        <v>-6.43399999999997</v>
      </c>
      <c r="Z182" s="12">
        <f>Z180-Y180-Z84</f>
        <v>28.304</v>
      </c>
      <c r="AA182" s="12">
        <f>AA180-Z180-AA84</f>
        <v>-30.371</v>
      </c>
      <c r="AB182" s="12" t="n"/>
      <c r="AC182" s="12">
        <f>AC180-AB180-AC84</f>
        <v>2.48699999999997</v>
      </c>
      <c r="AD182" s="12">
        <f>AD180-AC180-AD84</f>
        <v>-5.25599999999997</v>
      </c>
      <c r="AE182" s="12">
        <f>AE180-AD180-AE84</f>
        <v>-5.68100000000004</v>
      </c>
      <c r="AF182" s="12">
        <f>AF180-AE180-AF84</f>
        <v>48.581</v>
      </c>
      <c r="AG182" s="12" t="n"/>
      <c r="AH182" s="11">
        <f>AH180-AG180-AH84</f>
        <v>-5.21600000000001</v>
      </c>
      <c r="AI182" s="11">
        <f>AI180-AH180-AI84</f>
        <v>3344.218</v>
      </c>
      <c r="AJ182" s="11" t="n"/>
      <c r="AK182" s="11" t="n"/>
      <c r="AL182" s="12" t="n"/>
      <c r="AM182" s="11" t="n"/>
      <c r="AN182" s="11" t="n"/>
      <c r="AO182" s="11" t="n"/>
      <c r="AP182" s="11" t="n"/>
      <c r="AQ182" s="12" t="n"/>
      <c r="AR182" s="11" t="n"/>
      <c r="AS182" s="11" t="n"/>
      <c r="AT182" s="11" t="n"/>
      <c r="AU182" s="11" t="n"/>
      <c r="AV182" s="12" t="n"/>
      <c r="AW182" s="11" t="n"/>
      <c r="AX182" s="11" t="n"/>
      <c r="AY182" s="11" t="n"/>
      <c r="AZ182" s="11" t="n"/>
      <c r="BA182" s="12" t="n"/>
      <c r="BB182" s="11" t="n"/>
      <c r="BC182" s="11" t="n"/>
      <c r="BD182" s="11" t="n"/>
      <c r="BE182" s="11" t="n"/>
      <c r="BF182" s="12" t="n"/>
      <c r="BG182" s="11" t="n"/>
      <c r="BH182" s="11" t="n"/>
      <c r="BI182" s="11" t="n"/>
      <c r="BJ182" s="11" t="n"/>
      <c r="BK182" s="12" t="n"/>
      <c r="BL182" s="11" t="n"/>
      <c r="BM182" s="11" t="n"/>
      <c r="BN182" s="11" t="n"/>
      <c r="BO182" s="11" t="n"/>
      <c r="BP182" s="12" t="n"/>
      <c r="BQ182" s="11" t="n"/>
      <c r="BR182" s="11" t="n"/>
      <c r="BS182" s="11" t="n"/>
      <c r="BT182" s="11" t="n"/>
      <c r="BU182" s="12" t="n"/>
      <c r="BV182" s="11" t="n"/>
      <c r="BW182" s="11" t="n"/>
      <c r="BX182" s="11" t="n"/>
      <c r="BY182" s="11" t="n"/>
      <c r="BZ182" s="12" t="n"/>
      <c r="CA182" s="11" t="n"/>
      <c r="CB182" s="11" t="n"/>
      <c r="CC182" s="11" t="n"/>
      <c r="CD182" s="11" t="n"/>
      <c r="CE182" s="12" t="n"/>
      <c r="CF182" s="11" t="n"/>
      <c r="CG182" s="11" t="n"/>
      <c r="CH182" s="11" t="n"/>
      <c r="CI182" s="11" t="n"/>
      <c r="CJ182" s="12" t="n"/>
      <c r="CK182" s="11" t="n"/>
      <c r="CL182" s="11" t="n"/>
      <c r="CM182" s="11" t="n"/>
      <c r="CN182" s="11" t="n"/>
      <c r="CO182" s="12" t="n"/>
      <c r="CP182" s="11" t="n"/>
      <c r="CQ182" s="11" t="n"/>
      <c r="CR182" s="11" t="n"/>
      <c r="CS182" s="11" t="n"/>
      <c r="CT182" s="12" t="n"/>
      <c r="CU182" s="11" t="n"/>
      <c r="CV182" s="11" t="n"/>
      <c r="CW182" s="11" t="n"/>
      <c r="CX182" s="11" t="n"/>
      <c r="CY182" s="12" t="n"/>
    </row>
    <row r="183" hidden="1" outlineLevel="1">
      <c r="C183" s="57" t="inlineStr">
        <is>
          <t>Amortization (enter as -)</t>
        </is>
      </c>
      <c r="D183" s="12" t="n"/>
      <c r="E183" s="12" t="n"/>
      <c r="F183" s="12" t="n"/>
      <c r="G183" s="12" t="n"/>
      <c r="H183" s="12" t="n"/>
      <c r="I183" s="12">
        <f>I83</f>
        <v>0</v>
      </c>
      <c r="J183" s="12">
        <f>J83</f>
        <v>0</v>
      </c>
      <c r="K183" s="12">
        <f>K83</f>
        <v>0</v>
      </c>
      <c r="L183" s="12">
        <f>L83</f>
        <v>0</v>
      </c>
      <c r="M183" s="12" t="n"/>
      <c r="N183" s="12">
        <f>N83</f>
        <v>0</v>
      </c>
      <c r="O183" s="12">
        <f>O83</f>
        <v>0</v>
      </c>
      <c r="P183" s="12">
        <f>P83</f>
        <v>0</v>
      </c>
      <c r="Q183" s="12">
        <f>Q83</f>
        <v>0</v>
      </c>
      <c r="R183" s="12" t="n"/>
      <c r="S183" s="12">
        <f>S83</f>
        <v>0</v>
      </c>
      <c r="T183" s="12">
        <f>T83</f>
        <v>0</v>
      </c>
      <c r="U183" s="12">
        <f>U83</f>
        <v>0</v>
      </c>
      <c r="V183" s="12">
        <f>V83</f>
        <v>0</v>
      </c>
      <c r="W183" s="12" t="n"/>
      <c r="X183" s="12">
        <f>X83</f>
        <v>0</v>
      </c>
      <c r="Y183" s="12">
        <f>Y83</f>
        <v>0</v>
      </c>
      <c r="Z183" s="12">
        <f>Z83</f>
        <v>0</v>
      </c>
      <c r="AA183" s="12">
        <f>AA83</f>
        <v>0</v>
      </c>
      <c r="AB183" s="12" t="n"/>
      <c r="AC183" s="12">
        <f>AC83</f>
        <v>0</v>
      </c>
      <c r="AD183" s="12">
        <f>AD83</f>
        <v>0</v>
      </c>
      <c r="AE183" s="12">
        <f>AE83</f>
        <v>0</v>
      </c>
      <c r="AF183" s="12">
        <f>AF83</f>
        <v>0</v>
      </c>
      <c r="AG183" s="12" t="n"/>
      <c r="AH183" s="12">
        <f>AH83</f>
        <v>0</v>
      </c>
      <c r="AI183" s="11">
        <f>AI83</f>
        <v>0</v>
      </c>
      <c r="AJ183" s="11" t="n"/>
      <c r="AK183" s="11" t="n"/>
      <c r="AL183" s="12" t="n"/>
      <c r="AM183" s="11" t="n"/>
      <c r="AN183" s="11" t="n"/>
      <c r="AO183" s="11" t="n"/>
      <c r="AP183" s="11" t="n"/>
      <c r="AQ183" s="12" t="n"/>
      <c r="AR183" s="11" t="n"/>
      <c r="AS183" s="11" t="n"/>
      <c r="AT183" s="11" t="n"/>
      <c r="AU183" s="11" t="n"/>
      <c r="AV183" s="12" t="n"/>
      <c r="AW183" s="11" t="n"/>
      <c r="AX183" s="11" t="n"/>
      <c r="AY183" s="11" t="n"/>
      <c r="AZ183" s="11" t="n"/>
      <c r="BA183" s="12" t="n"/>
      <c r="BB183" s="11" t="n"/>
      <c r="BC183" s="11" t="n"/>
      <c r="BD183" s="11" t="n"/>
      <c r="BE183" s="11" t="n"/>
      <c r="BF183" s="12" t="n"/>
      <c r="BG183" s="11" t="n"/>
      <c r="BH183" s="11" t="n"/>
      <c r="BI183" s="11" t="n"/>
      <c r="BJ183" s="11" t="n"/>
      <c r="BK183" s="12" t="n"/>
      <c r="BL183" s="11" t="n"/>
      <c r="BM183" s="11" t="n"/>
      <c r="BN183" s="11" t="n"/>
      <c r="BO183" s="11" t="n"/>
      <c r="BP183" s="12" t="n"/>
      <c r="BQ183" s="11" t="n"/>
      <c r="BR183" s="11" t="n"/>
      <c r="BS183" s="11" t="n"/>
      <c r="BT183" s="11" t="n"/>
      <c r="BU183" s="12" t="n"/>
      <c r="BV183" s="11" t="n"/>
      <c r="BW183" s="11" t="n"/>
      <c r="BX183" s="11" t="n"/>
      <c r="BY183" s="11" t="n"/>
      <c r="BZ183" s="12" t="n"/>
      <c r="CA183" s="11" t="n"/>
      <c r="CB183" s="11" t="n"/>
      <c r="CC183" s="11" t="n"/>
      <c r="CD183" s="11" t="n"/>
      <c r="CE183" s="12" t="n"/>
      <c r="CF183" s="11" t="n"/>
      <c r="CG183" s="11" t="n"/>
      <c r="CH183" s="11" t="n"/>
      <c r="CI183" s="11" t="n"/>
      <c r="CJ183" s="12" t="n"/>
      <c r="CK183" s="11" t="n"/>
      <c r="CL183" s="11" t="n"/>
      <c r="CM183" s="11" t="n"/>
      <c r="CN183" s="11" t="n"/>
      <c r="CO183" s="12" t="n"/>
      <c r="CP183" s="11" t="n"/>
      <c r="CQ183" s="11" t="n"/>
      <c r="CR183" s="11" t="n"/>
      <c r="CS183" s="11" t="n"/>
      <c r="CT183" s="12" t="n"/>
      <c r="CU183" s="11" t="n"/>
      <c r="CV183" s="11" t="n"/>
      <c r="CW183" s="11" t="n"/>
      <c r="CX183" s="11" t="n"/>
      <c r="CY183" s="12" t="n"/>
    </row>
    <row r="184" hidden="1" outlineLevel="1">
      <c r="C184" s="57" t="inlineStr">
        <is>
          <t>Intangibles</t>
        </is>
      </c>
      <c r="D184" s="12" t="n"/>
      <c r="E184" s="12" t="n"/>
      <c r="F184" s="12" t="n"/>
      <c r="G184" s="12" t="n"/>
      <c r="H184" s="12" t="n"/>
      <c r="I184" s="12">
        <f>I180</f>
        <v>95.247</v>
      </c>
      <c r="J184" s="12">
        <f>J180</f>
        <v>94.179</v>
      </c>
      <c r="K184" s="12">
        <f>K180</f>
        <v>93.08</v>
      </c>
      <c r="L184" s="12">
        <f>L180</f>
        <v>90.841</v>
      </c>
      <c r="M184" s="12">
        <f>M180</f>
        <v>90.841</v>
      </c>
      <c r="N184" s="12">
        <f>N180</f>
        <v>152.468</v>
      </c>
      <c r="O184" s="12">
        <f>O180</f>
        <v>388.625</v>
      </c>
      <c r="P184" s="12">
        <f>P180</f>
        <v>383.428</v>
      </c>
      <c r="Q184" s="12">
        <f>Q180</f>
        <v>525.522</v>
      </c>
      <c r="R184" s="12">
        <f>R180</f>
        <v>525.522</v>
      </c>
      <c r="S184" s="12">
        <f>S180</f>
        <v>512.881</v>
      </c>
      <c r="T184" s="12">
        <f>T180</f>
        <v>511.514</v>
      </c>
      <c r="U184" s="12">
        <f>U180</f>
        <v>505.445</v>
      </c>
      <c r="V184" s="12">
        <f>V180</f>
        <v>465.87</v>
      </c>
      <c r="W184" s="12">
        <f>W180</f>
        <v>465.87</v>
      </c>
      <c r="X184" s="12">
        <f>X180</f>
        <v>459.368</v>
      </c>
      <c r="Y184" s="12">
        <f>Y180</f>
        <v>452.934</v>
      </c>
      <c r="Z184" s="12">
        <f>Z180</f>
        <v>481.238</v>
      </c>
      <c r="AA184" s="12">
        <f>AA180</f>
        <v>450.867</v>
      </c>
      <c r="AB184" s="12">
        <f>AB180</f>
        <v>450.867</v>
      </c>
      <c r="AC184" s="12">
        <f>AC180</f>
        <v>453.354</v>
      </c>
      <c r="AD184" s="12">
        <f>AD180</f>
        <v>448.098</v>
      </c>
      <c r="AE184" s="12">
        <f>AE180</f>
        <v>442.417</v>
      </c>
      <c r="AF184" s="12">
        <f>AF180</f>
        <v>490.998</v>
      </c>
      <c r="AG184" s="12">
        <f>AG180</f>
        <v>490.998</v>
      </c>
      <c r="AH184" s="12">
        <f>AH180</f>
        <v>485.782</v>
      </c>
      <c r="AI184" s="12">
        <f>AI180</f>
        <v>3830</v>
      </c>
      <c r="AJ184" s="12">
        <f>AJ180</f>
        <v>3830</v>
      </c>
      <c r="AK184" s="12">
        <f>AK180</f>
        <v>3830</v>
      </c>
      <c r="AL184" s="12" t="n"/>
      <c r="AM184" s="12">
        <f>AM180</f>
        <v>3830</v>
      </c>
      <c r="AN184" s="12">
        <f>AN180</f>
        <v>3830</v>
      </c>
      <c r="AO184" s="12">
        <f>AO180</f>
        <v>3830</v>
      </c>
      <c r="AP184" s="12">
        <f>AP180</f>
        <v>3830</v>
      </c>
      <c r="AQ184" s="12" t="n"/>
      <c r="AR184" s="12">
        <f>AR180</f>
        <v>3830</v>
      </c>
      <c r="AS184" s="12">
        <f>AS180</f>
        <v>3830</v>
      </c>
      <c r="AT184" s="12">
        <f>AT180</f>
        <v>3830</v>
      </c>
      <c r="AU184" s="12">
        <f>AU180</f>
        <v>3830</v>
      </c>
      <c r="AV184" s="12" t="n"/>
      <c r="AW184" s="12">
        <f>AW180</f>
        <v>3830</v>
      </c>
      <c r="AX184" s="12">
        <f>AX180</f>
        <v>3830</v>
      </c>
      <c r="AY184" s="12">
        <f>AY180</f>
        <v>3830</v>
      </c>
      <c r="AZ184" s="12">
        <f>AZ180</f>
        <v>3830</v>
      </c>
      <c r="BA184" s="12" t="n"/>
      <c r="BB184" s="12">
        <f>BB180</f>
        <v>3830</v>
      </c>
      <c r="BC184" s="12">
        <f>BC180</f>
        <v>3830</v>
      </c>
      <c r="BD184" s="12">
        <f>BD180</f>
        <v>3830</v>
      </c>
      <c r="BE184" s="12">
        <f>BE180</f>
        <v>3830</v>
      </c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inlineStr">
        <is>
          <t>Definir % do D&amp;A No PPE and Intagibles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>
      <c r="C189" s="14" t="inlineStr">
        <is>
          <t>Other non-current assets</t>
        </is>
      </c>
      <c r="D189" s="46" t="n"/>
      <c r="E189" s="46" t="n"/>
      <c r="F189" s="46" t="n"/>
      <c r="G189" s="46" t="n"/>
      <c r="H189" s="12" t="n"/>
      <c r="I189" s="46">
        <f>'Inputs (2)'!D26</f>
        <v>43.419</v>
      </c>
      <c r="J189" s="46">
        <f>'Inputs (2)'!E26</f>
        <v>40.718</v>
      </c>
      <c r="K189" s="46">
        <f>'Inputs (2)'!F26</f>
        <v>46.987</v>
      </c>
      <c r="L189" s="46">
        <f>'Inputs (2)'!G26</f>
        <v>43.489</v>
      </c>
      <c r="M189" s="12">
        <f>'Inputs (2)'!H26</f>
        <v>43.489</v>
      </c>
      <c r="N189" s="46">
        <f>'Inputs (2)'!I26</f>
        <v>42.267</v>
      </c>
      <c r="O189" s="46">
        <f>'Inputs (2)'!J26</f>
        <v>34.414</v>
      </c>
      <c r="P189" s="46">
        <f>'Inputs (2)'!K26</f>
        <v>41.127</v>
      </c>
      <c r="Q189" s="46">
        <f>'Inputs (2)'!L26</f>
        <v>42.652</v>
      </c>
      <c r="R189" s="12">
        <f>'Inputs (2)'!M26</f>
        <v>42.652</v>
      </c>
      <c r="S189" s="46">
        <f>'Inputs (2)'!N26</f>
        <v>44.296</v>
      </c>
      <c r="T189" s="46">
        <f>'Inputs (2)'!O26</f>
        <v>35.607</v>
      </c>
      <c r="U189" s="46">
        <f>'Inputs (2)'!P26</f>
        <v>41.664</v>
      </c>
      <c r="V189" s="46">
        <f>'Inputs (2)'!Q26</f>
        <v>67.157</v>
      </c>
      <c r="W189" s="12">
        <f>'Inputs (2)'!R26</f>
        <v>67.157</v>
      </c>
      <c r="X189" s="46">
        <f>'Inputs (2)'!S26</f>
        <v>67.678</v>
      </c>
      <c r="Y189" s="46">
        <f>'Inputs (2)'!T26</f>
        <v>73.183</v>
      </c>
      <c r="Z189" s="46">
        <f>'Inputs (2)'!U26</f>
        <v>83.305</v>
      </c>
      <c r="AA189" s="46">
        <f>'Inputs (2)'!V26</f>
        <v>123.991</v>
      </c>
      <c r="AB189" s="12">
        <f>'Inputs (2)'!W26</f>
        <v>123.991</v>
      </c>
      <c r="AC189" s="46">
        <f>'Inputs (2)'!X26</f>
        <v>110.673</v>
      </c>
      <c r="AD189" s="46">
        <f>'Inputs (2)'!Y26</f>
        <v>121.241</v>
      </c>
      <c r="AE189" s="46">
        <f>'Inputs (2)'!Z26</f>
        <v>116.744</v>
      </c>
      <c r="AF189" s="46">
        <f>'Inputs (2)'!AA26</f>
        <v>89.375</v>
      </c>
      <c r="AG189" s="12">
        <f>'Inputs (2)'!AB26</f>
        <v>89.375</v>
      </c>
      <c r="AH189" s="12">
        <f>'Inputs (2)'!AC26</f>
        <v>106.819</v>
      </c>
      <c r="AI189" s="12">
        <f>'Inputs (2)'!AD26</f>
        <v>1069.092</v>
      </c>
      <c r="AJ189" s="12">
        <f>AI189</f>
        <v>1069.092</v>
      </c>
      <c r="AK189" s="12">
        <f>AJ189</f>
        <v>1069.092</v>
      </c>
      <c r="AL189" s="12">
        <f>AK189</f>
        <v>1069.092</v>
      </c>
      <c r="AM189" s="12">
        <f>AL189</f>
        <v>1069.092</v>
      </c>
      <c r="AN189" s="12">
        <f>AM189</f>
        <v>1069.092</v>
      </c>
      <c r="AO189" s="12">
        <f>AN189</f>
        <v>1069.092</v>
      </c>
      <c r="AP189" s="12">
        <f>AO189</f>
        <v>1069.092</v>
      </c>
      <c r="AQ189" s="12">
        <f>AP189</f>
        <v>1069.092</v>
      </c>
      <c r="AR189" s="12">
        <f>AQ189</f>
        <v>1069.092</v>
      </c>
      <c r="AS189" s="12">
        <f>AR189</f>
        <v>1069.092</v>
      </c>
      <c r="AT189" s="12">
        <f>AS189</f>
        <v>1069.092</v>
      </c>
      <c r="AU189" s="12">
        <f>AT189</f>
        <v>1069.092</v>
      </c>
      <c r="AV189" s="12">
        <f>AU189</f>
        <v>1069.092</v>
      </c>
      <c r="AW189" s="12">
        <f>AV189</f>
        <v>1069.092</v>
      </c>
      <c r="AX189" s="12">
        <f>AW189</f>
        <v>1069.092</v>
      </c>
      <c r="AY189" s="12">
        <f>AX189</f>
        <v>1069.092</v>
      </c>
      <c r="AZ189" s="12">
        <f>AY189</f>
        <v>1069.092</v>
      </c>
      <c r="BA189" s="12">
        <f>AZ189</f>
        <v>1069.092</v>
      </c>
      <c r="BB189" s="12">
        <f>BA189</f>
        <v>1069.092</v>
      </c>
      <c r="BC189" s="12">
        <f>BB189</f>
        <v>1069.092</v>
      </c>
      <c r="BD189" s="12">
        <f>BC189</f>
        <v>1069.092</v>
      </c>
      <c r="BE189" s="12">
        <f>BD189</f>
        <v>1069.092</v>
      </c>
      <c r="BF189" s="12">
        <f>BE189</f>
        <v>1069.092</v>
      </c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9" t="inlineStr">
        <is>
          <t>%(Var.)</t>
        </is>
      </c>
      <c r="D190" s="12" t="n"/>
      <c r="E190" s="40" t="n"/>
      <c r="F190" s="40" t="n"/>
      <c r="G190" s="40" t="n"/>
      <c r="H190" s="12" t="n"/>
      <c r="I190" s="40" t="str">
        <f>""</f>
        <v/>
      </c>
      <c r="J190" s="40">
        <f>IF(I189=0,"",J189/I189-1)</f>
        <v>-0.0622077892167022</v>
      </c>
      <c r="K190" s="40">
        <f>IF(J189=0,"",K189/J189-1)</f>
        <v>0.153961392995727</v>
      </c>
      <c r="L190" s="40">
        <f>IF(K189=0,"",L189/K189-1)</f>
        <v>-0.074446123395833</v>
      </c>
      <c r="M190" s="12">
        <f>IF(L189=0,"",M189/L189-1)</f>
        <v>0</v>
      </c>
      <c r="N190" s="40">
        <f>IF(M189=0,"",N189/M189-1)</f>
        <v>-0.0280990595322954</v>
      </c>
      <c r="O190" s="40">
        <f>IF(N189=0,"",O189/N189-1)</f>
        <v>-0.185795064707692</v>
      </c>
      <c r="P190" s="40">
        <f>IF(O189=0,"",P189/O189-1)</f>
        <v>0.195065961527285</v>
      </c>
      <c r="Q190" s="40">
        <f>IF(P189=0,"",Q189/P189-1)</f>
        <v>0.0370802635738079</v>
      </c>
      <c r="R190" s="12">
        <f>IF(Q189=0,"",R189/Q189-1)</f>
        <v>0</v>
      </c>
      <c r="S190" s="40">
        <f>IF(R189=0,"",S189/R189-1)</f>
        <v>0.0385444996717621</v>
      </c>
      <c r="T190" s="40">
        <f>IF(S189=0,"",T189/S189-1)</f>
        <v>-0.196157666606466</v>
      </c>
      <c r="U190" s="40">
        <f>IF(T189=0,"",U189/T189-1)</f>
        <v>0.170107001432303</v>
      </c>
      <c r="V190" s="40">
        <f>IF(U189=0,"",V189/U189-1)</f>
        <v>0.611871159754224</v>
      </c>
      <c r="W190" s="12">
        <f>IF(V189=0,"",W189/V189-1)</f>
        <v>0</v>
      </c>
      <c r="X190" s="40">
        <f>IF(W189=0,"",X189/W189-1)</f>
        <v>0.00775794034873512</v>
      </c>
      <c r="Y190" s="40">
        <f>IF(X189=0,"",Y189/X189-1)</f>
        <v>0.0813410561777832</v>
      </c>
      <c r="Z190" s="40">
        <f>IF(Y189=0,"",Z189/Y189-1)</f>
        <v>0.138310809887542</v>
      </c>
      <c r="AA190" s="40">
        <f>IF(Z189=0,"",AA189/Z189-1)</f>
        <v>0.488398055338815</v>
      </c>
      <c r="AB190" s="12">
        <f>IF(AA189=0,"",AB189/AA189-1)</f>
        <v>0</v>
      </c>
      <c r="AC190" s="40">
        <f>IF(AB189=0,"",AC189/AB189-1)</f>
        <v>-0.107411021767709</v>
      </c>
      <c r="AD190" s="40">
        <f>IF(AC189=0,"",AD189/AC189-1)</f>
        <v>0.0954885111996602</v>
      </c>
      <c r="AE190" s="40">
        <f>IF(AD189=0,"",AE189/AD189-1)</f>
        <v>-0.0370914129708597</v>
      </c>
      <c r="AF190" s="55">
        <f>IF(AE189=0,"",AF189/AE189-1)</f>
        <v>-0.234436030973755</v>
      </c>
      <c r="AG190" s="12">
        <f>IF(AF189=0,"",AG189/AF189-1)</f>
        <v>0</v>
      </c>
      <c r="AH190" s="55">
        <f>IF(AG189=0,"",AH189/AG189-1)</f>
        <v>0.195177622377622</v>
      </c>
      <c r="AI190" s="55">
        <f>IF(AH189=0,"",AI189/AH189-1)</f>
        <v>9.00844419064024</v>
      </c>
      <c r="AJ190" s="55">
        <f>IF(AI189=0,"",AJ189/AI189-1)</f>
        <v>0</v>
      </c>
      <c r="AK190" s="55">
        <f>IF(AJ189=0,"",AK189/AJ189-1)</f>
        <v>0</v>
      </c>
      <c r="AL190" s="12">
        <f>IF(AK189=0,"",AL189/AK189-1)</f>
        <v>0</v>
      </c>
      <c r="AM190" s="55">
        <f>IF(AL189=0,"",AM189/AL189-1)</f>
        <v>0</v>
      </c>
      <c r="AN190" s="55">
        <f>IF(AM189=0,"",AN189/AM189-1)</f>
        <v>0</v>
      </c>
      <c r="AO190" s="55">
        <f>IF(AN189=0,"",AO189/AN189-1)</f>
        <v>0</v>
      </c>
      <c r="AP190" s="55">
        <f>IF(AO189=0,"",AP189/AO189-1)</f>
        <v>0</v>
      </c>
      <c r="AQ190" s="12">
        <f>IF(AP189=0,"",AQ189/AP189-1)</f>
        <v>0</v>
      </c>
      <c r="AR190" s="55">
        <f>IF(AQ189=0,"",AR189/AQ189-1)</f>
        <v>0</v>
      </c>
      <c r="AS190" s="55">
        <f>IF(AR189=0,"",AS189/AR189-1)</f>
        <v>0</v>
      </c>
      <c r="AT190" s="55">
        <f>IF(AS189=0,"",AT189/AS189-1)</f>
        <v>0</v>
      </c>
      <c r="AU190" s="55">
        <f>IF(AT189=0,"",AU189/AT189-1)</f>
        <v>0</v>
      </c>
      <c r="AV190" s="12">
        <f>IF(AU189=0,"",AV189/AU189-1)</f>
        <v>0</v>
      </c>
      <c r="AW190" s="55">
        <f>IF(AV189=0,"",AW189/AV189-1)</f>
        <v>0</v>
      </c>
      <c r="AX190" s="55">
        <f>IF(AW189=0,"",AX189/AW189-1)</f>
        <v>0</v>
      </c>
      <c r="AY190" s="55">
        <f>IF(AX189=0,"",AY189/AX189-1)</f>
        <v>0</v>
      </c>
      <c r="AZ190" s="55">
        <f>IF(AY189=0,"",AZ189/AY189-1)</f>
        <v>0</v>
      </c>
      <c r="BA190" s="12">
        <f>IF(AZ189=0,"",BA189/AZ189-1)</f>
        <v>0</v>
      </c>
      <c r="BB190" s="55">
        <f>IF(BA189=0,"",BB189/BA189-1)</f>
        <v>0</v>
      </c>
      <c r="BC190" s="55">
        <f>IF(BB189=0,"",BC189/BB189-1)</f>
        <v>0</v>
      </c>
      <c r="BD190" s="55">
        <f>IF(BC189=0,"",BD189/BC189-1)</f>
        <v>0</v>
      </c>
      <c r="BE190" s="55">
        <f>IF(BD189=0,"",BE189/BD189-1)</f>
        <v>0</v>
      </c>
      <c r="BF190" s="12">
        <f>IF(BE189=0,"",BF189/BE189-1)</f>
        <v>0</v>
      </c>
      <c r="BG190" s="55" t="n"/>
      <c r="BH190" s="55" t="n"/>
      <c r="BI190" s="55" t="n"/>
      <c r="BJ190" s="55" t="n"/>
      <c r="BK190" s="12" t="n"/>
      <c r="BL190" s="55" t="n"/>
      <c r="BM190" s="55" t="n"/>
      <c r="BN190" s="55" t="n"/>
      <c r="BO190" s="55" t="n"/>
      <c r="BP190" s="12" t="n"/>
      <c r="BQ190" s="55" t="n"/>
      <c r="BR190" s="55" t="n"/>
      <c r="BS190" s="55" t="n"/>
      <c r="BT190" s="55" t="n"/>
      <c r="BU190" s="12" t="n"/>
      <c r="BV190" s="55" t="n"/>
      <c r="BW190" s="55" t="n"/>
      <c r="BX190" s="55" t="n"/>
      <c r="BY190" s="55" t="n"/>
      <c r="BZ190" s="12" t="n"/>
      <c r="CA190" s="55" t="n"/>
      <c r="CB190" s="55" t="n"/>
      <c r="CC190" s="55" t="n"/>
      <c r="CD190" s="55" t="n"/>
      <c r="CE190" s="12" t="n"/>
      <c r="CF190" s="55" t="n"/>
      <c r="CG190" s="55" t="n"/>
      <c r="CH190" s="55" t="n"/>
      <c r="CI190" s="55" t="n"/>
      <c r="CJ190" s="12" t="n"/>
      <c r="CK190" s="55" t="n"/>
      <c r="CL190" s="55" t="n"/>
      <c r="CM190" s="55" t="n"/>
      <c r="CN190" s="55" t="n"/>
      <c r="CO190" s="12" t="n"/>
      <c r="CP190" s="55" t="n"/>
      <c r="CQ190" s="55" t="n"/>
      <c r="CR190" s="55" t="n"/>
      <c r="CS190" s="55" t="n"/>
      <c r="CT190" s="12" t="n"/>
      <c r="CU190" s="55" t="n"/>
      <c r="CV190" s="55" t="n"/>
      <c r="CW190" s="55" t="n"/>
      <c r="CX190" s="55" t="n"/>
      <c r="CY190" s="12" t="n"/>
    </row>
    <row r="191" hidden="1" outlineLevel="1">
      <c r="C191" s="57" t="n"/>
      <c r="D191" s="12" t="n"/>
      <c r="E191" s="40" t="n"/>
      <c r="F191" s="40" t="n"/>
      <c r="G191" s="40" t="n"/>
      <c r="H191" s="12" t="n"/>
      <c r="I191" s="40" t="n"/>
      <c r="J191" s="40" t="n"/>
      <c r="K191" s="40" t="n"/>
      <c r="L191" s="40" t="n"/>
      <c r="M191" s="12" t="n"/>
      <c r="N191" s="40" t="n"/>
      <c r="O191" s="40" t="n"/>
      <c r="P191" s="40" t="n"/>
      <c r="Q191" s="40" t="n"/>
      <c r="R191" s="12" t="n"/>
      <c r="S191" s="40" t="n"/>
      <c r="T191" s="40" t="n"/>
      <c r="U191" s="40" t="n"/>
      <c r="V191" s="40" t="n"/>
      <c r="W191" s="12" t="n"/>
      <c r="X191" s="40" t="n"/>
      <c r="Y191" s="40" t="n"/>
      <c r="Z191" s="40" t="n"/>
      <c r="AA191" s="40" t="n"/>
      <c r="AB191" s="12" t="n"/>
      <c r="AC191" s="40" t="n"/>
      <c r="AD191" s="40" t="n"/>
      <c r="AE191" s="40" t="n"/>
      <c r="AF191" s="55" t="n"/>
      <c r="AG191" s="12" t="n"/>
      <c r="AH191" s="55" t="n"/>
      <c r="AI191" s="55" t="n"/>
      <c r="AJ191" s="55" t="n"/>
      <c r="AK191" s="55" t="n"/>
      <c r="AL191" s="12" t="n"/>
      <c r="AM191" s="55" t="n"/>
      <c r="AN191" s="55" t="n"/>
      <c r="AO191" s="55" t="n"/>
      <c r="AP191" s="55" t="n"/>
      <c r="AQ191" s="12" t="n"/>
      <c r="AR191" s="55" t="n"/>
      <c r="AS191" s="55" t="n"/>
      <c r="AT191" s="55" t="n"/>
      <c r="AU191" s="55" t="n"/>
      <c r="AV191" s="12" t="n"/>
      <c r="AW191" s="55" t="n"/>
      <c r="AX191" s="55" t="n"/>
      <c r="AY191" s="55" t="n"/>
      <c r="AZ191" s="55" t="n"/>
      <c r="BA191" s="12" t="n"/>
      <c r="BB191" s="55" t="n"/>
      <c r="BC191" s="55" t="n"/>
      <c r="BD191" s="55" t="n"/>
      <c r="BE191" s="55" t="n"/>
      <c r="BF191" s="12" t="n"/>
      <c r="BG191" s="55" t="n"/>
      <c r="BH191" s="55" t="n"/>
      <c r="BI191" s="55" t="n"/>
      <c r="BJ191" s="55" t="n"/>
      <c r="BK191" s="12" t="n"/>
      <c r="BL191" s="55" t="n"/>
      <c r="BM191" s="55" t="n"/>
      <c r="BN191" s="55" t="n"/>
      <c r="BO191" s="55" t="n"/>
      <c r="BP191" s="12" t="n"/>
      <c r="BQ191" s="55" t="n"/>
      <c r="BR191" s="55" t="n"/>
      <c r="BS191" s="55" t="n"/>
      <c r="BT191" s="55" t="n"/>
      <c r="BU191" s="12" t="n"/>
      <c r="BV191" s="55" t="n"/>
      <c r="BW191" s="55" t="n"/>
      <c r="BX191" s="55" t="n"/>
      <c r="BY191" s="55" t="n"/>
      <c r="BZ191" s="12" t="n"/>
      <c r="CA191" s="55" t="n"/>
      <c r="CB191" s="55" t="n"/>
      <c r="CC191" s="55" t="n"/>
      <c r="CD191" s="55" t="n"/>
      <c r="CE191" s="12" t="n"/>
      <c r="CF191" s="55" t="n"/>
      <c r="CG191" s="55" t="n"/>
      <c r="CH191" s="55" t="n"/>
      <c r="CI191" s="55" t="n"/>
      <c r="CJ191" s="12" t="n"/>
      <c r="CK191" s="55" t="n"/>
      <c r="CL191" s="55" t="n"/>
      <c r="CM191" s="55" t="n"/>
      <c r="CN191" s="55" t="n"/>
      <c r="CO191" s="12" t="n"/>
      <c r="CP191" s="55" t="n"/>
      <c r="CQ191" s="55" t="n"/>
      <c r="CR191" s="55" t="n"/>
      <c r="CS191" s="55" t="n"/>
      <c r="CT191" s="12" t="n"/>
      <c r="CU191" s="55" t="n"/>
      <c r="CV191" s="55" t="n"/>
      <c r="CW191" s="55" t="n"/>
      <c r="CX191" s="55" t="n"/>
      <c r="CY191" s="12" t="n"/>
    </row>
    <row r="192" hidden="1" outlineLevel="1">
      <c r="C192" s="60" t="inlineStr">
        <is>
          <t>Outros Créditos - LP</t>
        </is>
      </c>
      <c r="D192" s="11" t="n"/>
      <c r="E192" s="11" t="n"/>
      <c r="F192" s="11" t="n"/>
      <c r="G192" s="11" t="n"/>
      <c r="H192" s="12" t="n"/>
      <c r="I192" s="11" t="n"/>
      <c r="J192" s="11" t="n"/>
      <c r="K192" s="11" t="n"/>
      <c r="L192" s="11" t="n"/>
      <c r="M192" s="12" t="n"/>
      <c r="N192" s="11" t="n"/>
      <c r="O192" s="11" t="n"/>
      <c r="P192" s="11" t="n"/>
      <c r="Q192" s="11" t="n"/>
      <c r="R192" s="12" t="n"/>
      <c r="S192" s="11" t="n"/>
      <c r="T192" s="11" t="n"/>
      <c r="U192" s="11" t="n"/>
      <c r="V192" s="11" t="n"/>
      <c r="W192" s="12" t="n"/>
      <c r="X192" s="11" t="n"/>
      <c r="Y192" s="11" t="n"/>
      <c r="Z192" s="11" t="n"/>
      <c r="AA192" s="11" t="n"/>
      <c r="AB192" s="12" t="n"/>
      <c r="AC192" s="11" t="n"/>
      <c r="AD192" s="11" t="n"/>
      <c r="AE192" s="11" t="n"/>
      <c r="AF192" s="11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60" t="inlineStr">
        <is>
          <t xml:space="preserve">Impostos e Contribuições a Recuperar </t>
        </is>
      </c>
      <c r="D193" s="11" t="n"/>
      <c r="E193" s="11" t="n"/>
      <c r="F193" s="11" t="n"/>
      <c r="G193" s="11" t="n"/>
      <c r="H193" s="12" t="n"/>
      <c r="I193" s="11" t="n"/>
      <c r="J193" s="11" t="n"/>
      <c r="K193" s="11" t="n"/>
      <c r="L193" s="11" t="n"/>
      <c r="M193" s="12" t="n"/>
      <c r="N193" s="11" t="n"/>
      <c r="O193" s="11" t="n"/>
      <c r="P193" s="11" t="n"/>
      <c r="Q193" s="11" t="n"/>
      <c r="R193" s="12" t="n"/>
      <c r="S193" s="11" t="n"/>
      <c r="T193" s="11" t="n"/>
      <c r="U193" s="11" t="n"/>
      <c r="V193" s="11" t="n"/>
      <c r="W193" s="12" t="n"/>
      <c r="X193" s="11" t="n"/>
      <c r="Y193" s="11" t="n"/>
      <c r="Z193" s="11" t="n"/>
      <c r="AA193" s="11" t="n"/>
      <c r="AB193" s="12" t="n"/>
      <c r="AC193" s="11" t="n"/>
      <c r="AD193" s="11" t="n"/>
      <c r="AE193" s="11" t="n"/>
      <c r="AF193" s="11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60" t="inlineStr">
        <is>
          <t xml:space="preserve">Imposto de Renda e Contribuição Social Diferidos 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60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57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collapsed="1" customFormat="1" s="32">
      <c r="A197" s="30" t="n"/>
      <c r="B197" s="3" t="n"/>
      <c r="C197" s="33" t="inlineStr">
        <is>
          <t>Total Assets</t>
        </is>
      </c>
      <c r="D197" s="35" t="n"/>
      <c r="E197" s="35" t="n"/>
      <c r="F197" s="35" t="n"/>
      <c r="G197" s="35" t="n"/>
      <c r="H197" s="35" t="n"/>
      <c r="I197" s="35">
        <f>SUM(I144,I145,I149,I153,I154,I155,I161,I166,I176,I179,I180,I189)</f>
        <v>1026.589</v>
      </c>
      <c r="J197" s="35">
        <f>SUM(J144,J145,J149,J153,J154,J155,J161,J166,J176,J179,J180,J189)</f>
        <v>966.787</v>
      </c>
      <c r="K197" s="35">
        <f>SUM(K144,K145,K149,K153,K154,K155,K161,K166,K176,K179,K180,K189)</f>
        <v>924.473</v>
      </c>
      <c r="L197" s="35">
        <f>SUM(L144,L145,L149,L153,L154,L155,L161,L166,L176,L179,L180,L189)</f>
        <v>1206.063</v>
      </c>
      <c r="M197" s="35">
        <f>SUM(M144,M145,M149,M153,M154,M155,M161,M166,M176,M179,M180,M189)</f>
        <v>1206.063</v>
      </c>
      <c r="N197" s="35">
        <f>SUM(N144,N145,N149,N153,N154,N155,N161,N166,N176,N179,N180,N189)</f>
        <v>1218.866</v>
      </c>
      <c r="O197" s="35">
        <f>SUM(O144,O145,O149,O153,O154,O155,O161,O166,O176,O179,O180,O189)</f>
        <v>1654.061</v>
      </c>
      <c r="P197" s="35">
        <f>SUM(P144,P145,P149,P153,P154,P155,P161,P166,P176,P179,P180,P189)</f>
        <v>1689.875</v>
      </c>
      <c r="Q197" s="35">
        <f>SUM(Q144,Q145,Q149,Q153,Q154,Q155,Q161,Q166,Q176,Q179,Q180,Q189)</f>
        <v>2073.296</v>
      </c>
      <c r="R197" s="35">
        <f>SUM(R144,R145,R149,R153,R154,R155,R161,R166,R176,R179,R180,R189)</f>
        <v>2073.296</v>
      </c>
      <c r="S197" s="35">
        <f>SUM(S144,S145,S149,S153,S154,S155,S161,S166,S176,S179,S180,S189)</f>
        <v>2044.537</v>
      </c>
      <c r="T197" s="35">
        <f>SUM(T144,T145,T149,T153,T154,T155,T161,T166,T176,T179,T180,T189)</f>
        <v>2099.356</v>
      </c>
      <c r="U197" s="35">
        <f>SUM(U144,U145,U149,U153,U154,U155,U161,U166,U176,U179,U180,U189)</f>
        <v>2239.121</v>
      </c>
      <c r="V197" s="35">
        <f>SUM(V144,V145,V149,V153,V154,V155,V161,V166,V176,V179,V180,V189)</f>
        <v>2262.344</v>
      </c>
      <c r="W197" s="35">
        <f>SUM(W144,W145,W149,W153,W154,W155,W161,W166,W176,W179,W180,W189)</f>
        <v>2262.344</v>
      </c>
      <c r="X197" s="35">
        <f>SUM(X144,X145,X149,X153,X154,X155,X161,X166,X176,X179,X180,X189)</f>
        <v>2296.704</v>
      </c>
      <c r="Y197" s="35">
        <f>SUM(Y144,Y145,Y149,Y153,Y154,Y155,Y161,Y166,Y176,Y179,Y180,Y189)</f>
        <v>2458.471</v>
      </c>
      <c r="Z197" s="35">
        <f>SUM(Z144,Z145,Z149,Z153,Z154,Z155,Z161,Z166,Z176,Z179,Z180,Z189)</f>
        <v>3325.011</v>
      </c>
      <c r="AA197" s="35">
        <f>SUM(AA144,AA145,AA149,AA153,AA154,AA155,AA161,AA166,AA176,AA179,AA180,AA189)</f>
        <v>3334.198</v>
      </c>
      <c r="AB197" s="35">
        <f>SUM(AB144,AB145,AB149,AB153,AB154,AB155,AB161,AB166,AB176,AB179,AB180,AB189)</f>
        <v>3334.198</v>
      </c>
      <c r="AC197" s="35">
        <f>SUM(AC144,AC145,AC149,AC153,AC154,AC155,AC161,AC166,AC176,AC179,AC180,AC189)</f>
        <v>3387.08</v>
      </c>
      <c r="AD197" s="35">
        <f>SUM(AD144,AD145,AD149,AD153,AD154,AD155,AD161,AD166,AD176,AD179,AD180,AD189)</f>
        <v>4045.501</v>
      </c>
      <c r="AE197" s="35">
        <f>SUM(AE144,AE145,AE149,AE153,AE154,AE155,AE161,AE166,AE176,AE179,AE180,AE189)</f>
        <v>4224.165</v>
      </c>
      <c r="AF197" s="35">
        <f>SUM(AF144,AF145,AF149,AF153,AF154,AF155,AF161,AF166,AF176,AF179,AF180,AF189)</f>
        <v>4293.945</v>
      </c>
      <c r="AG197" s="35">
        <f>SUM(AG144,AG145,AG149,AG153,AG154,AG155,AG161,AG166,AG176,AG179,AG180,AG189)</f>
        <v>4293.945</v>
      </c>
      <c r="AH197" s="35">
        <f>SUM(AH144,AH145,AH149,AH153,AH154,AH155,AH161,AH166,AH176,AH179,AH180,AH189)</f>
        <v>4446.961</v>
      </c>
      <c r="AI197" s="35">
        <f>SUM(AI144,AI145,AI149,AI153,AI154,AI155,AI161,AI166,AI176,AI179,AI180,AI189)</f>
        <v>11325.751</v>
      </c>
      <c r="AJ197" s="35">
        <f>SUM(AJ144,AJ145,AJ149,AJ153,AJ154,AJ155,AJ161,AJ166,AJ176,AJ179,AJ180,AJ189)</f>
        <v>10775.1191551242</v>
      </c>
      <c r="AK197" s="35">
        <f>SUM(AK144,AK145,AK149,AK153,AK154,AK155,AK161,AK166,AK176,AK179,AK180,AK189)</f>
        <v>10441.4962443412</v>
      </c>
      <c r="AL197" s="35">
        <f>SUM(AL144,AL145,AL149,AL153,AL154,AL155,AL161,AL166,AL176,AL179,AL180,AL189)</f>
        <v>10441.4962443412</v>
      </c>
      <c r="AM197" s="35">
        <f>SUM(AM144,AM145,AM149,AM153,AM154,AM155,AM161,AM166,AM176,AM179,AM180,AM189)</f>
        <v>10124.4143825423</v>
      </c>
      <c r="AN197" s="35">
        <f>SUM(AN144,AN145,AN149,AN153,AN154,AN155,AN161,AN166,AN176,AN179,AN180,AN189)</f>
        <v>9522.4037670959</v>
      </c>
      <c r="AO197" s="35">
        <f>SUM(AO144,AO145,AO149,AO153,AO154,AO155,AO161,AO166,AO176,AO179,AO180,AO189)</f>
        <v>9089.78240737983</v>
      </c>
      <c r="AP197" s="35">
        <f>SUM(AP144,AP145,AP149,AP153,AP154,AP155,AP161,AP166,AP176,AP179,AP180,AP189)</f>
        <v>9067.6058710475</v>
      </c>
      <c r="AQ197" s="35">
        <f>SUM(AQ144,AQ145,AQ149,AQ153,AQ154,AQ155,AQ161,AQ166,AQ176,AQ179,AQ180,AQ189)</f>
        <v>9067.6058710475</v>
      </c>
      <c r="AR197" s="35">
        <f>SUM(AR144,AR145,AR149,AR153,AR154,AR155,AR161,AR166,AR176,AR179,AR180,AR189)</f>
        <v>9230.93774797531</v>
      </c>
      <c r="AS197" s="35">
        <f>SUM(AS144,AS145,AS149,AS153,AS154,AS155,AS161,AS166,AS176,AS179,AS180,AS189)</f>
        <v>9244.5192023168</v>
      </c>
      <c r="AT197" s="35">
        <f>SUM(AT144,AT145,AT149,AT153,AT154,AT155,AT161,AT166,AT176,AT179,AT180,AT189)</f>
        <v>9821.02436730186</v>
      </c>
      <c r="AU197" s="35">
        <f>SUM(AU144,AU145,AU149,AU153,AU154,AU155,AU161,AU166,AU176,AU179,AU180,AU189)</f>
        <v>11429.4457712376</v>
      </c>
      <c r="AV197" s="35">
        <f>SUM(AV144,AV145,AV149,AV153,AV154,AV155,AV161,AV166,AV176,AV179,AV180,AV189)</f>
        <v>11429.4457712376</v>
      </c>
      <c r="AW197" s="35">
        <f>SUM(AW144,AW145,AW149,AW153,AW154,AW155,AW161,AW166,AW176,AW179,AW180,AW189)</f>
        <v>13914.898184954</v>
      </c>
      <c r="AX197" s="35">
        <f>SUM(AX144,AX145,AX149,AX153,AX154,AX155,AX161,AX166,AX176,AX179,AX180,AX189)</f>
        <v>17051.0805501839</v>
      </c>
      <c r="AY197" s="35">
        <f>SUM(AY144,AY145,AY149,AY153,AY154,AY155,AY161,AY166,AY176,AY179,AY180,AY189)</f>
        <v>22177.0832461195</v>
      </c>
      <c r="AZ197" s="35">
        <f>SUM(AZ144,AZ145,AZ149,AZ153,AZ154,AZ155,AZ161,AZ166,AZ176,AZ179,AZ180,AZ189)</f>
        <v>30401.5081102228</v>
      </c>
      <c r="BA197" s="35">
        <f>SUM(BA144,BA145,BA149,BA153,BA154,BA155,BA161,BA166,BA176,BA179,BA180,BA189)</f>
        <v>30401.5081102228</v>
      </c>
      <c r="BB197" s="35">
        <f>SUM(BB144,BB145,BB149,BB153,BB154,BB155,BB161,BB166,BB176,BB179,BB180,BB189)</f>
        <v>42046.6815551427</v>
      </c>
      <c r="BC197" s="35">
        <f>SUM(BC144,BC145,BC149,BC153,BC154,BC155,BC161,BC166,BC176,BC179,BC180,BC189)</f>
        <v>57714.431701252</v>
      </c>
      <c r="BD197" s="35">
        <f>SUM(BD144,BD145,BD149,BD153,BD154,BD155,BD161,BD166,BD176,BD179,BD180,BD189)</f>
        <v>80440.8557079315</v>
      </c>
      <c r="BE197" s="35">
        <f>SUM(BE144,BE145,BE149,BE153,BE154,BE155,BE161,BE166,BE176,BE179,BE180,BE189)</f>
        <v>113395.89973869</v>
      </c>
      <c r="BF197" s="35">
        <f>SUM(BF144,BF145,BF149,BF153,BF154,BF155,BF161,BF166,BF176,BF179,BF180,BF189)</f>
        <v>113395.89973869</v>
      </c>
      <c r="BG197" s="35" t="n"/>
      <c r="BH197" s="35" t="n"/>
      <c r="BI197" s="35" t="n"/>
      <c r="BJ197" s="35" t="n"/>
      <c r="BK197" s="35" t="n"/>
      <c r="BL197" s="35" t="n"/>
      <c r="BM197" s="35" t="n"/>
      <c r="BN197" s="35" t="n"/>
      <c r="BO197" s="35" t="n"/>
      <c r="BP197" s="35" t="n"/>
      <c r="BQ197" s="35" t="n"/>
      <c r="BR197" s="35" t="n"/>
      <c r="BS197" s="35" t="n"/>
      <c r="BT197" s="35" t="n"/>
      <c r="BU197" s="35" t="n"/>
      <c r="BV197" s="35" t="n"/>
      <c r="BW197" s="35" t="n"/>
      <c r="BX197" s="35" t="n"/>
      <c r="BY197" s="35" t="n"/>
      <c r="BZ197" s="35" t="n"/>
      <c r="CA197" s="35" t="n"/>
      <c r="CB197" s="35" t="n"/>
      <c r="CC197" s="35" t="n"/>
      <c r="CD197" s="35" t="n"/>
      <c r="CE197" s="35" t="n"/>
      <c r="CF197" s="35" t="n"/>
      <c r="CG197" s="35" t="n"/>
      <c r="CH197" s="35" t="n"/>
      <c r="CI197" s="35" t="n"/>
      <c r="CJ197" s="35" t="n"/>
      <c r="CK197" s="35" t="n"/>
      <c r="CL197" s="35" t="n"/>
      <c r="CM197" s="35" t="n"/>
      <c r="CN197" s="35" t="n"/>
      <c r="CO197" s="35" t="n"/>
      <c r="CP197" s="35" t="n"/>
      <c r="CQ197" s="35" t="n"/>
      <c r="CR197" s="35" t="n"/>
      <c r="CS197" s="35" t="n"/>
      <c r="CT197" s="35" t="n"/>
      <c r="CU197" s="35" t="n"/>
      <c r="CV197" s="35" t="n"/>
      <c r="CW197" s="35" t="n"/>
      <c r="CX197" s="35" t="n"/>
      <c r="CY197" s="35" t="n"/>
    </row>
    <row r="198">
      <c r="C198" s="14" t="inlineStr">
        <is>
          <t>Accounts payable</t>
        </is>
      </c>
      <c r="D198" s="46" t="n"/>
      <c r="E198" s="46" t="n"/>
      <c r="F198" s="46" t="n"/>
      <c r="G198" s="46" t="n"/>
      <c r="H198" s="12" t="n"/>
      <c r="I198" s="46">
        <f>'Inputs (2)'!D28</f>
        <v>42.128</v>
      </c>
      <c r="J198" s="46">
        <f>'Inputs (2)'!E28</f>
        <v>32.44</v>
      </c>
      <c r="K198" s="46">
        <f>'Inputs (2)'!F28</f>
        <v>25.454</v>
      </c>
      <c r="L198" s="46">
        <f>'Inputs (2)'!G28</f>
        <v>43.81</v>
      </c>
      <c r="M198" s="12">
        <f>'Inputs (2)'!H28</f>
        <v>43.81</v>
      </c>
      <c r="N198" s="46">
        <f>'Inputs (2)'!I28</f>
        <v>62.081</v>
      </c>
      <c r="O198" s="46">
        <f>'Inputs (2)'!J28</f>
        <v>72.522</v>
      </c>
      <c r="P198" s="46">
        <f>'Inputs (2)'!K28</f>
        <v>71.976</v>
      </c>
      <c r="Q198" s="46">
        <f>'Inputs (2)'!L28</f>
        <v>65.821</v>
      </c>
      <c r="R198" s="12">
        <f>'Inputs (2)'!M28</f>
        <v>65.821</v>
      </c>
      <c r="S198" s="46">
        <f>'Inputs (2)'!N28</f>
        <v>64.489</v>
      </c>
      <c r="T198" s="46">
        <f>'Inputs (2)'!O28</f>
        <v>50.98</v>
      </c>
      <c r="U198" s="46">
        <f>'Inputs (2)'!P28</f>
        <v>51.059</v>
      </c>
      <c r="V198" s="46">
        <f>'Inputs (2)'!Q28</f>
        <v>59.533</v>
      </c>
      <c r="W198" s="12">
        <f>'Inputs (2)'!R28</f>
        <v>59.533</v>
      </c>
      <c r="X198" s="46">
        <f>'Inputs (2)'!S28</f>
        <v>52.949</v>
      </c>
      <c r="Y198" s="46">
        <f>'Inputs (2)'!T28</f>
        <v>66.999</v>
      </c>
      <c r="Z198" s="46">
        <f>'Inputs (2)'!U28</f>
        <v>68.396</v>
      </c>
      <c r="AA198" s="46">
        <f>'Inputs (2)'!V28</f>
        <v>106.723</v>
      </c>
      <c r="AB198" s="12">
        <f>'Inputs (2)'!W28</f>
        <v>106.723</v>
      </c>
      <c r="AC198" s="46">
        <f>'Inputs (2)'!X28</f>
        <v>111.86</v>
      </c>
      <c r="AD198" s="46">
        <f>'Inputs (2)'!Y28</f>
        <v>178.175</v>
      </c>
      <c r="AE198" s="46">
        <f>'Inputs (2)'!Z28</f>
        <v>138.488</v>
      </c>
      <c r="AF198" s="46">
        <f>'Inputs (2)'!AA28</f>
        <v>145.788</v>
      </c>
      <c r="AG198" s="12">
        <f>'Inputs (2)'!AB28</f>
        <v>145.788</v>
      </c>
      <c r="AH198" s="12">
        <f>'Inputs (2)'!AC28</f>
        <v>167.965</v>
      </c>
      <c r="AI198" s="12">
        <f>'Inputs (2)'!AD28</f>
        <v>365.033</v>
      </c>
      <c r="AJ198" s="12">
        <f>(AJ199/(AJ$5-AI$5))*-AJ$54</f>
        <v>219.102219924775</v>
      </c>
      <c r="AK198" s="12">
        <f>(AK199/(AK$5-AJ$5))*-AK$54</f>
        <v>206.051196036639</v>
      </c>
      <c r="AL198" s="12">
        <f>AK198</f>
        <v>206.051196036639</v>
      </c>
      <c r="AM198" s="12">
        <f>(AM199/(AM$5-AL$5))*-AM$54</f>
        <v>263.837307077466</v>
      </c>
      <c r="AN198" s="12">
        <f>(AN199/(AN$5-AM$5))*-AN$54</f>
        <v>490.889033585365</v>
      </c>
      <c r="AO198" s="12">
        <f>(AO199/(AO$5-AN$5))*-AO$54</f>
        <v>306.336346983897</v>
      </c>
      <c r="AP198" s="12">
        <f>(AP199/(AP$5-AO$5))*-AP$54</f>
        <v>288.08914262575</v>
      </c>
      <c r="AQ198" s="12">
        <f>AP198</f>
        <v>288.08914262575</v>
      </c>
      <c r="AR198" s="12">
        <f>(AR199/(AR$5-AQ$5))*-AR$54</f>
        <v>363.524075856527</v>
      </c>
      <c r="AS198" s="12">
        <f>(AS199/(AS$5-AR$5))*-AS$54</f>
        <v>683.878871649337</v>
      </c>
      <c r="AT198" s="12">
        <f>(AT199/(AT$5-AS$5))*-AT$54</f>
        <v>426.770493914683</v>
      </c>
      <c r="AU198" s="12">
        <f>(AU199/(AU$5-AT$5))*-AU$54</f>
        <v>401.349519573371</v>
      </c>
      <c r="AV198" s="12">
        <f>AU198</f>
        <v>401.349519573371</v>
      </c>
      <c r="AW198" s="12">
        <f>(AW199/(AW$5-AV$5))*-AW$54</f>
        <v>510.230515653626</v>
      </c>
      <c r="AX198" s="12">
        <f>(AX199/(AX$5-AW$5))*-AX$54</f>
        <v>949.322017835145</v>
      </c>
      <c r="AY198" s="12">
        <f>(AY199/(AY$5-AX$5))*-AY$54</f>
        <v>592.418691717278</v>
      </c>
      <c r="AZ198" s="12">
        <f>(AZ199/(AZ$5-AY$5))*-AZ$54</f>
        <v>557.130731147845</v>
      </c>
      <c r="BA198" s="12">
        <f>AZ198</f>
        <v>557.130731147845</v>
      </c>
      <c r="BB198" s="12">
        <f>(BB199/(BB$5-BA$5))*-BB$54</f>
        <v>705.722026724941</v>
      </c>
      <c r="BC198" s="12">
        <f>(BC199/(BC$5-BB$5))*-BC$54</f>
        <v>1313.04858860311</v>
      </c>
      <c r="BD198" s="12">
        <f>(BD199/(BD$5-BC$5))*-BD$54</f>
        <v>819.400069109692</v>
      </c>
      <c r="BE198" s="12">
        <f>(BE199/(BE$5-BD$5))*-BE$54</f>
        <v>770.59175543965</v>
      </c>
      <c r="BF198" s="12">
        <f>BE198</f>
        <v>770.59175543965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7" t="inlineStr">
        <is>
          <t>DPO</t>
        </is>
      </c>
      <c r="D199" s="12" t="n"/>
      <c r="E199" s="12" t="n"/>
      <c r="F199" s="12" t="n"/>
      <c r="G199" s="12" t="n"/>
      <c r="H199" s="12" t="n"/>
      <c r="I199" s="12">
        <f>IFERROR(-(I198/I$54)*(I$5-H$5),"")</f>
        <v>77.8466276562981</v>
      </c>
      <c r="J199" s="12">
        <f>IFERROR(-(J198/J$54)*(J$5-I$5),"")</f>
        <v>62.4030778336786</v>
      </c>
      <c r="K199" s="12">
        <f>IFERROR(-(K198/K$54)*(K$5-J$5),"")</f>
        <v>48.536063671033</v>
      </c>
      <c r="L199" s="12">
        <f>IFERROR(-(L198/L$54)*(L$5-K$5),"")</f>
        <v>68.3776401730427</v>
      </c>
      <c r="M199" s="12" t="n"/>
      <c r="N199" s="12">
        <f>IFERROR(-(N198/N$54)*(N$5-M$5),"")</f>
        <v>112.817566885411</v>
      </c>
      <c r="O199" s="12">
        <f>IFERROR(-(O198/O$54)*(O$5-N$5),"")</f>
        <v>86.3786550090312</v>
      </c>
      <c r="P199" s="12">
        <f>IFERROR(-(P198/P$54)*(P$5-O$5),"")</f>
        <v>73.1536141583535</v>
      </c>
      <c r="Q199" s="12">
        <f>IFERROR(-(Q198/Q$54)*(Q$5-P$5),"")</f>
        <v>70.2783264666628</v>
      </c>
      <c r="R199" s="12" t="n"/>
      <c r="S199" s="12">
        <f>IFERROR(-(S198/S$54)*(S$5-R$5),"")</f>
        <v>67.2180529497603</v>
      </c>
      <c r="T199" s="12">
        <f>IFERROR(-(T198/T$54)*(T$5-S$5),"")</f>
        <v>49.3167781096854</v>
      </c>
      <c r="U199" s="12">
        <f>IFERROR(-(U198/U$54)*(U$5-T$5),"")</f>
        <v>56.2175734220541</v>
      </c>
      <c r="V199" s="12">
        <f>IFERROR(-(V198/V$54)*(V$5-U$5),"")</f>
        <v>55.3426025099529</v>
      </c>
      <c r="W199" s="12" t="n"/>
      <c r="X199" s="12">
        <f>IFERROR(-(X198/X$54)*(X$5-W$5),"")</f>
        <v>62.2776435006269</v>
      </c>
      <c r="Y199" s="12">
        <f>IFERROR(-(Y198/Y$54)*(Y$5-X$5),"")</f>
        <v>68.6233370101074</v>
      </c>
      <c r="Z199" s="12">
        <f>IFERROR(-(Z198/Z$54)*(Z$5-Y$5),"")</f>
        <v>74.6663502385077</v>
      </c>
      <c r="AA199" s="12">
        <f>IFERROR(-(AA198/AA$54)*(AA$5-Z$5),"")</f>
        <v>117.629279980831</v>
      </c>
      <c r="AB199" s="12" t="n"/>
      <c r="AC199" s="12">
        <f>IFERROR(-(AC198/AC$54)*(AC$5-AB$5),"")</f>
        <v>110.343391387266</v>
      </c>
      <c r="AD199" s="12">
        <f>IFERROR(-(AD198/AD$54)*(AD$5-AC$5),"")</f>
        <v>166.876884758288</v>
      </c>
      <c r="AE199" s="12">
        <f>IFERROR(-(AE198/AE$54)*(AE$5-AD$5),"")</f>
        <v>127.835932012923</v>
      </c>
      <c r="AF199" s="11">
        <f>IFERROR(-(AF198/AF$54)*(AF$5-AE$5),"")</f>
        <v>139.954046016591</v>
      </c>
      <c r="AG199" s="12" t="n"/>
      <c r="AH199" s="11">
        <f>IFERROR(-(AH198/AH$54)*(AH$5-AG$5),"")</f>
        <v>102.858805037866</v>
      </c>
      <c r="AI199" s="11">
        <f>IFERROR(-(AI198/AI$54)*(AI$5-AH$5),"")</f>
        <v>89.2609144285158</v>
      </c>
      <c r="AJ199" s="11">
        <f>Control!$B$27</f>
        <v>122.854995606908</v>
      </c>
      <c r="AK199" s="11">
        <f>Control!$B$27</f>
        <v>122.854995606908</v>
      </c>
      <c r="AL199" s="12" t="n"/>
      <c r="AM199" s="11">
        <f>Control!$C$27</f>
        <v>122.854995606908</v>
      </c>
      <c r="AN199" s="11">
        <f>Control!$C$27</f>
        <v>122.854995606908</v>
      </c>
      <c r="AO199" s="11">
        <f>Control!$C$27</f>
        <v>122.854995606908</v>
      </c>
      <c r="AP199" s="11">
        <f>Control!$C$27</f>
        <v>122.854995606908</v>
      </c>
      <c r="AQ199" s="12" t="n"/>
      <c r="AR199" s="11">
        <f>Control!$D$27</f>
        <v>122.854995606908</v>
      </c>
      <c r="AS199" s="11">
        <f>Control!$D$27</f>
        <v>122.854995606908</v>
      </c>
      <c r="AT199" s="11">
        <f>Control!$D$27</f>
        <v>122.854995606908</v>
      </c>
      <c r="AU199" s="11">
        <f>Control!$D$27</f>
        <v>122.854995606908</v>
      </c>
      <c r="AV199" s="12" t="n"/>
      <c r="AW199" s="11">
        <f>Control!$E$27</f>
        <v>122.854995606908</v>
      </c>
      <c r="AX199" s="11">
        <f>Control!$E$27</f>
        <v>122.854995606908</v>
      </c>
      <c r="AY199" s="11">
        <f>Control!$E$27</f>
        <v>122.854995606908</v>
      </c>
      <c r="AZ199" s="11">
        <f>Control!$E$27</f>
        <v>122.854995606908</v>
      </c>
      <c r="BA199" s="12" t="n"/>
      <c r="BB199" s="11">
        <f>Control!$F$27</f>
        <v>122.854995606908</v>
      </c>
      <c r="BC199" s="11">
        <f>Control!$F$27</f>
        <v>122.854995606908</v>
      </c>
      <c r="BD199" s="11">
        <f>Control!$F$27</f>
        <v>122.854995606908</v>
      </c>
      <c r="BE199" s="11">
        <f>Control!$F$27</f>
        <v>122.854995606908</v>
      </c>
      <c r="BF199" s="12" t="n"/>
      <c r="BG199" s="11" t="n"/>
      <c r="BH199" s="11" t="n"/>
      <c r="BI199" s="11" t="n"/>
      <c r="BJ199" s="11" t="n"/>
      <c r="BK199" s="12" t="n"/>
      <c r="BL199" s="11" t="n"/>
      <c r="BM199" s="11" t="n"/>
      <c r="BN199" s="11" t="n"/>
      <c r="BO199" s="11" t="n"/>
      <c r="BP199" s="12" t="n"/>
      <c r="BQ199" s="11" t="n"/>
      <c r="BR199" s="11" t="n"/>
      <c r="BS199" s="11" t="n"/>
      <c r="BT199" s="11" t="n"/>
      <c r="BU199" s="12" t="n"/>
      <c r="BV199" s="11" t="n"/>
      <c r="BW199" s="11" t="n"/>
      <c r="BX199" s="11" t="n"/>
      <c r="BY199" s="11" t="n"/>
      <c r="BZ199" s="12" t="n"/>
      <c r="CA199" s="11" t="n"/>
      <c r="CB199" s="11" t="n"/>
      <c r="CC199" s="11" t="n"/>
      <c r="CD199" s="11" t="n"/>
      <c r="CE199" s="12" t="n"/>
      <c r="CF199" s="11" t="n"/>
      <c r="CG199" s="11" t="n"/>
      <c r="CH199" s="11" t="n"/>
      <c r="CI199" s="11" t="n"/>
      <c r="CJ199" s="12" t="n"/>
      <c r="CK199" s="11" t="n"/>
      <c r="CL199" s="11" t="n"/>
      <c r="CM199" s="11" t="n"/>
      <c r="CN199" s="11" t="n"/>
      <c r="CO199" s="12" t="n"/>
      <c r="CP199" s="11" t="n"/>
      <c r="CQ199" s="11" t="n"/>
      <c r="CR199" s="11" t="n"/>
      <c r="CS199" s="11" t="n"/>
      <c r="CT199" s="12" t="n"/>
      <c r="CU199" s="11" t="n"/>
      <c r="CV199" s="11" t="n"/>
      <c r="CW199" s="11" t="n"/>
      <c r="CX199" s="11" t="n"/>
      <c r="CY199" s="12" t="n"/>
    </row>
    <row r="200" hidden="1" outlineLevel="1">
      <c r="C200" s="57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collapsed="1">
      <c r="C202" s="14" t="inlineStr">
        <is>
          <t>Accrued expenses</t>
        </is>
      </c>
      <c r="D202" s="46" t="n"/>
      <c r="E202" s="46" t="n"/>
      <c r="F202" s="46" t="n"/>
      <c r="G202" s="46" t="n"/>
      <c r="H202" s="12" t="n"/>
      <c r="I202" s="46">
        <f>'Inputs (2)'!D29</f>
        <v>35.839</v>
      </c>
      <c r="J202" s="46">
        <f>'Inputs (2)'!E29</f>
        <v>36.049</v>
      </c>
      <c r="K202" s="46">
        <f>'Inputs (2)'!F29</f>
        <v>16.333</v>
      </c>
      <c r="L202" s="46">
        <f>'Inputs (2)'!G29</f>
        <v>12.71</v>
      </c>
      <c r="M202" s="12">
        <f>'Inputs (2)'!H29</f>
        <v>12.71</v>
      </c>
      <c r="N202" s="46">
        <f>'Inputs (2)'!I29</f>
        <v>15.611</v>
      </c>
      <c r="O202" s="46">
        <f>'Inputs (2)'!J29</f>
        <v>27.959</v>
      </c>
      <c r="P202" s="46">
        <f>'Inputs (2)'!K29</f>
        <v>32.059</v>
      </c>
      <c r="Q202" s="46">
        <f>'Inputs (2)'!L29</f>
        <v>24.849</v>
      </c>
      <c r="R202" s="12">
        <f>'Inputs (2)'!M29</f>
        <v>24.849</v>
      </c>
      <c r="S202" s="46">
        <f>'Inputs (2)'!N29</f>
        <v>28.625</v>
      </c>
      <c r="T202" s="46">
        <f>'Inputs (2)'!O29</f>
        <v>31.021</v>
      </c>
      <c r="U202" s="46">
        <f>'Inputs (2)'!P29</f>
        <v>34.131</v>
      </c>
      <c r="V202" s="46">
        <f>'Inputs (2)'!Q29</f>
        <v>25.248</v>
      </c>
      <c r="W202" s="12">
        <f>'Inputs (2)'!R29</f>
        <v>25.248</v>
      </c>
      <c r="X202" s="46">
        <f>'Inputs (2)'!S29</f>
        <v>28.991</v>
      </c>
      <c r="Y202" s="46">
        <f>'Inputs (2)'!T29</f>
        <v>34.013</v>
      </c>
      <c r="Z202" s="46">
        <f>'Inputs (2)'!U29</f>
        <v>36.196</v>
      </c>
      <c r="AA202" s="46">
        <f>'Inputs (2)'!V29</f>
        <v>32.093</v>
      </c>
      <c r="AB202" s="12">
        <f>'Inputs (2)'!W29</f>
        <v>32.093</v>
      </c>
      <c r="AC202" s="46">
        <f>'Inputs (2)'!X29</f>
        <v>33.649</v>
      </c>
      <c r="AD202" s="46">
        <f>'Inputs (2)'!Y29</f>
        <v>38.644</v>
      </c>
      <c r="AE202" s="46">
        <f>'Inputs (2)'!Z29</f>
        <v>40.727</v>
      </c>
      <c r="AF202" s="46">
        <f>'Inputs (2)'!AA29</f>
        <v>31.894</v>
      </c>
      <c r="AG202" s="12">
        <f>'Inputs (2)'!AB29</f>
        <v>31.894</v>
      </c>
      <c r="AH202" s="12">
        <f>'Inputs (2)'!AC29</f>
        <v>35.72</v>
      </c>
      <c r="AI202" s="12">
        <f>'Inputs (2)'!AD29</f>
        <v>219.628</v>
      </c>
      <c r="AJ202" s="12">
        <f>AI202*(1+AJ16)</f>
        <v>307.071462984167</v>
      </c>
      <c r="AK202" s="12">
        <f>AJ202*(1+AK16)</f>
        <v>429.329973315045</v>
      </c>
      <c r="AL202" s="12">
        <f>AK202</f>
        <v>429.329973315045</v>
      </c>
      <c r="AM202" s="12">
        <f>AL202*(1+AM16)</f>
        <v>600.264916170999</v>
      </c>
      <c r="AN202" s="12">
        <f>AM202*(1+AN16)</f>
        <v>839.256497289495</v>
      </c>
      <c r="AO202" s="12">
        <f>AN202*(1+AO16)</f>
        <v>1173.40102555982</v>
      </c>
      <c r="AP202" s="12">
        <f>AO202*(1+AP16)</f>
        <v>1640.58302942146</v>
      </c>
      <c r="AQ202" s="12">
        <f>AP202</f>
        <v>1640.58302942146</v>
      </c>
      <c r="AR202" s="12">
        <f>AQ202*(1+AR16)</f>
        <v>2285.56760132368</v>
      </c>
      <c r="AS202" s="12">
        <f>AR202*(1+AS16)</f>
        <v>3184.12367221829</v>
      </c>
      <c r="AT202" s="12">
        <f>AS202*(1+AT16)</f>
        <v>4435.94123145126</v>
      </c>
      <c r="AU202" s="12">
        <f>AT202*(1+AU16)</f>
        <v>6179.90274076903</v>
      </c>
      <c r="AV202" s="12">
        <f>AU202</f>
        <v>6179.90274076903</v>
      </c>
      <c r="AW202" s="12">
        <f>AV202*(1+AW16)</f>
        <v>8578.59188681003</v>
      </c>
      <c r="AX202" s="12">
        <f>AW202*(1+AX16)</f>
        <v>11908.3166592497</v>
      </c>
      <c r="AY202" s="12">
        <f>AX202*(1+AY16)</f>
        <v>16530.4524947737</v>
      </c>
      <c r="AZ202" s="12">
        <f>AY202*(1+AZ16)</f>
        <v>22946.6403607701</v>
      </c>
      <c r="BA202" s="12">
        <f>AZ202</f>
        <v>22946.6403607701</v>
      </c>
      <c r="BB202" s="12">
        <f>BA202*(1+BB16)</f>
        <v>31738.496709053</v>
      </c>
      <c r="BC202" s="12">
        <f>BB202*(1+BC16)</f>
        <v>43898.8957648335</v>
      </c>
      <c r="BD202" s="12">
        <f>BC202*(1+BD16)</f>
        <v>60718.4728072527</v>
      </c>
      <c r="BE202" s="12">
        <f>BD202*(1+BE16)</f>
        <v>83982.3616474301</v>
      </c>
      <c r="BF202" s="12">
        <f>BE202</f>
        <v>83982.3616474301</v>
      </c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9" t="inlineStr">
        <is>
          <t>%(Var.)</t>
        </is>
      </c>
      <c r="D203" s="12" t="n"/>
      <c r="E203" s="40" t="n"/>
      <c r="F203" s="40" t="n"/>
      <c r="G203" s="40" t="n"/>
      <c r="H203" s="12" t="n"/>
      <c r="I203" s="40" t="str">
        <f>""</f>
        <v/>
      </c>
      <c r="J203" s="40">
        <f>IFERROR(IF(I202=0,"",J202/I202-1),"")</f>
        <v>0.00585953849158738</v>
      </c>
      <c r="K203" s="40">
        <f>IFERROR(IF(J202=0,"",K202/J202-1),"")</f>
        <v>-0.546922244722461</v>
      </c>
      <c r="L203" s="40">
        <f>IFERROR(IF(K202=0,"",L202/K202-1),"")</f>
        <v>-0.221820853486806</v>
      </c>
      <c r="M203" s="12">
        <f>IF(L202=0,"",M202/L202-1)</f>
        <v>0</v>
      </c>
      <c r="N203" s="40">
        <f>IFERROR(IF(M202=0,"",N202/M202-1),"")</f>
        <v>0.228245476003147</v>
      </c>
      <c r="O203" s="40">
        <f>IFERROR(IF(N202=0,"",O202/N202-1),"")</f>
        <v>0.790980718723977</v>
      </c>
      <c r="P203" s="40">
        <f>IFERROR(IF(O202=0,"",P202/O202-1),"")</f>
        <v>0.146643299116563</v>
      </c>
      <c r="Q203" s="40">
        <f>IFERROR(IF(P202=0,"",Q202/P202-1),"")</f>
        <v>-0.224897844599021</v>
      </c>
      <c r="R203" s="12">
        <f>IF(Q202=0,"",R202/Q202-1)</f>
        <v>0</v>
      </c>
      <c r="S203" s="40">
        <f>IFERROR(IF(R202=0,"",S202/R202-1),"")</f>
        <v>0.151957825264598</v>
      </c>
      <c r="T203" s="40">
        <f>IFERROR(IF(S202=0,"",T202/S202-1),"")</f>
        <v>0.0837030567685591</v>
      </c>
      <c r="U203" s="40">
        <f>IFERROR(IF(T202=0,"",U202/T202-1),"")</f>
        <v>0.100254666193869</v>
      </c>
      <c r="V203" s="40">
        <f>IFERROR(IF(U202=0,"",V202/U202-1),"")</f>
        <v>-0.260261931968006</v>
      </c>
      <c r="W203" s="12">
        <f>IF(V202=0,"",W202/V202-1)</f>
        <v>0</v>
      </c>
      <c r="X203" s="40">
        <f>IFERROR(IF(W202=0,"",X202/W202-1),"")</f>
        <v>0.148249366286438</v>
      </c>
      <c r="Y203" s="40">
        <f>IFERROR(IF(X202=0,"",Y202/X202-1),"")</f>
        <v>0.173226173640095</v>
      </c>
      <c r="Z203" s="40">
        <f>IFERROR(IF(Y202=0,"",Z202/Y202-1),"")</f>
        <v>0.0641813424278952</v>
      </c>
      <c r="AA203" s="40">
        <f>IFERROR(IF(Z202=0,"",AA202/Z202-1),"")</f>
        <v>-0.113355066858216</v>
      </c>
      <c r="AB203" s="12">
        <f>IF(AA202=0,"",AB202/AA202-1)</f>
        <v>0</v>
      </c>
      <c r="AC203" s="40">
        <f>IFERROR(IF(AB202=0,"",AC202/AB202-1),"")</f>
        <v>0.0484840931044153</v>
      </c>
      <c r="AD203" s="40">
        <f>IFERROR(IF(AC202=0,"",AD202/AC202-1),"")</f>
        <v>0.148444233112425</v>
      </c>
      <c r="AE203" s="40">
        <f>IFERROR(IF(AD202=0,"",AE202/AD202-1),"")</f>
        <v>0.053902287547873</v>
      </c>
      <c r="AF203" s="55">
        <f>IFERROR(IF(AE202=0,"",AF202/AE202-1),"")</f>
        <v>-0.216883148771086</v>
      </c>
      <c r="AG203" s="12">
        <f>IF(AF202=0,"",AG202/AF202-1)</f>
        <v>0</v>
      </c>
      <c r="AH203" s="55">
        <f>IFERROR(IF(AG202=0,"",AH202/AG202-1),"")</f>
        <v>0.119959867059635</v>
      </c>
      <c r="AI203" s="55">
        <f>IFERROR(IF(AH202=0,"",AI202/AH202-1),"")</f>
        <v>5.14860022396417</v>
      </c>
      <c r="AJ203" s="55">
        <f>IFERROR(IF(AI202=0,"",AJ202/AI202-1),"")</f>
        <v>0.398143510773522</v>
      </c>
      <c r="AK203" s="55">
        <f>IF(AJ202=0,"",AK202/AJ202-1)</f>
        <v>0.398143510773522</v>
      </c>
      <c r="AL203" s="12">
        <f>IF(AK202=0,"",AL202/AK202-1)</f>
        <v>0</v>
      </c>
      <c r="AM203" s="55">
        <f>IF(AL202=0,"",AM202/AL202-1)</f>
        <v>0.398143510773522</v>
      </c>
      <c r="AN203" s="55">
        <f>IF(AM202=0,"",AN202/AM202-1)</f>
        <v>0.398143510773522</v>
      </c>
      <c r="AO203" s="55">
        <f>IF(AN202=0,"",AO202/AN202-1)</f>
        <v>0.398143510773522</v>
      </c>
      <c r="AP203" s="55">
        <f>IF(AO202=0,"",AP202/AO202-1)</f>
        <v>0.398143510773522</v>
      </c>
      <c r="AQ203" s="12">
        <f>IF(AP202=0,"",AQ202/AP202-1)</f>
        <v>0</v>
      </c>
      <c r="AR203" s="55">
        <f>IF(AQ202=0,"",AR202/AQ202-1)</f>
        <v>0.393143510773522</v>
      </c>
      <c r="AS203" s="55">
        <f>IF(AR202=0,"",AS202/AR202-1)</f>
        <v>0.393143510773522</v>
      </c>
      <c r="AT203" s="55">
        <f>IF(AS202=0,"",AT202/AS202-1)</f>
        <v>0.393143510773522</v>
      </c>
      <c r="AU203" s="55">
        <f>IF(AT202=0,"",AU202/AT202-1)</f>
        <v>0.393143510773522</v>
      </c>
      <c r="AV203" s="12">
        <f>IF(AU202=0,"",AV202/AU202-1)</f>
        <v>0</v>
      </c>
      <c r="AW203" s="55">
        <f>IF(AV202=0,"",AW202/AV202-1)</f>
        <v>0.388143510773522</v>
      </c>
      <c r="AX203" s="55">
        <f>IF(AW202=0,"",AX202/AW202-1)</f>
        <v>0.388143510773522</v>
      </c>
      <c r="AY203" s="55">
        <f>IF(AX202=0,"",AY202/AX202-1)</f>
        <v>0.388143510773522</v>
      </c>
      <c r="AZ203" s="55">
        <f>IF(AY202=0,"",AZ202/AY202-1)</f>
        <v>0.388143510773522</v>
      </c>
      <c r="BA203" s="12">
        <f>IF(AZ202=0,"",BA202/AZ202-1)</f>
        <v>0</v>
      </c>
      <c r="BB203" s="55">
        <f>IF(BA202=0,"",BB202/BA202-1)</f>
        <v>0.383143510773522</v>
      </c>
      <c r="BC203" s="55">
        <f>IF(BB202=0,"",BC202/BB202-1)</f>
        <v>0.383143510773522</v>
      </c>
      <c r="BD203" s="55">
        <f>IF(BC202=0,"",BD202/BC202-1)</f>
        <v>0.383143510773522</v>
      </c>
      <c r="BE203" s="55">
        <f>IF(BD202=0,"",BE202/BD202-1)</f>
        <v>0.383143510773522</v>
      </c>
      <c r="BF203" s="12">
        <f>IF(BE202=0,"",BF202/BE202-1)</f>
        <v>0</v>
      </c>
      <c r="BG203" s="55" t="n"/>
      <c r="BH203" s="55" t="n"/>
      <c r="BI203" s="55" t="n"/>
      <c r="BJ203" s="55" t="n"/>
      <c r="BK203" s="12" t="n"/>
      <c r="BL203" s="55" t="n"/>
      <c r="BM203" s="55" t="n"/>
      <c r="BN203" s="55" t="n"/>
      <c r="BO203" s="55" t="n"/>
      <c r="BP203" s="12" t="n"/>
      <c r="BQ203" s="55" t="n"/>
      <c r="BR203" s="55" t="n"/>
      <c r="BS203" s="55" t="n"/>
      <c r="BT203" s="55" t="n"/>
      <c r="BU203" s="12" t="n"/>
      <c r="BV203" s="55" t="n"/>
      <c r="BW203" s="55" t="n"/>
      <c r="BX203" s="55" t="n"/>
      <c r="BY203" s="55" t="n"/>
      <c r="BZ203" s="12" t="n"/>
      <c r="CA203" s="55" t="n"/>
      <c r="CB203" s="55" t="n"/>
      <c r="CC203" s="55" t="n"/>
      <c r="CD203" s="55" t="n"/>
      <c r="CE203" s="12" t="n"/>
      <c r="CF203" s="55" t="n"/>
      <c r="CG203" s="55" t="n"/>
      <c r="CH203" s="55" t="n"/>
      <c r="CI203" s="55" t="n"/>
      <c r="CJ203" s="12" t="n"/>
      <c r="CK203" s="55" t="n"/>
      <c r="CL203" s="55" t="n"/>
      <c r="CM203" s="55" t="n"/>
      <c r="CN203" s="55" t="n"/>
      <c r="CO203" s="12" t="n"/>
      <c r="CP203" s="55" t="n"/>
      <c r="CQ203" s="55" t="n"/>
      <c r="CR203" s="55" t="n"/>
      <c r="CS203" s="55" t="n"/>
      <c r="CT203" s="12" t="n"/>
      <c r="CU203" s="55" t="n"/>
      <c r="CV203" s="55" t="n"/>
      <c r="CW203" s="55" t="n"/>
      <c r="CX203" s="55" t="n"/>
      <c r="CY203" s="12" t="n"/>
    </row>
    <row r="204" collapsed="1">
      <c r="C204" s="14" t="inlineStr">
        <is>
          <t>Taxes payable</t>
        </is>
      </c>
      <c r="D204" s="46" t="n"/>
      <c r="E204" s="46" t="n"/>
      <c r="F204" s="46" t="n"/>
      <c r="G204" s="46" t="n"/>
      <c r="H204" s="12" t="n"/>
      <c r="I204" s="46">
        <f>'Inputs (2)'!D30</f>
        <v>42.497</v>
      </c>
      <c r="J204" s="46">
        <f>'Inputs (2)'!E30</f>
        <v>42.4</v>
      </c>
      <c r="K204" s="46">
        <f>'Inputs (2)'!F30</f>
        <v>41.358</v>
      </c>
      <c r="L204" s="46">
        <f>'Inputs (2)'!G30</f>
        <v>38.874</v>
      </c>
      <c r="M204" s="12">
        <f>'Inputs (2)'!H30</f>
        <v>38.874</v>
      </c>
      <c r="N204" s="46">
        <f>'Inputs (2)'!I30</f>
        <v>32.61</v>
      </c>
      <c r="O204" s="46">
        <f>'Inputs (2)'!J30</f>
        <v>46.395</v>
      </c>
      <c r="P204" s="46">
        <f>'Inputs (2)'!K30</f>
        <v>52.869</v>
      </c>
      <c r="Q204" s="46">
        <f>'Inputs (2)'!L30</f>
        <v>66.577</v>
      </c>
      <c r="R204" s="12">
        <f>'Inputs (2)'!M30</f>
        <v>66.577</v>
      </c>
      <c r="S204" s="46">
        <f>'Inputs (2)'!N30</f>
        <v>63.616</v>
      </c>
      <c r="T204" s="46">
        <f>'Inputs (2)'!O30</f>
        <v>55.713</v>
      </c>
      <c r="U204" s="46">
        <f>'Inputs (2)'!P30</f>
        <v>55.957</v>
      </c>
      <c r="V204" s="46">
        <f>'Inputs (2)'!Q30</f>
        <v>56.131</v>
      </c>
      <c r="W204" s="12">
        <f>'Inputs (2)'!R30</f>
        <v>56.131</v>
      </c>
      <c r="X204" s="46">
        <f>'Inputs (2)'!S30</f>
        <v>64.613</v>
      </c>
      <c r="Y204" s="46">
        <f>'Inputs (2)'!T30</f>
        <v>58.701</v>
      </c>
      <c r="Z204" s="46">
        <f>'Inputs (2)'!U30</f>
        <v>55.928</v>
      </c>
      <c r="AA204" s="46">
        <f>'Inputs (2)'!V30</f>
        <v>67.449</v>
      </c>
      <c r="AB204" s="12">
        <f>'Inputs (2)'!W30</f>
        <v>67.449</v>
      </c>
      <c r="AC204" s="46">
        <f>'Inputs (2)'!X30</f>
        <v>61.144</v>
      </c>
      <c r="AD204" s="46">
        <f>'Inputs (2)'!Y30</f>
        <v>59.377</v>
      </c>
      <c r="AE204" s="46">
        <f>'Inputs (2)'!Z30</f>
        <v>61.971</v>
      </c>
      <c r="AF204" s="46">
        <f>'Inputs (2)'!AA30</f>
        <v>57.697</v>
      </c>
      <c r="AG204" s="12">
        <f>'Inputs (2)'!AB30</f>
        <v>57.697</v>
      </c>
      <c r="AH204" s="12">
        <f>'Inputs (2)'!AC30</f>
        <v>69.464</v>
      </c>
      <c r="AI204" s="12">
        <f>'Inputs (2)'!AD30</f>
        <v>109.744</v>
      </c>
      <c r="AJ204" s="12">
        <f>AI204*(1+AJ16)</f>
        <v>153.437861446329</v>
      </c>
      <c r="AK204" s="12">
        <f>AJ204*(1+AK16)</f>
        <v>214.528150288152</v>
      </c>
      <c r="AL204" s="12">
        <f>AK204</f>
        <v>214.528150288152</v>
      </c>
      <c r="AM204" s="12">
        <f>AL204*(1+AM16)</f>
        <v>299.941141203627</v>
      </c>
      <c r="AN204" s="12">
        <f>AM204*(1+AN16)</f>
        <v>419.360760187856</v>
      </c>
      <c r="AO204" s="12">
        <f>AN204*(1+AO16)</f>
        <v>586.326525529702</v>
      </c>
      <c r="AP204" s="12">
        <f>AO204*(1+AP16)</f>
        <v>819.768626863738</v>
      </c>
      <c r="AQ204" s="12">
        <f>AP204</f>
        <v>819.768626863738</v>
      </c>
      <c r="AR204" s="12">
        <f>AQ204*(1+AR16)</f>
        <v>1142.05534285094</v>
      </c>
      <c r="AS204" s="12">
        <f>AR204*(1+AS16)</f>
        <v>1591.04698983701</v>
      </c>
      <c r="AT204" s="12">
        <f>AS204*(1+AT16)</f>
        <v>2216.55678922718</v>
      </c>
      <c r="AU204" s="12">
        <f>AT204*(1+AU16)</f>
        <v>3087.98170717284</v>
      </c>
      <c r="AV204" s="12">
        <f>AU204</f>
        <v>3087.98170717284</v>
      </c>
      <c r="AW204" s="12">
        <f>AV204*(1+AW16)</f>
        <v>4286.56176819932</v>
      </c>
      <c r="AX204" s="12">
        <f>AW204*(1+AX16)</f>
        <v>5950.36290205576</v>
      </c>
      <c r="AY204" s="12">
        <f>AX204*(1+AY16)</f>
        <v>8259.95764923621</v>
      </c>
      <c r="AZ204" s="12">
        <f>AY204*(1+AZ16)</f>
        <v>11466.0066100514</v>
      </c>
      <c r="BA204" s="12">
        <f>AZ204</f>
        <v>11466.0066100514</v>
      </c>
      <c r="BB204" s="12">
        <f>BA204*(1+BB16)</f>
        <v>15859.1326371789</v>
      </c>
      <c r="BC204" s="12">
        <f>BB204*(1+BC16)</f>
        <v>21935.4563936105</v>
      </c>
      <c r="BD204" s="12">
        <f>BC204*(1+BD16)</f>
        <v>30339.8841666779</v>
      </c>
      <c r="BE204" s="12">
        <f>BD204*(1+BE16)</f>
        <v>41964.4139027609</v>
      </c>
      <c r="BF204" s="12">
        <f>BE204</f>
        <v>41964.4139027609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Other current liabilities (non-debt)</t>
        </is>
      </c>
      <c r="D205" s="46" t="n"/>
      <c r="E205" s="46" t="n"/>
      <c r="F205" s="46" t="n"/>
      <c r="G205" s="46" t="n"/>
      <c r="H205" s="12" t="n"/>
      <c r="I205" s="46">
        <f>'Inputs (2)'!D31</f>
        <v>63.641</v>
      </c>
      <c r="J205" s="46">
        <f>'Inputs (2)'!E31</f>
        <v>75.452</v>
      </c>
      <c r="K205" s="46">
        <f>'Inputs (2)'!F31</f>
        <v>59.132</v>
      </c>
      <c r="L205" s="46">
        <f>'Inputs (2)'!G31</f>
        <v>67.325</v>
      </c>
      <c r="M205" s="12">
        <f>'Inputs (2)'!H31</f>
        <v>67.325</v>
      </c>
      <c r="N205" s="46">
        <f>'Inputs (2)'!I31</f>
        <v>70.444</v>
      </c>
      <c r="O205" s="46">
        <f>'Inputs (2)'!J31</f>
        <v>69.793</v>
      </c>
      <c r="P205" s="46">
        <f>'Inputs (2)'!K31</f>
        <v>79.96</v>
      </c>
      <c r="Q205" s="46">
        <f>'Inputs (2)'!L31</f>
        <v>112.808</v>
      </c>
      <c r="R205" s="12">
        <f>'Inputs (2)'!M31</f>
        <v>112.808</v>
      </c>
      <c r="S205" s="46">
        <f>'Inputs (2)'!N31</f>
        <v>86.146</v>
      </c>
      <c r="T205" s="46">
        <f>'Inputs (2)'!O31</f>
        <v>70.791</v>
      </c>
      <c r="U205" s="46">
        <f>'Inputs (2)'!P31</f>
        <v>61.56</v>
      </c>
      <c r="V205" s="46">
        <f>'Inputs (2)'!Q31</f>
        <v>42.879</v>
      </c>
      <c r="W205" s="12">
        <f>'Inputs (2)'!R31</f>
        <v>42.879</v>
      </c>
      <c r="X205" s="46">
        <f>'Inputs (2)'!S31</f>
        <v>41.462</v>
      </c>
      <c r="Y205" s="46">
        <f>'Inputs (2)'!T31</f>
        <v>38.597</v>
      </c>
      <c r="Z205" s="46">
        <f>'Inputs (2)'!U31</f>
        <v>38.621</v>
      </c>
      <c r="AA205" s="46">
        <f>'Inputs (2)'!V31</f>
        <v>30.552</v>
      </c>
      <c r="AB205" s="12">
        <f>'Inputs (2)'!W31</f>
        <v>30.552</v>
      </c>
      <c r="AC205" s="46">
        <f>'Inputs (2)'!X31</f>
        <v>24.081</v>
      </c>
      <c r="AD205" s="46">
        <f>'Inputs (2)'!Y31</f>
        <v>26.99</v>
      </c>
      <c r="AE205" s="46">
        <f>'Inputs (2)'!Z31</f>
        <v>25.007</v>
      </c>
      <c r="AF205" s="46">
        <f>'Inputs (2)'!AA31</f>
        <v>106.368</v>
      </c>
      <c r="AG205" s="12">
        <f>'Inputs (2)'!AB31</f>
        <v>106.368</v>
      </c>
      <c r="AH205" s="12">
        <f>'Inputs (2)'!AC31</f>
        <v>89.427</v>
      </c>
      <c r="AI205" s="12">
        <f>'Inputs (2)'!AD31</f>
        <v>132.638</v>
      </c>
      <c r="AJ205" s="12">
        <f>AI205</f>
        <v>132.638</v>
      </c>
      <c r="AK205" s="12">
        <f>AJ205</f>
        <v>132.638</v>
      </c>
      <c r="AL205" s="12">
        <f>AK205</f>
        <v>132.638</v>
      </c>
      <c r="AM205" s="12">
        <f>AL205</f>
        <v>132.638</v>
      </c>
      <c r="AN205" s="12">
        <f>AM205</f>
        <v>132.638</v>
      </c>
      <c r="AO205" s="12">
        <f>AN205</f>
        <v>132.638</v>
      </c>
      <c r="AP205" s="12">
        <f>AO205</f>
        <v>132.638</v>
      </c>
      <c r="AQ205" s="12">
        <f>AP205</f>
        <v>132.638</v>
      </c>
      <c r="AR205" s="12">
        <f>AQ205</f>
        <v>132.638</v>
      </c>
      <c r="AS205" s="12">
        <f>AR205</f>
        <v>132.638</v>
      </c>
      <c r="AT205" s="12">
        <f>AS205</f>
        <v>132.638</v>
      </c>
      <c r="AU205" s="12">
        <f>AT205</f>
        <v>132.638</v>
      </c>
      <c r="AV205" s="12">
        <f>AU205</f>
        <v>132.638</v>
      </c>
      <c r="AW205" s="12">
        <f>AV205</f>
        <v>132.638</v>
      </c>
      <c r="AX205" s="12">
        <f>AW205</f>
        <v>132.638</v>
      </c>
      <c r="AY205" s="12">
        <f>AX205</f>
        <v>132.638</v>
      </c>
      <c r="AZ205" s="12">
        <f>AY205</f>
        <v>132.638</v>
      </c>
      <c r="BA205" s="12">
        <f>AZ205</f>
        <v>132.638</v>
      </c>
      <c r="BB205" s="12">
        <f>BA205</f>
        <v>132.638</v>
      </c>
      <c r="BC205" s="12">
        <f>BB205</f>
        <v>132.638</v>
      </c>
      <c r="BD205" s="12">
        <f>BC205</f>
        <v>132.638</v>
      </c>
      <c r="BE205" s="12">
        <f>BD205</f>
        <v>132.638</v>
      </c>
      <c r="BF205" s="12">
        <f>BE205</f>
        <v>132.638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9" t="inlineStr">
        <is>
          <t>%(Var.)</t>
        </is>
      </c>
      <c r="D206" s="12" t="n"/>
      <c r="E206" s="40" t="n"/>
      <c r="F206" s="40" t="n"/>
      <c r="G206" s="40" t="n"/>
      <c r="H206" s="12" t="n"/>
      <c r="I206" s="40" t="str">
        <f>""</f>
        <v/>
      </c>
      <c r="J206" s="40">
        <f>IFERROR(IF(I205=0,"",J205/I205-1),"")</f>
        <v>0.185587907166764</v>
      </c>
      <c r="K206" s="40">
        <f>IFERROR(IF(J205=0,"",K205/J205-1),"")</f>
        <v>-0.216296453374331</v>
      </c>
      <c r="L206" s="40">
        <f>IFERROR(IF(K205=0,"",L205/K205-1),"")</f>
        <v>0.138554420618278</v>
      </c>
      <c r="M206" s="12">
        <f>IF(L205=0,"",M205/L205-1)</f>
        <v>0</v>
      </c>
      <c r="N206" s="40">
        <f>IFERROR(IF(M205=0,"",N205/M205-1),"")</f>
        <v>0.0463275157816561</v>
      </c>
      <c r="O206" s="40">
        <f>IFERROR(IF(N205=0,"",O205/N205-1),"")</f>
        <v>-0.00924138322639256</v>
      </c>
      <c r="P206" s="40">
        <f>IFERROR(IF(O205=0,"",P205/O205-1),"")</f>
        <v>0.145673634891751</v>
      </c>
      <c r="Q206" s="40">
        <f>IFERROR(IF(P205=0,"",Q205/P205-1),"")</f>
        <v>0.410805402701351</v>
      </c>
      <c r="R206" s="12">
        <f>IF(Q205=0,"",R205/Q205-1)</f>
        <v>0</v>
      </c>
      <c r="S206" s="40">
        <f>IFERROR(IF(R205=0,"",S205/R205-1),"")</f>
        <v>-0.236348485922984</v>
      </c>
      <c r="T206" s="40">
        <f>IFERROR(IF(S205=0,"",T205/S205-1),"")</f>
        <v>-0.178243911499083</v>
      </c>
      <c r="U206" s="40">
        <f>IFERROR(IF(T205=0,"",U205/T205-1),"")</f>
        <v>-0.130397931940501</v>
      </c>
      <c r="V206" s="40">
        <f>IFERROR(IF(U205=0,"",V205/U205-1),"")</f>
        <v>-0.303460038986355</v>
      </c>
      <c r="W206" s="12">
        <f>IF(V205=0,"",W205/V205-1)</f>
        <v>0</v>
      </c>
      <c r="X206" s="40">
        <f>IFERROR(IF(W205=0,"",X205/W205-1),"")</f>
        <v>-0.0330464796287225</v>
      </c>
      <c r="Y206" s="40">
        <f>IFERROR(IF(X205=0,"",Y205/X205-1),"")</f>
        <v>-0.0690994163330279</v>
      </c>
      <c r="Z206" s="40">
        <f>IFERROR(IF(Y205=0,"",Z205/Y205-1),"")</f>
        <v>0.00062180998523198</v>
      </c>
      <c r="AA206" s="40">
        <f>IFERROR(IF(Z205=0,"",AA205/Z205-1),"")</f>
        <v>-0.208927785401725</v>
      </c>
      <c r="AB206" s="12">
        <f>IF(AA205=0,"",AB205/AA205-1)</f>
        <v>0</v>
      </c>
      <c r="AC206" s="40">
        <f>IFERROR(IF(AB205=0,"",AC205/AB205-1),"")</f>
        <v>-0.211802827965436</v>
      </c>
      <c r="AD206" s="40">
        <f>IFERROR(IF(AC205=0,"",AD205/AC205-1),"")</f>
        <v>0.120800631203023</v>
      </c>
      <c r="AE206" s="40">
        <f>IFERROR(IF(AD205=0,"",AE205/AD205-1),"")</f>
        <v>-0.0734716561689514</v>
      </c>
      <c r="AF206" s="55">
        <f>IFERROR(IF(AE205=0,"",AF205/AE205-1),"")</f>
        <v>3.25352901187667</v>
      </c>
      <c r="AG206" s="12">
        <f>IF(AF205=0,"",AG205/AF205-1)</f>
        <v>0</v>
      </c>
      <c r="AH206" s="55">
        <f>IFERROR(IF(AG205=0,"",AH205/AG205-1),"")</f>
        <v>-0.159267824909747</v>
      </c>
      <c r="AI206" s="55">
        <f>IFERROR(IF(AH205=0,"",AI205/AH205-1),"")</f>
        <v>0.483198586556633</v>
      </c>
      <c r="AJ206" s="55">
        <f>IFERROR(IF(AI205=0,"",AJ205/AI205-1),"")</f>
        <v>0</v>
      </c>
      <c r="AK206" s="55">
        <f>IFERROR(IF(AJ205=0,"",AK205/AJ205-1),"")</f>
        <v>0</v>
      </c>
      <c r="AL206" s="12">
        <f>IFERROR(IF(AK205=0,"",AL205/AK205-1),"")</f>
        <v>0</v>
      </c>
      <c r="AM206" s="55">
        <f>IFERROR(IF(AL205=0,"",AM205/AL205-1),"")</f>
        <v>0</v>
      </c>
      <c r="AN206" s="55">
        <f>IFERROR(IF(AM205=0,"",AN205/AM205-1),"")</f>
        <v>0</v>
      </c>
      <c r="AO206" s="55">
        <f>IFERROR(IF(AN205=0,"",AO205/AN205-1),"")</f>
        <v>0</v>
      </c>
      <c r="AP206" s="55">
        <f>IFERROR(IF(AO205=0,"",AP205/AO205-1),"")</f>
        <v>0</v>
      </c>
      <c r="AQ206" s="12">
        <f>IFERROR(IF(AP205=0,"",AQ205/AP205-1),"")</f>
        <v>0</v>
      </c>
      <c r="AR206" s="55">
        <f>IFERROR(IF(AQ205=0,"",AR205/AQ205-1),"")</f>
        <v>0</v>
      </c>
      <c r="AS206" s="55">
        <f>IFERROR(IF(AR205=0,"",AS205/AR205-1),"")</f>
        <v>0</v>
      </c>
      <c r="AT206" s="55">
        <f>IFERROR(IF(AS205=0,"",AT205/AS205-1),"")</f>
        <v>0</v>
      </c>
      <c r="AU206" s="55">
        <f>IFERROR(IF(AT205=0,"",AU205/AT205-1),"")</f>
        <v>0</v>
      </c>
      <c r="AV206" s="12">
        <f>IFERROR(IF(AU205=0,"",AV205/AU205-1),"")</f>
        <v>0</v>
      </c>
      <c r="AW206" s="55">
        <f>IFERROR(IF(AV205=0,"",AW205/AV205-1),"")</f>
        <v>0</v>
      </c>
      <c r="AX206" s="55">
        <f>IFERROR(IF(AW205=0,"",AX205/AW205-1),"")</f>
        <v>0</v>
      </c>
      <c r="AY206" s="55">
        <f>IFERROR(IF(AX205=0,"",AY205/AX205-1),"")</f>
        <v>0</v>
      </c>
      <c r="AZ206" s="55">
        <f>IFERROR(IF(AY205=0,"",AZ205/AY205-1),"")</f>
        <v>0</v>
      </c>
      <c r="BA206" s="12">
        <f>IFERROR(IF(AZ205=0,"",BA205/AZ205-1),"")</f>
        <v>0</v>
      </c>
      <c r="BB206" s="55">
        <f>IFERROR(IF(BA205=0,"",BB205/BA205-1),"")</f>
        <v>0</v>
      </c>
      <c r="BC206" s="55">
        <f>IFERROR(IF(BB205=0,"",BC205/BB205-1),"")</f>
        <v>0</v>
      </c>
      <c r="BD206" s="55">
        <f>IFERROR(IF(BC205=0,"",BD205/BC205-1),"")</f>
        <v>0</v>
      </c>
      <c r="BE206" s="55">
        <f>IFERROR(IF(BD205=0,"",BE205/BD205-1),"")</f>
        <v>0</v>
      </c>
      <c r="BF206" s="12">
        <f>IFERROR(IF(BE205=0,"",BF205/BE205-1),"")</f>
        <v>0</v>
      </c>
      <c r="BG206" s="55" t="n"/>
      <c r="BH206" s="55" t="n"/>
      <c r="BI206" s="55" t="n"/>
      <c r="BJ206" s="55" t="n"/>
      <c r="BK206" s="12" t="n"/>
      <c r="BL206" s="55" t="n"/>
      <c r="BM206" s="55" t="n"/>
      <c r="BN206" s="55" t="n"/>
      <c r="BO206" s="55" t="n"/>
      <c r="BP206" s="12" t="n"/>
      <c r="BQ206" s="55" t="n"/>
      <c r="BR206" s="55" t="n"/>
      <c r="BS206" s="55" t="n"/>
      <c r="BT206" s="55" t="n"/>
      <c r="BU206" s="12" t="n"/>
      <c r="BV206" s="55" t="n"/>
      <c r="BW206" s="55" t="n"/>
      <c r="BX206" s="55" t="n"/>
      <c r="BY206" s="55" t="n"/>
      <c r="BZ206" s="12" t="n"/>
      <c r="CA206" s="55" t="n"/>
      <c r="CB206" s="55" t="n"/>
      <c r="CC206" s="55" t="n"/>
      <c r="CD206" s="55" t="n"/>
      <c r="CE206" s="12" t="n"/>
      <c r="CF206" s="55" t="n"/>
      <c r="CG206" s="55" t="n"/>
      <c r="CH206" s="55" t="n"/>
      <c r="CI206" s="55" t="n"/>
      <c r="CJ206" s="12" t="n"/>
      <c r="CK206" s="55" t="n"/>
      <c r="CL206" s="55" t="n"/>
      <c r="CM206" s="55" t="n"/>
      <c r="CN206" s="55" t="n"/>
      <c r="CO206" s="12" t="n"/>
      <c r="CP206" s="55" t="n"/>
      <c r="CQ206" s="55" t="n"/>
      <c r="CR206" s="55" t="n"/>
      <c r="CS206" s="55" t="n"/>
      <c r="CT206" s="12" t="n"/>
      <c r="CU206" s="55" t="n"/>
      <c r="CV206" s="55" t="n"/>
      <c r="CW206" s="55" t="n"/>
      <c r="CX206" s="55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7" t="inlineStr">
        <is>
          <t xml:space="preserve">Dividendos a Pagar </t>
        </is>
      </c>
      <c r="D208" s="11" t="n"/>
      <c r="E208" s="11" t="n"/>
      <c r="F208" s="11" t="n"/>
      <c r="G208" s="11" t="n"/>
      <c r="H208" s="12" t="n"/>
      <c r="I208" s="11" t="n"/>
      <c r="J208" s="11" t="n"/>
      <c r="K208" s="11" t="n"/>
      <c r="L208" s="11" t="n"/>
      <c r="M208" s="12" t="n"/>
      <c r="N208" s="11" t="n"/>
      <c r="O208" s="11" t="n"/>
      <c r="P208" s="11" t="n"/>
      <c r="Q208" s="11" t="n"/>
      <c r="R208" s="12" t="n"/>
      <c r="S208" s="11" t="n"/>
      <c r="T208" s="11" t="n"/>
      <c r="U208" s="11" t="n"/>
      <c r="V208" s="11" t="n"/>
      <c r="W208" s="12" t="n"/>
      <c r="X208" s="11" t="n"/>
      <c r="Y208" s="11" t="n"/>
      <c r="Z208" s="11" t="n"/>
      <c r="AA208" s="11" t="n"/>
      <c r="AB208" s="12" t="n"/>
      <c r="AC208" s="11" t="n"/>
      <c r="AD208" s="11" t="n"/>
      <c r="AE208" s="11" t="n"/>
      <c r="AF208" s="11" t="n"/>
      <c r="AG208" s="12" t="n"/>
      <c r="AH208" s="11" t="n"/>
      <c r="AI208" s="11" t="n"/>
      <c r="AJ208" s="11" t="n"/>
      <c r="AK208" s="11" t="n"/>
      <c r="AL208" s="12" t="n"/>
      <c r="AM208" s="11" t="n"/>
      <c r="AN208" s="11" t="n"/>
      <c r="AO208" s="11" t="n"/>
      <c r="AP208" s="11" t="n"/>
      <c r="AQ208" s="12" t="n"/>
      <c r="AR208" s="11" t="n"/>
      <c r="AS208" s="11" t="n"/>
      <c r="AT208" s="11" t="n"/>
      <c r="AU208" s="11" t="n"/>
      <c r="AV208" s="12" t="n"/>
      <c r="AW208" s="11" t="n"/>
      <c r="AX208" s="11" t="n"/>
      <c r="AY208" s="11" t="n"/>
      <c r="AZ208" s="11" t="n"/>
      <c r="BA208" s="12" t="n"/>
      <c r="BB208" s="11" t="n"/>
      <c r="BC208" s="11" t="n"/>
      <c r="BD208" s="11" t="n"/>
      <c r="BE208" s="11" t="n"/>
      <c r="BF208" s="12" t="n"/>
      <c r="BG208" s="11" t="n"/>
      <c r="BH208" s="11" t="n"/>
      <c r="BI208" s="11" t="n"/>
      <c r="BJ208" s="11" t="n"/>
      <c r="BK208" s="12" t="n"/>
      <c r="BL208" s="11" t="n"/>
      <c r="BM208" s="11" t="n"/>
      <c r="BN208" s="11" t="n"/>
      <c r="BO208" s="11" t="n"/>
      <c r="BP208" s="12" t="n"/>
      <c r="BQ208" s="11" t="n"/>
      <c r="BR208" s="11" t="n"/>
      <c r="BS208" s="11" t="n"/>
      <c r="BT208" s="11" t="n"/>
      <c r="BU208" s="12" t="n"/>
      <c r="BV208" s="11" t="n"/>
      <c r="BW208" s="11" t="n"/>
      <c r="BX208" s="11" t="n"/>
      <c r="BY208" s="11" t="n"/>
      <c r="BZ208" s="12" t="n"/>
      <c r="CA208" s="11" t="n"/>
      <c r="CB208" s="11" t="n"/>
      <c r="CC208" s="11" t="n"/>
      <c r="CD208" s="11" t="n"/>
      <c r="CE208" s="12" t="n"/>
      <c r="CF208" s="11" t="n"/>
      <c r="CG208" s="11" t="n"/>
      <c r="CH208" s="11" t="n"/>
      <c r="CI208" s="11" t="n"/>
      <c r="CJ208" s="12" t="n"/>
      <c r="CK208" s="11" t="n"/>
      <c r="CL208" s="11" t="n"/>
      <c r="CM208" s="11" t="n"/>
      <c r="CN208" s="11" t="n"/>
      <c r="CO208" s="12" t="n"/>
      <c r="CP208" s="11" t="n"/>
      <c r="CQ208" s="11" t="n"/>
      <c r="CR208" s="11" t="n"/>
      <c r="CS208" s="11" t="n"/>
      <c r="CT208" s="12" t="n"/>
      <c r="CU208" s="11" t="n"/>
      <c r="CV208" s="11" t="n"/>
      <c r="CW208" s="11" t="n"/>
      <c r="CX208" s="11" t="n"/>
      <c r="CY208" s="12" t="n"/>
    </row>
    <row r="209" hidden="1" outlineLevel="1">
      <c r="C209" s="57" t="inlineStr">
        <is>
          <t>Contas a pagar pela aquisição de controladas</t>
        </is>
      </c>
      <c r="D209" s="11" t="n"/>
      <c r="E209" s="11" t="n"/>
      <c r="F209" s="11" t="n"/>
      <c r="G209" s="11" t="n"/>
      <c r="H209" s="12" t="n"/>
      <c r="I209" s="11" t="n"/>
      <c r="J209" s="11" t="n"/>
      <c r="K209" s="11" t="n"/>
      <c r="L209" s="11" t="n"/>
      <c r="M209" s="12" t="n"/>
      <c r="N209" s="11" t="n"/>
      <c r="O209" s="11" t="n"/>
      <c r="P209" s="11" t="n"/>
      <c r="Q209" s="11" t="n"/>
      <c r="R209" s="12" t="n"/>
      <c r="S209" s="11" t="n"/>
      <c r="T209" s="11" t="n"/>
      <c r="U209" s="11" t="n"/>
      <c r="V209" s="11" t="n"/>
      <c r="W209" s="12" t="n"/>
      <c r="X209" s="11" t="n"/>
      <c r="Y209" s="11" t="n"/>
      <c r="Z209" s="11" t="n"/>
      <c r="AA209" s="11" t="n"/>
      <c r="AB209" s="12" t="n"/>
      <c r="AC209" s="11" t="n"/>
      <c r="AD209" s="11" t="n"/>
      <c r="AE209" s="11" t="n"/>
      <c r="AF209" s="11" t="n"/>
      <c r="AG209" s="12" t="n"/>
      <c r="AH209" s="11" t="n"/>
      <c r="AI209" s="11" t="n"/>
      <c r="AJ209" s="11" t="n"/>
      <c r="AK209" s="11" t="n"/>
      <c r="AL209" s="12" t="n"/>
      <c r="AM209" s="11" t="n"/>
      <c r="AN209" s="11" t="n"/>
      <c r="AO209" s="11" t="n"/>
      <c r="AP209" s="11" t="n"/>
      <c r="AQ209" s="12" t="n"/>
      <c r="AR209" s="11" t="n"/>
      <c r="AS209" s="11" t="n"/>
      <c r="AT209" s="11" t="n"/>
      <c r="AU209" s="11" t="n"/>
      <c r="AV209" s="12" t="n"/>
      <c r="AW209" s="11" t="n"/>
      <c r="AX209" s="11" t="n"/>
      <c r="AY209" s="11" t="n"/>
      <c r="AZ209" s="11" t="n"/>
      <c r="BA209" s="12" t="n"/>
      <c r="BB209" s="11" t="n"/>
      <c r="BC209" s="11" t="n"/>
      <c r="BD209" s="11" t="n"/>
      <c r="BE209" s="11" t="n"/>
      <c r="BF209" s="12" t="n"/>
      <c r="BG209" s="11" t="n"/>
      <c r="BH209" s="11" t="n"/>
      <c r="BI209" s="11" t="n"/>
      <c r="BJ209" s="11" t="n"/>
      <c r="BK209" s="12" t="n"/>
      <c r="BL209" s="11" t="n"/>
      <c r="BM209" s="11" t="n"/>
      <c r="BN209" s="11" t="n"/>
      <c r="BO209" s="11" t="n"/>
      <c r="BP209" s="12" t="n"/>
      <c r="BQ209" s="11" t="n"/>
      <c r="BR209" s="11" t="n"/>
      <c r="BS209" s="11" t="n"/>
      <c r="BT209" s="11" t="n"/>
      <c r="BU209" s="12" t="n"/>
      <c r="BV209" s="11" t="n"/>
      <c r="BW209" s="11" t="n"/>
      <c r="BX209" s="11" t="n"/>
      <c r="BY209" s="11" t="n"/>
      <c r="BZ209" s="12" t="n"/>
      <c r="CA209" s="11" t="n"/>
      <c r="CB209" s="11" t="n"/>
      <c r="CC209" s="11" t="n"/>
      <c r="CD209" s="11" t="n"/>
      <c r="CE209" s="12" t="n"/>
      <c r="CF209" s="11" t="n"/>
      <c r="CG209" s="11" t="n"/>
      <c r="CH209" s="11" t="n"/>
      <c r="CI209" s="11" t="n"/>
      <c r="CJ209" s="12" t="n"/>
      <c r="CK209" s="11" t="n"/>
      <c r="CL209" s="11" t="n"/>
      <c r="CM209" s="11" t="n"/>
      <c r="CN209" s="11" t="n"/>
      <c r="CO209" s="12" t="n"/>
      <c r="CP209" s="11" t="n"/>
      <c r="CQ209" s="11" t="n"/>
      <c r="CR209" s="11" t="n"/>
      <c r="CS209" s="11" t="n"/>
      <c r="CT209" s="12" t="n"/>
      <c r="CU209" s="11" t="n"/>
      <c r="CV209" s="11" t="n"/>
      <c r="CW209" s="11" t="n"/>
      <c r="CX209" s="11" t="n"/>
      <c r="CY209" s="12" t="n"/>
    </row>
    <row r="210" hidden="1" outlineLevel="1">
      <c r="C210" s="57" t="inlineStr">
        <is>
          <t>Outros</t>
        </is>
      </c>
      <c r="D210" s="11" t="n"/>
      <c r="E210" s="11" t="n"/>
      <c r="F210" s="11" t="n"/>
      <c r="G210" s="11" t="n"/>
      <c r="H210" s="12" t="n"/>
      <c r="I210" s="11" t="n"/>
      <c r="J210" s="11" t="n"/>
      <c r="K210" s="11" t="n"/>
      <c r="L210" s="11" t="n"/>
      <c r="M210" s="12" t="n"/>
      <c r="N210" s="11" t="n"/>
      <c r="O210" s="11" t="n"/>
      <c r="P210" s="11" t="n"/>
      <c r="Q210" s="11" t="n"/>
      <c r="R210" s="12" t="n"/>
      <c r="S210" s="11" t="n"/>
      <c r="T210" s="11" t="n"/>
      <c r="U210" s="11" t="n"/>
      <c r="V210" s="11" t="n"/>
      <c r="W210" s="12" t="n"/>
      <c r="X210" s="11" t="n"/>
      <c r="Y210" s="11" t="n"/>
      <c r="Z210" s="11" t="n"/>
      <c r="AA210" s="11" t="n"/>
      <c r="AB210" s="12" t="n"/>
      <c r="AC210" s="11" t="n"/>
      <c r="AD210" s="11" t="n"/>
      <c r="AE210" s="11" t="n"/>
      <c r="AF210" s="11" t="n"/>
      <c r="AG210" s="12" t="n"/>
      <c r="AH210" s="11" t="n"/>
      <c r="AI210" s="11" t="n"/>
      <c r="AJ210" s="11" t="n"/>
      <c r="AK210" s="11" t="n"/>
      <c r="AL210" s="12" t="n"/>
      <c r="AM210" s="11" t="n"/>
      <c r="AN210" s="11" t="n"/>
      <c r="AO210" s="11" t="n"/>
      <c r="AP210" s="11" t="n"/>
      <c r="AQ210" s="12" t="n"/>
      <c r="AR210" s="11" t="n"/>
      <c r="AS210" s="11" t="n"/>
      <c r="AT210" s="11" t="n"/>
      <c r="AU210" s="11" t="n"/>
      <c r="AV210" s="12" t="n"/>
      <c r="AW210" s="11" t="n"/>
      <c r="AX210" s="11" t="n"/>
      <c r="AY210" s="11" t="n"/>
      <c r="AZ210" s="11" t="n"/>
      <c r="BA210" s="12" t="n"/>
      <c r="BB210" s="11" t="n"/>
      <c r="BC210" s="11" t="n"/>
      <c r="BD210" s="11" t="n"/>
      <c r="BE210" s="11" t="n"/>
      <c r="BF210" s="12" t="n"/>
      <c r="BG210" s="11" t="n"/>
      <c r="BH210" s="11" t="n"/>
      <c r="BI210" s="11" t="n"/>
      <c r="BJ210" s="11" t="n"/>
      <c r="BK210" s="12" t="n"/>
      <c r="BL210" s="11" t="n"/>
      <c r="BM210" s="11" t="n"/>
      <c r="BN210" s="11" t="n"/>
      <c r="BO210" s="11" t="n"/>
      <c r="BP210" s="12" t="n"/>
      <c r="BQ210" s="11" t="n"/>
      <c r="BR210" s="11" t="n"/>
      <c r="BS210" s="11" t="n"/>
      <c r="BT210" s="11" t="n"/>
      <c r="BU210" s="12" t="n"/>
      <c r="BV210" s="11" t="n"/>
      <c r="BW210" s="11" t="n"/>
      <c r="BX210" s="11" t="n"/>
      <c r="BY210" s="11" t="n"/>
      <c r="BZ210" s="12" t="n"/>
      <c r="CA210" s="11" t="n"/>
      <c r="CB210" s="11" t="n"/>
      <c r="CC210" s="11" t="n"/>
      <c r="CD210" s="11" t="n"/>
      <c r="CE210" s="12" t="n"/>
      <c r="CF210" s="11" t="n"/>
      <c r="CG210" s="11" t="n"/>
      <c r="CH210" s="11" t="n"/>
      <c r="CI210" s="11" t="n"/>
      <c r="CJ210" s="12" t="n"/>
      <c r="CK210" s="11" t="n"/>
      <c r="CL210" s="11" t="n"/>
      <c r="CM210" s="11" t="n"/>
      <c r="CN210" s="11" t="n"/>
      <c r="CO210" s="12" t="n"/>
      <c r="CP210" s="11" t="n"/>
      <c r="CQ210" s="11" t="n"/>
      <c r="CR210" s="11" t="n"/>
      <c r="CS210" s="11" t="n"/>
      <c r="CT210" s="12" t="n"/>
      <c r="CU210" s="11" t="n"/>
      <c r="CV210" s="11" t="n"/>
      <c r="CW210" s="11" t="n"/>
      <c r="CX210" s="11" t="n"/>
      <c r="CY210" s="12" t="n"/>
    </row>
    <row r="211" hidden="1" outlineLevel="1">
      <c r="C211" s="57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collapsed="1">
      <c r="C212" s="14" t="inlineStr">
        <is>
          <t>Current portion of long-term debt</t>
        </is>
      </c>
      <c r="D212" s="46" t="n"/>
      <c r="E212" s="46" t="n"/>
      <c r="F212" s="46" t="n"/>
      <c r="G212" s="46" t="n"/>
      <c r="H212" s="12" t="n"/>
      <c r="I212" s="46">
        <f>'Inputs (2)'!D32</f>
        <v>57.038</v>
      </c>
      <c r="J212" s="46">
        <f>'Inputs (2)'!E32</f>
        <v>69.002</v>
      </c>
      <c r="K212" s="46">
        <f>'Inputs (2)'!F32</f>
        <v>69.326</v>
      </c>
      <c r="L212" s="46">
        <f>'Inputs (2)'!G32</f>
        <v>16.844</v>
      </c>
      <c r="M212" s="12">
        <f>'Inputs (2)'!H32</f>
        <v>16.844</v>
      </c>
      <c r="N212" s="46">
        <f>'Inputs (2)'!I32</f>
        <v>12.728</v>
      </c>
      <c r="O212" s="46">
        <f>'Inputs (2)'!J32</f>
        <v>28.581</v>
      </c>
      <c r="P212" s="46">
        <f>'Inputs (2)'!K32</f>
        <v>34.899</v>
      </c>
      <c r="Q212" s="46">
        <f>'Inputs (2)'!L32</f>
        <v>37.616</v>
      </c>
      <c r="R212" s="12">
        <f>'Inputs (2)'!M32</f>
        <v>37.616</v>
      </c>
      <c r="S212" s="46">
        <f>'Inputs (2)'!N32</f>
        <v>27.958</v>
      </c>
      <c r="T212" s="46">
        <f>'Inputs (2)'!O32</f>
        <v>52.088</v>
      </c>
      <c r="U212" s="46">
        <f>'Inputs (2)'!P32</f>
        <v>46.457</v>
      </c>
      <c r="V212" s="46">
        <f>'Inputs (2)'!Q32</f>
        <v>45.583</v>
      </c>
      <c r="W212" s="12">
        <f>'Inputs (2)'!R32</f>
        <v>45.583</v>
      </c>
      <c r="X212" s="46">
        <f>'Inputs (2)'!S32</f>
        <v>46.797</v>
      </c>
      <c r="Y212" s="46">
        <f>'Inputs (2)'!T32</f>
        <v>139.5</v>
      </c>
      <c r="Z212" s="46">
        <f>'Inputs (2)'!U32</f>
        <v>308.682</v>
      </c>
      <c r="AA212" s="46">
        <f>'Inputs (2)'!V32</f>
        <v>140.957</v>
      </c>
      <c r="AB212" s="12">
        <f>'Inputs (2)'!W32</f>
        <v>140.957</v>
      </c>
      <c r="AC212" s="46">
        <f>'Inputs (2)'!X32</f>
        <v>182.561</v>
      </c>
      <c r="AD212" s="46">
        <f>'Inputs (2)'!Y32</f>
        <v>235.849</v>
      </c>
      <c r="AE212" s="46">
        <f>'Inputs (2)'!Z32</f>
        <v>191.487</v>
      </c>
      <c r="AF212" s="46">
        <f>'Inputs (2)'!AA32</f>
        <v>178.483</v>
      </c>
      <c r="AG212" s="12">
        <f>'Inputs (2)'!AB32</f>
        <v>178.483</v>
      </c>
      <c r="AH212" s="12">
        <f>'Inputs (2)'!AC32</f>
        <v>185.886</v>
      </c>
      <c r="AI212" s="12">
        <f>'Inputs (2)'!AD32</f>
        <v>299.576</v>
      </c>
      <c r="AJ212" s="12">
        <f>AI212</f>
        <v>299.576</v>
      </c>
      <c r="AK212" s="12">
        <f>AJ212</f>
        <v>299.576</v>
      </c>
      <c r="AL212" s="12">
        <f>AK212</f>
        <v>299.576</v>
      </c>
      <c r="AM212" s="12">
        <f>AL212</f>
        <v>299.576</v>
      </c>
      <c r="AN212" s="12">
        <f>AM212</f>
        <v>299.576</v>
      </c>
      <c r="AO212" s="12">
        <f>AN212</f>
        <v>299.576</v>
      </c>
      <c r="AP212" s="12">
        <f>AO212</f>
        <v>299.576</v>
      </c>
      <c r="AQ212" s="12">
        <f>AP212</f>
        <v>299.576</v>
      </c>
      <c r="AR212" s="12">
        <f>AQ212</f>
        <v>299.576</v>
      </c>
      <c r="AS212" s="12">
        <f>AR212</f>
        <v>299.576</v>
      </c>
      <c r="AT212" s="12">
        <f>AS212</f>
        <v>299.576</v>
      </c>
      <c r="AU212" s="12">
        <f>AT212</f>
        <v>299.576</v>
      </c>
      <c r="AV212" s="12">
        <f>AU212</f>
        <v>299.576</v>
      </c>
      <c r="AW212" s="12">
        <f>AV212</f>
        <v>299.576</v>
      </c>
      <c r="AX212" s="12">
        <f>AW212</f>
        <v>299.576</v>
      </c>
      <c r="AY212" s="12">
        <f>AX212</f>
        <v>299.576</v>
      </c>
      <c r="AZ212" s="12">
        <f>AY212</f>
        <v>299.576</v>
      </c>
      <c r="BA212" s="12">
        <f>AZ212</f>
        <v>299.576</v>
      </c>
      <c r="BB212" s="12">
        <f>BA212</f>
        <v>299.576</v>
      </c>
      <c r="BC212" s="12">
        <f>BB212</f>
        <v>299.576</v>
      </c>
      <c r="BD212" s="12">
        <f>BC212</f>
        <v>299.576</v>
      </c>
      <c r="BE212" s="12">
        <f>BD212</f>
        <v>299.576</v>
      </c>
      <c r="BF212" s="12">
        <f>BE212</f>
        <v>299.576</v>
      </c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>
      <c r="C213" s="14" t="inlineStr">
        <is>
          <t>Short term debt (Revolving credit facility)</t>
        </is>
      </c>
      <c r="D213" s="46" t="n"/>
      <c r="E213" s="46" t="n"/>
      <c r="F213" s="46" t="n"/>
      <c r="G213" s="46" t="n"/>
      <c r="H213" s="12" t="n"/>
      <c r="I213" s="46">
        <f>'Inputs (2)'!D33</f>
        <v>0</v>
      </c>
      <c r="J213" s="46">
        <f>'Inputs (2)'!E33</f>
        <v>0</v>
      </c>
      <c r="K213" s="46">
        <f>'Inputs (2)'!F33</f>
        <v>0</v>
      </c>
      <c r="L213" s="46">
        <f>'Inputs (2)'!G33</f>
        <v>0</v>
      </c>
      <c r="M213" s="12">
        <f>'Inputs (2)'!H33</f>
        <v>0</v>
      </c>
      <c r="N213" s="46">
        <f>'Inputs (2)'!I33</f>
        <v>0</v>
      </c>
      <c r="O213" s="46">
        <f>'Inputs (2)'!J33</f>
        <v>0</v>
      </c>
      <c r="P213" s="46">
        <f>'Inputs (2)'!K33</f>
        <v>0</v>
      </c>
      <c r="Q213" s="46">
        <f>'Inputs (2)'!L33</f>
        <v>0</v>
      </c>
      <c r="R213" s="12">
        <f>'Inputs (2)'!M33</f>
        <v>0</v>
      </c>
      <c r="S213" s="46">
        <f>'Inputs (2)'!N33</f>
        <v>0</v>
      </c>
      <c r="T213" s="46">
        <f>'Inputs (2)'!O33</f>
        <v>0</v>
      </c>
      <c r="U213" s="46">
        <f>'Inputs (2)'!P33</f>
        <v>0</v>
      </c>
      <c r="V213" s="46">
        <f>'Inputs (2)'!Q33</f>
        <v>0</v>
      </c>
      <c r="W213" s="12">
        <f>'Inputs (2)'!R33</f>
        <v>0</v>
      </c>
      <c r="X213" s="46">
        <f>'Inputs (2)'!S33</f>
        <v>0</v>
      </c>
      <c r="Y213" s="46">
        <f>'Inputs (2)'!T33</f>
        <v>0</v>
      </c>
      <c r="Z213" s="46">
        <f>'Inputs (2)'!U33</f>
        <v>0</v>
      </c>
      <c r="AA213" s="46">
        <f>'Inputs (2)'!V33</f>
        <v>0</v>
      </c>
      <c r="AB213" s="12">
        <f>'Inputs (2)'!W33</f>
        <v>0</v>
      </c>
      <c r="AC213" s="46">
        <f>'Inputs (2)'!X33</f>
        <v>0</v>
      </c>
      <c r="AD213" s="46">
        <f>'Inputs (2)'!Y33</f>
        <v>0</v>
      </c>
      <c r="AE213" s="46">
        <f>'Inputs (2)'!Z33</f>
        <v>0</v>
      </c>
      <c r="AF213" s="46">
        <f>'Inputs (2)'!AA33</f>
        <v>0</v>
      </c>
      <c r="AG213" s="12">
        <f>'Inputs (2)'!AB33</f>
        <v>0</v>
      </c>
      <c r="AH213" s="12">
        <f>'Inputs (2)'!AC33</f>
        <v>0</v>
      </c>
      <c r="AI213" s="12">
        <f>'Inputs (2)'!AD33</f>
        <v>0</v>
      </c>
      <c r="AJ213" s="12">
        <f>AI213</f>
        <v>0</v>
      </c>
      <c r="AK213" s="12">
        <f>AJ213</f>
        <v>0</v>
      </c>
      <c r="AL213" s="12">
        <f>AK213</f>
        <v>0</v>
      </c>
      <c r="AM213" s="12">
        <f>AL213</f>
        <v>0</v>
      </c>
      <c r="AN213" s="12">
        <f>AM213</f>
        <v>0</v>
      </c>
      <c r="AO213" s="12">
        <f>AN213</f>
        <v>0</v>
      </c>
      <c r="AP213" s="12">
        <f>AO213</f>
        <v>0</v>
      </c>
      <c r="AQ213" s="12">
        <f>AP213</f>
        <v>0</v>
      </c>
      <c r="AR213" s="12">
        <f>AQ213</f>
        <v>0</v>
      </c>
      <c r="AS213" s="12">
        <f>AR213</f>
        <v>0</v>
      </c>
      <c r="AT213" s="12">
        <f>AS213</f>
        <v>0</v>
      </c>
      <c r="AU213" s="12">
        <f>AT213</f>
        <v>0</v>
      </c>
      <c r="AV213" s="12">
        <f>AU213</f>
        <v>0</v>
      </c>
      <c r="AW213" s="12">
        <f>AV213</f>
        <v>0</v>
      </c>
      <c r="AX213" s="12">
        <f>AW213</f>
        <v>0</v>
      </c>
      <c r="AY213" s="12">
        <f>AX213</f>
        <v>0</v>
      </c>
      <c r="AZ213" s="12">
        <f>AY213</f>
        <v>0</v>
      </c>
      <c r="BA213" s="12">
        <f>AZ213</f>
        <v>0</v>
      </c>
      <c r="BB213" s="12">
        <f>BA213</f>
        <v>0</v>
      </c>
      <c r="BC213" s="12">
        <f>BB213</f>
        <v>0</v>
      </c>
      <c r="BD213" s="12">
        <f>BC213</f>
        <v>0</v>
      </c>
      <c r="BE213" s="12">
        <f>BD213</f>
        <v>0</v>
      </c>
      <c r="BF213" s="12">
        <f>BE213</f>
        <v>0</v>
      </c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>
      <c r="C214" s="14" t="inlineStr">
        <is>
          <t>Short term operating leases</t>
        </is>
      </c>
      <c r="D214" s="46" t="n"/>
      <c r="E214" s="46" t="n"/>
      <c r="F214" s="46" t="n"/>
      <c r="G214" s="46" t="n"/>
      <c r="H214" s="12" t="n"/>
      <c r="I214" s="46">
        <f>'Inputs (2)'!D34</f>
        <v>9.229</v>
      </c>
      <c r="J214" s="46">
        <f>'Inputs (2)'!E34</f>
        <v>10.401</v>
      </c>
      <c r="K214" s="46">
        <f>'Inputs (2)'!F34</f>
        <v>12.007</v>
      </c>
      <c r="L214" s="46">
        <f>'Inputs (2)'!G34</f>
        <v>9.526</v>
      </c>
      <c r="M214" s="12">
        <f>'Inputs (2)'!H34</f>
        <v>9.526</v>
      </c>
      <c r="N214" s="46">
        <f>'Inputs (2)'!I34</f>
        <v>10.609</v>
      </c>
      <c r="O214" s="46">
        <f>'Inputs (2)'!J34</f>
        <v>13.717</v>
      </c>
      <c r="P214" s="46">
        <f>'Inputs (2)'!K34</f>
        <v>29.34</v>
      </c>
      <c r="Q214" s="46">
        <f>'Inputs (2)'!L34</f>
        <v>15.211</v>
      </c>
      <c r="R214" s="12">
        <f>'Inputs (2)'!M34</f>
        <v>15.211</v>
      </c>
      <c r="S214" s="46">
        <f>'Inputs (2)'!N34</f>
        <v>6.587</v>
      </c>
      <c r="T214" s="46">
        <f>'Inputs (2)'!O34</f>
        <v>26.872</v>
      </c>
      <c r="U214" s="46">
        <f>'Inputs (2)'!P34</f>
        <v>23.947</v>
      </c>
      <c r="V214" s="46">
        <f>'Inputs (2)'!Q34</f>
        <v>29.057</v>
      </c>
      <c r="W214" s="12">
        <f>'Inputs (2)'!R34</f>
        <v>29.057</v>
      </c>
      <c r="X214" s="46">
        <f>'Inputs (2)'!S34</f>
        <v>30.796</v>
      </c>
      <c r="Y214" s="46">
        <f>'Inputs (2)'!T34</f>
        <v>34.249</v>
      </c>
      <c r="Z214" s="46">
        <f>'Inputs (2)'!U34</f>
        <v>50.151</v>
      </c>
      <c r="AA214" s="46">
        <f>'Inputs (2)'!V34</f>
        <v>45.319</v>
      </c>
      <c r="AB214" s="12">
        <f>'Inputs (2)'!W34</f>
        <v>45.319</v>
      </c>
      <c r="AC214" s="46">
        <f>'Inputs (2)'!X34</f>
        <v>44.844</v>
      </c>
      <c r="AD214" s="46">
        <f>'Inputs (2)'!Y34</f>
        <v>39.655</v>
      </c>
      <c r="AE214" s="46">
        <f>'Inputs (2)'!Z34</f>
        <v>37.7</v>
      </c>
      <c r="AF214" s="46">
        <f>'Inputs (2)'!AA34</f>
        <v>49.243</v>
      </c>
      <c r="AG214" s="12">
        <f>'Inputs (2)'!AB34</f>
        <v>49.243</v>
      </c>
      <c r="AH214" s="12">
        <f>'Inputs (2)'!AC34</f>
        <v>44.186</v>
      </c>
      <c r="AI214" s="12">
        <f>'Inputs (2)'!AD34</f>
        <v>48.061</v>
      </c>
      <c r="AJ214" s="12">
        <f>AI214</f>
        <v>48.061</v>
      </c>
      <c r="AK214" s="12">
        <f>AJ214</f>
        <v>48.061</v>
      </c>
      <c r="AL214" s="12">
        <f>AK214</f>
        <v>48.061</v>
      </c>
      <c r="AM214" s="12">
        <f>AL214</f>
        <v>48.061</v>
      </c>
      <c r="AN214" s="12">
        <f>AM214</f>
        <v>48.061</v>
      </c>
      <c r="AO214" s="12">
        <f>AN214</f>
        <v>48.061</v>
      </c>
      <c r="AP214" s="12">
        <f>AO214</f>
        <v>48.061</v>
      </c>
      <c r="AQ214" s="12">
        <f>AP214</f>
        <v>48.061</v>
      </c>
      <c r="AR214" s="12">
        <f>AQ214</f>
        <v>48.061</v>
      </c>
      <c r="AS214" s="12">
        <f>AR214</f>
        <v>48.061</v>
      </c>
      <c r="AT214" s="12">
        <f>AS214</f>
        <v>48.061</v>
      </c>
      <c r="AU214" s="12">
        <f>AT214</f>
        <v>48.061</v>
      </c>
      <c r="AV214" s="12">
        <f>AU214</f>
        <v>48.061</v>
      </c>
      <c r="AW214" s="12">
        <f>AV214</f>
        <v>48.061</v>
      </c>
      <c r="AX214" s="12">
        <f>AW214</f>
        <v>48.061</v>
      </c>
      <c r="AY214" s="12">
        <f>AX214</f>
        <v>48.061</v>
      </c>
      <c r="AZ214" s="12">
        <f>AY214</f>
        <v>48.061</v>
      </c>
      <c r="BA214" s="12">
        <f>AZ214</f>
        <v>48.061</v>
      </c>
      <c r="BB214" s="12">
        <f>BA214</f>
        <v>48.061</v>
      </c>
      <c r="BC214" s="12">
        <f>BB214</f>
        <v>48.061</v>
      </c>
      <c r="BD214" s="12">
        <f>BC214</f>
        <v>48.061</v>
      </c>
      <c r="BE214" s="12">
        <f>BD214</f>
        <v>48.061</v>
      </c>
      <c r="BF214" s="12">
        <f>BE214</f>
        <v>48.061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9" t="inlineStr">
        <is>
          <t>%(Var.)</t>
        </is>
      </c>
      <c r="D215" s="12" t="n"/>
      <c r="E215" s="40" t="n"/>
      <c r="F215" s="40" t="n"/>
      <c r="G215" s="40" t="n"/>
      <c r="H215" s="12" t="n"/>
      <c r="I215" s="40" t="str">
        <f>""</f>
        <v/>
      </c>
      <c r="J215" s="40">
        <f>IFERROR(IF(I214=0,"",J214/I214-1),"")</f>
        <v>0.1269910066096</v>
      </c>
      <c r="K215" s="40">
        <f>IFERROR(IF(J214=0,"",K214/J214-1),"")</f>
        <v>0.154408229977887</v>
      </c>
      <c r="L215" s="40">
        <f>IFERROR(IF(K214=0,"",L214/K214-1),"")</f>
        <v>-0.206629466144749</v>
      </c>
      <c r="M215" s="12">
        <f>IF(L214=0,"",M214/L214-1)</f>
        <v>0</v>
      </c>
      <c r="N215" s="40">
        <f>IFERROR(IF(M214=0,"",N214/M214-1),"")</f>
        <v>0.11368885156414</v>
      </c>
      <c r="O215" s="40">
        <f>IFERROR(IF(N214=0,"",O214/N214-1),"")</f>
        <v>0.292958808558771</v>
      </c>
      <c r="P215" s="40">
        <f>IFERROR(IF(O214=0,"",P214/O214-1),"")</f>
        <v>1.13895166581614</v>
      </c>
      <c r="Q215" s="40">
        <f>IFERROR(IF(P214=0,"",Q214/P214-1),"")</f>
        <v>-0.481561008861622</v>
      </c>
      <c r="R215" s="12">
        <f>IF(Q214=0,"",R214/Q214-1)</f>
        <v>0</v>
      </c>
      <c r="S215" s="40">
        <f>IFERROR(IF(R214=0,"",S214/R214-1),"")</f>
        <v>-0.566958122411413</v>
      </c>
      <c r="T215" s="40">
        <f>IFERROR(IF(S214=0,"",T214/S214-1),"")</f>
        <v>3.07955063002884</v>
      </c>
      <c r="U215" s="40">
        <f>IFERROR(IF(T214=0,"",U214/T214-1),"")</f>
        <v>-0.10884935992855</v>
      </c>
      <c r="V215" s="40">
        <f>IFERROR(IF(U214=0,"",V214/U214-1),"")</f>
        <v>0.213387898275358</v>
      </c>
      <c r="W215" s="12">
        <f>IF(V214=0,"",W214/V214-1)</f>
        <v>0</v>
      </c>
      <c r="X215" s="40">
        <f>IFERROR(IF(W214=0,"",X214/W214-1),"")</f>
        <v>0.0598478851911759</v>
      </c>
      <c r="Y215" s="40">
        <f>IFERROR(IF(X214=0,"",Y214/X214-1),"")</f>
        <v>0.112124951292376</v>
      </c>
      <c r="Z215" s="40">
        <f>IFERROR(IF(Y214=0,"",Z214/Y214-1),"")</f>
        <v>0.464305527168676</v>
      </c>
      <c r="AA215" s="40">
        <f>IFERROR(IF(Z214=0,"",AA214/Z214-1),"")</f>
        <v>-0.0963490259416562</v>
      </c>
      <c r="AB215" s="12">
        <f>IF(AA214=0,"",AB214/AA214-1)</f>
        <v>0</v>
      </c>
      <c r="AC215" s="40">
        <f>IFERROR(IF(AB214=0,"",AC214/AB214-1),"")</f>
        <v>-0.0104812551027164</v>
      </c>
      <c r="AD215" s="40">
        <f>IFERROR(IF(AC214=0,"",AD214/AC214-1),"")</f>
        <v>-0.115712246900366</v>
      </c>
      <c r="AE215" s="40">
        <f>IFERROR(IF(AD214=0,"",AE214/AD214-1),"")</f>
        <v>-0.049300214348758</v>
      </c>
      <c r="AF215" s="11">
        <f>IFERROR(IF(AE214=0,"",AF214/AE214-1),"")</f>
        <v>0.306180371352785</v>
      </c>
      <c r="AG215" s="12">
        <f>IF(AF214=0,"",AG214/AF214-1)</f>
        <v>0</v>
      </c>
      <c r="AH215" s="11">
        <f>IFERROR(IF(AG214=0,"",AH214/AG214-1),"")</f>
        <v>-0.102694799260809</v>
      </c>
      <c r="AI215" s="11">
        <f>IFERROR(IF(AH214=0,"",AI214/AH214-1),"")</f>
        <v>0.0876974607341692</v>
      </c>
      <c r="AJ215" s="11">
        <f>IFERROR(IF(AI214=0,"",AJ214/AI214-1),"")</f>
        <v>0</v>
      </c>
      <c r="AK215" s="11">
        <f>IFERROR(IF(AJ214=0,"",AK214/AJ214-1),"")</f>
        <v>0</v>
      </c>
      <c r="AL215" s="12">
        <f>IFERROR(IF(AK214=0,"",AL214/AK214-1),"")</f>
        <v>0</v>
      </c>
      <c r="AM215" s="11">
        <f>IFERROR(IF(AL214=0,"",AM214/AL214-1),"")</f>
        <v>0</v>
      </c>
      <c r="AN215" s="11">
        <f>IFERROR(IF(AM214=0,"",AN214/AM214-1),"")</f>
        <v>0</v>
      </c>
      <c r="AO215" s="11">
        <f>IFERROR(IF(AN214=0,"",AO214/AN214-1),"")</f>
        <v>0</v>
      </c>
      <c r="AP215" s="11">
        <f>IFERROR(IF(AO214=0,"",AP214/AO214-1),"")</f>
        <v>0</v>
      </c>
      <c r="AQ215" s="12">
        <f>IFERROR(IF(AP214=0,"",AQ214/AP214-1),"")</f>
        <v>0</v>
      </c>
      <c r="AR215" s="11">
        <f>IFERROR(IF(AQ214=0,"",AR214/AQ214-1),"")</f>
        <v>0</v>
      </c>
      <c r="AS215" s="11">
        <f>IFERROR(IF(AR214=0,"",AS214/AR214-1),"")</f>
        <v>0</v>
      </c>
      <c r="AT215" s="11">
        <f>IFERROR(IF(AS214=0,"",AT214/AS214-1),"")</f>
        <v>0</v>
      </c>
      <c r="AU215" s="11">
        <f>IFERROR(IF(AT214=0,"",AU214/AT214-1),"")</f>
        <v>0</v>
      </c>
      <c r="AV215" s="12">
        <f>IFERROR(IF(AU214=0,"",AV214/AU214-1),"")</f>
        <v>0</v>
      </c>
      <c r="AW215" s="11">
        <f>IFERROR(IF(AV214=0,"",AW214/AV214-1),"")</f>
        <v>0</v>
      </c>
      <c r="AX215" s="11">
        <f>IFERROR(IF(AW214=0,"",AX214/AW214-1),"")</f>
        <v>0</v>
      </c>
      <c r="AY215" s="11">
        <f>IFERROR(IF(AX214=0,"",AY214/AX214-1),"")</f>
        <v>0</v>
      </c>
      <c r="AZ215" s="11">
        <f>IFERROR(IF(AY214=0,"",AZ214/AY214-1),"")</f>
        <v>0</v>
      </c>
      <c r="BA215" s="12">
        <f>IFERROR(IF(AZ214=0,"",BA214/AZ214-1),"")</f>
        <v>0</v>
      </c>
      <c r="BB215" s="11">
        <f>IFERROR(IF(BA214=0,"",BB214/BA214-1),"")</f>
        <v>0</v>
      </c>
      <c r="BC215" s="11">
        <f>IFERROR(IF(BB214=0,"",BC214/BB214-1),"")</f>
        <v>0</v>
      </c>
      <c r="BD215" s="11">
        <f>IFERROR(IF(BC214=0,"",BD214/BC214-1),"")</f>
        <v>0</v>
      </c>
      <c r="BE215" s="11">
        <f>IFERROR(IF(BD214=0,"",BE214/BD214-1),"")</f>
        <v>0</v>
      </c>
      <c r="BF215" s="12">
        <f>IFERROR(IF(BE214=0,"",BF214/BE214-1),"")</f>
        <v>0</v>
      </c>
      <c r="BG215" s="11" t="n"/>
      <c r="BH215" s="11" t="n"/>
      <c r="BI215" s="11" t="n"/>
      <c r="BJ215" s="11" t="n"/>
      <c r="BK215" s="12" t="n"/>
      <c r="BL215" s="11" t="n"/>
      <c r="BM215" s="11" t="n"/>
      <c r="BN215" s="11" t="n"/>
      <c r="BO215" s="11" t="n"/>
      <c r="BP215" s="12" t="n"/>
      <c r="BQ215" s="11" t="n"/>
      <c r="BR215" s="11" t="n"/>
      <c r="BS215" s="11" t="n"/>
      <c r="BT215" s="11" t="n"/>
      <c r="BU215" s="12" t="n"/>
      <c r="BV215" s="11" t="n"/>
      <c r="BW215" s="11" t="n"/>
      <c r="BX215" s="11" t="n"/>
      <c r="BY215" s="11" t="n"/>
      <c r="BZ215" s="12" t="n"/>
      <c r="CA215" s="11" t="n"/>
      <c r="CB215" s="11" t="n"/>
      <c r="CC215" s="11" t="n"/>
      <c r="CD215" s="11" t="n"/>
      <c r="CE215" s="12" t="n"/>
      <c r="CF215" s="11" t="n"/>
      <c r="CG215" s="11" t="n"/>
      <c r="CH215" s="11" t="n"/>
      <c r="CI215" s="11" t="n"/>
      <c r="CJ215" s="12" t="n"/>
      <c r="CK215" s="11" t="n"/>
      <c r="CL215" s="11" t="n"/>
      <c r="CM215" s="11" t="n"/>
      <c r="CN215" s="11" t="n"/>
      <c r="CO215" s="12" t="n"/>
      <c r="CP215" s="11" t="n"/>
      <c r="CQ215" s="11" t="n"/>
      <c r="CR215" s="11" t="n"/>
      <c r="CS215" s="11" t="n"/>
      <c r="CT215" s="12" t="n"/>
      <c r="CU215" s="11" t="n"/>
      <c r="CV215" s="11" t="n"/>
      <c r="CW215" s="11" t="n"/>
      <c r="CX215" s="11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collapsed="1">
      <c r="C217" s="14" t="inlineStr">
        <is>
          <t>Long term debt</t>
        </is>
      </c>
      <c r="D217" s="46" t="n"/>
      <c r="E217" s="46" t="n"/>
      <c r="F217" s="46" t="n"/>
      <c r="G217" s="46" t="n"/>
      <c r="H217" s="12" t="n"/>
      <c r="I217" s="46">
        <f>'Inputs (2)'!D35</f>
        <v>272.776</v>
      </c>
      <c r="J217" s="46">
        <f>'Inputs (2)'!E35</f>
        <v>212.701</v>
      </c>
      <c r="K217" s="46">
        <f>'Inputs (2)'!F35</f>
        <v>195.313</v>
      </c>
      <c r="L217" s="46">
        <f>'Inputs (2)'!G35</f>
        <v>539.432</v>
      </c>
      <c r="M217" s="12">
        <f>'Inputs (2)'!H35</f>
        <v>539.432</v>
      </c>
      <c r="N217" s="46">
        <f>'Inputs (2)'!I35</f>
        <v>553.411</v>
      </c>
      <c r="O217" s="46">
        <f>'Inputs (2)'!J35</f>
        <v>559.965</v>
      </c>
      <c r="P217" s="46">
        <f>'Inputs (2)'!K35</f>
        <v>574.826</v>
      </c>
      <c r="Q217" s="46">
        <f>'Inputs (2)'!L35</f>
        <v>977.538</v>
      </c>
      <c r="R217" s="12">
        <f>'Inputs (2)'!M35</f>
        <v>977.538</v>
      </c>
      <c r="S217" s="46">
        <f>'Inputs (2)'!N35</f>
        <v>990.56</v>
      </c>
      <c r="T217" s="46">
        <f>'Inputs (2)'!O35</f>
        <v>955.452</v>
      </c>
      <c r="U217" s="46">
        <f>'Inputs (2)'!P35</f>
        <v>1098.201</v>
      </c>
      <c r="V217" s="46">
        <f>'Inputs (2)'!Q35</f>
        <v>1079.806</v>
      </c>
      <c r="W217" s="12">
        <f>'Inputs (2)'!R35</f>
        <v>1079.806</v>
      </c>
      <c r="X217" s="46">
        <f>'Inputs (2)'!S35</f>
        <v>1085.754</v>
      </c>
      <c r="Y217" s="46">
        <f>'Inputs (2)'!T35</f>
        <v>1133.232</v>
      </c>
      <c r="Z217" s="46">
        <f>'Inputs (2)'!U35</f>
        <v>1585.62</v>
      </c>
      <c r="AA217" s="46">
        <f>'Inputs (2)'!V35</f>
        <v>1726.341</v>
      </c>
      <c r="AB217" s="12">
        <f>'Inputs (2)'!W35</f>
        <v>1726.341</v>
      </c>
      <c r="AC217" s="46">
        <f>'Inputs (2)'!X35</f>
        <v>1746.73</v>
      </c>
      <c r="AD217" s="46">
        <f>'Inputs (2)'!Y35</f>
        <v>1666.378</v>
      </c>
      <c r="AE217" s="46">
        <f>'Inputs (2)'!Z35</f>
        <v>1915.243</v>
      </c>
      <c r="AF217" s="46">
        <f>'Inputs (2)'!AA35</f>
        <v>1943.929</v>
      </c>
      <c r="AG217" s="12">
        <f>'Inputs (2)'!AB35</f>
        <v>1943.929</v>
      </c>
      <c r="AH217" s="12">
        <f>'Inputs (2)'!AC35</f>
        <v>2054.653</v>
      </c>
      <c r="AI217" s="12">
        <f>'Inputs (2)'!AD35</f>
        <v>3485.914</v>
      </c>
      <c r="AJ217" s="12">
        <f>AJ223</f>
        <v>3485.914</v>
      </c>
      <c r="AK217" s="12">
        <f>AK223</f>
        <v>3485.914</v>
      </c>
      <c r="AL217" s="12">
        <f>AK217</f>
        <v>3485.914</v>
      </c>
      <c r="AM217" s="12">
        <f>AM223</f>
        <v>3485.914</v>
      </c>
      <c r="AN217" s="12">
        <f>AN223</f>
        <v>3485.914</v>
      </c>
      <c r="AO217" s="12">
        <f>AO223</f>
        <v>3485.914</v>
      </c>
      <c r="AP217" s="12">
        <f>AP223</f>
        <v>3485.914</v>
      </c>
      <c r="AQ217" s="12">
        <f>AP217</f>
        <v>3485.914</v>
      </c>
      <c r="AR217" s="12">
        <f>AR223</f>
        <v>3485.914</v>
      </c>
      <c r="AS217" s="12">
        <f>AS223</f>
        <v>3485.914</v>
      </c>
      <c r="AT217" s="12">
        <f>AT223</f>
        <v>3485.914</v>
      </c>
      <c r="AU217" s="12">
        <f>AU223</f>
        <v>3485.914</v>
      </c>
      <c r="AV217" s="12">
        <f>AU217</f>
        <v>3485.914</v>
      </c>
      <c r="AW217" s="12">
        <f>AW223</f>
        <v>3485.914</v>
      </c>
      <c r="AX217" s="12">
        <f>AX223</f>
        <v>3485.914</v>
      </c>
      <c r="AY217" s="12">
        <f>AY223</f>
        <v>3485.914</v>
      </c>
      <c r="AZ217" s="12">
        <f>AZ223</f>
        <v>3485.914</v>
      </c>
      <c r="BA217" s="12">
        <f>AZ217</f>
        <v>3485.914</v>
      </c>
      <c r="BB217" s="12">
        <f>BB223</f>
        <v>3485.914</v>
      </c>
      <c r="BC217" s="12">
        <f>BC223</f>
        <v>3485.914</v>
      </c>
      <c r="BD217" s="12">
        <f>BD223</f>
        <v>3485.914</v>
      </c>
      <c r="BE217" s="12">
        <f>BE223</f>
        <v>3485.914</v>
      </c>
      <c r="BF217" s="12">
        <f>BE217</f>
        <v>3485.914</v>
      </c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inlineStr">
        <is>
          <t>Current portion of LTD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>
        <f>AF212</f>
        <v>178.483</v>
      </c>
      <c r="AI219" s="62" t="n"/>
      <c r="AJ219" s="62" t="n"/>
      <c r="AK219" s="62" t="n"/>
      <c r="AL219" s="12" t="n"/>
      <c r="AM219" s="12">
        <f>AK212</f>
        <v>299.576</v>
      </c>
      <c r="AN219" s="62" t="n"/>
      <c r="AO219" s="62" t="n"/>
      <c r="AP219" s="62" t="n"/>
      <c r="AQ219" s="12" t="n"/>
      <c r="AR219" s="12">
        <f>AP212</f>
        <v>299.576</v>
      </c>
      <c r="AS219" s="62" t="n"/>
      <c r="AT219" s="62" t="n"/>
      <c r="AU219" s="62" t="n"/>
      <c r="AV219" s="12" t="n"/>
      <c r="AW219" s="12">
        <f>AU212</f>
        <v>299.576</v>
      </c>
      <c r="AX219" s="62" t="n"/>
      <c r="AY219" s="62" t="n"/>
      <c r="AZ219" s="62" t="n"/>
      <c r="BA219" s="12" t="n"/>
      <c r="BB219" s="12">
        <f>AZ212</f>
        <v>299.576</v>
      </c>
      <c r="BC219" s="62" t="n"/>
      <c r="BD219" s="62" t="n"/>
      <c r="BE219" s="62" t="n"/>
      <c r="BF219" s="12" t="n"/>
      <c r="BG219" s="12" t="n"/>
      <c r="BH219" s="62" t="n"/>
      <c r="BI219" s="62" t="n"/>
      <c r="BJ219" s="62" t="n"/>
      <c r="BK219" s="12" t="n"/>
      <c r="BL219" s="12" t="n"/>
      <c r="BM219" s="62" t="n"/>
      <c r="BN219" s="62" t="n"/>
      <c r="BO219" s="62" t="n"/>
      <c r="BP219" s="12" t="n"/>
      <c r="BQ219" s="12" t="n"/>
      <c r="BR219" s="62" t="n"/>
      <c r="BS219" s="62" t="n"/>
      <c r="BT219" s="62" t="n"/>
      <c r="BU219" s="12" t="n"/>
      <c r="BV219" s="12" t="n"/>
      <c r="BW219" s="62" t="n"/>
      <c r="BX219" s="62" t="n"/>
      <c r="BY219" s="62" t="n"/>
      <c r="BZ219" s="12" t="n"/>
      <c r="CA219" s="12" t="n"/>
      <c r="CB219" s="62" t="n"/>
      <c r="CC219" s="62" t="n"/>
      <c r="CD219" s="62" t="n"/>
      <c r="CE219" s="12" t="n"/>
      <c r="CF219" s="12" t="n"/>
      <c r="CG219" s="62" t="n"/>
      <c r="CH219" s="62" t="n"/>
      <c r="CI219" s="62" t="n"/>
      <c r="CJ219" s="12" t="n"/>
      <c r="CK219" s="12" t="n"/>
      <c r="CL219" s="62" t="n"/>
      <c r="CM219" s="62" t="n"/>
      <c r="CN219" s="62" t="n"/>
      <c r="CO219" s="12" t="n"/>
      <c r="CP219" s="12" t="n"/>
      <c r="CQ219" s="62" t="n"/>
      <c r="CR219" s="62" t="n"/>
      <c r="CS219" s="62" t="n"/>
      <c r="CT219" s="12" t="n"/>
      <c r="CU219" s="12" t="n"/>
      <c r="CV219" s="62" t="n"/>
      <c r="CW219" s="62" t="n"/>
      <c r="CX219" s="6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Reclassification of LTD to CP of LTD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>
        <f>-AI219</f>
        <v>0</v>
      </c>
      <c r="AJ221" s="12">
        <f>-AJ219</f>
        <v>0</v>
      </c>
      <c r="AK221" s="12">
        <f>-AK219</f>
        <v>0</v>
      </c>
      <c r="AL221" s="12" t="n"/>
      <c r="AM221" s="12" t="n"/>
      <c r="AN221" s="12">
        <f>-AN219</f>
        <v>0</v>
      </c>
      <c r="AO221" s="12">
        <f>-AO219</f>
        <v>0</v>
      </c>
      <c r="AP221" s="12">
        <f>-AP219</f>
        <v>0</v>
      </c>
      <c r="AQ221" s="12" t="n"/>
      <c r="AR221" s="12" t="n"/>
      <c r="AS221" s="12">
        <f>-AS219</f>
        <v>0</v>
      </c>
      <c r="AT221" s="12">
        <f>-AT219</f>
        <v>0</v>
      </c>
      <c r="AU221" s="12">
        <f>-AU219</f>
        <v>0</v>
      </c>
      <c r="AV221" s="12" t="n"/>
      <c r="AW221" s="12" t="n"/>
      <c r="AX221" s="12">
        <f>-AX219</f>
        <v>0</v>
      </c>
      <c r="AY221" s="12">
        <f>-AY219</f>
        <v>0</v>
      </c>
      <c r="AZ221" s="12">
        <f>-AZ219</f>
        <v>0</v>
      </c>
      <c r="BA221" s="12" t="n"/>
      <c r="BB221" s="12" t="n"/>
      <c r="BC221" s="12">
        <f>-BC219</f>
        <v>0</v>
      </c>
      <c r="BD221" s="12">
        <f>-BD219</f>
        <v>0</v>
      </c>
      <c r="BE221" s="12">
        <f>-BE219</f>
        <v>0</v>
      </c>
      <c r="BF221" s="12" t="n"/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hidden="1" outlineLevel="1">
      <c r="C222" s="57" t="inlineStr">
        <is>
          <t>Discretionary (paydown)/borrowing of long term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62" t="n"/>
      <c r="AI222" s="62" t="n"/>
      <c r="AJ222" s="62" t="n"/>
      <c r="AK222" s="62" t="n"/>
      <c r="AL222" s="12" t="n"/>
      <c r="AM222" s="62" t="n"/>
      <c r="AN222" s="62" t="n"/>
      <c r="AO222" s="62" t="n"/>
      <c r="AP222" s="62" t="n"/>
      <c r="AQ222" s="12" t="n"/>
      <c r="AR222" s="62" t="n"/>
      <c r="AS222" s="62" t="n"/>
      <c r="AT222" s="62" t="n"/>
      <c r="AU222" s="62" t="n"/>
      <c r="AV222" s="12" t="n"/>
      <c r="AW222" s="62" t="n"/>
      <c r="AX222" s="62" t="n"/>
      <c r="AY222" s="62" t="n"/>
      <c r="AZ222" s="62" t="n"/>
      <c r="BA222" s="12" t="n"/>
      <c r="BB222" s="62" t="n"/>
      <c r="BC222" s="62" t="n"/>
      <c r="BD222" s="62" t="n"/>
      <c r="BE222" s="62" t="n"/>
      <c r="BF222" s="12" t="n"/>
      <c r="BG222" s="62" t="n"/>
      <c r="BH222" s="62" t="n"/>
      <c r="BI222" s="62" t="n"/>
      <c r="BJ222" s="62" t="n"/>
      <c r="BK222" s="12" t="n"/>
      <c r="BL222" s="62" t="n"/>
      <c r="BM222" s="62" t="n"/>
      <c r="BN222" s="62" t="n"/>
      <c r="BO222" s="62" t="n"/>
      <c r="BP222" s="12" t="n"/>
      <c r="BQ222" s="62" t="n"/>
      <c r="BR222" s="62" t="n"/>
      <c r="BS222" s="62" t="n"/>
      <c r="BT222" s="62" t="n"/>
      <c r="BU222" s="12" t="n"/>
      <c r="BV222" s="62" t="n"/>
      <c r="BW222" s="62" t="n"/>
      <c r="BX222" s="62" t="n"/>
      <c r="BY222" s="62" t="n"/>
      <c r="BZ222" s="12" t="n"/>
      <c r="CA222" s="62" t="n"/>
      <c r="CB222" s="62" t="n"/>
      <c r="CC222" s="62" t="n"/>
      <c r="CD222" s="62" t="n"/>
      <c r="CE222" s="12" t="n"/>
      <c r="CF222" s="62" t="n"/>
      <c r="CG222" s="62" t="n"/>
      <c r="CH222" s="62" t="n"/>
      <c r="CI222" s="62" t="n"/>
      <c r="CJ222" s="12" t="n"/>
      <c r="CK222" s="62" t="n"/>
      <c r="CL222" s="62" t="n"/>
      <c r="CM222" s="62" t="n"/>
      <c r="CN222" s="62" t="n"/>
      <c r="CO222" s="12" t="n"/>
      <c r="CP222" s="62" t="n"/>
      <c r="CQ222" s="62" t="n"/>
      <c r="CR222" s="62" t="n"/>
      <c r="CS222" s="62" t="n"/>
      <c r="CT222" s="12" t="n"/>
      <c r="CU222" s="62" t="n"/>
      <c r="CV222" s="62" t="n"/>
      <c r="CW222" s="62" t="n"/>
      <c r="CX222" s="62" t="n"/>
      <c r="CY222" s="12" t="n"/>
    </row>
    <row r="223" hidden="1" outlineLevel="1">
      <c r="C223" s="57" t="inlineStr">
        <is>
          <t>Long term debt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>
        <f>AH217</f>
        <v>2054.653</v>
      </c>
      <c r="AI223" s="12">
        <f>AI217</f>
        <v>3485.914</v>
      </c>
      <c r="AJ223" s="12">
        <f>AI223+SUM(AJ221:AJ222)</f>
        <v>3485.914</v>
      </c>
      <c r="AK223" s="12">
        <f>AJ223+SUM(AK221:AK222)</f>
        <v>3485.914</v>
      </c>
      <c r="AL223" s="12" t="n"/>
      <c r="AM223" s="12">
        <f>AK223+SUM(AM221:AM222)</f>
        <v>3485.914</v>
      </c>
      <c r="AN223" s="12">
        <f>AM223+SUM(AN221:AN222)</f>
        <v>3485.914</v>
      </c>
      <c r="AO223" s="12">
        <f>AN223+SUM(AO221:AO222)</f>
        <v>3485.914</v>
      </c>
      <c r="AP223" s="12">
        <f>AO223+SUM(AP221:AP222)</f>
        <v>3485.914</v>
      </c>
      <c r="AQ223" s="12" t="n"/>
      <c r="AR223" s="12">
        <f>AP223+SUM(AR221:AR222)</f>
        <v>3485.914</v>
      </c>
      <c r="AS223" s="12">
        <f>AR223+SUM(AS221:AS222)</f>
        <v>3485.914</v>
      </c>
      <c r="AT223" s="12">
        <f>AS223+SUM(AT221:AT222)</f>
        <v>3485.914</v>
      </c>
      <c r="AU223" s="12">
        <f>AT223+SUM(AU221:AU222)</f>
        <v>3485.914</v>
      </c>
      <c r="AV223" s="12" t="n"/>
      <c r="AW223" s="12">
        <f>AU223+SUM(AW221:AW222)</f>
        <v>3485.914</v>
      </c>
      <c r="AX223" s="12">
        <f>AW223+SUM(AX221:AX222)</f>
        <v>3485.914</v>
      </c>
      <c r="AY223" s="12">
        <f>AX223+SUM(AY221:AY222)</f>
        <v>3485.914</v>
      </c>
      <c r="AZ223" s="12">
        <f>AY223+SUM(AZ221:AZ222)</f>
        <v>3485.914</v>
      </c>
      <c r="BA223" s="12" t="n"/>
      <c r="BB223" s="12">
        <f>AZ223+SUM(BB221:BB222)</f>
        <v>3485.914</v>
      </c>
      <c r="BC223" s="12">
        <f>BB223+SUM(BC221:BC222)</f>
        <v>3485.914</v>
      </c>
      <c r="BD223" s="12">
        <f>BC223+SUM(BD221:BD222)</f>
        <v>3485.914</v>
      </c>
      <c r="BE223" s="12">
        <f>BD223+SUM(BE221:BE222)</f>
        <v>3485.914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inlineStr">
        <is>
          <t>Discretionary (paydown)/borrowing of convertible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62" t="n"/>
      <c r="AI225" s="62" t="n"/>
      <c r="AJ225" s="62" t="n"/>
      <c r="AK225" s="62" t="n"/>
      <c r="AL225" s="12" t="n"/>
      <c r="AM225" s="62" t="n"/>
      <c r="AN225" s="62" t="n"/>
      <c r="AO225" s="62" t="n"/>
      <c r="AP225" s="62" t="n"/>
      <c r="AQ225" s="12" t="n"/>
      <c r="AR225" s="62" t="n"/>
      <c r="AS225" s="62" t="n"/>
      <c r="AT225" s="62" t="n"/>
      <c r="AU225" s="62" t="n"/>
      <c r="AV225" s="12" t="n"/>
      <c r="AW225" s="62" t="n"/>
      <c r="AX225" s="62" t="n"/>
      <c r="AY225" s="62" t="n"/>
      <c r="AZ225" s="62" t="n"/>
      <c r="BA225" s="12" t="n"/>
      <c r="BB225" s="62" t="n"/>
      <c r="BC225" s="62" t="n"/>
      <c r="BD225" s="62" t="n"/>
      <c r="BE225" s="62" t="n"/>
      <c r="BF225" s="12" t="n"/>
      <c r="BG225" s="62" t="n"/>
      <c r="BH225" s="62" t="n"/>
      <c r="BI225" s="62" t="n"/>
      <c r="BJ225" s="62" t="n"/>
      <c r="BK225" s="12" t="n"/>
      <c r="BL225" s="62" t="n"/>
      <c r="BM225" s="62" t="n"/>
      <c r="BN225" s="62" t="n"/>
      <c r="BO225" s="62" t="n"/>
      <c r="BP225" s="12" t="n"/>
      <c r="BQ225" s="62" t="n"/>
      <c r="BR225" s="62" t="n"/>
      <c r="BS225" s="62" t="n"/>
      <c r="BT225" s="62" t="n"/>
      <c r="BU225" s="12" t="n"/>
      <c r="BV225" s="62" t="n"/>
      <c r="BW225" s="62" t="n"/>
      <c r="BX225" s="62" t="n"/>
      <c r="BY225" s="62" t="n"/>
      <c r="BZ225" s="12" t="n"/>
      <c r="CA225" s="62" t="n"/>
      <c r="CB225" s="62" t="n"/>
      <c r="CC225" s="62" t="n"/>
      <c r="CD225" s="62" t="n"/>
      <c r="CE225" s="12" t="n"/>
      <c r="CF225" s="62" t="n"/>
      <c r="CG225" s="62" t="n"/>
      <c r="CH225" s="62" t="n"/>
      <c r="CI225" s="62" t="n"/>
      <c r="CJ225" s="12" t="n"/>
      <c r="CK225" s="62" t="n"/>
      <c r="CL225" s="62" t="n"/>
      <c r="CM225" s="62" t="n"/>
      <c r="CN225" s="62" t="n"/>
      <c r="CO225" s="12" t="n"/>
      <c r="CP225" s="62" t="n"/>
      <c r="CQ225" s="62" t="n"/>
      <c r="CR225" s="62" t="n"/>
      <c r="CS225" s="62" t="n"/>
      <c r="CT225" s="12" t="n"/>
      <c r="CU225" s="62" t="n"/>
      <c r="CV225" s="62" t="n"/>
      <c r="CW225" s="62" t="n"/>
      <c r="CX225" s="62" t="n"/>
      <c r="CY225" s="12" t="n"/>
    </row>
    <row r="226" hidden="1" outlineLevel="1">
      <c r="C226" s="57" t="inlineStr">
        <is>
          <t>Convertible debt</t>
        </is>
      </c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>
        <f>AH238</f>
        <v>0</v>
      </c>
      <c r="AI226" s="12">
        <f>AH226+SUM(AI225)</f>
        <v>0</v>
      </c>
      <c r="AJ226" s="12">
        <f>AI226+SUM(AJ225)</f>
        <v>0</v>
      </c>
      <c r="AK226" s="12">
        <f>AJ226+SUM(AK225)</f>
        <v>0</v>
      </c>
      <c r="AL226" s="12" t="n"/>
      <c r="AM226" s="12">
        <f>AM238</f>
        <v>0</v>
      </c>
      <c r="AN226" s="12">
        <f>AM226+SUM(AN225)</f>
        <v>0</v>
      </c>
      <c r="AO226" s="12">
        <f>AN226+SUM(AO225)</f>
        <v>0</v>
      </c>
      <c r="AP226" s="12">
        <f>AO226+SUM(AP225)</f>
        <v>0</v>
      </c>
      <c r="AQ226" s="12" t="n"/>
      <c r="AR226" s="12">
        <f>AR238</f>
        <v>0</v>
      </c>
      <c r="AS226" s="12">
        <f>AR226+SUM(AS225)</f>
        <v>0</v>
      </c>
      <c r="AT226" s="12">
        <f>AS226+SUM(AT225)</f>
        <v>0</v>
      </c>
      <c r="AU226" s="12">
        <f>AT226+SUM(AU225)</f>
        <v>0</v>
      </c>
      <c r="AV226" s="12" t="n"/>
      <c r="AW226" s="12">
        <f>AW238</f>
        <v>0</v>
      </c>
      <c r="AX226" s="12">
        <f>AW226+SUM(AX225)</f>
        <v>0</v>
      </c>
      <c r="AY226" s="12">
        <f>AX226+SUM(AY225)</f>
        <v>0</v>
      </c>
      <c r="AZ226" s="12">
        <f>AY226+SUM(AZ225)</f>
        <v>0</v>
      </c>
      <c r="BA226" s="12" t="n"/>
      <c r="BB226" s="12">
        <f>BB238</f>
        <v>0</v>
      </c>
      <c r="BC226" s="12">
        <f>BB226+SUM(BC225)</f>
        <v>0</v>
      </c>
      <c r="BD226" s="12">
        <f>BC226+SUM(BD225)</f>
        <v>0</v>
      </c>
      <c r="BE226" s="12">
        <f>BD226+SUM(BE225)</f>
        <v>0</v>
      </c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I227" s="12" t="n"/>
      <c r="AJ227" s="12" t="n"/>
      <c r="AK227" s="12" t="n"/>
      <c r="AL227" s="12" t="n"/>
      <c r="AN227" s="12" t="n"/>
      <c r="AO227" s="12" t="n"/>
      <c r="AP227" s="12" t="n"/>
      <c r="AQ227" s="12" t="n"/>
      <c r="AS227" s="12" t="n"/>
      <c r="AT227" s="12" t="n"/>
      <c r="AU227" s="12" t="n"/>
      <c r="AV227" s="12" t="n"/>
      <c r="AX227" s="12" t="n"/>
      <c r="AY227" s="12" t="n"/>
      <c r="AZ227" s="12" t="n"/>
      <c r="BA227" s="12" t="n"/>
      <c r="BC227" s="12" t="n"/>
      <c r="BD227" s="12" t="n"/>
      <c r="BE227" s="12" t="n"/>
      <c r="BF227" s="12" t="n"/>
      <c r="BH227" s="12" t="n"/>
      <c r="BI227" s="12" t="n"/>
      <c r="BJ227" s="12" t="n"/>
      <c r="BK227" s="12" t="n"/>
      <c r="BM227" s="12" t="n"/>
      <c r="BN227" s="12" t="n"/>
      <c r="BO227" s="12" t="n"/>
      <c r="BP227" s="12" t="n"/>
      <c r="BR227" s="12" t="n"/>
      <c r="BS227" s="12" t="n"/>
      <c r="BT227" s="12" t="n"/>
      <c r="BU227" s="12" t="n"/>
      <c r="BW227" s="12" t="n"/>
      <c r="BX227" s="12" t="n"/>
      <c r="BY227" s="12" t="n"/>
      <c r="BZ227" s="12" t="n"/>
      <c r="CB227" s="12" t="n"/>
      <c r="CC227" s="12" t="n"/>
      <c r="CD227" s="12" t="n"/>
      <c r="CE227" s="12" t="n"/>
      <c r="CG227" s="12" t="n"/>
      <c r="CH227" s="12" t="n"/>
      <c r="CI227" s="12" t="n"/>
      <c r="CJ227" s="12" t="n"/>
      <c r="CL227" s="12" t="n"/>
      <c r="CM227" s="12" t="n"/>
      <c r="CN227" s="12" t="n"/>
      <c r="CO227" s="12" t="n"/>
      <c r="CQ227" s="12" t="n"/>
      <c r="CR227" s="12" t="n"/>
      <c r="CS227" s="12" t="n"/>
      <c r="CT227" s="12" t="n"/>
      <c r="CV227" s="12" t="n"/>
      <c r="CW227" s="12" t="n"/>
      <c r="CX227" s="12" t="n"/>
      <c r="CY227" s="12" t="n"/>
    </row>
    <row r="228" hidden="1" outlineLevel="1">
      <c r="C228" s="57" t="inlineStr">
        <is>
          <t>Calculation of short term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inlineStr">
        <is>
          <t>Cash @ beginning of the period (end of last period)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63">
        <f>AG144</f>
        <v>922.369</v>
      </c>
      <c r="AI229" s="12" t="n"/>
      <c r="AJ229" s="12" t="n"/>
      <c r="AK229" s="12" t="n"/>
      <c r="AL229" s="12" t="n"/>
      <c r="AM229" s="63">
        <f>AL144</f>
        <v>460.362797447562</v>
      </c>
      <c r="AN229" s="12" t="n"/>
      <c r="AO229" s="12" t="n"/>
      <c r="AP229" s="12" t="n"/>
      <c r="AQ229" s="12" t="n"/>
      <c r="AR229" s="63">
        <f>AQ144</f>
        <v>-3126.2032956127</v>
      </c>
      <c r="AS229" s="12" t="n"/>
      <c r="AT229" s="12" t="n"/>
      <c r="AU229" s="12" t="n"/>
      <c r="AV229" s="12" t="n"/>
      <c r="AW229" s="63">
        <f>AV144</f>
        <v>-3845.10918959155</v>
      </c>
      <c r="AX229" s="12" t="n"/>
      <c r="AY229" s="12" t="n"/>
      <c r="AZ229" s="12" t="n"/>
      <c r="BA229" s="12" t="n"/>
      <c r="BB229" s="63">
        <f>BA144</f>
        <v>10852.9931080855</v>
      </c>
      <c r="BC229" s="12" t="n"/>
      <c r="BD229" s="12" t="n"/>
      <c r="BE229" s="12" t="n"/>
      <c r="BF229" s="12" t="n"/>
      <c r="BG229" s="63" t="n"/>
      <c r="BH229" s="12" t="n"/>
      <c r="BI229" s="12" t="n"/>
      <c r="BJ229" s="12" t="n"/>
      <c r="BK229" s="12" t="n"/>
      <c r="BL229" s="63" t="n"/>
      <c r="BM229" s="12" t="n"/>
      <c r="BN229" s="12" t="n"/>
      <c r="BO229" s="12" t="n"/>
      <c r="BP229" s="12" t="n"/>
      <c r="BQ229" s="63" t="n"/>
      <c r="BR229" s="12" t="n"/>
      <c r="BS229" s="12" t="n"/>
      <c r="BT229" s="12" t="n"/>
      <c r="BU229" s="12" t="n"/>
      <c r="BV229" s="63" t="n"/>
      <c r="BW229" s="12" t="n"/>
      <c r="BX229" s="12" t="n"/>
      <c r="BY229" s="12" t="n"/>
      <c r="BZ229" s="12" t="n"/>
      <c r="CA229" s="63" t="n"/>
      <c r="CB229" s="12" t="n"/>
      <c r="CC229" s="12" t="n"/>
      <c r="CD229" s="12" t="n"/>
      <c r="CE229" s="12" t="n"/>
      <c r="CF229" s="63" t="n"/>
      <c r="CG229" s="12" t="n"/>
      <c r="CH229" s="12" t="n"/>
      <c r="CI229" s="12" t="n"/>
      <c r="CJ229" s="12" t="n"/>
      <c r="CK229" s="63" t="n"/>
      <c r="CL229" s="12" t="n"/>
      <c r="CM229" s="12" t="n"/>
      <c r="CN229" s="12" t="n"/>
      <c r="CO229" s="12" t="n"/>
      <c r="CP229" s="63" t="n"/>
      <c r="CQ229" s="12" t="n"/>
      <c r="CR229" s="12" t="n"/>
      <c r="CS229" s="12" t="n"/>
      <c r="CT229" s="12" t="n"/>
      <c r="CU229" s="63" t="n"/>
      <c r="CV229" s="12" t="n"/>
      <c r="CW229" s="12" t="n"/>
      <c r="CX229" s="12" t="n"/>
      <c r="CY229" s="12" t="n"/>
    </row>
    <row r="230" hidden="1" outlineLevel="1">
      <c r="C230" s="57" t="inlineStr">
        <is>
          <t>Plus: Free cash flows prior to debt during period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inlineStr">
        <is>
          <t>% of sales</t>
        </is>
      </c>
      <c r="AH230" s="64">
        <f>(AH292+AH299)+SUM(AH302:AH308)</f>
        <v>-10.7020000000002</v>
      </c>
      <c r="AI230" s="64">
        <f>(AI292+AI299)+SUM(AI302:AI308)</f>
        <v>3318.575</v>
      </c>
      <c r="AJ230" s="64">
        <f>(AJ292+AJ299)+SUM(AJ302:AJ308)</f>
        <v>0</v>
      </c>
      <c r="AK230" s="64">
        <f>(AK292+AK299)+SUM(AK302:AK308)</f>
        <v>0</v>
      </c>
      <c r="AL230" s="12" t="n"/>
      <c r="AM230" s="64">
        <f>(AM292+AM299)+SUM(AM302:AM308)</f>
        <v>0</v>
      </c>
      <c r="AN230" s="64">
        <f>(AN292+AN299)+SUM(AN302:AN308)</f>
        <v>0</v>
      </c>
      <c r="AO230" s="64">
        <f>(AO292+AO299)+SUM(AO302:AO308)</f>
        <v>0</v>
      </c>
      <c r="AP230" s="64">
        <f>(AP292+AP299)+SUM(AP302:AP308)</f>
        <v>0</v>
      </c>
      <c r="AQ230" s="12" t="n"/>
      <c r="AR230" s="64">
        <f>(AR292+AR299)+SUM(AR302:AR308)</f>
        <v>0</v>
      </c>
      <c r="AS230" s="64">
        <f>(AS292+AS299)+SUM(AS302:AS308)</f>
        <v>0</v>
      </c>
      <c r="AT230" s="64">
        <f>(AT292+AT299)+SUM(AT302:AT308)</f>
        <v>0</v>
      </c>
      <c r="AU230" s="64">
        <f>(AU292+AU299)+SUM(AU302:AU308)</f>
        <v>0</v>
      </c>
      <c r="AV230" s="12" t="n"/>
      <c r="AW230" s="64">
        <f>(AW292+AW299)+SUM(AW302:AW308)</f>
        <v>0</v>
      </c>
      <c r="AX230" s="64">
        <f>(AX292+AX299)+SUM(AX302:AX308)</f>
        <v>0</v>
      </c>
      <c r="AY230" s="64">
        <f>(AY292+AY299)+SUM(AY302:AY308)</f>
        <v>0</v>
      </c>
      <c r="AZ230" s="64">
        <f>(AZ292+AZ299)+SUM(AZ302:AZ308)</f>
        <v>0</v>
      </c>
      <c r="BA230" s="12" t="n"/>
      <c r="BB230" s="64">
        <f>(BB292+BB299)+SUM(BB302:BB308)</f>
        <v>0</v>
      </c>
      <c r="BC230" s="64">
        <f>(BC292+BC299)+SUM(BC302:BC308)</f>
        <v>0</v>
      </c>
      <c r="BD230" s="64">
        <f>(BD292+BD299)+SUM(BD302:BD308)</f>
        <v>0</v>
      </c>
      <c r="BE230" s="64">
        <f>(BE292+BE299)+SUM(BE302:BE308)</f>
        <v>0</v>
      </c>
      <c r="BF230" s="12" t="n"/>
      <c r="BG230" s="64" t="n"/>
      <c r="BH230" s="64" t="n"/>
      <c r="BI230" s="64" t="n"/>
      <c r="BJ230" s="64" t="n"/>
      <c r="BK230" s="12" t="n"/>
      <c r="BL230" s="64" t="n"/>
      <c r="BM230" s="64" t="n"/>
      <c r="BN230" s="64" t="n"/>
      <c r="BO230" s="64" t="n"/>
      <c r="BP230" s="12" t="n"/>
      <c r="BQ230" s="64" t="n"/>
      <c r="BR230" s="64" t="n"/>
      <c r="BS230" s="64" t="n"/>
      <c r="BT230" s="64" t="n"/>
      <c r="BU230" s="12" t="n"/>
      <c r="BV230" s="64" t="n"/>
      <c r="BW230" s="64" t="n"/>
      <c r="BX230" s="64" t="n"/>
      <c r="BY230" s="64" t="n"/>
      <c r="BZ230" s="12" t="n"/>
      <c r="CA230" s="64" t="n"/>
      <c r="CB230" s="64" t="n"/>
      <c r="CC230" s="64" t="n"/>
      <c r="CD230" s="64" t="n"/>
      <c r="CE230" s="12" t="n"/>
      <c r="CF230" s="64" t="n"/>
      <c r="CG230" s="64" t="n"/>
      <c r="CH230" s="64" t="n"/>
      <c r="CI230" s="64" t="n"/>
      <c r="CJ230" s="12" t="n"/>
      <c r="CK230" s="64" t="n"/>
      <c r="CL230" s="64" t="n"/>
      <c r="CM230" s="64" t="n"/>
      <c r="CN230" s="64" t="n"/>
      <c r="CO230" s="12" t="n"/>
      <c r="CP230" s="64" t="n"/>
      <c r="CQ230" s="64" t="n"/>
      <c r="CR230" s="64" t="n"/>
      <c r="CS230" s="64" t="n"/>
      <c r="CT230" s="12" t="n"/>
      <c r="CU230" s="64" t="n"/>
      <c r="CV230" s="64" t="n"/>
      <c r="CW230" s="64" t="n"/>
      <c r="CX230" s="64" t="n"/>
      <c r="CY230" s="12" t="n"/>
    </row>
    <row r="231" hidden="1" outlineLevel="1">
      <c r="C231" s="57" t="inlineStr">
        <is>
          <t>Less: Minimum cash balance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52" t="n"/>
      <c r="AH231" s="12">
        <f>($AG$231*AH15)</f>
        <v>0</v>
      </c>
      <c r="AI231" s="12">
        <f>($AG$231*AI15)</f>
        <v>0</v>
      </c>
      <c r="AJ231" s="12">
        <f>($AG$231*AJ15)</f>
        <v>0</v>
      </c>
      <c r="AK231" s="12">
        <f>($AG$231*AK15)</f>
        <v>0</v>
      </c>
      <c r="AL231" s="12" t="n"/>
      <c r="AM231" s="12">
        <f>($AG$231*AM15)</f>
        <v>0</v>
      </c>
      <c r="AN231" s="12">
        <f>($AG$231*AN15)</f>
        <v>0</v>
      </c>
      <c r="AO231" s="12">
        <f>($AG$231*AO15)</f>
        <v>0</v>
      </c>
      <c r="AP231" s="12">
        <f>($AG$231*AP15)</f>
        <v>0</v>
      </c>
      <c r="AQ231" s="12" t="n"/>
      <c r="AR231" s="12">
        <f>($AG$231*AR15)</f>
        <v>0</v>
      </c>
      <c r="AS231" s="12">
        <f>($AG$231*AS15)</f>
        <v>0</v>
      </c>
      <c r="AT231" s="12">
        <f>($AG$231*AT15)</f>
        <v>0</v>
      </c>
      <c r="AU231" s="12">
        <f>($AG$231*AU15)</f>
        <v>0</v>
      </c>
      <c r="AV231" s="12" t="n"/>
      <c r="AW231" s="12">
        <f>($AG$231*AW15)</f>
        <v>0</v>
      </c>
      <c r="AX231" s="12">
        <f>($AG$231*AX15)</f>
        <v>0</v>
      </c>
      <c r="AY231" s="12">
        <f>($AG$231*AY15)</f>
        <v>0</v>
      </c>
      <c r="AZ231" s="12">
        <f>($AG$231*AZ15)</f>
        <v>0</v>
      </c>
      <c r="BA231" s="12" t="n"/>
      <c r="BB231" s="12">
        <f>($AG$231*BB15)</f>
        <v>0</v>
      </c>
      <c r="BC231" s="12">
        <f>($AG$231*BC15)</f>
        <v>0</v>
      </c>
      <c r="BD231" s="12">
        <f>($AG$231*BD15)</f>
        <v>0</v>
      </c>
      <c r="BE231" s="12">
        <f>($AG$231*BE15)</f>
        <v>0</v>
      </c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7" t="inlineStr">
        <is>
          <t>Total cash available / (debt required) for short term debt paydown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3">
        <f>AH229+AH230-AH231-AF219+AH221+AH225</f>
        <v>911.667</v>
      </c>
      <c r="AI232" s="3">
        <f>AI229+AI230-AI231-AG219+AI221+AI225</f>
        <v>3318.575</v>
      </c>
      <c r="AJ232" s="3">
        <f>AJ229+AJ230-AJ231-AH219+AJ221+AJ225</f>
        <v>-178.483</v>
      </c>
      <c r="AK232" s="3">
        <f>AK229+AK230-AK231-AI219+AK221+AK225</f>
        <v>0</v>
      </c>
      <c r="AL232" s="12" t="n"/>
      <c r="AM232" s="3">
        <f>AM229+AM230-AM231-AK219+AM221+AM225</f>
        <v>460.362797447562</v>
      </c>
      <c r="AN232" s="3">
        <f>AN229+AN230-AN231-AL219+AN221+AN225</f>
        <v>0</v>
      </c>
      <c r="AO232" s="3">
        <f>AO229+AO230-AO231-AM219+AO221+AO225</f>
        <v>-299.576</v>
      </c>
      <c r="AP232" s="3">
        <f>AP229+AP230-AP231-AN219+AP221+AP225</f>
        <v>0</v>
      </c>
      <c r="AQ232" s="12" t="n"/>
      <c r="AR232" s="3">
        <f>AR229+AR230-AR231-AP219+AR221+AR225</f>
        <v>-3126.2032956127</v>
      </c>
      <c r="AS232" s="3">
        <f>AS229+AS230-AS231-AQ219+AS221+AS225</f>
        <v>0</v>
      </c>
      <c r="AT232" s="3">
        <f>AT229+AT230-AT231-AR219+AT221+AT225</f>
        <v>-299.576</v>
      </c>
      <c r="AU232" s="3">
        <f>AU229+AU230-AU231-AS219+AU221+AU225</f>
        <v>0</v>
      </c>
      <c r="AV232" s="12" t="n"/>
      <c r="AW232" s="3">
        <f>AW229+AW230-AW231-AU219+AW221+AW225</f>
        <v>-3845.10918959155</v>
      </c>
      <c r="AX232" s="3">
        <f>AX229+AX230-AX231-AV219+AX221+AX225</f>
        <v>0</v>
      </c>
      <c r="AY232" s="3">
        <f>AY229+AY230-AY231-AW219+AY221+AY225</f>
        <v>-299.576</v>
      </c>
      <c r="AZ232" s="3">
        <f>AZ229+AZ230-AZ231-AX219+AZ221+AZ225</f>
        <v>0</v>
      </c>
      <c r="BA232" s="12" t="n"/>
      <c r="BB232" s="3">
        <f>BB229+BB230-BB231-AZ219+BB221+BB225</f>
        <v>10852.9931080855</v>
      </c>
      <c r="BC232" s="3">
        <f>BC229+BC230-BC231-BA219+BC221+BC225</f>
        <v>0</v>
      </c>
      <c r="BD232" s="3">
        <f>BD229+BD230-BD231-BB219+BD221+BD225</f>
        <v>-299.576</v>
      </c>
      <c r="BE232" s="3">
        <f>BE229+BE230-BE231-BC219+BE221+BE225</f>
        <v>0</v>
      </c>
      <c r="BF232" s="12" t="n"/>
      <c r="BG232" s="3" t="n"/>
      <c r="BH232" s="3" t="n"/>
      <c r="BI232" s="3" t="n"/>
      <c r="BJ232" s="3" t="n"/>
      <c r="BK232" s="12" t="n"/>
      <c r="BL232" s="3" t="n"/>
      <c r="BM232" s="3" t="n"/>
      <c r="BN232" s="3" t="n"/>
      <c r="BO232" s="3" t="n"/>
      <c r="BP232" s="12" t="n"/>
      <c r="BQ232" s="3" t="n"/>
      <c r="BR232" s="3" t="n"/>
      <c r="BS232" s="3" t="n"/>
      <c r="BT232" s="3" t="n"/>
      <c r="BU232" s="12" t="n"/>
      <c r="BV232" s="3" t="n"/>
      <c r="BW232" s="3" t="n"/>
      <c r="BX232" s="3" t="n"/>
      <c r="BY232" s="3" t="n"/>
      <c r="BZ232" s="12" t="n"/>
      <c r="CA232" s="3" t="n"/>
      <c r="CB232" s="3" t="n"/>
      <c r="CC232" s="3" t="n"/>
      <c r="CD232" s="3" t="n"/>
      <c r="CE232" s="12" t="n"/>
      <c r="CF232" s="3" t="n"/>
      <c r="CG232" s="3" t="n"/>
      <c r="CH232" s="3" t="n"/>
      <c r="CI232" s="3" t="n"/>
      <c r="CJ232" s="12" t="n"/>
      <c r="CK232" s="3" t="n"/>
      <c r="CL232" s="3" t="n"/>
      <c r="CM232" s="3" t="n"/>
      <c r="CN232" s="3" t="n"/>
      <c r="CO232" s="12" t="n"/>
      <c r="CP232" s="3" t="n"/>
      <c r="CQ232" s="3" t="n"/>
      <c r="CR232" s="3" t="n"/>
      <c r="CS232" s="3" t="n"/>
      <c r="CT232" s="12" t="n"/>
      <c r="CU232" s="3" t="n"/>
      <c r="CV232" s="3" t="n"/>
      <c r="CW232" s="3" t="n"/>
      <c r="CX232" s="3" t="n"/>
      <c r="CY232" s="12" t="n"/>
    </row>
    <row r="233" hidden="1" outlineLevel="1">
      <c r="C233" s="57" t="inlineStr">
        <is>
          <t>Short term debt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>
        <f>AH213</f>
        <v>0</v>
      </c>
      <c r="AI233" s="12">
        <f>MAX(0,AH233-AI232)</f>
        <v>0</v>
      </c>
      <c r="AJ233" s="12">
        <f>MAX(0,AI233-AJ232)</f>
        <v>178.483</v>
      </c>
      <c r="AK233" s="12">
        <f>MAX(0,AJ233-AK232)</f>
        <v>178.483</v>
      </c>
      <c r="AL233" s="12" t="n"/>
      <c r="AM233" s="12">
        <f>AM213</f>
        <v>0</v>
      </c>
      <c r="AN233" s="12">
        <f>MAX(0,AM233-AN232)</f>
        <v>0</v>
      </c>
      <c r="AO233" s="12">
        <f>MAX(0,AN233-AO232)</f>
        <v>299.576</v>
      </c>
      <c r="AP233" s="12">
        <f>MAX(0,AO233-AP232)</f>
        <v>299.576</v>
      </c>
      <c r="AQ233" s="12" t="n"/>
      <c r="AR233" s="12">
        <f>AR213</f>
        <v>0</v>
      </c>
      <c r="AS233" s="12">
        <f>MAX(0,AR233-AS232)</f>
        <v>0</v>
      </c>
      <c r="AT233" s="12">
        <f>MAX(0,AS233-AT232)</f>
        <v>299.576</v>
      </c>
      <c r="AU233" s="12">
        <f>MAX(0,AT233-AU232)</f>
        <v>299.576</v>
      </c>
      <c r="AV233" s="12" t="n"/>
      <c r="AW233" s="12">
        <f>AW213</f>
        <v>0</v>
      </c>
      <c r="AX233" s="12">
        <f>MAX(0,AW233-AX232)</f>
        <v>0</v>
      </c>
      <c r="AY233" s="12">
        <f>MAX(0,AX233-AY232)</f>
        <v>299.576</v>
      </c>
      <c r="AZ233" s="12">
        <f>MAX(0,AY233-AZ232)</f>
        <v>299.576</v>
      </c>
      <c r="BA233" s="12" t="n"/>
      <c r="BB233" s="12">
        <f>BB213</f>
        <v>0</v>
      </c>
      <c r="BC233" s="12">
        <f>MAX(0,BB233-BC232)</f>
        <v>0</v>
      </c>
      <c r="BD233" s="12">
        <f>MAX(0,BC233-BD232)</f>
        <v>299.576</v>
      </c>
      <c r="BE233" s="12">
        <f>MAX(0,BD233-BE232)</f>
        <v>299.576</v>
      </c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collapsed="1">
      <c r="C235" s="14" t="inlineStr">
        <is>
          <t>Long term operating leases</t>
        </is>
      </c>
      <c r="D235" s="46" t="n"/>
      <c r="E235" s="46" t="n"/>
      <c r="F235" s="46" t="n"/>
      <c r="G235" s="46" t="n"/>
      <c r="H235" s="12" t="n"/>
      <c r="I235" s="46">
        <f>'Inputs (2)'!D36</f>
        <v>11.17</v>
      </c>
      <c r="J235" s="46">
        <f>'Inputs (2)'!E36</f>
        <v>8.569</v>
      </c>
      <c r="K235" s="46">
        <f>'Inputs (2)'!F36</f>
        <v>11.432</v>
      </c>
      <c r="L235" s="46">
        <f>'Inputs (2)'!G36</f>
        <v>11.431</v>
      </c>
      <c r="M235" s="12">
        <f>'Inputs (2)'!H36</f>
        <v>11.431</v>
      </c>
      <c r="N235" s="46">
        <f>'Inputs (2)'!I36</f>
        <v>11.811</v>
      </c>
      <c r="O235" s="46">
        <f>'Inputs (2)'!J36</f>
        <v>20.698</v>
      </c>
      <c r="P235" s="46">
        <f>'Inputs (2)'!K36</f>
        <v>18.482</v>
      </c>
      <c r="Q235" s="46">
        <f>'Inputs (2)'!L36</f>
        <v>40.8</v>
      </c>
      <c r="R235" s="12">
        <f>'Inputs (2)'!M36</f>
        <v>40.8</v>
      </c>
      <c r="S235" s="46">
        <f>'Inputs (2)'!N36</f>
        <v>43.454</v>
      </c>
      <c r="T235" s="46">
        <f>'Inputs (2)'!O36</f>
        <v>33.041</v>
      </c>
      <c r="U235" s="46">
        <f>'Inputs (2)'!P36</f>
        <v>27.498</v>
      </c>
      <c r="V235" s="46">
        <f>'Inputs (2)'!Q36</f>
        <v>23.329</v>
      </c>
      <c r="W235" s="12">
        <f>'Inputs (2)'!R36</f>
        <v>23.329</v>
      </c>
      <c r="X235" s="46">
        <f>'Inputs (2)'!S36</f>
        <v>21.543</v>
      </c>
      <c r="Y235" s="46">
        <f>'Inputs (2)'!T36</f>
        <v>20.191</v>
      </c>
      <c r="Z235" s="46">
        <f>'Inputs (2)'!U36</f>
        <v>47.45</v>
      </c>
      <c r="AA235" s="46">
        <f>'Inputs (2)'!V36</f>
        <v>62.382</v>
      </c>
      <c r="AB235" s="12">
        <f>'Inputs (2)'!W36</f>
        <v>62.382</v>
      </c>
      <c r="AC235" s="46">
        <f>'Inputs (2)'!X36</f>
        <v>64.059</v>
      </c>
      <c r="AD235" s="46">
        <f>'Inputs (2)'!Y36</f>
        <v>48.686</v>
      </c>
      <c r="AE235" s="46">
        <f>'Inputs (2)'!Z36</f>
        <v>42.207</v>
      </c>
      <c r="AF235" s="46">
        <f>'Inputs (2)'!AA36</f>
        <v>54.834</v>
      </c>
      <c r="AG235" s="12">
        <f>'Inputs (2)'!AB36</f>
        <v>54.834</v>
      </c>
      <c r="AH235" s="12">
        <f>'Inputs (2)'!AC36</f>
        <v>48.425</v>
      </c>
      <c r="AI235" s="12">
        <f>'Inputs (2)'!AD36</f>
        <v>49.663</v>
      </c>
      <c r="AJ235" s="12">
        <f>AI235</f>
        <v>49.663</v>
      </c>
      <c r="AK235" s="12">
        <f>AJ235</f>
        <v>49.663</v>
      </c>
      <c r="AL235" s="12">
        <f>AK235</f>
        <v>49.663</v>
      </c>
      <c r="AM235" s="12">
        <f>AL235</f>
        <v>49.663</v>
      </c>
      <c r="AN235" s="12">
        <f>AM235</f>
        <v>49.663</v>
      </c>
      <c r="AO235" s="12">
        <f>AN235</f>
        <v>49.663</v>
      </c>
      <c r="AP235" s="12">
        <f>AO235</f>
        <v>49.663</v>
      </c>
      <c r="AQ235" s="12">
        <f>AP235</f>
        <v>49.663</v>
      </c>
      <c r="AR235" s="12">
        <f>AQ235</f>
        <v>49.663</v>
      </c>
      <c r="AS235" s="12">
        <f>AR235</f>
        <v>49.663</v>
      </c>
      <c r="AT235" s="12">
        <f>AS235</f>
        <v>49.663</v>
      </c>
      <c r="AU235" s="12">
        <f>AT235</f>
        <v>49.663</v>
      </c>
      <c r="AV235" s="12">
        <f>AU235</f>
        <v>49.663</v>
      </c>
      <c r="AW235" s="12">
        <f>AV235</f>
        <v>49.663</v>
      </c>
      <c r="AX235" s="12">
        <f>AW235</f>
        <v>49.663</v>
      </c>
      <c r="AY235" s="12">
        <f>AX235</f>
        <v>49.663</v>
      </c>
      <c r="AZ235" s="12">
        <f>AY235</f>
        <v>49.663</v>
      </c>
      <c r="BA235" s="12">
        <f>AZ235</f>
        <v>49.663</v>
      </c>
      <c r="BB235" s="12">
        <f>BA235</f>
        <v>49.663</v>
      </c>
      <c r="BC235" s="12">
        <f>BB235</f>
        <v>49.663</v>
      </c>
      <c r="BD235" s="12">
        <f>BC235</f>
        <v>49.663</v>
      </c>
      <c r="BE235" s="12">
        <f>BD235</f>
        <v>49.663</v>
      </c>
      <c r="BF235" s="12">
        <f>BE235</f>
        <v>49.663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9" t="inlineStr">
        <is>
          <t>%(Var.)</t>
        </is>
      </c>
      <c r="D236" s="12" t="n"/>
      <c r="E236" s="40" t="n"/>
      <c r="F236" s="40" t="n"/>
      <c r="G236" s="40" t="n"/>
      <c r="H236" s="12" t="n"/>
      <c r="I236" s="40" t="str">
        <f>""</f>
        <v/>
      </c>
      <c r="J236" s="40">
        <f>IFERROR(IF(I235=0,"",J235/I235-1),"")</f>
        <v>-0.232855863921218</v>
      </c>
      <c r="K236" s="40">
        <f>IFERROR(IF(J235=0,"",K235/J235-1),"")</f>
        <v>0.334111331543937</v>
      </c>
      <c r="L236" s="40">
        <f>IFERROR(IF(K235=0,"",L235/K235-1),"")</f>
        <v>-8.74737578727691e-05</v>
      </c>
      <c r="M236" s="12">
        <f>IF(L235=0,"",M235/L235-1)</f>
        <v>0</v>
      </c>
      <c r="N236" s="40">
        <f>IFERROR(IF(M235=0,"",N235/M235-1),"")</f>
        <v>0.0332429358761264</v>
      </c>
      <c r="O236" s="40">
        <f>IFERROR(IF(N235=0,"",O235/N235-1),"")</f>
        <v>0.75243417153501</v>
      </c>
      <c r="P236" s="40">
        <f>IFERROR(IF(O235=0,"",P235/O235-1),"")</f>
        <v>-0.107063484394628</v>
      </c>
      <c r="Q236" s="40">
        <f>IFERROR(IF(P235=0,"",Q235/P235-1),"")</f>
        <v>1.20755329509793</v>
      </c>
      <c r="R236" s="12">
        <f>IF(Q235=0,"",R235/Q235-1)</f>
        <v>0</v>
      </c>
      <c r="S236" s="40">
        <f>IFERROR(IF(R235=0,"",S235/R235-1),"")</f>
        <v>0.0650490196078433</v>
      </c>
      <c r="T236" s="40">
        <f>IFERROR(IF(S235=0,"",T235/S235-1),"")</f>
        <v>-0.239632715055001</v>
      </c>
      <c r="U236" s="40">
        <f>IFERROR(IF(T235=0,"",U235/T235-1),"")</f>
        <v>-0.167761266305499</v>
      </c>
      <c r="V236" s="40">
        <f>IFERROR(IF(U235=0,"",V235/U235-1),"")</f>
        <v>-0.151611026256455</v>
      </c>
      <c r="W236" s="12">
        <f>IF(V235=0,"",W235/V235-1)</f>
        <v>0</v>
      </c>
      <c r="X236" s="40">
        <f>IFERROR(IF(W235=0,"",X235/W235-1),"")</f>
        <v>-0.0765570748853359</v>
      </c>
      <c r="Y236" s="40">
        <f>IFERROR(IF(X235=0,"",Y235/X235-1),"")</f>
        <v>-0.0627582045211902</v>
      </c>
      <c r="Z236" s="40">
        <f>IFERROR(IF(Y235=0,"",Z235/Y235-1),"")</f>
        <v>1.35005695606954</v>
      </c>
      <c r="AA236" s="40">
        <f>IFERROR(IF(Z235=0,"",AA235/Z235-1),"")</f>
        <v>0.314689146469968</v>
      </c>
      <c r="AB236" s="12">
        <f>IF(AA235=0,"",AB235/AA235-1)</f>
        <v>0</v>
      </c>
      <c r="AC236" s="40">
        <f>IFERROR(IF(AB235=0,"",AC235/AB235-1),"")</f>
        <v>0.0268827546407617</v>
      </c>
      <c r="AD236" s="40">
        <f>IFERROR(IF(AC235=0,"",AD235/AC235-1),"")</f>
        <v>-0.239981891693595</v>
      </c>
      <c r="AE236" s="40">
        <f>IFERROR(IF(AD235=0,"",AE235/AD235-1),"")</f>
        <v>-0.133077270673294</v>
      </c>
      <c r="AF236" s="41">
        <f>IFERROR(IF(AE235=0,"",AF235/AE235-1),"")</f>
        <v>0.299168384391215</v>
      </c>
      <c r="AG236" s="12">
        <f>IF(AF235=0,"",AG235/AF235-1)</f>
        <v>0</v>
      </c>
      <c r="AH236" s="11">
        <f>IFERROR(IF(AG235=0,"",AH235/AG235-1),"")</f>
        <v>-0.11688003793267</v>
      </c>
      <c r="AI236" s="11">
        <f>IFERROR(IF(AH235=0,"",AI235/AH235-1),"")</f>
        <v>0.0255653071760453</v>
      </c>
      <c r="AJ236" s="11">
        <f>IFERROR(IF(AI235=0,"",AJ235/AI235-1),"")</f>
        <v>0</v>
      </c>
      <c r="AK236" s="11">
        <f>IFERROR(IF(AJ235=0,"",AK235/AJ235-1),"")</f>
        <v>0</v>
      </c>
      <c r="AL236" s="12">
        <f>IFERROR(IF(AK235=0,"",AL235/AK235-1),"")</f>
        <v>0</v>
      </c>
      <c r="AM236" s="11">
        <f>IFERROR(IF(AL235=0,"",AM235/AL235-1),"")</f>
        <v>0</v>
      </c>
      <c r="AN236" s="11">
        <f>IFERROR(IF(AM235=0,"",AN235/AM235-1),"")</f>
        <v>0</v>
      </c>
      <c r="AO236" s="11">
        <f>IFERROR(IF(AN235=0,"",AO235/AN235-1),"")</f>
        <v>0</v>
      </c>
      <c r="AP236" s="11">
        <f>IFERROR(IF(AO235=0,"",AP235/AO235-1),"")</f>
        <v>0</v>
      </c>
      <c r="AQ236" s="12">
        <f>IFERROR(IF(AP235=0,"",AQ235/AP235-1),"")</f>
        <v>0</v>
      </c>
      <c r="AR236" s="11">
        <f>IFERROR(IF(AQ235=0,"",AR235/AQ235-1),"")</f>
        <v>0</v>
      </c>
      <c r="AS236" s="11">
        <f>IFERROR(IF(AR235=0,"",AS235/AR235-1),"")</f>
        <v>0</v>
      </c>
      <c r="AT236" s="11">
        <f>IFERROR(IF(AS235=0,"",AT235/AS235-1),"")</f>
        <v>0</v>
      </c>
      <c r="AU236" s="11">
        <f>IFERROR(IF(AT235=0,"",AU235/AT235-1),"")</f>
        <v>0</v>
      </c>
      <c r="AV236" s="12">
        <f>IFERROR(IF(AU235=0,"",AV235/AU235-1),"")</f>
        <v>0</v>
      </c>
      <c r="AW236" s="11">
        <f>IFERROR(IF(AV235=0,"",AW235/AV235-1),"")</f>
        <v>0</v>
      </c>
      <c r="AX236" s="11">
        <f>IFERROR(IF(AW235=0,"",AX235/AW235-1),"")</f>
        <v>0</v>
      </c>
      <c r="AY236" s="11">
        <f>IFERROR(IF(AX235=0,"",AY235/AX235-1),"")</f>
        <v>0</v>
      </c>
      <c r="AZ236" s="11">
        <f>IFERROR(IF(AY235=0,"",AZ235/AY235-1),"")</f>
        <v>0</v>
      </c>
      <c r="BA236" s="12">
        <f>IFERROR(IF(AZ235=0,"",BA235/AZ235-1),"")</f>
        <v>0</v>
      </c>
      <c r="BB236" s="11">
        <f>IFERROR(IF(BA235=0,"",BB235/BA235-1),"")</f>
        <v>0</v>
      </c>
      <c r="BC236" s="11">
        <f>IFERROR(IF(BB235=0,"",BC235/BB235-1),"")</f>
        <v>0</v>
      </c>
      <c r="BD236" s="11">
        <f>IFERROR(IF(BC235=0,"",BD235/BC235-1),"")</f>
        <v>0</v>
      </c>
      <c r="BE236" s="11">
        <f>IFERROR(IF(BD235=0,"",BE235/BD235-1),"")</f>
        <v>0</v>
      </c>
      <c r="BF236" s="12">
        <f>IFERROR(IF(BE235=0,"",BF235/BE235-1),"")</f>
        <v>0</v>
      </c>
      <c r="BG236" s="11" t="n"/>
      <c r="BH236" s="11" t="n"/>
      <c r="BI236" s="11" t="n"/>
      <c r="BJ236" s="11" t="n"/>
      <c r="BK236" s="12" t="n"/>
      <c r="BL236" s="11" t="n"/>
      <c r="BM236" s="11" t="n"/>
      <c r="BN236" s="11" t="n"/>
      <c r="BO236" s="11" t="n"/>
      <c r="BP236" s="12" t="n"/>
      <c r="BQ236" s="11" t="n"/>
      <c r="BR236" s="11" t="n"/>
      <c r="BS236" s="11" t="n"/>
      <c r="BT236" s="11" t="n"/>
      <c r="BU236" s="12" t="n"/>
      <c r="BV236" s="11" t="n"/>
      <c r="BW236" s="11" t="n"/>
      <c r="BX236" s="11" t="n"/>
      <c r="BY236" s="11" t="n"/>
      <c r="BZ236" s="12" t="n"/>
      <c r="CA236" s="11" t="n"/>
      <c r="CB236" s="11" t="n"/>
      <c r="CC236" s="11" t="n"/>
      <c r="CD236" s="11" t="n"/>
      <c r="CE236" s="12" t="n"/>
      <c r="CF236" s="11" t="n"/>
      <c r="CG236" s="11" t="n"/>
      <c r="CH236" s="11" t="n"/>
      <c r="CI236" s="11" t="n"/>
      <c r="CJ236" s="12" t="n"/>
      <c r="CK236" s="11" t="n"/>
      <c r="CL236" s="11" t="n"/>
      <c r="CM236" s="11" t="n"/>
      <c r="CN236" s="11" t="n"/>
      <c r="CO236" s="12" t="n"/>
      <c r="CP236" s="11" t="n"/>
      <c r="CQ236" s="11" t="n"/>
      <c r="CR236" s="11" t="n"/>
      <c r="CS236" s="11" t="n"/>
      <c r="CT236" s="12" t="n"/>
      <c r="CU236" s="11" t="n"/>
      <c r="CV236" s="11" t="n"/>
      <c r="CW236" s="11" t="n"/>
      <c r="CX236" s="11" t="n"/>
      <c r="CY236" s="12" t="n"/>
    </row>
    <row r="237" hidden="1" outlineLevel="1">
      <c r="C237" s="57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collapsed="1">
      <c r="C238" s="14" t="inlineStr">
        <is>
          <t>Convertible debt</t>
        </is>
      </c>
      <c r="D238" s="46" t="n"/>
      <c r="E238" s="46" t="n"/>
      <c r="F238" s="46" t="n"/>
      <c r="G238" s="46" t="n"/>
      <c r="H238" s="12" t="n"/>
      <c r="I238" s="46">
        <f>'Inputs (2)'!D37</f>
        <v>0</v>
      </c>
      <c r="J238" s="46">
        <f>'Inputs (2)'!E37</f>
        <v>0</v>
      </c>
      <c r="K238" s="46">
        <f>'Inputs (2)'!F37</f>
        <v>0</v>
      </c>
      <c r="L238" s="46">
        <f>'Inputs (2)'!G37</f>
        <v>0</v>
      </c>
      <c r="M238" s="12">
        <f>'Inputs (2)'!H37</f>
        <v>0</v>
      </c>
      <c r="N238" s="46">
        <f>'Inputs (2)'!I37</f>
        <v>0</v>
      </c>
      <c r="O238" s="46">
        <f>'Inputs (2)'!J37</f>
        <v>0</v>
      </c>
      <c r="P238" s="46">
        <f>'Inputs (2)'!K37</f>
        <v>0</v>
      </c>
      <c r="Q238" s="46">
        <f>'Inputs (2)'!L37</f>
        <v>0</v>
      </c>
      <c r="R238" s="12">
        <f>'Inputs (2)'!M37</f>
        <v>0</v>
      </c>
      <c r="S238" s="46">
        <f>'Inputs (2)'!N37</f>
        <v>0</v>
      </c>
      <c r="T238" s="46">
        <f>'Inputs (2)'!O37</f>
        <v>0</v>
      </c>
      <c r="U238" s="46">
        <f>'Inputs (2)'!P37</f>
        <v>0</v>
      </c>
      <c r="V238" s="46">
        <f>'Inputs (2)'!Q37</f>
        <v>0</v>
      </c>
      <c r="W238" s="12">
        <f>'Inputs (2)'!R37</f>
        <v>0</v>
      </c>
      <c r="X238" s="46">
        <f>'Inputs (2)'!S37</f>
        <v>0</v>
      </c>
      <c r="Y238" s="46">
        <f>'Inputs (2)'!T37</f>
        <v>0</v>
      </c>
      <c r="Z238" s="46">
        <f>'Inputs (2)'!U37</f>
        <v>0</v>
      </c>
      <c r="AA238" s="46">
        <f>'Inputs (2)'!V37</f>
        <v>0</v>
      </c>
      <c r="AB238" s="12">
        <f>'Inputs (2)'!W37</f>
        <v>0</v>
      </c>
      <c r="AC238" s="46">
        <f>'Inputs (2)'!X37</f>
        <v>0</v>
      </c>
      <c r="AD238" s="46">
        <f>'Inputs (2)'!Y37</f>
        <v>0</v>
      </c>
      <c r="AE238" s="46">
        <f>'Inputs (2)'!Z37</f>
        <v>0</v>
      </c>
      <c r="AF238" s="46">
        <f>'Inputs (2)'!AA37</f>
        <v>0</v>
      </c>
      <c r="AG238" s="12">
        <f>'Inputs (2)'!AB37</f>
        <v>0</v>
      </c>
      <c r="AH238" s="12">
        <f>'Inputs (2)'!AC37</f>
        <v>0</v>
      </c>
      <c r="AI238" s="12">
        <f>'Inputs (2)'!AD37</f>
        <v>0</v>
      </c>
      <c r="AJ238" s="12">
        <f>AI238</f>
        <v>0</v>
      </c>
      <c r="AK238" s="12">
        <f>AJ238</f>
        <v>0</v>
      </c>
      <c r="AL238" s="12">
        <f>AK238</f>
        <v>0</v>
      </c>
      <c r="AM238" s="12">
        <f>AL238</f>
        <v>0</v>
      </c>
      <c r="AN238" s="12">
        <f>AM238</f>
        <v>0</v>
      </c>
      <c r="AO238" s="12">
        <f>AN238</f>
        <v>0</v>
      </c>
      <c r="AP238" s="12">
        <f>AO238</f>
        <v>0</v>
      </c>
      <c r="AQ238" s="12">
        <f>AP238</f>
        <v>0</v>
      </c>
      <c r="AR238" s="12">
        <f>AQ238</f>
        <v>0</v>
      </c>
      <c r="AS238" s="12">
        <f>AR238</f>
        <v>0</v>
      </c>
      <c r="AT238" s="12">
        <f>AS238</f>
        <v>0</v>
      </c>
      <c r="AU238" s="12">
        <f>AT238</f>
        <v>0</v>
      </c>
      <c r="AV238" s="12">
        <f>AU238</f>
        <v>0</v>
      </c>
      <c r="AW238" s="12">
        <f>AV238</f>
        <v>0</v>
      </c>
      <c r="AX238" s="12">
        <f>AW238</f>
        <v>0</v>
      </c>
      <c r="AY238" s="12">
        <f>AX238</f>
        <v>0</v>
      </c>
      <c r="AZ238" s="12">
        <f>AY238</f>
        <v>0</v>
      </c>
      <c r="BA238" s="12">
        <f>AZ238</f>
        <v>0</v>
      </c>
      <c r="BB238" s="12">
        <f>BA238</f>
        <v>0</v>
      </c>
      <c r="BC238" s="12">
        <f>BB238</f>
        <v>0</v>
      </c>
      <c r="BD238" s="12">
        <f>BC238</f>
        <v>0</v>
      </c>
      <c r="BE238" s="12">
        <f>BD238</f>
        <v>0</v>
      </c>
      <c r="BF238" s="12">
        <f>BE238</f>
        <v>0</v>
      </c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>
      <c r="C239" s="14" t="inlineStr">
        <is>
          <t>Deferred income taxes</t>
        </is>
      </c>
      <c r="D239" s="46" t="n"/>
      <c r="E239" s="46" t="n"/>
      <c r="F239" s="46" t="n"/>
      <c r="G239" s="46" t="n"/>
      <c r="H239" s="12" t="n"/>
      <c r="I239" s="46">
        <f>'Inputs (2)'!D38</f>
        <v>17.817</v>
      </c>
      <c r="J239" s="46">
        <f>'Inputs (2)'!E38</f>
        <v>17.496</v>
      </c>
      <c r="K239" s="46">
        <f>'Inputs (2)'!F38</f>
        <v>19.982</v>
      </c>
      <c r="L239" s="46">
        <f>'Inputs (2)'!G38</f>
        <v>9.105</v>
      </c>
      <c r="M239" s="12">
        <f>'Inputs (2)'!H38</f>
        <v>9.105</v>
      </c>
      <c r="N239" s="46">
        <f>'Inputs (2)'!I38</f>
        <v>9.105</v>
      </c>
      <c r="O239" s="46">
        <f>'Inputs (2)'!J38</f>
        <v>9.105</v>
      </c>
      <c r="P239" s="46">
        <f>'Inputs (2)'!K38</f>
        <v>9.105</v>
      </c>
      <c r="Q239" s="46">
        <f>'Inputs (2)'!L38</f>
        <v>4.139</v>
      </c>
      <c r="R239" s="12">
        <f>'Inputs (2)'!M38</f>
        <v>4.139</v>
      </c>
      <c r="S239" s="46">
        <f>'Inputs (2)'!N38</f>
        <v>4.139</v>
      </c>
      <c r="T239" s="46">
        <f>'Inputs (2)'!O38</f>
        <v>4.139</v>
      </c>
      <c r="U239" s="46">
        <f>'Inputs (2)'!P38</f>
        <v>4.139</v>
      </c>
      <c r="V239" s="46">
        <f>'Inputs (2)'!Q38</f>
        <v>4.139</v>
      </c>
      <c r="W239" s="12">
        <f>'Inputs (2)'!R38</f>
        <v>4.139</v>
      </c>
      <c r="X239" s="46">
        <f>'Inputs (2)'!S38</f>
        <v>4.139</v>
      </c>
      <c r="Y239" s="46">
        <f>'Inputs (2)'!T38</f>
        <v>4.139</v>
      </c>
      <c r="Z239" s="46">
        <f>'Inputs (2)'!U38</f>
        <v>4.139</v>
      </c>
      <c r="AA239" s="46">
        <f>'Inputs (2)'!V38</f>
        <v>3.68</v>
      </c>
      <c r="AB239" s="12">
        <f>'Inputs (2)'!W38</f>
        <v>3.68</v>
      </c>
      <c r="AC239" s="46">
        <f>'Inputs (2)'!X38</f>
        <v>3.68</v>
      </c>
      <c r="AD239" s="46">
        <f>'Inputs (2)'!Y38</f>
        <v>3.68</v>
      </c>
      <c r="AE239" s="46">
        <f>'Inputs (2)'!Z38</f>
        <v>3.68</v>
      </c>
      <c r="AF239" s="46">
        <f>'Inputs (2)'!AA38</f>
        <v>2.728</v>
      </c>
      <c r="AG239" s="12">
        <f>'Inputs (2)'!AB38</f>
        <v>2.728</v>
      </c>
      <c r="AH239" s="12">
        <f>'Inputs (2)'!AC38</f>
        <v>2.728</v>
      </c>
      <c r="AI239" s="12">
        <f>'Inputs (2)'!AD38</f>
        <v>597.286</v>
      </c>
      <c r="AJ239" s="12">
        <f>AI239</f>
        <v>597.286</v>
      </c>
      <c r="AK239" s="12">
        <f>AJ239</f>
        <v>597.286</v>
      </c>
      <c r="AL239" s="12">
        <f>AK239</f>
        <v>597.286</v>
      </c>
      <c r="AM239" s="12">
        <f>AL239</f>
        <v>597.286</v>
      </c>
      <c r="AN239" s="12">
        <f>AM239</f>
        <v>597.286</v>
      </c>
      <c r="AO239" s="12">
        <f>AN239</f>
        <v>597.286</v>
      </c>
      <c r="AP239" s="12">
        <f>AO239</f>
        <v>597.286</v>
      </c>
      <c r="AQ239" s="12">
        <f>AP239</f>
        <v>597.286</v>
      </c>
      <c r="AR239" s="12">
        <f>AQ239</f>
        <v>597.286</v>
      </c>
      <c r="AS239" s="12">
        <f>AR239</f>
        <v>597.286</v>
      </c>
      <c r="AT239" s="12">
        <f>AS239</f>
        <v>597.286</v>
      </c>
      <c r="AU239" s="12">
        <f>AT239</f>
        <v>597.286</v>
      </c>
      <c r="AV239" s="12">
        <f>AU239</f>
        <v>597.286</v>
      </c>
      <c r="AW239" s="12">
        <f>AV239</f>
        <v>597.286</v>
      </c>
      <c r="AX239" s="12">
        <f>AW239</f>
        <v>597.286</v>
      </c>
      <c r="AY239" s="12">
        <f>AX239</f>
        <v>597.286</v>
      </c>
      <c r="AZ239" s="12">
        <f>AY239</f>
        <v>597.286</v>
      </c>
      <c r="BA239" s="12">
        <f>AZ239</f>
        <v>597.286</v>
      </c>
      <c r="BB239" s="12">
        <f>BA239</f>
        <v>597.286</v>
      </c>
      <c r="BC239" s="12">
        <f>BB239</f>
        <v>597.286</v>
      </c>
      <c r="BD239" s="12">
        <f>BC239</f>
        <v>597.286</v>
      </c>
      <c r="BE239" s="12">
        <f>BD239</f>
        <v>597.286</v>
      </c>
      <c r="BF239" s="12">
        <f>BE239</f>
        <v>597.286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>
      <c r="C240" s="14" t="inlineStr">
        <is>
          <t>Other non-current liabilities</t>
        </is>
      </c>
      <c r="D240" s="46" t="n"/>
      <c r="E240" s="46" t="n"/>
      <c r="F240" s="46" t="n"/>
      <c r="G240" s="46" t="n"/>
      <c r="H240" s="12" t="n"/>
      <c r="I240" s="46">
        <f>'Inputs (2)'!D39</f>
        <v>85.655</v>
      </c>
      <c r="J240" s="46">
        <f>'Inputs (2)'!E39</f>
        <v>76.482</v>
      </c>
      <c r="K240" s="46">
        <f>'Inputs (2)'!F39</f>
        <v>89.692</v>
      </c>
      <c r="L240" s="46">
        <f>'Inputs (2)'!G39</f>
        <v>87.593</v>
      </c>
      <c r="M240" s="12">
        <f>'Inputs (2)'!H39</f>
        <v>87.593</v>
      </c>
      <c r="N240" s="46">
        <f>'Inputs (2)'!I39</f>
        <v>90.417</v>
      </c>
      <c r="O240" s="46">
        <f>'Inputs (2)'!J39</f>
        <v>353.748</v>
      </c>
      <c r="P240" s="46">
        <f>'Inputs (2)'!K39</f>
        <v>355.709</v>
      </c>
      <c r="Q240" s="46">
        <f>'Inputs (2)'!L39</f>
        <v>146.47</v>
      </c>
      <c r="R240" s="12">
        <f>'Inputs (2)'!M39</f>
        <v>146.47</v>
      </c>
      <c r="S240" s="46">
        <f>'Inputs (2)'!N39</f>
        <v>147.813</v>
      </c>
      <c r="T240" s="46">
        <f>'Inputs (2)'!O39</f>
        <v>159.096</v>
      </c>
      <c r="U240" s="46">
        <f>'Inputs (2)'!P39</f>
        <v>172.115</v>
      </c>
      <c r="V240" s="46">
        <f>'Inputs (2)'!Q39</f>
        <v>152.046</v>
      </c>
      <c r="W240" s="12">
        <f>'Inputs (2)'!R39</f>
        <v>152.046</v>
      </c>
      <c r="X240" s="46">
        <f>'Inputs (2)'!S39</f>
        <v>128.083</v>
      </c>
      <c r="Y240" s="46">
        <f>'Inputs (2)'!T39</f>
        <v>120.231</v>
      </c>
      <c r="Z240" s="46">
        <f>'Inputs (2)'!U39</f>
        <v>252.988</v>
      </c>
      <c r="AA240" s="46">
        <f>'Inputs (2)'!V39</f>
        <v>244.831</v>
      </c>
      <c r="AB240" s="12">
        <f>'Inputs (2)'!W39</f>
        <v>244.831</v>
      </c>
      <c r="AC240" s="46">
        <f>'Inputs (2)'!X39</f>
        <v>244.158</v>
      </c>
      <c r="AD240" s="46">
        <f>'Inputs (2)'!Y39</f>
        <v>243.824</v>
      </c>
      <c r="AE240" s="46">
        <f>'Inputs (2)'!Z39</f>
        <v>237.509</v>
      </c>
      <c r="AF240" s="46">
        <f>'Inputs (2)'!AA39</f>
        <v>171.344</v>
      </c>
      <c r="AG240" s="12">
        <f>'Inputs (2)'!AB39</f>
        <v>171.344</v>
      </c>
      <c r="AH240" s="12">
        <f>'Inputs (2)'!AC39</f>
        <v>175.142</v>
      </c>
      <c r="AI240" s="12">
        <f>'Inputs (2)'!AD39</f>
        <v>765.768</v>
      </c>
      <c r="AJ240" s="12">
        <f>AI240</f>
        <v>765.768</v>
      </c>
      <c r="AK240" s="12">
        <f>AJ240</f>
        <v>765.768</v>
      </c>
      <c r="AL240" s="12">
        <f>AK240</f>
        <v>765.768</v>
      </c>
      <c r="AM240" s="12">
        <f>AL240</f>
        <v>765.768</v>
      </c>
      <c r="AN240" s="12">
        <f>AM240</f>
        <v>765.768</v>
      </c>
      <c r="AO240" s="12">
        <f>AN240</f>
        <v>765.768</v>
      </c>
      <c r="AP240" s="12">
        <f>AO240</f>
        <v>765.768</v>
      </c>
      <c r="AQ240" s="12">
        <f>AP240</f>
        <v>765.768</v>
      </c>
      <c r="AR240" s="12">
        <f>AQ240</f>
        <v>765.768</v>
      </c>
      <c r="AS240" s="12">
        <f>AR240</f>
        <v>765.768</v>
      </c>
      <c r="AT240" s="12">
        <f>AS240</f>
        <v>765.768</v>
      </c>
      <c r="AU240" s="12">
        <f>AT240</f>
        <v>765.768</v>
      </c>
      <c r="AV240" s="12">
        <f>AU240</f>
        <v>765.768</v>
      </c>
      <c r="AW240" s="12">
        <f>AV240</f>
        <v>765.768</v>
      </c>
      <c r="AX240" s="12">
        <f>AW240</f>
        <v>765.768</v>
      </c>
      <c r="AY240" s="12">
        <f>AX240</f>
        <v>765.768</v>
      </c>
      <c r="AZ240" s="12">
        <f>AY240</f>
        <v>765.768</v>
      </c>
      <c r="BA240" s="12">
        <f>AZ240</f>
        <v>765.768</v>
      </c>
      <c r="BB240" s="12">
        <f>BA240</f>
        <v>765.768</v>
      </c>
      <c r="BC240" s="12">
        <f>BB240</f>
        <v>765.768</v>
      </c>
      <c r="BD240" s="12">
        <f>BC240</f>
        <v>765.768</v>
      </c>
      <c r="BE240" s="12">
        <f>BD240</f>
        <v>765.768</v>
      </c>
      <c r="BF240" s="12">
        <f>BE240</f>
        <v>765.768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 ht="12" customHeight="1">
      <c r="C241" s="59" t="inlineStr">
        <is>
          <t>%(Var.)</t>
        </is>
      </c>
      <c r="D241" s="12" t="n"/>
      <c r="E241" s="40" t="n"/>
      <c r="F241" s="40" t="n"/>
      <c r="G241" s="40" t="n"/>
      <c r="H241" s="12" t="n"/>
      <c r="I241" s="40" t="str">
        <f>""</f>
        <v/>
      </c>
      <c r="J241" s="40">
        <f>IF(I240=0,"",J240/I240-1)</f>
        <v>-0.107092405580527</v>
      </c>
      <c r="K241" s="40">
        <f>IF(J240=0,"",K240/J240-1)</f>
        <v>0.172720378651186</v>
      </c>
      <c r="L241" s="40">
        <f>IF(K240=0,"",L240/K240-1)</f>
        <v>-0.0234023101279934</v>
      </c>
      <c r="M241" s="12">
        <f>IF(L240=0,"",M240/L240-1)</f>
        <v>0</v>
      </c>
      <c r="N241" s="40">
        <f>IF(M240=0,"",N240/M240-1)</f>
        <v>0.0322400191796148</v>
      </c>
      <c r="O241" s="40">
        <f>IF(N240=0,"",O240/N240-1)</f>
        <v>2.91240585288165</v>
      </c>
      <c r="P241" s="40">
        <f>IF(O240=0,"",P240/O240-1)</f>
        <v>0.00554349423883682</v>
      </c>
      <c r="Q241" s="40">
        <f>IF(P240=0,"",Q240/P240-1)</f>
        <v>-0.588230829132802</v>
      </c>
      <c r="R241" s="12">
        <f>IF(Q240=0,"",R240/Q240-1)</f>
        <v>0</v>
      </c>
      <c r="S241" s="40">
        <f>IF(R240=0,"",S240/R240-1)</f>
        <v>0.0091691131289684</v>
      </c>
      <c r="T241" s="40">
        <f>IF(S240=0,"",T240/S240-1)</f>
        <v>0.0763329341803496</v>
      </c>
      <c r="U241" s="40">
        <f>IF(T240=0,"",U240/T240-1)</f>
        <v>0.0818310956906523</v>
      </c>
      <c r="V241" s="40">
        <f>IF(U240=0,"",V240/U240-1)</f>
        <v>-0.11660227173692</v>
      </c>
      <c r="W241" s="12">
        <f>IF(V240=0,"",W240/V240-1)</f>
        <v>0</v>
      </c>
      <c r="X241" s="40">
        <f>IF(W240=0,"",X240/W240-1)</f>
        <v>-0.157603619957118</v>
      </c>
      <c r="Y241" s="40">
        <f>IF(X240=0,"",Y240/X240-1)</f>
        <v>-0.0613039981886746</v>
      </c>
      <c r="Z241" s="40">
        <f>IF(Y240=0,"",Z240/Y240-1)</f>
        <v>1.10418278147899</v>
      </c>
      <c r="AA241" s="40">
        <f>IF(Z240=0,"",AA240/Z240-1)</f>
        <v>-0.0322426360143565</v>
      </c>
      <c r="AB241" s="12">
        <f>IF(AA240=0,"",AB240/AA240-1)</f>
        <v>0</v>
      </c>
      <c r="AC241" s="40">
        <f>IF(AB240=0,"",AC240/AB240-1)</f>
        <v>-0.00274883491061184</v>
      </c>
      <c r="AD241" s="40">
        <f>IF(AC240=0,"",AD240/AC240-1)</f>
        <v>-0.00136796664454975</v>
      </c>
      <c r="AE241" s="40">
        <f>IF(AD240=0,"",AE240/AD240-1)</f>
        <v>-0.0258998293851304</v>
      </c>
      <c r="AF241" s="41">
        <f>IF(AE240=0,"",AF240/AE240-1)</f>
        <v>-0.278578917009461</v>
      </c>
      <c r="AG241" s="12">
        <f>IF(AF240=0,"",AG240/AF240-1)</f>
        <v>0</v>
      </c>
      <c r="AH241" s="41">
        <f>IF(AG240=0,"",AH240/AG240-1)</f>
        <v>0.0221659351946961</v>
      </c>
      <c r="AI241" s="41">
        <f>IF(AH240=0,"",AI240/AH240-1)</f>
        <v>3.37226935857761</v>
      </c>
      <c r="AJ241" s="41">
        <f>IF(AI240=0,"",AJ240/AI240-1)</f>
        <v>0</v>
      </c>
      <c r="AK241" s="41">
        <f>IF(AJ240=0,"",AK240/AJ240-1)</f>
        <v>0</v>
      </c>
      <c r="AL241" s="12">
        <f>IF(AK240=0,"",AL240/AK240-1)</f>
        <v>0</v>
      </c>
      <c r="AM241" s="41">
        <f>IF(AL240=0,"",AM240/AL240-1)</f>
        <v>0</v>
      </c>
      <c r="AN241" s="41">
        <f>IF(AM240=0,"",AN240/AM240-1)</f>
        <v>0</v>
      </c>
      <c r="AO241" s="41">
        <f>IF(AN240=0,"",AO240/AN240-1)</f>
        <v>0</v>
      </c>
      <c r="AP241" s="41">
        <f>IF(AO240=0,"",AP240/AO240-1)</f>
        <v>0</v>
      </c>
      <c r="AQ241" s="12">
        <f>IF(AP240=0,"",AQ240/AP240-1)</f>
        <v>0</v>
      </c>
      <c r="AR241" s="41">
        <f>IF(AQ240=0,"",AR240/AQ240-1)</f>
        <v>0</v>
      </c>
      <c r="AS241" s="41">
        <f>IF(AR240=0,"",AS240/AR240-1)</f>
        <v>0</v>
      </c>
      <c r="AT241" s="41">
        <f>IF(AS240=0,"",AT240/AS240-1)</f>
        <v>0</v>
      </c>
      <c r="AU241" s="41">
        <f>IF(AT240=0,"",AU240/AT240-1)</f>
        <v>0</v>
      </c>
      <c r="AV241" s="12">
        <f>IF(AU240=0,"",AV240/AU240-1)</f>
        <v>0</v>
      </c>
      <c r="AW241" s="41">
        <f>IF(AV240=0,"",AW240/AV240-1)</f>
        <v>0</v>
      </c>
      <c r="AX241" s="41">
        <f>IF(AW240=0,"",AX240/AW240-1)</f>
        <v>0</v>
      </c>
      <c r="AY241" s="41">
        <f>IF(AX240=0,"",AY240/AX240-1)</f>
        <v>0</v>
      </c>
      <c r="AZ241" s="41">
        <f>IF(AY240=0,"",AZ240/AY240-1)</f>
        <v>0</v>
      </c>
      <c r="BA241" s="12">
        <f>IF(AZ240=0,"",BA240/AZ240-1)</f>
        <v>0</v>
      </c>
      <c r="BB241" s="41">
        <f>IF(BA240=0,"",BB240/BA240-1)</f>
        <v>0</v>
      </c>
      <c r="BC241" s="41">
        <f>IF(BB240=0,"",BC240/BB240-1)</f>
        <v>0</v>
      </c>
      <c r="BD241" s="41">
        <f>IF(BC240=0,"",BD240/BC240-1)</f>
        <v>0</v>
      </c>
      <c r="BE241" s="41">
        <f>IF(BD240=0,"",BE240/BD240-1)</f>
        <v>0</v>
      </c>
      <c r="BF241" s="12">
        <f>IF(BE240=0,"",BF240/BE240-1)</f>
        <v>0</v>
      </c>
      <c r="BG241" s="41" t="n"/>
      <c r="BH241" s="41" t="n"/>
      <c r="BI241" s="41" t="n"/>
      <c r="BJ241" s="41" t="n"/>
      <c r="BK241" s="12" t="n"/>
      <c r="BL241" s="41" t="n"/>
      <c r="BM241" s="41" t="n"/>
      <c r="BN241" s="41" t="n"/>
      <c r="BO241" s="41" t="n"/>
      <c r="BP241" s="12" t="n"/>
      <c r="BQ241" s="41" t="n"/>
      <c r="BR241" s="41" t="n"/>
      <c r="BS241" s="41" t="n"/>
      <c r="BT241" s="41" t="n"/>
      <c r="BU241" s="12" t="n"/>
      <c r="BV241" s="41" t="n"/>
      <c r="BW241" s="41" t="n"/>
      <c r="BX241" s="41" t="n"/>
      <c r="BY241" s="41" t="n"/>
      <c r="BZ241" s="12" t="n"/>
      <c r="CA241" s="41" t="n"/>
      <c r="CB241" s="41" t="n"/>
      <c r="CC241" s="41" t="n"/>
      <c r="CD241" s="41" t="n"/>
      <c r="CE241" s="12" t="n"/>
      <c r="CF241" s="41" t="n"/>
      <c r="CG241" s="41" t="n"/>
      <c r="CH241" s="41" t="n"/>
      <c r="CI241" s="41" t="n"/>
      <c r="CJ241" s="12" t="n"/>
      <c r="CK241" s="41" t="n"/>
      <c r="CL241" s="41" t="n"/>
      <c r="CM241" s="41" t="n"/>
      <c r="CN241" s="41" t="n"/>
      <c r="CO241" s="12" t="n"/>
      <c r="CP241" s="41" t="n"/>
      <c r="CQ241" s="41" t="n"/>
      <c r="CR241" s="41" t="n"/>
      <c r="CS241" s="41" t="n"/>
      <c r="CT241" s="12" t="n"/>
      <c r="CU241" s="41" t="n"/>
      <c r="CV241" s="41" t="n"/>
      <c r="CW241" s="41" t="n"/>
      <c r="CX241" s="41" t="n"/>
      <c r="CY241" s="12" t="n"/>
    </row>
    <row r="242" hidden="1" outlineLevel="1" ht="12" customHeight="1">
      <c r="C242" s="59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>
      <c r="C243" s="57" t="inlineStr">
        <is>
          <t>Contas a pagar pela aquisição de controladas</t>
        </is>
      </c>
      <c r="D243" s="11" t="n"/>
      <c r="E243" s="11" t="n"/>
      <c r="F243" s="11" t="n"/>
      <c r="G243" s="11" t="n"/>
      <c r="H243" s="12" t="n"/>
      <c r="I243" s="11" t="n"/>
      <c r="J243" s="11" t="n"/>
      <c r="K243" s="11" t="n"/>
      <c r="L243" s="11" t="n"/>
      <c r="M243" s="12" t="n"/>
      <c r="N243" s="11" t="n"/>
      <c r="O243" s="11" t="n"/>
      <c r="P243" s="11" t="n"/>
      <c r="Q243" s="11" t="n"/>
      <c r="R243" s="12" t="n"/>
      <c r="S243" s="11" t="n"/>
      <c r="T243" s="11" t="n"/>
      <c r="U243" s="11" t="n"/>
      <c r="V243" s="11" t="n"/>
      <c r="W243" s="12" t="n"/>
      <c r="X243" s="11" t="n"/>
      <c r="Y243" s="11" t="n"/>
      <c r="Z243" s="11" t="n"/>
      <c r="AA243" s="11" t="n"/>
      <c r="AB243" s="12" t="n"/>
      <c r="AC243" s="11" t="n"/>
      <c r="AD243" s="11" t="n"/>
      <c r="AE243" s="11" t="n"/>
      <c r="AF243" s="11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 hidden="1" outlineLevel="1">
      <c r="C244" s="57" t="inlineStr">
        <is>
          <t xml:space="preserve">Outras Obrigações </t>
        </is>
      </c>
      <c r="D244" s="11" t="n"/>
      <c r="E244" s="11" t="n"/>
      <c r="F244" s="11" t="n"/>
      <c r="G244" s="11" t="n"/>
      <c r="H244" s="12" t="n"/>
      <c r="I244" s="11" t="n"/>
      <c r="J244" s="11" t="n"/>
      <c r="K244" s="11" t="n"/>
      <c r="L244" s="11" t="n"/>
      <c r="M244" s="12" t="n"/>
      <c r="N244" s="11" t="n"/>
      <c r="O244" s="11" t="n"/>
      <c r="P244" s="11" t="n"/>
      <c r="Q244" s="11" t="n"/>
      <c r="R244" s="12" t="n"/>
      <c r="S244" s="11" t="n"/>
      <c r="T244" s="11" t="n"/>
      <c r="U244" s="11" t="n"/>
      <c r="V244" s="11" t="n"/>
      <c r="W244" s="12" t="n"/>
      <c r="X244" s="11" t="n"/>
      <c r="Y244" s="11" t="n"/>
      <c r="Z244" s="11" t="n"/>
      <c r="AA244" s="11" t="n"/>
      <c r="AB244" s="12" t="n"/>
      <c r="AC244" s="11" t="n"/>
      <c r="AD244" s="11" t="n"/>
      <c r="AE244" s="11" t="n"/>
      <c r="AF244" s="11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inlineStr">
        <is>
          <t xml:space="preserve">Provisão de Risco Cíveis, Trabalhistas e Tributários </t>
        </is>
      </c>
      <c r="D245" s="11" t="n"/>
      <c r="E245" s="11" t="n"/>
      <c r="F245" s="11" t="n"/>
      <c r="G245" s="11" t="n"/>
      <c r="H245" s="12" t="n"/>
      <c r="I245" s="11" t="n"/>
      <c r="J245" s="11" t="n"/>
      <c r="K245" s="11" t="n"/>
      <c r="L245" s="11" t="n"/>
      <c r="M245" s="12" t="n"/>
      <c r="N245" s="11" t="n"/>
      <c r="O245" s="11" t="n"/>
      <c r="P245" s="11" t="n"/>
      <c r="Q245" s="11" t="n"/>
      <c r="R245" s="12" t="n"/>
      <c r="S245" s="11" t="n"/>
      <c r="T245" s="11" t="n"/>
      <c r="U245" s="11" t="n"/>
      <c r="V245" s="11" t="n"/>
      <c r="W245" s="12" t="n"/>
      <c r="X245" s="11" t="n"/>
      <c r="Y245" s="11" t="n"/>
      <c r="Z245" s="11" t="n"/>
      <c r="AA245" s="11" t="n"/>
      <c r="AB245" s="12" t="n"/>
      <c r="AC245" s="11" t="n"/>
      <c r="AD245" s="11" t="n"/>
      <c r="AE245" s="11" t="n"/>
      <c r="AF245" s="11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7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collapsed="1" customFormat="1" s="32">
      <c r="A247" s="30" t="n"/>
      <c r="B247" s="30" t="n"/>
      <c r="C247" s="65" t="inlineStr">
        <is>
          <t>Total Liabilities</t>
        </is>
      </c>
      <c r="D247" s="35" t="n"/>
      <c r="E247" s="35" t="n"/>
      <c r="F247" s="35" t="n"/>
      <c r="G247" s="35" t="n"/>
      <c r="H247" s="35" t="n"/>
      <c r="I247" s="35">
        <f>SUM(I198+I202+I204+I205+I212+I213+I214+I217+I235+I238+I239+I240)</f>
        <v>637.79</v>
      </c>
      <c r="J247" s="35">
        <f>SUM(J198+J202+J204+J205+J212+J213+J214+J217+J235+J238+J239+J240)</f>
        <v>580.992</v>
      </c>
      <c r="K247" s="35">
        <f>SUM(K198+K202+K204+K205+K212+K213+K214+K217+K235+K238+K239+K240)</f>
        <v>540.029</v>
      </c>
      <c r="L247" s="35">
        <f>SUM(L198+L202+L204+L205+L212+L213+L214+L217+L235+L238+L239+L240)</f>
        <v>836.65</v>
      </c>
      <c r="M247" s="35">
        <f>SUM(M198,M202,M204,M205,M212,M213,M217,M214,M235,M238,M239,M240)</f>
        <v>836.65</v>
      </c>
      <c r="N247" s="35">
        <f>SUM(N198+N202+N204+N205+N212+N213+N214+N217+N235+N238+N239+N240)</f>
        <v>868.827</v>
      </c>
      <c r="O247" s="35">
        <f>SUM(O198+O202+O204+O205+O212+O213+O214+O217+O235+O238+O239+O240)</f>
        <v>1202.483</v>
      </c>
      <c r="P247" s="35">
        <f>SUM(P198+P202+P204+P205+P212+P213+P214+P217+P235+P238+P239+P240)</f>
        <v>1259.225</v>
      </c>
      <c r="Q247" s="35">
        <f>SUM(Q198+Q202+Q204+Q205+Q212+Q213+Q214+Q217+Q235+Q238+Q239+Q240)</f>
        <v>1491.829</v>
      </c>
      <c r="R247" s="35">
        <f>SUM(R198,R202,R204,R205,R212,R213,R217,R214,R235,R238,R239,R240)</f>
        <v>1491.829</v>
      </c>
      <c r="S247" s="35">
        <f>SUM(S198+S202+S204+S205+S212+S213+S214+S217+S235+S238+S239+S240)</f>
        <v>1463.387</v>
      </c>
      <c r="T247" s="35">
        <f>SUM(T198+T202+T204+T205+T212+T213+T214+T217+T235+T238+T239+T240)</f>
        <v>1439.193</v>
      </c>
      <c r="U247" s="35">
        <f>SUM(U198+U202+U204+U205+U212+U213+U214+U217+U235+U238+U239+U240)</f>
        <v>1575.064</v>
      </c>
      <c r="V247" s="35">
        <f>SUM(V198+V202+V204+V205+V212+V213+V214+V217+V235+V238+V239+V240)</f>
        <v>1517.751</v>
      </c>
      <c r="W247" s="35">
        <f>SUM(W198,W202,W204,W205,W212,W213,W217,W214,W235,W238,W239,W240)</f>
        <v>1517.751</v>
      </c>
      <c r="X247" s="35">
        <f>SUM(X198+X202+X204+X205+X212+X213+X214+X217+X235+X238+X239+X240)</f>
        <v>1505.127</v>
      </c>
      <c r="Y247" s="35">
        <f>SUM(Y198+Y202+Y204+Y205+Y212+Y213+Y214+Y217+Y235+Y238+Y239+Y240)</f>
        <v>1649.852</v>
      </c>
      <c r="Z247" s="35">
        <f>SUM(Z198+Z202+Z204+Z205+Z212+Z213+Z214+Z217+Z235+Z238+Z239+Z240)</f>
        <v>2448.171</v>
      </c>
      <c r="AA247" s="35">
        <f>SUM(AA198+AA202+AA204+AA205+AA212+AA213+AA214+AA217+AA235+AA238+AA239+AA240)</f>
        <v>2460.327</v>
      </c>
      <c r="AB247" s="35">
        <f>SUM(AB198,AB202,AB204,AB205,AB212,AB213,AB217,AB214,AB235,AB238,AB239,AB240)</f>
        <v>2460.327</v>
      </c>
      <c r="AC247" s="35">
        <f>SUM(AC198+AC202+AC204+AC205+AC212+AC213+AC214+AC217+AC235+AC238+AC239+AC240)</f>
        <v>2516.766</v>
      </c>
      <c r="AD247" s="35">
        <f>SUM(AD198+AD202+AD204+AD205+AD212+AD213+AD214+AD217+AD235+AD238+AD239+AD240)</f>
        <v>2541.258</v>
      </c>
      <c r="AE247" s="35">
        <f>SUM(AE198+AE202+AE204+AE205+AE212+AE213+AE214+AE217+AE235+AE238+AE239+AE240)</f>
        <v>2694.019</v>
      </c>
      <c r="AF247" s="35">
        <f>SUM(AF198+AF202+AF204+AF205+AF212+AF213+AF214+AF217+AF235+AF238+AF239+AF240)</f>
        <v>2742.308</v>
      </c>
      <c r="AG247" s="35">
        <f>SUM(AG198,AG202,AG204,AG205,AG212,AG213,AG217,AG214,AG235,AG238,AG239,AG240)</f>
        <v>2742.308</v>
      </c>
      <c r="AH247" s="35">
        <f>SUM(AH198+AH202+AH204+AH205+AH212+AH213+AH214+AH217+AH235+AH238+AH239+AH240)</f>
        <v>2873.596</v>
      </c>
      <c r="AI247" s="35">
        <f>SUM(AI198+AI202+AI204+AI205+AI212+AI213+AI214+AI217+AI235+AI238+AI239+AI240)</f>
        <v>6073.311</v>
      </c>
      <c r="AJ247" s="35">
        <f>SUM(AJ198+AJ202+AJ204+AJ205+AJ212+AJ213+AJ214+AJ217+AJ235+AJ238+AJ239+AJ240)</f>
        <v>6058.51754435527</v>
      </c>
      <c r="AK247" s="35">
        <f>SUM(AK198+AK202+AK204+AK205+AK212+AK213+AK214+AK217+AK235+AK238+AK239+AK240)</f>
        <v>6228.81531963984</v>
      </c>
      <c r="AL247" s="35">
        <f>SUM(AL198,AL202,AL204,AL205,AL212,AL213,AL217,AL214,AL235,AL238,AL239,AL240)</f>
        <v>6228.81531963984</v>
      </c>
      <c r="AM247" s="35">
        <f>SUM(AM198+AM202+AM204+AM205+AM212+AM213+AM214+AM217+AM235+AM238+AM239+AM240)</f>
        <v>6542.94936445209</v>
      </c>
      <c r="AN247" s="35">
        <f>SUM(AN198+AN202+AN204+AN205+AN212+AN213+AN214+AN217+AN235+AN238+AN239+AN240)</f>
        <v>7128.41229106272</v>
      </c>
      <c r="AO247" s="35">
        <f>SUM(AO198+AO202+AO204+AO205+AO212+AO213+AO214+AO217+AO235+AO238+AO239+AO240)</f>
        <v>7444.96989807342</v>
      </c>
      <c r="AP247" s="35">
        <f>SUM(AP198+AP202+AP204+AP205+AP212+AP213+AP214+AP217+AP235+AP238+AP239+AP240)</f>
        <v>8127.34679891095</v>
      </c>
      <c r="AQ247" s="35">
        <f>SUM(AQ198,AQ202,AQ204,AQ205,AQ212,AQ213,AQ217,AQ214,AQ235,AQ238,AQ239,AQ240)</f>
        <v>8127.34679891095</v>
      </c>
      <c r="AR247" s="35">
        <f>SUM(AR198+AR202+AR204+AR205+AR212+AR213+AR214+AR217+AR235+AR238+AR239+AR240)</f>
        <v>9170.05302003114</v>
      </c>
      <c r="AS247" s="35">
        <f>SUM(AS198+AS202+AS204+AS205+AS212+AS213+AS214+AS217+AS235+AS238+AS239+AS240)</f>
        <v>10837.9555337046</v>
      </c>
      <c r="AT247" s="35">
        <f>SUM(AT198+AT202+AT204+AT205+AT212+AT213+AT214+AT217+AT235+AT238+AT239+AT240)</f>
        <v>12458.1745145931</v>
      </c>
      <c r="AU247" s="35">
        <f>SUM(AU198+AU202+AU204+AU205+AU212+AU213+AU214+AU217+AU235+AU238+AU239+AU240)</f>
        <v>15048.1399675152</v>
      </c>
      <c r="AV247" s="35">
        <f>SUM(AV198,AV202,AV204,AV205,AV212,AV213,AV217,AV214,AV235,AV238,AV239,AV240)</f>
        <v>15048.1399675152</v>
      </c>
      <c r="AW247" s="35">
        <f>SUM(AW198+AW202+AW204+AW205+AW212+AW213+AW214+AW217+AW235+AW238+AW239+AW240)</f>
        <v>18754.290170663</v>
      </c>
      <c r="AX247" s="35">
        <f>SUM(AX198+AX202+AX204+AX205+AX212+AX213+AX214+AX217+AX235+AX238+AX239+AX240)</f>
        <v>24186.9075791406</v>
      </c>
      <c r="AY247" s="35">
        <f>SUM(AY198+AY202+AY204+AY205+AY212+AY213+AY214+AY217+AY235+AY238+AY239+AY240)</f>
        <v>30761.7348357272</v>
      </c>
      <c r="AZ247" s="35">
        <f>SUM(AZ198+AZ202+AZ204+AZ205+AZ212+AZ213+AZ214+AZ217+AZ235+AZ238+AZ239+AZ240)</f>
        <v>40348.6837019694</v>
      </c>
      <c r="BA247" s="35">
        <f>SUM(BA198,BA202,BA204,BA205,BA212,BA213,BA217,BA214,BA235,BA238,BA239,BA240)</f>
        <v>40348.6837019694</v>
      </c>
      <c r="BB247" s="35">
        <f>SUM(BB198+BB202+BB204+BB205+BB212+BB213+BB214+BB217+BB235+BB238+BB239+BB240)</f>
        <v>53682.2573729568</v>
      </c>
      <c r="BC247" s="35">
        <f>SUM(BC198+BC202+BC204+BC205+BC212+BC213+BC214+BC217+BC235+BC238+BC239+BC240)</f>
        <v>72526.3067470471</v>
      </c>
      <c r="BD247" s="35">
        <f>SUM(BD198+BD202+BD204+BD205+BD212+BD213+BD214+BD217+BD235+BD238+BD239+BD240)</f>
        <v>97256.6630430403</v>
      </c>
      <c r="BE247" s="35">
        <f>SUM(BE198+BE202+BE204+BE205+BE212+BE213+BE214+BE217+BE235+BE238+BE239+BE240)</f>
        <v>132096.273305631</v>
      </c>
      <c r="BF247" s="35">
        <f>SUM(BF198,BF202,BF204,BF205,BF212,BF213,BF217,BF214,BF235,BF238,BF239,BF240)</f>
        <v>132096.273305631</v>
      </c>
      <c r="BG247" s="35" t="n"/>
      <c r="BH247" s="35" t="n"/>
      <c r="BI247" s="35" t="n"/>
      <c r="BJ247" s="35" t="n"/>
      <c r="BK247" s="35" t="n"/>
      <c r="BL247" s="35" t="n"/>
      <c r="BM247" s="35" t="n"/>
      <c r="BN247" s="35" t="n"/>
      <c r="BO247" s="35" t="n"/>
      <c r="BP247" s="35" t="n"/>
      <c r="BQ247" s="35" t="n"/>
      <c r="BR247" s="35" t="n"/>
      <c r="BS247" s="35" t="n"/>
      <c r="BT247" s="35" t="n"/>
      <c r="BU247" s="35" t="n"/>
      <c r="BV247" s="35" t="n"/>
      <c r="BW247" s="35" t="n"/>
      <c r="BX247" s="35" t="n"/>
      <c r="BY247" s="35" t="n"/>
      <c r="BZ247" s="35" t="n"/>
      <c r="CA247" s="35" t="n"/>
      <c r="CB247" s="35" t="n"/>
      <c r="CC247" s="35" t="n"/>
      <c r="CD247" s="35" t="n"/>
      <c r="CE247" s="35" t="n"/>
      <c r="CF247" s="35" t="n"/>
      <c r="CG247" s="35" t="n"/>
      <c r="CH247" s="35" t="n"/>
      <c r="CI247" s="35" t="n"/>
      <c r="CJ247" s="35" t="n"/>
      <c r="CK247" s="35" t="n"/>
      <c r="CL247" s="35" t="n"/>
      <c r="CM247" s="35" t="n"/>
      <c r="CN247" s="35" t="n"/>
      <c r="CO247" s="35" t="n"/>
      <c r="CP247" s="35" t="n"/>
      <c r="CQ247" s="35" t="n"/>
      <c r="CR247" s="35" t="n"/>
      <c r="CS247" s="35" t="n"/>
      <c r="CT247" s="35" t="n"/>
      <c r="CU247" s="35" t="n"/>
      <c r="CV247" s="35" t="n"/>
      <c r="CW247" s="35" t="n"/>
      <c r="CX247" s="35" t="n"/>
      <c r="CY247" s="35" t="n"/>
    </row>
    <row r="248">
      <c r="C248" s="14" t="inlineStr">
        <is>
          <t>Minority interest</t>
        </is>
      </c>
      <c r="D248" s="46" t="n"/>
      <c r="E248" s="46" t="n"/>
      <c r="F248" s="46" t="n"/>
      <c r="G248" s="46" t="n"/>
      <c r="H248" s="12" t="n"/>
      <c r="I248" s="46">
        <f>'Inputs (2)'!D41</f>
        <v>16.358</v>
      </c>
      <c r="J248" s="46">
        <f>'Inputs (2)'!E41</f>
        <v>9.287</v>
      </c>
      <c r="K248" s="46">
        <f>'Inputs (2)'!F41</f>
        <v>10.144</v>
      </c>
      <c r="L248" s="46">
        <f>'Inputs (2)'!G41</f>
        <v>13.765</v>
      </c>
      <c r="M248" s="12">
        <f>'Inputs (2)'!H41</f>
        <v>13.765</v>
      </c>
      <c r="N248" s="46">
        <f>'Inputs (2)'!I41</f>
        <v>14.538</v>
      </c>
      <c r="O248" s="46">
        <f>'Inputs (2)'!J41</f>
        <v>16.188</v>
      </c>
      <c r="P248" s="46">
        <f>'Inputs (2)'!K41</f>
        <v>17.655</v>
      </c>
      <c r="Q248" s="46">
        <f>'Inputs (2)'!L41</f>
        <v>30.976</v>
      </c>
      <c r="R248" s="12">
        <f>'Inputs (2)'!M41</f>
        <v>30.976</v>
      </c>
      <c r="S248" s="46">
        <f>'Inputs (2)'!N41</f>
        <v>43.064</v>
      </c>
      <c r="T248" s="46">
        <f>'Inputs (2)'!O41</f>
        <v>44.495</v>
      </c>
      <c r="U248" s="46">
        <f>'Inputs (2)'!P41</f>
        <v>46.538</v>
      </c>
      <c r="V248" s="46">
        <f>'Inputs (2)'!Q41</f>
        <v>38.588</v>
      </c>
      <c r="W248" s="12">
        <f>'Inputs (2)'!R41</f>
        <v>38.588</v>
      </c>
      <c r="X248" s="46">
        <f>'Inputs (2)'!S41</f>
        <v>60.029</v>
      </c>
      <c r="Y248" s="46">
        <f>'Inputs (2)'!T41</f>
        <v>61.598</v>
      </c>
      <c r="Z248" s="46">
        <f>'Inputs (2)'!U41</f>
        <v>92.735</v>
      </c>
      <c r="AA248" s="46">
        <f>'Inputs (2)'!V41</f>
        <v>95.715</v>
      </c>
      <c r="AB248" s="12">
        <f>'Inputs (2)'!W41</f>
        <v>95.715</v>
      </c>
      <c r="AC248" s="46">
        <f>'Inputs (2)'!X41</f>
        <v>98.48</v>
      </c>
      <c r="AD248" s="46">
        <f>'Inputs (2)'!Y41</f>
        <v>101.391</v>
      </c>
      <c r="AE248" s="46">
        <f>'Inputs (2)'!Z41</f>
        <v>105.445</v>
      </c>
      <c r="AF248" s="46">
        <f>'Inputs (2)'!AA41</f>
        <v>109.535</v>
      </c>
      <c r="AG248" s="12">
        <f>'Inputs (2)'!AB41</f>
        <v>109.535</v>
      </c>
      <c r="AH248" s="12">
        <f>'Inputs (2)'!AC41</f>
        <v>113.373</v>
      </c>
      <c r="AI248" s="12">
        <f>'Inputs (2)'!AD41</f>
        <v>400.716</v>
      </c>
      <c r="AJ248" s="12">
        <f>AI248</f>
        <v>400.716</v>
      </c>
      <c r="AK248" s="12">
        <f>AJ248</f>
        <v>400.716</v>
      </c>
      <c r="AL248" s="12">
        <f>AK248</f>
        <v>400.716</v>
      </c>
      <c r="AM248" s="12">
        <f>AL248</f>
        <v>400.716</v>
      </c>
      <c r="AN248" s="12">
        <f>AM248</f>
        <v>400.716</v>
      </c>
      <c r="AO248" s="12">
        <f>AN248</f>
        <v>400.716</v>
      </c>
      <c r="AP248" s="12">
        <f>AO248</f>
        <v>400.716</v>
      </c>
      <c r="AQ248" s="12">
        <f>AP248</f>
        <v>400.716</v>
      </c>
      <c r="AR248" s="12">
        <f>AQ248</f>
        <v>400.716</v>
      </c>
      <c r="AS248" s="12">
        <f>AR248</f>
        <v>400.716</v>
      </c>
      <c r="AT248" s="12">
        <f>AS248</f>
        <v>400.716</v>
      </c>
      <c r="AU248" s="12">
        <f>AT248</f>
        <v>400.716</v>
      </c>
      <c r="AV248" s="12">
        <f>AU248</f>
        <v>400.716</v>
      </c>
      <c r="AW248" s="12">
        <f>AV248</f>
        <v>400.716</v>
      </c>
      <c r="AX248" s="12">
        <f>AW248</f>
        <v>400.716</v>
      </c>
      <c r="AY248" s="12">
        <f>AX248</f>
        <v>400.716</v>
      </c>
      <c r="AZ248" s="12">
        <f>AY248</f>
        <v>400.716</v>
      </c>
      <c r="BA248" s="12">
        <f>AZ248</f>
        <v>400.716</v>
      </c>
      <c r="BB248" s="12">
        <f>BA248</f>
        <v>400.716</v>
      </c>
      <c r="BC248" s="12">
        <f>BB248</f>
        <v>400.716</v>
      </c>
      <c r="BD248" s="12">
        <f>BC248</f>
        <v>400.716</v>
      </c>
      <c r="BE248" s="12">
        <f>BD248</f>
        <v>400.716</v>
      </c>
      <c r="BF248" s="12">
        <f>BE248</f>
        <v>400.716</v>
      </c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hidden="1" outlineLevel="1" customFormat="1" s="66">
      <c r="A249" s="37" t="n"/>
      <c r="B249" s="37" t="n"/>
      <c r="C249" s="59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  <c r="BL249" s="42" t="n"/>
      <c r="BM249" s="42" t="n"/>
      <c r="BN249" s="42" t="n"/>
      <c r="BO249" s="42" t="n"/>
      <c r="BP249" s="42" t="n"/>
      <c r="BQ249" s="42" t="n"/>
      <c r="BR249" s="42" t="n"/>
      <c r="BS249" s="42" t="n"/>
      <c r="BT249" s="42" t="n"/>
      <c r="BU249" s="42" t="n"/>
      <c r="BV249" s="42" t="n"/>
      <c r="BW249" s="42" t="n"/>
      <c r="BX249" s="42" t="n"/>
      <c r="BY249" s="42" t="n"/>
      <c r="BZ249" s="42" t="n"/>
      <c r="CA249" s="42" t="n"/>
      <c r="CB249" s="42" t="n"/>
      <c r="CC249" s="42" t="n"/>
      <c r="CD249" s="42" t="n"/>
      <c r="CE249" s="42" t="n"/>
      <c r="CF249" s="42" t="n"/>
      <c r="CG249" s="42" t="n"/>
      <c r="CH249" s="42" t="n"/>
      <c r="CI249" s="42" t="n"/>
      <c r="CJ249" s="42" t="n"/>
      <c r="CK249" s="42" t="n"/>
      <c r="CL249" s="42" t="n"/>
      <c r="CM249" s="42" t="n"/>
      <c r="CN249" s="42" t="n"/>
      <c r="CO249" s="42" t="n"/>
      <c r="CP249" s="42" t="n"/>
      <c r="CQ249" s="42" t="n"/>
      <c r="CR249" s="42" t="n"/>
      <c r="CS249" s="42" t="n"/>
      <c r="CT249" s="42" t="n"/>
      <c r="CU249" s="42" t="n"/>
      <c r="CV249" s="42" t="n"/>
      <c r="CW249" s="42" t="n"/>
      <c r="CX249" s="42" t="n"/>
      <c r="CY249" s="42" t="n"/>
    </row>
    <row r="250" hidden="1" outlineLevel="1" customFormat="1" s="66">
      <c r="A250" s="37" t="n"/>
      <c r="B250" s="37" t="n"/>
      <c r="C250" s="57" t="inlineStr">
        <is>
          <t>Minority Interest Expense - % YoY</t>
        </is>
      </c>
      <c r="D250" s="42" t="n"/>
      <c r="E250" s="58" t="n"/>
      <c r="F250" s="42" t="n"/>
      <c r="G250" s="42" t="n"/>
      <c r="H250" s="58" t="n"/>
      <c r="I250" s="42" t="n"/>
      <c r="J250" s="58">
        <f>IF(I135=0,0,J135/I135-1)</f>
        <v>-0.725490196078431</v>
      </c>
      <c r="K250" s="42" t="n"/>
      <c r="L250" s="42" t="n"/>
      <c r="M250" s="58" t="n"/>
      <c r="N250" s="58">
        <f>IF(I135=0,0,N135/I135-1)</f>
        <v>-1.00980392156863</v>
      </c>
      <c r="O250" s="58">
        <f>IF(J135=0,0,O135/J135-1)</f>
        <v>-202.321428571429</v>
      </c>
      <c r="P250" s="58">
        <f>IF(K135=0,0,P135/K135-1)</f>
        <v>43.5069767441861</v>
      </c>
      <c r="Q250" s="58">
        <f>IF(L135=0,0,Q135/L135-1)</f>
        <v>8.99736147757256</v>
      </c>
      <c r="R250" s="58" t="n"/>
      <c r="S250" s="58">
        <f>IF(N135=0,0,S135/N135-1)</f>
        <v>-2974</v>
      </c>
      <c r="T250" s="58">
        <f>IF(O135=0,0,T135/O135-1)</f>
        <v>-1.5431967358524</v>
      </c>
      <c r="U250" s="58">
        <f>IF(P135=0,0,U135/P135-1)</f>
        <v>-0.81408715644268</v>
      </c>
      <c r="V250" s="58">
        <f>IF(Q135=0,0,V135/Q135-1)</f>
        <v>-0.143309580364212</v>
      </c>
      <c r="W250" s="58">
        <f>IF(R136=0,0,W136/R136-1)</f>
        <v>0.813785636954168</v>
      </c>
      <c r="X250" s="58">
        <f>IF(S135=0,0,X135/S135-1)</f>
        <v>0.503531786074672</v>
      </c>
      <c r="Y250" s="58">
        <f>IF(T135=0,0,Y135/T135-1)</f>
        <v>-0.238406270411496</v>
      </c>
      <c r="Z250" s="58">
        <f>IF(U135=0,0,Z135/U135-1)</f>
        <v>1.94378864530635</v>
      </c>
      <c r="AA250" s="58">
        <f>IF(V135=0,0,AA135/V135-1)</f>
        <v>-0.18422674060382</v>
      </c>
      <c r="AB250" s="58">
        <f>IF(W136=0,0,AB136/W136-1)</f>
        <v>0.350875447672105</v>
      </c>
      <c r="AC250" s="58">
        <f>IF(X135=0,0,AC135/X135-1)</f>
        <v>-0.0651006711409395</v>
      </c>
      <c r="AD250" s="58">
        <f>IF(Y135=0,0,AD135/Y135-1)</f>
        <v>-0.323327615780446</v>
      </c>
      <c r="AE250" s="58">
        <f>IF(Z135=0,0,AE135/Z135-1)</f>
        <v>-0.804468206988734</v>
      </c>
      <c r="AF250" s="58">
        <f>IF(AA135=0,0,AF135/AA135-1)</f>
        <v>-0.987160120845921</v>
      </c>
      <c r="AG250" s="58">
        <f>IF(AB136=0,0,AG136/AB136-1)</f>
        <v>0.0177479932248323</v>
      </c>
      <c r="AH250" s="62">
        <f>IF(AC135=0,0,AH135/AC135-1)</f>
        <v>-1.11031347212252</v>
      </c>
      <c r="AI250" s="62">
        <f>IF(AD135=0,0,AI135/AD135-1)</f>
        <v>-3.7743979721166</v>
      </c>
      <c r="AJ250" s="62" t="n"/>
      <c r="AK250" s="62" t="n"/>
      <c r="AL250" s="58">
        <f>IF(AG136=0,0,AL136/AG136-1)</f>
        <v>0.543849493487699</v>
      </c>
      <c r="AM250" s="62" t="n"/>
      <c r="AN250" s="62" t="n"/>
      <c r="AO250" s="62" t="n"/>
      <c r="AP250" s="62" t="n"/>
      <c r="AQ250" s="58">
        <f>IF(AL136=0,0,AQ136/AL136-1)</f>
        <v>-1</v>
      </c>
      <c r="AR250" s="62" t="n"/>
      <c r="AS250" s="62" t="n"/>
      <c r="AT250" s="62" t="n"/>
      <c r="AU250" s="62" t="n"/>
      <c r="AV250" s="58">
        <f>IF(AQ136=0,0,AV136/AQ136-1)</f>
        <v>0</v>
      </c>
      <c r="AW250" s="62" t="n"/>
      <c r="AX250" s="62" t="n"/>
      <c r="AY250" s="62" t="n"/>
      <c r="AZ250" s="62" t="n"/>
      <c r="BA250" s="58">
        <f>IF(AV136=0,0,BA136/AV136-1)</f>
        <v>0</v>
      </c>
      <c r="BB250" s="62" t="n"/>
      <c r="BC250" s="62" t="n"/>
      <c r="BD250" s="62" t="n"/>
      <c r="BE250" s="62" t="n"/>
      <c r="BF250" s="58">
        <f>IF(BA136=0,0,BF136/BA136-1)</f>
        <v>0</v>
      </c>
      <c r="BG250" s="62" t="n"/>
      <c r="BH250" s="62" t="n"/>
      <c r="BI250" s="62" t="n"/>
      <c r="BJ250" s="62" t="n"/>
      <c r="BK250" s="58" t="n"/>
      <c r="BL250" s="62" t="n"/>
      <c r="BM250" s="62" t="n"/>
      <c r="BN250" s="62" t="n"/>
      <c r="BO250" s="62" t="n"/>
      <c r="BP250" s="58" t="n"/>
      <c r="BQ250" s="62" t="n"/>
      <c r="BR250" s="62" t="n"/>
      <c r="BS250" s="62" t="n"/>
      <c r="BT250" s="62" t="n"/>
      <c r="BU250" s="58" t="n"/>
      <c r="BV250" s="62" t="n"/>
      <c r="BW250" s="62" t="n"/>
      <c r="BX250" s="62" t="n"/>
      <c r="BY250" s="62" t="n"/>
      <c r="BZ250" s="58" t="n"/>
      <c r="CA250" s="62" t="n"/>
      <c r="CB250" s="62" t="n"/>
      <c r="CC250" s="62" t="n"/>
      <c r="CD250" s="62" t="n"/>
      <c r="CE250" s="58" t="n"/>
      <c r="CF250" s="62" t="n"/>
      <c r="CG250" s="62" t="n"/>
      <c r="CH250" s="62" t="n"/>
      <c r="CI250" s="62" t="n"/>
      <c r="CJ250" s="58" t="n"/>
      <c r="CK250" s="62" t="n"/>
      <c r="CL250" s="62" t="n"/>
      <c r="CM250" s="62" t="n"/>
      <c r="CN250" s="62" t="n"/>
      <c r="CO250" s="58" t="n"/>
      <c r="CP250" s="62" t="n"/>
      <c r="CQ250" s="62" t="n"/>
      <c r="CR250" s="62" t="n"/>
      <c r="CS250" s="62" t="n"/>
      <c r="CT250" s="58" t="n"/>
      <c r="CU250" s="62" t="n"/>
      <c r="CV250" s="62" t="n"/>
      <c r="CW250" s="62" t="n"/>
      <c r="CX250" s="62" t="n"/>
      <c r="CY250" s="58" t="n"/>
    </row>
    <row r="251" hidden="1" outlineLevel="1" customFormat="1" s="66">
      <c r="A251" s="37" t="n"/>
      <c r="B251" s="37" t="n"/>
      <c r="C251" s="57" t="inlineStr">
        <is>
          <t>Dividends (enter as -)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62" t="n"/>
      <c r="AI251" s="62" t="n"/>
      <c r="AJ251" s="62" t="n"/>
      <c r="AK251" s="62" t="n"/>
      <c r="AL251" s="42" t="n"/>
      <c r="AM251" s="62" t="n"/>
      <c r="AN251" s="62" t="n"/>
      <c r="AO251" s="62" t="n"/>
      <c r="AP251" s="62" t="n"/>
      <c r="AQ251" s="42" t="n"/>
      <c r="AR251" s="62" t="n"/>
      <c r="AS251" s="62" t="n"/>
      <c r="AT251" s="62" t="n"/>
      <c r="AU251" s="62" t="n"/>
      <c r="AV251" s="42" t="n"/>
      <c r="AW251" s="62" t="n"/>
      <c r="AX251" s="62" t="n"/>
      <c r="AY251" s="62" t="n"/>
      <c r="AZ251" s="62" t="n"/>
      <c r="BA251" s="42" t="n"/>
      <c r="BB251" s="62" t="n"/>
      <c r="BC251" s="62" t="n"/>
      <c r="BD251" s="62" t="n"/>
      <c r="BE251" s="62" t="n"/>
      <c r="BF251" s="42" t="n"/>
      <c r="BG251" s="62" t="n"/>
      <c r="BH251" s="62" t="n"/>
      <c r="BI251" s="62" t="n"/>
      <c r="BJ251" s="62" t="n"/>
      <c r="BK251" s="42" t="n"/>
      <c r="BL251" s="62" t="n"/>
      <c r="BM251" s="62" t="n"/>
      <c r="BN251" s="62" t="n"/>
      <c r="BO251" s="62" t="n"/>
      <c r="BP251" s="42" t="n"/>
      <c r="BQ251" s="62" t="n"/>
      <c r="BR251" s="62" t="n"/>
      <c r="BS251" s="62" t="n"/>
      <c r="BT251" s="62" t="n"/>
      <c r="BU251" s="42" t="n"/>
      <c r="BV251" s="62" t="n"/>
      <c r="BW251" s="62" t="n"/>
      <c r="BX251" s="62" t="n"/>
      <c r="BY251" s="62" t="n"/>
      <c r="BZ251" s="42" t="n"/>
      <c r="CA251" s="62" t="n"/>
      <c r="CB251" s="62" t="n"/>
      <c r="CC251" s="62" t="n"/>
      <c r="CD251" s="62" t="n"/>
      <c r="CE251" s="42" t="n"/>
      <c r="CF251" s="62" t="n"/>
      <c r="CG251" s="62" t="n"/>
      <c r="CH251" s="62" t="n"/>
      <c r="CI251" s="62" t="n"/>
      <c r="CJ251" s="42" t="n"/>
      <c r="CK251" s="62" t="n"/>
      <c r="CL251" s="62" t="n"/>
      <c r="CM251" s="62" t="n"/>
      <c r="CN251" s="62" t="n"/>
      <c r="CO251" s="42" t="n"/>
      <c r="CP251" s="62" t="n"/>
      <c r="CQ251" s="62" t="n"/>
      <c r="CR251" s="62" t="n"/>
      <c r="CS251" s="62" t="n"/>
      <c r="CT251" s="42" t="n"/>
      <c r="CU251" s="62" t="n"/>
      <c r="CV251" s="62" t="n"/>
      <c r="CW251" s="62" t="n"/>
      <c r="CX251" s="62" t="n"/>
      <c r="CY251" s="42" t="n"/>
    </row>
    <row r="252" hidden="1" outlineLevel="1" customFormat="1" s="66">
      <c r="A252" s="37" t="n"/>
      <c r="B252" s="37" t="n"/>
      <c r="C252" s="59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  <c r="BL252" s="42" t="n"/>
      <c r="BM252" s="42" t="n"/>
      <c r="BN252" s="42" t="n"/>
      <c r="BO252" s="42" t="n"/>
      <c r="BP252" s="42" t="n"/>
      <c r="BQ252" s="42" t="n"/>
      <c r="BR252" s="42" t="n"/>
      <c r="BS252" s="42" t="n"/>
      <c r="BT252" s="42" t="n"/>
      <c r="BU252" s="42" t="n"/>
      <c r="BV252" s="42" t="n"/>
      <c r="BW252" s="42" t="n"/>
      <c r="BX252" s="42" t="n"/>
      <c r="BY252" s="42" t="n"/>
      <c r="BZ252" s="42" t="n"/>
      <c r="CA252" s="42" t="n"/>
      <c r="CB252" s="42" t="n"/>
      <c r="CC252" s="42" t="n"/>
      <c r="CD252" s="42" t="n"/>
      <c r="CE252" s="42" t="n"/>
      <c r="CF252" s="42" t="n"/>
      <c r="CG252" s="42" t="n"/>
      <c r="CH252" s="42" t="n"/>
      <c r="CI252" s="42" t="n"/>
      <c r="CJ252" s="42" t="n"/>
      <c r="CK252" s="42" t="n"/>
      <c r="CL252" s="42" t="n"/>
      <c r="CM252" s="42" t="n"/>
      <c r="CN252" s="42" t="n"/>
      <c r="CO252" s="42" t="n"/>
      <c r="CP252" s="42" t="n"/>
      <c r="CQ252" s="42" t="n"/>
      <c r="CR252" s="42" t="n"/>
      <c r="CS252" s="42" t="n"/>
      <c r="CT252" s="42" t="n"/>
      <c r="CU252" s="42" t="n"/>
      <c r="CV252" s="42" t="n"/>
      <c r="CW252" s="42" t="n"/>
      <c r="CX252" s="42" t="n"/>
      <c r="CY252" s="42" t="n"/>
    </row>
    <row r="253" collapsed="1">
      <c r="C253" s="14" t="inlineStr">
        <is>
          <t>Convertible Preferred Stock</t>
        </is>
      </c>
      <c r="D253" s="46" t="n"/>
      <c r="E253" s="46" t="n"/>
      <c r="F253" s="46" t="n"/>
      <c r="G253" s="46" t="n"/>
      <c r="H253" s="12" t="n"/>
      <c r="I253" s="46">
        <f>'Inputs (2)'!D42</f>
        <v>0</v>
      </c>
      <c r="J253" s="46">
        <f>'Inputs (2)'!E42</f>
        <v>0</v>
      </c>
      <c r="K253" s="46">
        <f>'Inputs (2)'!F42</f>
        <v>0</v>
      </c>
      <c r="L253" s="46">
        <f>'Inputs (2)'!G42</f>
        <v>0</v>
      </c>
      <c r="M253" s="12">
        <f>'Inputs (2)'!H42</f>
        <v>0</v>
      </c>
      <c r="N253" s="46">
        <f>'Inputs (2)'!I42</f>
        <v>0</v>
      </c>
      <c r="O253" s="46">
        <f>'Inputs (2)'!J42</f>
        <v>0</v>
      </c>
      <c r="P253" s="46">
        <f>'Inputs (2)'!K42</f>
        <v>0</v>
      </c>
      <c r="Q253" s="46">
        <f>'Inputs (2)'!L42</f>
        <v>0</v>
      </c>
      <c r="R253" s="12">
        <f>'Inputs (2)'!M42</f>
        <v>0</v>
      </c>
      <c r="S253" s="46">
        <f>'Inputs (2)'!N42</f>
        <v>0</v>
      </c>
      <c r="T253" s="46">
        <f>'Inputs (2)'!O42</f>
        <v>0</v>
      </c>
      <c r="U253" s="46">
        <f>'Inputs (2)'!P42</f>
        <v>0</v>
      </c>
      <c r="V253" s="46">
        <f>'Inputs (2)'!Q42</f>
        <v>0</v>
      </c>
      <c r="W253" s="12">
        <f>'Inputs (2)'!R42</f>
        <v>0</v>
      </c>
      <c r="X253" s="46">
        <f>'Inputs (2)'!S42</f>
        <v>0</v>
      </c>
      <c r="Y253" s="46">
        <f>'Inputs (2)'!T42</f>
        <v>0</v>
      </c>
      <c r="Z253" s="46">
        <f>'Inputs (2)'!U42</f>
        <v>0</v>
      </c>
      <c r="AA253" s="46">
        <f>'Inputs (2)'!V42</f>
        <v>0</v>
      </c>
      <c r="AB253" s="12">
        <f>'Inputs (2)'!W42</f>
        <v>0</v>
      </c>
      <c r="AC253" s="46">
        <f>'Inputs (2)'!X42</f>
        <v>0</v>
      </c>
      <c r="AD253" s="46">
        <f>'Inputs (2)'!Y42</f>
        <v>0</v>
      </c>
      <c r="AE253" s="46">
        <f>'Inputs (2)'!Z42</f>
        <v>0</v>
      </c>
      <c r="AF253" s="46">
        <f>'Inputs (2)'!AA42</f>
        <v>0</v>
      </c>
      <c r="AG253" s="12">
        <f>'Inputs (2)'!AB42</f>
        <v>0</v>
      </c>
      <c r="AH253" s="12">
        <f>'Inputs (2)'!AC42</f>
        <v>0</v>
      </c>
      <c r="AI253" s="12">
        <f>'Inputs (2)'!AD42</f>
        <v>0</v>
      </c>
      <c r="AJ253" s="12">
        <f>AI253</f>
        <v>0</v>
      </c>
      <c r="AK253" s="12">
        <f>AJ253</f>
        <v>0</v>
      </c>
      <c r="AL253" s="12">
        <f>AK253</f>
        <v>0</v>
      </c>
      <c r="AM253" s="12">
        <f>AL253</f>
        <v>0</v>
      </c>
      <c r="AN253" s="12">
        <f>AM253</f>
        <v>0</v>
      </c>
      <c r="AO253" s="12">
        <f>AN253</f>
        <v>0</v>
      </c>
      <c r="AP253" s="12">
        <f>AO253</f>
        <v>0</v>
      </c>
      <c r="AQ253" s="12">
        <f>AP253</f>
        <v>0</v>
      </c>
      <c r="AR253" s="12">
        <f>AQ253</f>
        <v>0</v>
      </c>
      <c r="AS253" s="12">
        <f>AR253</f>
        <v>0</v>
      </c>
      <c r="AT253" s="12">
        <f>AS253</f>
        <v>0</v>
      </c>
      <c r="AU253" s="12">
        <f>AT253</f>
        <v>0</v>
      </c>
      <c r="AV253" s="12">
        <f>AU253</f>
        <v>0</v>
      </c>
      <c r="AW253" s="12">
        <f>AV253</f>
        <v>0</v>
      </c>
      <c r="AX253" s="12">
        <f>AW253</f>
        <v>0</v>
      </c>
      <c r="AY253" s="12">
        <f>AX253</f>
        <v>0</v>
      </c>
      <c r="AZ253" s="12">
        <f>AY253</f>
        <v>0</v>
      </c>
      <c r="BA253" s="12">
        <f>AZ253</f>
        <v>0</v>
      </c>
      <c r="BB253" s="12">
        <f>BA253</f>
        <v>0</v>
      </c>
      <c r="BC253" s="12">
        <f>BB253</f>
        <v>0</v>
      </c>
      <c r="BD253" s="12">
        <f>BC253</f>
        <v>0</v>
      </c>
      <c r="BE253" s="12">
        <f>BD253</f>
        <v>0</v>
      </c>
      <c r="BF253" s="12">
        <f>BE253</f>
        <v>0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>
      <c r="C254" s="13" t="inlineStr">
        <is>
          <t>Common Stock and APIC</t>
        </is>
      </c>
      <c r="D254" s="46" t="n"/>
      <c r="E254" s="46" t="n"/>
      <c r="F254" s="46" t="n"/>
      <c r="G254" s="46" t="n"/>
      <c r="H254" s="12" t="n"/>
      <c r="I254" s="46">
        <f>'Inputs (2)'!D43</f>
        <v>817.544</v>
      </c>
      <c r="J254" s="46">
        <f>'Inputs (2)'!E43</f>
        <v>816.2</v>
      </c>
      <c r="K254" s="46">
        <f>'Inputs (2)'!F43</f>
        <v>816.2</v>
      </c>
      <c r="L254" s="46">
        <f>'Inputs (2)'!G43</f>
        <v>816.2</v>
      </c>
      <c r="M254" s="12">
        <f>'Inputs (2)'!H43</f>
        <v>816.2</v>
      </c>
      <c r="N254" s="46">
        <f>'Inputs (2)'!I43</f>
        <v>816.2</v>
      </c>
      <c r="O254" s="46">
        <f>'Inputs (2)'!J43</f>
        <v>929.655</v>
      </c>
      <c r="P254" s="46">
        <f>'Inputs (2)'!K43</f>
        <v>929.655</v>
      </c>
      <c r="Q254" s="46">
        <f>'Inputs (2)'!L43</f>
        <v>1113.454</v>
      </c>
      <c r="R254" s="12">
        <f>'Inputs (2)'!M43</f>
        <v>1113.454</v>
      </c>
      <c r="S254" s="46">
        <f>'Inputs (2)'!N43</f>
        <v>1461.658</v>
      </c>
      <c r="T254" s="46">
        <f>'Inputs (2)'!O43</f>
        <v>1544.389</v>
      </c>
      <c r="U254" s="46">
        <f>'Inputs (2)'!P43</f>
        <v>1544.389</v>
      </c>
      <c r="V254" s="46">
        <f>'Inputs (2)'!Q43</f>
        <v>1544.389</v>
      </c>
      <c r="W254" s="12">
        <f>'Inputs (2)'!R43</f>
        <v>1544.389</v>
      </c>
      <c r="X254" s="46">
        <f>'Inputs (2)'!S43</f>
        <v>1544.389</v>
      </c>
      <c r="Y254" s="46">
        <f>'Inputs (2)'!T43</f>
        <v>1544.389</v>
      </c>
      <c r="Z254" s="46">
        <f>'Inputs (2)'!U43</f>
        <v>1544.389</v>
      </c>
      <c r="AA254" s="46">
        <f>'Inputs (2)'!V43</f>
        <v>1544.389</v>
      </c>
      <c r="AB254" s="12">
        <f>'Inputs (2)'!W43</f>
        <v>1544.389</v>
      </c>
      <c r="AC254" s="46">
        <f>'Inputs (2)'!X43</f>
        <v>1544.389</v>
      </c>
      <c r="AD254" s="46">
        <f>'Inputs (2)'!Y43</f>
        <v>2151.561</v>
      </c>
      <c r="AE254" s="46">
        <f>'Inputs (2)'!Z43</f>
        <v>2150.122</v>
      </c>
      <c r="AF254" s="46">
        <f>'Inputs (2)'!AA43</f>
        <v>2148.193</v>
      </c>
      <c r="AG254" s="12">
        <f>'Inputs (2)'!AB43</f>
        <v>2148.193</v>
      </c>
      <c r="AH254" s="12">
        <f>'Inputs (2)'!AC43</f>
        <v>2147.299</v>
      </c>
      <c r="AI254" s="12">
        <f>'Inputs (2)'!AD43</f>
        <v>5654.326</v>
      </c>
      <c r="AJ254" s="12">
        <f>AI254+AJ258</f>
        <v>5654.326</v>
      </c>
      <c r="AK254" s="12">
        <f>AJ254+AK258</f>
        <v>5654.326</v>
      </c>
      <c r="AL254" s="12">
        <f>AK254</f>
        <v>5654.326</v>
      </c>
      <c r="AM254" s="12">
        <f>AL254+AM258</f>
        <v>5654.326</v>
      </c>
      <c r="AN254" s="12">
        <f>AM254+AN258</f>
        <v>5654.326</v>
      </c>
      <c r="AO254" s="12">
        <f>AN254+AO258</f>
        <v>5654.326</v>
      </c>
      <c r="AP254" s="12">
        <f>AO254+AP258</f>
        <v>5654.326</v>
      </c>
      <c r="AQ254" s="12">
        <f>AP254</f>
        <v>5654.326</v>
      </c>
      <c r="AR254" s="12">
        <f>AQ254+AR258</f>
        <v>5654.326</v>
      </c>
      <c r="AS254" s="12">
        <f>AR254+AS258</f>
        <v>5654.326</v>
      </c>
      <c r="AT254" s="12">
        <f>AS254+AT258</f>
        <v>5654.326</v>
      </c>
      <c r="AU254" s="12">
        <f>AT254+AU258</f>
        <v>5654.326</v>
      </c>
      <c r="AV254" s="12">
        <f>AU254</f>
        <v>5654.326</v>
      </c>
      <c r="AW254" s="12">
        <f>AV254+AW258</f>
        <v>5654.326</v>
      </c>
      <c r="AX254" s="12">
        <f>AW254+AX258</f>
        <v>5654.326</v>
      </c>
      <c r="AY254" s="12">
        <f>AX254+AY258</f>
        <v>5654.326</v>
      </c>
      <c r="AZ254" s="12">
        <f>AY254+AZ258</f>
        <v>5654.326</v>
      </c>
      <c r="BA254" s="12">
        <f>AZ254</f>
        <v>5654.326</v>
      </c>
      <c r="BB254" s="12">
        <f>BA254+BB258</f>
        <v>5654.326</v>
      </c>
      <c r="BC254" s="12">
        <f>BB254+BC258</f>
        <v>5654.326</v>
      </c>
      <c r="BD254" s="12">
        <f>BC254+BD258</f>
        <v>5654.326</v>
      </c>
      <c r="BE254" s="12">
        <f>BD254+BE258</f>
        <v>5654.326</v>
      </c>
      <c r="BF254" s="12">
        <f>BE254</f>
        <v>5654.326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 hidden="1" outlineLevel="1" customFormat="1" s="66">
      <c r="A255" s="37" t="n"/>
      <c r="B255" s="37" t="n"/>
      <c r="C255" s="67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  <c r="BL255" s="42" t="n"/>
      <c r="BM255" s="42" t="n"/>
      <c r="BN255" s="42" t="n"/>
      <c r="BO255" s="42" t="n"/>
      <c r="BP255" s="42" t="n"/>
      <c r="BQ255" s="42" t="n"/>
      <c r="BR255" s="42" t="n"/>
      <c r="BS255" s="42" t="n"/>
      <c r="BT255" s="42" t="n"/>
      <c r="BU255" s="42" t="n"/>
      <c r="BV255" s="42" t="n"/>
      <c r="BW255" s="42" t="n"/>
      <c r="BX255" s="42" t="n"/>
      <c r="BY255" s="42" t="n"/>
      <c r="BZ255" s="42" t="n"/>
      <c r="CA255" s="42" t="n"/>
      <c r="CB255" s="42" t="n"/>
      <c r="CC255" s="42" t="n"/>
      <c r="CD255" s="42" t="n"/>
      <c r="CE255" s="42" t="n"/>
      <c r="CF255" s="42" t="n"/>
      <c r="CG255" s="42" t="n"/>
      <c r="CH255" s="42" t="n"/>
      <c r="CI255" s="42" t="n"/>
      <c r="CJ255" s="42" t="n"/>
      <c r="CK255" s="42" t="n"/>
      <c r="CL255" s="42" t="n"/>
      <c r="CM255" s="42" t="n"/>
      <c r="CN255" s="42" t="n"/>
      <c r="CO255" s="42" t="n"/>
      <c r="CP255" s="42" t="n"/>
      <c r="CQ255" s="42" t="n"/>
      <c r="CR255" s="42" t="n"/>
      <c r="CS255" s="42" t="n"/>
      <c r="CT255" s="42" t="n"/>
      <c r="CU255" s="42" t="n"/>
      <c r="CV255" s="42" t="n"/>
      <c r="CW255" s="42" t="n"/>
      <c r="CX255" s="42" t="n"/>
      <c r="CY255" s="42" t="n"/>
    </row>
    <row r="256" hidden="1" outlineLevel="1" customFormat="1" s="66">
      <c r="A256" s="37" t="n"/>
      <c r="B256" s="37" t="n"/>
      <c r="C256" s="67" t="inlineStr">
        <is>
          <t>Diluted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  <c r="AO256" s="42" t="n"/>
      <c r="AP256" s="42" t="n"/>
      <c r="AQ256" s="42" t="n"/>
      <c r="AR256" s="42" t="n"/>
      <c r="AS256" s="42" t="n"/>
      <c r="AT256" s="42" t="n"/>
      <c r="AU256" s="42" t="n"/>
      <c r="AV256" s="42" t="n"/>
      <c r="AW256" s="42" t="n"/>
      <c r="AX256" s="42" t="n"/>
      <c r="AY256" s="42" t="n"/>
      <c r="AZ256" s="42" t="n"/>
      <c r="BA256" s="42" t="n"/>
      <c r="BB256" s="42" t="n"/>
      <c r="BC256" s="42" t="n"/>
      <c r="BD256" s="42" t="n"/>
      <c r="BE256" s="42" t="n"/>
      <c r="BF256" s="42" t="n"/>
      <c r="BG256" s="42" t="n"/>
      <c r="BH256" s="42" t="n"/>
      <c r="BI256" s="42" t="n"/>
      <c r="BJ256" s="42" t="n"/>
      <c r="BK256" s="42" t="n"/>
      <c r="BL256" s="42" t="n"/>
      <c r="BM256" s="42" t="n"/>
      <c r="BN256" s="42" t="n"/>
      <c r="BO256" s="42" t="n"/>
      <c r="BP256" s="42" t="n"/>
      <c r="BQ256" s="42" t="n"/>
      <c r="BR256" s="42" t="n"/>
      <c r="BS256" s="42" t="n"/>
      <c r="BT256" s="42" t="n"/>
      <c r="BU256" s="42" t="n"/>
      <c r="BV256" s="42" t="n"/>
      <c r="BW256" s="42" t="n"/>
      <c r="BX256" s="42" t="n"/>
      <c r="BY256" s="42" t="n"/>
      <c r="BZ256" s="42" t="n"/>
      <c r="CA256" s="42" t="n"/>
      <c r="CB256" s="42" t="n"/>
      <c r="CC256" s="42" t="n"/>
      <c r="CD256" s="42" t="n"/>
      <c r="CE256" s="42" t="n"/>
      <c r="CF256" s="42" t="n"/>
      <c r="CG256" s="42" t="n"/>
      <c r="CH256" s="42" t="n"/>
      <c r="CI256" s="42" t="n"/>
      <c r="CJ256" s="42" t="n"/>
      <c r="CK256" s="42" t="n"/>
      <c r="CL256" s="42" t="n"/>
      <c r="CM256" s="42" t="n"/>
      <c r="CN256" s="42" t="n"/>
      <c r="CO256" s="42" t="n"/>
      <c r="CP256" s="42" t="n"/>
      <c r="CQ256" s="42" t="n"/>
      <c r="CR256" s="42" t="n"/>
      <c r="CS256" s="42" t="n"/>
      <c r="CT256" s="42" t="n"/>
      <c r="CU256" s="42" t="n"/>
      <c r="CV256" s="42" t="n"/>
      <c r="CW256" s="42" t="n"/>
      <c r="CX256" s="42" t="n"/>
      <c r="CY256" s="42" t="n"/>
    </row>
    <row r="257" hidden="1" outlineLevel="1" customFormat="1" s="66">
      <c r="A257" s="37" t="n"/>
      <c r="B257" s="37" t="n"/>
      <c r="C257" s="67" t="inlineStr">
        <is>
          <t>Treasury share $ repurchases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11" t="n"/>
      <c r="AI257" s="11" t="n"/>
      <c r="AJ257" s="11" t="n"/>
      <c r="AK257" s="11" t="n"/>
      <c r="AL257" s="42" t="n"/>
      <c r="AM257" s="11" t="n"/>
      <c r="AN257" s="11" t="n"/>
      <c r="AO257" s="11" t="n"/>
      <c r="AP257" s="11" t="n"/>
      <c r="AQ257" s="42" t="n"/>
      <c r="AR257" s="11" t="n"/>
      <c r="AS257" s="11" t="n"/>
      <c r="AT257" s="11" t="n"/>
      <c r="AU257" s="11" t="n"/>
      <c r="AV257" s="42" t="n"/>
      <c r="AW257" s="11" t="n"/>
      <c r="AX257" s="11" t="n"/>
      <c r="AY257" s="11" t="n"/>
      <c r="AZ257" s="11" t="n"/>
      <c r="BA257" s="42" t="n"/>
      <c r="BB257" s="11" t="n"/>
      <c r="BC257" s="11" t="n"/>
      <c r="BD257" s="11" t="n"/>
      <c r="BE257" s="11" t="n"/>
      <c r="BF257" s="42" t="n"/>
      <c r="BG257" s="11" t="n"/>
      <c r="BH257" s="11" t="n"/>
      <c r="BI257" s="11" t="n"/>
      <c r="BJ257" s="11" t="n"/>
      <c r="BK257" s="42" t="n"/>
      <c r="BL257" s="11" t="n"/>
      <c r="BM257" s="11" t="n"/>
      <c r="BN257" s="11" t="n"/>
      <c r="BO257" s="11" t="n"/>
      <c r="BP257" s="42" t="n"/>
      <c r="BQ257" s="11" t="n"/>
      <c r="BR257" s="11" t="n"/>
      <c r="BS257" s="11" t="n"/>
      <c r="BT257" s="11" t="n"/>
      <c r="BU257" s="42" t="n"/>
      <c r="BV257" s="11" t="n"/>
      <c r="BW257" s="11" t="n"/>
      <c r="BX257" s="11" t="n"/>
      <c r="BY257" s="11" t="n"/>
      <c r="BZ257" s="42" t="n"/>
      <c r="CA257" s="11" t="n"/>
      <c r="CB257" s="11" t="n"/>
      <c r="CC257" s="11" t="n"/>
      <c r="CD257" s="11" t="n"/>
      <c r="CE257" s="42" t="n"/>
      <c r="CF257" s="11" t="n"/>
      <c r="CG257" s="11" t="n"/>
      <c r="CH257" s="11" t="n"/>
      <c r="CI257" s="11" t="n"/>
      <c r="CJ257" s="42" t="n"/>
      <c r="CK257" s="11" t="n"/>
      <c r="CL257" s="11" t="n"/>
      <c r="CM257" s="11" t="n"/>
      <c r="CN257" s="11" t="n"/>
      <c r="CO257" s="42" t="n"/>
      <c r="CP257" s="11" t="n"/>
      <c r="CQ257" s="11" t="n"/>
      <c r="CR257" s="11" t="n"/>
      <c r="CS257" s="11" t="n"/>
      <c r="CT257" s="42" t="n"/>
      <c r="CU257" s="11" t="n"/>
      <c r="CV257" s="11" t="n"/>
      <c r="CW257" s="11" t="n"/>
      <c r="CX257" s="11" t="n"/>
      <c r="CY257" s="42" t="n"/>
    </row>
    <row r="258" hidden="1" outlineLevel="1" customFormat="1" s="66">
      <c r="A258" s="37" t="n"/>
      <c r="B258" s="37" t="n"/>
      <c r="C258" s="67" t="inlineStr">
        <is>
          <t>Value of shares issued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11" t="n"/>
      <c r="AI258" s="11" t="n"/>
      <c r="AJ258" s="11" t="n"/>
      <c r="AK258" s="11" t="n"/>
      <c r="AL258" s="42" t="n"/>
      <c r="AM258" s="11" t="n"/>
      <c r="AN258" s="11" t="n"/>
      <c r="AO258" s="11" t="n"/>
      <c r="AP258" s="11" t="n"/>
      <c r="AQ258" s="42" t="n"/>
      <c r="AR258" s="11" t="n"/>
      <c r="AS258" s="11" t="n"/>
      <c r="AT258" s="11" t="n"/>
      <c r="AU258" s="11" t="n"/>
      <c r="AV258" s="42" t="n"/>
      <c r="AW258" s="11" t="n"/>
      <c r="AX258" s="11" t="n"/>
      <c r="AY258" s="11" t="n"/>
      <c r="AZ258" s="11" t="n"/>
      <c r="BA258" s="42" t="n"/>
      <c r="BB258" s="11" t="n"/>
      <c r="BC258" s="11" t="n"/>
      <c r="BD258" s="11" t="n"/>
      <c r="BE258" s="11" t="n"/>
      <c r="BF258" s="42" t="n"/>
      <c r="BG258" s="11" t="n"/>
      <c r="BH258" s="11" t="n"/>
      <c r="BI258" s="11" t="n"/>
      <c r="BJ258" s="11" t="n"/>
      <c r="BK258" s="42" t="n"/>
      <c r="BL258" s="11" t="n"/>
      <c r="BM258" s="11" t="n"/>
      <c r="BN258" s="11" t="n"/>
      <c r="BO258" s="11" t="n"/>
      <c r="BP258" s="42" t="n"/>
      <c r="BQ258" s="11" t="n"/>
      <c r="BR258" s="11" t="n"/>
      <c r="BS258" s="11" t="n"/>
      <c r="BT258" s="11" t="n"/>
      <c r="BU258" s="42" t="n"/>
      <c r="BV258" s="11" t="n"/>
      <c r="BW258" s="11" t="n"/>
      <c r="BX258" s="11" t="n"/>
      <c r="BY258" s="11" t="n"/>
      <c r="BZ258" s="42" t="n"/>
      <c r="CA258" s="11" t="n"/>
      <c r="CB258" s="11" t="n"/>
      <c r="CC258" s="11" t="n"/>
      <c r="CD258" s="11" t="n"/>
      <c r="CE258" s="42" t="n"/>
      <c r="CF258" s="11" t="n"/>
      <c r="CG258" s="11" t="n"/>
      <c r="CH258" s="11" t="n"/>
      <c r="CI258" s="11" t="n"/>
      <c r="CJ258" s="42" t="n"/>
      <c r="CK258" s="11" t="n"/>
      <c r="CL258" s="11" t="n"/>
      <c r="CM258" s="11" t="n"/>
      <c r="CN258" s="11" t="n"/>
      <c r="CO258" s="42" t="n"/>
      <c r="CP258" s="11" t="n"/>
      <c r="CQ258" s="11" t="n"/>
      <c r="CR258" s="11" t="n"/>
      <c r="CS258" s="11" t="n"/>
      <c r="CT258" s="42" t="n"/>
      <c r="CU258" s="11" t="n"/>
      <c r="CV258" s="11" t="n"/>
      <c r="CW258" s="11" t="n"/>
      <c r="CX258" s="11" t="n"/>
      <c r="CY258" s="42" t="n"/>
    </row>
    <row r="259" hidden="1" outlineLevel="1" customFormat="1" s="66">
      <c r="A259" s="37" t="n"/>
      <c r="B259" s="37" t="n"/>
      <c r="C259" s="67" t="inlineStr">
        <is>
          <t>Expected average share price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68">
        <f>AF259*(1+AH260)</f>
        <v>0</v>
      </c>
      <c r="AI259" s="68">
        <f>AH259*(1+AI260)</f>
        <v>0</v>
      </c>
      <c r="AJ259" s="68">
        <f>AH259*(1+AJ260)</f>
        <v>0</v>
      </c>
      <c r="AK259" s="68">
        <f>AJ259*(1+AK260)</f>
        <v>0</v>
      </c>
      <c r="AL259" s="42" t="n"/>
      <c r="AM259" s="68">
        <f>AK259*(1+AM260)</f>
        <v>0</v>
      </c>
      <c r="AN259" s="68">
        <f>AM259*(1+AN260)</f>
        <v>0</v>
      </c>
      <c r="AO259" s="68">
        <f>AM259*(1+AO260)</f>
        <v>0</v>
      </c>
      <c r="AP259" s="68">
        <f>AO259*(1+AP260)</f>
        <v>0</v>
      </c>
      <c r="AQ259" s="42" t="n"/>
      <c r="AR259" s="68">
        <f>AP259*(1+AR260)</f>
        <v>0</v>
      </c>
      <c r="AS259" s="68">
        <f>AR259*(1+AS260)</f>
        <v>0</v>
      </c>
      <c r="AT259" s="68">
        <f>AR259*(1+AT260)</f>
        <v>0</v>
      </c>
      <c r="AU259" s="68">
        <f>AT259*(1+AU260)</f>
        <v>0</v>
      </c>
      <c r="AV259" s="42" t="n"/>
      <c r="AW259" s="68">
        <f>AU259*(1+AW260)</f>
        <v>0</v>
      </c>
      <c r="AX259" s="68">
        <f>AW259*(1+AX260)</f>
        <v>0</v>
      </c>
      <c r="AY259" s="68">
        <f>AW259*(1+AY260)</f>
        <v>0</v>
      </c>
      <c r="AZ259" s="68">
        <f>AY259*(1+AZ260)</f>
        <v>0</v>
      </c>
      <c r="BA259" s="42" t="n"/>
      <c r="BB259" s="68">
        <f>AZ259*(1+BB260)</f>
        <v>0</v>
      </c>
      <c r="BC259" s="68">
        <f>BB259*(1+BC260)</f>
        <v>0</v>
      </c>
      <c r="BD259" s="68">
        <f>BB259*(1+BD260)</f>
        <v>0</v>
      </c>
      <c r="BE259" s="68">
        <f>BD259*(1+BE260)</f>
        <v>0</v>
      </c>
      <c r="BF259" s="42" t="n"/>
      <c r="BG259" s="68" t="n"/>
      <c r="BH259" s="68" t="n"/>
      <c r="BI259" s="68" t="n"/>
      <c r="BJ259" s="68" t="n"/>
      <c r="BK259" s="42" t="n"/>
      <c r="BL259" s="68" t="n"/>
      <c r="BM259" s="68" t="n"/>
      <c r="BN259" s="68" t="n"/>
      <c r="BO259" s="68" t="n"/>
      <c r="BP259" s="42" t="n"/>
      <c r="BQ259" s="68" t="n"/>
      <c r="BR259" s="68" t="n"/>
      <c r="BS259" s="68" t="n"/>
      <c r="BT259" s="68" t="n"/>
      <c r="BU259" s="42" t="n"/>
      <c r="BV259" s="68" t="n"/>
      <c r="BW259" s="68" t="n"/>
      <c r="BX259" s="68" t="n"/>
      <c r="BY259" s="68" t="n"/>
      <c r="BZ259" s="42" t="n"/>
      <c r="CA259" s="68" t="n"/>
      <c r="CB259" s="68" t="n"/>
      <c r="CC259" s="68" t="n"/>
      <c r="CD259" s="68" t="n"/>
      <c r="CE259" s="42" t="n"/>
      <c r="CF259" s="68" t="n"/>
      <c r="CG259" s="68" t="n"/>
      <c r="CH259" s="68" t="n"/>
      <c r="CI259" s="68" t="n"/>
      <c r="CJ259" s="42" t="n"/>
      <c r="CK259" s="68" t="n"/>
      <c r="CL259" s="68" t="n"/>
      <c r="CM259" s="68" t="n"/>
      <c r="CN259" s="68" t="n"/>
      <c r="CO259" s="42" t="n"/>
      <c r="CP259" s="68" t="n"/>
      <c r="CQ259" s="68" t="n"/>
      <c r="CR259" s="68" t="n"/>
      <c r="CS259" s="68" t="n"/>
      <c r="CT259" s="42" t="n"/>
      <c r="CU259" s="68" t="n"/>
      <c r="CV259" s="68" t="n"/>
      <c r="CW259" s="68" t="n"/>
      <c r="CX259" s="68" t="n"/>
      <c r="CY259" s="42" t="n"/>
    </row>
    <row r="260" hidden="1" outlineLevel="1" customFormat="1" s="66">
      <c r="A260" s="37" t="n"/>
      <c r="B260" s="37" t="n"/>
      <c r="C260" s="67" t="inlineStr">
        <is>
          <t>Consensus EPS growth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58">
        <f>$AL$265</f>
        <v>0</v>
      </c>
      <c r="AI260" s="58">
        <f>$AL$265</f>
        <v>0</v>
      </c>
      <c r="AJ260" s="58">
        <f>$AL$265</f>
        <v>0</v>
      </c>
      <c r="AK260" s="58">
        <f>$AL$265</f>
        <v>0</v>
      </c>
      <c r="AL260" s="42" t="n"/>
      <c r="AM260" s="58">
        <f>$AL$265</f>
        <v>0</v>
      </c>
      <c r="AN260" s="58">
        <f>$AL$265</f>
        <v>0</v>
      </c>
      <c r="AO260" s="58">
        <f>$AL$265</f>
        <v>0</v>
      </c>
      <c r="AP260" s="58">
        <f>$AL$265</f>
        <v>0</v>
      </c>
      <c r="AQ260" s="42" t="n"/>
      <c r="AR260" s="58">
        <f>$AL$265</f>
        <v>0</v>
      </c>
      <c r="AS260" s="58">
        <f>$AL$265</f>
        <v>0</v>
      </c>
      <c r="AT260" s="58">
        <f>$AL$265</f>
        <v>0</v>
      </c>
      <c r="AU260" s="58">
        <f>$AL$265</f>
        <v>0</v>
      </c>
      <c r="AV260" s="42" t="n"/>
      <c r="AW260" s="58">
        <f>$AL$265</f>
        <v>0</v>
      </c>
      <c r="AX260" s="58">
        <f>$AL$265</f>
        <v>0</v>
      </c>
      <c r="AY260" s="58">
        <f>$AL$265</f>
        <v>0</v>
      </c>
      <c r="AZ260" s="58">
        <f>$AL$265</f>
        <v>0</v>
      </c>
      <c r="BA260" s="42" t="n"/>
      <c r="BB260" s="58">
        <f>$AL$265</f>
        <v>0</v>
      </c>
      <c r="BC260" s="58">
        <f>$AL$265</f>
        <v>0</v>
      </c>
      <c r="BD260" s="58">
        <f>$AL$265</f>
        <v>0</v>
      </c>
      <c r="BE260" s="58">
        <f>$AL$265</f>
        <v>0</v>
      </c>
      <c r="BF260" s="42" t="n"/>
      <c r="BG260" s="58" t="n"/>
      <c r="BH260" s="58" t="n"/>
      <c r="BI260" s="58" t="n"/>
      <c r="BJ260" s="58" t="n"/>
      <c r="BK260" s="42" t="n"/>
      <c r="BL260" s="58" t="n"/>
      <c r="BM260" s="58" t="n"/>
      <c r="BN260" s="58" t="n"/>
      <c r="BO260" s="58" t="n"/>
      <c r="BP260" s="42" t="n"/>
      <c r="BQ260" s="58" t="n"/>
      <c r="BR260" s="58" t="n"/>
      <c r="BS260" s="58" t="n"/>
      <c r="BT260" s="58" t="n"/>
      <c r="BU260" s="42" t="n"/>
      <c r="BV260" s="58" t="n"/>
      <c r="BW260" s="58" t="n"/>
      <c r="BX260" s="58" t="n"/>
      <c r="BY260" s="58" t="n"/>
      <c r="BZ260" s="42" t="n"/>
      <c r="CA260" s="58" t="n"/>
      <c r="CB260" s="58" t="n"/>
      <c r="CC260" s="58" t="n"/>
      <c r="CD260" s="58" t="n"/>
      <c r="CE260" s="42" t="n"/>
      <c r="CF260" s="58" t="n"/>
      <c r="CG260" s="58" t="n"/>
      <c r="CH260" s="58" t="n"/>
      <c r="CI260" s="58" t="n"/>
      <c r="CJ260" s="42" t="n"/>
      <c r="CK260" s="58" t="n"/>
      <c r="CL260" s="58" t="n"/>
      <c r="CM260" s="58" t="n"/>
      <c r="CN260" s="58" t="n"/>
      <c r="CO260" s="42" t="n"/>
      <c r="CP260" s="58" t="n"/>
      <c r="CQ260" s="58" t="n"/>
      <c r="CR260" s="58" t="n"/>
      <c r="CS260" s="58" t="n"/>
      <c r="CT260" s="42" t="n"/>
      <c r="CU260" s="58" t="n"/>
      <c r="CV260" s="58" t="n"/>
      <c r="CW260" s="58" t="n"/>
      <c r="CX260" s="58" t="n"/>
      <c r="CY260" s="42" t="n"/>
    </row>
    <row r="261" hidden="1" outlineLevel="1" customFormat="1" s="66">
      <c r="A261" s="37" t="n"/>
      <c r="B261" s="37" t="n"/>
      <c r="C261" s="67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12" t="n"/>
      <c r="AI261" s="12" t="n"/>
      <c r="AJ261" s="12" t="n"/>
      <c r="AK261" s="12" t="n"/>
      <c r="AL261" s="42" t="n"/>
      <c r="AM261" s="12" t="n"/>
      <c r="AN261" s="12" t="n"/>
      <c r="AO261" s="12" t="n"/>
      <c r="AP261" s="12" t="n"/>
      <c r="AQ261" s="42" t="n"/>
      <c r="AR261" s="12" t="n"/>
      <c r="AS261" s="12" t="n"/>
      <c r="AT261" s="12" t="n"/>
      <c r="AU261" s="12" t="n"/>
      <c r="AV261" s="42" t="n"/>
      <c r="AW261" s="12" t="n"/>
      <c r="AX261" s="12" t="n"/>
      <c r="AY261" s="12" t="n"/>
      <c r="AZ261" s="12" t="n"/>
      <c r="BA261" s="42" t="n"/>
      <c r="BB261" s="12" t="n"/>
      <c r="BC261" s="12" t="n"/>
      <c r="BD261" s="12" t="n"/>
      <c r="BE261" s="12" t="n"/>
      <c r="BF261" s="42" t="n"/>
      <c r="BG261" s="12" t="n"/>
      <c r="BH261" s="12" t="n"/>
      <c r="BI261" s="12" t="n"/>
      <c r="BJ261" s="12" t="n"/>
      <c r="BK261" s="42" t="n"/>
      <c r="BL261" s="12" t="n"/>
      <c r="BM261" s="12" t="n"/>
      <c r="BN261" s="12" t="n"/>
      <c r="BO261" s="12" t="n"/>
      <c r="BP261" s="42" t="n"/>
      <c r="BQ261" s="12" t="n"/>
      <c r="BR261" s="12" t="n"/>
      <c r="BS261" s="12" t="n"/>
      <c r="BT261" s="12" t="n"/>
      <c r="BU261" s="42" t="n"/>
      <c r="BV261" s="12" t="n"/>
      <c r="BW261" s="12" t="n"/>
      <c r="BX261" s="12" t="n"/>
      <c r="BY261" s="12" t="n"/>
      <c r="BZ261" s="42" t="n"/>
      <c r="CA261" s="12" t="n"/>
      <c r="CB261" s="12" t="n"/>
      <c r="CC261" s="12" t="n"/>
      <c r="CD261" s="12" t="n"/>
      <c r="CE261" s="42" t="n"/>
      <c r="CF261" s="12" t="n"/>
      <c r="CG261" s="12" t="n"/>
      <c r="CH261" s="12" t="n"/>
      <c r="CI261" s="12" t="n"/>
      <c r="CJ261" s="42" t="n"/>
      <c r="CK261" s="12" t="n"/>
      <c r="CL261" s="12" t="n"/>
      <c r="CM261" s="12" t="n"/>
      <c r="CN261" s="12" t="n"/>
      <c r="CO261" s="42" t="n"/>
      <c r="CP261" s="12" t="n"/>
      <c r="CQ261" s="12" t="n"/>
      <c r="CR261" s="12" t="n"/>
      <c r="CS261" s="12" t="n"/>
      <c r="CT261" s="42" t="n"/>
      <c r="CU261" s="12" t="n"/>
      <c r="CV261" s="12" t="n"/>
      <c r="CW261" s="12" t="n"/>
      <c r="CX261" s="12" t="n"/>
      <c r="CY261" s="42" t="n"/>
    </row>
    <row r="262" hidden="1" outlineLevel="1" customFormat="1" s="66">
      <c r="A262" s="37" t="n"/>
      <c r="B262" s="37" t="n"/>
      <c r="C262" s="67" t="inlineStr">
        <is>
          <t>Shares repurchased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69" t="str">
        <f>IFERROR(-AH257/AH259,"")</f>
        <v/>
      </c>
      <c r="AI262" s="69" t="str">
        <f>IFERROR(-AI257/AI259,"")</f>
        <v/>
      </c>
      <c r="AJ262" s="69" t="str">
        <f>IFERROR(-AJ257/AJ259,"")</f>
        <v/>
      </c>
      <c r="AK262" s="69" t="str">
        <f>IFERROR(-AK257/AK259,"")</f>
        <v/>
      </c>
      <c r="AL262" s="42" t="n"/>
      <c r="AM262" s="69" t="str">
        <f>IFERROR(-AM257/AM259,"")</f>
        <v/>
      </c>
      <c r="AN262" s="69" t="str">
        <f>IFERROR(-AN257/AN259,"")</f>
        <v/>
      </c>
      <c r="AO262" s="69" t="str">
        <f>IFERROR(-AO257/AO259,"")</f>
        <v/>
      </c>
      <c r="AP262" s="69" t="str">
        <f>IFERROR(-AP257/AP259,"")</f>
        <v/>
      </c>
      <c r="AQ262" s="42" t="n"/>
      <c r="AR262" s="69" t="str">
        <f>IFERROR(-AR257/AR259,"")</f>
        <v/>
      </c>
      <c r="AS262" s="69" t="str">
        <f>IFERROR(-AS257/AS259,"")</f>
        <v/>
      </c>
      <c r="AT262" s="69" t="str">
        <f>IFERROR(-AT257/AT259,"")</f>
        <v/>
      </c>
      <c r="AU262" s="69" t="str">
        <f>IFERROR(-AU257/AU259,"")</f>
        <v/>
      </c>
      <c r="AV262" s="42" t="n"/>
      <c r="AW262" s="69" t="str">
        <f>IFERROR(-AW257/AW259,"")</f>
        <v/>
      </c>
      <c r="AX262" s="69" t="str">
        <f>IFERROR(-AX257/AX259,"")</f>
        <v/>
      </c>
      <c r="AY262" s="69" t="str">
        <f>IFERROR(-AY257/AY259,"")</f>
        <v/>
      </c>
      <c r="AZ262" s="69" t="str">
        <f>IFERROR(-AZ257/AZ259,"")</f>
        <v/>
      </c>
      <c r="BA262" s="42" t="n"/>
      <c r="BB262" s="69" t="str">
        <f>IFERROR(-BB257/BB259,"")</f>
        <v/>
      </c>
      <c r="BC262" s="69" t="str">
        <f>IFERROR(-BC257/BC259,"")</f>
        <v/>
      </c>
      <c r="BD262" s="69" t="str">
        <f>IFERROR(-BD257/BD259,"")</f>
        <v/>
      </c>
      <c r="BE262" s="69" t="str">
        <f>IFERROR(-BE257/BE259,"")</f>
        <v/>
      </c>
      <c r="BF262" s="42" t="n"/>
      <c r="BG262" s="69" t="n"/>
      <c r="BH262" s="69" t="n"/>
      <c r="BI262" s="69" t="n"/>
      <c r="BJ262" s="69" t="n"/>
      <c r="BK262" s="42" t="n"/>
      <c r="BL262" s="69" t="n"/>
      <c r="BM262" s="69" t="n"/>
      <c r="BN262" s="69" t="n"/>
      <c r="BO262" s="69" t="n"/>
      <c r="BP262" s="42" t="n"/>
      <c r="BQ262" s="69" t="n"/>
      <c r="BR262" s="69" t="n"/>
      <c r="BS262" s="69" t="n"/>
      <c r="BT262" s="69" t="n"/>
      <c r="BU262" s="42" t="n"/>
      <c r="BV262" s="69" t="n"/>
      <c r="BW262" s="69" t="n"/>
      <c r="BX262" s="69" t="n"/>
      <c r="BY262" s="69" t="n"/>
      <c r="BZ262" s="42" t="n"/>
      <c r="CA262" s="69" t="n"/>
      <c r="CB262" s="69" t="n"/>
      <c r="CC262" s="69" t="n"/>
      <c r="CD262" s="69" t="n"/>
      <c r="CE262" s="42" t="n"/>
      <c r="CF262" s="69" t="n"/>
      <c r="CG262" s="69" t="n"/>
      <c r="CH262" s="69" t="n"/>
      <c r="CI262" s="69" t="n"/>
      <c r="CJ262" s="42" t="n"/>
      <c r="CK262" s="69" t="n"/>
      <c r="CL262" s="69" t="n"/>
      <c r="CM262" s="69" t="n"/>
      <c r="CN262" s="69" t="n"/>
      <c r="CO262" s="42" t="n"/>
      <c r="CP262" s="69" t="n"/>
      <c r="CQ262" s="69" t="n"/>
      <c r="CR262" s="69" t="n"/>
      <c r="CS262" s="69" t="n"/>
      <c r="CT262" s="42" t="n"/>
      <c r="CU262" s="69" t="n"/>
      <c r="CV262" s="69" t="n"/>
      <c r="CW262" s="69" t="n"/>
      <c r="CX262" s="69" t="n"/>
      <c r="CY262" s="42" t="n"/>
    </row>
    <row r="263" hidden="1" outlineLevel="1" customFormat="1" s="66">
      <c r="A263" s="37" t="n"/>
      <c r="B263" s="37" t="n"/>
      <c r="C263" s="67" t="inlineStr">
        <is>
          <t>Shares issued</t>
        </is>
      </c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9" t="n"/>
      <c r="AG263" s="42" t="n"/>
      <c r="AH263" s="69" t="str">
        <f>IFERROR(AH258/AH259,"")</f>
        <v/>
      </c>
      <c r="AI263" s="69" t="str">
        <f>IFERROR(AI258/AI259,"")</f>
        <v/>
      </c>
      <c r="AJ263" s="69" t="str">
        <f>IFERROR(AJ258/AJ259,"")</f>
        <v/>
      </c>
      <c r="AK263" s="69" t="str">
        <f>IFERROR(AK258/AK259,"")</f>
        <v/>
      </c>
      <c r="AL263" s="42" t="n"/>
      <c r="AM263" s="69" t="str">
        <f>IFERROR(AM258/AM259,"")</f>
        <v/>
      </c>
      <c r="AN263" s="69" t="str">
        <f>IFERROR(AN258/AN259,"")</f>
        <v/>
      </c>
      <c r="AO263" s="69" t="str">
        <f>IFERROR(AO258/AO259,"")</f>
        <v/>
      </c>
      <c r="AP263" s="69" t="str">
        <f>IFERROR(AP258/AP259,"")</f>
        <v/>
      </c>
      <c r="AQ263" s="42" t="n"/>
      <c r="AR263" s="69" t="str">
        <f>IFERROR(AR258/AR259,"")</f>
        <v/>
      </c>
      <c r="AS263" s="69" t="str">
        <f>IFERROR(AS258/AS259,"")</f>
        <v/>
      </c>
      <c r="AT263" s="69" t="str">
        <f>IFERROR(AT258/AT259,"")</f>
        <v/>
      </c>
      <c r="AU263" s="69" t="str">
        <f>IFERROR(AU258/AU259,"")</f>
        <v/>
      </c>
      <c r="AV263" s="42" t="n"/>
      <c r="AW263" s="69" t="str">
        <f>IFERROR(AW258/AW259,"")</f>
        <v/>
      </c>
      <c r="AX263" s="69" t="str">
        <f>IFERROR(AX258/AX259,"")</f>
        <v/>
      </c>
      <c r="AY263" s="69" t="str">
        <f>IFERROR(AY258/AY259,"")</f>
        <v/>
      </c>
      <c r="AZ263" s="69" t="str">
        <f>IFERROR(AZ258/AZ259,"")</f>
        <v/>
      </c>
      <c r="BA263" s="42" t="n"/>
      <c r="BB263" s="69" t="str">
        <f>IFERROR(BB258/BB259,"")</f>
        <v/>
      </c>
      <c r="BC263" s="69" t="str">
        <f>IFERROR(BC258/BC259,"")</f>
        <v/>
      </c>
      <c r="BD263" s="69" t="str">
        <f>IFERROR(BD258/BD259,"")</f>
        <v/>
      </c>
      <c r="BE263" s="69" t="str">
        <f>IFERROR(BE258/BE259,"")</f>
        <v/>
      </c>
      <c r="BF263" s="42" t="n"/>
      <c r="BG263" s="69" t="n"/>
      <c r="BH263" s="69" t="n"/>
      <c r="BI263" s="69" t="n"/>
      <c r="BJ263" s="69" t="n"/>
      <c r="BK263" s="42" t="n"/>
      <c r="BL263" s="69" t="n"/>
      <c r="BM263" s="69" t="n"/>
      <c r="BN263" s="69" t="n"/>
      <c r="BO263" s="69" t="n"/>
      <c r="BP263" s="42" t="n"/>
      <c r="BQ263" s="69" t="n"/>
      <c r="BR263" s="69" t="n"/>
      <c r="BS263" s="69" t="n"/>
      <c r="BT263" s="69" t="n"/>
      <c r="BU263" s="42" t="n"/>
      <c r="BV263" s="69" t="n"/>
      <c r="BW263" s="69" t="n"/>
      <c r="BX263" s="69" t="n"/>
      <c r="BY263" s="69" t="n"/>
      <c r="BZ263" s="42" t="n"/>
      <c r="CA263" s="69" t="n"/>
      <c r="CB263" s="69" t="n"/>
      <c r="CC263" s="69" t="n"/>
      <c r="CD263" s="69" t="n"/>
      <c r="CE263" s="42" t="n"/>
      <c r="CF263" s="69" t="n"/>
      <c r="CG263" s="69" t="n"/>
      <c r="CH263" s="69" t="n"/>
      <c r="CI263" s="69" t="n"/>
      <c r="CJ263" s="42" t="n"/>
      <c r="CK263" s="69" t="n"/>
      <c r="CL263" s="69" t="n"/>
      <c r="CM263" s="69" t="n"/>
      <c r="CN263" s="69" t="n"/>
      <c r="CO263" s="42" t="n"/>
      <c r="CP263" s="69" t="n"/>
      <c r="CQ263" s="69" t="n"/>
      <c r="CR263" s="69" t="n"/>
      <c r="CS263" s="69" t="n"/>
      <c r="CT263" s="42" t="n"/>
      <c r="CU263" s="69" t="n"/>
      <c r="CV263" s="69" t="n"/>
      <c r="CW263" s="69" t="n"/>
      <c r="CX263" s="69" t="n"/>
      <c r="CY263" s="42" t="n"/>
    </row>
    <row r="264" hidden="1" outlineLevel="1" customFormat="1" s="66">
      <c r="A264" s="37" t="n"/>
      <c r="B264" s="37" t="n"/>
      <c r="C264" s="67" t="inlineStr">
        <is>
          <t>End of period basic shares outstanding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3" t="str">
        <f>IFERROR(AG264+AH263-AH262,"")</f>
        <v/>
      </c>
      <c r="AI264" s="3" t="str">
        <f>IFERROR(AH264+AI263-AI262,"")</f>
        <v/>
      </c>
      <c r="AJ264" s="69" t="str">
        <f>IFERROR(AH264+AJ263-AJ262,"")</f>
        <v/>
      </c>
      <c r="AK264" s="69" t="str">
        <f>IFERROR(AJ264+AK263-AK262,"")</f>
        <v/>
      </c>
      <c r="AL264" s="42" t="n"/>
      <c r="AM264" s="3" t="str">
        <f>IFERROR(AK264+AM263-AM262,"")</f>
        <v/>
      </c>
      <c r="AN264" s="3" t="str">
        <f>IFERROR(AM264+AN263-AN262,"")</f>
        <v/>
      </c>
      <c r="AO264" s="69" t="str">
        <f>IFERROR(AM264+AO263-AO262,"")</f>
        <v/>
      </c>
      <c r="AP264" s="69" t="str">
        <f>IFERROR(AO264+AP263-AP262,"")</f>
        <v/>
      </c>
      <c r="AQ264" s="42" t="n"/>
      <c r="AR264" s="3" t="str">
        <f>IFERROR(AP264+AR263-AR262,"")</f>
        <v/>
      </c>
      <c r="AS264" s="3" t="str">
        <f>IFERROR(AR264+AS263-AS262,"")</f>
        <v/>
      </c>
      <c r="AT264" s="69" t="str">
        <f>IFERROR(AR264+AT263-AT262,"")</f>
        <v/>
      </c>
      <c r="AU264" s="69" t="str">
        <f>IFERROR(AT264+AU263-AU262,"")</f>
        <v/>
      </c>
      <c r="AV264" s="42" t="n"/>
      <c r="AW264" s="3" t="str">
        <f>IFERROR(AU264+AW263-AW262,"")</f>
        <v/>
      </c>
      <c r="AX264" s="3" t="str">
        <f>IFERROR(AW264+AX263-AX262,"")</f>
        <v/>
      </c>
      <c r="AY264" s="69" t="str">
        <f>IFERROR(AW264+AY263-AY262,"")</f>
        <v/>
      </c>
      <c r="AZ264" s="69" t="str">
        <f>IFERROR(AY264+AZ263-AZ262,"")</f>
        <v/>
      </c>
      <c r="BA264" s="42" t="n"/>
      <c r="BB264" s="3" t="str">
        <f>IFERROR(AZ264+BB263-BB262,"")</f>
        <v/>
      </c>
      <c r="BC264" s="3" t="str">
        <f>IFERROR(BB264+BC263-BC262,"")</f>
        <v/>
      </c>
      <c r="BD264" s="69" t="str">
        <f>IFERROR(BB264+BD263-BD262,"")</f>
        <v/>
      </c>
      <c r="BE264" s="69" t="str">
        <f>IFERROR(BD264+BE263-BE262,"")</f>
        <v/>
      </c>
      <c r="BF264" s="42" t="n"/>
      <c r="BG264" s="3" t="n"/>
      <c r="BH264" s="3" t="n"/>
      <c r="BI264" s="69" t="n"/>
      <c r="BJ264" s="69" t="n"/>
      <c r="BK264" s="42" t="n"/>
      <c r="BL264" s="3" t="n"/>
      <c r="BM264" s="3" t="n"/>
      <c r="BN264" s="69" t="n"/>
      <c r="BO264" s="69" t="n"/>
      <c r="BP264" s="42" t="n"/>
      <c r="BQ264" s="3" t="n"/>
      <c r="BR264" s="3" t="n"/>
      <c r="BS264" s="69" t="n"/>
      <c r="BT264" s="69" t="n"/>
      <c r="BU264" s="42" t="n"/>
      <c r="BV264" s="3" t="n"/>
      <c r="BW264" s="3" t="n"/>
      <c r="BX264" s="69" t="n"/>
      <c r="BY264" s="69" t="n"/>
      <c r="BZ264" s="42" t="n"/>
      <c r="CA264" s="3" t="n"/>
      <c r="CB264" s="3" t="n"/>
      <c r="CC264" s="69" t="n"/>
      <c r="CD264" s="69" t="n"/>
      <c r="CE264" s="42" t="n"/>
      <c r="CF264" s="3" t="n"/>
      <c r="CG264" s="3" t="n"/>
      <c r="CH264" s="69" t="n"/>
      <c r="CI264" s="69" t="n"/>
      <c r="CJ264" s="42" t="n"/>
      <c r="CK264" s="3" t="n"/>
      <c r="CL264" s="3" t="n"/>
      <c r="CM264" s="69" t="n"/>
      <c r="CN264" s="69" t="n"/>
      <c r="CO264" s="42" t="n"/>
      <c r="CP264" s="3" t="n"/>
      <c r="CQ264" s="3" t="n"/>
      <c r="CR264" s="69" t="n"/>
      <c r="CS264" s="69" t="n"/>
      <c r="CT264" s="42" t="n"/>
      <c r="CU264" s="3" t="n"/>
      <c r="CV264" s="3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inlineStr">
        <is>
          <t>Weighted average basic shares outstanding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69" t="str">
        <f>IFERROR(AVERAGE(AG264,AH264),"")</f>
        <v/>
      </c>
      <c r="AI265" s="69" t="str">
        <f>IFERROR(AVERAGE(AH264,AI264),"")</f>
        <v/>
      </c>
      <c r="AJ265" s="69" t="str">
        <f>IFERROR(AVERAGE(AH264,AJ264),"")</f>
        <v/>
      </c>
      <c r="AK265" s="69" t="str">
        <f>IFERROR(AVERAGE(AJ264,AK264),"")</f>
        <v/>
      </c>
      <c r="AL265" s="42" t="n"/>
      <c r="AM265" s="69" t="str">
        <f>IFERROR(AVERAGE(AL264,AM264),"")</f>
        <v/>
      </c>
      <c r="AN265" s="69" t="str">
        <f>IFERROR(AVERAGE(AM264,AN264),"")</f>
        <v/>
      </c>
      <c r="AO265" s="69" t="str">
        <f>IFERROR(AVERAGE(AM264,AO264),"")</f>
        <v/>
      </c>
      <c r="AP265" s="69" t="str">
        <f>IFERROR(AVERAGE(AO264,AP264),"")</f>
        <v/>
      </c>
      <c r="AQ265" s="42" t="n"/>
      <c r="AR265" s="69" t="str">
        <f>IFERROR(AVERAGE(AQ264,AR264),"")</f>
        <v/>
      </c>
      <c r="AS265" s="69" t="str">
        <f>IFERROR(AVERAGE(AR264,AS264),"")</f>
        <v/>
      </c>
      <c r="AT265" s="69" t="str">
        <f>IFERROR(AVERAGE(AR264,AT264),"")</f>
        <v/>
      </c>
      <c r="AU265" s="69" t="str">
        <f>IFERROR(AVERAGE(AT264,AU264),"")</f>
        <v/>
      </c>
      <c r="AV265" s="42" t="n"/>
      <c r="AW265" s="69" t="str">
        <f>IFERROR(AVERAGE(AV264,AW264),"")</f>
        <v/>
      </c>
      <c r="AX265" s="69" t="str">
        <f>IFERROR(AVERAGE(AW264,AX264),"")</f>
        <v/>
      </c>
      <c r="AY265" s="69" t="str">
        <f>IFERROR(AVERAGE(AW264,AY264),"")</f>
        <v/>
      </c>
      <c r="AZ265" s="69" t="str">
        <f>IFERROR(AVERAGE(AY264,AZ264),"")</f>
        <v/>
      </c>
      <c r="BA265" s="42" t="n"/>
      <c r="BB265" s="69" t="str">
        <f>IFERROR(AVERAGE(BA264,BB264),"")</f>
        <v/>
      </c>
      <c r="BC265" s="69" t="str">
        <f>IFERROR(AVERAGE(BB264,BC264),"")</f>
        <v/>
      </c>
      <c r="BD265" s="69" t="str">
        <f>IFERROR(AVERAGE(BB264,BD264),"")</f>
        <v/>
      </c>
      <c r="BE265" s="69" t="str">
        <f>IFERROR(AVERAGE(BD264,BE264),"")</f>
        <v/>
      </c>
      <c r="BF265" s="42" t="n"/>
      <c r="BG265" s="69" t="n"/>
      <c r="BH265" s="69" t="n"/>
      <c r="BI265" s="69" t="n"/>
      <c r="BJ265" s="69" t="n"/>
      <c r="BK265" s="42" t="n"/>
      <c r="BL265" s="69" t="n"/>
      <c r="BM265" s="69" t="n"/>
      <c r="BN265" s="69" t="n"/>
      <c r="BO265" s="69" t="n"/>
      <c r="BP265" s="42" t="n"/>
      <c r="BQ265" s="69" t="n"/>
      <c r="BR265" s="69" t="n"/>
      <c r="BS265" s="69" t="n"/>
      <c r="BT265" s="69" t="n"/>
      <c r="BU265" s="42" t="n"/>
      <c r="BV265" s="69" t="n"/>
      <c r="BW265" s="69" t="n"/>
      <c r="BX265" s="69" t="n"/>
      <c r="BY265" s="69" t="n"/>
      <c r="BZ265" s="42" t="n"/>
      <c r="CA265" s="69" t="n"/>
      <c r="CB265" s="69" t="n"/>
      <c r="CC265" s="69" t="n"/>
      <c r="CD265" s="69" t="n"/>
      <c r="CE265" s="42" t="n"/>
      <c r="CF265" s="69" t="n"/>
      <c r="CG265" s="69" t="n"/>
      <c r="CH265" s="69" t="n"/>
      <c r="CI265" s="69" t="n"/>
      <c r="CJ265" s="42" t="n"/>
      <c r="CK265" s="69" t="n"/>
      <c r="CL265" s="69" t="n"/>
      <c r="CM265" s="69" t="n"/>
      <c r="CN265" s="69" t="n"/>
      <c r="CO265" s="42" t="n"/>
      <c r="CP265" s="69" t="n"/>
      <c r="CQ265" s="69" t="n"/>
      <c r="CR265" s="69" t="n"/>
      <c r="CS265" s="69" t="n"/>
      <c r="CT265" s="42" t="n"/>
      <c r="CU265" s="69" t="n"/>
      <c r="CV265" s="69" t="n"/>
      <c r="CW265" s="69" t="n"/>
      <c r="CX265" s="69" t="n"/>
      <c r="CY265" s="42" t="n"/>
    </row>
    <row r="266" hidden="1" outlineLevel="1" customFormat="1" s="66">
      <c r="A266" s="37" t="n"/>
      <c r="B266" s="37" t="n"/>
      <c r="C266" s="67" t="n"/>
      <c r="D266" s="42" t="n"/>
      <c r="E266" s="42" t="n"/>
      <c r="F266" s="42" t="n"/>
      <c r="G266" s="42" t="n"/>
      <c r="H266" s="12" t="n"/>
      <c r="I266" s="42" t="n"/>
      <c r="J266" s="42" t="n"/>
      <c r="K266" s="42" t="n"/>
      <c r="L266" s="42" t="n"/>
      <c r="M266" s="12" t="n"/>
      <c r="N266" s="42" t="n"/>
      <c r="O266" s="42" t="n"/>
      <c r="P266" s="42" t="n"/>
      <c r="Q266" s="42" t="n"/>
      <c r="R266" s="12" t="n"/>
      <c r="S266" s="42" t="n"/>
      <c r="T266" s="42" t="n"/>
      <c r="U266" s="42" t="n"/>
      <c r="V266" s="42" t="n"/>
      <c r="W266" s="12" t="n"/>
      <c r="X266" s="42" t="n"/>
      <c r="Y266" s="42" t="n"/>
      <c r="Z266" s="42" t="n"/>
      <c r="AA266" s="42" t="n"/>
      <c r="AB266" s="12" t="n"/>
      <c r="AC266" s="42" t="n"/>
      <c r="AD266" s="42" t="n"/>
      <c r="AE266" s="42" t="n"/>
      <c r="AF266" s="42" t="n"/>
      <c r="AG266" s="12" t="n"/>
      <c r="AH266" s="42" t="n"/>
      <c r="AI266" s="42" t="n"/>
      <c r="AJ266" s="42" t="n"/>
      <c r="AK266" s="42" t="n"/>
      <c r="AL266" s="12" t="n"/>
      <c r="AM266" s="42" t="n"/>
      <c r="AN266" s="42" t="n"/>
      <c r="AO266" s="42" t="n"/>
      <c r="AP266" s="42" t="n"/>
      <c r="AQ266" s="12" t="n"/>
      <c r="AR266" s="42" t="n"/>
      <c r="AS266" s="42" t="n"/>
      <c r="AT266" s="42" t="n"/>
      <c r="AU266" s="42" t="n"/>
      <c r="AV266" s="12" t="n"/>
      <c r="AW266" s="42" t="n"/>
      <c r="AX266" s="42" t="n"/>
      <c r="AY266" s="42" t="n"/>
      <c r="AZ266" s="42" t="n"/>
      <c r="BA266" s="12" t="n"/>
      <c r="BB266" s="42" t="n"/>
      <c r="BC266" s="42" t="n"/>
      <c r="BD266" s="42" t="n"/>
      <c r="BE266" s="42" t="n"/>
      <c r="BF266" s="12" t="n"/>
      <c r="BG266" s="42" t="n"/>
      <c r="BH266" s="42" t="n"/>
      <c r="BI266" s="42" t="n"/>
      <c r="BJ266" s="42" t="n"/>
      <c r="BK266" s="12" t="n"/>
      <c r="BL266" s="42" t="n"/>
      <c r="BM266" s="42" t="n"/>
      <c r="BN266" s="42" t="n"/>
      <c r="BO266" s="42" t="n"/>
      <c r="BP266" s="12" t="n"/>
      <c r="BQ266" s="42" t="n"/>
      <c r="BR266" s="42" t="n"/>
      <c r="BS266" s="42" t="n"/>
      <c r="BT266" s="42" t="n"/>
      <c r="BU266" s="12" t="n"/>
      <c r="BV266" s="42" t="n"/>
      <c r="BW266" s="42" t="n"/>
      <c r="BX266" s="42" t="n"/>
      <c r="BY266" s="42" t="n"/>
      <c r="BZ266" s="12" t="n"/>
      <c r="CA266" s="42" t="n"/>
      <c r="CB266" s="42" t="n"/>
      <c r="CC266" s="42" t="n"/>
      <c r="CD266" s="42" t="n"/>
      <c r="CE266" s="12" t="n"/>
      <c r="CF266" s="42" t="n"/>
      <c r="CG266" s="42" t="n"/>
      <c r="CH266" s="42" t="n"/>
      <c r="CI266" s="42" t="n"/>
      <c r="CJ266" s="12" t="n"/>
      <c r="CK266" s="42" t="n"/>
      <c r="CL266" s="42" t="n"/>
      <c r="CM266" s="42" t="n"/>
      <c r="CN266" s="42" t="n"/>
      <c r="CO266" s="12" t="n"/>
      <c r="CP266" s="42" t="n"/>
      <c r="CQ266" s="42" t="n"/>
      <c r="CR266" s="42" t="n"/>
      <c r="CS266" s="42" t="n"/>
      <c r="CT266" s="12" t="n"/>
      <c r="CU266" s="42" t="n"/>
      <c r="CV266" s="42" t="n"/>
      <c r="CW266" s="42" t="n"/>
      <c r="CX266" s="42" t="n"/>
      <c r="CY266" s="12" t="n"/>
    </row>
    <row r="267" collapsed="1">
      <c r="C267" s="14" t="inlineStr">
        <is>
          <t>Treasury stock (contra account)</t>
        </is>
      </c>
      <c r="D267" s="46" t="n"/>
      <c r="E267" s="46" t="n"/>
      <c r="F267" s="46" t="n"/>
      <c r="G267" s="46" t="n"/>
      <c r="H267" s="12" t="n"/>
      <c r="I267" s="46">
        <f>'Inputs (2)'!D44</f>
        <v>0</v>
      </c>
      <c r="J267" s="46">
        <f>'Inputs (2)'!E44</f>
        <v>0</v>
      </c>
      <c r="K267" s="46">
        <f>'Inputs (2)'!F44</f>
        <v>0</v>
      </c>
      <c r="L267" s="46">
        <f>'Inputs (2)'!G44</f>
        <v>0</v>
      </c>
      <c r="M267" s="12">
        <f>'Inputs (2)'!H44</f>
        <v>0</v>
      </c>
      <c r="N267" s="46">
        <f>'Inputs (2)'!I44</f>
        <v>0</v>
      </c>
      <c r="O267" s="46">
        <f>'Inputs (2)'!J44</f>
        <v>0</v>
      </c>
      <c r="P267" s="46">
        <f>'Inputs (2)'!K44</f>
        <v>0</v>
      </c>
      <c r="Q267" s="46">
        <f>'Inputs (2)'!L44</f>
        <v>0</v>
      </c>
      <c r="R267" s="12">
        <f>'Inputs (2)'!M44</f>
        <v>0</v>
      </c>
      <c r="S267" s="46">
        <f>'Inputs (2)'!N44</f>
        <v>0</v>
      </c>
      <c r="T267" s="46">
        <f>'Inputs (2)'!O44</f>
        <v>0</v>
      </c>
      <c r="U267" s="46">
        <f>'Inputs (2)'!P44</f>
        <v>0</v>
      </c>
      <c r="V267" s="46">
        <f>'Inputs (2)'!Q44</f>
        <v>0</v>
      </c>
      <c r="W267" s="12">
        <f>'Inputs (2)'!R44</f>
        <v>0</v>
      </c>
      <c r="X267" s="46">
        <f>'Inputs (2)'!S44</f>
        <v>0</v>
      </c>
      <c r="Y267" s="46">
        <f>'Inputs (2)'!T44</f>
        <v>0</v>
      </c>
      <c r="Z267" s="46">
        <f>'Inputs (2)'!U44</f>
        <v>0</v>
      </c>
      <c r="AA267" s="46">
        <f>'Inputs (2)'!V44</f>
        <v>0</v>
      </c>
      <c r="AB267" s="12">
        <f>'Inputs (2)'!W44</f>
        <v>0</v>
      </c>
      <c r="AC267" s="46">
        <f>'Inputs (2)'!X44</f>
        <v>0</v>
      </c>
      <c r="AD267" s="46">
        <f>'Inputs (2)'!Y44</f>
        <v>0</v>
      </c>
      <c r="AE267" s="46">
        <f>'Inputs (2)'!Z44</f>
        <v>0</v>
      </c>
      <c r="AF267" s="46">
        <f>'Inputs (2)'!AA44</f>
        <v>0</v>
      </c>
      <c r="AG267" s="12">
        <f>'Inputs (2)'!AB44</f>
        <v>0</v>
      </c>
      <c r="AH267" s="12">
        <f>'Inputs (2)'!AC44</f>
        <v>0</v>
      </c>
      <c r="AI267" s="12">
        <f>'Inputs (2)'!AD44</f>
        <v>0</v>
      </c>
      <c r="AJ267" s="12">
        <f>AI267</f>
        <v>0</v>
      </c>
      <c r="AK267" s="12">
        <f>AJ267</f>
        <v>0</v>
      </c>
      <c r="AL267" s="12">
        <f>AK267</f>
        <v>0</v>
      </c>
      <c r="AM267" s="12">
        <f>AL267</f>
        <v>0</v>
      </c>
      <c r="AN267" s="12">
        <f>AM267</f>
        <v>0</v>
      </c>
      <c r="AO267" s="12">
        <f>AN267</f>
        <v>0</v>
      </c>
      <c r="AP267" s="12">
        <f>AO267</f>
        <v>0</v>
      </c>
      <c r="AQ267" s="12">
        <f>AP267</f>
        <v>0</v>
      </c>
      <c r="AR267" s="12">
        <f>AQ267</f>
        <v>0</v>
      </c>
      <c r="AS267" s="12">
        <f>AR267</f>
        <v>0</v>
      </c>
      <c r="AT267" s="12">
        <f>AS267</f>
        <v>0</v>
      </c>
      <c r="AU267" s="12">
        <f>AT267</f>
        <v>0</v>
      </c>
      <c r="AV267" s="12">
        <f>AU267</f>
        <v>0</v>
      </c>
      <c r="AW267" s="12">
        <f>AV267</f>
        <v>0</v>
      </c>
      <c r="AX267" s="12">
        <f>AW267</f>
        <v>0</v>
      </c>
      <c r="AY267" s="12">
        <f>AX267</f>
        <v>0</v>
      </c>
      <c r="AZ267" s="12">
        <f>AY267</f>
        <v>0</v>
      </c>
      <c r="BA267" s="12">
        <f>AZ267</f>
        <v>0</v>
      </c>
      <c r="BB267" s="12">
        <f>BA267</f>
        <v>0</v>
      </c>
      <c r="BC267" s="12">
        <f>BB267</f>
        <v>0</v>
      </c>
      <c r="BD267" s="12">
        <f>BC267</f>
        <v>0</v>
      </c>
      <c r="BE267" s="12">
        <f>BD267</f>
        <v>0</v>
      </c>
      <c r="BF267" s="12">
        <f>BE267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>
      <c r="C268" s="14" t="inlineStr">
        <is>
          <t>Comprehensive (accumulated) loss</t>
        </is>
      </c>
      <c r="D268" s="46" t="n"/>
      <c r="E268" s="46" t="n"/>
      <c r="F268" s="46" t="n"/>
      <c r="G268" s="46" t="n"/>
      <c r="H268" s="12" t="n"/>
      <c r="I268" s="46">
        <f>'Inputs (2)'!D45</f>
        <v>10.359</v>
      </c>
      <c r="J268" s="46">
        <f>'Inputs (2)'!E45</f>
        <v>10.359</v>
      </c>
      <c r="K268" s="46">
        <f>'Inputs (2)'!F45</f>
        <v>10.359</v>
      </c>
      <c r="L268" s="46">
        <f>'Inputs (2)'!G45</f>
        <v>10.359</v>
      </c>
      <c r="M268" s="12">
        <f>'Inputs (2)'!H45</f>
        <v>10.359</v>
      </c>
      <c r="N268" s="46">
        <f>'Inputs (2)'!I45</f>
        <v>10.359</v>
      </c>
      <c r="O268" s="46">
        <f>'Inputs (2)'!J45</f>
        <v>8.763</v>
      </c>
      <c r="P268" s="46">
        <f>'Inputs (2)'!K45</f>
        <v>17.461</v>
      </c>
      <c r="Q268" s="46">
        <f>'Inputs (2)'!L45</f>
        <v>325.895</v>
      </c>
      <c r="R268" s="12">
        <f>'Inputs (2)'!M45</f>
        <v>325.895</v>
      </c>
      <c r="S268" s="46">
        <f>'Inputs (2)'!N45</f>
        <v>10.359</v>
      </c>
      <c r="T268" s="46">
        <f>'Inputs (2)'!O45</f>
        <v>10.359</v>
      </c>
      <c r="U268" s="46">
        <f>'Inputs (2)'!P45</f>
        <v>10.359</v>
      </c>
      <c r="V268" s="46">
        <f>'Inputs (2)'!Q45</f>
        <v>10.359</v>
      </c>
      <c r="W268" s="12">
        <f>'Inputs (2)'!R45</f>
        <v>10.359</v>
      </c>
      <c r="X268" s="46">
        <f>'Inputs (2)'!S45</f>
        <v>10.359</v>
      </c>
      <c r="Y268" s="46">
        <f>'Inputs (2)'!T45</f>
        <v>17.026</v>
      </c>
      <c r="Z268" s="46">
        <f>'Inputs (2)'!U45</f>
        <v>10.359</v>
      </c>
      <c r="AA268" s="46">
        <f>'Inputs (2)'!V45</f>
        <v>21.613</v>
      </c>
      <c r="AB268" s="12">
        <f>'Inputs (2)'!W45</f>
        <v>21.613</v>
      </c>
      <c r="AC268" s="46">
        <f>'Inputs (2)'!X45</f>
        <v>21.613</v>
      </c>
      <c r="AD268" s="46">
        <f>'Inputs (2)'!Y45</f>
        <v>21.613</v>
      </c>
      <c r="AE268" s="46">
        <f>'Inputs (2)'!Z45</f>
        <v>21.613</v>
      </c>
      <c r="AF268" s="46">
        <f>'Inputs (2)'!AA45</f>
        <v>21.613</v>
      </c>
      <c r="AG268" s="12">
        <f>'Inputs (2)'!AB45</f>
        <v>21.613</v>
      </c>
      <c r="AH268" s="12">
        <f>'Inputs (2)'!AC45</f>
        <v>21.613</v>
      </c>
      <c r="AI268" s="12">
        <f>'Inputs (2)'!AD45</f>
        <v>-82.535</v>
      </c>
      <c r="AJ268" s="12">
        <f>AI268</f>
        <v>-82.535</v>
      </c>
      <c r="AK268" s="12">
        <f>AJ268</f>
        <v>-82.535</v>
      </c>
      <c r="AL268" s="12">
        <f>AK268</f>
        <v>-82.535</v>
      </c>
      <c r="AM268" s="12">
        <f>AL268</f>
        <v>-82.535</v>
      </c>
      <c r="AN268" s="12">
        <f>AM268</f>
        <v>-82.535</v>
      </c>
      <c r="AO268" s="12">
        <f>AN268</f>
        <v>-82.535</v>
      </c>
      <c r="AP268" s="12">
        <f>AO268</f>
        <v>-82.535</v>
      </c>
      <c r="AQ268" s="12">
        <f>AP268</f>
        <v>-82.535</v>
      </c>
      <c r="AR268" s="12">
        <f>AQ268</f>
        <v>-82.535</v>
      </c>
      <c r="AS268" s="12">
        <f>AR268</f>
        <v>-82.535</v>
      </c>
      <c r="AT268" s="12">
        <f>AS268</f>
        <v>-82.535</v>
      </c>
      <c r="AU268" s="12">
        <f>AT268</f>
        <v>-82.535</v>
      </c>
      <c r="AV268" s="12">
        <f>AU268</f>
        <v>-82.535</v>
      </c>
      <c r="AW268" s="12">
        <f>AV268</f>
        <v>-82.535</v>
      </c>
      <c r="AX268" s="12">
        <f>AW268</f>
        <v>-82.535</v>
      </c>
      <c r="AY268" s="12">
        <f>AX268</f>
        <v>-82.535</v>
      </c>
      <c r="AZ268" s="12">
        <f>AY268</f>
        <v>-82.535</v>
      </c>
      <c r="BA268" s="12">
        <f>AZ268</f>
        <v>-82.535</v>
      </c>
      <c r="BB268" s="12">
        <f>BA268</f>
        <v>-82.535</v>
      </c>
      <c r="BC268" s="12">
        <f>BB268</f>
        <v>-82.535</v>
      </c>
      <c r="BD268" s="12">
        <f>BC268</f>
        <v>-82.535</v>
      </c>
      <c r="BE268" s="12">
        <f>BD268</f>
        <v>-82.535</v>
      </c>
      <c r="BF268" s="12">
        <f>BE268</f>
        <v>-82.535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>
      <c r="C269" s="14" t="inlineStr">
        <is>
          <t>Other equity account</t>
        </is>
      </c>
      <c r="D269" s="46" t="n"/>
      <c r="E269" s="46" t="n"/>
      <c r="F269" s="46" t="n"/>
      <c r="G269" s="46" t="n"/>
      <c r="H269" s="12" t="n"/>
      <c r="I269" s="46">
        <f>'Inputs (2)'!D46</f>
        <v>0</v>
      </c>
      <c r="J269" s="46">
        <f>'Inputs (2)'!E46</f>
        <v>0</v>
      </c>
      <c r="K269" s="46">
        <f>'Inputs (2)'!F46</f>
        <v>0</v>
      </c>
      <c r="L269" s="46">
        <f>'Inputs (2)'!G46</f>
        <v>0</v>
      </c>
      <c r="M269" s="12">
        <f>'Inputs (2)'!H46</f>
        <v>0</v>
      </c>
      <c r="N269" s="46">
        <f>'Inputs (2)'!I46</f>
        <v>0</v>
      </c>
      <c r="O269" s="46">
        <f>'Inputs (2)'!J46</f>
        <v>0</v>
      </c>
      <c r="P269" s="46">
        <f>'Inputs (2)'!K46</f>
        <v>0</v>
      </c>
      <c r="Q269" s="46">
        <f>'Inputs (2)'!L46</f>
        <v>0</v>
      </c>
      <c r="R269" s="12">
        <f>'Inputs (2)'!M46</f>
        <v>0</v>
      </c>
      <c r="S269" s="46">
        <f>'Inputs (2)'!N46</f>
        <v>0</v>
      </c>
      <c r="T269" s="46">
        <f>'Inputs (2)'!O46</f>
        <v>0</v>
      </c>
      <c r="U269" s="46">
        <f>'Inputs (2)'!P46</f>
        <v>0</v>
      </c>
      <c r="V269" s="46">
        <f>'Inputs (2)'!Q46</f>
        <v>0</v>
      </c>
      <c r="W269" s="12">
        <f>'Inputs (2)'!R46</f>
        <v>0</v>
      </c>
      <c r="X269" s="46">
        <f>'Inputs (2)'!S46</f>
        <v>0</v>
      </c>
      <c r="Y269" s="46">
        <f>'Inputs (2)'!T46</f>
        <v>0</v>
      </c>
      <c r="Z269" s="46">
        <f>'Inputs (2)'!U46</f>
        <v>6.667</v>
      </c>
      <c r="AA269" s="46">
        <f>'Inputs (2)'!V46</f>
        <v>0</v>
      </c>
      <c r="AB269" s="12">
        <f>'Inputs (2)'!W46</f>
        <v>0</v>
      </c>
      <c r="AC269" s="46">
        <f>'Inputs (2)'!X46</f>
        <v>0</v>
      </c>
      <c r="AD269" s="46">
        <f>'Inputs (2)'!Y46</f>
        <v>0</v>
      </c>
      <c r="AE269" s="46">
        <f>'Inputs (2)'!Z46</f>
        <v>0</v>
      </c>
      <c r="AF269" s="46">
        <f>'Inputs (2)'!AA46</f>
        <v>0</v>
      </c>
      <c r="AG269" s="12">
        <f>'Inputs (2)'!AB46</f>
        <v>0</v>
      </c>
      <c r="AH269" s="12">
        <f>'Inputs (2)'!AC46</f>
        <v>0</v>
      </c>
      <c r="AI269" s="12">
        <f>'Inputs (2)'!AD46</f>
        <v>0</v>
      </c>
      <c r="AJ269" s="12">
        <f>AI269</f>
        <v>0</v>
      </c>
      <c r="AK269" s="12">
        <f>AJ269</f>
        <v>0</v>
      </c>
      <c r="AL269" s="12">
        <f>AK269</f>
        <v>0</v>
      </c>
      <c r="AM269" s="12">
        <f>AL269</f>
        <v>0</v>
      </c>
      <c r="AN269" s="12">
        <f>AM269</f>
        <v>0</v>
      </c>
      <c r="AO269" s="12">
        <f>AN269</f>
        <v>0</v>
      </c>
      <c r="AP269" s="12">
        <f>AO269</f>
        <v>0</v>
      </c>
      <c r="AQ269" s="12">
        <f>AP269</f>
        <v>0</v>
      </c>
      <c r="AR269" s="12">
        <f>AQ269</f>
        <v>0</v>
      </c>
      <c r="AS269" s="12">
        <f>AR269</f>
        <v>0</v>
      </c>
      <c r="AT269" s="12">
        <f>AS269</f>
        <v>0</v>
      </c>
      <c r="AU269" s="12">
        <f>AT269</f>
        <v>0</v>
      </c>
      <c r="AV269" s="12">
        <f>AU269</f>
        <v>0</v>
      </c>
      <c r="AW269" s="12">
        <f>AV269</f>
        <v>0</v>
      </c>
      <c r="AX269" s="12">
        <f>AW269</f>
        <v>0</v>
      </c>
      <c r="AY269" s="12">
        <f>AX269</f>
        <v>0</v>
      </c>
      <c r="AZ269" s="12">
        <f>AY269</f>
        <v>0</v>
      </c>
      <c r="BA269" s="12">
        <f>AZ269</f>
        <v>0</v>
      </c>
      <c r="BB269" s="12">
        <f>BA269</f>
        <v>0</v>
      </c>
      <c r="BC269" s="12">
        <f>BB269</f>
        <v>0</v>
      </c>
      <c r="BD269" s="12">
        <f>BC269</f>
        <v>0</v>
      </c>
      <c r="BE269" s="12">
        <f>BD269</f>
        <v>0</v>
      </c>
      <c r="BF269" s="12">
        <f>BE269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5" t="inlineStr">
        <is>
          <t>Retained earnings</t>
        </is>
      </c>
      <c r="D270" s="46" t="n"/>
      <c r="E270" s="46" t="n"/>
      <c r="F270" s="46" t="n"/>
      <c r="G270" s="46" t="n"/>
      <c r="H270" s="12" t="n"/>
      <c r="I270" s="46">
        <f>'Inputs (2)'!D47</f>
        <v>-455.462</v>
      </c>
      <c r="J270" s="46">
        <f>'Inputs (2)'!E47</f>
        <v>-450.051</v>
      </c>
      <c r="K270" s="46">
        <f>'Inputs (2)'!F47</f>
        <v>-452.259</v>
      </c>
      <c r="L270" s="46">
        <f>'Inputs (2)'!G47</f>
        <v>-470.911</v>
      </c>
      <c r="M270" s="12">
        <f>'Inputs (2)'!H47</f>
        <v>-470.911</v>
      </c>
      <c r="N270" s="46">
        <f>'Inputs (2)'!I47</f>
        <v>-491.058</v>
      </c>
      <c r="O270" s="46">
        <f>'Inputs (2)'!J47</f>
        <v>-503.028</v>
      </c>
      <c r="P270" s="46">
        <f>'Inputs (2)'!K47</f>
        <v>-534.121</v>
      </c>
      <c r="Q270" s="46">
        <f>'Inputs (2)'!L47</f>
        <v>-888.858</v>
      </c>
      <c r="R270" s="12">
        <f>'Inputs (2)'!M47</f>
        <v>-888.858</v>
      </c>
      <c r="S270" s="46">
        <f>'Inputs (2)'!N47</f>
        <v>-933.931</v>
      </c>
      <c r="T270" s="46">
        <f>'Inputs (2)'!O47</f>
        <v>-939.08</v>
      </c>
      <c r="U270" s="46">
        <f>'Inputs (2)'!P47</f>
        <v>-937.229</v>
      </c>
      <c r="V270" s="46">
        <f>'Inputs (2)'!Q47</f>
        <v>-848.743</v>
      </c>
      <c r="W270" s="12">
        <f>'Inputs (2)'!R47</f>
        <v>-848.743</v>
      </c>
      <c r="X270" s="46">
        <f>'Inputs (2)'!S47</f>
        <v>-823.2</v>
      </c>
      <c r="Y270" s="46">
        <f>'Inputs (2)'!T47</f>
        <v>-814.394</v>
      </c>
      <c r="Z270" s="46">
        <f>'Inputs (2)'!U47</f>
        <v>-777.31</v>
      </c>
      <c r="AA270" s="46">
        <f>'Inputs (2)'!V47</f>
        <v>-787.846</v>
      </c>
      <c r="AB270" s="12">
        <f>'Inputs (2)'!W47</f>
        <v>-787.846</v>
      </c>
      <c r="AC270" s="46">
        <f>'Inputs (2)'!X47</f>
        <v>-794.168</v>
      </c>
      <c r="AD270" s="46">
        <f>'Inputs (2)'!Y47</f>
        <v>-770.322</v>
      </c>
      <c r="AE270" s="46">
        <f>'Inputs (2)'!Z47</f>
        <v>-747.034</v>
      </c>
      <c r="AF270" s="46">
        <f>'Inputs (2)'!AA47</f>
        <v>-727.704</v>
      </c>
      <c r="AG270" s="12">
        <f>'Inputs (2)'!AB47</f>
        <v>-727.704</v>
      </c>
      <c r="AH270" s="12">
        <f>'Inputs (2)'!AC47</f>
        <v>-708.92</v>
      </c>
      <c r="AI270" s="12">
        <f>'Inputs (2)'!AD47</f>
        <v>-720.067</v>
      </c>
      <c r="AJ270" s="12">
        <f>AI270+AJ137+AJ138</f>
        <v>-1255.90538923108</v>
      </c>
      <c r="AK270" s="12">
        <f>AJ270+AK137+AK138</f>
        <v>-1759.82607529861</v>
      </c>
      <c r="AL270" s="12">
        <f>AK270</f>
        <v>-1759.82607529861</v>
      </c>
      <c r="AM270" s="12">
        <f>AL270+AM137+AM138</f>
        <v>-2391.04198190978</v>
      </c>
      <c r="AN270" s="12">
        <f>AM270+AN137+AN138</f>
        <v>-3578.51552396682</v>
      </c>
      <c r="AO270" s="12">
        <f>AN270+AO137+AO138</f>
        <v>-4327.6944906936</v>
      </c>
      <c r="AP270" s="12">
        <f>AO270+AP137+AP138</f>
        <v>-5032.24792786345</v>
      </c>
      <c r="AQ270" s="12">
        <f>AP270</f>
        <v>-5032.24792786345</v>
      </c>
      <c r="AR270" s="12">
        <f>AQ270+AR137+AR138</f>
        <v>-5911.62227205583</v>
      </c>
      <c r="AS270" s="12">
        <f>AR270+AS137+AS138</f>
        <v>-7565.94333138784</v>
      </c>
      <c r="AT270" s="12">
        <f>AS270+AT137+AT138</f>
        <v>-8609.65714729126</v>
      </c>
      <c r="AU270" s="12">
        <f>AT270+AU137+AU138</f>
        <v>-9591.20119627763</v>
      </c>
      <c r="AV270" s="12">
        <f>AU270</f>
        <v>-9591.20119627763</v>
      </c>
      <c r="AW270" s="12">
        <f>AV270+AW137+AW138</f>
        <v>-10811.898985709</v>
      </c>
      <c r="AX270" s="12">
        <f>AW270+AX137+AX138</f>
        <v>-13108.3340289567</v>
      </c>
      <c r="AY270" s="12">
        <f>AX270+AY137+AY138</f>
        <v>-14557.1585896077</v>
      </c>
      <c r="AZ270" s="12">
        <f>AY270+AZ137+AZ138</f>
        <v>-15919.6825917465</v>
      </c>
      <c r="BA270" s="12">
        <f>AZ270</f>
        <v>-15919.6825917465</v>
      </c>
      <c r="BB270" s="12">
        <f>BA270+BB137+BB138</f>
        <v>-17608.0828178141</v>
      </c>
      <c r="BC270" s="12">
        <f>BB270+BC137+BC138</f>
        <v>-20784.3820457951</v>
      </c>
      <c r="BD270" s="12">
        <f>BC270+BD137+BD138</f>
        <v>-22788.3143351088</v>
      </c>
      <c r="BE270" s="12">
        <f>BD270+BE137+BE138</f>
        <v>-24672.8805669402</v>
      </c>
      <c r="BF270" s="12">
        <f>BE270</f>
        <v>-24672.8805669402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customFormat="1" s="32">
      <c r="A271" s="30" t="inlineStr">
        <is>
          <t xml:space="preserve"> </t>
        </is>
      </c>
      <c r="B271" s="30" t="n"/>
      <c r="C271" s="65" t="inlineStr">
        <is>
          <t>Total Shareholders' Equity</t>
        </is>
      </c>
      <c r="D271" s="35" t="n"/>
      <c r="E271" s="35" t="n"/>
      <c r="F271" s="35" t="n"/>
      <c r="G271" s="35" t="n"/>
      <c r="H271" s="35" t="n"/>
      <c r="I271" s="35">
        <f>SUM(I248+I253+I254+I267+I268+I269+I270)</f>
        <v>388.799</v>
      </c>
      <c r="J271" s="35">
        <f>SUM(J248+J253+J254+J267+J268+J269+J270)</f>
        <v>385.795</v>
      </c>
      <c r="K271" s="35">
        <f>SUM(K248+K253+K254+K267+K268+K269+K270)</f>
        <v>384.444</v>
      </c>
      <c r="L271" s="35">
        <f>SUM(L248+L253+L254+L267+L268+L269+L270)</f>
        <v>369.413</v>
      </c>
      <c r="M271" s="35">
        <f>SUM(M248,M253,M254,M267,M268,M269,M270)</f>
        <v>369.413</v>
      </c>
      <c r="N271" s="35">
        <f>SUM(N248+N253+N254+N267+N268+N269+N270)</f>
        <v>350.039</v>
      </c>
      <c r="O271" s="35">
        <f>SUM(O248+O253+O254+O267+O268+O269+O270)</f>
        <v>451.578</v>
      </c>
      <c r="P271" s="35">
        <f>SUM(P248+P253+P254+P267+P268+P269+P270)</f>
        <v>430.65</v>
      </c>
      <c r="Q271" s="35">
        <f>SUM(Q248+Q253+Q254+Q267+Q268+Q269+Q270)</f>
        <v>581.467</v>
      </c>
      <c r="R271" s="35">
        <f>SUM(R248,R253,R254,R267,R268,R269,R270)</f>
        <v>581.467</v>
      </c>
      <c r="S271" s="35">
        <f>SUM(S248+S253+S254+S267+S268+S269+S270)</f>
        <v>581.15</v>
      </c>
      <c r="T271" s="35">
        <f>SUM(T248+T253+T254+T267+T268+T269+T270)</f>
        <v>660.163</v>
      </c>
      <c r="U271" s="35">
        <f>SUM(U248+U253+U254+U267+U268+U269+U270)</f>
        <v>664.057</v>
      </c>
      <c r="V271" s="35">
        <f>SUM(V248+V253+V254+V267+V268+V269+V270)</f>
        <v>744.593</v>
      </c>
      <c r="W271" s="35">
        <f>SUM(W248,W253,W254,W267,W268,W269,W270)</f>
        <v>744.593</v>
      </c>
      <c r="X271" s="35">
        <f>SUM(X248+X253+X254+X267+X268+X269+X270)</f>
        <v>791.577</v>
      </c>
      <c r="Y271" s="35">
        <f>SUM(Y248+Y253+Y254+Y267+Y268+Y269+Y270)</f>
        <v>808.619</v>
      </c>
      <c r="Z271" s="35">
        <f>SUM(Z248+Z253+Z254+Z267+Z268+Z269+Z270)</f>
        <v>876.84</v>
      </c>
      <c r="AA271" s="35">
        <f>SUM(AA248+AA253+AA254+AA267+AA268+AA269+AA270)</f>
        <v>873.871</v>
      </c>
      <c r="AB271" s="35">
        <f>SUM(AB248,AB253,AB254,AB267,AB268,AB269,AB270)</f>
        <v>873.871</v>
      </c>
      <c r="AC271" s="35">
        <f>SUM(AC248+AC253+AC254+AC267+AC268+AC269+AC270)</f>
        <v>870.314</v>
      </c>
      <c r="AD271" s="35">
        <f>SUM(AD248+AD253+AD254+AD267+AD268+AD269+AD270)</f>
        <v>1504.243</v>
      </c>
      <c r="AE271" s="35">
        <f>SUM(AE248+AE253+AE254+AE267+AE268+AE269+AE270)</f>
        <v>1530.146</v>
      </c>
      <c r="AF271" s="35">
        <f>SUM(AF248+AF253+AF254+AF267+AF268+AF269+AF270)</f>
        <v>1551.637</v>
      </c>
      <c r="AG271" s="35">
        <f>SUM(AG248,AG253,AG254,AG267,AG268,AG269,AG270)</f>
        <v>1551.637</v>
      </c>
      <c r="AH271" s="35">
        <f>SUM(AH248+AH253+AH254+AH267+AH268+AH269+AH270)</f>
        <v>1573.365</v>
      </c>
      <c r="AI271" s="35">
        <f>SUM(AI248+AI253+AI254+AI267+AI268+AI269+AI270)</f>
        <v>5252.44</v>
      </c>
      <c r="AJ271" s="35">
        <f>SUM(AJ248+AJ253+AJ254+AJ267+AJ268+AJ269+AJ270)</f>
        <v>4716.60161076892</v>
      </c>
      <c r="AK271" s="35">
        <f>SUM(AK248+AK253+AK254+AK267+AK268+AK269+AK270)</f>
        <v>4212.68092470139</v>
      </c>
      <c r="AL271" s="35">
        <f>SUM(AL248,AL253,AL254,AL267,AL268,AL269,AL270)</f>
        <v>4212.68092470139</v>
      </c>
      <c r="AM271" s="35">
        <f>SUM(AM248+AM253+AM254+AM267+AM268+AM269+AM270)</f>
        <v>3581.46501809022</v>
      </c>
      <c r="AN271" s="35">
        <f>SUM(AN248+AN253+AN254+AN267+AN268+AN269+AN270)</f>
        <v>2393.99147603318</v>
      </c>
      <c r="AO271" s="35">
        <f>SUM(AO248+AO253+AO254+AO267+AO268+AO269+AO270)</f>
        <v>1644.8125093064</v>
      </c>
      <c r="AP271" s="35">
        <f>SUM(AP248+AP253+AP254+AP267+AP268+AP269+AP270)</f>
        <v>940.259072136551</v>
      </c>
      <c r="AQ271" s="35">
        <f>SUM(AQ248,AQ253,AQ254,AQ267,AQ268,AQ269,AQ270)</f>
        <v>940.25907213655</v>
      </c>
      <c r="AR271" s="35">
        <f>SUM(AR248+AR253+AR254+AR267+AR268+AR269+AR270)</f>
        <v>60.8847279441698</v>
      </c>
      <c r="AS271" s="35">
        <f>SUM(AS248+AS253+AS254+AS267+AS268+AS269+AS270)</f>
        <v>-1593.43633138784</v>
      </c>
      <c r="AT271" s="35">
        <f>SUM(AT248+AT253+AT254+AT267+AT268+AT269+AT270)</f>
        <v>-2637.15014729126</v>
      </c>
      <c r="AU271" s="35">
        <f>SUM(AU248+AU253+AU254+AU267+AU268+AU269+AU270)</f>
        <v>-3618.69419627762</v>
      </c>
      <c r="AV271" s="35">
        <f>SUM(AV248,AV253,AV254,AV267,AV268,AV269,AV270)</f>
        <v>-3618.69419627763</v>
      </c>
      <c r="AW271" s="35">
        <f>SUM(AW248+AW253+AW254+AW267+AW268+AW269+AW270)</f>
        <v>-4839.391985709</v>
      </c>
      <c r="AX271" s="35">
        <f>SUM(AX248+AX253+AX254+AX267+AX268+AX269+AX270)</f>
        <v>-7135.82702895671</v>
      </c>
      <c r="AY271" s="35">
        <f>SUM(AY248+AY253+AY254+AY267+AY268+AY269+AY270)</f>
        <v>-8584.65158960771</v>
      </c>
      <c r="AZ271" s="35">
        <f>SUM(AZ248+AZ253+AZ254+AZ267+AZ268+AZ269+AZ270)</f>
        <v>-9947.1755917465</v>
      </c>
      <c r="BA271" s="35">
        <f>SUM(BA248,BA253,BA254,BA267,BA268,BA269,BA270)</f>
        <v>-9947.1755917465</v>
      </c>
      <c r="BB271" s="35">
        <f>SUM(BB248+BB253+BB254+BB267+BB268+BB269+BB270)</f>
        <v>-11635.5758178141</v>
      </c>
      <c r="BC271" s="35">
        <f>SUM(BC248+BC253+BC254+BC267+BC268+BC269+BC270)</f>
        <v>-14811.8750457951</v>
      </c>
      <c r="BD271" s="35">
        <f>SUM(BD248+BD253+BD254+BD267+BD268+BD269+BD270)</f>
        <v>-16815.8073351088</v>
      </c>
      <c r="BE271" s="35">
        <f>SUM(BE248+BE253+BE254+BE267+BE268+BE269+BE270)</f>
        <v>-18700.3735669402</v>
      </c>
      <c r="BF271" s="35">
        <f>SUM(BF248,BF253,BF254,BF267,BF268,BF269,BF270)</f>
        <v>-18700.3735669402</v>
      </c>
      <c r="BG271" s="35" t="n"/>
      <c r="BH271" s="35" t="n"/>
      <c r="BI271" s="35" t="n"/>
      <c r="BJ271" s="35" t="n"/>
      <c r="BK271" s="35" t="n"/>
      <c r="BL271" s="35" t="n"/>
      <c r="BM271" s="35" t="n"/>
      <c r="BN271" s="35" t="n"/>
      <c r="BO271" s="35" t="n"/>
      <c r="BP271" s="35" t="n"/>
      <c r="BQ271" s="35" t="n"/>
      <c r="BR271" s="35" t="n"/>
      <c r="BS271" s="35" t="n"/>
      <c r="BT271" s="35" t="n"/>
      <c r="BU271" s="35" t="n"/>
      <c r="BV271" s="35" t="n"/>
      <c r="BW271" s="35" t="n"/>
      <c r="BX271" s="35" t="n"/>
      <c r="BY271" s="35" t="n"/>
      <c r="BZ271" s="35" t="n"/>
      <c r="CA271" s="35" t="n"/>
      <c r="CB271" s="35" t="n"/>
      <c r="CC271" s="35" t="n"/>
      <c r="CD271" s="35" t="n"/>
      <c r="CE271" s="35" t="n"/>
      <c r="CF271" s="35" t="n"/>
      <c r="CG271" s="35" t="n"/>
      <c r="CH271" s="35" t="n"/>
      <c r="CI271" s="35" t="n"/>
      <c r="CJ271" s="35" t="n"/>
      <c r="CK271" s="35" t="n"/>
      <c r="CL271" s="35" t="n"/>
      <c r="CM271" s="35" t="n"/>
      <c r="CN271" s="35" t="n"/>
      <c r="CO271" s="35" t="n"/>
      <c r="CP271" s="35" t="n"/>
      <c r="CQ271" s="35" t="n"/>
      <c r="CR271" s="35" t="n"/>
      <c r="CS271" s="35" t="n"/>
      <c r="CT271" s="35" t="n"/>
      <c r="CU271" s="35" t="n"/>
      <c r="CV271" s="35" t="n"/>
      <c r="CW271" s="35" t="n"/>
      <c r="CX271" s="35" t="n"/>
      <c r="CY271" s="35" t="n"/>
    </row>
    <row r="272">
      <c r="C272" s="10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ustomFormat="1" s="32">
      <c r="A273" s="30" t="n"/>
      <c r="B273" s="3" t="n"/>
      <c r="C273" s="33" t="inlineStr">
        <is>
          <t>Total Liabilities + Shareholders' Equity</t>
        </is>
      </c>
      <c r="D273" s="35" t="n"/>
      <c r="E273" s="35" t="n"/>
      <c r="F273" s="35" t="n"/>
      <c r="G273" s="35" t="n"/>
      <c r="H273" s="35" t="n"/>
      <c r="I273" s="35">
        <f>I271+I247</f>
        <v>1026.589</v>
      </c>
      <c r="J273" s="35">
        <f>J271+J247</f>
        <v>966.787</v>
      </c>
      <c r="K273" s="35">
        <f>K271+K247</f>
        <v>924.473</v>
      </c>
      <c r="L273" s="35">
        <f>L271+L247</f>
        <v>1206.063</v>
      </c>
      <c r="M273" s="35">
        <f>M271+M247</f>
        <v>1206.063</v>
      </c>
      <c r="N273" s="35">
        <f>N271+N247</f>
        <v>1218.866</v>
      </c>
      <c r="O273" s="35">
        <f>O271+O247</f>
        <v>1654.061</v>
      </c>
      <c r="P273" s="35">
        <f>P271+P247</f>
        <v>1689.875</v>
      </c>
      <c r="Q273" s="35">
        <f>Q271+Q247</f>
        <v>2073.296</v>
      </c>
      <c r="R273" s="35">
        <f>R271+R247</f>
        <v>2073.296</v>
      </c>
      <c r="S273" s="35">
        <f>S271+S247</f>
        <v>2044.537</v>
      </c>
      <c r="T273" s="35">
        <f>T271+T247</f>
        <v>2099.356</v>
      </c>
      <c r="U273" s="35">
        <f>U271+U247</f>
        <v>2239.121</v>
      </c>
      <c r="V273" s="35">
        <f>V271+V247</f>
        <v>2262.344</v>
      </c>
      <c r="W273" s="35">
        <f>W271+W247</f>
        <v>2262.344</v>
      </c>
      <c r="X273" s="35">
        <f>X271+X247</f>
        <v>2296.704</v>
      </c>
      <c r="Y273" s="35">
        <f>Y271+Y247</f>
        <v>2458.471</v>
      </c>
      <c r="Z273" s="35">
        <f>Z271+Z247</f>
        <v>3325.011</v>
      </c>
      <c r="AA273" s="35">
        <f>AA271+AA247</f>
        <v>3334.198</v>
      </c>
      <c r="AB273" s="35">
        <f>AB271+AB247</f>
        <v>3334.198</v>
      </c>
      <c r="AC273" s="35">
        <f>AC271+AC247</f>
        <v>3387.08</v>
      </c>
      <c r="AD273" s="35">
        <f>AD271+AD247</f>
        <v>4045.501</v>
      </c>
      <c r="AE273" s="35">
        <f>AE271+AE247</f>
        <v>4224.165</v>
      </c>
      <c r="AF273" s="35">
        <f>AF271+AF247</f>
        <v>4293.945</v>
      </c>
      <c r="AG273" s="35">
        <f>AG271+AG247</f>
        <v>4293.945</v>
      </c>
      <c r="AH273" s="35">
        <f>AH271+AH247</f>
        <v>4446.961</v>
      </c>
      <c r="AI273" s="35">
        <f>AI271+AI247</f>
        <v>11325.751</v>
      </c>
      <c r="AJ273" s="35">
        <f>AJ271+AJ247</f>
        <v>10775.1191551242</v>
      </c>
      <c r="AK273" s="35">
        <f>AK271+AK247</f>
        <v>10441.4962443412</v>
      </c>
      <c r="AL273" s="35">
        <f>AL271+AL247</f>
        <v>10441.4962443412</v>
      </c>
      <c r="AM273" s="35">
        <f>AM271+AM247</f>
        <v>10124.4143825423</v>
      </c>
      <c r="AN273" s="35">
        <f>AN271+AN247</f>
        <v>9522.4037670959</v>
      </c>
      <c r="AO273" s="35">
        <f>AO271+AO247</f>
        <v>9089.78240737983</v>
      </c>
      <c r="AP273" s="35">
        <f>AP271+AP247</f>
        <v>9067.6058710475</v>
      </c>
      <c r="AQ273" s="35">
        <f>AQ271+AQ247</f>
        <v>9067.6058710475</v>
      </c>
      <c r="AR273" s="35">
        <f>AR271+AR247</f>
        <v>9230.93774797531</v>
      </c>
      <c r="AS273" s="35">
        <f>AS271+AS247</f>
        <v>9244.5192023168</v>
      </c>
      <c r="AT273" s="35">
        <f>AT271+AT247</f>
        <v>9821.02436730186</v>
      </c>
      <c r="AU273" s="35">
        <f>AU271+AU247</f>
        <v>11429.4457712376</v>
      </c>
      <c r="AV273" s="35">
        <f>AV271+AV247</f>
        <v>11429.4457712376</v>
      </c>
      <c r="AW273" s="35">
        <f>AW271+AW247</f>
        <v>13914.898184954</v>
      </c>
      <c r="AX273" s="35">
        <f>AX271+AX247</f>
        <v>17051.0805501839</v>
      </c>
      <c r="AY273" s="35">
        <f>AY271+AY247</f>
        <v>22177.0832461195</v>
      </c>
      <c r="AZ273" s="35">
        <f>AZ271+AZ247</f>
        <v>30401.5081102228</v>
      </c>
      <c r="BA273" s="35">
        <f>BA271+BA247</f>
        <v>30401.5081102229</v>
      </c>
      <c r="BB273" s="35">
        <f>BB271+BB247</f>
        <v>42046.6815551427</v>
      </c>
      <c r="BC273" s="35">
        <f>BC271+BC247</f>
        <v>57714.431701252</v>
      </c>
      <c r="BD273" s="35">
        <f>BD271+BD247</f>
        <v>80440.8557079315</v>
      </c>
      <c r="BE273" s="35">
        <f>BE271+BE247</f>
        <v>113395.89973869</v>
      </c>
      <c r="BF273" s="35">
        <f>BF271+BF247</f>
        <v>113395.89973869</v>
      </c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  <c r="BP273" s="35" t="n"/>
      <c r="BQ273" s="35" t="n"/>
      <c r="BR273" s="35" t="n"/>
      <c r="BS273" s="35" t="n"/>
      <c r="BT273" s="35" t="n"/>
      <c r="BU273" s="35" t="n"/>
      <c r="BV273" s="35" t="n"/>
      <c r="BW273" s="35" t="n"/>
      <c r="BX273" s="35" t="n"/>
      <c r="BY273" s="35" t="n"/>
      <c r="BZ273" s="35" t="n"/>
      <c r="CA273" s="35" t="n"/>
      <c r="CB273" s="35" t="n"/>
      <c r="CC273" s="35" t="n"/>
      <c r="CD273" s="35" t="n"/>
      <c r="CE273" s="35" t="n"/>
      <c r="CF273" s="35" t="n"/>
      <c r="CG273" s="35" t="n"/>
      <c r="CH273" s="35" t="n"/>
      <c r="CI273" s="35" t="n"/>
      <c r="CJ273" s="35" t="n"/>
      <c r="CK273" s="35" t="n"/>
      <c r="CL273" s="35" t="n"/>
      <c r="CM273" s="35" t="n"/>
      <c r="CN273" s="35" t="n"/>
      <c r="CO273" s="35" t="n"/>
      <c r="CP273" s="35" t="n"/>
      <c r="CQ273" s="35" t="n"/>
      <c r="CR273" s="35" t="n"/>
      <c r="CS273" s="35" t="n"/>
      <c r="CT273" s="35" t="n"/>
      <c r="CU273" s="35" t="n"/>
      <c r="CV273" s="35" t="n"/>
      <c r="CW273" s="35" t="n"/>
      <c r="CX273" s="35" t="n"/>
      <c r="CY273" s="35" t="n"/>
    </row>
    <row r="274">
      <c r="C274" s="18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n"/>
      <c r="BE274" s="3" t="n"/>
      <c r="BF274" s="3" t="n"/>
      <c r="BG274" s="3" t="n"/>
      <c r="BH274" s="3" t="n"/>
      <c r="BI274" s="3" t="n"/>
      <c r="BJ274" s="3" t="n"/>
      <c r="BK274" s="3" t="n"/>
      <c r="BL274" s="3" t="n"/>
      <c r="BM274" s="3" t="n"/>
      <c r="BN274" s="3" t="n"/>
      <c r="BO274" s="3" t="n"/>
      <c r="BP274" s="3" t="n"/>
      <c r="BQ274" s="3" t="n"/>
      <c r="BR274" s="3" t="n"/>
      <c r="BS274" s="3" t="n"/>
      <c r="BT274" s="3" t="n"/>
      <c r="BU274" s="3" t="n"/>
      <c r="BV274" s="3" t="n"/>
      <c r="BW274" s="3" t="n"/>
      <c r="BX274" s="3" t="n"/>
      <c r="BY274" s="3" t="n"/>
      <c r="BZ274" s="3" t="n"/>
      <c r="CA274" s="3" t="n"/>
      <c r="CB274" s="3" t="n"/>
      <c r="CC274" s="3" t="n"/>
      <c r="CD274" s="3" t="n"/>
      <c r="CE274" s="3" t="n"/>
      <c r="CF274" s="3" t="n"/>
      <c r="CG274" s="3" t="n"/>
      <c r="CH274" s="3" t="n"/>
      <c r="CI274" s="3" t="n"/>
      <c r="CJ274" s="3" t="n"/>
      <c r="CK274" s="3" t="n"/>
      <c r="CL274" s="3" t="n"/>
      <c r="CM274" s="3" t="n"/>
      <c r="CN274" s="3" t="n"/>
      <c r="CO274" s="3" t="n"/>
      <c r="CP274" s="3" t="n"/>
      <c r="CQ274" s="3" t="n"/>
      <c r="CR274" s="3" t="n"/>
      <c r="CS274" s="3" t="n"/>
      <c r="CT274" s="3" t="n"/>
      <c r="CU274" s="3" t="n"/>
      <c r="CV274" s="3" t="n"/>
      <c r="CW274" s="3" t="n"/>
      <c r="CX274" s="3" t="n"/>
      <c r="CY274" s="3" t="n"/>
    </row>
    <row r="275" customFormat="1" s="32">
      <c r="A275" s="30" t="n"/>
      <c r="B275" s="30" t="n"/>
      <c r="C275" s="31" t="inlineStr">
        <is>
          <t>Cash Flow Statement</t>
        </is>
      </c>
      <c r="D275" s="70" t="n"/>
      <c r="E275" s="70" t="n"/>
      <c r="F275" s="70" t="n"/>
      <c r="G275" s="70" t="n"/>
      <c r="H275" s="70" t="n"/>
      <c r="I275" s="70" t="str">
        <f>I142</f>
        <v>1Q21</v>
      </c>
      <c r="J275" s="70" t="str">
        <f>J142</f>
        <v>2Q21</v>
      </c>
      <c r="K275" s="70" t="str">
        <f>K142</f>
        <v>3Q21</v>
      </c>
      <c r="L275" s="70" t="str">
        <f>L142</f>
        <v>4Q21</v>
      </c>
      <c r="M275" s="70">
        <f>M142</f>
        <v>2021</v>
      </c>
      <c r="N275" s="70" t="str">
        <f>N142</f>
        <v>1Q22</v>
      </c>
      <c r="O275" s="70" t="str">
        <f>O142</f>
        <v>2Q22</v>
      </c>
      <c r="P275" s="70" t="str">
        <f>P142</f>
        <v>3Q22</v>
      </c>
      <c r="Q275" s="70" t="str">
        <f>Q142</f>
        <v>4Q22</v>
      </c>
      <c r="R275" s="70">
        <f>R142</f>
        <v>2022</v>
      </c>
      <c r="S275" s="70" t="str">
        <f>S142</f>
        <v>1Q23</v>
      </c>
      <c r="T275" s="70" t="str">
        <f>T142</f>
        <v>2Q23</v>
      </c>
      <c r="U275" s="70" t="str">
        <f>U142</f>
        <v>3Q23</v>
      </c>
      <c r="V275" s="70" t="str">
        <f>V142</f>
        <v>4Q23</v>
      </c>
      <c r="W275" s="70">
        <f>W142</f>
        <v>2023</v>
      </c>
      <c r="X275" s="70" t="str">
        <f>X142</f>
        <v>1Q24</v>
      </c>
      <c r="Y275" s="70" t="str">
        <f>Y142</f>
        <v>2Q24</v>
      </c>
      <c r="Z275" s="70" t="str">
        <f>Z142</f>
        <v>3Q24</v>
      </c>
      <c r="AA275" s="70" t="str">
        <f>AA142</f>
        <v>4Q24</v>
      </c>
      <c r="AB275" s="70">
        <f>AB142</f>
        <v>2024</v>
      </c>
      <c r="AC275" s="70" t="str">
        <f>AC142</f>
        <v>1Q25</v>
      </c>
      <c r="AD275" s="70" t="str">
        <f>AD142</f>
        <v>2Q25</v>
      </c>
      <c r="AE275" s="70" t="str">
        <f>AE142</f>
        <v>3Q25</v>
      </c>
      <c r="AF275" s="70" t="str">
        <f>AF142</f>
        <v>4Q25</v>
      </c>
      <c r="AG275" s="70">
        <f>AG142</f>
        <v>2025</v>
      </c>
      <c r="AH275" s="70" t="str">
        <f>AH142</f>
        <v>1Q26</v>
      </c>
      <c r="AI275" s="70" t="str">
        <f>AI142</f>
        <v>2Q26</v>
      </c>
      <c r="AJ275" s="70" t="str">
        <f>AJ142</f>
        <v>3Q26</v>
      </c>
      <c r="AK275" s="70" t="str">
        <f>AK142</f>
        <v>4Q26</v>
      </c>
      <c r="AL275" s="70">
        <f>AL142</f>
        <v>2026</v>
      </c>
      <c r="AM275" s="70" t="str">
        <f>AM142</f>
        <v>1Q27</v>
      </c>
      <c r="AN275" s="70" t="str">
        <f>AN142</f>
        <v>2Q27</v>
      </c>
      <c r="AO275" s="70" t="str">
        <f>AO142</f>
        <v>3Q27</v>
      </c>
      <c r="AP275" s="70" t="str">
        <f>AP142</f>
        <v>4Q27</v>
      </c>
      <c r="AQ275" s="70">
        <f>AQ142</f>
        <v>2027</v>
      </c>
      <c r="AR275" s="70" t="str">
        <f>AR142</f>
        <v>1Q28</v>
      </c>
      <c r="AS275" s="70" t="str">
        <f>AS142</f>
        <v>2Q28</v>
      </c>
      <c r="AT275" s="70" t="str">
        <f>AT142</f>
        <v>3Q28</v>
      </c>
      <c r="AU275" s="70" t="str">
        <f>AU142</f>
        <v>4Q28</v>
      </c>
      <c r="AV275" s="70">
        <f>AV142</f>
        <v>2028</v>
      </c>
      <c r="AW275" s="70" t="str">
        <f>AW142</f>
        <v>1Q29</v>
      </c>
      <c r="AX275" s="70" t="str">
        <f>AX142</f>
        <v>2Q29</v>
      </c>
      <c r="AY275" s="70" t="str">
        <f>AY142</f>
        <v>3Q29</v>
      </c>
      <c r="AZ275" s="70" t="str">
        <f>AZ142</f>
        <v>4Q29</v>
      </c>
      <c r="BA275" s="70">
        <f>BA142</f>
        <v>2029</v>
      </c>
      <c r="BB275" s="70" t="str">
        <f>BB142</f>
        <v>1Q30</v>
      </c>
      <c r="BC275" s="70" t="str">
        <f>BC142</f>
        <v>2Q30</v>
      </c>
      <c r="BD275" s="70" t="str">
        <f>BD142</f>
        <v>3Q30</v>
      </c>
      <c r="BE275" s="70" t="str">
        <f>BE142</f>
        <v>4Q30</v>
      </c>
      <c r="BF275" s="70">
        <f>BF142</f>
        <v>2030</v>
      </c>
      <c r="BG275" s="70" t="n"/>
      <c r="BH275" s="70" t="n"/>
      <c r="BI275" s="70" t="n"/>
      <c r="BJ275" s="70" t="n"/>
      <c r="BK275" s="70" t="n"/>
      <c r="BL275" s="70" t="n"/>
      <c r="BM275" s="70" t="n"/>
      <c r="BN275" s="70" t="n"/>
      <c r="BO275" s="70" t="n"/>
      <c r="BP275" s="70" t="n"/>
      <c r="BQ275" s="70" t="n"/>
      <c r="BR275" s="70" t="n"/>
      <c r="BS275" s="70" t="n"/>
      <c r="BT275" s="70" t="n"/>
      <c r="BU275" s="70" t="n"/>
      <c r="BV275" s="70" t="n"/>
      <c r="BW275" s="70" t="n"/>
      <c r="BX275" s="70" t="n"/>
      <c r="BY275" s="70" t="n"/>
      <c r="BZ275" s="70" t="n"/>
      <c r="CA275" s="70" t="n"/>
      <c r="CB275" s="70" t="n"/>
      <c r="CC275" s="70" t="n"/>
      <c r="CD275" s="70" t="n"/>
      <c r="CE275" s="70" t="n"/>
      <c r="CF275" s="70" t="n"/>
      <c r="CG275" s="70" t="n"/>
      <c r="CH275" s="70" t="n"/>
      <c r="CI275" s="70" t="n"/>
      <c r="CJ275" s="70" t="n"/>
      <c r="CK275" s="70" t="n"/>
      <c r="CL275" s="70" t="n"/>
      <c r="CM275" s="70" t="n"/>
      <c r="CN275" s="70" t="n"/>
      <c r="CO275" s="70" t="n"/>
      <c r="CP275" s="70" t="n"/>
      <c r="CQ275" s="70" t="n"/>
      <c r="CR275" s="70" t="n"/>
      <c r="CS275" s="70" t="n"/>
      <c r="CT275" s="70" t="n"/>
      <c r="CU275" s="70" t="n"/>
      <c r="CV275" s="70" t="n"/>
      <c r="CW275" s="70" t="n"/>
      <c r="CX275" s="70" t="n"/>
      <c r="CY275" s="70" t="n"/>
    </row>
    <row r="276">
      <c r="C276" s="18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  <c r="CU276" s="3" t="n"/>
      <c r="CV276" s="3" t="n"/>
      <c r="CW276" s="3" t="n"/>
      <c r="CX276" s="3" t="n"/>
      <c r="CY276" s="3" t="n"/>
    </row>
    <row r="277">
      <c r="C277" s="10" t="inlineStr">
        <is>
          <t>Net Income</t>
        </is>
      </c>
      <c r="D277" s="12" t="n"/>
      <c r="E277" s="12" t="n"/>
      <c r="F277" s="12" t="n"/>
      <c r="G277" s="12" t="n"/>
      <c r="H277" s="12" t="n"/>
      <c r="I277" s="12" t="n"/>
      <c r="J277" s="12">
        <f>J137</f>
        <v>5.411</v>
      </c>
      <c r="K277" s="12">
        <f>K137</f>
        <v>-2.208</v>
      </c>
      <c r="L277" s="12">
        <f>L137</f>
        <v>-18.652</v>
      </c>
      <c r="M277" s="12" t="n"/>
      <c r="N277" s="12">
        <f>N137</f>
        <v>-20.147</v>
      </c>
      <c r="O277" s="12">
        <f>O137</f>
        <v>-11.97</v>
      </c>
      <c r="P277" s="12">
        <f>P137</f>
        <v>-31.093</v>
      </c>
      <c r="Q277" s="12">
        <f>Q137</f>
        <v>-85.796</v>
      </c>
      <c r="R277" s="12">
        <f>SUM(N277:Q277)</f>
        <v>-149.006</v>
      </c>
      <c r="S277" s="12">
        <f>S137</f>
        <v>-45.073</v>
      </c>
      <c r="T277" s="12">
        <f>T137</f>
        <v>-5.149</v>
      </c>
      <c r="U277" s="12">
        <f>U137</f>
        <v>1.85099999999997</v>
      </c>
      <c r="V277" s="12">
        <f>V137</f>
        <v>88.486</v>
      </c>
      <c r="W277" s="12">
        <f>SUM(S277:V277)</f>
        <v>40.115</v>
      </c>
      <c r="X277" s="12">
        <f>X137</f>
        <v>25.543</v>
      </c>
      <c r="Y277" s="12">
        <f>Y137</f>
        <v>8.806</v>
      </c>
      <c r="Z277" s="12">
        <f>Z137</f>
        <v>37.084</v>
      </c>
      <c r="AA277" s="12">
        <f>AA137</f>
        <v>-10.536</v>
      </c>
      <c r="AB277" s="12">
        <f>SUM(X277:AA277)</f>
        <v>60.897</v>
      </c>
      <c r="AC277" s="12">
        <f>AC137</f>
        <v>-6.32199999999997</v>
      </c>
      <c r="AD277" s="12">
        <f>AD137</f>
        <v>23.846</v>
      </c>
      <c r="AE277" s="12">
        <f>AE137</f>
        <v>23.288</v>
      </c>
      <c r="AF277" s="12">
        <f>AF137</f>
        <v>19.33</v>
      </c>
      <c r="AG277" s="12">
        <f>SUM(AC277:AF277)</f>
        <v>60.1420000000001</v>
      </c>
      <c r="AH277" s="12">
        <f>AH137</f>
        <v>18.784</v>
      </c>
      <c r="AI277" s="12">
        <f>AI137</f>
        <v>-11.147</v>
      </c>
      <c r="AJ277" s="12">
        <f>AJ137</f>
        <v>-535.838389231083</v>
      </c>
      <c r="AK277" s="12">
        <f>AK137</f>
        <v>-503.920686067527</v>
      </c>
      <c r="AL277" s="12">
        <f>SUM(AH277:AK277)</f>
        <v>-1032.12207529861</v>
      </c>
      <c r="AM277" s="12">
        <f>AM137</f>
        <v>-631.215906611173</v>
      </c>
      <c r="AN277" s="12">
        <f>AN137</f>
        <v>-1187.47354205704</v>
      </c>
      <c r="AO277" s="12">
        <f>AO137</f>
        <v>-749.178966726776</v>
      </c>
      <c r="AP277" s="12">
        <f>AP137</f>
        <v>-704.553437169853</v>
      </c>
      <c r="AQ277" s="12">
        <f>SUM(AM277:AP277)</f>
        <v>-3272.42185256484</v>
      </c>
      <c r="AR277" s="12">
        <f>AR137</f>
        <v>-879.374344192381</v>
      </c>
      <c r="AS277" s="12">
        <f>AS137</f>
        <v>-1654.32105933201</v>
      </c>
      <c r="AT277" s="12">
        <f>AT137</f>
        <v>-1043.71381590342</v>
      </c>
      <c r="AU277" s="12">
        <f>AU137</f>
        <v>-981.544048986362</v>
      </c>
      <c r="AV277" s="12">
        <f>SUM(AR277:AU277)</f>
        <v>-4558.95326841418</v>
      </c>
      <c r="AW277" s="12">
        <f>AW137</f>
        <v>-1220.69778943137</v>
      </c>
      <c r="AX277" s="12">
        <f>AX137</f>
        <v>-2296.43504324771</v>
      </c>
      <c r="AY277" s="12">
        <f>AY137</f>
        <v>-1448.824560651</v>
      </c>
      <c r="AZ277" s="12">
        <f>AZ137</f>
        <v>-1362.52400213879</v>
      </c>
      <c r="BA277" s="12">
        <f>SUM(AW277:AZ277)</f>
        <v>-6328.48139546888</v>
      </c>
      <c r="BB277" s="12">
        <f>BB137</f>
        <v>-1688.40022606759</v>
      </c>
      <c r="BC277" s="12">
        <f>BC137</f>
        <v>-3176.29922798099</v>
      </c>
      <c r="BD277" s="12">
        <f>BD137</f>
        <v>-2003.93228931373</v>
      </c>
      <c r="BE277" s="12">
        <f>BE137</f>
        <v>-1884.56623183143</v>
      </c>
      <c r="BF277" s="12">
        <f>SUM(BB277:BE277)</f>
        <v>-8753.19797519374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0" t="inlineStr">
        <is>
          <t>Depreciation &amp; amortization</t>
        </is>
      </c>
      <c r="D278" s="12" t="n"/>
      <c r="E278" s="12" t="n"/>
      <c r="F278" s="12" t="n"/>
      <c r="G278" s="12" t="n"/>
      <c r="H278" s="12" t="n"/>
      <c r="I278" s="12" t="n"/>
      <c r="J278" s="12">
        <f>-J70</f>
        <v>11.878</v>
      </c>
      <c r="K278" s="12">
        <f>-K70</f>
        <v>13.134</v>
      </c>
      <c r="L278" s="12">
        <f>-L70</f>
        <v>17.704</v>
      </c>
      <c r="M278" s="12" t="n"/>
      <c r="N278" s="12">
        <f>-N70</f>
        <v>15.688</v>
      </c>
      <c r="O278" s="12">
        <f>-O70</f>
        <v>30.096</v>
      </c>
      <c r="P278" s="12">
        <f>-P70</f>
        <v>48.076</v>
      </c>
      <c r="Q278" s="12">
        <f>-Q70</f>
        <v>41.858</v>
      </c>
      <c r="R278" s="12">
        <f>SUM(N278:Q278)</f>
        <v>135.718</v>
      </c>
      <c r="S278" s="12">
        <f>-S70</f>
        <v>60.225</v>
      </c>
      <c r="T278" s="12">
        <f>-T70</f>
        <v>35.636</v>
      </c>
      <c r="U278" s="12">
        <f>-U70</f>
        <v>37.234</v>
      </c>
      <c r="V278" s="12">
        <f>-V70</f>
        <v>32.565</v>
      </c>
      <c r="W278" s="12">
        <f>SUM(S278:V278)</f>
        <v>165.66</v>
      </c>
      <c r="X278" s="12">
        <f>-X70</f>
        <v>35.203</v>
      </c>
      <c r="Y278" s="12">
        <f>-Y70</f>
        <v>32.275</v>
      </c>
      <c r="Z278" s="12">
        <f>-Z70</f>
        <v>39.87</v>
      </c>
      <c r="AA278" s="12">
        <f>-AA70</f>
        <v>48.619</v>
      </c>
      <c r="AB278" s="12">
        <f>SUM(X278:AA278)</f>
        <v>155.967</v>
      </c>
      <c r="AC278" s="12">
        <f>-AC70</f>
        <v>48.663</v>
      </c>
      <c r="AD278" s="12">
        <f>-AD70</f>
        <v>42.936</v>
      </c>
      <c r="AE278" s="12">
        <f>-AE70</f>
        <v>44.612</v>
      </c>
      <c r="AF278" s="12">
        <f>-AF70</f>
        <v>44.967</v>
      </c>
      <c r="AG278" s="12">
        <f>SUM(AC278:AF278)</f>
        <v>181.178</v>
      </c>
      <c r="AH278" s="12">
        <f>-AH70</f>
        <v>51.389</v>
      </c>
      <c r="AI278" s="12">
        <f>-AI70</f>
        <v>57.892</v>
      </c>
      <c r="AJ278" s="12">
        <f>-AJ70</f>
        <v>61.6696040607832</v>
      </c>
      <c r="AK278" s="12">
        <f>-AK70</f>
        <v>57.9961977573441</v>
      </c>
      <c r="AL278" s="12">
        <f>SUM(AH278:AK278)</f>
        <v>228.946801818127</v>
      </c>
      <c r="AM278" s="12">
        <f>-AM70</f>
        <v>72.6465961004371</v>
      </c>
      <c r="AN278" s="12">
        <f>-AN70</f>
        <v>136.666249830286</v>
      </c>
      <c r="AO278" s="12">
        <f>-AO70</f>
        <v>86.2229567295565</v>
      </c>
      <c r="AP278" s="12">
        <f>-AP70</f>
        <v>81.0870075439685</v>
      </c>
      <c r="AQ278" s="12">
        <f>SUM(AM278:AP278)</f>
        <v>376.622810204248</v>
      </c>
      <c r="AR278" s="12">
        <f>-AR70</f>
        <v>101.207133937109</v>
      </c>
      <c r="AS278" s="12">
        <f>-AS70</f>
        <v>190.395699092816</v>
      </c>
      <c r="AT278" s="12">
        <f>-AT70</f>
        <v>120.120952647488</v>
      </c>
      <c r="AU278" s="12">
        <f>-AU70</f>
        <v>112.965838367923</v>
      </c>
      <c r="AV278" s="12">
        <f>SUM(AR278:AU278)</f>
        <v>524.689624045337</v>
      </c>
      <c r="AW278" s="12">
        <f>-AW70</f>
        <v>140.490026218785</v>
      </c>
      <c r="AX278" s="12">
        <f>-AX70</f>
        <v>264.296554174881</v>
      </c>
      <c r="AY278" s="12">
        <f>-AY70</f>
        <v>166.745120925544</v>
      </c>
      <c r="AZ278" s="12">
        <f>-AZ70</f>
        <v>156.812795469523</v>
      </c>
      <c r="BA278" s="12">
        <f>SUM(AW278:AZ278)</f>
        <v>728.344496788733</v>
      </c>
      <c r="BB278" s="12">
        <f>-BB70</f>
        <v>194.317868092914</v>
      </c>
      <c r="BC278" s="12">
        <f>-BC70</f>
        <v>365.560063826789</v>
      </c>
      <c r="BD278" s="12">
        <f>-BD70</f>
        <v>230.632431961312</v>
      </c>
      <c r="BE278" s="12">
        <f>-BE70</f>
        <v>216.894600459927</v>
      </c>
      <c r="BF278" s="12">
        <f>SUM(BB278:BE278)</f>
        <v>1007.40496434094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0" t="inlineStr">
        <is>
          <t xml:space="preserve">Changes in working capital </t>
        </is>
      </c>
      <c r="D279" s="12" t="n"/>
      <c r="E279" s="12" t="n"/>
      <c r="F279" s="12" t="n"/>
      <c r="G279" s="12" t="n"/>
      <c r="H279" s="12" t="n"/>
      <c r="I279" s="12" t="n"/>
      <c r="J279" s="12">
        <f>SUM(J280:J289)</f>
        <v>-17.699</v>
      </c>
      <c r="K279" s="12">
        <f>SUM(K280:K289)</f>
        <v>-27.406</v>
      </c>
      <c r="L279" s="12">
        <f>SUM(L280:L289)</f>
        <v>-22.537</v>
      </c>
      <c r="M279" s="12" t="n"/>
      <c r="N279" s="12">
        <f>SUM(N280:N289)</f>
        <v>12.219</v>
      </c>
      <c r="O279" s="12">
        <f>SUM(O280:O289)</f>
        <v>-49.982</v>
      </c>
      <c r="P279" s="12">
        <f>SUM(P280:P289)</f>
        <v>-5.48800000000005</v>
      </c>
      <c r="Q279" s="12">
        <f>SUM(Q280:Q289)</f>
        <v>24.454</v>
      </c>
      <c r="R279" s="12">
        <f>SUM(N279:Q279)</f>
        <v>-18.797</v>
      </c>
      <c r="S279" s="12">
        <f>SUM(S280:S289)</f>
        <v>-29.9</v>
      </c>
      <c r="T279" s="12">
        <f>SUM(T280:T289)</f>
        <v>-4.88000000000001</v>
      </c>
      <c r="U279" s="12">
        <f>SUM(U280:U289)</f>
        <v>-46.878</v>
      </c>
      <c r="V279" s="12">
        <f>SUM(V280:V289)</f>
        <v>42.009</v>
      </c>
      <c r="W279" s="12">
        <f>SUM(S279:V279)</f>
        <v>-39.649</v>
      </c>
      <c r="X279" s="12">
        <f>SUM(X280:X289)</f>
        <v>-39.366</v>
      </c>
      <c r="Y279" s="12">
        <f>SUM(Y280:Y289)</f>
        <v>4.71799999999998</v>
      </c>
      <c r="Z279" s="12">
        <f>SUM(Z280:Z289)</f>
        <v>-4.13</v>
      </c>
      <c r="AA279" s="12">
        <f>SUM(AA280:AA289)</f>
        <v>47.336</v>
      </c>
      <c r="AB279" s="12">
        <f>SUM(X279:AA279)</f>
        <v>8.55800000000001</v>
      </c>
      <c r="AC279" s="12">
        <f>SUM(AC280:AC289)</f>
        <v>-30.29</v>
      </c>
      <c r="AD279" s="12">
        <f>SUM(AD280:AD289)</f>
        <v>51.251</v>
      </c>
      <c r="AE279" s="12">
        <f>SUM(AE280:AE289)</f>
        <v>-78.002</v>
      </c>
      <c r="AF279" s="12">
        <f>SUM(AF280:AF289)</f>
        <v>45.714</v>
      </c>
      <c r="AG279" s="12">
        <f>SUM(AC279:AF279)</f>
        <v>-11.327</v>
      </c>
      <c r="AH279" s="12">
        <f>SUM(AH280:AH289)</f>
        <v>-35.175</v>
      </c>
      <c r="AI279" s="12">
        <f>SUM(AI280:AI289)</f>
        <v>280.032</v>
      </c>
      <c r="AJ279" s="12">
        <f>SUM(AJ280:AJ289)</f>
        <v>419.117645159331</v>
      </c>
      <c r="AK279" s="12">
        <f>SUM(AK280:AK289)</f>
        <v>193.467420498723</v>
      </c>
      <c r="AL279" s="12">
        <f>SUM(AH279:AK279)</f>
        <v>857.442065658054</v>
      </c>
      <c r="AM279" s="12">
        <f>SUM(AM280:AM289)</f>
        <v>211.545642354498</v>
      </c>
      <c r="AN279" s="12">
        <f>SUM(AN280:AN289)</f>
        <v>182.375169393939</v>
      </c>
      <c r="AO279" s="12">
        <f>SUM(AO280:AO289)</f>
        <v>644.196289502343</v>
      </c>
      <c r="AP279" s="12">
        <f>SUM(AP280:AP289)</f>
        <v>714.771389940629</v>
      </c>
      <c r="AQ279" s="12">
        <f>SUM(AM279:AP279)</f>
        <v>1752.88849119141</v>
      </c>
      <c r="AR279" s="12">
        <f>SUM(AR280:AR289)</f>
        <v>908.785644873322</v>
      </c>
      <c r="AS279" s="12">
        <f>SUM(AS280:AS289)</f>
        <v>1099.17265578695</v>
      </c>
      <c r="AT279" s="12">
        <f>SUM(AT280:AT289)</f>
        <v>2076.6666852801</v>
      </c>
      <c r="AU279" s="12">
        <f>SUM(AU280:AU289)</f>
        <v>2635.09562520092</v>
      </c>
      <c r="AV279" s="12">
        <f>SUM(AR279:AU279)</f>
        <v>6719.72061114129</v>
      </c>
      <c r="AW279" s="12">
        <f>SUM(AW280:AW289)</f>
        <v>3512.85241506868</v>
      </c>
      <c r="AX279" s="12">
        <f>SUM(AX280:AX289)</f>
        <v>4653.09279728253</v>
      </c>
      <c r="AY279" s="12">
        <f>SUM(AY280:AY289)</f>
        <v>7208.44217544527</v>
      </c>
      <c r="AZ279" s="12">
        <f>SUM(AZ280:AZ289)</f>
        <v>9649.59602203104</v>
      </c>
      <c r="BA279" s="12">
        <f>SUM(AW279:AZ279)</f>
        <v>25023.9834098275</v>
      </c>
      <c r="BB279" s="12">
        <f>SUM(BB280:BB289)</f>
        <v>13069.7776937566</v>
      </c>
      <c r="BC279" s="12">
        <f>SUM(BC280:BC289)</f>
        <v>17765.8549666275</v>
      </c>
      <c r="BD279" s="12">
        <f>SUM(BD280:BD289)</f>
        <v>25606.7366593419</v>
      </c>
      <c r="BE279" s="12">
        <f>SUM(BE280:BE289)</f>
        <v>34926.2602695882</v>
      </c>
      <c r="BF279" s="12">
        <f>SUM(BB279:BE279)</f>
        <v>91368.6295893142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Accounts receivable</t>
        </is>
      </c>
      <c r="D280" s="12" t="n"/>
      <c r="E280" s="12" t="n"/>
      <c r="F280" s="12" t="n"/>
      <c r="G280" s="12" t="n"/>
      <c r="H280" s="12" t="n"/>
      <c r="I280" s="12" t="n"/>
      <c r="J280" s="12">
        <f>(J145-I145)*-1</f>
        <v>-18.175</v>
      </c>
      <c r="K280" s="12">
        <f>(K145-J145)*-1</f>
        <v>16.811</v>
      </c>
      <c r="L280" s="12">
        <f>(L145-K145)*-1</f>
        <v>-32.346</v>
      </c>
      <c r="M280" s="12" t="n"/>
      <c r="N280" s="12">
        <f>(N145-M145)*-1</f>
        <v>-3.31100000000001</v>
      </c>
      <c r="O280" s="12">
        <f>(O145-N145)*-1</f>
        <v>-82.683</v>
      </c>
      <c r="P280" s="12">
        <f>(P145-O145)*-1</f>
        <v>-34.778</v>
      </c>
      <c r="Q280" s="12">
        <f>(Q145-P145)*-1</f>
        <v>25.237</v>
      </c>
      <c r="R280" s="12">
        <f>SUM(N280:Q280)</f>
        <v>-95.535</v>
      </c>
      <c r="S280" s="12">
        <f>(S145-R145)*-1</f>
        <v>16.128</v>
      </c>
      <c r="T280" s="12">
        <f>(T145-S145)*-1</f>
        <v>26.529</v>
      </c>
      <c r="U280" s="12">
        <f>(U145-T145)*-1</f>
        <v>-20.265</v>
      </c>
      <c r="V280" s="12">
        <f>(V145-U145)*-1</f>
        <v>52.337</v>
      </c>
      <c r="W280" s="12">
        <f>SUM(S280:V280)</f>
        <v>74.729</v>
      </c>
      <c r="X280" s="12">
        <f>(X145-W145)*-1</f>
        <v>-23.322</v>
      </c>
      <c r="Y280" s="12">
        <f>(Y145-X145)*-1</f>
        <v>-2.255</v>
      </c>
      <c r="Z280" s="12">
        <f>(Z145-Y145)*-1</f>
        <v>-2.376</v>
      </c>
      <c r="AA280" s="12">
        <f>(AA145-Z145)*-1</f>
        <v>17.833</v>
      </c>
      <c r="AB280" s="12">
        <f>SUM(X280:AA280)</f>
        <v>-10.12</v>
      </c>
      <c r="AC280" s="12">
        <f>(AC145-AB145)*-1</f>
        <v>-16.487</v>
      </c>
      <c r="AD280" s="12">
        <f>(AD145-AC145)*-1</f>
        <v>-18.674</v>
      </c>
      <c r="AE280" s="12">
        <f>(AE145-AD145)*-1</f>
        <v>-32.048</v>
      </c>
      <c r="AF280" s="12">
        <f>(AF145-AE145)*-1</f>
        <v>-20.197</v>
      </c>
      <c r="AG280" s="12">
        <f>SUM(AC280:AF280)</f>
        <v>-87.406</v>
      </c>
      <c r="AH280" s="12">
        <f>(AH145-AG145)*-1</f>
        <v>-29.977</v>
      </c>
      <c r="AI280" s="12">
        <f>(AI145-AH145)*-1</f>
        <v>-511.215</v>
      </c>
      <c r="AJ280" s="12">
        <f>(AJ145-AI145)*-1</f>
        <v>433.911100804059</v>
      </c>
      <c r="AK280" s="12">
        <f>(AK145-AJ145)*-1</f>
        <v>23.1696452141585</v>
      </c>
      <c r="AL280" s="12">
        <f>SUM(AH280:AK280)</f>
        <v>-84.1112539817825</v>
      </c>
      <c r="AM280" s="12">
        <f>(AM145-AL145)*-1</f>
        <v>-102.588402457759</v>
      </c>
      <c r="AN280" s="12">
        <f>(AN145-AM145)*-1</f>
        <v>-403.087757216685</v>
      </c>
      <c r="AO280" s="12">
        <f>(AO145-AN145)*-1</f>
        <v>327.638682491636</v>
      </c>
      <c r="AP280" s="12">
        <f>(AP145-AO145)*-1</f>
        <v>32.3944891031005</v>
      </c>
      <c r="AQ280" s="12">
        <f>SUM(AM280:AP280)</f>
        <v>-145.642988079707</v>
      </c>
      <c r="AR280" s="12">
        <f>(AR145-AQ145)*-1</f>
        <v>-133.920576246869</v>
      </c>
      <c r="AS280" s="12">
        <f>(AS145-AR145)*-1</f>
        <v>-568.729857886548</v>
      </c>
      <c r="AT280" s="12">
        <f>(AT145-AS145)*-1</f>
        <v>456.447704391609</v>
      </c>
      <c r="AU280" s="12">
        <f>(AU145-AT145)*-1</f>
        <v>45.130172278808</v>
      </c>
      <c r="AV280" s="12">
        <f>SUM(AR280:AU280)</f>
        <v>-201.072557463</v>
      </c>
      <c r="AW280" s="12">
        <f>(AW145-AV145)*-1</f>
        <v>-193.297788079061</v>
      </c>
      <c r="AX280" s="12">
        <f>(AX145-AW145)*-1</f>
        <v>-779.524611195133</v>
      </c>
      <c r="AY280" s="12">
        <f>(AY145-AX145)*-1</f>
        <v>633.614918858683</v>
      </c>
      <c r="AZ280" s="12">
        <f>(AZ145-AY145)*-1</f>
        <v>62.6471557889184</v>
      </c>
      <c r="BA280" s="12">
        <f>SUM(AW280:AZ280)</f>
        <v>-276.560324626592</v>
      </c>
      <c r="BB280" s="12">
        <f>(BB145-BA145)*-1</f>
        <v>-263.795977230806</v>
      </c>
      <c r="BC280" s="12">
        <f>(BC145-BB145)*-1</f>
        <v>-1078.1944074628</v>
      </c>
      <c r="BD280" s="12">
        <f>(BD145-BC145)*-1</f>
        <v>876.380363348679</v>
      </c>
      <c r="BE280" s="12">
        <f>(BE145-BD145)*-1</f>
        <v>86.6500069978604</v>
      </c>
      <c r="BF280" s="12">
        <f>SUM(BB280:BE280)</f>
        <v>-378.960014347067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Inventories</t>
        </is>
      </c>
      <c r="D281" s="12" t="n"/>
      <c r="E281" s="12" t="n"/>
      <c r="F281" s="12" t="n"/>
      <c r="G281" s="12" t="n"/>
      <c r="H281" s="12" t="n"/>
      <c r="I281" s="12" t="n"/>
      <c r="J281" s="12">
        <f>(J149-I149)*-1</f>
        <v>0</v>
      </c>
      <c r="K281" s="12">
        <f>(K149-J149)*-1</f>
        <v>0</v>
      </c>
      <c r="L281" s="12">
        <f>(L149-K149)*-1</f>
        <v>0</v>
      </c>
      <c r="M281" s="12" t="n"/>
      <c r="N281" s="12">
        <f>(N149-M149)*-1</f>
        <v>0</v>
      </c>
      <c r="O281" s="12">
        <f>(O149-N149)*-1</f>
        <v>0</v>
      </c>
      <c r="P281" s="12">
        <f>(P149-O149)*-1</f>
        <v>0</v>
      </c>
      <c r="Q281" s="12">
        <f>(Q149-P149)*-1</f>
        <v>0</v>
      </c>
      <c r="R281" s="12">
        <f>SUM(N281:Q281)</f>
        <v>0</v>
      </c>
      <c r="S281" s="12">
        <f>(S149-R149)*-1</f>
        <v>0</v>
      </c>
      <c r="T281" s="12">
        <f>(T149-S149)*-1</f>
        <v>0</v>
      </c>
      <c r="U281" s="12">
        <f>(U149-T149)*-1</f>
        <v>0</v>
      </c>
      <c r="V281" s="12">
        <f>(V149-U149)*-1</f>
        <v>0</v>
      </c>
      <c r="W281" s="12">
        <f>SUM(S281:V281)</f>
        <v>0</v>
      </c>
      <c r="X281" s="12">
        <f>(X149-W149)*-1</f>
        <v>0</v>
      </c>
      <c r="Y281" s="12">
        <f>(Y149-X149)*-1</f>
        <v>0</v>
      </c>
      <c r="Z281" s="12">
        <f>(Z149-Y149)*-1</f>
        <v>0</v>
      </c>
      <c r="AA281" s="12">
        <f>(AA149-Z149)*-1</f>
        <v>0</v>
      </c>
      <c r="AB281" s="12">
        <f>SUM(X281:AA281)</f>
        <v>0</v>
      </c>
      <c r="AC281" s="12">
        <f>(AC149-AB149)*-1</f>
        <v>0</v>
      </c>
      <c r="AD281" s="12">
        <f>(AD149-AC149)*-1</f>
        <v>0</v>
      </c>
      <c r="AE281" s="12">
        <f>(AE149-AD149)*-1</f>
        <v>0</v>
      </c>
      <c r="AF281" s="12">
        <f>(AF149-AE149)*-1</f>
        <v>0</v>
      </c>
      <c r="AG281" s="12">
        <f>SUM(AC281:AF281)</f>
        <v>0</v>
      </c>
      <c r="AH281" s="12">
        <f>(AH149-AG149)*-1</f>
        <v>0</v>
      </c>
      <c r="AI281" s="12">
        <f>(AI149-AH149)*-1</f>
        <v>0</v>
      </c>
      <c r="AJ281" s="12">
        <f>(AJ149-AI149)*-1</f>
        <v>0</v>
      </c>
      <c r="AK281" s="12">
        <f>(AK149-AJ149)*-1</f>
        <v>0</v>
      </c>
      <c r="AL281" s="12">
        <f>SUM(AH281:AK281)</f>
        <v>0</v>
      </c>
      <c r="AM281" s="12">
        <f>(AM149-AL149)*-1</f>
        <v>0</v>
      </c>
      <c r="AN281" s="12">
        <f>(AN149-AM149)*-1</f>
        <v>0</v>
      </c>
      <c r="AO281" s="12">
        <f>(AO149-AN149)*-1</f>
        <v>0</v>
      </c>
      <c r="AP281" s="12">
        <f>(AP149-AO149)*-1</f>
        <v>0</v>
      </c>
      <c r="AQ281" s="12">
        <f>SUM(AM281:AP281)</f>
        <v>0</v>
      </c>
      <c r="AR281" s="12">
        <f>(AR149-AQ149)*-1</f>
        <v>0</v>
      </c>
      <c r="AS281" s="12">
        <f>(AS149-AR149)*-1</f>
        <v>0</v>
      </c>
      <c r="AT281" s="12">
        <f>(AT149-AS149)*-1</f>
        <v>0</v>
      </c>
      <c r="AU281" s="12">
        <f>(AU149-AT149)*-1</f>
        <v>0</v>
      </c>
      <c r="AV281" s="12">
        <f>SUM(AR281:AU281)</f>
        <v>0</v>
      </c>
      <c r="AW281" s="12">
        <f>(AW149-AV149)*-1</f>
        <v>0</v>
      </c>
      <c r="AX281" s="12">
        <f>(AX149-AW149)*-1</f>
        <v>0</v>
      </c>
      <c r="AY281" s="12">
        <f>(AY149-AX149)*-1</f>
        <v>0</v>
      </c>
      <c r="AZ281" s="12">
        <f>(AZ149-AY149)*-1</f>
        <v>0</v>
      </c>
      <c r="BA281" s="12">
        <f>SUM(AW281:AZ281)</f>
        <v>0</v>
      </c>
      <c r="BB281" s="12">
        <f>(BB149-BA149)*-1</f>
        <v>0</v>
      </c>
      <c r="BC281" s="12">
        <f>(BC149-BB149)*-1</f>
        <v>0</v>
      </c>
      <c r="BD281" s="12">
        <f>(BD149-BC149)*-1</f>
        <v>0</v>
      </c>
      <c r="BE281" s="12">
        <f>(BE149-BD149)*-1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Deferred income taxes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0.100000000000009</v>
      </c>
      <c r="K282" s="12">
        <f>(K153-J153)*-1</f>
        <v>-1.699</v>
      </c>
      <c r="L282" s="12">
        <f>(L153-K153)*-1</f>
        <v>9.59099999999999</v>
      </c>
      <c r="M282" s="12" t="n"/>
      <c r="N282" s="12">
        <f>(N153-M153)*-1</f>
        <v>0.0520000000000067</v>
      </c>
      <c r="O282" s="12">
        <f>(O153-N153)*-1</f>
        <v>6.836</v>
      </c>
      <c r="P282" s="12">
        <f>(P153-O153)*-1</f>
        <v>2.115</v>
      </c>
      <c r="Q282" s="12">
        <f>(Q153-P153)*-1</f>
        <v>7.47</v>
      </c>
      <c r="R282" s="12">
        <f>SUM(N282:Q282)</f>
        <v>16.473</v>
      </c>
      <c r="S282" s="12">
        <f>(S153-R153)*-1</f>
        <v>-9.882</v>
      </c>
      <c r="T282" s="12">
        <f>(T153-S153)*-1</f>
        <v>-0.567999999999998</v>
      </c>
      <c r="U282" s="12">
        <f>(U153-T153)*-1</f>
        <v>-0.588000000000001</v>
      </c>
      <c r="V282" s="12">
        <f>(V153-U153)*-1</f>
        <v>-12.159</v>
      </c>
      <c r="W282" s="12">
        <f>SUM(S282:V282)</f>
        <v>-23.197</v>
      </c>
      <c r="X282" s="12">
        <f>(X153-W153)*-1</f>
        <v>-0.467999999999989</v>
      </c>
      <c r="Y282" s="12">
        <f>(Y153-X153)*-1</f>
        <v>-0.52000000000001</v>
      </c>
      <c r="Z282" s="12">
        <f>(Z153-Y153)*-1</f>
        <v>-1.178</v>
      </c>
      <c r="AA282" s="12">
        <f>(AA153-Z153)*-1</f>
        <v>-1.52</v>
      </c>
      <c r="AB282" s="12">
        <f>SUM(X282:AA282)</f>
        <v>-3.68599999999999</v>
      </c>
      <c r="AC282" s="12">
        <f>(AC153-AB153)*-1</f>
        <v>-0.799999999999997</v>
      </c>
      <c r="AD282" s="12">
        <f>(AD153-AC153)*-1</f>
        <v>-0.504000000000005</v>
      </c>
      <c r="AE282" s="12">
        <f>(AE153-AD153)*-1</f>
        <v>-0.597999999999999</v>
      </c>
      <c r="AF282" s="12">
        <f>(AF153-AE153)*-1</f>
        <v>-0.450000000000003</v>
      </c>
      <c r="AG282" s="12">
        <f>SUM(AC282:AF282)</f>
        <v>-2.352</v>
      </c>
      <c r="AH282" s="12">
        <f>(AH153-AG153)*-1</f>
        <v>-2.661</v>
      </c>
      <c r="AI282" s="12">
        <f>(AI153-AH153)*-1</f>
        <v>-0.358999999999995</v>
      </c>
      <c r="AJ282" s="12">
        <f>(AJ153-AI153)*-1</f>
        <v>0</v>
      </c>
      <c r="AK282" s="12">
        <f>(AK153-AJ153)*-1</f>
        <v>0</v>
      </c>
      <c r="AL282" s="12">
        <f>SUM(AH282:AK282)</f>
        <v>-3.02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Prepaid expenses</t>
        </is>
      </c>
      <c r="D283" s="12" t="n"/>
      <c r="E283" s="12" t="n"/>
      <c r="F283" s="12" t="n"/>
      <c r="G283" s="12" t="n"/>
      <c r="H283" s="12" t="n"/>
      <c r="I283" s="12" t="n"/>
      <c r="J283" s="12">
        <f>(J154-I154)*-1</f>
        <v>1.298</v>
      </c>
      <c r="K283" s="12">
        <f>(K154-J154)*-1</f>
        <v>3.08</v>
      </c>
      <c r="L283" s="12">
        <f>(L154-K154)*-1</f>
        <v>-20.158</v>
      </c>
      <c r="M283" s="12" t="n"/>
      <c r="N283" s="12">
        <f>(N154-M154)*-1</f>
        <v>1.426</v>
      </c>
      <c r="O283" s="12">
        <f>(O154-N154)*-1</f>
        <v>-9.607</v>
      </c>
      <c r="P283" s="12">
        <f>(P154-O154)*-1</f>
        <v>6.937</v>
      </c>
      <c r="Q283" s="12">
        <f>(Q154-P154)*-1</f>
        <v>-34.09</v>
      </c>
      <c r="R283" s="12">
        <f>SUM(N283:Q283)</f>
        <v>-35.334</v>
      </c>
      <c r="S283" s="12">
        <f>(S154-R154)*-1</f>
        <v>-0.597999999999999</v>
      </c>
      <c r="T283" s="12">
        <f>(T154-S154)*-1</f>
        <v>7.344</v>
      </c>
      <c r="U283" s="12">
        <f>(U154-T154)*-1</f>
        <v>-13.12</v>
      </c>
      <c r="V283" s="12">
        <f>(V154-U154)*-1</f>
        <v>17.592</v>
      </c>
      <c r="W283" s="12">
        <f>SUM(S283:V283)</f>
        <v>11.218</v>
      </c>
      <c r="X283" s="12">
        <f>(X154-W154)*-1</f>
        <v>-5.615</v>
      </c>
      <c r="Y283" s="12">
        <f>(Y154-X154)*-1</f>
        <v>-9.192</v>
      </c>
      <c r="Z283" s="12">
        <f>(Z154-Y154)*-1</f>
        <v>0.760999999999996</v>
      </c>
      <c r="AA283" s="12">
        <f>(AA154-Z154)*-1</f>
        <v>4.72800000000001</v>
      </c>
      <c r="AB283" s="12">
        <f>SUM(X283:AA283)</f>
        <v>-9.31799999999999</v>
      </c>
      <c r="AC283" s="12">
        <f>(AC154-AB154)*-1</f>
        <v>-6.479</v>
      </c>
      <c r="AD283" s="12">
        <f>(AD154-AC154)*-1</f>
        <v>4.88199999999999</v>
      </c>
      <c r="AE283" s="12">
        <f>(AE154-AD154)*-1</f>
        <v>-2.16499999999999</v>
      </c>
      <c r="AF283" s="12">
        <f>(AF154-AE154)*-1</f>
        <v>-5.54600000000001</v>
      </c>
      <c r="AG283" s="12">
        <f>SUM(AC283:AF283)</f>
        <v>-9.30800000000001</v>
      </c>
      <c r="AH283" s="12">
        <f>(AH154-AG154)*-1</f>
        <v>-7.905</v>
      </c>
      <c r="AI283" s="12">
        <f>(AI154-AH154)*-1</f>
        <v>-119.229</v>
      </c>
      <c r="AJ283" s="12">
        <f>(AJ154-AI154)*-1</f>
        <v>0</v>
      </c>
      <c r="AK283" s="12">
        <f>(AK154-AJ154)*-1</f>
        <v>0</v>
      </c>
      <c r="AL283" s="12">
        <f>SUM(AH283:AK283)</f>
        <v>-127.134</v>
      </c>
      <c r="AM283" s="12">
        <f>(AM154-AL154)*-1</f>
        <v>0</v>
      </c>
      <c r="AN283" s="12">
        <f>(AN154-AM154)*-1</f>
        <v>0</v>
      </c>
      <c r="AO283" s="12">
        <f>(AO154-AN154)*-1</f>
        <v>0</v>
      </c>
      <c r="AP283" s="12">
        <f>(AP154-AO154)*-1</f>
        <v>0</v>
      </c>
      <c r="AQ283" s="12">
        <f>SUM(AM283:AP283)</f>
        <v>0</v>
      </c>
      <c r="AR283" s="12">
        <f>(AR154-AQ154)*-1</f>
        <v>0</v>
      </c>
      <c r="AS283" s="12">
        <f>(AS154-AR154)*-1</f>
        <v>0</v>
      </c>
      <c r="AT283" s="12">
        <f>(AT154-AS154)*-1</f>
        <v>0</v>
      </c>
      <c r="AU283" s="12">
        <f>(AU154-AT154)*-1</f>
        <v>0</v>
      </c>
      <c r="AV283" s="12">
        <f>SUM(AR283:AU283)</f>
        <v>0</v>
      </c>
      <c r="AW283" s="12">
        <f>(AW154-AV154)*-1</f>
        <v>0</v>
      </c>
      <c r="AX283" s="12">
        <f>(AX154-AW154)*-1</f>
        <v>0</v>
      </c>
      <c r="AY283" s="12">
        <f>(AY154-AX154)*-1</f>
        <v>0</v>
      </c>
      <c r="AZ283" s="12">
        <f>(AZ154-AY154)*-1</f>
        <v>0</v>
      </c>
      <c r="BA283" s="12">
        <f>SUM(AW283:AZ283)</f>
        <v>0</v>
      </c>
      <c r="BB283" s="12">
        <f>(BB154-BA154)*-1</f>
        <v>0</v>
      </c>
      <c r="BC283" s="12">
        <f>(BC154-BB154)*-1</f>
        <v>0</v>
      </c>
      <c r="BD283" s="12">
        <f>(BD154-BC154)*-1</f>
        <v>0</v>
      </c>
      <c r="BE283" s="12">
        <f>(BE154-BD154)*-1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Other current assets</t>
        </is>
      </c>
      <c r="D284" s="12" t="n"/>
      <c r="E284" s="12" t="n"/>
      <c r="F284" s="12" t="n"/>
      <c r="G284" s="12" t="n"/>
      <c r="H284" s="12" t="n"/>
      <c r="I284" s="12" t="n"/>
      <c r="J284" s="12">
        <f>(J155-I155)*-1</f>
        <v>-2.837</v>
      </c>
      <c r="K284" s="12">
        <f>(K155-J155)*-1</f>
        <v>-4.02</v>
      </c>
      <c r="L284" s="12">
        <f>(L155-K155)*-1</f>
        <v>10.811</v>
      </c>
      <c r="M284" s="12" t="n"/>
      <c r="N284" s="12">
        <f>(N155-M155)*-1</f>
        <v>-3.975</v>
      </c>
      <c r="O284" s="12">
        <f>(O155-N155)*-1</f>
        <v>-0.450999999999999</v>
      </c>
      <c r="P284" s="12">
        <f>(P155-O155)*-1</f>
        <v>0.0429999999999993</v>
      </c>
      <c r="Q284" s="12">
        <f>(Q155-P155)*-1</f>
        <v>-2.388</v>
      </c>
      <c r="R284" s="12">
        <f>SUM(N284:Q284)</f>
        <v>-6.771</v>
      </c>
      <c r="S284" s="12">
        <f>(S155-R155)*-1</f>
        <v>-8.369</v>
      </c>
      <c r="T284" s="12">
        <f>(T155-S155)*-1</f>
        <v>-3.814</v>
      </c>
      <c r="U284" s="12">
        <f>(U155-T155)*-1</f>
        <v>-7.107</v>
      </c>
      <c r="V284" s="12">
        <f>(V155-U155)*-1</f>
        <v>3.155</v>
      </c>
      <c r="W284" s="12">
        <f>SUM(S284:V284)</f>
        <v>-16.135</v>
      </c>
      <c r="X284" s="12">
        <f>(X155-W155)*-1</f>
        <v>-14.185</v>
      </c>
      <c r="Y284" s="12">
        <f>(Y155-X155)*-1</f>
        <v>6.38999999999999</v>
      </c>
      <c r="Z284" s="12">
        <f>(Z155-Y155)*-1</f>
        <v>-2.168</v>
      </c>
      <c r="AA284" s="12">
        <f>(AA155-Z155)*-1</f>
        <v>-10.922</v>
      </c>
      <c r="AB284" s="12">
        <f>SUM(X284:AA284)</f>
        <v>-20.885</v>
      </c>
      <c r="AC284" s="12">
        <f>(AC155-AB155)*-1</f>
        <v>-0.441000000000003</v>
      </c>
      <c r="AD284" s="12">
        <f>(AD155-AC155)*-1</f>
        <v>-6.905</v>
      </c>
      <c r="AE284" s="12">
        <f>(AE155-AD155)*-1</f>
        <v>-6.198</v>
      </c>
      <c r="AF284" s="12">
        <f>(AF155-AE155)*-1</f>
        <v>-2.69499999999999</v>
      </c>
      <c r="AG284" s="12">
        <f>SUM(AC284:AF284)</f>
        <v>-16.239</v>
      </c>
      <c r="AH284" s="12">
        <f>(AH155-AG155)*-1</f>
        <v>-15.461</v>
      </c>
      <c r="AI284" s="12">
        <f>(AI155-AH155)*-1</f>
        <v>-148.19</v>
      </c>
      <c r="AJ284" s="12">
        <f>(AJ155-AI155)*-1</f>
        <v>0</v>
      </c>
      <c r="AK284" s="12">
        <f>(AK155-AJ155)*-1</f>
        <v>0</v>
      </c>
      <c r="AL284" s="12">
        <f>SUM(AH284:AK284)</f>
        <v>-163.651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Accounts payable</t>
        </is>
      </c>
      <c r="D285" s="12" t="n"/>
      <c r="E285" s="12" t="n"/>
      <c r="F285" s="12" t="n"/>
      <c r="G285" s="12" t="n"/>
      <c r="H285" s="12" t="n"/>
      <c r="I285" s="12" t="n"/>
      <c r="J285" s="12">
        <f>J198-I198</f>
        <v>-9.688</v>
      </c>
      <c r="K285" s="12">
        <f>K198-J198</f>
        <v>-6.986</v>
      </c>
      <c r="L285" s="12">
        <f>L198-K198</f>
        <v>18.356</v>
      </c>
      <c r="M285" s="12" t="n"/>
      <c r="N285" s="12">
        <f>N198-M198</f>
        <v>18.271</v>
      </c>
      <c r="O285" s="12">
        <f>O198-N198</f>
        <v>10.441</v>
      </c>
      <c r="P285" s="12">
        <f>P198-O198</f>
        <v>-0.546000000000007</v>
      </c>
      <c r="Q285" s="12">
        <f>Q198-P198</f>
        <v>-6.155</v>
      </c>
      <c r="R285" s="12">
        <f>SUM(N285:Q285)</f>
        <v>22.011</v>
      </c>
      <c r="S285" s="12">
        <f>S198-R198</f>
        <v>-1.33199999999999</v>
      </c>
      <c r="T285" s="12">
        <f>T198-S198</f>
        <v>-13.509</v>
      </c>
      <c r="U285" s="12">
        <f>U198-T198</f>
        <v>0.0790000000000006</v>
      </c>
      <c r="V285" s="12">
        <f>V198-U198</f>
        <v>8.474</v>
      </c>
      <c r="W285" s="12">
        <f>SUM(S285:V285)</f>
        <v>-6.288</v>
      </c>
      <c r="X285" s="12">
        <f>X198-W198</f>
        <v>-6.584</v>
      </c>
      <c r="Y285" s="12">
        <f>Y198-X198</f>
        <v>14.05</v>
      </c>
      <c r="Z285" s="12">
        <f>Z198-Y198</f>
        <v>1.39700000000001</v>
      </c>
      <c r="AA285" s="12">
        <f>AA198-Z198</f>
        <v>38.327</v>
      </c>
      <c r="AB285" s="12">
        <f>SUM(X285:AA285)</f>
        <v>47.19</v>
      </c>
      <c r="AC285" s="12">
        <f>AC198-AB198</f>
        <v>5.137</v>
      </c>
      <c r="AD285" s="12">
        <f>AD198-AC198</f>
        <v>66.315</v>
      </c>
      <c r="AE285" s="12">
        <f>AE198-AD198</f>
        <v>-39.687</v>
      </c>
      <c r="AF285" s="12">
        <f>AF198-AE198</f>
        <v>7.30000000000001</v>
      </c>
      <c r="AG285" s="12">
        <f>SUM(AC285:AF285)</f>
        <v>39.065</v>
      </c>
      <c r="AH285" s="12">
        <f>AH198-AG198</f>
        <v>22.177</v>
      </c>
      <c r="AI285" s="12">
        <f>AI198-AH198</f>
        <v>197.068</v>
      </c>
      <c r="AJ285" s="12">
        <f>AJ198-AI198</f>
        <v>-145.930780075225</v>
      </c>
      <c r="AK285" s="12">
        <f>AK198-AJ198</f>
        <v>-13.0510238881361</v>
      </c>
      <c r="AL285" s="12">
        <f>SUM(AH285:AK285)</f>
        <v>60.2631960366389</v>
      </c>
      <c r="AM285" s="12">
        <f>AM198-AL198</f>
        <v>57.7861110408271</v>
      </c>
      <c r="AN285" s="12">
        <f>AN198-AM198</f>
        <v>227.051726507899</v>
      </c>
      <c r="AO285" s="12">
        <f>AO198-AN198</f>
        <v>-184.552686601468</v>
      </c>
      <c r="AP285" s="12">
        <f>AP198-AO198</f>
        <v>-18.2472043581477</v>
      </c>
      <c r="AQ285" s="12">
        <f>SUM(AM285:AP285)</f>
        <v>82.0379465891107</v>
      </c>
      <c r="AR285" s="12">
        <f>AR198-AQ198</f>
        <v>75.4349332307773</v>
      </c>
      <c r="AS285" s="12">
        <f>AS198-AR198</f>
        <v>320.35479579281</v>
      </c>
      <c r="AT285" s="12">
        <f>AT198-AS198</f>
        <v>-257.108377734654</v>
      </c>
      <c r="AU285" s="12">
        <f>AU198-AT198</f>
        <v>-25.4209743413118</v>
      </c>
      <c r="AV285" s="12">
        <f>SUM(AR285:AU285)</f>
        <v>113.260376947621</v>
      </c>
      <c r="AW285" s="12">
        <f>AW198-AV198</f>
        <v>108.880996080255</v>
      </c>
      <c r="AX285" s="12">
        <f>AX198-AW198</f>
        <v>439.091502181519</v>
      </c>
      <c r="AY285" s="12">
        <f>AY198-AX198</f>
        <v>-356.903326117868</v>
      </c>
      <c r="AZ285" s="12">
        <f>AZ198-AY198</f>
        <v>-35.2879605694322</v>
      </c>
      <c r="BA285" s="12">
        <f>SUM(AW285:AZ285)</f>
        <v>155.781211574475</v>
      </c>
      <c r="BB285" s="12">
        <f>BB198-BA198</f>
        <v>148.591295577095</v>
      </c>
      <c r="BC285" s="12">
        <f>BC198-BB198</f>
        <v>607.326561878166</v>
      </c>
      <c r="BD285" s="12">
        <f>BD198-BC198</f>
        <v>-493.648519493415</v>
      </c>
      <c r="BE285" s="12">
        <f>BE198-BD198</f>
        <v>-48.8083136700419</v>
      </c>
      <c r="BF285" s="12">
        <f>SUM(BB285:BE285)</f>
        <v>213.461024291805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Accrued expenses</t>
        </is>
      </c>
      <c r="D286" s="12" t="n"/>
      <c r="E286" s="12" t="n"/>
      <c r="F286" s="12" t="n"/>
      <c r="G286" s="12" t="n"/>
      <c r="H286" s="12" t="n"/>
      <c r="I286" s="12" t="n"/>
      <c r="J286" s="12">
        <f>J202-I202</f>
        <v>0.210000000000001</v>
      </c>
      <c r="K286" s="12">
        <f>K202-J202</f>
        <v>-19.716</v>
      </c>
      <c r="L286" s="12">
        <f>L202-K202</f>
        <v>-3.623</v>
      </c>
      <c r="M286" s="12" t="n"/>
      <c r="N286" s="12">
        <f>N202-M202</f>
        <v>2.901</v>
      </c>
      <c r="O286" s="12">
        <f>O202-N202</f>
        <v>12.348</v>
      </c>
      <c r="P286" s="12">
        <f>P202-O202</f>
        <v>4.1</v>
      </c>
      <c r="Q286" s="12">
        <f>Q202-P202</f>
        <v>-7.21</v>
      </c>
      <c r="R286" s="12">
        <f>SUM(N286:Q286)</f>
        <v>12.139</v>
      </c>
      <c r="S286" s="12">
        <f>S202-R202</f>
        <v>3.776</v>
      </c>
      <c r="T286" s="12">
        <f>T202-S202</f>
        <v>2.396</v>
      </c>
      <c r="U286" s="12">
        <f>U202-T202</f>
        <v>3.11</v>
      </c>
      <c r="V286" s="12">
        <f>V202-U202</f>
        <v>-8.883</v>
      </c>
      <c r="W286" s="12">
        <f>SUM(S286:V286)</f>
        <v>0.399000000000001</v>
      </c>
      <c r="X286" s="12">
        <f>X202-W202</f>
        <v>3.743</v>
      </c>
      <c r="Y286" s="12">
        <f>Y202-X202</f>
        <v>5.022</v>
      </c>
      <c r="Z286" s="12">
        <f>Z202-Y202</f>
        <v>2.183</v>
      </c>
      <c r="AA286" s="12">
        <f>AA202-Z202</f>
        <v>-4.10299999999999</v>
      </c>
      <c r="AB286" s="12">
        <f>SUM(X286:AA286)</f>
        <v>6.845</v>
      </c>
      <c r="AC286" s="12">
        <f>AC202-AB202</f>
        <v>1.556</v>
      </c>
      <c r="AD286" s="12">
        <f>AD202-AC202</f>
        <v>4.995</v>
      </c>
      <c r="AE286" s="12">
        <f>AE202-AD202</f>
        <v>2.083</v>
      </c>
      <c r="AF286" s="12">
        <f>AF202-AE202</f>
        <v>-8.833</v>
      </c>
      <c r="AG286" s="12">
        <f>SUM(AC286:AF286)</f>
        <v>-0.199000000000005</v>
      </c>
      <c r="AH286" s="12">
        <f>AH202-AG202</f>
        <v>3.826</v>
      </c>
      <c r="AI286" s="12">
        <f>AI202-AH202</f>
        <v>183.908</v>
      </c>
      <c r="AJ286" s="12">
        <f>AJ202-AI202</f>
        <v>87.4434629841671</v>
      </c>
      <c r="AK286" s="12">
        <f>AK202-AJ202</f>
        <v>122.258510330878</v>
      </c>
      <c r="AL286" s="12">
        <f>SUM(AH286:AK286)</f>
        <v>397.435973315045</v>
      </c>
      <c r="AM286" s="12">
        <f>AM202-AL202</f>
        <v>170.934942855955</v>
      </c>
      <c r="AN286" s="12">
        <f>AN202-AM202</f>
        <v>238.991581118496</v>
      </c>
      <c r="AO286" s="12">
        <f>AO202-AN202</f>
        <v>334.144528270329</v>
      </c>
      <c r="AP286" s="12">
        <f>AP202-AO202</f>
        <v>467.18200386164</v>
      </c>
      <c r="AQ286" s="12">
        <f>SUM(AM286:AP286)</f>
        <v>1211.25305610642</v>
      </c>
      <c r="AR286" s="12">
        <f>AR202-AQ202</f>
        <v>644.984571902214</v>
      </c>
      <c r="AS286" s="12">
        <f>AS202-AR202</f>
        <v>898.556070894608</v>
      </c>
      <c r="AT286" s="12">
        <f>AT202-AS202</f>
        <v>1251.81755923298</v>
      </c>
      <c r="AU286" s="12">
        <f>AU202-AT202</f>
        <v>1743.96150931777</v>
      </c>
      <c r="AV286" s="12">
        <f>SUM(AR286:AU286)</f>
        <v>4539.31971134757</v>
      </c>
      <c r="AW286" s="12">
        <f>AW202-AV202</f>
        <v>2398.689146041</v>
      </c>
      <c r="AX286" s="12">
        <f>AX202-AW202</f>
        <v>3329.7247724397</v>
      </c>
      <c r="AY286" s="12">
        <f>AY202-AX202</f>
        <v>4622.13583552401</v>
      </c>
      <c r="AZ286" s="12">
        <f>AZ202-AY202</f>
        <v>6416.18786599641</v>
      </c>
      <c r="BA286" s="12">
        <f>SUM(AW286:AZ286)</f>
        <v>16766.7376200011</v>
      </c>
      <c r="BB286" s="12">
        <f>BB202-BA202</f>
        <v>8791.85634828287</v>
      </c>
      <c r="BC286" s="12">
        <f>BC202-BB202</f>
        <v>12160.3990557804</v>
      </c>
      <c r="BD286" s="12">
        <f>BD202-BC202</f>
        <v>16819.5770424192</v>
      </c>
      <c r="BE286" s="12">
        <f>BE202-BD202</f>
        <v>23263.8888401774</v>
      </c>
      <c r="BF286" s="12">
        <f>SUM(BB286:BE286)</f>
        <v>61035.7212866599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Taxes payable</t>
        </is>
      </c>
      <c r="D287" s="12" t="n"/>
      <c r="E287" s="12" t="n"/>
      <c r="F287" s="12" t="n"/>
      <c r="G287" s="12" t="n"/>
      <c r="H287" s="12" t="n"/>
      <c r="I287" s="12" t="n"/>
      <c r="J287" s="12">
        <f>J204-I204</f>
        <v>-0.0970000000000013</v>
      </c>
      <c r="K287" s="12">
        <f>K204-J204</f>
        <v>-1.042</v>
      </c>
      <c r="L287" s="12">
        <f>L204-K204</f>
        <v>-2.48399999999999</v>
      </c>
      <c r="M287" s="12" t="n"/>
      <c r="N287" s="12">
        <f>N204-M204</f>
        <v>-6.264</v>
      </c>
      <c r="O287" s="12">
        <f>O204-N204</f>
        <v>13.785</v>
      </c>
      <c r="P287" s="12">
        <f>P204-O204</f>
        <v>6.474</v>
      </c>
      <c r="Q287" s="12">
        <f>Q204-P204</f>
        <v>13.708</v>
      </c>
      <c r="R287" s="12">
        <f>SUM(N287:Q287)</f>
        <v>27.703</v>
      </c>
      <c r="S287" s="12">
        <f>S204-R204</f>
        <v>-2.961</v>
      </c>
      <c r="T287" s="12">
        <f>T204-S204</f>
        <v>-7.903</v>
      </c>
      <c r="U287" s="12">
        <f>U204-T204</f>
        <v>0.244</v>
      </c>
      <c r="V287" s="12">
        <f>V204-U204</f>
        <v>0.174</v>
      </c>
      <c r="W287" s="12">
        <f>SUM(S287:V287)</f>
        <v>-10.446</v>
      </c>
      <c r="X287" s="12">
        <f>X204-W204</f>
        <v>8.482</v>
      </c>
      <c r="Y287" s="12">
        <f>Y204-X204</f>
        <v>-5.912</v>
      </c>
      <c r="Z287" s="12">
        <f>Z204-Y204</f>
        <v>-2.773</v>
      </c>
      <c r="AA287" s="12">
        <f>AA204-Z204</f>
        <v>11.521</v>
      </c>
      <c r="AB287" s="12">
        <f>SUM(X287:AA287)</f>
        <v>11.318</v>
      </c>
      <c r="AC287" s="12">
        <f>AC204-AB204</f>
        <v>-6.305</v>
      </c>
      <c r="AD287" s="12">
        <f>AD204-AC204</f>
        <v>-1.767</v>
      </c>
      <c r="AE287" s="12">
        <f>AE204-AD204</f>
        <v>2.59399999999999</v>
      </c>
      <c r="AF287" s="12">
        <f>AF204-AE204</f>
        <v>-4.27399999999999</v>
      </c>
      <c r="AG287" s="12">
        <f>SUM(AC287:AF287)</f>
        <v>-9.752</v>
      </c>
      <c r="AH287" s="12">
        <f>AH204-AG204</f>
        <v>11.767</v>
      </c>
      <c r="AI287" s="12">
        <f>AI204-AH204</f>
        <v>40.28</v>
      </c>
      <c r="AJ287" s="12">
        <f>AJ204-AI204</f>
        <v>43.6938614463294</v>
      </c>
      <c r="AK287" s="12">
        <f>AK204-AJ204</f>
        <v>61.0902888418228</v>
      </c>
      <c r="AL287" s="12">
        <f>SUM(AH287:AK287)</f>
        <v>156.831150288152</v>
      </c>
      <c r="AM287" s="12">
        <f>AM204-AL204</f>
        <v>85.4129909154747</v>
      </c>
      <c r="AN287" s="12">
        <f>AN204-AM204</f>
        <v>119.419618984229</v>
      </c>
      <c r="AO287" s="12">
        <f>AO204-AN204</f>
        <v>166.965765341846</v>
      </c>
      <c r="AP287" s="12">
        <f>AP204-AO204</f>
        <v>233.442101334036</v>
      </c>
      <c r="AQ287" s="12">
        <f>SUM(AM287:AP287)</f>
        <v>605.240476575586</v>
      </c>
      <c r="AR287" s="12">
        <f>AR204-AQ204</f>
        <v>322.286715987199</v>
      </c>
      <c r="AS287" s="12">
        <f>AS204-AR204</f>
        <v>448.991646986076</v>
      </c>
      <c r="AT287" s="12">
        <f>AT204-AS204</f>
        <v>625.509799390168</v>
      </c>
      <c r="AU287" s="12">
        <f>AU204-AT204</f>
        <v>871.42491794566</v>
      </c>
      <c r="AV287" s="12">
        <f>SUM(AR287:AU287)</f>
        <v>2268.2130803091</v>
      </c>
      <c r="AW287" s="12">
        <f>AW204-AV204</f>
        <v>1198.58006102648</v>
      </c>
      <c r="AX287" s="12">
        <f>AX204-AW204</f>
        <v>1663.80113385644</v>
      </c>
      <c r="AY287" s="12">
        <f>AY204-AX204</f>
        <v>2309.59474718045</v>
      </c>
      <c r="AZ287" s="12">
        <f>AZ204-AY204</f>
        <v>3206.04896081515</v>
      </c>
      <c r="BA287" s="12">
        <f>SUM(AW287:AZ287)</f>
        <v>8378.02490287852</v>
      </c>
      <c r="BB287" s="12">
        <f>BB204-BA204</f>
        <v>4393.12602712749</v>
      </c>
      <c r="BC287" s="12">
        <f>BC204-BB204</f>
        <v>6076.32375643165</v>
      </c>
      <c r="BD287" s="12">
        <f>BD204-BC204</f>
        <v>8404.42777306743</v>
      </c>
      <c r="BE287" s="12">
        <f>BE204-BD204</f>
        <v>11624.529736083</v>
      </c>
      <c r="BF287" s="12">
        <f>SUM(BB287:BE287)</f>
        <v>30498.4072927095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Other current liabilities (non-debt)</t>
        </is>
      </c>
      <c r="D288" s="12" t="n"/>
      <c r="E288" s="12" t="n"/>
      <c r="F288" s="12" t="n"/>
      <c r="G288" s="12" t="n"/>
      <c r="H288" s="12" t="n"/>
      <c r="I288" s="12" t="n"/>
      <c r="J288" s="12">
        <f>J205-I205</f>
        <v>11.811</v>
      </c>
      <c r="K288" s="12">
        <f>K205-J205</f>
        <v>-16.32</v>
      </c>
      <c r="L288" s="12">
        <f>L205-K205</f>
        <v>8.19300000000001</v>
      </c>
      <c r="M288" s="12" t="n"/>
      <c r="N288" s="12">
        <f>N205-M205</f>
        <v>3.119</v>
      </c>
      <c r="O288" s="12">
        <f>O205-N205</f>
        <v>-0.650999999999996</v>
      </c>
      <c r="P288" s="12">
        <f>P205-O205</f>
        <v>10.167</v>
      </c>
      <c r="Q288" s="12">
        <f>Q205-P205</f>
        <v>32.848</v>
      </c>
      <c r="R288" s="12">
        <f>SUM(N288:Q288)</f>
        <v>45.483</v>
      </c>
      <c r="S288" s="12">
        <f>S205-R205</f>
        <v>-26.662</v>
      </c>
      <c r="T288" s="12">
        <f>T205-S205</f>
        <v>-15.355</v>
      </c>
      <c r="U288" s="12">
        <f>U205-T205</f>
        <v>-9.231</v>
      </c>
      <c r="V288" s="12">
        <f>V205-U205</f>
        <v>-18.681</v>
      </c>
      <c r="W288" s="12">
        <f>SUM(S288:V288)</f>
        <v>-69.929</v>
      </c>
      <c r="X288" s="12">
        <f>X205-W205</f>
        <v>-1.41699999999999</v>
      </c>
      <c r="Y288" s="12">
        <f>Y205-X205</f>
        <v>-2.865</v>
      </c>
      <c r="Z288" s="12">
        <f>Z205-Y205</f>
        <v>0.0240000000000009</v>
      </c>
      <c r="AA288" s="12">
        <f>AA205-Z205</f>
        <v>-8.069</v>
      </c>
      <c r="AB288" s="12">
        <f>SUM(X288:AA288)</f>
        <v>-12.327</v>
      </c>
      <c r="AC288" s="12">
        <f>AC205-AB205</f>
        <v>-6.471</v>
      </c>
      <c r="AD288" s="12">
        <f>AD205-AC205</f>
        <v>2.909</v>
      </c>
      <c r="AE288" s="12">
        <f>AE205-AD205</f>
        <v>-1.983</v>
      </c>
      <c r="AF288" s="12">
        <f>AF205-AE205</f>
        <v>81.361</v>
      </c>
      <c r="AG288" s="12">
        <f>SUM(AC288:AF288)</f>
        <v>75.816</v>
      </c>
      <c r="AH288" s="12">
        <f>AH205-AG205</f>
        <v>-16.941</v>
      </c>
      <c r="AI288" s="12">
        <f>AI205-AH205</f>
        <v>43.211</v>
      </c>
      <c r="AJ288" s="12">
        <f>AJ205-AI205</f>
        <v>0</v>
      </c>
      <c r="AK288" s="12">
        <f>AK205-AJ205</f>
        <v>0</v>
      </c>
      <c r="AL288" s="12">
        <f>SUM(AH288:AK288)</f>
        <v>26.27</v>
      </c>
      <c r="AM288" s="12">
        <f>AM205-AL205</f>
        <v>0</v>
      </c>
      <c r="AN288" s="12">
        <f>AN205-AM205</f>
        <v>0</v>
      </c>
      <c r="AO288" s="12">
        <f>AO205-AN205</f>
        <v>0</v>
      </c>
      <c r="AP288" s="12">
        <f>AP205-AO205</f>
        <v>0</v>
      </c>
      <c r="AQ288" s="12">
        <f>SUM(AM288:AP288)</f>
        <v>0</v>
      </c>
      <c r="AR288" s="12">
        <f>AR205-AQ205</f>
        <v>0</v>
      </c>
      <c r="AS288" s="12">
        <f>AS205-AR205</f>
        <v>0</v>
      </c>
      <c r="AT288" s="12">
        <f>AT205-AS205</f>
        <v>0</v>
      </c>
      <c r="AU288" s="12">
        <f>AU205-AT205</f>
        <v>0</v>
      </c>
      <c r="AV288" s="12">
        <f>SUM(AR288:AU288)</f>
        <v>0</v>
      </c>
      <c r="AW288" s="12">
        <f>AW205-AV205</f>
        <v>0</v>
      </c>
      <c r="AX288" s="12">
        <f>AX205-AW205</f>
        <v>0</v>
      </c>
      <c r="AY288" s="12">
        <f>AY205-AX205</f>
        <v>0</v>
      </c>
      <c r="AZ288" s="12">
        <f>AZ205-AY205</f>
        <v>0</v>
      </c>
      <c r="BA288" s="12">
        <f>SUM(AW288:AZ288)</f>
        <v>0</v>
      </c>
      <c r="BB288" s="12">
        <f>BB205-BA205</f>
        <v>0</v>
      </c>
      <c r="BC288" s="12">
        <f>BC205-BB205</f>
        <v>0</v>
      </c>
      <c r="BD288" s="12">
        <f>BD205-BC205</f>
        <v>0</v>
      </c>
      <c r="BE288" s="12">
        <f>BE205-BD205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hidden="1" outlineLevel="1">
      <c r="C289" s="10" t="inlineStr">
        <is>
          <t>Deferred income taxes</t>
        </is>
      </c>
      <c r="D289" s="12" t="n"/>
      <c r="E289" s="12" t="n"/>
      <c r="F289" s="12" t="n"/>
      <c r="G289" s="12" t="n"/>
      <c r="H289" s="12" t="n"/>
      <c r="I289" s="12" t="n"/>
      <c r="J289" s="12">
        <f>J239-I239</f>
        <v>-0.321000000000002</v>
      </c>
      <c r="K289" s="12">
        <f>K239-J239</f>
        <v>2.486</v>
      </c>
      <c r="L289" s="12">
        <f>L239-K239</f>
        <v>-10.877</v>
      </c>
      <c r="M289" s="12" t="n"/>
      <c r="N289" s="12">
        <f>N239-M239</f>
        <v>0</v>
      </c>
      <c r="O289" s="12">
        <f>O239-N239</f>
        <v>0</v>
      </c>
      <c r="P289" s="12">
        <f>P239-O239</f>
        <v>0</v>
      </c>
      <c r="Q289" s="12">
        <f>Q239-P239</f>
        <v>-4.966</v>
      </c>
      <c r="R289" s="12">
        <f>SUM(N289:Q289)</f>
        <v>-4.966</v>
      </c>
      <c r="S289" s="12">
        <f>S239-R239</f>
        <v>0</v>
      </c>
      <c r="T289" s="12">
        <f>T239-S239</f>
        <v>0</v>
      </c>
      <c r="U289" s="12">
        <f>U239-T239</f>
        <v>0</v>
      </c>
      <c r="V289" s="12">
        <f>V239-U239</f>
        <v>0</v>
      </c>
      <c r="W289" s="12">
        <f>SUM(S289:V289)</f>
        <v>0</v>
      </c>
      <c r="X289" s="12">
        <f>X239-W239</f>
        <v>0</v>
      </c>
      <c r="Y289" s="12">
        <f>Y239-X239</f>
        <v>0</v>
      </c>
      <c r="Z289" s="12">
        <f>Z239-Y239</f>
        <v>0</v>
      </c>
      <c r="AA289" s="12">
        <f>AA239-Z239</f>
        <v>-0.459</v>
      </c>
      <c r="AB289" s="12">
        <f>SUM(X289:AA289)</f>
        <v>-0.459</v>
      </c>
      <c r="AC289" s="12">
        <f>AC239-AB239</f>
        <v>0</v>
      </c>
      <c r="AD289" s="12">
        <f>AD239-AC239</f>
        <v>0</v>
      </c>
      <c r="AE289" s="12">
        <f>AE239-AD239</f>
        <v>0</v>
      </c>
      <c r="AF289" s="12">
        <f>AF239-AE239</f>
        <v>-0.952</v>
      </c>
      <c r="AG289" s="12">
        <f>SUM(AC289:AF289)</f>
        <v>-0.952</v>
      </c>
      <c r="AH289" s="12">
        <f>AH239-AG239</f>
        <v>0</v>
      </c>
      <c r="AI289" s="12">
        <f>AI239-AH239</f>
        <v>594.558</v>
      </c>
      <c r="AJ289" s="12">
        <f>AJ239-AI239</f>
        <v>0</v>
      </c>
      <c r="AK289" s="12">
        <f>AK239-AJ239</f>
        <v>0</v>
      </c>
      <c r="AL289" s="12">
        <f>SUM(AH289:AK289)</f>
        <v>594.558</v>
      </c>
      <c r="AM289" s="12">
        <f>AM239-AL239</f>
        <v>0</v>
      </c>
      <c r="AN289" s="12">
        <f>AN239-AM239</f>
        <v>0</v>
      </c>
      <c r="AO289" s="12">
        <f>AO239-AN239</f>
        <v>0</v>
      </c>
      <c r="AP289" s="12">
        <f>AP239-AO239</f>
        <v>0</v>
      </c>
      <c r="AQ289" s="12">
        <f>SUM(AM289:AP289)</f>
        <v>0</v>
      </c>
      <c r="AR289" s="12">
        <f>AR239-AQ239</f>
        <v>0</v>
      </c>
      <c r="AS289" s="12">
        <f>AS239-AR239</f>
        <v>0</v>
      </c>
      <c r="AT289" s="12">
        <f>AT239-AS239</f>
        <v>0</v>
      </c>
      <c r="AU289" s="12">
        <f>AU239-AT239</f>
        <v>0</v>
      </c>
      <c r="AV289" s="12">
        <f>SUM(AR289:AU289)</f>
        <v>0</v>
      </c>
      <c r="AW289" s="12">
        <f>AW239-AV239</f>
        <v>0</v>
      </c>
      <c r="AX289" s="12">
        <f>AX239-AW239</f>
        <v>0</v>
      </c>
      <c r="AY289" s="12">
        <f>AY239-AX239</f>
        <v>0</v>
      </c>
      <c r="AZ289" s="12">
        <f>AZ239-AY239</f>
        <v>0</v>
      </c>
      <c r="BA289" s="12">
        <f>SUM(AW289:AZ289)</f>
        <v>0</v>
      </c>
      <c r="BB289" s="12">
        <f>BB239-BA239</f>
        <v>0</v>
      </c>
      <c r="BC289" s="12">
        <f>BC239-BB239</f>
        <v>0</v>
      </c>
      <c r="BD289" s="12">
        <f>BD239-BC239</f>
        <v>0</v>
      </c>
      <c r="BE289" s="12">
        <f>BE239-BD239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collapsed="1">
      <c r="C290" s="10" t="inlineStr">
        <is>
          <t>Equity income in affiliates</t>
        </is>
      </c>
      <c r="D290" s="12" t="n"/>
      <c r="E290" s="12" t="n"/>
      <c r="F290" s="12" t="n"/>
      <c r="G290" s="12" t="n"/>
      <c r="H290" s="12" t="n"/>
      <c r="I290" s="12" t="n"/>
      <c r="J290" s="12">
        <f>(J161-I161)*-1</f>
        <v>0</v>
      </c>
      <c r="K290" s="12">
        <f>(K161-J161)*-1</f>
        <v>-1.623</v>
      </c>
      <c r="L290" s="12">
        <f>(L161-K161)*-1</f>
        <v>-2.799</v>
      </c>
      <c r="M290" s="12" t="n"/>
      <c r="N290" s="12">
        <f>(N161-M161)*-1</f>
        <v>-11.017</v>
      </c>
      <c r="O290" s="12">
        <f>(O161-N161)*-1</f>
        <v>-15.48</v>
      </c>
      <c r="P290" s="12">
        <f>(P161-O161)*-1</f>
        <v>-8.941</v>
      </c>
      <c r="Q290" s="12">
        <f>(Q161-P161)*-1</f>
        <v>-4.224</v>
      </c>
      <c r="R290" s="12">
        <f>SUM(N290:Q290)</f>
        <v>-39.662</v>
      </c>
      <c r="S290" s="12">
        <f>(S161-R161)*-1</f>
        <v>-3.08499999999999</v>
      </c>
      <c r="T290" s="12">
        <f>(T161-S161)*-1</f>
        <v>-32.131</v>
      </c>
      <c r="U290" s="12">
        <f>(U161-T161)*-1</f>
        <v>1.328</v>
      </c>
      <c r="V290" s="12">
        <f>(V161-U161)*-1</f>
        <v>-20.985</v>
      </c>
      <c r="W290" s="12">
        <f>SUM(S290:V290)</f>
        <v>-54.873</v>
      </c>
      <c r="X290" s="12">
        <f>(X161-W161)*-1</f>
        <v>-3.49000000000001</v>
      </c>
      <c r="Y290" s="12">
        <f>(Y161-X161)*-1</f>
        <v>0.591000000000008</v>
      </c>
      <c r="Z290" s="12">
        <f>(Z161-Y161)*-1</f>
        <v>-4.7</v>
      </c>
      <c r="AA290" s="12">
        <f>(AA161-Z161)*-1</f>
        <v>-6.245</v>
      </c>
      <c r="AB290" s="12">
        <f>SUM(X290:AA290)</f>
        <v>-13.844</v>
      </c>
      <c r="AC290" s="12">
        <f>(AC161-AB161)*-1</f>
        <v>-4.024</v>
      </c>
      <c r="AD290" s="12">
        <f>(AD161-AC161)*-1</f>
        <v>-1.84699999999999</v>
      </c>
      <c r="AE290" s="12">
        <f>(AE161-AD161)*-1</f>
        <v>-1.03400000000001</v>
      </c>
      <c r="AF290" s="12">
        <f>(AF161-AE161)*-1</f>
        <v>2.245</v>
      </c>
      <c r="AG290" s="12">
        <f>SUM(AC290:AF290)</f>
        <v>-4.66</v>
      </c>
      <c r="AH290" s="12">
        <f>(AH161-AG161)*-1</f>
        <v>0.424999999999997</v>
      </c>
      <c r="AI290" s="12">
        <f>(AI161-AH161)*-1</f>
        <v>-25.503</v>
      </c>
      <c r="AJ290" s="12">
        <f>(AJ161-AI161)*-1</f>
        <v>0</v>
      </c>
      <c r="AK290" s="12">
        <f>(AK161-AJ161)*-1</f>
        <v>0</v>
      </c>
      <c r="AL290" s="12">
        <f>SUM(AH290:AK290)</f>
        <v>-25.078</v>
      </c>
      <c r="AM290" s="12">
        <f>(AM161-AL161)*-1</f>
        <v>0</v>
      </c>
      <c r="AN290" s="12">
        <f>(AN161-AM161)*-1</f>
        <v>0</v>
      </c>
      <c r="AO290" s="12">
        <f>(AO161-AN161)*-1</f>
        <v>0</v>
      </c>
      <c r="AP290" s="12">
        <f>(AP161-AO161)*-1</f>
        <v>0</v>
      </c>
      <c r="AQ290" s="12">
        <f>SUM(AM290:AP290)</f>
        <v>0</v>
      </c>
      <c r="AR290" s="12">
        <f>(AR161-AQ161)*-1</f>
        <v>0</v>
      </c>
      <c r="AS290" s="12">
        <f>(AS161-AR161)*-1</f>
        <v>0</v>
      </c>
      <c r="AT290" s="12">
        <f>(AT161-AS161)*-1</f>
        <v>0</v>
      </c>
      <c r="AU290" s="12">
        <f>(AU161-AT161)*-1</f>
        <v>0</v>
      </c>
      <c r="AV290" s="12">
        <f>SUM(AR290:AU290)</f>
        <v>0</v>
      </c>
      <c r="AW290" s="12">
        <f>(AW161-AV161)*-1</f>
        <v>0</v>
      </c>
      <c r="AX290" s="12">
        <f>(AX161-AW161)*-1</f>
        <v>0</v>
      </c>
      <c r="AY290" s="12">
        <f>(AY161-AX161)*-1</f>
        <v>0</v>
      </c>
      <c r="AZ290" s="12">
        <f>(AZ161-AY161)*-1</f>
        <v>0</v>
      </c>
      <c r="BA290" s="12">
        <f>SUM(AW290:AZ290)</f>
        <v>0</v>
      </c>
      <c r="BB290" s="12">
        <f>(BB161-BA161)*-1</f>
        <v>0</v>
      </c>
      <c r="BC290" s="12">
        <f>(BC161-BB161)*-1</f>
        <v>0</v>
      </c>
      <c r="BD290" s="12">
        <f>(BD161-BC161)*-1</f>
        <v>0</v>
      </c>
      <c r="BE290" s="12">
        <f>(BE161-BD161)*-1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0" t="inlineStr">
        <is>
          <t>Dividends received from affiliates</t>
        </is>
      </c>
      <c r="D291" s="12" t="n"/>
      <c r="E291" s="12" t="n"/>
      <c r="F291" s="12" t="n"/>
      <c r="G291" s="12" t="n"/>
      <c r="H291" s="12" t="n"/>
      <c r="I291" s="12" t="n"/>
      <c r="J291" s="12">
        <f>-J164</f>
        <v>0</v>
      </c>
      <c r="K291" s="12">
        <f>-K164</f>
        <v>0</v>
      </c>
      <c r="L291" s="12">
        <f>-L164</f>
        <v>0</v>
      </c>
      <c r="M291" s="12" t="n"/>
      <c r="N291" s="12">
        <f>-N164</f>
        <v>0</v>
      </c>
      <c r="O291" s="12">
        <f>-O164</f>
        <v>0</v>
      </c>
      <c r="P291" s="12">
        <f>-P164</f>
        <v>0</v>
      </c>
      <c r="Q291" s="12">
        <f>-Q164</f>
        <v>0</v>
      </c>
      <c r="R291" s="12">
        <f>SUM(N291:Q291)</f>
        <v>0</v>
      </c>
      <c r="S291" s="12">
        <f>-S164</f>
        <v>0</v>
      </c>
      <c r="T291" s="12">
        <f>-T164</f>
        <v>0</v>
      </c>
      <c r="U291" s="12">
        <f>-U164</f>
        <v>0</v>
      </c>
      <c r="V291" s="12">
        <f>-V164</f>
        <v>0</v>
      </c>
      <c r="W291" s="12">
        <f>SUM(S291:V291)</f>
        <v>0</v>
      </c>
      <c r="X291" s="12">
        <f>-X164</f>
        <v>0</v>
      </c>
      <c r="Y291" s="12">
        <f>-Y164</f>
        <v>0</v>
      </c>
      <c r="Z291" s="12">
        <f>-Z164</f>
        <v>0</v>
      </c>
      <c r="AA291" s="12">
        <f>-AA164</f>
        <v>0</v>
      </c>
      <c r="AB291" s="12">
        <f>SUM(X291:AA291)</f>
        <v>0</v>
      </c>
      <c r="AC291" s="12">
        <f>-AC164</f>
        <v>0</v>
      </c>
      <c r="AD291" s="12">
        <f>-AD164</f>
        <v>0</v>
      </c>
      <c r="AE291" s="12">
        <f>-AE164</f>
        <v>0</v>
      </c>
      <c r="AF291" s="12">
        <f>-AF164</f>
        <v>0</v>
      </c>
      <c r="AG291" s="12">
        <f>SUM(AC291:AF291)</f>
        <v>0</v>
      </c>
      <c r="AH291" s="12">
        <f>-AH164</f>
        <v>0</v>
      </c>
      <c r="AI291" s="12">
        <f>-AI164</f>
        <v>0</v>
      </c>
      <c r="AJ291" s="12">
        <f>-AJ164</f>
        <v>0</v>
      </c>
      <c r="AK291" s="12">
        <f>-AK164</f>
        <v>0</v>
      </c>
      <c r="AL291" s="12">
        <f>SUM(AH291:AK291)</f>
        <v>0</v>
      </c>
      <c r="AM291" s="12">
        <f>-AM164</f>
        <v>0</v>
      </c>
      <c r="AN291" s="12">
        <f>-AN164</f>
        <v>0</v>
      </c>
      <c r="AO291" s="12">
        <f>-AO164</f>
        <v>0</v>
      </c>
      <c r="AP291" s="12">
        <f>-AP164</f>
        <v>0</v>
      </c>
      <c r="AQ291" s="12">
        <f>SUM(AM291:AP291)</f>
        <v>0</v>
      </c>
      <c r="AR291" s="12">
        <f>-AR164</f>
        <v>0</v>
      </c>
      <c r="AS291" s="12">
        <f>-AS164</f>
        <v>0</v>
      </c>
      <c r="AT291" s="12">
        <f>-AT164</f>
        <v>0</v>
      </c>
      <c r="AU291" s="12">
        <f>-AU164</f>
        <v>0</v>
      </c>
      <c r="AV291" s="12">
        <f>SUM(AR291:AU291)</f>
        <v>0</v>
      </c>
      <c r="AW291" s="12">
        <f>-AW164</f>
        <v>0</v>
      </c>
      <c r="AX291" s="12">
        <f>-AX164</f>
        <v>0</v>
      </c>
      <c r="AY291" s="12">
        <f>-AY164</f>
        <v>0</v>
      </c>
      <c r="AZ291" s="12">
        <f>-AZ164</f>
        <v>0</v>
      </c>
      <c r="BA291" s="12">
        <f>SUM(AW291:AZ291)</f>
        <v>0</v>
      </c>
      <c r="BB291" s="12">
        <f>-BB164</f>
        <v>0</v>
      </c>
      <c r="BC291" s="12">
        <f>-BC164</f>
        <v>0</v>
      </c>
      <c r="BD291" s="12">
        <f>-BD164</f>
        <v>0</v>
      </c>
      <c r="BE291" s="12">
        <f>-BE164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71" t="inlineStr">
        <is>
          <t>Minority interest expense</t>
        </is>
      </c>
      <c r="D292" s="12" t="n"/>
      <c r="E292" s="12" t="n"/>
      <c r="F292" s="12" t="n"/>
      <c r="G292" s="12" t="n"/>
      <c r="H292" s="12" t="n"/>
      <c r="I292" s="12" t="n"/>
      <c r="J292" s="12">
        <f>-J136</f>
        <v>0.988</v>
      </c>
      <c r="K292" s="12">
        <f>-K136</f>
        <v>0.859</v>
      </c>
      <c r="L292" s="12">
        <f>-L136</f>
        <v>3.618</v>
      </c>
      <c r="M292" s="12" t="n"/>
      <c r="N292" s="12">
        <f>-N136</f>
        <v>0.773</v>
      </c>
      <c r="O292" s="12">
        <f>-O136</f>
        <v>1.65</v>
      </c>
      <c r="P292" s="12">
        <f>-P136</f>
        <v>1.467</v>
      </c>
      <c r="Q292" s="12">
        <f>-Q136</f>
        <v>1.652</v>
      </c>
      <c r="R292" s="12">
        <f>SUM(N292:Q292)</f>
        <v>5.542</v>
      </c>
      <c r="S292" s="12">
        <f>-S136</f>
        <v>1.893</v>
      </c>
      <c r="T292" s="12">
        <f>-T136</f>
        <v>2.298</v>
      </c>
      <c r="U292" s="12">
        <f>-U136</f>
        <v>2.043</v>
      </c>
      <c r="V292" s="12">
        <f>-V136</f>
        <v>3.818</v>
      </c>
      <c r="W292" s="12">
        <f>SUM(S292:V292)</f>
        <v>10.052</v>
      </c>
      <c r="X292" s="12">
        <f>-X136</f>
        <v>4.651</v>
      </c>
      <c r="Y292" s="12">
        <f>-Y136</f>
        <v>2.353</v>
      </c>
      <c r="Z292" s="12">
        <f>-Z136</f>
        <v>4.172</v>
      </c>
      <c r="AA292" s="12">
        <f>-AA136</f>
        <v>2.403</v>
      </c>
      <c r="AB292" s="12">
        <f>SUM(X292:AA292)</f>
        <v>13.579</v>
      </c>
      <c r="AC292" s="12">
        <f>-AC136</f>
        <v>2.765</v>
      </c>
      <c r="AD292" s="12">
        <f>-AD136</f>
        <v>2.911</v>
      </c>
      <c r="AE292" s="12">
        <f>-AE136</f>
        <v>4.054</v>
      </c>
      <c r="AF292" s="12">
        <f>-AF136</f>
        <v>4.09</v>
      </c>
      <c r="AG292" s="12">
        <f>SUM(AC292:AF292)</f>
        <v>13.82</v>
      </c>
      <c r="AH292" s="12">
        <f>-AH136</f>
        <v>3.838</v>
      </c>
      <c r="AI292" s="12">
        <f>-AI136</f>
        <v>17.498</v>
      </c>
      <c r="AJ292" s="12">
        <f>-AJ136</f>
        <v>0</v>
      </c>
      <c r="AK292" s="12">
        <f>-AK136</f>
        <v>0</v>
      </c>
      <c r="AL292" s="12">
        <f>SUM(AH292:AK292)</f>
        <v>21.336</v>
      </c>
      <c r="AM292" s="12">
        <f>-AM136</f>
        <v>0</v>
      </c>
      <c r="AN292" s="12">
        <f>-AN136</f>
        <v>0</v>
      </c>
      <c r="AO292" s="12">
        <f>-AO136</f>
        <v>0</v>
      </c>
      <c r="AP292" s="12">
        <f>-AP136</f>
        <v>0</v>
      </c>
      <c r="AQ292" s="12">
        <f>SUM(AM292:AP292)</f>
        <v>0</v>
      </c>
      <c r="AR292" s="12">
        <f>-AR136</f>
        <v>0</v>
      </c>
      <c r="AS292" s="12">
        <f>-AS136</f>
        <v>0</v>
      </c>
      <c r="AT292" s="12">
        <f>-AT136</f>
        <v>0</v>
      </c>
      <c r="AU292" s="12">
        <f>-AU136</f>
        <v>0</v>
      </c>
      <c r="AV292" s="12">
        <f>SUM(AR292:AU292)</f>
        <v>0</v>
      </c>
      <c r="AW292" s="12">
        <f>-AW136</f>
        <v>0</v>
      </c>
      <c r="AX292" s="12">
        <f>-AX136</f>
        <v>0</v>
      </c>
      <c r="AY292" s="12">
        <f>-AY136</f>
        <v>0</v>
      </c>
      <c r="AZ292" s="12">
        <f>-AZ136</f>
        <v>0</v>
      </c>
      <c r="BA292" s="12">
        <f>SUM(AW292:AZ292)</f>
        <v>0</v>
      </c>
      <c r="BB292" s="12">
        <f>-BB136</f>
        <v>0</v>
      </c>
      <c r="BC292" s="12">
        <f>-BC136</f>
        <v>0</v>
      </c>
      <c r="BD292" s="12">
        <f>-BD136</f>
        <v>0</v>
      </c>
      <c r="BE292" s="12">
        <f>-BE136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inlineStr">
        <is>
          <t>Cash from operations</t>
        </is>
      </c>
      <c r="D293" s="12" t="n"/>
      <c r="E293" s="12" t="n"/>
      <c r="F293" s="12" t="n"/>
      <c r="G293" s="12" t="n"/>
      <c r="H293" s="12" t="n"/>
      <c r="I293" s="12" t="n"/>
      <c r="J293" s="12">
        <f>SUM(J277,J278,J279,J290,J291,J292)</f>
        <v>0.577999999999989</v>
      </c>
      <c r="K293" s="12">
        <f>SUM(K277,K278,K279,K290,K291,K292)</f>
        <v>-17.244</v>
      </c>
      <c r="L293" s="12">
        <f>SUM(L277,L278,L279,L290,L291,L292)</f>
        <v>-22.666</v>
      </c>
      <c r="M293" s="12" t="n"/>
      <c r="N293" s="12">
        <f>SUM(N277,N278,N279,N290,N291,N292)</f>
        <v>-2.484</v>
      </c>
      <c r="O293" s="12">
        <f>SUM(O277,O278,O279,O290,O291,O292)</f>
        <v>-45.686</v>
      </c>
      <c r="P293" s="12">
        <f>SUM(P277,P278,P279,P290,P291,P292)</f>
        <v>4.02099999999994</v>
      </c>
      <c r="Q293" s="12">
        <f>SUM(Q277,Q278,Q279,Q290,Q291,Q292)</f>
        <v>-22.056</v>
      </c>
      <c r="R293" s="12">
        <f>SUM(R277,R278,R279,R290,R291,R292)</f>
        <v>-66.205</v>
      </c>
      <c r="S293" s="12">
        <f>SUM(S277,S278,S279,S290,S291,S292)</f>
        <v>-15.94</v>
      </c>
      <c r="T293" s="12">
        <f>SUM(T277,T278,T279,T290,T291,T292)</f>
        <v>-4.22600000000001</v>
      </c>
      <c r="U293" s="12">
        <f>SUM(U277,U278,U279,U290,U291,U292)</f>
        <v>-4.42200000000001</v>
      </c>
      <c r="V293" s="12">
        <f>SUM(V277,V278,V279,V290,V291,V292)</f>
        <v>145.893</v>
      </c>
      <c r="W293" s="12">
        <f>SUM(W277,W278,W279,W290,W291,W292)</f>
        <v>121.305</v>
      </c>
      <c r="X293" s="12">
        <f>SUM(X277,X278,X279,X290,X291,X292)</f>
        <v>22.541</v>
      </c>
      <c r="Y293" s="12">
        <f>SUM(Y277,Y278,Y279,Y290,Y291,Y292)</f>
        <v>48.743</v>
      </c>
      <c r="Z293" s="12">
        <f>SUM(Z277,Z278,Z279,Z290,Z291,Z292)</f>
        <v>72.296</v>
      </c>
      <c r="AA293" s="12">
        <f>SUM(AA277,AA278,AA279,AA290,AA291,AA292)</f>
        <v>81.577</v>
      </c>
      <c r="AB293" s="12">
        <f>SUM(AB277,AB278,AB279,AB290,AB291,AB292)</f>
        <v>225.157</v>
      </c>
      <c r="AC293" s="12">
        <f>SUM(AC277,AC278,AC279,AC290,AC291,AC292)</f>
        <v>10.792</v>
      </c>
      <c r="AD293" s="12">
        <f>SUM(AD277,AD278,AD279,AD290,AD291,AD292)</f>
        <v>119.097</v>
      </c>
      <c r="AE293" s="12">
        <f>SUM(AE277,AE278,AE279,AE290,AE291,AE292)</f>
        <v>-7.08199999999999</v>
      </c>
      <c r="AF293" s="12">
        <f>SUM(AF277,AF278,AF279,AF290,AF291,AF292)</f>
        <v>116.346</v>
      </c>
      <c r="AG293" s="12">
        <f>SUM(AG277,AG278,AG279,AG290,AG291,AG292)</f>
        <v>239.153</v>
      </c>
      <c r="AH293" s="12">
        <f>SUM(AH277,AH278,AH279,AH290,AH291,AH292)</f>
        <v>39.261</v>
      </c>
      <c r="AI293" s="12">
        <f>SUM(AI277,AI278,AI279,AI290,AI291,AI292)</f>
        <v>318.772</v>
      </c>
      <c r="AJ293" s="12">
        <f>SUM(AJ277,AJ278,AJ279,AJ290,AJ291,AJ292)</f>
        <v>-55.0511400109694</v>
      </c>
      <c r="AK293" s="12">
        <f>SUM(AK277,AK278,AK279,AK290,AK291,AK292)</f>
        <v>-252.45706781146</v>
      </c>
      <c r="AL293" s="12">
        <f>SUM(AL277,AL278,AL279,AL290,AL291,AL292)</f>
        <v>50.5247921775711</v>
      </c>
      <c r="AM293" s="12">
        <f>SUM(AM277,AM278,AM279,AM290,AM291,AM292)</f>
        <v>-347.023668156238</v>
      </c>
      <c r="AN293" s="12">
        <f>SUM(AN277,AN278,AN279,AN290,AN291,AN292)</f>
        <v>-868.432122832814</v>
      </c>
      <c r="AO293" s="12">
        <f>SUM(AO277,AO278,AO279,AO290,AO291,AO292)</f>
        <v>-18.7597204948764</v>
      </c>
      <c r="AP293" s="12">
        <f>SUM(AP277,AP278,AP279,AP290,AP291,AP292)</f>
        <v>91.3049603147439</v>
      </c>
      <c r="AQ293" s="12">
        <f>SUM(AQ277,AQ278,AQ279,AQ290,AQ291,AQ292)</f>
        <v>-1142.91055116919</v>
      </c>
      <c r="AR293" s="12">
        <f>SUM(AR277,AR278,AR279,AR290,AR291,AR292)</f>
        <v>130.61843461805</v>
      </c>
      <c r="AS293" s="12">
        <f>SUM(AS277,AS278,AS279,AS290,AS291,AS292)</f>
        <v>-364.752704452251</v>
      </c>
      <c r="AT293" s="12">
        <f>SUM(AT277,AT278,AT279,AT290,AT291,AT292)</f>
        <v>1153.07382202417</v>
      </c>
      <c r="AU293" s="12">
        <f>SUM(AU277,AU278,AU279,AU290,AU291,AU292)</f>
        <v>1766.51741458249</v>
      </c>
      <c r="AV293" s="12">
        <f>SUM(AV277,AV278,AV279,AV290,AV291,AV292)</f>
        <v>2685.45696677245</v>
      </c>
      <c r="AW293" s="12">
        <f>SUM(AW277,AW278,AW279,AW290,AW291,AW292)</f>
        <v>2432.64465185609</v>
      </c>
      <c r="AX293" s="12">
        <f>SUM(AX277,AX278,AX279,AX290,AX291,AX292)</f>
        <v>2620.9543082097</v>
      </c>
      <c r="AY293" s="12">
        <f>SUM(AY277,AY278,AY279,AY290,AY291,AY292)</f>
        <v>5926.36273571981</v>
      </c>
      <c r="AZ293" s="12">
        <f>SUM(AZ277,AZ278,AZ279,AZ290,AZ291,AZ292)</f>
        <v>8443.88481536178</v>
      </c>
      <c r="BA293" s="12">
        <f>SUM(BA277,BA278,BA279,BA290,BA291,BA292)</f>
        <v>19423.8465111474</v>
      </c>
      <c r="BB293" s="12">
        <f>SUM(BB277,BB278,BB279,BB290,BB291,BB292)</f>
        <v>11575.695335782</v>
      </c>
      <c r="BC293" s="12">
        <f>SUM(BC277,BC278,BC279,BC290,BC291,BC292)</f>
        <v>14955.1158024733</v>
      </c>
      <c r="BD293" s="12">
        <f>SUM(BD277,BD278,BD279,BD290,BD291,BD292)</f>
        <v>23833.4368019895</v>
      </c>
      <c r="BE293" s="12">
        <f>SUM(BE277,BE278,BE279,BE290,BE291,BE292)</f>
        <v>33258.5886382167</v>
      </c>
      <c r="BF293" s="12">
        <f>SUM(BF277,BF278,BF279,BF290,BF291,BF292)</f>
        <v>83622.8365784614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0" t="inlineStr">
        <is>
          <t>Purchase of fixed assets (capital expenditures)</t>
        </is>
      </c>
      <c r="D295" s="12" t="n"/>
      <c r="E295" s="12" t="n"/>
      <c r="F295" s="12" t="n"/>
      <c r="G295" s="12" t="n"/>
      <c r="H295" s="12" t="n"/>
      <c r="I295" s="12" t="n"/>
      <c r="J295" s="12">
        <f>-J168</f>
        <v>-22.3129999999999</v>
      </c>
      <c r="K295" s="12">
        <f>-K168</f>
        <v>-28.72</v>
      </c>
      <c r="L295" s="12">
        <f>-L168</f>
        <v>-82.901</v>
      </c>
      <c r="M295" s="12" t="n"/>
      <c r="N295" s="12">
        <f>-N168</f>
        <v>-76.212</v>
      </c>
      <c r="O295" s="12">
        <f>-O168</f>
        <v>-336.807</v>
      </c>
      <c r="P295" s="12">
        <f>-P168</f>
        <v>-50.151</v>
      </c>
      <c r="Q295" s="12">
        <f>-Q168</f>
        <v>-81.8379999999999</v>
      </c>
      <c r="R295" s="12">
        <f>SUM(N295:Q295)</f>
        <v>-545.008</v>
      </c>
      <c r="S295" s="12">
        <f>-S168</f>
        <v>-90.513</v>
      </c>
      <c r="T295" s="12">
        <f>-T168</f>
        <v>-62.889</v>
      </c>
      <c r="U295" s="12">
        <f>-U168</f>
        <v>-99.603</v>
      </c>
      <c r="V295" s="12">
        <f>-V168</f>
        <v>-48.343</v>
      </c>
      <c r="W295" s="12">
        <f>SUM(S295:V295)</f>
        <v>-301.348</v>
      </c>
      <c r="X295" s="12">
        <f>-X168</f>
        <v>-77.6099999999999</v>
      </c>
      <c r="Y295" s="12">
        <f>-Y168</f>
        <v>-149.952</v>
      </c>
      <c r="Z295" s="12">
        <f>-Z168</f>
        <v>-322.592</v>
      </c>
      <c r="AA295" s="12">
        <f>-AA168</f>
        <v>-241.315</v>
      </c>
      <c r="AB295" s="12">
        <f>SUM(X295:AA295)</f>
        <v>-791.469</v>
      </c>
      <c r="AC295" s="12">
        <f>-AC168</f>
        <v>-134.602</v>
      </c>
      <c r="AD295" s="12">
        <f>-AD168</f>
        <v>-229.218</v>
      </c>
      <c r="AE295" s="12">
        <f>-AE168</f>
        <v>-153.227</v>
      </c>
      <c r="AF295" s="12">
        <f>-AF168</f>
        <v>-178.387</v>
      </c>
      <c r="AG295" s="12">
        <f>SUM(AC295:AF295)</f>
        <v>-695.434</v>
      </c>
      <c r="AH295" s="12">
        <f>-AH168</f>
        <v>-199.494</v>
      </c>
      <c r="AI295" s="12">
        <f>-AI168</f>
        <v>-1145.971</v>
      </c>
      <c r="AJ295" s="12">
        <f>-AJ168</f>
        <v>-400.133145540587</v>
      </c>
      <c r="AK295" s="12">
        <f>-AK168</f>
        <v>-376.298849189422</v>
      </c>
      <c r="AL295" s="12">
        <f>SUM(AH295:AK295)</f>
        <v>-2121.89699473001</v>
      </c>
      <c r="AM295" s="12">
        <f>-AM168</f>
        <v>-471.355564109572</v>
      </c>
      <c r="AN295" s="12">
        <f>-AN168</f>
        <v>-886.736622792801</v>
      </c>
      <c r="AO295" s="12">
        <f>-AO168</f>
        <v>-559.443560882968</v>
      </c>
      <c r="AP295" s="12">
        <f>-AP168</f>
        <v>-526.119794105734</v>
      </c>
      <c r="AQ295" s="12">
        <f>SUM(AM295:AP295)</f>
        <v>-2443.65554189108</v>
      </c>
      <c r="AR295" s="12">
        <f>-AR168</f>
        <v>-656.665945406243</v>
      </c>
      <c r="AS295" s="12">
        <f>-AS168</f>
        <v>-1235.35137180902</v>
      </c>
      <c r="AT295" s="12">
        <f>-AT168</f>
        <v>-779.385166488139</v>
      </c>
      <c r="AU295" s="12">
        <f>-AU168</f>
        <v>-732.960377047905</v>
      </c>
      <c r="AV295" s="12">
        <f>SUM(AR295:AU295)</f>
        <v>-3404.36286075131</v>
      </c>
      <c r="AW295" s="12">
        <f>-AW168</f>
        <v>-911.546570861637</v>
      </c>
      <c r="AX295" s="12">
        <f>-AX168</f>
        <v>-1714.84499030186</v>
      </c>
      <c r="AY295" s="12">
        <f>-AY168</f>
        <v>-1081.89846125365</v>
      </c>
      <c r="AZ295" s="12">
        <f>-AZ168</f>
        <v>-1017.45419105316</v>
      </c>
      <c r="BA295" s="12">
        <f>SUM(AW295:AZ295)</f>
        <v>-4725.74421347031</v>
      </c>
      <c r="BB295" s="12">
        <f>-BB168</f>
        <v>-1260.79972425513</v>
      </c>
      <c r="BC295" s="12">
        <f>-BC168</f>
        <v>-2371.8767203185</v>
      </c>
      <c r="BD295" s="12">
        <f>-BD168</f>
        <v>-1496.42083599885</v>
      </c>
      <c r="BE295" s="12">
        <f>-BE168</f>
        <v>-1407.28516186451</v>
      </c>
      <c r="BF295" s="12">
        <f>SUM(BB295:BE295)</f>
        <v>-6536.38244243698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0" t="inlineStr">
        <is>
          <t>Proceeds from sale of fixed assets</t>
        </is>
      </c>
      <c r="D296" s="12" t="n"/>
      <c r="E296" s="12" t="n"/>
      <c r="F296" s="12" t="n"/>
      <c r="G296" s="12" t="n"/>
      <c r="H296" s="12" t="n"/>
      <c r="I296" s="12" t="n"/>
      <c r="J296" s="12">
        <f>-J169</f>
        <v>0</v>
      </c>
      <c r="K296" s="12">
        <f>-K169</f>
        <v>0</v>
      </c>
      <c r="L296" s="12">
        <f>-L169</f>
        <v>0</v>
      </c>
      <c r="M296" s="12" t="n"/>
      <c r="N296" s="12">
        <f>-N169</f>
        <v>0</v>
      </c>
      <c r="O296" s="12">
        <f>-O169</f>
        <v>0</v>
      </c>
      <c r="P296" s="12">
        <f>-P169</f>
        <v>0</v>
      </c>
      <c r="Q296" s="12">
        <f>-Q169</f>
        <v>0</v>
      </c>
      <c r="R296" s="12">
        <f>SUM(N296:Q296)</f>
        <v>0</v>
      </c>
      <c r="S296" s="12">
        <f>-S169</f>
        <v>0</v>
      </c>
      <c r="T296" s="12">
        <f>-T169</f>
        <v>0</v>
      </c>
      <c r="U296" s="12">
        <f>-U169</f>
        <v>0</v>
      </c>
      <c r="V296" s="12">
        <f>-V169</f>
        <v>0</v>
      </c>
      <c r="W296" s="12">
        <f>SUM(S296:V296)</f>
        <v>0</v>
      </c>
      <c r="X296" s="12">
        <f>-X169</f>
        <v>0</v>
      </c>
      <c r="Y296" s="12">
        <f>-Y169</f>
        <v>0</v>
      </c>
      <c r="Z296" s="12">
        <f>-Z169</f>
        <v>0</v>
      </c>
      <c r="AA296" s="12">
        <f>-AA169</f>
        <v>0</v>
      </c>
      <c r="AB296" s="12">
        <f>SUM(X296:AA296)</f>
        <v>0</v>
      </c>
      <c r="AC296" s="12">
        <f>-AC169</f>
        <v>0</v>
      </c>
      <c r="AD296" s="12">
        <f>-AD169</f>
        <v>0</v>
      </c>
      <c r="AE296" s="12">
        <f>-AE169</f>
        <v>0</v>
      </c>
      <c r="AF296" s="12">
        <f>-AF169</f>
        <v>0</v>
      </c>
      <c r="AG296" s="12">
        <f>SUM(AC296:AF296)</f>
        <v>0</v>
      </c>
      <c r="AH296" s="12">
        <f>-AH169</f>
        <v>0</v>
      </c>
      <c r="AI296" s="12">
        <f>-AI169</f>
        <v>0</v>
      </c>
      <c r="AJ296" s="12">
        <f>-AJ169</f>
        <v>0</v>
      </c>
      <c r="AK296" s="12">
        <f>-AK169</f>
        <v>0</v>
      </c>
      <c r="AL296" s="12">
        <f>SUM(AH296:AK296)</f>
        <v>0</v>
      </c>
      <c r="AM296" s="12">
        <f>-AM169</f>
        <v>0</v>
      </c>
      <c r="AN296" s="12">
        <f>-AN169</f>
        <v>0</v>
      </c>
      <c r="AO296" s="12">
        <f>-AO169</f>
        <v>0</v>
      </c>
      <c r="AP296" s="12">
        <f>-AP169</f>
        <v>0</v>
      </c>
      <c r="AQ296" s="12">
        <f>SUM(AM296:AP296)</f>
        <v>0</v>
      </c>
      <c r="AR296" s="12">
        <f>-AR169</f>
        <v>0</v>
      </c>
      <c r="AS296" s="12">
        <f>-AS169</f>
        <v>0</v>
      </c>
      <c r="AT296" s="12">
        <f>-AT169</f>
        <v>0</v>
      </c>
      <c r="AU296" s="12">
        <f>-AU169</f>
        <v>0</v>
      </c>
      <c r="AV296" s="12">
        <f>SUM(AR296:AU296)</f>
        <v>0</v>
      </c>
      <c r="AW296" s="12">
        <f>-AW169</f>
        <v>0</v>
      </c>
      <c r="AX296" s="12">
        <f>-AX169</f>
        <v>0</v>
      </c>
      <c r="AY296" s="12">
        <f>-AY169</f>
        <v>0</v>
      </c>
      <c r="AZ296" s="12">
        <f>-AZ169</f>
        <v>0</v>
      </c>
      <c r="BA296" s="12">
        <f>SUM(AW296:AZ296)</f>
        <v>0</v>
      </c>
      <c r="BB296" s="12">
        <f>-BB169</f>
        <v>0</v>
      </c>
      <c r="BC296" s="12">
        <f>-BC169</f>
        <v>0</v>
      </c>
      <c r="BD296" s="12">
        <f>-BD169</f>
        <v>0</v>
      </c>
      <c r="BE296" s="12">
        <f>-BE169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0" t="inlineStr">
        <is>
          <t>Var.Right-of-use-assets</t>
        </is>
      </c>
      <c r="D297" s="12" t="n"/>
      <c r="E297" s="12" t="n"/>
      <c r="F297" s="12" t="n"/>
      <c r="G297" s="12" t="n"/>
      <c r="H297" s="12" t="n"/>
      <c r="I297" s="12" t="n"/>
      <c r="J297" s="12">
        <f>(J176-I176)*-1</f>
        <v>0.148</v>
      </c>
      <c r="K297" s="12">
        <f>(K176-J176)*-1</f>
        <v>-4.355</v>
      </c>
      <c r="L297" s="12">
        <f>(L176-K176)*-1</f>
        <v>3.406</v>
      </c>
      <c r="M297" s="12" t="n"/>
      <c r="N297" s="12">
        <f>(N176-M176)*-1</f>
        <v>-1.539</v>
      </c>
      <c r="O297" s="12">
        <f>(O176-N176)*-1</f>
        <v>-11.834</v>
      </c>
      <c r="P297" s="12">
        <f>(P176-O176)*-1</f>
        <v>-12.538</v>
      </c>
      <c r="Q297" s="12">
        <f>(Q176-P176)*-1</f>
        <v>2.063</v>
      </c>
      <c r="R297" s="12">
        <f>SUM(N297:Q297)</f>
        <v>-23.848</v>
      </c>
      <c r="S297" s="12">
        <f>(S176-R176)*-1</f>
        <v>5.986</v>
      </c>
      <c r="T297" s="12">
        <f>(T176-S176)*-1</f>
        <v>-10.176</v>
      </c>
      <c r="U297" s="12">
        <f>(U176-T176)*-1</f>
        <v>7.97</v>
      </c>
      <c r="V297" s="12">
        <f>(V176-U176)*-1</f>
        <v>-1.792</v>
      </c>
      <c r="W297" s="12">
        <f>SUM(S297:V297)</f>
        <v>1.988</v>
      </c>
      <c r="X297" s="12">
        <f>(X176-W176)*-1</f>
        <v>-0.955999999999996</v>
      </c>
      <c r="Y297" s="12">
        <f>(Y176-X176)*-1</f>
        <v>-3.378</v>
      </c>
      <c r="Z297" s="12">
        <f>(Z176-Y176)*-1</f>
        <v>-51.139</v>
      </c>
      <c r="AA297" s="12">
        <f>(AA176-Z176)*-1</f>
        <v>-2.40600000000001</v>
      </c>
      <c r="AB297" s="12">
        <f>SUM(X297:AA297)</f>
        <v>-57.879</v>
      </c>
      <c r="AC297" s="12">
        <f>(AC176-AB176)*-1</f>
        <v>-1.729</v>
      </c>
      <c r="AD297" s="12">
        <f>(AD176-AC176)*-1</f>
        <v>19.494</v>
      </c>
      <c r="AE297" s="12">
        <f>(AE176-AD176)*-1</f>
        <v>7.762</v>
      </c>
      <c r="AF297" s="12">
        <f>(AF176-AE176)*-1</f>
        <v>-24.992</v>
      </c>
      <c r="AG297" s="12">
        <f>SUM(AC297:AF297)</f>
        <v>0.535000000000011</v>
      </c>
      <c r="AH297" s="12">
        <f>(AH176-AG176)*-1</f>
        <v>10.641</v>
      </c>
      <c r="AI297" s="12">
        <f>(AI176-AH176)*-1</f>
        <v>-5.535</v>
      </c>
      <c r="AJ297" s="12">
        <f>(AJ176-AI176)*-1</f>
        <v>0</v>
      </c>
      <c r="AK297" s="12">
        <f>(AK176-AJ176)*-1</f>
        <v>0</v>
      </c>
      <c r="AL297" s="12">
        <f>SUM(AH297:AK297)</f>
        <v>5.10599999999999</v>
      </c>
      <c r="AM297" s="12">
        <f>(AM176-AL176)*-1</f>
        <v>0</v>
      </c>
      <c r="AN297" s="12">
        <f>(AN176-AM176)*-1</f>
        <v>0</v>
      </c>
      <c r="AO297" s="12">
        <f>(AO176-AN176)*-1</f>
        <v>0</v>
      </c>
      <c r="AP297" s="12">
        <f>(AP176-AO176)*-1</f>
        <v>0</v>
      </c>
      <c r="AQ297" s="12">
        <f>SUM(AM297:AP297)</f>
        <v>0</v>
      </c>
      <c r="AR297" s="12">
        <f>(AR176-AQ176)*-1</f>
        <v>0</v>
      </c>
      <c r="AS297" s="12">
        <f>(AS176-AR176)*-1</f>
        <v>0</v>
      </c>
      <c r="AT297" s="12">
        <f>(AT176-AS176)*-1</f>
        <v>0</v>
      </c>
      <c r="AU297" s="12">
        <f>(AU176-AT176)*-1</f>
        <v>0</v>
      </c>
      <c r="AV297" s="12">
        <f>SUM(AR297:AU297)</f>
        <v>0</v>
      </c>
      <c r="AW297" s="12">
        <f>(AW176-AV176)*-1</f>
        <v>0</v>
      </c>
      <c r="AX297" s="12">
        <f>(AX176-AW176)*-1</f>
        <v>0</v>
      </c>
      <c r="AY297" s="12">
        <f>(AY176-AX176)*-1</f>
        <v>0</v>
      </c>
      <c r="AZ297" s="12">
        <f>(AZ176-AY176)*-1</f>
        <v>0</v>
      </c>
      <c r="BA297" s="12">
        <f>SUM(AW297:AZ297)</f>
        <v>0</v>
      </c>
      <c r="BB297" s="12">
        <f>(BB176-BA176)*-1</f>
        <v>0</v>
      </c>
      <c r="BC297" s="12">
        <f>(BC176-BB176)*-1</f>
        <v>0</v>
      </c>
      <c r="BD297" s="12">
        <f>(BD176-BC176)*-1</f>
        <v>0</v>
      </c>
      <c r="BE297" s="12">
        <f>(BE176-BD176)*-1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  <c r="CZ297" s="12" t="n"/>
      <c r="DA297" s="12" t="n"/>
      <c r="DB297" s="12" t="n"/>
      <c r="DC297" s="12" t="n"/>
    </row>
    <row r="298">
      <c r="C298" s="10" t="inlineStr">
        <is>
          <t>Purchases of intangible assets</t>
        </is>
      </c>
      <c r="D298" s="12" t="n"/>
      <c r="E298" s="12" t="n"/>
      <c r="F298" s="12" t="n"/>
      <c r="G298" s="12" t="n"/>
      <c r="H298" s="12" t="n"/>
      <c r="I298" s="12" t="n"/>
      <c r="J298" s="12">
        <f>((J180-I180)*-1)+((J179-I179)*-1)</f>
        <v>1.068</v>
      </c>
      <c r="K298" s="12">
        <f>((K180-J180)*-1)+((K179-J179)*-1)</f>
        <v>1.099</v>
      </c>
      <c r="L298" s="12">
        <f>((L180-K180)*-1)+((L179-K179)*-1)</f>
        <v>2.239</v>
      </c>
      <c r="M298" s="12" t="n"/>
      <c r="N298" s="12">
        <f>((N180-M180)*-1)+((N179-M179)*-1)</f>
        <v>-61.627</v>
      </c>
      <c r="O298" s="12">
        <f>((O180-N180)*-1)+((O179-N179)*-1)</f>
        <v>-236.157</v>
      </c>
      <c r="P298" s="12">
        <f>((P180-O180)*-1)+((P179-O179)*-1)</f>
        <v>5.197</v>
      </c>
      <c r="Q298" s="12">
        <f>((Q180-P180)*-1)+((Q179-P179)*-1)</f>
        <v>-142.094</v>
      </c>
      <c r="R298" s="12">
        <f>SUM(N298:Q298)</f>
        <v>-434.681</v>
      </c>
      <c r="S298" s="12">
        <f>((S180-R180)*-1)+((S179-R179)*-1)</f>
        <v>12.6410000000001</v>
      </c>
      <c r="T298" s="12">
        <f>((T180-S180)*-1)+((T179-S179)*-1)</f>
        <v>1.36699999999996</v>
      </c>
      <c r="U298" s="12">
        <f>((U180-T180)*-1)+((U179-T179)*-1)</f>
        <v>6.06900000000002</v>
      </c>
      <c r="V298" s="12">
        <f>((V180-U180)*-1)+((V179-U179)*-1)</f>
        <v>39.575</v>
      </c>
      <c r="W298" s="12">
        <f>SUM(S298:V298)</f>
        <v>59.652</v>
      </c>
      <c r="X298" s="12">
        <f>((X180-W180)*-1)+((X179-W179)*-1)</f>
        <v>6.50200000000001</v>
      </c>
      <c r="Y298" s="12">
        <f>((Y180-X180)*-1)+((Y179-X179)*-1)</f>
        <v>6.43399999999997</v>
      </c>
      <c r="Z298" s="12">
        <f>((Z180-Y180)*-1)+((Z179-Y179)*-1)</f>
        <v>-28.304</v>
      </c>
      <c r="AA298" s="12">
        <f>((AA180-Z180)*-1)+((AA179-Z179)*-1)</f>
        <v>30.371</v>
      </c>
      <c r="AB298" s="12">
        <f>SUM(X298:AA298)</f>
        <v>15.003</v>
      </c>
      <c r="AC298" s="12">
        <f>((AC180-AB180)*-1)+((AC179-AB179)*-1)</f>
        <v>-2.48699999999997</v>
      </c>
      <c r="AD298" s="12">
        <f>((AD180-AC180)*-1)+((AD179-AC179)*-1)</f>
        <v>5.25599999999997</v>
      </c>
      <c r="AE298" s="12">
        <f>((AE180-AD180)*-1)+((AE179-AD179)*-1)</f>
        <v>5.68100000000004</v>
      </c>
      <c r="AF298" s="12">
        <f>((AF180-AE180)*-1)+((AF179-AE179)*-1)</f>
        <v>-48.581</v>
      </c>
      <c r="AG298" s="12">
        <f>SUM(AC298:AF298)</f>
        <v>-40.131</v>
      </c>
      <c r="AH298" s="12">
        <f>((AH180-AG180)*-1)+((AH179-AG179)*-1)</f>
        <v>5.21600000000001</v>
      </c>
      <c r="AI298" s="12">
        <f>((AI180-AH180)*-1)+((AI179-AH179)*-1)</f>
        <v>-3344.218</v>
      </c>
      <c r="AJ298" s="12">
        <f>((AJ180-AI180)*-1)+((AJ179-AI179)*-1)</f>
        <v>0</v>
      </c>
      <c r="AK298" s="12">
        <f>((AK180-AJ180)*-1)+((AK179-AJ179)*-1)</f>
        <v>0</v>
      </c>
      <c r="AL298" s="12">
        <f>SUM(AH298:AK298)</f>
        <v>-3339.002</v>
      </c>
      <c r="AM298" s="12">
        <f>((AM180-AL180)*-1)+((AM179-AL179)*-1)</f>
        <v>0</v>
      </c>
      <c r="AN298" s="12">
        <f>((AN180-AM180)*-1)+((AN179-AM179)*-1)</f>
        <v>0</v>
      </c>
      <c r="AO298" s="12">
        <f>((AO180-AN180)*-1)+((AO179-AN179)*-1)</f>
        <v>0</v>
      </c>
      <c r="AP298" s="12">
        <f>((AP180-AO180)*-1)+((AP179-AO179)*-1)</f>
        <v>0</v>
      </c>
      <c r="AQ298" s="12">
        <f>SUM(AM298:AP298)</f>
        <v>0</v>
      </c>
      <c r="AR298" s="12">
        <f>((AR180-AQ180)*-1)+((AR179-AQ179)*-1)</f>
        <v>0</v>
      </c>
      <c r="AS298" s="12">
        <f>((AS180-AR180)*-1)+((AS179-AR179)*-1)</f>
        <v>0</v>
      </c>
      <c r="AT298" s="12">
        <f>((AT180-AS180)*-1)+((AT179-AS179)*-1)</f>
        <v>0</v>
      </c>
      <c r="AU298" s="12">
        <f>((AU180-AT180)*-1)+((AU179-AT179)*-1)</f>
        <v>0</v>
      </c>
      <c r="AV298" s="12">
        <f>SUM(AR298:AU298)</f>
        <v>0</v>
      </c>
      <c r="AW298" s="12">
        <f>((AW180-AV180)*-1)+((AW179-AV179)*-1)</f>
        <v>0</v>
      </c>
      <c r="AX298" s="12">
        <f>((AX180-AW180)*-1)+((AX179-AW179)*-1)</f>
        <v>0</v>
      </c>
      <c r="AY298" s="12">
        <f>((AY180-AX180)*-1)+((AY179-AX179)*-1)</f>
        <v>0</v>
      </c>
      <c r="AZ298" s="12">
        <f>((AZ180-AY180)*-1)+((AZ179-AY179)*-1)</f>
        <v>0</v>
      </c>
      <c r="BA298" s="12">
        <f>SUM(AW298:AZ298)</f>
        <v>0</v>
      </c>
      <c r="BB298" s="12">
        <f>((BB180-BA180)*-1)+((BB179-BA179)*-1)</f>
        <v>0</v>
      </c>
      <c r="BC298" s="12">
        <f>((BC180-BB180)*-1)+((BC179-BB179)*-1)</f>
        <v>0</v>
      </c>
      <c r="BD298" s="12">
        <f>((BD180-BC180)*-1)+((BD179-BC179)*-1)</f>
        <v>0</v>
      </c>
      <c r="BE298" s="12">
        <f>((BE180-BD180)*-1)+((BE179-BD179)*-1)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  <c r="CZ298" s="12" t="n"/>
      <c r="DA298" s="12" t="n"/>
      <c r="DB298" s="12" t="n"/>
      <c r="DC298" s="12" t="n"/>
    </row>
    <row r="299">
      <c r="C299" s="71" t="inlineStr">
        <is>
          <t>Purchases/Proceeds from other long-term assets</t>
        </is>
      </c>
      <c r="D299" s="12" t="n"/>
      <c r="E299" s="12" t="n"/>
      <c r="F299" s="12" t="n"/>
      <c r="G299" s="12" t="n"/>
      <c r="H299" s="12" t="n"/>
      <c r="I299" s="12" t="n"/>
      <c r="J299" s="12">
        <f>((J189-I189)*-1)+(J240-I240)</f>
        <v>-6.47200000000001</v>
      </c>
      <c r="K299" s="12">
        <f>((K189-J189)*-1)+(K240-J240)</f>
        <v>6.941</v>
      </c>
      <c r="L299" s="12">
        <f>((L189-K189)*-1)+(L240-K240)</f>
        <v>1.39900000000002</v>
      </c>
      <c r="M299" s="12" t="n"/>
      <c r="N299" s="12">
        <f>((N189-M189)*-1)+(N240-M240)</f>
        <v>4.04599999999999</v>
      </c>
      <c r="O299" s="12">
        <f>((O189-N189)*-1)+(O240-N240)</f>
        <v>271.184</v>
      </c>
      <c r="P299" s="12">
        <f>((P189-O189)*-1)+(P240-O240)</f>
        <v>-4.75199999999999</v>
      </c>
      <c r="Q299" s="12">
        <f>((Q189-P189)*-1)+(Q240-P240)</f>
        <v>-210.764</v>
      </c>
      <c r="R299" s="12">
        <f>SUM(N299:Q299)</f>
        <v>59.714</v>
      </c>
      <c r="S299" s="12">
        <f>((S189-R189)*-1)+(S240-R240)</f>
        <v>-0.301000000000009</v>
      </c>
      <c r="T299" s="12">
        <f>((T189-S189)*-1)+(T240-S240)</f>
        <v>19.972</v>
      </c>
      <c r="U299" s="12">
        <f>((U189-T189)*-1)+(U240-T240)</f>
        <v>6.962</v>
      </c>
      <c r="V299" s="12">
        <f>((V189-U189)*-1)+(V240-U240)</f>
        <v>-45.562</v>
      </c>
      <c r="W299" s="12">
        <f>SUM(S299:V299)</f>
        <v>-18.929</v>
      </c>
      <c r="X299" s="12">
        <f>((X189-W189)*-1)+(X240-W240)</f>
        <v>-24.484</v>
      </c>
      <c r="Y299" s="12">
        <f>((Y189-X189)*-1)+(Y240-X240)</f>
        <v>-13.357</v>
      </c>
      <c r="Z299" s="12">
        <f>((Z189-Y189)*-1)+(Z240-Y240)</f>
        <v>122.635</v>
      </c>
      <c r="AA299" s="12">
        <f>((AA189-Z189)*-1)+(AA240-Z240)</f>
        <v>-48.843</v>
      </c>
      <c r="AB299" s="12">
        <f>SUM(X299:AA299)</f>
        <v>35.951</v>
      </c>
      <c r="AC299" s="12">
        <f>((AC189-AB189)*-1)+(AC240-AB240)</f>
        <v>12.645</v>
      </c>
      <c r="AD299" s="12">
        <f>((AD189-AC189)*-1)+(AD240-AC240)</f>
        <v>-10.902</v>
      </c>
      <c r="AE299" s="12">
        <f>((AE189-AD189)*-1)+(AE240-AD240)</f>
        <v>-1.81800000000003</v>
      </c>
      <c r="AF299" s="12">
        <f>((AF189-AE189)*-1)+(AF240-AE240)</f>
        <v>-38.796</v>
      </c>
      <c r="AG299" s="12">
        <f>SUM(AC299:AF299)</f>
        <v>-38.871</v>
      </c>
      <c r="AH299" s="12">
        <f>((AH189-AG189)*-1)+(AH240-AG240)</f>
        <v>-13.646</v>
      </c>
      <c r="AI299" s="12">
        <f>((AI189-AH189)*-1)+(AI240-AH240)</f>
        <v>-371.647</v>
      </c>
      <c r="AJ299" s="12">
        <f>((AJ189-AI189)*-1)+(AJ240-AI240)</f>
        <v>0</v>
      </c>
      <c r="AK299" s="12">
        <f>((AK189-AJ189)*-1)+(AK240-AJ240)</f>
        <v>0</v>
      </c>
      <c r="AL299" s="12">
        <f>SUM(AH299:AK299)</f>
        <v>-385.293</v>
      </c>
      <c r="AM299" s="12">
        <f>((AM189-AL189)*-1)+(AM240-AL240)</f>
        <v>0</v>
      </c>
      <c r="AN299" s="12">
        <f>((AN189-AM189)*-1)+(AN240-AM240)</f>
        <v>0</v>
      </c>
      <c r="AO299" s="12">
        <f>((AO189-AN189)*-1)+(AO240-AN240)</f>
        <v>0</v>
      </c>
      <c r="AP299" s="12">
        <f>((AP189-AO189)*-1)+(AP240-AO240)</f>
        <v>0</v>
      </c>
      <c r="AQ299" s="12">
        <f>SUM(AM299:AP299)</f>
        <v>0</v>
      </c>
      <c r="AR299" s="12">
        <f>((AR189-AQ189)*-1)+(AR240-AQ240)</f>
        <v>0</v>
      </c>
      <c r="AS299" s="12">
        <f>((AS189-AR189)*-1)+(AS240-AR240)</f>
        <v>0</v>
      </c>
      <c r="AT299" s="12">
        <f>((AT189-AS189)*-1)+(AT240-AS240)</f>
        <v>0</v>
      </c>
      <c r="AU299" s="12">
        <f>((AU189-AT189)*-1)+(AU240-AT240)</f>
        <v>0</v>
      </c>
      <c r="AV299" s="12">
        <f>SUM(AR299:AU299)</f>
        <v>0</v>
      </c>
      <c r="AW299" s="12">
        <f>((AW189-AV189)*-1)+(AW240-AV240)</f>
        <v>0</v>
      </c>
      <c r="AX299" s="12">
        <f>((AX189-AW189)*-1)+(AX240-AW240)</f>
        <v>0</v>
      </c>
      <c r="AY299" s="12">
        <f>((AY189-AX189)*-1)+(AY240-AX240)</f>
        <v>0</v>
      </c>
      <c r="AZ299" s="12">
        <f>((AZ189-AY189)*-1)+(AZ240-AY240)</f>
        <v>0</v>
      </c>
      <c r="BA299" s="12">
        <f>SUM(AW299:AZ299)</f>
        <v>0</v>
      </c>
      <c r="BB299" s="12">
        <f>((BB189-BA189)*-1)+(BB240-BA240)</f>
        <v>0</v>
      </c>
      <c r="BC299" s="12">
        <f>((BC189-BB189)*-1)+(BC240-BB240)</f>
        <v>0</v>
      </c>
      <c r="BD299" s="12">
        <f>((BD189-BC189)*-1)+(BD240-BC240)</f>
        <v>0</v>
      </c>
      <c r="BE299" s="12">
        <f>((BE189-BD189)*-1)+(BE240-BD240)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Cash from investing</t>
        </is>
      </c>
      <c r="D300" s="12" t="n"/>
      <c r="E300" s="12" t="n"/>
      <c r="F300" s="12" t="n"/>
      <c r="G300" s="12" t="n"/>
      <c r="H300" s="12" t="n"/>
      <c r="I300" s="12" t="n"/>
      <c r="J300" s="12">
        <f>SUM(J295,J296,J298,J299,J297)</f>
        <v>-27.569</v>
      </c>
      <c r="K300" s="12">
        <f>SUM(K295,K296,K298,K299,K297)</f>
        <v>-25.035</v>
      </c>
      <c r="L300" s="12">
        <f>SUM(L295,L296,L298,L299,L297)</f>
        <v>-75.857</v>
      </c>
      <c r="M300" s="12" t="n"/>
      <c r="N300" s="12">
        <f>SUM(N295,N296,N298,N299,N297)</f>
        <v>-135.332</v>
      </c>
      <c r="O300" s="12">
        <f>SUM(O295,O296,O298,O299,O297)</f>
        <v>-313.614</v>
      </c>
      <c r="P300" s="12">
        <f>SUM(P295,P296,P298,P299,P297)</f>
        <v>-62.244</v>
      </c>
      <c r="Q300" s="12">
        <f>SUM(Q295,Q296,Q298,Q299,Q297)</f>
        <v>-432.633</v>
      </c>
      <c r="R300" s="12">
        <f>SUM(R295,R296,R298,R299)</f>
        <v>-919.975</v>
      </c>
      <c r="S300" s="12">
        <f>SUM(S295,S296,S298,S299,S297)</f>
        <v>-72.1869999999999</v>
      </c>
      <c r="T300" s="12">
        <f>SUM(T295,T296,T298,T299,T297)</f>
        <v>-51.7260000000001</v>
      </c>
      <c r="U300" s="12">
        <f>SUM(U295,U296,U298,U299,U297)</f>
        <v>-78.602</v>
      </c>
      <c r="V300" s="12">
        <f>SUM(V295,V296,V298,V299,V297)</f>
        <v>-56.122</v>
      </c>
      <c r="W300" s="12">
        <f>SUM(W295,W296,W298,W299)</f>
        <v>-260.625</v>
      </c>
      <c r="X300" s="12">
        <f>SUM(X295,X296,X298,X299,X297)</f>
        <v>-96.5479999999999</v>
      </c>
      <c r="Y300" s="12">
        <f>SUM(Y295,Y296,Y298,Y299,Y297)</f>
        <v>-160.253</v>
      </c>
      <c r="Z300" s="12">
        <f>SUM(Z295,Z296,Z298,Z299,Z297)</f>
        <v>-279.4</v>
      </c>
      <c r="AA300" s="12">
        <f>SUM(AA295,AA296,AA298,AA299,AA297)</f>
        <v>-262.193</v>
      </c>
      <c r="AB300" s="12">
        <f>SUM(AB295,AB296,AB298,AB299)</f>
        <v>-740.515</v>
      </c>
      <c r="AC300" s="12">
        <f>SUM(AC295,AC296,AC298,AC299,AC297)</f>
        <v>-126.173</v>
      </c>
      <c r="AD300" s="12">
        <f>SUM(AD295,AD296,AD298,AD299,AD297)</f>
        <v>-215.37</v>
      </c>
      <c r="AE300" s="12">
        <f>SUM(AE295,AE296,AE298,AE299,AE297)</f>
        <v>-141.602</v>
      </c>
      <c r="AF300" s="12">
        <f>SUM(AF295,AF296,AF298,AF299,AF297)</f>
        <v>-290.756</v>
      </c>
      <c r="AG300" s="12">
        <f>SUM(AG295,AG296,AG298,AG299)</f>
        <v>-774.436</v>
      </c>
      <c r="AH300" s="12">
        <f>SUM(AH295,AH296,AH298,AH299,AH297)</f>
        <v>-197.283</v>
      </c>
      <c r="AI300" s="12">
        <f>SUM(AI295,AI296,AI298,AI299,AI297)</f>
        <v>-4867.371</v>
      </c>
      <c r="AJ300" s="12">
        <f>SUM(AJ295,AJ296,AJ298,AJ299,AJ297)</f>
        <v>-400.133145540587</v>
      </c>
      <c r="AK300" s="12">
        <f>SUM(AK295,AK296,AK298,AK299,AK297)</f>
        <v>-376.298849189422</v>
      </c>
      <c r="AL300" s="12">
        <f>SUM(AL295,AL296,AL298,AL299)</f>
        <v>-5846.19199473001</v>
      </c>
      <c r="AM300" s="12">
        <f>SUM(AM295,AM296,AM298,AM299,AM297)</f>
        <v>-471.355564109572</v>
      </c>
      <c r="AN300" s="12">
        <f>SUM(AN295,AN296,AN298,AN299,AN297)</f>
        <v>-886.736622792801</v>
      </c>
      <c r="AO300" s="12">
        <f>SUM(AO295,AO296,AO298,AO299,AO297)</f>
        <v>-559.443560882968</v>
      </c>
      <c r="AP300" s="12">
        <f>SUM(AP295,AP296,AP298,AP299,AP297)</f>
        <v>-526.119794105734</v>
      </c>
      <c r="AQ300" s="12">
        <f>SUM(AQ295,AQ296,AQ298,AQ299)</f>
        <v>-2443.65554189108</v>
      </c>
      <c r="AR300" s="12">
        <f>SUM(AR295,AR296,AR298,AR299,AR297)</f>
        <v>-656.665945406243</v>
      </c>
      <c r="AS300" s="12">
        <f>SUM(AS295,AS296,AS298,AS299,AS297)</f>
        <v>-1235.35137180902</v>
      </c>
      <c r="AT300" s="12">
        <f>SUM(AT295,AT296,AT298,AT299,AT297)</f>
        <v>-779.385166488139</v>
      </c>
      <c r="AU300" s="12">
        <f>SUM(AU295,AU296,AU298,AU299,AU297)</f>
        <v>-732.960377047905</v>
      </c>
      <c r="AV300" s="12">
        <f>SUM(AV295,AV296,AV298,AV299)</f>
        <v>-3404.36286075131</v>
      </c>
      <c r="AW300" s="12">
        <f>SUM(AW295,AW296,AW298,AW299,AW297)</f>
        <v>-911.546570861637</v>
      </c>
      <c r="AX300" s="12">
        <f>SUM(AX295,AX296,AX298,AX299,AX297)</f>
        <v>-1714.84499030186</v>
      </c>
      <c r="AY300" s="12">
        <f>SUM(AY295,AY296,AY298,AY299,AY297)</f>
        <v>-1081.89846125365</v>
      </c>
      <c r="AZ300" s="12">
        <f>SUM(AZ295,AZ296,AZ298,AZ299,AZ297)</f>
        <v>-1017.45419105316</v>
      </c>
      <c r="BA300" s="12">
        <f>SUM(BA295,BA296,BA298,BA299)</f>
        <v>-4725.74421347031</v>
      </c>
      <c r="BB300" s="12">
        <f>SUM(BB295,BB296,BB298,BB299,BB297)</f>
        <v>-1260.79972425513</v>
      </c>
      <c r="BC300" s="12">
        <f>SUM(BC295,BC296,BC298,BC299,BC297)</f>
        <v>-2371.8767203185</v>
      </c>
      <c r="BD300" s="12">
        <f>SUM(BD295,BD296,BD298,BD299,BD297)</f>
        <v>-1496.42083599885</v>
      </c>
      <c r="BE300" s="12">
        <f>SUM(BE295,BE296,BE298,BE299,BE297)</f>
        <v>-1407.28516186451</v>
      </c>
      <c r="BF300" s="12">
        <f>SUM(BF295,BF296,BF298,BF299)</f>
        <v>-6536.38244243698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  <c r="AL301" s="12" t="n"/>
      <c r="AM301" s="12" t="n"/>
      <c r="AN301" s="12" t="n"/>
      <c r="AO301" s="12" t="n"/>
      <c r="AP301" s="12" t="n"/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Convertible preferred stock</t>
        </is>
      </c>
      <c r="D302" s="12" t="n"/>
      <c r="E302" s="12" t="n"/>
      <c r="F302" s="12" t="n"/>
      <c r="G302" s="12" t="n"/>
      <c r="H302" s="12" t="n"/>
      <c r="I302" s="12" t="n"/>
      <c r="J302" s="12">
        <f>J253-I253</f>
        <v>0</v>
      </c>
      <c r="K302" s="12">
        <f>K253-J253</f>
        <v>0</v>
      </c>
      <c r="L302" s="12">
        <f>L253-K253</f>
        <v>0</v>
      </c>
      <c r="M302" s="12" t="n"/>
      <c r="N302" s="12">
        <f>N253-M253</f>
        <v>0</v>
      </c>
      <c r="O302" s="12">
        <f>O253-N253</f>
        <v>0</v>
      </c>
      <c r="P302" s="12">
        <f>P253-O253</f>
        <v>0</v>
      </c>
      <c r="Q302" s="12">
        <f>Q253-P253</f>
        <v>0</v>
      </c>
      <c r="R302" s="12">
        <f>SUM(N302:Q302)</f>
        <v>0</v>
      </c>
      <c r="S302" s="12">
        <f>S253-R253</f>
        <v>0</v>
      </c>
      <c r="T302" s="12">
        <f>T253-S253</f>
        <v>0</v>
      </c>
      <c r="U302" s="12">
        <f>U253-T253</f>
        <v>0</v>
      </c>
      <c r="V302" s="12">
        <f>V253-U253</f>
        <v>0</v>
      </c>
      <c r="W302" s="12">
        <f>SUM(S302:V302)</f>
        <v>0</v>
      </c>
      <c r="X302" s="12">
        <f>X253-W253</f>
        <v>0</v>
      </c>
      <c r="Y302" s="12">
        <f>Y253-X253</f>
        <v>0</v>
      </c>
      <c r="Z302" s="12">
        <f>Z253-Y253</f>
        <v>0</v>
      </c>
      <c r="AA302" s="12">
        <f>AA253-Z253</f>
        <v>0</v>
      </c>
      <c r="AB302" s="12">
        <f>SUM(X302:AA302)</f>
        <v>0</v>
      </c>
      <c r="AC302" s="12">
        <f>AC253-AB253</f>
        <v>0</v>
      </c>
      <c r="AD302" s="12">
        <f>AD253-AC253</f>
        <v>0</v>
      </c>
      <c r="AE302" s="12">
        <f>AE253-AD253</f>
        <v>0</v>
      </c>
      <c r="AF302" s="12">
        <f>AF253-AE253</f>
        <v>0</v>
      </c>
      <c r="AG302" s="12">
        <f>SUM(AC302:AF302)</f>
        <v>0</v>
      </c>
      <c r="AH302" s="12">
        <f>AH253-AG253</f>
        <v>0</v>
      </c>
      <c r="AI302" s="12">
        <f>AI253-AH253</f>
        <v>0</v>
      </c>
      <c r="AJ302" s="12">
        <f>AJ253-AI253</f>
        <v>0</v>
      </c>
      <c r="AK302" s="12">
        <f>AK253-AJ253</f>
        <v>0</v>
      </c>
      <c r="AL302" s="12">
        <f>SUM(AH302:AK302)</f>
        <v>0</v>
      </c>
      <c r="AM302" s="12">
        <f>AM253-AL253</f>
        <v>0</v>
      </c>
      <c r="AN302" s="12">
        <f>AN253-AM253</f>
        <v>0</v>
      </c>
      <c r="AO302" s="12">
        <f>AO253-AN253</f>
        <v>0</v>
      </c>
      <c r="AP302" s="12">
        <f>AP253-AO253</f>
        <v>0</v>
      </c>
      <c r="AQ302" s="12">
        <f>SUM(AM302:AP302)</f>
        <v>0</v>
      </c>
      <c r="AR302" s="12">
        <f>AR253-AQ253</f>
        <v>0</v>
      </c>
      <c r="AS302" s="12">
        <f>AS253-AR253</f>
        <v>0</v>
      </c>
      <c r="AT302" s="12">
        <f>AT253-AS253</f>
        <v>0</v>
      </c>
      <c r="AU302" s="12">
        <f>AU253-AT253</f>
        <v>0</v>
      </c>
      <c r="AV302" s="12">
        <f>SUM(AR302:AU302)</f>
        <v>0</v>
      </c>
      <c r="AW302" s="12">
        <f>AW253-AV253</f>
        <v>0</v>
      </c>
      <c r="AX302" s="12">
        <f>AX253-AW253</f>
        <v>0</v>
      </c>
      <c r="AY302" s="12">
        <f>AY253-AX253</f>
        <v>0</v>
      </c>
      <c r="AZ302" s="12">
        <f>AZ253-AY253</f>
        <v>0</v>
      </c>
      <c r="BA302" s="12">
        <f>SUM(AW302:AZ302)</f>
        <v>0</v>
      </c>
      <c r="BB302" s="12">
        <f>BB253-BA253</f>
        <v>0</v>
      </c>
      <c r="BC302" s="12">
        <f>BC253-BB253</f>
        <v>0</v>
      </c>
      <c r="BD302" s="12">
        <f>BD253-BC253</f>
        <v>0</v>
      </c>
      <c r="BE302" s="12">
        <f>BE253-BD253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Common stock and APIC</t>
        </is>
      </c>
      <c r="D303" s="12" t="n"/>
      <c r="E303" s="12" t="n"/>
      <c r="F303" s="12" t="n"/>
      <c r="G303" s="12" t="n"/>
      <c r="H303" s="12" t="n"/>
      <c r="I303" s="12" t="n"/>
      <c r="J303" s="12">
        <f>J254-I254</f>
        <v>-1.34399999999994</v>
      </c>
      <c r="K303" s="12">
        <f>K254-J254</f>
        <v>0</v>
      </c>
      <c r="L303" s="12">
        <f>L254-K254</f>
        <v>0</v>
      </c>
      <c r="M303" s="12" t="n"/>
      <c r="N303" s="12">
        <f>N254-M254</f>
        <v>0</v>
      </c>
      <c r="O303" s="12">
        <f>O254-N254</f>
        <v>113.455</v>
      </c>
      <c r="P303" s="12">
        <f>P254-O254</f>
        <v>0</v>
      </c>
      <c r="Q303" s="12">
        <f>Q254-P254</f>
        <v>183.799</v>
      </c>
      <c r="R303" s="12">
        <f>SUM(N303:Q303)</f>
        <v>297.254</v>
      </c>
      <c r="S303" s="12">
        <f>S254-R254</f>
        <v>348.204</v>
      </c>
      <c r="T303" s="12">
        <f>T254-S254</f>
        <v>82.731</v>
      </c>
      <c r="U303" s="12">
        <f>U254-T254</f>
        <v>0</v>
      </c>
      <c r="V303" s="12">
        <f>V254-U254</f>
        <v>0</v>
      </c>
      <c r="W303" s="12">
        <f>SUM(S303:V303)</f>
        <v>430.935</v>
      </c>
      <c r="X303" s="12">
        <f>X254-W254</f>
        <v>0</v>
      </c>
      <c r="Y303" s="12">
        <f>Y254-X254</f>
        <v>0</v>
      </c>
      <c r="Z303" s="12">
        <f>Z254-Y254</f>
        <v>0</v>
      </c>
      <c r="AA303" s="12">
        <f>AA254-Z254</f>
        <v>0</v>
      </c>
      <c r="AB303" s="12">
        <f>SUM(X303:AA303)</f>
        <v>0</v>
      </c>
      <c r="AC303" s="12">
        <f>AC254-AB254</f>
        <v>0</v>
      </c>
      <c r="AD303" s="12">
        <f>AD254-AC254</f>
        <v>607.172</v>
      </c>
      <c r="AE303" s="12">
        <f>AE254-AD254</f>
        <v>-1.43900000000031</v>
      </c>
      <c r="AF303" s="12">
        <f>AF254-AE254</f>
        <v>-1.92899999999963</v>
      </c>
      <c r="AG303" s="12">
        <f>SUM(AC303:AF303)</f>
        <v>603.804</v>
      </c>
      <c r="AH303" s="12">
        <f>AH254-AG254</f>
        <v>-0.894000000000233</v>
      </c>
      <c r="AI303" s="12">
        <f>AI254-AH254</f>
        <v>3507.027</v>
      </c>
      <c r="AJ303" s="12">
        <f>AJ254-AI254</f>
        <v>0</v>
      </c>
      <c r="AK303" s="12">
        <f>AK254-AJ254</f>
        <v>0</v>
      </c>
      <c r="AL303" s="12">
        <f>SUM(AH303:AK303)</f>
        <v>3506.133</v>
      </c>
      <c r="AM303" s="12">
        <f>AM254-AL254</f>
        <v>0</v>
      </c>
      <c r="AN303" s="12">
        <f>AN254-AM254</f>
        <v>0</v>
      </c>
      <c r="AO303" s="12">
        <f>AO254-AN254</f>
        <v>0</v>
      </c>
      <c r="AP303" s="12">
        <f>AP254-AO254</f>
        <v>0</v>
      </c>
      <c r="AQ303" s="12">
        <f>SUM(AM303:AP303)</f>
        <v>0</v>
      </c>
      <c r="AR303" s="12">
        <f>AR254-AQ254</f>
        <v>0</v>
      </c>
      <c r="AS303" s="12">
        <f>AS254-AR254</f>
        <v>0</v>
      </c>
      <c r="AT303" s="12">
        <f>AT254-AS254</f>
        <v>0</v>
      </c>
      <c r="AU303" s="12">
        <f>AU254-AT254</f>
        <v>0</v>
      </c>
      <c r="AV303" s="12">
        <f>SUM(AR303:AU303)</f>
        <v>0</v>
      </c>
      <c r="AW303" s="12">
        <f>AW254-AV254</f>
        <v>0</v>
      </c>
      <c r="AX303" s="12">
        <f>AX254-AW254</f>
        <v>0</v>
      </c>
      <c r="AY303" s="12">
        <f>AY254-AX254</f>
        <v>0</v>
      </c>
      <c r="AZ303" s="12">
        <f>AZ254-AY254</f>
        <v>0</v>
      </c>
      <c r="BA303" s="12">
        <f>SUM(AW303:AZ303)</f>
        <v>0</v>
      </c>
      <c r="BB303" s="12">
        <f>BB254-BA254</f>
        <v>0</v>
      </c>
      <c r="BC303" s="12">
        <f>BC254-BB254</f>
        <v>0</v>
      </c>
      <c r="BD303" s="12">
        <f>BD254-BC254</f>
        <v>0</v>
      </c>
      <c r="BE303" s="12">
        <f>BE254-BD254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Treasury stock repurchases</t>
        </is>
      </c>
      <c r="D304" s="12" t="n"/>
      <c r="E304" s="12" t="n"/>
      <c r="F304" s="12" t="n"/>
      <c r="G304" s="12" t="n"/>
      <c r="H304" s="12" t="n"/>
      <c r="I304" s="12" t="n"/>
      <c r="J304" s="12">
        <f>J267-I267</f>
        <v>0</v>
      </c>
      <c r="K304" s="12">
        <f>K267-J267</f>
        <v>0</v>
      </c>
      <c r="L304" s="12">
        <f>L267-K267</f>
        <v>0</v>
      </c>
      <c r="M304" s="12" t="n"/>
      <c r="N304" s="12">
        <f>N267-M267</f>
        <v>0</v>
      </c>
      <c r="O304" s="12">
        <f>O267-N267</f>
        <v>0</v>
      </c>
      <c r="P304" s="12">
        <f>P267-O267</f>
        <v>0</v>
      </c>
      <c r="Q304" s="12">
        <f>Q267-P267</f>
        <v>0</v>
      </c>
      <c r="R304" s="12">
        <f>SUM(N304:Q304)</f>
        <v>0</v>
      </c>
      <c r="S304" s="12">
        <f>S267-R267</f>
        <v>0</v>
      </c>
      <c r="T304" s="12">
        <f>T267-S267</f>
        <v>0</v>
      </c>
      <c r="U304" s="12">
        <f>U267-T267</f>
        <v>0</v>
      </c>
      <c r="V304" s="12">
        <f>V267-U267</f>
        <v>0</v>
      </c>
      <c r="W304" s="12">
        <f>SUM(S304:V304)</f>
        <v>0</v>
      </c>
      <c r="X304" s="12">
        <f>X267-W267</f>
        <v>0</v>
      </c>
      <c r="Y304" s="12">
        <f>Y267-X267</f>
        <v>0</v>
      </c>
      <c r="Z304" s="12">
        <f>Z267-Y267</f>
        <v>0</v>
      </c>
      <c r="AA304" s="12">
        <f>AA267-Z267</f>
        <v>0</v>
      </c>
      <c r="AB304" s="12">
        <f>SUM(X304:AA304)</f>
        <v>0</v>
      </c>
      <c r="AC304" s="12">
        <f>AC267-AB267</f>
        <v>0</v>
      </c>
      <c r="AD304" s="12">
        <f>AD267-AC267</f>
        <v>0</v>
      </c>
      <c r="AE304" s="12">
        <f>AE267-AD267</f>
        <v>0</v>
      </c>
      <c r="AF304" s="12">
        <f>AF267-AE267</f>
        <v>0</v>
      </c>
      <c r="AG304" s="12">
        <f>SUM(AC304:AF304)</f>
        <v>0</v>
      </c>
      <c r="AH304" s="12">
        <f>AH267-AG267</f>
        <v>0</v>
      </c>
      <c r="AI304" s="12">
        <f>AI267-AH267</f>
        <v>0</v>
      </c>
      <c r="AJ304" s="12">
        <f>AJ267-AI267</f>
        <v>0</v>
      </c>
      <c r="AK304" s="12">
        <f>AK267-AJ267</f>
        <v>0</v>
      </c>
      <c r="AL304" s="12">
        <f>SUM(AH304:AK304)</f>
        <v>0</v>
      </c>
      <c r="AM304" s="12">
        <f>AM267-AL267</f>
        <v>0</v>
      </c>
      <c r="AN304" s="12">
        <f>AN267-AM267</f>
        <v>0</v>
      </c>
      <c r="AO304" s="12">
        <f>AO267-AN267</f>
        <v>0</v>
      </c>
      <c r="AP304" s="12">
        <f>AP267-AO267</f>
        <v>0</v>
      </c>
      <c r="AQ304" s="12">
        <f>SUM(AM304:AP304)</f>
        <v>0</v>
      </c>
      <c r="AR304" s="12">
        <f>AR267-AQ267</f>
        <v>0</v>
      </c>
      <c r="AS304" s="12">
        <f>AS267-AR267</f>
        <v>0</v>
      </c>
      <c r="AT304" s="12">
        <f>AT267-AS267</f>
        <v>0</v>
      </c>
      <c r="AU304" s="12">
        <f>AU267-AT267</f>
        <v>0</v>
      </c>
      <c r="AV304" s="12">
        <f>SUM(AR304:AU304)</f>
        <v>0</v>
      </c>
      <c r="AW304" s="12">
        <f>AW267-AV267</f>
        <v>0</v>
      </c>
      <c r="AX304" s="12">
        <f>AX267-AW267</f>
        <v>0</v>
      </c>
      <c r="AY304" s="12">
        <f>AY267-AX267</f>
        <v>0</v>
      </c>
      <c r="AZ304" s="12">
        <f>AZ267-AY267</f>
        <v>0</v>
      </c>
      <c r="BA304" s="12">
        <f>SUM(AW304:AZ304)</f>
        <v>0</v>
      </c>
      <c r="BB304" s="12">
        <f>BB267-BA267</f>
        <v>0</v>
      </c>
      <c r="BC304" s="12">
        <f>BC267-BB267</f>
        <v>0</v>
      </c>
      <c r="BD304" s="12">
        <f>BD267-BC267</f>
        <v>0</v>
      </c>
      <c r="BE304" s="12">
        <f>BE267-BD267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Comprehensive accumulated loss</t>
        </is>
      </c>
      <c r="D305" s="12" t="n"/>
      <c r="E305" s="12" t="n"/>
      <c r="F305" s="12" t="n"/>
      <c r="G305" s="12" t="n"/>
      <c r="H305" s="12" t="n"/>
      <c r="I305" s="12" t="n"/>
      <c r="J305" s="12">
        <f>J268-I268</f>
        <v>0</v>
      </c>
      <c r="K305" s="12">
        <f>K268-J268</f>
        <v>0</v>
      </c>
      <c r="L305" s="12">
        <f>L268-K268</f>
        <v>0</v>
      </c>
      <c r="M305" s="12" t="n"/>
      <c r="N305" s="12">
        <f>N268-M268</f>
        <v>0</v>
      </c>
      <c r="O305" s="12">
        <f>O268-N268</f>
        <v>-1.596</v>
      </c>
      <c r="P305" s="12">
        <f>P268-O268</f>
        <v>8.698</v>
      </c>
      <c r="Q305" s="12">
        <f>Q268-P268</f>
        <v>308.434</v>
      </c>
      <c r="R305" s="12">
        <f>SUM(N305:Q305)</f>
        <v>315.536</v>
      </c>
      <c r="S305" s="12">
        <f>S268-R268</f>
        <v>-315.536</v>
      </c>
      <c r="T305" s="12">
        <f>T268-S268</f>
        <v>0</v>
      </c>
      <c r="U305" s="12">
        <f>U268-T268</f>
        <v>0</v>
      </c>
      <c r="V305" s="12">
        <f>V268-U268</f>
        <v>0</v>
      </c>
      <c r="W305" s="12">
        <f>SUM(S305:V305)</f>
        <v>-315.536</v>
      </c>
      <c r="X305" s="12">
        <f>X268-W268</f>
        <v>0</v>
      </c>
      <c r="Y305" s="12">
        <f>Y268-X268</f>
        <v>6.667</v>
      </c>
      <c r="Z305" s="12">
        <f>Z268-Y268</f>
        <v>-6.667</v>
      </c>
      <c r="AA305" s="12">
        <f>AA268-Z268</f>
        <v>11.254</v>
      </c>
      <c r="AB305" s="12">
        <f>SUM(X305:AA305)</f>
        <v>11.254</v>
      </c>
      <c r="AC305" s="12">
        <f>AC268-AB268</f>
        <v>0</v>
      </c>
      <c r="AD305" s="12">
        <f>AD268-AC268</f>
        <v>0</v>
      </c>
      <c r="AE305" s="12">
        <f>AE268-AD268</f>
        <v>0</v>
      </c>
      <c r="AF305" s="12">
        <f>AF268-AE268</f>
        <v>0</v>
      </c>
      <c r="AG305" s="12">
        <f>SUM(AC305:AF305)</f>
        <v>0</v>
      </c>
      <c r="AH305" s="12">
        <f>AH268-AG268</f>
        <v>0</v>
      </c>
      <c r="AI305" s="12">
        <f>AI268-AH268</f>
        <v>-104.148</v>
      </c>
      <c r="AJ305" s="12">
        <f>AJ268-AI268</f>
        <v>0</v>
      </c>
      <c r="AK305" s="12">
        <f>AK268-AJ268</f>
        <v>0</v>
      </c>
      <c r="AL305" s="12">
        <f>SUM(AH305:AK305)</f>
        <v>-104.148</v>
      </c>
      <c r="AM305" s="12">
        <f>AM268-AL268</f>
        <v>0</v>
      </c>
      <c r="AN305" s="12">
        <f>AN268-AM268</f>
        <v>0</v>
      </c>
      <c r="AO305" s="12">
        <f>AO268-AN268</f>
        <v>0</v>
      </c>
      <c r="AP305" s="12">
        <f>AP268-AO268</f>
        <v>0</v>
      </c>
      <c r="AQ305" s="12">
        <f>SUM(AM305:AP305)</f>
        <v>0</v>
      </c>
      <c r="AR305" s="12">
        <f>AR268-AQ268</f>
        <v>0</v>
      </c>
      <c r="AS305" s="12">
        <f>AS268-AR268</f>
        <v>0</v>
      </c>
      <c r="AT305" s="12">
        <f>AT268-AS268</f>
        <v>0</v>
      </c>
      <c r="AU305" s="12">
        <f>AU268-AT268</f>
        <v>0</v>
      </c>
      <c r="AV305" s="12">
        <f>SUM(AR305:AU305)</f>
        <v>0</v>
      </c>
      <c r="AW305" s="12">
        <f>AW268-AV268</f>
        <v>0</v>
      </c>
      <c r="AX305" s="12">
        <f>AX268-AW268</f>
        <v>0</v>
      </c>
      <c r="AY305" s="12">
        <f>AY268-AX268</f>
        <v>0</v>
      </c>
      <c r="AZ305" s="12">
        <f>AZ268-AY268</f>
        <v>0</v>
      </c>
      <c r="BA305" s="12">
        <f>SUM(AW305:AZ305)</f>
        <v>0</v>
      </c>
      <c r="BB305" s="12">
        <f>BB268-BA268</f>
        <v>0</v>
      </c>
      <c r="BC305" s="12">
        <f>BC268-BB268</f>
        <v>0</v>
      </c>
      <c r="BD305" s="12">
        <f>BD268-BC268</f>
        <v>0</v>
      </c>
      <c r="BE305" s="12">
        <f>BE268-BD268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Other equity account</t>
        </is>
      </c>
      <c r="D306" s="12" t="n"/>
      <c r="E306" s="12" t="n"/>
      <c r="F306" s="12" t="n"/>
      <c r="G306" s="12" t="n"/>
      <c r="H306" s="12" t="n"/>
      <c r="I306" s="12" t="n"/>
      <c r="J306" s="12">
        <f>J269-I269</f>
        <v>0</v>
      </c>
      <c r="K306" s="12">
        <f>K269-J269</f>
        <v>0</v>
      </c>
      <c r="L306" s="12">
        <f>L269-K269</f>
        <v>0</v>
      </c>
      <c r="M306" s="12" t="n"/>
      <c r="N306" s="12">
        <f>N269-M269</f>
        <v>0</v>
      </c>
      <c r="O306" s="12">
        <f>O269-N269</f>
        <v>0</v>
      </c>
      <c r="P306" s="12">
        <f>P269-O269</f>
        <v>0</v>
      </c>
      <c r="Q306" s="12">
        <f>Q269-P269</f>
        <v>0</v>
      </c>
      <c r="R306" s="12">
        <f>SUM(N306:Q306)</f>
        <v>0</v>
      </c>
      <c r="S306" s="12">
        <f>S269-R269</f>
        <v>0</v>
      </c>
      <c r="T306" s="12">
        <f>T269-S269</f>
        <v>0</v>
      </c>
      <c r="U306" s="12">
        <f>U269-T269</f>
        <v>0</v>
      </c>
      <c r="V306" s="12">
        <f>V269-U269</f>
        <v>0</v>
      </c>
      <c r="W306" s="12">
        <f>SUM(S306:V306)</f>
        <v>0</v>
      </c>
      <c r="X306" s="12">
        <f>X269-W269</f>
        <v>0</v>
      </c>
      <c r="Y306" s="12">
        <f>Y269-X269</f>
        <v>0</v>
      </c>
      <c r="Z306" s="12">
        <f>Z269-Y269</f>
        <v>6.667</v>
      </c>
      <c r="AA306" s="12">
        <f>AA269-Z269</f>
        <v>-6.667</v>
      </c>
      <c r="AB306" s="12">
        <f>SUM(X306:AA306)</f>
        <v>0</v>
      </c>
      <c r="AC306" s="12">
        <f>AC269-AB269</f>
        <v>0</v>
      </c>
      <c r="AD306" s="12">
        <f>AD269-AC269</f>
        <v>0</v>
      </c>
      <c r="AE306" s="12">
        <f>AE269-AD269</f>
        <v>0</v>
      </c>
      <c r="AF306" s="12">
        <f>AF269-AE269</f>
        <v>0</v>
      </c>
      <c r="AG306" s="12">
        <f>SUM(AC306:AF306)</f>
        <v>0</v>
      </c>
      <c r="AH306" s="12">
        <f>AH269-AG269</f>
        <v>0</v>
      </c>
      <c r="AI306" s="12">
        <f>AI269-AH269</f>
        <v>0</v>
      </c>
      <c r="AJ306" s="12">
        <f>AJ269-AI269</f>
        <v>0</v>
      </c>
      <c r="AK306" s="12">
        <f>AK269-AJ269</f>
        <v>0</v>
      </c>
      <c r="AL306" s="12">
        <f>SUM(AH306:AK306)</f>
        <v>0</v>
      </c>
      <c r="AM306" s="12">
        <f>AM269-AL269</f>
        <v>0</v>
      </c>
      <c r="AN306" s="12">
        <f>AN269-AM269</f>
        <v>0</v>
      </c>
      <c r="AO306" s="12">
        <f>AO269-AN269</f>
        <v>0</v>
      </c>
      <c r="AP306" s="12">
        <f>AP269-AO269</f>
        <v>0</v>
      </c>
      <c r="AQ306" s="12">
        <f>SUM(AM306:AP306)</f>
        <v>0</v>
      </c>
      <c r="AR306" s="12">
        <f>AR269-AQ269</f>
        <v>0</v>
      </c>
      <c r="AS306" s="12">
        <f>AS269-AR269</f>
        <v>0</v>
      </c>
      <c r="AT306" s="12">
        <f>AT269-AS269</f>
        <v>0</v>
      </c>
      <c r="AU306" s="12">
        <f>AU269-AT269</f>
        <v>0</v>
      </c>
      <c r="AV306" s="12">
        <f>SUM(AR306:AU306)</f>
        <v>0</v>
      </c>
      <c r="AW306" s="12">
        <f>AW269-AV269</f>
        <v>0</v>
      </c>
      <c r="AX306" s="12">
        <f>AX269-AW269</f>
        <v>0</v>
      </c>
      <c r="AY306" s="12">
        <f>AY269-AX269</f>
        <v>0</v>
      </c>
      <c r="AZ306" s="12">
        <f>AZ269-AY269</f>
        <v>0</v>
      </c>
      <c r="BA306" s="12">
        <f>SUM(AW306:AZ306)</f>
        <v>0</v>
      </c>
      <c r="BB306" s="12">
        <f>BB269-BA269</f>
        <v>0</v>
      </c>
      <c r="BC306" s="12">
        <f>BC269-BB269</f>
        <v>0</v>
      </c>
      <c r="BD306" s="12">
        <f>BD269-BC269</f>
        <v>0</v>
      </c>
      <c r="BE306" s="12">
        <f>BE269-BD269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0" t="inlineStr">
        <is>
          <t>Common and preferred dividends</t>
        </is>
      </c>
      <c r="D307" s="12" t="n"/>
      <c r="E307" s="12" t="n"/>
      <c r="F307" s="12" t="n"/>
      <c r="G307" s="12" t="n"/>
      <c r="H307" s="12" t="n"/>
      <c r="I307" s="12" t="n"/>
      <c r="J307" s="12">
        <f>(J270-I270)-J277</f>
        <v>0</v>
      </c>
      <c r="K307" s="12">
        <f>(K270-J270)-K277</f>
        <v>-2.30926389122033e-14</v>
      </c>
      <c r="L307" s="12">
        <f>(L270-K270)-L277</f>
        <v>0</v>
      </c>
      <c r="M307" s="12" t="n"/>
      <c r="N307" s="12">
        <f>(N270-M270)-N277</f>
        <v>0</v>
      </c>
      <c r="O307" s="12">
        <f>(O270-N270)-O277</f>
        <v>0</v>
      </c>
      <c r="P307" s="12">
        <f>(P270-O270)-P277</f>
        <v>0</v>
      </c>
      <c r="Q307" s="12">
        <f>(Q270-P270)-Q277</f>
        <v>-268.941</v>
      </c>
      <c r="R307" s="12">
        <f>SUM(N307:Q307)</f>
        <v>-268.941</v>
      </c>
      <c r="S307" s="12">
        <f>(S270-R270)-S277</f>
        <v>0</v>
      </c>
      <c r="T307" s="12">
        <f>(T270-S270)-T277</f>
        <v>0</v>
      </c>
      <c r="U307" s="12">
        <f>(U270-T270)-U277</f>
        <v>2.48689957516035e-14</v>
      </c>
      <c r="V307" s="12">
        <f>(V270-U270)-V277</f>
        <v>0</v>
      </c>
      <c r="W307" s="12">
        <f>SUM(S307:V307)</f>
        <v>2.48689957516035e-14</v>
      </c>
      <c r="X307" s="12">
        <f>(X270-W270)-X277</f>
        <v>0</v>
      </c>
      <c r="Y307" s="12">
        <f>(Y270-X270)-Y277</f>
        <v>3.90798504668055e-14</v>
      </c>
      <c r="Z307" s="12">
        <f>(Z270-Y270)-Z277</f>
        <v>0</v>
      </c>
      <c r="AA307" s="12">
        <f>(AA270-Z270)-AA277</f>
        <v>-4.61852778244065e-14</v>
      </c>
      <c r="AB307" s="12">
        <f>SUM(X307:AA307)</f>
        <v>-7.105427357601e-15</v>
      </c>
      <c r="AC307" s="12">
        <f>(AC270-AB270)-AC277</f>
        <v>-3.01980662698043e-14</v>
      </c>
      <c r="AD307" s="12">
        <f>(AD270-AC270)-AD277</f>
        <v>0</v>
      </c>
      <c r="AE307" s="12">
        <f>(AE270-AD270)-AE277</f>
        <v>0</v>
      </c>
      <c r="AF307" s="12">
        <f>(AF270-AE270)-AF277</f>
        <v>0</v>
      </c>
      <c r="AG307" s="12">
        <f>SUM(AC307:AF307)</f>
        <v>-3.01980662698043e-14</v>
      </c>
      <c r="AH307" s="12">
        <f>(AH270-AG270)-AH277</f>
        <v>0</v>
      </c>
      <c r="AI307" s="12">
        <f>(AI270-AH270)-AI277</f>
        <v>-7.46069872548105e-14</v>
      </c>
      <c r="AJ307" s="12">
        <f>(AJ270-AI270)-AJ277</f>
        <v>0</v>
      </c>
      <c r="AK307" s="12">
        <f>(AK270-AJ270)-AK277</f>
        <v>0</v>
      </c>
      <c r="AL307" s="12">
        <f>SUM(AH307:AK307)</f>
        <v>-7.46069872548105e-14</v>
      </c>
      <c r="AM307" s="12">
        <f>(AM270-AL270)-AM277</f>
        <v>0</v>
      </c>
      <c r="AN307" s="12">
        <f>(AN270-AM270)-AN277</f>
        <v>0</v>
      </c>
      <c r="AO307" s="12">
        <f>(AO270-AN270)-AO277</f>
        <v>0</v>
      </c>
      <c r="AP307" s="12">
        <f>(AP270-AO270)-AP277</f>
        <v>0</v>
      </c>
      <c r="AQ307" s="12">
        <f>SUM(AM307:AP307)</f>
        <v>0</v>
      </c>
      <c r="AR307" s="12">
        <f>(AR270-AQ270)-AR277</f>
        <v>0</v>
      </c>
      <c r="AS307" s="12">
        <f>(AS270-AR270)-AS277</f>
        <v>0</v>
      </c>
      <c r="AT307" s="12">
        <f>(AT270-AS270)-AT277</f>
        <v>0</v>
      </c>
      <c r="AU307" s="12">
        <f>(AU270-AT270)-AU277</f>
        <v>0</v>
      </c>
      <c r="AV307" s="12">
        <f>SUM(AR307:AU307)</f>
        <v>0</v>
      </c>
      <c r="AW307" s="12">
        <f>(AW270-AV270)-AW277</f>
        <v>0</v>
      </c>
      <c r="AX307" s="12">
        <f>(AX270-AW270)-AX277</f>
        <v>0</v>
      </c>
      <c r="AY307" s="12">
        <f>(AY270-AX270)-AY277</f>
        <v>0</v>
      </c>
      <c r="AZ307" s="12">
        <f>(AZ270-AY270)-AZ277</f>
        <v>0</v>
      </c>
      <c r="BA307" s="12">
        <f>SUM(AW307:AZ307)</f>
        <v>0</v>
      </c>
      <c r="BB307" s="12">
        <f>(BB270-BA270)-BB277</f>
        <v>0</v>
      </c>
      <c r="BC307" s="12">
        <f>(BC270-BB270)-BC277</f>
        <v>0</v>
      </c>
      <c r="BD307" s="12">
        <f>(BD270-BC270)-BD277</f>
        <v>0</v>
      </c>
      <c r="BE307" s="12">
        <f>(BE270-BD270)-BE277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Dividends to minority interests</t>
        </is>
      </c>
      <c r="D308" s="12" t="n"/>
      <c r="E308" s="12" t="n"/>
      <c r="F308" s="12" t="n"/>
      <c r="G308" s="12" t="n"/>
      <c r="H308" s="12" t="n"/>
      <c r="I308" s="12" t="n"/>
      <c r="J308" s="12">
        <f>(J248-I248)+J136</f>
        <v>-8.059</v>
      </c>
      <c r="K308" s="12">
        <f>(K248-J248)+K136</f>
        <v>-0.00200000000000067</v>
      </c>
      <c r="L308" s="12">
        <f>(L248-K248)+L136</f>
        <v>0.00300000000000056</v>
      </c>
      <c r="M308" s="12" t="n"/>
      <c r="N308" s="12">
        <f>(N248-M248)+N136</f>
        <v>0</v>
      </c>
      <c r="O308" s="12">
        <f>(O248-N248)+O136</f>
        <v>0</v>
      </c>
      <c r="P308" s="12">
        <f>(P248-O248)+P136</f>
        <v>0</v>
      </c>
      <c r="Q308" s="12">
        <f>(Q248-P248)+Q136</f>
        <v>11.669</v>
      </c>
      <c r="R308" s="12">
        <f>SUM(N308:Q308)</f>
        <v>11.669</v>
      </c>
      <c r="S308" s="12">
        <f>(S248-R248)+S136</f>
        <v>10.195</v>
      </c>
      <c r="T308" s="12">
        <f>(T248-S248)+T136</f>
        <v>-0.867000000000003</v>
      </c>
      <c r="U308" s="12">
        <f>(U248-T248)+U136</f>
        <v>0</v>
      </c>
      <c r="V308" s="12">
        <f>(V248-U248)+V136</f>
        <v>-11.768</v>
      </c>
      <c r="W308" s="12">
        <f>SUM(S308:V308)</f>
        <v>-2.44</v>
      </c>
      <c r="X308" s="12">
        <f>(X248-W248)+X136</f>
        <v>16.79</v>
      </c>
      <c r="Y308" s="12">
        <f>(Y248-X248)+Y136</f>
        <v>-0.784000000000005</v>
      </c>
      <c r="Z308" s="12">
        <f>(Z248-Y248)+Z136</f>
        <v>26.965</v>
      </c>
      <c r="AA308" s="12">
        <f>(AA248-Z248)+AA136</f>
        <v>0.577000000000004</v>
      </c>
      <c r="AB308" s="12">
        <f>SUM(X308:AA308)</f>
        <v>43.548</v>
      </c>
      <c r="AC308" s="12">
        <f>(AC248-AB248)+AC136</f>
        <v>0</v>
      </c>
      <c r="AD308" s="12">
        <f>(AD248-AC248)+AD136</f>
        <v>0</v>
      </c>
      <c r="AE308" s="12">
        <f>(AE248-AD248)+AE136</f>
        <v>0</v>
      </c>
      <c r="AF308" s="12">
        <f>(AF248-AE248)+AF136</f>
        <v>0</v>
      </c>
      <c r="AG308" s="12">
        <f>SUM(AC308:AF308)</f>
        <v>0</v>
      </c>
      <c r="AH308" s="12">
        <f>(AH248-AG248)+AH136</f>
        <v>0</v>
      </c>
      <c r="AI308" s="12">
        <f>(AI248-AH248)+AI136</f>
        <v>269.845</v>
      </c>
      <c r="AJ308" s="12">
        <f>(AJ248-AI248)+AJ136</f>
        <v>0</v>
      </c>
      <c r="AK308" s="12">
        <f>(AK248-AJ248)+AK136</f>
        <v>0</v>
      </c>
      <c r="AL308" s="12">
        <f>SUM(AH308:AK308)</f>
        <v>269.845</v>
      </c>
      <c r="AM308" s="12">
        <f>(AM248-AL248)+AM136</f>
        <v>0</v>
      </c>
      <c r="AN308" s="12">
        <f>(AN248-AM248)+AN136</f>
        <v>0</v>
      </c>
      <c r="AO308" s="12">
        <f>(AO248-AN248)+AO136</f>
        <v>0</v>
      </c>
      <c r="AP308" s="12">
        <f>(AP248-AO248)+AP136</f>
        <v>0</v>
      </c>
      <c r="AQ308" s="12">
        <f>SUM(AM308:AP308)</f>
        <v>0</v>
      </c>
      <c r="AR308" s="12">
        <f>(AR248-AQ248)+AR136</f>
        <v>0</v>
      </c>
      <c r="AS308" s="12">
        <f>(AS248-AR248)+AS136</f>
        <v>0</v>
      </c>
      <c r="AT308" s="12">
        <f>(AT248-AS248)+AT136</f>
        <v>0</v>
      </c>
      <c r="AU308" s="12">
        <f>(AU248-AT248)+AU136</f>
        <v>0</v>
      </c>
      <c r="AV308" s="12">
        <f>SUM(AR308:AU308)</f>
        <v>0</v>
      </c>
      <c r="AW308" s="12">
        <f>(AW248-AV248)+AW136</f>
        <v>0</v>
      </c>
      <c r="AX308" s="12">
        <f>(AX248-AW248)+AX136</f>
        <v>0</v>
      </c>
      <c r="AY308" s="12">
        <f>(AY248-AX248)+AY136</f>
        <v>0</v>
      </c>
      <c r="AZ308" s="12">
        <f>(AZ248-AY248)+AZ136</f>
        <v>0</v>
      </c>
      <c r="BA308" s="12">
        <f>SUM(AW308:AZ308)</f>
        <v>0</v>
      </c>
      <c r="BB308" s="12">
        <f>(BB248-BA248)+BB136</f>
        <v>0</v>
      </c>
      <c r="BC308" s="12">
        <f>(BC248-BB248)+BC136</f>
        <v>0</v>
      </c>
      <c r="BD308" s="12">
        <f>(BD248-BC248)+BD136</f>
        <v>0</v>
      </c>
      <c r="BE308" s="12">
        <f>(BE248-BD248)+BE136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5" t="inlineStr">
        <is>
          <t>Increases / (decreases) in debt</t>
        </is>
      </c>
      <c r="D309" s="12" t="n"/>
      <c r="E309" s="12" t="n"/>
      <c r="F309" s="12" t="n"/>
      <c r="G309" s="12" t="n"/>
      <c r="H309" s="12" t="n"/>
      <c r="I309" s="12" t="n"/>
      <c r="J309" s="12">
        <f>SUM(J212:J214,J217,J238,J235)-SUM(I212:I214,I217,I238,I235)</f>
        <v>-49.54</v>
      </c>
      <c r="K309" s="12">
        <f>SUM(K212:K214,K217,K238,K235)-SUM(J212:J214,J217,J238,J235)</f>
        <v>-12.595</v>
      </c>
      <c r="L309" s="12">
        <f>SUM(L212:L214,L217,L238,L235)-SUM(K212:K214,K217,K238,K235)</f>
        <v>289.155</v>
      </c>
      <c r="M309" s="12" t="n"/>
      <c r="N309" s="12">
        <f>SUM(N212:N214,N217,N238,N235)-SUM(M212:M214,M217,M238,M235)</f>
        <v>11.3259999999999</v>
      </c>
      <c r="O309" s="12">
        <f>SUM(O212:O214,O217,O238,O235)-SUM(N212:N214,N217,N238,N235)</f>
        <v>34.402</v>
      </c>
      <c r="P309" s="12">
        <f>SUM(P212:P214,P217,P238,P235)-SUM(O212:O214,O217,O238,O235)</f>
        <v>34.586</v>
      </c>
      <c r="Q309" s="12">
        <f>SUM(Q212:Q214,Q217,Q238,Q235)-SUM(P212:P214,P217,P238,P235)</f>
        <v>413.618</v>
      </c>
      <c r="R309" s="12">
        <f>SUM(N309:Q309)</f>
        <v>493.932</v>
      </c>
      <c r="S309" s="12">
        <f>SUM(S212:S214,S217,S238,S235)-SUM(R212:R214,R217,R238,R235)</f>
        <v>-2.60599999999999</v>
      </c>
      <c r="T309" s="12">
        <f>SUM(T212:T214,T217,T238,T235)-SUM(S212:S214,S217,S238,S235)</f>
        <v>-1.10599999999999</v>
      </c>
      <c r="U309" s="12">
        <f>SUM(U212:U214,U217,U238,U235)-SUM(T212:T214,T217,T238,T235)</f>
        <v>128.65</v>
      </c>
      <c r="V309" s="12">
        <f>SUM(V212:V214,V217,V238,V235)-SUM(U212:U214,U217,U238,U235)</f>
        <v>-18.328</v>
      </c>
      <c r="W309" s="12">
        <f>SUM(S309:V309)</f>
        <v>106.61</v>
      </c>
      <c r="X309" s="12">
        <f>SUM(X212:X214,X217,X238,X235)-SUM(W212:W214,W217,W238,W235)</f>
        <v>7.11499999999978</v>
      </c>
      <c r="Y309" s="12">
        <f>SUM(Y212:Y214,Y217,Y238,Y235)-SUM(X212:X214,X217,X238,X235)</f>
        <v>142.282</v>
      </c>
      <c r="Z309" s="12">
        <f>SUM(Z212:Z214,Z217,Z238,Z235)-SUM(Y212:Y214,Y217,Y238,Y235)</f>
        <v>664.731</v>
      </c>
      <c r="AA309" s="12">
        <f>SUM(AA212:AA214,AA217,AA238,AA235)-SUM(Z212:Z214,Z217,Z238,Z235)</f>
        <v>-16.9040000000002</v>
      </c>
      <c r="AB309" s="12">
        <f>SUM(X309:AA309)</f>
        <v>797.224</v>
      </c>
      <c r="AC309" s="12">
        <f>SUM(AC212:AC214,AC217,AC238,AC235)-SUM(AB212:AB214,AB217,AB238,AB235)</f>
        <v>63.1950000000002</v>
      </c>
      <c r="AD309" s="12">
        <f>SUM(AD212:AD214,AD217,AD238,AD235)-SUM(AC212:AC214,AC217,AC238,AC235)</f>
        <v>-47.626</v>
      </c>
      <c r="AE309" s="12">
        <f>SUM(AE212:AE214,AE217,AE238,AE235)-SUM(AD212:AD214,AD217,AD238,AD235)</f>
        <v>196.069</v>
      </c>
      <c r="AF309" s="12">
        <f>SUM(AF212:AF214,AF217,AF238,AF235)-SUM(AE212:AE214,AE217,AE238,AE235)</f>
        <v>39.8520000000003</v>
      </c>
      <c r="AG309" s="12">
        <f>SUM(AC309:AF309)</f>
        <v>251.49</v>
      </c>
      <c r="AH309" s="12">
        <f>SUM(AH212:AH214,AH217,AH238,AH235)-SUM(AG212:AG214,AG217,AG238,AG235)</f>
        <v>106.661</v>
      </c>
      <c r="AI309" s="12">
        <f>SUM(AI212:AI214,AI217,AI238,AI235)-SUM(AH212:AH214,AH217,AH238,AH235)</f>
        <v>1550.064</v>
      </c>
      <c r="AJ309" s="12">
        <f>SUM(AJ212:AJ214,AJ217,AJ238,AJ235)-SUM(AI212:AI214,AI217,AI238,AI235)</f>
        <v>0</v>
      </c>
      <c r="AK309" s="12">
        <f>SUM(AK212:AK214,AK217,AK238,AK235)-SUM(AJ212:AJ214,AJ217,AJ238,AJ235)</f>
        <v>0</v>
      </c>
      <c r="AL309" s="12">
        <f>SUM(AH309:AK309)</f>
        <v>1656.725</v>
      </c>
      <c r="AM309" s="12">
        <f>SUM(AM212:AM214,AM217,AM238,AM235)-SUM(AL212:AL214,AL217,AL238,AL235)</f>
        <v>0</v>
      </c>
      <c r="AN309" s="12">
        <f>SUM(AN212:AN214,AN217,AN238,AN235)-SUM(AM212:AM214,AM217,AM238,AM235)</f>
        <v>0</v>
      </c>
      <c r="AO309" s="12">
        <f>SUM(AO212:AO214,AO217,AO238,AO235)-SUM(AN212:AN214,AN217,AN238,AN235)</f>
        <v>0</v>
      </c>
      <c r="AP309" s="12">
        <f>SUM(AP212:AP214,AP217,AP238,AP235)-SUM(AO212:AO214,AO217,AO238,AO235)</f>
        <v>0</v>
      </c>
      <c r="AQ309" s="12">
        <f>SUM(AM309:AP309)</f>
        <v>0</v>
      </c>
      <c r="AR309" s="12">
        <f>SUM(AR212:AR214,AR217,AR238,AR235)-SUM(AQ212:AQ214,AQ217,AQ238,AQ235)</f>
        <v>0</v>
      </c>
      <c r="AS309" s="12">
        <f>SUM(AS212:AS214,AS217,AS238,AS235)-SUM(AR212:AR214,AR217,AR238,AR235)</f>
        <v>0</v>
      </c>
      <c r="AT309" s="12">
        <f>SUM(AT212:AT214,AT217,AT238,AT235)-SUM(AS212:AS214,AS217,AS238,AS235)</f>
        <v>0</v>
      </c>
      <c r="AU309" s="12">
        <f>SUM(AU212:AU214,AU217,AU238,AU235)-SUM(AT212:AT214,AT217,AT238,AT235)</f>
        <v>0</v>
      </c>
      <c r="AV309" s="12">
        <f>SUM(AR309:AU309)</f>
        <v>0</v>
      </c>
      <c r="AW309" s="12">
        <f>SUM(AW212:AW214,AW217,AW238,AW235)-SUM(AV212:AV214,AV217,AV238,AV235)</f>
        <v>0</v>
      </c>
      <c r="AX309" s="12">
        <f>SUM(AX212:AX214,AX217,AX238,AX235)-SUM(AW212:AW214,AW217,AW238,AW235)</f>
        <v>0</v>
      </c>
      <c r="AY309" s="12">
        <f>SUM(AY212:AY214,AY217,AY238,AY235)-SUM(AX212:AX214,AX217,AX238,AX235)</f>
        <v>0</v>
      </c>
      <c r="AZ309" s="12">
        <f>SUM(AZ212:AZ214,AZ217,AZ238,AZ235)-SUM(AY212:AY214,AY217,AY238,AY235)</f>
        <v>0</v>
      </c>
      <c r="BA309" s="12">
        <f>SUM(AW309:AZ309)</f>
        <v>0</v>
      </c>
      <c r="BB309" s="12">
        <f>SUM(BB212:BB214,BB217,BB238,BB235)-SUM(BA212:BA214,BA217,BA238,BA235)</f>
        <v>0</v>
      </c>
      <c r="BC309" s="12">
        <f>SUM(BC212:BC214,BC217,BC238,BC235)-SUM(BB212:BB214,BB217,BB238,BB235)</f>
        <v>0</v>
      </c>
      <c r="BD309" s="12">
        <f>SUM(BD212:BD214,BD217,BD238,BD235)-SUM(BC212:BC214,BC217,BC238,BC235)</f>
        <v>0</v>
      </c>
      <c r="BE309" s="12">
        <f>SUM(BE212:BE214,BE217,BE238,BE235)-SUM(BD212:BD214,BD217,BD238,BD235)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  <c r="CZ309" s="12" t="n"/>
      <c r="DA309" s="12" t="n"/>
      <c r="DB309" s="12" t="n"/>
      <c r="DC309" s="12" t="n"/>
    </row>
    <row r="310">
      <c r="C310" s="14" t="inlineStr">
        <is>
          <t>Cash from financing</t>
        </is>
      </c>
      <c r="D310" s="12" t="n"/>
      <c r="E310" s="12" t="n"/>
      <c r="F310" s="12" t="n"/>
      <c r="G310" s="12" t="n"/>
      <c r="H310" s="12" t="n"/>
      <c r="I310" s="12" t="n"/>
      <c r="J310" s="12">
        <f>SUM(J302,J303,J304,J305,J306,J307,J308,J309)</f>
        <v>-58.943</v>
      </c>
      <c r="K310" s="12">
        <f>SUM(K302,K303,K304,K305,K306,K307,K308,K309)</f>
        <v>-12.5970000000001</v>
      </c>
      <c r="L310" s="12">
        <f>SUM(L302,L303,L304,L305,L306,L307,L308,L309)</f>
        <v>289.158</v>
      </c>
      <c r="M310" s="12" t="n"/>
      <c r="N310" s="12">
        <f>SUM(N302,N303,N304,N305,N306,N307,N308,N309)</f>
        <v>11.3259999999999</v>
      </c>
      <c r="O310" s="12">
        <f>SUM(O302,O303,O304,O305,O306,O307,O308,O309)</f>
        <v>146.261</v>
      </c>
      <c r="P310" s="12">
        <f>SUM(P302,P303,P304,P305,P306,P307,P308,P309)</f>
        <v>43.284</v>
      </c>
      <c r="Q310" s="12">
        <f>SUM(Q302,Q303,Q304,Q305,Q306,Q307,Q308,Q309)</f>
        <v>648.579</v>
      </c>
      <c r="R310" s="12">
        <f>SUM(R302,R303,R304,R305,R306,R307,R308,R309)</f>
        <v>849.45</v>
      </c>
      <c r="S310" s="12">
        <f>SUM(S302,S303,S304,S305,S306,S307,S308,S309)</f>
        <v>40.257</v>
      </c>
      <c r="T310" s="12">
        <f>SUM(T302,T303,T304,T305,T306,T307,T308,T309)</f>
        <v>80.758</v>
      </c>
      <c r="U310" s="12">
        <f>SUM(U302,U303,U304,U305,U306,U307,U308,U309)</f>
        <v>128.65</v>
      </c>
      <c r="V310" s="12">
        <f>SUM(V302,V303,V304,V305,V306,V307,V308,V309)</f>
        <v>-30.096</v>
      </c>
      <c r="W310" s="12">
        <f>SUM(W302,W303,W304,W305,W306,W307,W308,W309)</f>
        <v>219.569</v>
      </c>
      <c r="X310" s="12">
        <f>SUM(X302,X303,X304,X305,X306,X307,X308,X309)</f>
        <v>23.9049999999998</v>
      </c>
      <c r="Y310" s="12">
        <f>SUM(Y302,Y303,Y304,Y305,Y306,Y307,Y308,Y309)</f>
        <v>148.165</v>
      </c>
      <c r="Z310" s="12">
        <f>SUM(Z302,Z303,Z304,Z305,Z306,Z307,Z308,Z309)</f>
        <v>691.696</v>
      </c>
      <c r="AA310" s="12">
        <f>SUM(AA302,AA303,AA304,AA305,AA306,AA307,AA308,AA309)</f>
        <v>-11.7400000000003</v>
      </c>
      <c r="AB310" s="12">
        <f>SUM(AB302,AB303,AB304,AB305,AB306,AB307,AB308,AB309)</f>
        <v>852.026</v>
      </c>
      <c r="AC310" s="12">
        <f>SUM(AC302,AC303,AC304,AC305,AC306,AC307,AC308,AC309)</f>
        <v>63.1950000000001</v>
      </c>
      <c r="AD310" s="12">
        <f>SUM(AD302,AD303,AD304,AD305,AD306,AD307,AD308,AD309)</f>
        <v>559.546</v>
      </c>
      <c r="AE310" s="12">
        <f>SUM(AE302,AE303,AE304,AE305,AE306,AE307,AE308,AE309)</f>
        <v>194.629999999999</v>
      </c>
      <c r="AF310" s="12">
        <f>SUM(AF302,AF303,AF304,AF305,AF306,AF307,AF308,AF309)</f>
        <v>37.9230000000007</v>
      </c>
      <c r="AG310" s="12">
        <f>SUM(AG302,AG303,AG304,AG305,AG306,AG307,AG308,AG309)</f>
        <v>855.294000000001</v>
      </c>
      <c r="AH310" s="12">
        <f>SUM(AH302,AH303,AH304,AH305,AH306,AH307,AH308,AH309)</f>
        <v>105.766999999999</v>
      </c>
      <c r="AI310" s="12">
        <f>SUM(AI302,AI303,AI304,AI305,AI306,AI307,AI308,AI309)</f>
        <v>5222.788</v>
      </c>
      <c r="AJ310" s="12">
        <f>SUM(AJ302,AJ303,AJ304,AJ305,AJ306,AJ307,AJ308,AJ309)</f>
        <v>0</v>
      </c>
      <c r="AK310" s="12">
        <f>SUM(AK302,AK303,AK304,AK305,AK306,AK307,AK308,AK309)</f>
        <v>0</v>
      </c>
      <c r="AL310" s="12">
        <f>SUM(AL302,AL303,AL304,AL305,AL306,AL307,AL308,AL309)</f>
        <v>5328.555</v>
      </c>
      <c r="AM310" s="12">
        <f>SUM(AM302,AM303,AM304,AM305,AM306,AM307,AM308,AM309)</f>
        <v>0</v>
      </c>
      <c r="AN310" s="12">
        <f>SUM(AN302,AN303,AN304,AN305,AN306,AN307,AN308,AN309)</f>
        <v>0</v>
      </c>
      <c r="AO310" s="12">
        <f>SUM(AO302,AO303,AO304,AO305,AO306,AO307,AO308,AO309)</f>
        <v>0</v>
      </c>
      <c r="AP310" s="12">
        <f>SUM(AP302,AP303,AP304,AP305,AP306,AP307,AP308,AP309)</f>
        <v>0</v>
      </c>
      <c r="AQ310" s="12">
        <f>SUM(AQ302,AQ303,AQ304,AQ305,AQ306,AQ307,AQ308,AQ309)</f>
        <v>0</v>
      </c>
      <c r="AR310" s="12">
        <f>SUM(AR302,AR303,AR304,AR305,AR306,AR307,AR308,AR309)</f>
        <v>0</v>
      </c>
      <c r="AS310" s="12">
        <f>SUM(AS302,AS303,AS304,AS305,AS306,AS307,AS308,AS309)</f>
        <v>0</v>
      </c>
      <c r="AT310" s="12">
        <f>SUM(AT302,AT303,AT304,AT305,AT306,AT307,AT308,AT309)</f>
        <v>0</v>
      </c>
      <c r="AU310" s="12">
        <f>SUM(AU302,AU303,AU304,AU305,AU306,AU307,AU308,AU309)</f>
        <v>0</v>
      </c>
      <c r="AV310" s="12">
        <f>SUM(AV302,AV303,AV304,AV305,AV306,AV307,AV308,AV309)</f>
        <v>0</v>
      </c>
      <c r="AW310" s="12">
        <f>SUM(AW302,AW303,AW304,AW305,AW306,AW307,AW308,AW309)</f>
        <v>0</v>
      </c>
      <c r="AX310" s="12">
        <f>SUM(AX302,AX303,AX304,AX305,AX306,AX307,AX308,AX309)</f>
        <v>0</v>
      </c>
      <c r="AY310" s="12">
        <f>SUM(AY302,AY303,AY304,AY305,AY306,AY307,AY308,AY309)</f>
        <v>0</v>
      </c>
      <c r="AZ310" s="12">
        <f>SUM(AZ302,AZ303,AZ304,AZ305,AZ306,AZ307,AZ308,AZ309)</f>
        <v>0</v>
      </c>
      <c r="BA310" s="12">
        <f>SUM(BA302,BA303,BA304,BA305,BA306,BA307,BA308,BA309)</f>
        <v>0</v>
      </c>
      <c r="BB310" s="12">
        <f>SUM(BB302,BB303,BB304,BB305,BB306,BB307,BB308,BB309)</f>
        <v>0</v>
      </c>
      <c r="BC310" s="12">
        <f>SUM(BC302,BC303,BC304,BC305,BC306,BC307,BC308,BC309)</f>
        <v>0</v>
      </c>
      <c r="BD310" s="12">
        <f>SUM(BD302,BD303,BD304,BD305,BD306,BD307,BD308,BD309)</f>
        <v>0</v>
      </c>
      <c r="BE310" s="12">
        <f>SUM(BE302,BE303,BE304,BE305,BE306,BE307,BE308,BE309)</f>
        <v>0</v>
      </c>
      <c r="BF310" s="12">
        <f>SUM(BF302,BF303,BF304,BF305,BF306,BF307,BF308,BF309)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4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</row>
    <row r="312">
      <c r="C312" s="14" t="inlineStr">
        <is>
          <t>Others / cash reconciliation plug</t>
        </is>
      </c>
      <c r="D312" s="12" t="n"/>
      <c r="E312" s="12" t="n"/>
      <c r="F312" s="12" t="n"/>
      <c r="G312" s="12" t="n"/>
      <c r="H312" s="12" t="n"/>
      <c r="I312" s="12" t="n"/>
      <c r="J312" s="12">
        <f>J144-I144-SUM(J293,J300,J310)</f>
        <v>0</v>
      </c>
      <c r="K312" s="12">
        <f>K144-J144-SUM(K293,K300,K310)</f>
        <v>0</v>
      </c>
      <c r="L312" s="12">
        <f>L144-K144-SUM(L293,L300,L310)</f>
        <v>0</v>
      </c>
      <c r="M312" s="12" t="n"/>
      <c r="N312" s="12">
        <f>N144-M144-SUM(N293,N300,N310)</f>
        <v>0</v>
      </c>
      <c r="O312" s="12">
        <f>O144-N144-SUM(O293,O300,O310)</f>
        <v>0</v>
      </c>
      <c r="P312" s="12">
        <f>P144-O144-SUM(P293,P300,P310)</f>
        <v>7.63833440942108e-14</v>
      </c>
      <c r="Q312" s="12">
        <f>Q144-P144-SUM(Q293,Q300,Q310)</f>
        <v>0</v>
      </c>
      <c r="R312" s="12">
        <f>SUM(N312:Q312)</f>
        <v>7.63833440942108e-14</v>
      </c>
      <c r="S312" s="12">
        <f>S144-R144-SUM(S293,S300,S310)</f>
        <v>0</v>
      </c>
      <c r="T312" s="12">
        <f>T144-S144-SUM(T293,T300,T310)</f>
        <v>9.59232693276135e-14</v>
      </c>
      <c r="U312" s="12">
        <f>U144-T144-SUM(U293,U300,U310)</f>
        <v>0</v>
      </c>
      <c r="V312" s="12">
        <f>V144-U144-SUM(V293,V300,V310)</f>
        <v>0</v>
      </c>
      <c r="W312" s="12">
        <f>SUM(S312:V312)</f>
        <v>9.59232693276135e-14</v>
      </c>
      <c r="X312" s="12">
        <f>X144-W144-SUM(X293,X300,X310)</f>
        <v>0</v>
      </c>
      <c r="Y312" s="12">
        <f>Y144-X144-SUM(Y293,Y300,Y310)</f>
        <v>0</v>
      </c>
      <c r="Z312" s="12">
        <f>Z144-Y144-SUM(Z293,Z300,Z310)</f>
        <v>0</v>
      </c>
      <c r="AA312" s="12">
        <f>AA144-Z144-SUM(AA293,AA300,AA310)</f>
        <v>0</v>
      </c>
      <c r="AB312" s="12">
        <f>SUM(X312:AA312)</f>
        <v>0</v>
      </c>
      <c r="AC312" s="12">
        <f>AC144-AB144-SUM(AC293,AC300,AC310)</f>
        <v>0</v>
      </c>
      <c r="AD312" s="12">
        <f>AD144-AC144-SUM(AD293,AD300,AD310)</f>
        <v>0</v>
      </c>
      <c r="AE312" s="12">
        <f>AE144-AD144-SUM(AE293,AE300,AE310)</f>
        <v>5.61328761250479e-13</v>
      </c>
      <c r="AF312" s="12">
        <f>AF144-AE144-SUM(AF293,AF300,AF310)</f>
        <v>-5.96855898038484e-13</v>
      </c>
      <c r="AG312" s="12">
        <f>SUM(AC312:AF312)</f>
        <v>-3.5527136788005e-14</v>
      </c>
      <c r="AH312" s="12">
        <f>AH144-AG144-SUM(AH293,AH300,AH310)</f>
        <v>6.25277607468888e-13</v>
      </c>
      <c r="AI312" s="12">
        <f>AI144-AH144-SUM(AI293,AI300,AI310)</f>
        <v>0</v>
      </c>
      <c r="AJ312" s="12">
        <f>AJ144-AI144-SUM(AJ293,AJ300,AJ310)</f>
        <v>0</v>
      </c>
      <c r="AK312" s="12">
        <f>AK144-AJ144-SUM(AK293,AK300,AK310)</f>
        <v>0</v>
      </c>
      <c r="AL312" s="12">
        <f>SUM(AH312:AK312)</f>
        <v>6.25277607468888e-13</v>
      </c>
      <c r="AM312" s="12">
        <f>AM144-AL144-SUM(AM293,AM300,AM310)</f>
        <v>0</v>
      </c>
      <c r="AN312" s="12">
        <f>AN144-AM144-SUM(AN293,AN300,AN310)</f>
        <v>0</v>
      </c>
      <c r="AO312" s="12">
        <f>AO144-AN144-SUM(AO293,AO300,AO310)</f>
        <v>0</v>
      </c>
      <c r="AP312" s="12">
        <f>AP144-AO144-SUM(AP293,AP300,AP310)</f>
        <v>0</v>
      </c>
      <c r="AQ312" s="12">
        <f>SUM(AM312:AP312)</f>
        <v>0</v>
      </c>
      <c r="AR312" s="12">
        <f>AR144-AQ144-SUM(AR293,AR300,AR310)</f>
        <v>0</v>
      </c>
      <c r="AS312" s="12">
        <f>AS144-AR144-SUM(AS293,AS300,AS310)</f>
        <v>0</v>
      </c>
      <c r="AT312" s="12">
        <f>AT144-AS144-SUM(AT293,AT300,AT310)</f>
        <v>0</v>
      </c>
      <c r="AU312" s="12">
        <f>AU144-AT144-SUM(AU293,AU300,AU310)</f>
        <v>0</v>
      </c>
      <c r="AV312" s="12">
        <f>SUM(AR312:AU312)</f>
        <v>0</v>
      </c>
      <c r="AW312" s="12">
        <f>AW144-AV144-SUM(AW293,AW300,AW310)</f>
        <v>-6.3664629124105e-12</v>
      </c>
      <c r="AX312" s="12">
        <f>AX144-AW144-SUM(AX293,AX300,AX310)</f>
        <v>6.82121026329696e-12</v>
      </c>
      <c r="AY312" s="12">
        <f>AY144-AX144-SUM(AY293,AY300,AY310)</f>
        <v>0</v>
      </c>
      <c r="AZ312" s="12">
        <f>AZ144-AY144-SUM(AZ293,AZ300,AZ310)</f>
        <v>0</v>
      </c>
      <c r="BA312" s="12">
        <f>SUM(AW312:AZ312)</f>
        <v>4.54747350886464e-13</v>
      </c>
      <c r="BB312" s="12">
        <f>BB144-BA144-SUM(BB293,BB300,BB310)</f>
        <v>0</v>
      </c>
      <c r="BC312" s="12">
        <f>BC144-BB144-SUM(BC293,BC300,BC310)</f>
        <v>0</v>
      </c>
      <c r="BD312" s="12">
        <f>BD144-BC144-SUM(BD293,BD300,BD310)</f>
        <v>0</v>
      </c>
      <c r="BE312" s="12">
        <f>BE144-BD144-SUM(BE293,BE300,BE310)</f>
        <v>0</v>
      </c>
      <c r="BF312" s="12">
        <f>SUM(BB312:BE312)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Total increase/decrease of cash</t>
        </is>
      </c>
      <c r="D314" s="12" t="n"/>
      <c r="E314" s="12" t="n"/>
      <c r="F314" s="12" t="n"/>
      <c r="G314" s="12" t="n"/>
      <c r="H314" s="12" t="n"/>
      <c r="I314" s="12" t="n"/>
      <c r="J314" s="12">
        <f>SUM(J293,J300,J310,J312)</f>
        <v>-85.9339999999999</v>
      </c>
      <c r="K314" s="12">
        <f>SUM(K293,K300,K310,K312)</f>
        <v>-54.8760000000001</v>
      </c>
      <c r="L314" s="12">
        <f>SUM(L293,L300,L310,L312)</f>
        <v>190.635</v>
      </c>
      <c r="M314" s="12" t="n"/>
      <c r="N314" s="12">
        <f>SUM(N293,N300,N310,N312)</f>
        <v>-126.49</v>
      </c>
      <c r="O314" s="12">
        <f>SUM(O293,O300,O310,O312)</f>
        <v>-213.039</v>
      </c>
      <c r="P314" s="12">
        <f>SUM(P293,P300,P310,P312)</f>
        <v>-14.939</v>
      </c>
      <c r="Q314" s="12">
        <f>SUM(Q293,Q300,Q310,Q312)</f>
        <v>193.89</v>
      </c>
      <c r="R314" s="12">
        <f>SUM(N314:Q314)</f>
        <v>-160.578</v>
      </c>
      <c r="S314" s="12">
        <f>SUM(S293,S300,S310,S312)</f>
        <v>-47.87</v>
      </c>
      <c r="T314" s="12">
        <f>SUM(T293,T300,T310,T312)</f>
        <v>24.806</v>
      </c>
      <c r="U314" s="12">
        <f>SUM(U293,U300,U310,U312)</f>
        <v>45.6260000000001</v>
      </c>
      <c r="V314" s="12">
        <f>SUM(V293,V300,V310,V312)</f>
        <v>59.675</v>
      </c>
      <c r="W314" s="12">
        <f>SUM(S314:V314)</f>
        <v>82.2370000000001</v>
      </c>
      <c r="X314" s="12">
        <f>SUM(X293,X300,X310,X312)</f>
        <v>-50.1020000000001</v>
      </c>
      <c r="Y314" s="12">
        <f>SUM(Y293,Y300,Y310,Y312)</f>
        <v>36.655</v>
      </c>
      <c r="Z314" s="12">
        <f>SUM(Z293,Z300,Z310,Z312)</f>
        <v>484.592</v>
      </c>
      <c r="AA314" s="12">
        <f>SUM(AA293,AA300,AA310,AA312)</f>
        <v>-192.356</v>
      </c>
      <c r="AB314" s="12">
        <f>SUM(X314:AA314)</f>
        <v>278.789</v>
      </c>
      <c r="AC314" s="12">
        <f>SUM(AC293,AC300,AC310,AC312)</f>
        <v>-52.1859999999999</v>
      </c>
      <c r="AD314" s="12">
        <f>SUM(AD293,AD300,AD310,AD312)</f>
        <v>463.273</v>
      </c>
      <c r="AE314" s="12">
        <f>SUM(AE293,AE300,AE310,AE312)</f>
        <v>45.946</v>
      </c>
      <c r="AF314" s="12">
        <f>SUM(AF293,AF300,AF310,AF312)</f>
        <v>-136.487</v>
      </c>
      <c r="AG314" s="12">
        <f>SUM(AC314:AF314)</f>
        <v>320.546000000001</v>
      </c>
      <c r="AH314" s="12">
        <f>SUM(AH293,AH300,AH310,AH312)</f>
        <v>-52.255</v>
      </c>
      <c r="AI314" s="12">
        <f>SUM(AI293,AI300,AI310,AI312)</f>
        <v>674.189000000001</v>
      </c>
      <c r="AJ314" s="12">
        <f>SUM(AJ293,AJ300,AJ310,AJ312)</f>
        <v>-455.184285551556</v>
      </c>
      <c r="AK314" s="12">
        <f>SUM(AK293,AK300,AK310,AK312)</f>
        <v>-628.755917000881</v>
      </c>
      <c r="AL314" s="12">
        <f>SUM(AH314:AK314)</f>
        <v>-462.006202552437</v>
      </c>
      <c r="AM314" s="12">
        <f>SUM(AM293,AM300,AM310,AM312)</f>
        <v>-818.37923226581</v>
      </c>
      <c r="AN314" s="12">
        <f>SUM(AN293,AN300,AN310,AN312)</f>
        <v>-1755.16874562562</v>
      </c>
      <c r="AO314" s="12">
        <f>SUM(AO293,AO300,AO310,AO312)</f>
        <v>-578.203281377845</v>
      </c>
      <c r="AP314" s="12">
        <f>SUM(AP293,AP300,AP310,AP312)</f>
        <v>-434.81483379099</v>
      </c>
      <c r="AQ314" s="12">
        <f>SUM(AM314:AP314)</f>
        <v>-3586.56609306026</v>
      </c>
      <c r="AR314" s="12">
        <f>SUM(AR293,AR300,AR310,AR312)</f>
        <v>-526.047510788193</v>
      </c>
      <c r="AS314" s="12">
        <f>SUM(AS293,AS300,AS310,AS312)</f>
        <v>-1600.10407626127</v>
      </c>
      <c r="AT314" s="12">
        <f>SUM(AT293,AT300,AT310,AT312)</f>
        <v>373.688655536027</v>
      </c>
      <c r="AU314" s="12">
        <f>SUM(AU293,AU300,AU310,AU312)</f>
        <v>1033.55703753458</v>
      </c>
      <c r="AV314" s="12">
        <f>SUM(AR314:AU314)</f>
        <v>-718.905893978855</v>
      </c>
      <c r="AW314" s="12">
        <f>SUM(AW293,AW300,AW310,AW312)</f>
        <v>1521.09808099445</v>
      </c>
      <c r="AX314" s="12">
        <f>SUM(AX293,AX300,AX310,AX312)</f>
        <v>906.109317907843</v>
      </c>
      <c r="AY314" s="12">
        <f>SUM(AY293,AY300,AY310,AY312)</f>
        <v>4844.46427446616</v>
      </c>
      <c r="AZ314" s="12">
        <f>SUM(AZ293,AZ300,AZ310,AZ312)</f>
        <v>7426.43062430862</v>
      </c>
      <c r="BA314" s="12">
        <f>SUM(AW314:AZ314)</f>
        <v>14698.1022976771</v>
      </c>
      <c r="BB314" s="12">
        <f>SUM(BB293,BB300,BB310,BB312)</f>
        <v>10314.8956115268</v>
      </c>
      <c r="BC314" s="12">
        <f>SUM(BC293,BC300,BC310,BC312)</f>
        <v>12583.2390821548</v>
      </c>
      <c r="BD314" s="12">
        <f>SUM(BD293,BD300,BD310,BD312)</f>
        <v>22337.0159659906</v>
      </c>
      <c r="BE314" s="12">
        <f>SUM(BE293,BE300,BE310,BE312)</f>
        <v>31851.3034763522</v>
      </c>
      <c r="BF314" s="12">
        <f>SUM(BB314:BE314)</f>
        <v>77086.4541360244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4" t="inlineStr">
        <is>
          <t>Check</t>
        </is>
      </c>
      <c r="E315" s="72" t="n"/>
      <c r="F315" s="72" t="n"/>
      <c r="G315" s="72" t="n"/>
      <c r="I315" s="72" t="str">
        <f>""</f>
        <v/>
      </c>
      <c r="J315" s="72">
        <f>J144-I144-J314</f>
        <v>0</v>
      </c>
      <c r="K315" s="72">
        <f>K144-J144-K314</f>
        <v>0</v>
      </c>
      <c r="L315" s="72">
        <f>L144-K144-L314</f>
        <v>0</v>
      </c>
      <c r="M315" s="4" t="str">
        <f>""</f>
        <v/>
      </c>
      <c r="N315" s="72">
        <f>N144-M144-N314</f>
        <v>0</v>
      </c>
      <c r="O315" s="72">
        <f>O144-N144-O314</f>
        <v>0</v>
      </c>
      <c r="P315" s="72">
        <f>P144-O144-P314</f>
        <v>0</v>
      </c>
      <c r="Q315" s="72">
        <f>Q144-P144-Q314</f>
        <v>0</v>
      </c>
      <c r="R315" s="4">
        <f>R144-M144-R314</f>
        <v>0</v>
      </c>
      <c r="S315" s="72">
        <f>S144-R144-S314</f>
        <v>0</v>
      </c>
      <c r="T315" s="72">
        <f>T144-S144-T314</f>
        <v>0</v>
      </c>
      <c r="U315" s="72">
        <f>U144-T144-U314</f>
        <v>0</v>
      </c>
      <c r="V315" s="72">
        <f>V144-U144-V314</f>
        <v>0</v>
      </c>
      <c r="W315" s="4">
        <f>W144-R144-W314</f>
        <v>0</v>
      </c>
      <c r="X315" s="72">
        <f>X144-W144-X314</f>
        <v>0</v>
      </c>
      <c r="Y315" s="72">
        <f>Y144-X144-Y314</f>
        <v>0</v>
      </c>
      <c r="Z315" s="72">
        <f>Z144-Y144-Z314</f>
        <v>0</v>
      </c>
      <c r="AA315" s="72">
        <f>AA144-Z144-AA314</f>
        <v>0</v>
      </c>
      <c r="AB315" s="4">
        <f>AB144-W144-AB314</f>
        <v>0</v>
      </c>
      <c r="AC315" s="72">
        <f>AC144-AB144-AC314</f>
        <v>0</v>
      </c>
      <c r="AD315" s="72">
        <f>AD144-AC144-AD314</f>
        <v>0</v>
      </c>
      <c r="AE315" s="72">
        <f>AE144-AD144-AE314</f>
        <v>0</v>
      </c>
      <c r="AF315" s="72">
        <f>AF144-AE144-AF314</f>
        <v>0</v>
      </c>
      <c r="AG315" s="4">
        <f>AG144-AB144-AG314</f>
        <v>0</v>
      </c>
      <c r="AH315" s="72">
        <f>AH144-AG144-AH314</f>
        <v>0</v>
      </c>
      <c r="AI315" s="72">
        <f>AI144-AH144-AI314</f>
        <v>0</v>
      </c>
      <c r="AJ315" s="72">
        <f>AJ144-AI144-AJ314</f>
        <v>0</v>
      </c>
      <c r="AK315" s="72">
        <f>AK144-AJ144-AK314</f>
        <v>0</v>
      </c>
      <c r="AL315" s="4">
        <f>AL144-AG144-AL314</f>
        <v>0</v>
      </c>
      <c r="AM315" s="72">
        <f>AM144-AL144-AM314</f>
        <v>0</v>
      </c>
      <c r="AN315" s="72">
        <f>AN144-AM144-AN314</f>
        <v>0</v>
      </c>
      <c r="AO315" s="72">
        <f>AO144-AN144-AO314</f>
        <v>0</v>
      </c>
      <c r="AP315" s="72">
        <f>AP144-AO144-AP314</f>
        <v>0</v>
      </c>
      <c r="AQ315" s="4">
        <f>AQ144-AL144-AQ314</f>
        <v>0</v>
      </c>
      <c r="AR315" s="72">
        <f>AR144-AQ144-AR314</f>
        <v>0</v>
      </c>
      <c r="AS315" s="72">
        <f>AS144-AR144-AS314</f>
        <v>0</v>
      </c>
      <c r="AT315" s="72">
        <f>AT144-AS144-AT314</f>
        <v>0</v>
      </c>
      <c r="AU315" s="72">
        <f>AU144-AT144-AU314</f>
        <v>0</v>
      </c>
      <c r="AV315" s="4">
        <f>AV144-AQ144-AV314</f>
        <v>5.00222085975111e-12</v>
      </c>
      <c r="AW315" s="72">
        <f>AW144-AV144-AW314</f>
        <v>0</v>
      </c>
      <c r="AX315" s="72">
        <f>AX144-AW144-AX314</f>
        <v>0</v>
      </c>
      <c r="AY315" s="72">
        <f>AY144-AX144-AY314</f>
        <v>0</v>
      </c>
      <c r="AZ315" s="72">
        <f>AZ144-AY144-AZ314</f>
        <v>0</v>
      </c>
      <c r="BA315" s="4">
        <f>BA144-AV144-BA314</f>
        <v>0</v>
      </c>
      <c r="BB315" s="72">
        <f>BB144-BA144-BB314</f>
        <v>0</v>
      </c>
      <c r="BC315" s="72">
        <f>BC144-BB144-BC314</f>
        <v>0</v>
      </c>
      <c r="BD315" s="72">
        <f>BD144-BC144-BD314</f>
        <v>0</v>
      </c>
      <c r="BE315" s="72">
        <f>BE144-BD144-BE314</f>
        <v>0</v>
      </c>
      <c r="BF315" s="4">
        <f>BF144-BA144-BF314</f>
        <v>0</v>
      </c>
      <c r="BG315" s="72" t="n"/>
      <c r="BH315" s="72" t="n"/>
      <c r="BI315" s="72" t="n"/>
      <c r="BJ315" s="72" t="n"/>
      <c r="BL315" s="72" t="n"/>
      <c r="BM315" s="72" t="n"/>
      <c r="BN315" s="72" t="n"/>
      <c r="BO315" s="72" t="n"/>
      <c r="BQ315" s="72" t="n"/>
      <c r="BR315" s="72" t="n"/>
      <c r="BS315" s="72" t="n"/>
      <c r="BT315" s="72" t="n"/>
      <c r="BV315" s="72" t="n"/>
      <c r="BW315" s="72" t="n"/>
      <c r="BX315" s="72" t="n"/>
      <c r="BY315" s="72" t="n"/>
      <c r="CA315" s="72" t="n"/>
      <c r="CB315" s="72" t="n"/>
      <c r="CC315" s="72" t="n"/>
      <c r="CD315" s="72" t="n"/>
      <c r="CF315" s="72" t="n"/>
      <c r="CG315" s="72" t="n"/>
      <c r="CH315" s="72" t="n"/>
      <c r="CI315" s="72" t="n"/>
      <c r="CK315" s="72" t="n"/>
      <c r="CL315" s="72" t="n"/>
      <c r="CM315" s="72" t="n"/>
      <c r="CN315" s="72" t="n"/>
      <c r="CP315" s="72" t="n"/>
      <c r="CQ315" s="72" t="n"/>
      <c r="CR315" s="72" t="n"/>
      <c r="CS315" s="72" t="n"/>
      <c r="CU315" s="72" t="n"/>
      <c r="CV315" s="72" t="n"/>
      <c r="CW315" s="72" t="n"/>
      <c r="CX315" s="72" t="n"/>
    </row>
    <row r="316"/>
    <row r="317">
      <c r="C317" s="73" t="inlineStr">
        <is>
          <t>Ratio Analysis</t>
        </is>
      </c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  <c r="N317" s="73" t="n"/>
      <c r="O317" s="73" t="n"/>
      <c r="P317" s="73" t="n"/>
      <c r="Q317" s="73" t="n"/>
      <c r="R317" s="73" t="n"/>
      <c r="S317" s="73" t="n"/>
      <c r="T317" s="73" t="n"/>
      <c r="U317" s="73" t="n"/>
      <c r="V317" s="73" t="n"/>
      <c r="W317" s="73" t="n"/>
      <c r="X317" s="73" t="n"/>
      <c r="Y317" s="73" t="n"/>
      <c r="Z317" s="73" t="n"/>
      <c r="AA317" s="73" t="n"/>
      <c r="AB317" s="73" t="n"/>
      <c r="AC317" s="73" t="n"/>
      <c r="AD317" s="73" t="n"/>
      <c r="AE317" s="73" t="n"/>
      <c r="AF317" s="73" t="n"/>
      <c r="AG317" s="73" t="n"/>
      <c r="AH317" s="73" t="n"/>
      <c r="AI317" s="73" t="n"/>
      <c r="AJ317" s="73" t="n"/>
      <c r="AK317" s="73" t="n"/>
      <c r="AL317" s="73" t="n"/>
      <c r="AM317" s="73" t="n"/>
      <c r="AN317" s="73" t="n"/>
      <c r="AO317" s="73" t="n"/>
      <c r="AP317" s="73" t="n"/>
      <c r="AQ317" s="73" t="n"/>
      <c r="AR317" s="73" t="n"/>
      <c r="AS317" s="73" t="n"/>
      <c r="AT317" s="73" t="n"/>
      <c r="AU317" s="73" t="n"/>
      <c r="AV317" s="73" t="n"/>
      <c r="AW317" s="73" t="n"/>
      <c r="AX317" s="73" t="n"/>
      <c r="AY317" s="73" t="n"/>
      <c r="AZ317" s="73" t="n"/>
      <c r="BA317" s="73" t="n"/>
      <c r="BB317" s="73" t="n"/>
      <c r="BC317" s="73" t="n"/>
      <c r="BD317" s="73" t="n"/>
      <c r="BE317" s="73" t="n"/>
      <c r="BF317" s="73" t="n"/>
      <c r="BG317" s="73" t="n"/>
      <c r="BH317" s="73" t="n"/>
      <c r="BI317" s="73" t="n"/>
      <c r="BJ317" s="73" t="n"/>
      <c r="BK317" s="73" t="n"/>
      <c r="BL317" s="73" t="n"/>
      <c r="BM317" s="73" t="n"/>
      <c r="BN317" s="73" t="n"/>
      <c r="BO317" s="73" t="n"/>
      <c r="BP317" s="73" t="n"/>
      <c r="BQ317" s="73" t="n"/>
      <c r="BR317" s="73" t="n"/>
      <c r="BS317" s="73" t="n"/>
      <c r="BT317" s="73" t="n"/>
      <c r="BU317" s="73" t="n"/>
      <c r="BV317" s="73" t="n"/>
      <c r="BW317" s="73" t="n"/>
      <c r="BX317" s="73" t="n"/>
      <c r="BY317" s="73" t="n"/>
      <c r="BZ317" s="73" t="n"/>
      <c r="CA317" s="73" t="n"/>
      <c r="CB317" s="73" t="n"/>
      <c r="CC317" s="73" t="n"/>
      <c r="CD317" s="73" t="n"/>
      <c r="CE317" s="73" t="n"/>
      <c r="CF317" s="73" t="n"/>
      <c r="CG317" s="73" t="n"/>
      <c r="CH317" s="73" t="n"/>
      <c r="CI317" s="73" t="n"/>
      <c r="CJ317" s="73" t="n"/>
      <c r="CK317" s="73" t="n"/>
      <c r="CL317" s="73" t="n"/>
      <c r="CM317" s="73" t="n"/>
      <c r="CN317" s="73" t="n"/>
      <c r="CO317" s="73" t="n"/>
      <c r="CP317" s="73" t="n"/>
      <c r="CQ317" s="73" t="n"/>
      <c r="CR317" s="73" t="n"/>
      <c r="CS317" s="73" t="n"/>
      <c r="CT317" s="73" t="n"/>
      <c r="CU317" s="73" t="n"/>
      <c r="CV317" s="73" t="n"/>
      <c r="CW317" s="73" t="n"/>
      <c r="CX317" s="73" t="n"/>
      <c r="CY317" s="73" t="n"/>
    </row>
    <row r="318"/>
    <row r="319" customFormat="1" s="74">
      <c r="C319" s="74" t="inlineStr">
        <is>
          <t>YEAR</t>
        </is>
      </c>
      <c r="D319">
        <f>IFERROR(D275,"")</f>
        <v>0</v>
      </c>
      <c r="E319" s="75">
        <f>IFERROR(E275,"")</f>
        <v>0</v>
      </c>
      <c r="F319" s="75">
        <f>IFERROR(F275,"")</f>
        <v>0</v>
      </c>
      <c r="G319" s="75">
        <f>IFERROR(G275,"")</f>
        <v>0</v>
      </c>
      <c r="H319" s="75">
        <f>IFERROR(H275,"")</f>
        <v>0</v>
      </c>
      <c r="I319" s="75" t="str">
        <f>IFERROR(I275,"")</f>
        <v>1Q21</v>
      </c>
      <c r="J319" s="75" t="str">
        <f>IFERROR(J275,"")</f>
        <v>2Q21</v>
      </c>
      <c r="K319" s="75" t="str">
        <f>IFERROR(K275,"")</f>
        <v>3Q21</v>
      </c>
      <c r="L319" s="75" t="str">
        <f>IFERROR(L275,"")</f>
        <v>4Q21</v>
      </c>
      <c r="M319" s="75">
        <f>IFERROR(M275,"")</f>
        <v>2021</v>
      </c>
      <c r="N319" s="75" t="str">
        <f>IFERROR(N275,"")</f>
        <v>1Q22</v>
      </c>
      <c r="O319" s="75" t="str">
        <f>IFERROR(O275,"")</f>
        <v>2Q22</v>
      </c>
      <c r="P319" s="75" t="str">
        <f>IFERROR(P275,"")</f>
        <v>3Q22</v>
      </c>
      <c r="Q319" s="75" t="str">
        <f>IFERROR(Q275,"")</f>
        <v>4Q22</v>
      </c>
      <c r="R319" s="75">
        <f>IFERROR(R275,"")</f>
        <v>2022</v>
      </c>
      <c r="S319" s="75" t="str">
        <f>IFERROR(S275,"")</f>
        <v>1Q23</v>
      </c>
      <c r="T319" s="75" t="str">
        <f>IFERROR(T275,"")</f>
        <v>2Q23</v>
      </c>
      <c r="U319" s="75" t="str">
        <f>IFERROR(U275,"")</f>
        <v>3Q23</v>
      </c>
      <c r="V319" s="75" t="str">
        <f>IFERROR(V275,"")</f>
        <v>4Q23</v>
      </c>
      <c r="W319" s="75">
        <f>IFERROR(W275,"")</f>
        <v>2023</v>
      </c>
      <c r="X319" s="75" t="str">
        <f>IFERROR(X275,"")</f>
        <v>1Q24</v>
      </c>
      <c r="Y319" s="75" t="str">
        <f>IFERROR(Y275,"")</f>
        <v>2Q24</v>
      </c>
      <c r="Z319" s="75" t="str">
        <f>IFERROR(Z275,"")</f>
        <v>3Q24</v>
      </c>
      <c r="AA319" s="75" t="str">
        <f>IFERROR(AA275,"")</f>
        <v>4Q24</v>
      </c>
      <c r="AB319" s="75">
        <f>IFERROR(AB275,"")</f>
        <v>2024</v>
      </c>
      <c r="AC319" s="75" t="str">
        <f>IFERROR(AC275,"")</f>
        <v>1Q25</v>
      </c>
      <c r="AD319" s="75" t="str">
        <f>IFERROR(AD275,"")</f>
        <v>2Q25</v>
      </c>
      <c r="AE319" s="75" t="str">
        <f>IFERROR(AE275,"")</f>
        <v>3Q25</v>
      </c>
      <c r="AF319" s="75" t="str">
        <f>IFERROR(AF275,"")</f>
        <v>4Q25</v>
      </c>
      <c r="AG319" s="75">
        <f>IFERROR(AG275,"")</f>
        <v>2025</v>
      </c>
      <c r="AH319" s="75" t="str">
        <f>IFERROR(AH275,"")</f>
        <v>1Q26</v>
      </c>
      <c r="AI319" s="75" t="str">
        <f>IFERROR(AI275,"")</f>
        <v>2Q26</v>
      </c>
      <c r="AJ319" s="75" t="str">
        <f>IFERROR(AJ275,"")</f>
        <v>3Q26</v>
      </c>
      <c r="AK319" s="75" t="str">
        <f>IFERROR(AK275,"")</f>
        <v>4Q26</v>
      </c>
      <c r="AL319" s="75">
        <f>IFERROR(AL275,"")</f>
        <v>2026</v>
      </c>
      <c r="AM319" s="75" t="str">
        <f>IFERROR(AM275,"")</f>
        <v>1Q27</v>
      </c>
      <c r="AN319" s="75" t="str">
        <f>IFERROR(AN275,"")</f>
        <v>2Q27</v>
      </c>
      <c r="AO319" s="75" t="str">
        <f>IFERROR(AO275,"")</f>
        <v>3Q27</v>
      </c>
      <c r="AP319" s="75" t="str">
        <f>IFERROR(AP275,"")</f>
        <v>4Q27</v>
      </c>
      <c r="AQ319" s="75">
        <f>IFERROR(AQ275,"")</f>
        <v>2027</v>
      </c>
      <c r="AR319" s="75" t="str">
        <f>IFERROR(AR275,"")</f>
        <v>1Q28</v>
      </c>
      <c r="AS319" s="75" t="str">
        <f>IFERROR(AS275,"")</f>
        <v>2Q28</v>
      </c>
      <c r="AT319" s="75" t="str">
        <f>IFERROR(AT275,"")</f>
        <v>3Q28</v>
      </c>
      <c r="AU319" s="75" t="str">
        <f>IFERROR(AU275,"")</f>
        <v>4Q28</v>
      </c>
      <c r="AV319" s="75">
        <f>IFERROR(AV275,"")</f>
        <v>2028</v>
      </c>
      <c r="AW319" s="75" t="str">
        <f>IFERROR(AW275,"")</f>
        <v>1Q29</v>
      </c>
      <c r="AX319" s="75" t="str">
        <f>IFERROR(AX275,"")</f>
        <v>2Q29</v>
      </c>
      <c r="AY319" s="75" t="str">
        <f>IFERROR(AY275,"")</f>
        <v>3Q29</v>
      </c>
      <c r="AZ319" s="75" t="str">
        <f>IFERROR(AZ275,"")</f>
        <v>4Q29</v>
      </c>
      <c r="BA319" s="75">
        <f>IFERROR(BA275,"")</f>
        <v>2029</v>
      </c>
      <c r="BB319" s="75" t="str">
        <f>IFERROR(BB275,"")</f>
        <v>1Q30</v>
      </c>
      <c r="BC319" s="75" t="str">
        <f>IFERROR(BC275,"")</f>
        <v>2Q30</v>
      </c>
      <c r="BD319" s="75" t="str">
        <f>IFERROR(BD275,"")</f>
        <v>3Q30</v>
      </c>
      <c r="BE319" s="75" t="str">
        <f>IFERROR(BE275,"")</f>
        <v>4Q30</v>
      </c>
      <c r="BF319" s="75">
        <f>IFERROR(BF275,"")</f>
        <v>2030</v>
      </c>
      <c r="BG319" s="75" t="n"/>
      <c r="BH319" s="75" t="n"/>
      <c r="BI319" s="75" t="n"/>
      <c r="BJ319" s="75" t="n"/>
      <c r="BK319" s="75" t="n"/>
      <c r="BL319" s="75" t="n"/>
      <c r="BM319" s="75" t="n"/>
      <c r="BN319" s="75" t="n"/>
      <c r="BO319" s="75" t="n"/>
      <c r="BP319" s="75" t="n"/>
      <c r="BQ319" s="75" t="n"/>
      <c r="BR319" s="75" t="n"/>
      <c r="BS319" s="75" t="n"/>
      <c r="BT319" s="75" t="n"/>
      <c r="BU319" s="75" t="n"/>
      <c r="BV319" s="75" t="n"/>
      <c r="BW319" s="75" t="n"/>
      <c r="BX319" s="75" t="n"/>
      <c r="BY319" s="75" t="n"/>
      <c r="BZ319" s="75" t="n"/>
      <c r="CA319" s="75" t="n"/>
      <c r="CB319" s="75" t="n"/>
      <c r="CC319" s="75" t="n"/>
      <c r="CD319" s="75" t="n"/>
      <c r="CE319" s="75" t="n"/>
      <c r="CF319" s="75" t="n"/>
      <c r="CG319" s="75" t="n"/>
      <c r="CH319" s="75" t="n"/>
      <c r="CI319" s="75" t="n"/>
      <c r="CJ319" s="75" t="n"/>
      <c r="CK319" s="75" t="n"/>
      <c r="CL319" s="75" t="n"/>
      <c r="CM319" s="75" t="n"/>
      <c r="CN319" s="75" t="n"/>
      <c r="CO319" s="75" t="n"/>
      <c r="CP319" s="75" t="n"/>
      <c r="CQ319" s="75" t="n"/>
      <c r="CR319" s="75" t="n"/>
      <c r="CS319" s="75" t="n"/>
      <c r="CT319" s="75" t="n"/>
      <c r="CU319" s="75" t="n"/>
      <c r="CV319" s="75" t="n"/>
      <c r="CW319" s="75" t="n"/>
      <c r="CX319" s="75" t="n"/>
      <c r="CY319" s="75" t="n"/>
    </row>
    <row r="320" customFormat="1" s="77">
      <c r="A320" s="76" t="n"/>
      <c r="B320" s="76" t="n"/>
      <c r="C320" s="74" t="inlineStr">
        <is>
          <t>GROWTH &amp; MARGINS</t>
        </is>
      </c>
    </row>
    <row r="321" customFormat="1" s="77">
      <c r="A321" s="76" t="n"/>
      <c r="B321" s="76" t="n"/>
      <c r="C321" s="77" t="inlineStr">
        <is>
          <t>NET REVENUE GROWTH (YoY)</t>
        </is>
      </c>
      <c r="E321" s="78" t="str">
        <f>IFERROR(E15/D15-1,"")</f>
        <v/>
      </c>
      <c r="F321" s="78" t="str">
        <f>IFERROR(F15/E15-1,"")</f>
        <v/>
      </c>
      <c r="G321" s="78" t="str">
        <f>IFERROR(G15/F15-1,"")</f>
        <v/>
      </c>
      <c r="H321" s="257" t="str">
        <f>""</f>
        <v/>
      </c>
      <c r="I321" s="257" t="str">
        <f>""</f>
        <v/>
      </c>
      <c r="J321" s="257" t="str">
        <f>""</f>
        <v/>
      </c>
      <c r="K321" s="257" t="str">
        <f>""</f>
        <v/>
      </c>
      <c r="L321" s="257" t="str">
        <f>""</f>
        <v/>
      </c>
      <c r="M321" s="257" t="str">
        <f>IFERROR(IF(AND(ISNUMBER(M15),ISNUMBER(H15),H15&lt;&gt;0),M15/H15-1,""),"")</f>
        <v/>
      </c>
      <c r="N321" s="257">
        <f>IFERROR(IF(AND(ISNUMBER(N15),ISNUMBER(I15),I15&lt;&gt;0),N15/I15-1,""),"")</f>
        <v>0.132393723252496</v>
      </c>
      <c r="O321" s="257">
        <f>IFERROR(IF(AND(ISNUMBER(O15),ISNUMBER(J15),J15&lt;&gt;0),O15/J15-1,""),"")</f>
        <v>0.62495279812703</v>
      </c>
      <c r="P321" s="257">
        <f>IFERROR(IF(AND(ISNUMBER(P15),ISNUMBER(K15),K15&lt;&gt;0),P15/K15-1,""),"")</f>
        <v>0.974910107070242</v>
      </c>
      <c r="Q321" s="257">
        <f>IFERROR(IF(AND(ISNUMBER(Q15),ISNUMBER(L15),L15&lt;&gt;0),Q15/L15-1,""),"")</f>
        <v>0.153485707665274</v>
      </c>
      <c r="R321" s="257">
        <f>IFERROR(IF(AND(ISNUMBER(R15),ISNUMBER(M15),M15&lt;&gt;0),R15/M15-1,""),"")</f>
        <v>0.437889767540113</v>
      </c>
      <c r="S321" s="257">
        <f>IFERROR(IF(AND(ISNUMBER(S15),ISNUMBER(N15),N15&lt;&gt;0),S15/N15-1,""),"")</f>
        <v>0.90318061798319</v>
      </c>
      <c r="T321" s="257">
        <f>IFERROR(IF(AND(ISNUMBER(T15),ISNUMBER(O15),O15&lt;&gt;0),T15/O15-1,""),"")</f>
        <v>0.302983825989961</v>
      </c>
      <c r="U321" s="257">
        <f>IFERROR(IF(AND(ISNUMBER(U15),ISNUMBER(P15),P15&lt;&gt;0),U15/P15-1,""),"")</f>
        <v>-0.0232177180908524</v>
      </c>
      <c r="V321" s="257">
        <f>IFERROR(IF(AND(ISNUMBER(V15),ISNUMBER(Q15),Q15&lt;&gt;0),V15/Q15-1,""),"")</f>
        <v>0.10813073004146</v>
      </c>
      <c r="W321" s="257">
        <f>IFERROR(IF(AND(ISNUMBER(W15),ISNUMBER(R15),R15&lt;&gt;0),W15/R15-1,""),"")</f>
        <v>0.239613940059787</v>
      </c>
      <c r="X321" s="257">
        <f>IFERROR(IF(AND(ISNUMBER(X15),ISNUMBER(S15),S15&lt;&gt;0),X15/S15-1,""),"")</f>
        <v>0.107500860494056</v>
      </c>
      <c r="Y321" s="257">
        <f>IFERROR(IF(AND(ISNUMBER(Y15),ISNUMBER(T15),T15&lt;&gt;0),Y15/T15-1,""),"")</f>
        <v>0.0958088104155519</v>
      </c>
      <c r="Z321" s="257">
        <f>IFERROR(IF(AND(ISNUMBER(Z15),ISNUMBER(U15),U15&lt;&gt;0),Z15/U15-1,""),"")</f>
        <v>0.293225821525553</v>
      </c>
      <c r="AA321" s="257">
        <f>IFERROR(IF(AND(ISNUMBER(AA15),ISNUMBER(V15),V15&lt;&gt;0),AA15/V15-1,""),"")</f>
        <v>0.15921988851234</v>
      </c>
      <c r="AB321" s="257">
        <f>IFERROR(IF(AND(ISNUMBER(AB15),ISNUMBER(W15),W15&lt;&gt;0),AB15/W15-1,""),"")</f>
        <v>0.163855381333443</v>
      </c>
      <c r="AC321" s="257">
        <f>IFERROR(IF(AND(ISNUMBER(AC15),ISNUMBER(X15),X15&lt;&gt;0),AC15/X15-1,""),"")</f>
        <v>0.151348818528684</v>
      </c>
      <c r="AD321" s="257">
        <f>IFERROR(IF(AND(ISNUMBER(AD15),ISNUMBER(Y15),Y15&lt;&gt;0),AD15/Y15-1,""),"")</f>
        <v>0.228480285704985</v>
      </c>
      <c r="AE321" s="257">
        <f>IFERROR(IF(AND(ISNUMBER(AE15),ISNUMBER(Z15),Z15&lt;&gt;0),AE15/Z15-1,""),"")</f>
        <v>0.128379517733686</v>
      </c>
      <c r="AF321" s="257">
        <f>IFERROR(IF(AND(ISNUMBER(AF15),ISNUMBER(AA15),AA15&lt;&gt;0),AF15/AA15-1,""),"")</f>
        <v>0.148141230028757</v>
      </c>
      <c r="AG321" s="257">
        <f>IFERROR(IF(AND(ISNUMBER(AG15),ISNUMBER(AB15),AB15&lt;&gt;0),AG15/AB15-1,""),"")</f>
        <v>0.162558261287277</v>
      </c>
      <c r="AH321" s="257">
        <f>IFERROR(IF(AND(ISNUMBER(AH15),ISNUMBER(AC15),AC15&lt;&gt;0),AH15/AC15-1,""),"")</f>
        <v>0.374900332225914</v>
      </c>
      <c r="AI321" s="257">
        <f>IFERROR(IF(AND(ISNUMBER(AI15),ISNUMBER(AD15),AD15&lt;&gt;0),AI15/AD15-1,""),"")</f>
        <v>1.35761088041911</v>
      </c>
      <c r="AJ321" s="257">
        <f>IFERROR(IF(AND(ISNUMBER(AJ15),ISNUMBER(AE15),AE15&lt;&gt;0),AJ15/AE15-1,""),"")</f>
        <v>0.398143510773522</v>
      </c>
      <c r="AK321" s="257">
        <f>IFERROR(IF(AND(ISNUMBER(AK15),ISNUMBER(AF15),AF15&lt;&gt;0),AK15/AF15-1,""),"")</f>
        <v>0.398143510773522</v>
      </c>
      <c r="AL321" s="257">
        <f>IFERROR(IF(AND(ISNUMBER(AL15),ISNUMBER(AG15),AG15&lt;&gt;0),AL15/AG15-1,""),"")</f>
        <v>0.634139561372448</v>
      </c>
      <c r="AM321" s="257">
        <f>IFERROR(IF(AND(ISNUMBER(AM15),ISNUMBER(AH15),AH15&lt;&gt;0),AM15/AH15-1,""),"")</f>
        <v>0.398143510773522</v>
      </c>
      <c r="AN321" s="257">
        <f>IFERROR(IF(AND(ISNUMBER(AN15),ISNUMBER(AI15),AI15&lt;&gt;0),AN15/AI15-1,""),"")</f>
        <v>0.398143510773522</v>
      </c>
      <c r="AO321" s="257">
        <f>IFERROR(IF(AND(ISNUMBER(AO15),ISNUMBER(AJ15),AJ15&lt;&gt;0),AO15/AJ15-1,""),"")</f>
        <v>0.398143510773522</v>
      </c>
      <c r="AP321" s="257">
        <f>IFERROR(IF(AND(ISNUMBER(AP15),ISNUMBER(AK15),AK15&lt;&gt;0),AP15/AK15-1,""),"")</f>
        <v>0.398143510773522</v>
      </c>
      <c r="AQ321" s="257">
        <f>IFERROR(IF(AND(ISNUMBER(AQ15),ISNUMBER(AL15),AL15&lt;&gt;0),AQ15/AL15-1,""),"")</f>
        <v>0.398143510773522</v>
      </c>
      <c r="AR321" s="257">
        <f>IFERROR(IF(AND(ISNUMBER(AR15),ISNUMBER(AM15),AM15&lt;&gt;0),AR15/AM15-1,""),"")</f>
        <v>0.393143510773522</v>
      </c>
      <c r="AS321" s="257">
        <f>IFERROR(IF(AND(ISNUMBER(AS15),ISNUMBER(AN15),AN15&lt;&gt;0),AS15/AN15-1,""),"")</f>
        <v>0.393143510773522</v>
      </c>
      <c r="AT321" s="257">
        <f>IFERROR(IF(AND(ISNUMBER(AT15),ISNUMBER(AO15),AO15&lt;&gt;0),AT15/AO15-1,""),"")</f>
        <v>0.393143510773522</v>
      </c>
      <c r="AU321" s="257">
        <f>IFERROR(IF(AND(ISNUMBER(AU15),ISNUMBER(AP15),AP15&lt;&gt;0),AU15/AP15-1,""),"")</f>
        <v>0.393143510773522</v>
      </c>
      <c r="AV321" s="257">
        <f>IFERROR(IF(AND(ISNUMBER(AV15),ISNUMBER(AQ15),AQ15&lt;&gt;0),AV15/AQ15-1,""),"")</f>
        <v>0.393143510773522</v>
      </c>
      <c r="AW321" s="257">
        <f>IFERROR(IF(AND(ISNUMBER(AW15),ISNUMBER(AR15),AR15&lt;&gt;0),AW15/AR15-1,""),"")</f>
        <v>0.388143510773522</v>
      </c>
      <c r="AX321" s="257">
        <f>IFERROR(IF(AND(ISNUMBER(AX15),ISNUMBER(AS15),AS15&lt;&gt;0),AX15/AS15-1,""),"")</f>
        <v>0.388143510773522</v>
      </c>
      <c r="AY321" s="257">
        <f>IFERROR(IF(AND(ISNUMBER(AY15),ISNUMBER(AT15),AT15&lt;&gt;0),AY15/AT15-1,""),"")</f>
        <v>0.388143510773522</v>
      </c>
      <c r="AZ321" s="257">
        <f>IFERROR(IF(AND(ISNUMBER(AZ15),ISNUMBER(AU15),AU15&lt;&gt;0),AZ15/AU15-1,""),"")</f>
        <v>0.388143510773522</v>
      </c>
      <c r="BA321" s="257">
        <f>IFERROR(IF(AND(ISNUMBER(BA15),ISNUMBER(AV15),AV15&lt;&gt;0),BA15/AV15-1,""),"")</f>
        <v>0.388143510773522</v>
      </c>
      <c r="BB321" s="257">
        <f>IFERROR(IF(AND(ISNUMBER(BB15),ISNUMBER(AW15),AW15&lt;&gt;0),BB15/AW15-1,""),"")</f>
        <v>0.383143510773522</v>
      </c>
      <c r="BC321" s="257">
        <f>IFERROR(IF(AND(ISNUMBER(BC15),ISNUMBER(AX15),AX15&lt;&gt;0),BC15/AX15-1,""),"")</f>
        <v>0.383143510773522</v>
      </c>
      <c r="BD321" s="257">
        <f>IFERROR(IF(AND(ISNUMBER(BD15),ISNUMBER(AY15),AY15&lt;&gt;0),BD15/AY15-1,""),"")</f>
        <v>0.383143510773522</v>
      </c>
      <c r="BE321" s="257">
        <f>IFERROR(IF(AND(ISNUMBER(BE15),ISNUMBER(AZ15),AZ15&lt;&gt;0),BE15/AZ15-1,""),"")</f>
        <v>0.383143510773522</v>
      </c>
      <c r="BF321" s="257">
        <f>IFERROR(IF(AND(ISNUMBER(BF15),ISNUMBER(BA15),BA15&lt;&gt;0),BF15/BA15-1,""),"")</f>
        <v>0.383143510773522</v>
      </c>
      <c r="BG321" s="79" t="n"/>
      <c r="BH321" s="79" t="n"/>
      <c r="BI321" s="79" t="n"/>
      <c r="BJ321" s="79" t="n"/>
      <c r="BK321" s="78" t="n"/>
      <c r="BL321" s="79" t="n"/>
      <c r="BM321" s="79" t="n"/>
      <c r="BN321" s="79" t="n"/>
      <c r="BO321" s="79" t="n"/>
      <c r="BP321" s="78" t="n"/>
      <c r="BQ321" s="79" t="n"/>
      <c r="BR321" s="79" t="n"/>
      <c r="BS321" s="79" t="n"/>
      <c r="BT321" s="79" t="n"/>
      <c r="BU321" s="78" t="n"/>
      <c r="BV321" s="79" t="n"/>
      <c r="BW321" s="79" t="n"/>
      <c r="BX321" s="79" t="n"/>
      <c r="BY321" s="79" t="n"/>
      <c r="BZ321" s="78" t="n"/>
      <c r="CA321" s="79" t="n"/>
      <c r="CB321" s="79" t="n"/>
      <c r="CC321" s="79" t="n"/>
      <c r="CD321" s="79" t="n"/>
      <c r="CE321" s="78" t="n"/>
      <c r="CF321" s="79" t="n"/>
      <c r="CG321" s="79" t="n"/>
      <c r="CH321" s="79" t="n"/>
      <c r="CI321" s="79" t="n"/>
      <c r="CJ321" s="78" t="n"/>
      <c r="CK321" s="79" t="n"/>
      <c r="CL321" s="79" t="n"/>
      <c r="CM321" s="79" t="n"/>
      <c r="CN321" s="79" t="n"/>
      <c r="CO321" s="78" t="n"/>
      <c r="CP321" s="79" t="n"/>
      <c r="CQ321" s="79" t="n"/>
      <c r="CR321" s="79" t="n"/>
      <c r="CS321" s="79" t="n"/>
      <c r="CT321" s="78" t="n"/>
      <c r="CU321" s="79" t="n"/>
      <c r="CV321" s="79" t="n"/>
      <c r="CW321" s="79" t="n"/>
      <c r="CX321" s="79" t="n"/>
      <c r="CY321" s="78" t="n"/>
    </row>
    <row r="322" customFormat="1" s="77">
      <c r="A322" s="76" t="n"/>
      <c r="B322" s="76" t="n"/>
      <c r="C322" s="77" t="inlineStr">
        <is>
          <t>GROSS MARGIN</t>
        </is>
      </c>
      <c r="D322" s="79" t="str">
        <f>IFERROR(SUM(D15,D54)/D15,"")</f>
        <v/>
      </c>
      <c r="E322" s="79" t="str">
        <f>IFERROR(SUM(E15,E54)/E15,"")</f>
        <v/>
      </c>
      <c r="F322" s="79" t="str">
        <f>IFERROR(SUM(F15,F54)/F15,"")</f>
        <v/>
      </c>
      <c r="G322" s="79" t="str">
        <f>IFERROR(SUM(G15,G54)/G15,"")</f>
        <v/>
      </c>
      <c r="H322" s="258" t="str">
        <f>IFERROR(IF(N(H15)&lt;&gt;0,(H15+H54)/H15,""),"")</f>
        <v/>
      </c>
      <c r="I322" s="258">
        <f>IFERROR(IF(N(I15)&lt;&gt;0,(I15+I54)/I15,""),"")</f>
        <v>0.44416547788873</v>
      </c>
      <c r="J322" s="258">
        <f>IFERROR(IF(N(J15)&lt;&gt;0,(J15+J54)/J15,""),"")</f>
        <v>0.48961558794653</v>
      </c>
      <c r="K322" s="258">
        <f>IFERROR(IF(N(K15)&lt;&gt;0,(K15+K54)/K15,""),"")</f>
        <v>0.516751635099809</v>
      </c>
      <c r="L322" s="258">
        <f>IFERROR(IF(N(L15)&lt;&gt;0,(L15+L54)/L15,""),"")</f>
        <v>0.620598211929481</v>
      </c>
      <c r="M322" s="258">
        <f>IFERROR(IF(N(M15)&lt;&gt;0,(M15+M54)/M15,""),"")</f>
        <v>0.533417830803002</v>
      </c>
      <c r="N322" s="258">
        <f>IFERROR(IF(N(N15)&lt;&gt;0,(N15+N54)/N15,""),"")</f>
        <v>0.500886864329914</v>
      </c>
      <c r="O322" s="258">
        <f>IFERROR(IF(N(O15)&lt;&gt;0,(O15+O54)/O15,""),"")</f>
        <v>0.49272302339787</v>
      </c>
      <c r="P322" s="258">
        <f>IFERROR(IF(N(P15)&lt;&gt;0,(P15+P54)/P15,""),"")</f>
        <v>0.540925158613834</v>
      </c>
      <c r="Q322" s="258">
        <f>IFERROR(IF(N(Q15)&lt;&gt;0,(Q15+Q54)/Q15,""),"")</f>
        <v>0.519192674475054</v>
      </c>
      <c r="R322" s="258">
        <f>IFERROR(IF(N(R15)&lt;&gt;0,(R15+R54)/R15,""),"")</f>
        <v>0.516768760060298</v>
      </c>
      <c r="S322" s="258">
        <f>IFERROR(IF(N(S15)&lt;&gt;0,(S15+S54)/S15,""),"")</f>
        <v>0.542767878418809</v>
      </c>
      <c r="T322" s="258">
        <f>IFERROR(IF(N(T15)&lt;&gt;0,(T15+T54)/T15,""),"")</f>
        <v>0.52065530331983</v>
      </c>
      <c r="U322" s="258">
        <f>IFERROR(IF(N(U15)&lt;&gt;0,(U15+U54)/U15,""),"")</f>
        <v>0.566155587516031</v>
      </c>
      <c r="V322" s="258">
        <f>IFERROR(IF(N(V15)&lt;&gt;0,(V15+V54)/V15,""),"")</f>
        <v>0.501649151253607</v>
      </c>
      <c r="W322" s="258">
        <f>IFERROR(IF(N(W15)&lt;&gt;0,(W15+W54)/W15,""),"")</f>
        <v>0.532461392597478</v>
      </c>
      <c r="X322" s="258">
        <f>IFERROR(IF(N(X15)&lt;&gt;0,(X15+X54)/X15,""),"")</f>
        <v>0.630071815860691</v>
      </c>
      <c r="Y322" s="258">
        <f>IFERROR(IF(N(Y15)&lt;&gt;0,(Y15+Y54)/Y15,""),"")</f>
        <v>0.5868531065302</v>
      </c>
      <c r="Z322" s="258">
        <f>IFERROR(IF(N(Z15)&lt;&gt;0,(Z15+Z54)/Z15,""),"")</f>
        <v>0.661650754394277</v>
      </c>
      <c r="AA322" s="258">
        <f>IFERROR(IF(N(AA15)&lt;&gt;0,(AA15+AA54)/AA15,""),"")</f>
        <v>0.63741170951235</v>
      </c>
      <c r="AB322" s="258">
        <f>IFERROR(IF(N(AB15)&lt;&gt;0,(AB15+AB54)/AB15,""),"")</f>
        <v>0.630360840888438</v>
      </c>
      <c r="AC322" s="258">
        <f>IFERROR(IF(N(AC15)&lt;&gt;0,(AC15+AC54)/AC15,""),"")</f>
        <v>0.621108803986711</v>
      </c>
      <c r="AD322" s="258">
        <f>IFERROR(IF(N(AD15)&lt;&gt;0,(AD15+AD54)/AD15,""),"")</f>
        <v>0.632218062616161</v>
      </c>
      <c r="AE322" s="258">
        <f>IFERROR(IF(N(AE15)&lt;&gt;0,(AE15+AE54)/AE15,""),"")</f>
        <v>0.645379825653798</v>
      </c>
      <c r="AF322" s="258">
        <f>IFERROR(IF(N(AF15)&lt;&gt;0,(AF15+AF54)/AF15,""),"")</f>
        <v>0.637413027933215</v>
      </c>
      <c r="AG322" s="258">
        <f>IFERROR(IF(N(AG15)&lt;&gt;0,(AG15+AG54)/AG15,""),"")</f>
        <v>0.634500257059619</v>
      </c>
      <c r="AH322" s="258">
        <f>IFERROR(IF(N(AH15)&lt;&gt;0,(AH15+AH54)/AH15,""),"")</f>
        <v>0.556092860853701</v>
      </c>
      <c r="AI322" s="258">
        <f>IFERROR(IF(N(AI15)&lt;&gt;0,(AI15+AI54)/AI15,""),"")</f>
        <v>0.402499213276047</v>
      </c>
      <c r="AJ322" s="258">
        <f>IFERROR(IF(N(AJ15)&lt;&gt;0,(AJ15+AJ54)/AJ15,""),"")</f>
        <v>0.582451965719939</v>
      </c>
      <c r="AK322" s="258">
        <f>IFERROR(IF(N(AK15)&lt;&gt;0,(AK15+AK54)/AK15,""),"")</f>
        <v>0.582451965719939</v>
      </c>
      <c r="AL322" s="258">
        <f>IFERROR(IF(N(AL15)&lt;&gt;0,(AL15+AL54)/AL15,""),"")</f>
        <v>0.512067574892534</v>
      </c>
      <c r="AM322" s="258">
        <f>IFERROR(IF(N(AM15)&lt;&gt;0,(AM15+AM54)/AM15,""),"")</f>
        <v>0.582451965719939</v>
      </c>
      <c r="AN322" s="258">
        <f>IFERROR(IF(N(AN15)&lt;&gt;0,(AN15+AN54)/AN15,""),"")</f>
        <v>0.582451965719939</v>
      </c>
      <c r="AO322" s="258">
        <f>IFERROR(IF(N(AO15)&lt;&gt;0,(AO15+AO54)/AO15,""),"")</f>
        <v>0.582451965719939</v>
      </c>
      <c r="AP322" s="258">
        <f>IFERROR(IF(N(AP15)&lt;&gt;0,(AP15+AP54)/AP15,""),"")</f>
        <v>0.582451965719939</v>
      </c>
      <c r="AQ322" s="258">
        <f>IFERROR(IF(N(AQ15)&lt;&gt;0,(AQ15+AQ54)/AQ15,""),"")</f>
        <v>0.582451965719939</v>
      </c>
      <c r="AR322" s="258">
        <f>IFERROR(IF(N(AR15)&lt;&gt;0,(AR15+AR54)/AR15,""),"")</f>
        <v>0.582451965719939</v>
      </c>
      <c r="AS322" s="258">
        <f>IFERROR(IF(N(AS15)&lt;&gt;0,(AS15+AS54)/AS15,""),"")</f>
        <v>0.582451965719939</v>
      </c>
      <c r="AT322" s="258">
        <f>IFERROR(IF(N(AT15)&lt;&gt;0,(AT15+AT54)/AT15,""),"")</f>
        <v>0.582451965719939</v>
      </c>
      <c r="AU322" s="258">
        <f>IFERROR(IF(N(AU15)&lt;&gt;0,(AU15+AU54)/AU15,""),"")</f>
        <v>0.582451965719939</v>
      </c>
      <c r="AV322" s="258">
        <f>IFERROR(IF(N(AV15)&lt;&gt;0,(AV15+AV54)/AV15,""),"")</f>
        <v>0.582451965719939</v>
      </c>
      <c r="AW322" s="258">
        <f>IFERROR(IF(N(AW15)&lt;&gt;0,(AW15+AW54)/AW15,""),"")</f>
        <v>0.582451965719939</v>
      </c>
      <c r="AX322" s="258">
        <f>IFERROR(IF(N(AX15)&lt;&gt;0,(AX15+AX54)/AX15,""),"")</f>
        <v>0.582451965719939</v>
      </c>
      <c r="AY322" s="258">
        <f>IFERROR(IF(N(AY15)&lt;&gt;0,(AY15+AY54)/AY15,""),"")</f>
        <v>0.582451965719939</v>
      </c>
      <c r="AZ322" s="258">
        <f>IFERROR(IF(N(AZ15)&lt;&gt;0,(AZ15+AZ54)/AZ15,""),"")</f>
        <v>0.582451965719939</v>
      </c>
      <c r="BA322" s="258">
        <f>IFERROR(IF(N(BA15)&lt;&gt;0,(BA15+BA54)/BA15,""),"")</f>
        <v>0.582451965719939</v>
      </c>
      <c r="BB322" s="258">
        <f>IFERROR(IF(N(BB15)&lt;&gt;0,(BB15+BB54)/BB15,""),"")</f>
        <v>0.582451965719939</v>
      </c>
      <c r="BC322" s="258">
        <f>IFERROR(IF(N(BC15)&lt;&gt;0,(BC15+BC54)/BC15,""),"")</f>
        <v>0.582451965719939</v>
      </c>
      <c r="BD322" s="258">
        <f>IFERROR(IF(N(BD15)&lt;&gt;0,(BD15+BD54)/BD15,""),"")</f>
        <v>0.582451965719939</v>
      </c>
      <c r="BE322" s="258">
        <f>IFERROR(IF(N(BE15)&lt;&gt;0,(BE15+BE54)/BE15,""),"")</f>
        <v>0.582451965719939</v>
      </c>
      <c r="BF322" s="258">
        <f>IFERROR(IF(N(BF15)&lt;&gt;0,(BF15+BF54)/BF15,""),"")</f>
        <v>0.582451965719939</v>
      </c>
      <c r="BG322" s="80" t="n"/>
      <c r="BH322" s="80" t="n"/>
      <c r="BI322" s="80" t="n"/>
      <c r="BJ322" s="80" t="n"/>
      <c r="BL322" s="80" t="n"/>
      <c r="BM322" s="80" t="n"/>
      <c r="BN322" s="80" t="n"/>
      <c r="BO322" s="80" t="n"/>
      <c r="BQ322" s="80" t="n"/>
      <c r="BR322" s="80" t="n"/>
      <c r="BS322" s="80" t="n"/>
      <c r="BT322" s="80" t="n"/>
      <c r="BV322" s="80" t="n"/>
      <c r="BW322" s="80" t="n"/>
      <c r="BX322" s="80" t="n"/>
      <c r="BY322" s="80" t="n"/>
      <c r="CA322" s="80" t="n"/>
      <c r="CB322" s="80" t="n"/>
      <c r="CC322" s="80" t="n"/>
      <c r="CD322" s="80" t="n"/>
      <c r="CF322" s="80" t="n"/>
      <c r="CG322" s="80" t="n"/>
      <c r="CH322" s="80" t="n"/>
      <c r="CI322" s="80" t="n"/>
      <c r="CK322" s="80" t="n"/>
      <c r="CL322" s="80" t="n"/>
      <c r="CM322" s="80" t="n"/>
      <c r="CN322" s="80" t="n"/>
      <c r="CP322" s="80" t="n"/>
      <c r="CQ322" s="80" t="n"/>
      <c r="CR322" s="80" t="n"/>
      <c r="CS322" s="80" t="n"/>
      <c r="CU322" s="80" t="n"/>
      <c r="CV322" s="80" t="n"/>
      <c r="CW322" s="80" t="n"/>
      <c r="CX322" s="80" t="n"/>
    </row>
    <row r="323" customFormat="1" s="77">
      <c r="A323" s="76" t="n"/>
      <c r="B323" s="76" t="n"/>
      <c r="C323" s="77" t="inlineStr">
        <is>
          <t>EBIT MARGIN</t>
        </is>
      </c>
      <c r="D323" s="78" t="str">
        <f>IFERROR((D73/D15),"")</f>
        <v/>
      </c>
      <c r="E323" s="78" t="str">
        <f>IFERROR((E73/E15),"")</f>
        <v/>
      </c>
      <c r="F323" s="78" t="str">
        <f>IFERROR((F73/F15),"")</f>
        <v/>
      </c>
      <c r="G323" s="78" t="str">
        <f>IFERROR((G73/G15),"")</f>
        <v/>
      </c>
      <c r="H323" s="258" t="str">
        <f>IFERROR(IF(N(H15)&lt;&gt;0,H73/H15,""),"")</f>
        <v/>
      </c>
      <c r="I323" s="257">
        <f>IFERROR(IF(N(I15)&lt;&gt;0,I73/I15,""),"")</f>
        <v>-0.274031383737518</v>
      </c>
      <c r="J323" s="257">
        <f>IFERROR(IF(N(J15)&lt;&gt;0,J73/J15,""),"")</f>
        <v>0.269012914432445</v>
      </c>
      <c r="K323" s="257">
        <f>IFERROR(IF(N(K15)&lt;&gt;0,K73/K15,""),"")</f>
        <v>0.196242024819463</v>
      </c>
      <c r="L323" s="257">
        <f>IFERROR(IF(N(L15)&lt;&gt;0,L73/L15,""),"")</f>
        <v>0.376170645520491</v>
      </c>
      <c r="M323" s="258">
        <f>IFERROR(IF(N(M15)&lt;&gt;0,M73/M15,""),"")</f>
        <v>0.181297587229861</v>
      </c>
      <c r="N323" s="257">
        <f>IFERROR(IF(N(N15)&lt;&gt;0,N73/N15,""),"")</f>
        <v>0.119857698587064</v>
      </c>
      <c r="O323" s="257">
        <f>IFERROR(IF(N(O15)&lt;&gt;0,O73/O15,""),"")</f>
        <v>0.165790242477359</v>
      </c>
      <c r="P323" s="257">
        <f>IFERROR(IF(N(P15)&lt;&gt;0,P73/P15,""),"")</f>
        <v>0.063501321148004</v>
      </c>
      <c r="Q323" s="257">
        <f>IFERROR(IF(N(Q15)&lt;&gt;0,Q73/Q15,""),"")</f>
        <v>0.00223761083427732</v>
      </c>
      <c r="R323" s="258">
        <f>IFERROR(IF(N(R15)&lt;&gt;0,R73/R15,""),"")</f>
        <v>0.0795003065995554</v>
      </c>
      <c r="S323" s="257">
        <f>IFERROR(IF(N(S15)&lt;&gt;0,S73/S15,""),"")</f>
        <v>0.0468956022134554</v>
      </c>
      <c r="T323" s="257">
        <f>IFERROR(IF(N(T15)&lt;&gt;0,T73/T15,""),"")</f>
        <v>0.208545440648169</v>
      </c>
      <c r="U323" s="257">
        <f>IFERROR(IF(N(U15)&lt;&gt;0,U73/U15,""),"")</f>
        <v>0.221823581638534</v>
      </c>
      <c r="V323" s="257">
        <f>IFERROR(IF(N(V15)&lt;&gt;0,V73/V15,""),"")</f>
        <v>0.433840080166376</v>
      </c>
      <c r="W323" s="258">
        <f>IFERROR(IF(N(W15)&lt;&gt;0,W73/W15,""),"")</f>
        <v>0.230150101252647</v>
      </c>
      <c r="X323" s="257">
        <f>IFERROR(IF(N(X15)&lt;&gt;0,X73/X15,""),"")</f>
        <v>0.317228156407486</v>
      </c>
      <c r="Y323" s="257">
        <f>IFERROR(IF(N(Y15)&lt;&gt;0,Y73/Y15,""),"")</f>
        <v>0.287723148893033</v>
      </c>
      <c r="Z323" s="257">
        <f>IFERROR(IF(N(Z15)&lt;&gt;0,Z73/Z15,""),"")</f>
        <v>0.344668652689562</v>
      </c>
      <c r="AA323" s="257">
        <f>IFERROR(IF(N(AA15)&lt;&gt;0,AA73/AA15,""),"")</f>
        <v>0.192705663623016</v>
      </c>
      <c r="AB323" s="258">
        <f>IFERROR(IF(N(AB15)&lt;&gt;0,AB73/AB15,""),"")</f>
        <v>0.28604175221617</v>
      </c>
      <c r="AC323" s="257">
        <f>IFERROR(IF(N(AC15)&lt;&gt;0,AC73/AC15,""),"")</f>
        <v>0.230573089700997</v>
      </c>
      <c r="AD323" s="257">
        <f>IFERROR(IF(N(AD15)&lt;&gt;0,AD73/AD15,""),"")</f>
        <v>0.301213940442348</v>
      </c>
      <c r="AE323" s="257">
        <f>IFERROR(IF(N(AE15)&lt;&gt;0,AE73/AE15,""),"")</f>
        <v>0.296947162426615</v>
      </c>
      <c r="AF323" s="257">
        <f>IFERROR(IF(N(AF15)&lt;&gt;0,AF73/AF15,""),"")</f>
        <v>0.320011804365345</v>
      </c>
      <c r="AG323" s="258">
        <f>IFERROR(IF(N(AG15)&lt;&gt;0,AG73/AG15,""),"")</f>
        <v>0.288607498524287</v>
      </c>
      <c r="AH323" s="257">
        <f>IFERROR(IF(N(AH15)&lt;&gt;0,AH73/AH15,""),"")</f>
        <v>0.262024429436142</v>
      </c>
      <c r="AI323" s="257">
        <f>IFERROR(IF(N(AI15)&lt;&gt;0,AI73/AI15,""),"")</f>
        <v>0.155347475097779</v>
      </c>
      <c r="AJ323" s="257">
        <f>IFERROR(IF(N(AJ15)&lt;&gt;0,AJ73/AJ15,""),"")</f>
        <v>0.261019650244871</v>
      </c>
      <c r="AK323" s="257">
        <f>IFERROR(IF(N(AK15)&lt;&gt;0,AK73/AK15,""),"")</f>
        <v>0.261019650244871</v>
      </c>
      <c r="AL323" s="258">
        <f>IFERROR(IF(N(AL15)&lt;&gt;0,AL73/AL15,""),"")</f>
        <v>0.222867882185758</v>
      </c>
      <c r="AM323" s="257">
        <f>IFERROR(IF(N(AM15)&lt;&gt;0,AM73/AM15,""),"")</f>
        <v>0.261019650244871</v>
      </c>
      <c r="AN323" s="257">
        <f>IFERROR(IF(N(AN15)&lt;&gt;0,AN73/AN15,""),"")</f>
        <v>0.261019650244871</v>
      </c>
      <c r="AO323" s="257">
        <f>IFERROR(IF(N(AO15)&lt;&gt;0,AO73/AO15,""),"")</f>
        <v>0.261019650244871</v>
      </c>
      <c r="AP323" s="257">
        <f>IFERROR(IF(N(AP15)&lt;&gt;0,AP73/AP15,""),"")</f>
        <v>0.261019650244871</v>
      </c>
      <c r="AQ323" s="258">
        <f>IFERROR(IF(N(AQ15)&lt;&gt;0,AQ73/AQ15,""),"")</f>
        <v>0.261019650244871</v>
      </c>
      <c r="AR323" s="257">
        <f>IFERROR(IF(N(AR15)&lt;&gt;0,AR73/AR15,""),"")</f>
        <v>0.261019650244871</v>
      </c>
      <c r="AS323" s="257">
        <f>IFERROR(IF(N(AS15)&lt;&gt;0,AS73/AS15,""),"")</f>
        <v>0.261019650244871</v>
      </c>
      <c r="AT323" s="257">
        <f>IFERROR(IF(N(AT15)&lt;&gt;0,AT73/AT15,""),"")</f>
        <v>0.261019650244871</v>
      </c>
      <c r="AU323" s="257">
        <f>IFERROR(IF(N(AU15)&lt;&gt;0,AU73/AU15,""),"")</f>
        <v>0.261019650244871</v>
      </c>
      <c r="AV323" s="258">
        <f>IFERROR(IF(N(AV15)&lt;&gt;0,AV73/AV15,""),"")</f>
        <v>0.261019650244871</v>
      </c>
      <c r="AW323" s="257">
        <f>IFERROR(IF(N(AW15)&lt;&gt;0,AW73/AW15,""),"")</f>
        <v>0.261019650244871</v>
      </c>
      <c r="AX323" s="257">
        <f>IFERROR(IF(N(AX15)&lt;&gt;0,AX73/AX15,""),"")</f>
        <v>0.261019650244871</v>
      </c>
      <c r="AY323" s="257">
        <f>IFERROR(IF(N(AY15)&lt;&gt;0,AY73/AY15,""),"")</f>
        <v>0.261019650244871</v>
      </c>
      <c r="AZ323" s="257">
        <f>IFERROR(IF(N(AZ15)&lt;&gt;0,AZ73/AZ15,""),"")</f>
        <v>0.261019650244871</v>
      </c>
      <c r="BA323" s="258">
        <f>IFERROR(IF(N(BA15)&lt;&gt;0,BA73/BA15,""),"")</f>
        <v>0.261019650244871</v>
      </c>
      <c r="BB323" s="257">
        <f>IFERROR(IF(N(BB15)&lt;&gt;0,BB73/BB15,""),"")</f>
        <v>0.261019650244871</v>
      </c>
      <c r="BC323" s="257">
        <f>IFERROR(IF(N(BC15)&lt;&gt;0,BC73/BC15,""),"")</f>
        <v>0.261019650244871</v>
      </c>
      <c r="BD323" s="257">
        <f>IFERROR(IF(N(BD15)&lt;&gt;0,BD73/BD15,""),"")</f>
        <v>0.261019650244871</v>
      </c>
      <c r="BE323" s="257">
        <f>IFERROR(IF(N(BE15)&lt;&gt;0,BE73/BE15,""),"")</f>
        <v>0.261019650244871</v>
      </c>
      <c r="BF323" s="258">
        <f>IFERROR(IF(N(BF15)&lt;&gt;0,BF73/BF15,""),"")</f>
        <v>0.261019650244871</v>
      </c>
      <c r="BG323" s="81" t="n"/>
      <c r="BH323" s="81" t="n"/>
      <c r="BI323" s="81" t="n"/>
      <c r="BJ323" s="81" t="n"/>
      <c r="BL323" s="81" t="n"/>
      <c r="BM323" s="81" t="n"/>
      <c r="BN323" s="81" t="n"/>
      <c r="BO323" s="81" t="n"/>
      <c r="BQ323" s="81" t="n"/>
      <c r="BR323" s="81" t="n"/>
      <c r="BS323" s="81" t="n"/>
      <c r="BT323" s="81" t="n"/>
      <c r="BV323" s="81" t="n"/>
      <c r="BW323" s="81" t="n"/>
      <c r="BX323" s="81" t="n"/>
      <c r="BY323" s="81" t="n"/>
      <c r="CA323" s="81" t="n"/>
      <c r="CB323" s="81" t="n"/>
      <c r="CC323" s="81" t="n"/>
      <c r="CD323" s="81" t="n"/>
      <c r="CF323" s="81" t="n"/>
      <c r="CG323" s="81" t="n"/>
      <c r="CH323" s="81" t="n"/>
      <c r="CI323" s="81" t="n"/>
      <c r="CK323" s="81" t="n"/>
      <c r="CL323" s="81" t="n"/>
      <c r="CM323" s="81" t="n"/>
      <c r="CN323" s="81" t="n"/>
      <c r="CP323" s="81" t="n"/>
      <c r="CQ323" s="81" t="n"/>
      <c r="CR323" s="81" t="n"/>
      <c r="CS323" s="81" t="n"/>
      <c r="CU323" s="81" t="n"/>
      <c r="CV323" s="81" t="n"/>
      <c r="CW323" s="81" t="n"/>
      <c r="CX323" s="81" t="n"/>
    </row>
    <row r="324" customFormat="1" s="77">
      <c r="A324" s="76" t="n"/>
      <c r="B324" s="76" t="n"/>
      <c r="C324" s="77" t="inlineStr">
        <is>
          <t>EBITDA MARGIN</t>
        </is>
      </c>
      <c r="D324" s="78" t="str">
        <f>IFERROR(D69/D15,"")</f>
        <v/>
      </c>
      <c r="E324" s="78" t="str">
        <f>IFERROR(E69/E15,"")</f>
        <v/>
      </c>
      <c r="F324" s="78" t="str">
        <f>IFERROR(F69/F15,"")</f>
        <v/>
      </c>
      <c r="G324" s="78" t="str">
        <f>IFERROR(G69/G15,"")</f>
        <v/>
      </c>
      <c r="H324" s="258" t="str">
        <f>IFERROR(IF(N(H15)&lt;&gt;0,H69/H15,""),"")</f>
        <v/>
      </c>
      <c r="I324" s="257">
        <f>IFERROR(IF(N(I15)&lt;&gt;0,I69/I15,""),"")</f>
        <v>-0.152159771754636</v>
      </c>
      <c r="J324" s="257">
        <f>IFERROR(IF(N(J15)&lt;&gt;0,J69/J15,""),"")</f>
        <v>0.39716465092192</v>
      </c>
      <c r="K324" s="257">
        <f>IFERROR(IF(N(K15)&lt;&gt;0,K69/K15,""),"")</f>
        <v>0.327791187988902</v>
      </c>
      <c r="L324" s="257">
        <f>IFERROR(IF(N(L15)&lt;&gt;0,L69/L15,""),"")</f>
        <v>0.490123130990004</v>
      </c>
      <c r="M324" s="258">
        <f>IFERROR(IF(N(M15)&lt;&gt;0,M69/M15,""),"")</f>
        <v>0.303899282689959</v>
      </c>
      <c r="N324" s="257">
        <f>IFERROR(IF(N(N15)&lt;&gt;0,N69/N15,""),"")</f>
        <v>0.277961421401649</v>
      </c>
      <c r="O324" s="257">
        <f>IFERROR(IF(N(O15)&lt;&gt;0,O69/O15,""),"")</f>
        <v>0.365614957639498</v>
      </c>
      <c r="P324" s="257">
        <f>IFERROR(IF(N(P15)&lt;&gt;0,P69/P15,""),"")</f>
        <v>0.307322862199952</v>
      </c>
      <c r="Q324" s="257">
        <f>IFERROR(IF(N(Q15)&lt;&gt;0,Q69/Q15,""),"")</f>
        <v>0.235808469440709</v>
      </c>
      <c r="R324" s="258">
        <f>IFERROR(IF(N(R15)&lt;&gt;0,R69/R15,""),"")</f>
        <v>0.296224673599223</v>
      </c>
      <c r="S324" s="257">
        <f>IFERROR(IF(N(S15)&lt;&gt;0,S69/S15,""),"")</f>
        <v>0.365807937726707</v>
      </c>
      <c r="T324" s="257">
        <f>IFERROR(IF(N(T15)&lt;&gt;0,T69/T15,""),"")</f>
        <v>0.390134780503962</v>
      </c>
      <c r="U324" s="257">
        <f>IFERROR(IF(N(U15)&lt;&gt;0,U69/U15,""),"")</f>
        <v>0.415147534514717</v>
      </c>
      <c r="V324" s="257">
        <f>IFERROR(IF(N(V15)&lt;&gt;0,V69/V15,""),"")</f>
        <v>0.597823623902874</v>
      </c>
      <c r="W324" s="258">
        <f>IFERROR(IF(N(W15)&lt;&gt;0,W69/W15,""),"")</f>
        <v>0.443553581458141</v>
      </c>
      <c r="X324" s="257">
        <f>IFERROR(IF(N(X15)&lt;&gt;0,X69/X15,""),"")</f>
        <v>0.485545982232507</v>
      </c>
      <c r="Y324" s="257">
        <f>IFERROR(IF(N(Y15)&lt;&gt;0,Y69/Y15,""),"")</f>
        <v>0.437806619018168</v>
      </c>
      <c r="Z324" s="257">
        <f>IFERROR(IF(N(Z15)&lt;&gt;0,Z69/Z15,""),"")</f>
        <v>0.50474156274842</v>
      </c>
      <c r="AA324" s="257">
        <f>IFERROR(IF(N(AA15)&lt;&gt;0,AA69/AA15,""),"")</f>
        <v>0.403903460378965</v>
      </c>
      <c r="AB324" s="258">
        <f>IFERROR(IF(N(AB15)&lt;&gt;0,AB69/AB15,""),"")</f>
        <v>0.458672256946251</v>
      </c>
      <c r="AC324" s="257">
        <f>IFERROR(IF(N(AC15)&lt;&gt;0,AC69/AC15,""),"")</f>
        <v>0.43266196013289</v>
      </c>
      <c r="AD324" s="257">
        <f>IFERROR(IF(N(AD15)&lt;&gt;0,AD69/AD15,""),"")</f>
        <v>0.463738875997895</v>
      </c>
      <c r="AE324" s="257">
        <f>IFERROR(IF(N(AE15)&lt;&gt;0,AE69/AE15,""),"")</f>
        <v>0.455680483899662</v>
      </c>
      <c r="AF324" s="257">
        <f>IFERROR(IF(N(AF15)&lt;&gt;0,AF69/AF15,""),"")</f>
        <v>0.490142219901706</v>
      </c>
      <c r="AG324" s="258">
        <f>IFERROR(IF(N(AG15)&lt;&gt;0,AG69/AG15,""),"")</f>
        <v>0.461102119313746</v>
      </c>
      <c r="AH324" s="257">
        <f>IFERROR(IF(N(AH15)&lt;&gt;0,AH69/AH15,""),"")</f>
        <v>0.417242566661431</v>
      </c>
      <c r="AI324" s="257">
        <f>IFERROR(IF(N(AI15)&lt;&gt;0,AI69/AI15,""),"")</f>
        <v>0.24829650180786</v>
      </c>
      <c r="AJ324" s="257">
        <f>IFERROR(IF(N(AJ15)&lt;&gt;0,AJ69/AJ15,""),"")</f>
        <v>0.417960434733574</v>
      </c>
      <c r="AK324" s="257">
        <f>IFERROR(IF(N(AK15)&lt;&gt;0,AK69/AK15,""),"")</f>
        <v>0.417960434733574</v>
      </c>
      <c r="AL324" s="258">
        <f>IFERROR(IF(N(AL15)&lt;&gt;0,AL69/AL15,""),"")</f>
        <v>0.356255504796638</v>
      </c>
      <c r="AM324" s="257">
        <f>IFERROR(IF(N(AM15)&lt;&gt;0,AM69/AM15,""),"")</f>
        <v>0.417960434733574</v>
      </c>
      <c r="AN324" s="257">
        <f>IFERROR(IF(N(AN15)&lt;&gt;0,AN69/AN15,""),"")</f>
        <v>0.417960434733574</v>
      </c>
      <c r="AO324" s="257">
        <f>IFERROR(IF(N(AO15)&lt;&gt;0,AO69/AO15,""),"")</f>
        <v>0.417960434733574</v>
      </c>
      <c r="AP324" s="257">
        <f>IFERROR(IF(N(AP15)&lt;&gt;0,AP69/AP15,""),"")</f>
        <v>0.417960434733574</v>
      </c>
      <c r="AQ324" s="258">
        <f>IFERROR(IF(N(AQ15)&lt;&gt;0,AQ69/AQ15,""),"")</f>
        <v>0.417960434733574</v>
      </c>
      <c r="AR324" s="257">
        <f>IFERROR(IF(N(AR15)&lt;&gt;0,AR69/AR15,""),"")</f>
        <v>0.417960434733574</v>
      </c>
      <c r="AS324" s="257">
        <f>IFERROR(IF(N(AS15)&lt;&gt;0,AS69/AS15,""),"")</f>
        <v>0.417960434733574</v>
      </c>
      <c r="AT324" s="257">
        <f>IFERROR(IF(N(AT15)&lt;&gt;0,AT69/AT15,""),"")</f>
        <v>0.417960434733574</v>
      </c>
      <c r="AU324" s="257">
        <f>IFERROR(IF(N(AU15)&lt;&gt;0,AU69/AU15,""),"")</f>
        <v>0.417960434733574</v>
      </c>
      <c r="AV324" s="258">
        <f>IFERROR(IF(N(AV15)&lt;&gt;0,AV69/AV15,""),"")</f>
        <v>0.417960434733574</v>
      </c>
      <c r="AW324" s="257">
        <f>IFERROR(IF(N(AW15)&lt;&gt;0,AW69/AW15,""),"")</f>
        <v>0.417960434733574</v>
      </c>
      <c r="AX324" s="257">
        <f>IFERROR(IF(N(AX15)&lt;&gt;0,AX69/AX15,""),"")</f>
        <v>0.417960434733574</v>
      </c>
      <c r="AY324" s="257">
        <f>IFERROR(IF(N(AY15)&lt;&gt;0,AY69/AY15,""),"")</f>
        <v>0.417960434733574</v>
      </c>
      <c r="AZ324" s="257">
        <f>IFERROR(IF(N(AZ15)&lt;&gt;0,AZ69/AZ15,""),"")</f>
        <v>0.417960434733574</v>
      </c>
      <c r="BA324" s="258">
        <f>IFERROR(IF(N(BA15)&lt;&gt;0,BA69/BA15,""),"")</f>
        <v>0.417960434733574</v>
      </c>
      <c r="BB324" s="257">
        <f>IFERROR(IF(N(BB15)&lt;&gt;0,BB69/BB15,""),"")</f>
        <v>0.417960434733574</v>
      </c>
      <c r="BC324" s="257">
        <f>IFERROR(IF(N(BC15)&lt;&gt;0,BC69/BC15,""),"")</f>
        <v>0.417960434733574</v>
      </c>
      <c r="BD324" s="257">
        <f>IFERROR(IF(N(BD15)&lt;&gt;0,BD69/BD15,""),"")</f>
        <v>0.417960434733574</v>
      </c>
      <c r="BE324" s="257">
        <f>IFERROR(IF(N(BE15)&lt;&gt;0,BE69/BE15,""),"")</f>
        <v>0.417960434733574</v>
      </c>
      <c r="BF324" s="258">
        <f>IFERROR(IF(N(BF15)&lt;&gt;0,BF69/BF15,""),"")</f>
        <v>0.417960434733574</v>
      </c>
      <c r="BG324" s="81" t="n"/>
      <c r="BH324" s="81" t="n"/>
      <c r="BI324" s="81" t="n"/>
      <c r="BJ324" s="81" t="n"/>
      <c r="BL324" s="81" t="n"/>
      <c r="BM324" s="81" t="n"/>
      <c r="BN324" s="81" t="n"/>
      <c r="BO324" s="81" t="n"/>
      <c r="BQ324" s="81" t="n"/>
      <c r="BR324" s="81" t="n"/>
      <c r="BS324" s="81" t="n"/>
      <c r="BT324" s="81" t="n"/>
      <c r="BV324" s="81" t="n"/>
      <c r="BW324" s="81" t="n"/>
      <c r="BX324" s="81" t="n"/>
      <c r="BY324" s="81" t="n"/>
      <c r="CA324" s="81" t="n"/>
      <c r="CB324" s="81" t="n"/>
      <c r="CC324" s="81" t="n"/>
      <c r="CD324" s="81" t="n"/>
      <c r="CF324" s="81" t="n"/>
      <c r="CG324" s="81" t="n"/>
      <c r="CH324" s="81" t="n"/>
      <c r="CI324" s="81" t="n"/>
      <c r="CK324" s="81" t="n"/>
      <c r="CL324" s="81" t="n"/>
      <c r="CM324" s="81" t="n"/>
      <c r="CN324" s="81" t="n"/>
      <c r="CP324" s="81" t="n"/>
      <c r="CQ324" s="81" t="n"/>
      <c r="CR324" s="81" t="n"/>
      <c r="CS324" s="81" t="n"/>
      <c r="CU324" s="81" t="n"/>
      <c r="CV324" s="81" t="n"/>
      <c r="CW324" s="81" t="n"/>
      <c r="CX324" s="81" t="n"/>
    </row>
    <row r="325" customFormat="1" s="77">
      <c r="A325" s="76" t="n"/>
      <c r="B325" s="76" t="n"/>
      <c r="C325" s="77" t="inlineStr">
        <is>
          <t>ETR</t>
        </is>
      </c>
      <c r="D325" s="78" t="str">
        <f>IFERROR(-D131/D130,"")</f>
        <v/>
      </c>
      <c r="E325" s="78" t="str">
        <f>IFERROR(-E131/E130,"")</f>
        <v/>
      </c>
      <c r="F325" s="78" t="str">
        <f>IFERROR(-F131/F130,"")</f>
        <v/>
      </c>
      <c r="G325" s="78" t="str">
        <f>IFERROR(-G131/G130,"")</f>
        <v/>
      </c>
      <c r="H325" s="258" t="str">
        <f>IFERROR(IF(N(H130)&lt;&gt;0,-H131/H130,""),"")</f>
        <v/>
      </c>
      <c r="I325" s="257">
        <f>IFERROR(IF(N(I130)&lt;&gt;0,-I131/I130,""),"")</f>
        <v>-0.050538773254743</v>
      </c>
      <c r="J325" s="257">
        <f>IFERROR(IF(N(J130)&lt;&gt;0,-J131/J130,""),"")</f>
        <v>0.436593562079944</v>
      </c>
      <c r="K325" s="257">
        <f>IFERROR(IF(N(K130)&lt;&gt;0,-K131/K130,""),"")</f>
        <v>1.29184549356223</v>
      </c>
      <c r="L325" s="257">
        <f>IFERROR(IF(N(L130)&lt;&gt;0,-L131/L130,""),"")</f>
        <v>3.35456767491598</v>
      </c>
      <c r="M325" s="258">
        <f>IFERROR(IF(N(M130)&lt;&gt;0,-M131/M130,""),"")</f>
        <v>-1.78119590484198</v>
      </c>
      <c r="N325" s="257">
        <f>IFERROR(IF(N(N130)&lt;&gt;0,-N131/N130,""),"")</f>
        <v>-0.27942147668736</v>
      </c>
      <c r="O325" s="257">
        <f>IFERROR(IF(N(O130)&lt;&gt;0,-O131/O130,""),"")</f>
        <v>1.32803306248249</v>
      </c>
      <c r="P325" s="257">
        <f>IFERROR(IF(N(P130)&lt;&gt;0,-P131/P130,""),"")</f>
        <v>-0.605365553962728</v>
      </c>
      <c r="Q325" s="257">
        <f>IFERROR(IF(N(Q130)&lt;&gt;0,-Q131/Q130,""),"")</f>
        <v>-0.108962960160418</v>
      </c>
      <c r="R325" s="258">
        <f>IFERROR(IF(N(R130)&lt;&gt;0,-R131/R130,""),"")</f>
        <v>-0.445713083558055</v>
      </c>
      <c r="S325" s="257">
        <f>IFERROR(IF(N(S130)&lt;&gt;0,-S131/S130,""),"")</f>
        <v>-0.185233692860811</v>
      </c>
      <c r="T325" s="257">
        <f>IFERROR(IF(N(T130)&lt;&gt;0,-T131/T130,""),"")</f>
        <v>2.48679909479507</v>
      </c>
      <c r="U325" s="257">
        <f>IFERROR(IF(N(U130)&lt;&gt;0,-U131/U130,""),"")</f>
        <v>0.743262927895123</v>
      </c>
      <c r="V325" s="257">
        <f>IFERROR(IF(N(V130)&lt;&gt;0,-V131/V130,""),"")</f>
        <v>-0.0286090481745418</v>
      </c>
      <c r="W325" s="258">
        <f>IFERROR(IF(N(W130)&lt;&gt;0,-W131/W130,""),"")</f>
        <v>0.346648623362737</v>
      </c>
      <c r="X325" s="257">
        <f>IFERROR(IF(N(X130)&lt;&gt;0,-X131/X130,""),"")</f>
        <v>0.06345796774311</v>
      </c>
      <c r="Y325" s="257">
        <f>IFERROR(IF(N(Y130)&lt;&gt;0,-Y131/Y130,""),"")</f>
        <v>0.657523085279739</v>
      </c>
      <c r="Z325" s="257">
        <f>IFERROR(IF(N(Z130)&lt;&gt;0,-Z131/Z130,""),"")</f>
        <v>0.0791512207592995</v>
      </c>
      <c r="AA325" s="257">
        <f>IFERROR(IF(N(AA130)&lt;&gt;0,-AA131/AA130,""),"")</f>
        <v>-1.29627263045793</v>
      </c>
      <c r="AB325" s="258">
        <f>IFERROR(IF(N(AB130)&lt;&gt;0,-AB131/AB130,""),"")</f>
        <v>0.317952110972953</v>
      </c>
      <c r="AC325" s="257">
        <f>IFERROR(IF(N(AC130)&lt;&gt;0,-AC131/AC130,""),"")</f>
        <v>27.9547038327499</v>
      </c>
      <c r="AD325" s="257">
        <f>IFERROR(IF(N(AD130)&lt;&gt;0,-AD131/AD130,""),"")</f>
        <v>0.185672703751617</v>
      </c>
      <c r="AE325" s="257">
        <f>IFERROR(IF(N(AE130)&lt;&gt;0,-AE131/AE130,""),"")</f>
        <v>0.113931721769578</v>
      </c>
      <c r="AF325" s="257">
        <f>IFERROR(IF(N(AF130)&lt;&gt;0,-AF131/AF130,""),"")</f>
        <v>0.197598215817464</v>
      </c>
      <c r="AG325" s="258">
        <f>IFERROR(IF(N(AG130)&lt;&gt;0,-AG131/AG130,""),"")</f>
        <v>0.254369600461945</v>
      </c>
      <c r="AH325" s="257">
        <f>IFERROR(IF(N(AH130)&lt;&gt;0,-AH131/AH130,""),"")</f>
        <v>0.346830786644029</v>
      </c>
      <c r="AI325" s="257">
        <f>IFERROR(IF(N(AI130)&lt;&gt;0,-AI131/AI130,""),"")</f>
        <v>0.750366458037646</v>
      </c>
      <c r="AJ325" s="257">
        <f>IFERROR(IF(N(AJ130)&lt;&gt;0,-AJ131/AJ130,""),"")</f>
        <v>4.92485061979505</v>
      </c>
      <c r="AK325" s="257">
        <f>IFERROR(IF(N(AK130)&lt;&gt;0,-AK131/AK130,""),"")</f>
        <v>4.92485061979505</v>
      </c>
      <c r="AL325" s="258">
        <f>IFERROR(IF(N(AL130)&lt;&gt;0,-AL131/AL130,""),"")</f>
        <v>3.93077505176898</v>
      </c>
      <c r="AM325" s="257">
        <f>IFERROR(IF(N(AM130)&lt;&gt;0,-AM131/AM130,""),"")</f>
        <v>4.92485061979505</v>
      </c>
      <c r="AN325" s="257">
        <f>IFERROR(IF(N(AN130)&lt;&gt;0,-AN131/AN130,""),"")</f>
        <v>4.92485061979505</v>
      </c>
      <c r="AO325" s="257">
        <f>IFERROR(IF(N(AO130)&lt;&gt;0,-AO131/AO130,""),"")</f>
        <v>4.92485061979505</v>
      </c>
      <c r="AP325" s="257">
        <f>IFERROR(IF(N(AP130)&lt;&gt;0,-AP131/AP130,""),"")</f>
        <v>4.92485061979505</v>
      </c>
      <c r="AQ325" s="258">
        <f>IFERROR(IF(N(AQ130)&lt;&gt;0,-AQ131/AQ130,""),"")</f>
        <v>4.92485061979505</v>
      </c>
      <c r="AR325" s="257">
        <f>IFERROR(IF(N(AR130)&lt;&gt;0,-AR131/AR130,""),"")</f>
        <v>4.92485061979505</v>
      </c>
      <c r="AS325" s="257">
        <f>IFERROR(IF(N(AS130)&lt;&gt;0,-AS131/AS130,""),"")</f>
        <v>4.92485061979505</v>
      </c>
      <c r="AT325" s="257">
        <f>IFERROR(IF(N(AT130)&lt;&gt;0,-AT131/AT130,""),"")</f>
        <v>4.92485061979505</v>
      </c>
      <c r="AU325" s="257">
        <f>IFERROR(IF(N(AU130)&lt;&gt;0,-AU131/AU130,""),"")</f>
        <v>4.92485061979505</v>
      </c>
      <c r="AV325" s="258">
        <f>IFERROR(IF(N(AV130)&lt;&gt;0,-AV131/AV130,""),"")</f>
        <v>4.92485061979505</v>
      </c>
      <c r="AW325" s="257">
        <f>IFERROR(IF(N(AW130)&lt;&gt;0,-AW131/AW130,""),"")</f>
        <v>4.92485061979505</v>
      </c>
      <c r="AX325" s="257">
        <f>IFERROR(IF(N(AX130)&lt;&gt;0,-AX131/AX130,""),"")</f>
        <v>4.92485061979505</v>
      </c>
      <c r="AY325" s="257">
        <f>IFERROR(IF(N(AY130)&lt;&gt;0,-AY131/AY130,""),"")</f>
        <v>4.92485061979505</v>
      </c>
      <c r="AZ325" s="257">
        <f>IFERROR(IF(N(AZ130)&lt;&gt;0,-AZ131/AZ130,""),"")</f>
        <v>4.92485061979505</v>
      </c>
      <c r="BA325" s="258">
        <f>IFERROR(IF(N(BA130)&lt;&gt;0,-BA131/BA130,""),"")</f>
        <v>4.92485061979505</v>
      </c>
      <c r="BB325" s="257">
        <f>IFERROR(IF(N(BB130)&lt;&gt;0,-BB131/BB130,""),"")</f>
        <v>4.92485061979505</v>
      </c>
      <c r="BC325" s="257">
        <f>IFERROR(IF(N(BC130)&lt;&gt;0,-BC131/BC130,""),"")</f>
        <v>4.92485061979505</v>
      </c>
      <c r="BD325" s="257">
        <f>IFERROR(IF(N(BD130)&lt;&gt;0,-BD131/BD130,""),"")</f>
        <v>4.92485061979505</v>
      </c>
      <c r="BE325" s="257">
        <f>IFERROR(IF(N(BE130)&lt;&gt;0,-BE131/BE130,""),"")</f>
        <v>4.92485061979505</v>
      </c>
      <c r="BF325" s="258">
        <f>IFERROR(IF(N(BF130)&lt;&gt;0,-BF131/BF130,""),"")</f>
        <v>4.92485061979505</v>
      </c>
      <c r="BG325" s="81" t="n"/>
      <c r="BH325" s="81" t="n"/>
      <c r="BI325" s="81" t="n"/>
      <c r="BJ325" s="81" t="n"/>
      <c r="BL325" s="81" t="n"/>
      <c r="BM325" s="81" t="n"/>
      <c r="BN325" s="81" t="n"/>
      <c r="BO325" s="81" t="n"/>
      <c r="BQ325" s="81" t="n"/>
      <c r="BR325" s="81" t="n"/>
      <c r="BS325" s="81" t="n"/>
      <c r="BT325" s="81" t="n"/>
      <c r="BV325" s="81" t="n"/>
      <c r="BW325" s="81" t="n"/>
      <c r="BX325" s="81" t="n"/>
      <c r="BY325" s="81" t="n"/>
      <c r="CA325" s="81" t="n"/>
      <c r="CB325" s="81" t="n"/>
      <c r="CC325" s="81" t="n"/>
      <c r="CD325" s="81" t="n"/>
      <c r="CF325" s="81" t="n"/>
      <c r="CG325" s="81" t="n"/>
      <c r="CH325" s="81" t="n"/>
      <c r="CI325" s="81" t="n"/>
      <c r="CK325" s="81" t="n"/>
      <c r="CL325" s="81" t="n"/>
      <c r="CM325" s="81" t="n"/>
      <c r="CN325" s="81" t="n"/>
      <c r="CP325" s="81" t="n"/>
      <c r="CQ325" s="81" t="n"/>
      <c r="CR325" s="81" t="n"/>
      <c r="CS325" s="81" t="n"/>
      <c r="CU325" s="81" t="n"/>
      <c r="CV325" s="81" t="n"/>
      <c r="CW325" s="81" t="n"/>
      <c r="CX325" s="81" t="n"/>
    </row>
    <row r="326" customFormat="1" s="77">
      <c r="A326" s="76" t="n"/>
      <c r="B326" s="76" t="n"/>
    </row>
    <row r="327" customFormat="1" s="77">
      <c r="A327" s="76" t="n"/>
      <c r="B327" s="76" t="n"/>
      <c r="C327" s="74" t="inlineStr">
        <is>
          <t>CAPITAL STRUCTURE</t>
        </is>
      </c>
    </row>
    <row r="328" customFormat="1" s="77">
      <c r="A328" s="76" t="n"/>
      <c r="B328" s="76" t="n"/>
      <c r="C328" s="77" t="inlineStr">
        <is>
          <t>TOTAL DEBT / EQUITY (BOOK VALUE)</t>
        </is>
      </c>
      <c r="H328" s="262" t="str">
        <f>IFERROR(IF(N(H271)&lt;&gt;0,(N(H212)+N(H213)+N(H214)+N(H217)+N(H235)+N(H238))/H271,""),"")</f>
        <v/>
      </c>
      <c r="I328" s="262">
        <f>IFERROR(IF(N(I271)&lt;&gt;0,(N(I212)+N(I213)+N(I214)+N(I217)+N(I235)+N(I238))/I271,""),"")</f>
        <v>0.900755917582093</v>
      </c>
      <c r="J328" s="262">
        <f>IFERROR(IF(N(J271)&lt;&gt;0,(N(J212)+N(J213)+N(J214)+N(J217)+N(J235)+N(J238))/J271,""),"")</f>
        <v>0.779359504400005</v>
      </c>
      <c r="K328" s="262">
        <f>IFERROR(IF(N(K271)&lt;&gt;0,(N(K212)+N(K213)+N(K214)+N(K217)+N(K235)+N(K238))/K271,""),"")</f>
        <v>0.749336704435496</v>
      </c>
      <c r="L328" s="262">
        <f>IFERROR(IF(N(L271)&lt;&gt;0,(N(L212)+N(L213)+N(L214)+N(L217)+N(L235)+N(L238))/L271,""),"")</f>
        <v>1.56256818249493</v>
      </c>
      <c r="M328" s="262">
        <f>IFERROR(IF(N(M271)&lt;&gt;0,(N(M212)+N(M213)+N(M214)+N(M217)+N(M235)+N(M238))/M271,""),"")</f>
        <v>1.56256818249493</v>
      </c>
      <c r="N328" s="262">
        <f>IFERROR(IF(N(N271)&lt;&gt;0,(N(N212)+N(N213)+N(N214)+N(N217)+N(N235)+N(N238))/N271,""),"")</f>
        <v>1.68140978576673</v>
      </c>
      <c r="O328" s="262">
        <f>IFERROR(IF(N(O271)&lt;&gt;0,(N(O212)+N(O213)+N(O214)+N(O217)+N(O235)+N(O238))/O271,""),"")</f>
        <v>1.37952026006581</v>
      </c>
      <c r="P328" s="262">
        <f>IFERROR(IF(N(P271)&lt;&gt;0,(N(P212)+N(P213)+N(P214)+N(P217)+N(P235)+N(P238))/P271,""),"")</f>
        <v>1.52687100893997</v>
      </c>
      <c r="Q328" s="262">
        <f>IFERROR(IF(N(Q271)&lt;&gt;0,(N(Q212)+N(Q213)+N(Q214)+N(Q217)+N(Q235)+N(Q238))/Q271,""),"")</f>
        <v>1.84217677013485</v>
      </c>
      <c r="R328" s="262">
        <f>IFERROR(IF(N(R271)&lt;&gt;0,(N(R212)+N(R213)+N(R214)+N(R217)+N(R235)+N(R238))/R271,""),"")</f>
        <v>1.84217677013485</v>
      </c>
      <c r="S328" s="262">
        <f>IFERROR(IF(N(S271)&lt;&gt;0,(N(S212)+N(S213)+N(S214)+N(S217)+N(S235)+N(S238))/S271,""),"")</f>
        <v>1.83869741030715</v>
      </c>
      <c r="T328" s="262">
        <f>IFERROR(IF(N(T271)&lt;&gt;0,(N(T212)+N(T213)+N(T214)+N(T217)+N(T235)+N(T238))/T271,""),"")</f>
        <v>1.61695369173977</v>
      </c>
      <c r="U328" s="262">
        <f>IFERROR(IF(N(U271)&lt;&gt;0,(N(U212)+N(U213)+N(U214)+N(U217)+N(U235)+N(U238))/U271,""),"")</f>
        <v>1.80120531821817</v>
      </c>
      <c r="V328" s="262">
        <f>IFERROR(IF(N(V271)&lt;&gt;0,(N(V212)+N(V213)+N(V214)+N(V217)+N(V235)+N(V238))/V271,""),"")</f>
        <v>1.5817701751158</v>
      </c>
      <c r="W328" s="262">
        <f>IFERROR(IF(N(W271)&lt;&gt;0,(N(W212)+N(W213)+N(W214)+N(W217)+N(W235)+N(W238))/W271,""),"")</f>
        <v>1.5817701751158</v>
      </c>
      <c r="X328" s="262">
        <f>IFERROR(IF(N(X271)&lt;&gt;0,(N(X212)+N(X213)+N(X214)+N(X217)+N(X235)+N(X238))/X271,""),"")</f>
        <v>1.49687269842353</v>
      </c>
      <c r="Y328" s="262">
        <f>IFERROR(IF(N(Y271)&lt;&gt;0,(N(Y212)+N(Y213)+N(Y214)+N(Y217)+N(Y235)+N(Y238))/Y271,""),"")</f>
        <v>1.64128223551512</v>
      </c>
      <c r="Z328" s="262">
        <f>IFERROR(IF(N(Z271)&lt;&gt;0,(N(Z212)+N(Z213)+N(Z214)+N(Z217)+N(Z235)+N(Z238))/Z271,""),"")</f>
        <v>2.27168354545869</v>
      </c>
      <c r="AA328" s="262">
        <f>IFERROR(IF(N(AA271)&lt;&gt;0,(N(AA212)+N(AA213)+N(AA214)+N(AA217)+N(AA235)+N(AA238))/AA271,""),"")</f>
        <v>2.26005783462319</v>
      </c>
      <c r="AB328" s="262">
        <f>IFERROR(IF(N(AB271)&lt;&gt;0,(N(AB212)+N(AB213)+N(AB214)+N(AB217)+N(AB235)+N(AB238))/AB271,""),"")</f>
        <v>2.26005783462319</v>
      </c>
      <c r="AC328" s="262">
        <f>IFERROR(IF(N(AC271)&lt;&gt;0,(N(AC212)+N(AC213)+N(AC214)+N(AC217)+N(AC235)+N(AC238))/AC271,""),"")</f>
        <v>2.34190648432635</v>
      </c>
      <c r="AD328" s="262">
        <f>IFERROR(IF(N(AD271)&lt;&gt;0,(N(AD212)+N(AD213)+N(AD214)+N(AD217)+N(AD235)+N(AD238))/AD271,""),"")</f>
        <v>1.32330215264422</v>
      </c>
      <c r="AE328" s="262">
        <f>IFERROR(IF(N(AE271)&lt;&gt;0,(N(AE212)+N(AE213)+N(AE214)+N(AE217)+N(AE235)+N(AE238))/AE271,""),"")</f>
        <v>1.42903814407253</v>
      </c>
      <c r="AF328" s="262">
        <f>IFERROR(IF(N(AF271)&lt;&gt;0,(N(AF212)+N(AF213)+N(AF214)+N(AF217)+N(AF235)+N(AF238))/AF271,""),"")</f>
        <v>1.43492904590442</v>
      </c>
      <c r="AG328" s="262">
        <f>IFERROR(IF(N(AG271)&lt;&gt;0,(N(AG212)+N(AG213)+N(AG214)+N(AG217)+N(AG235)+N(AG238))/AG271,""),"")</f>
        <v>1.43492904590442</v>
      </c>
      <c r="AH328" s="262">
        <f>IFERROR(IF(N(AH271)&lt;&gt;0,(N(AH212)+N(AH213)+N(AH214)+N(AH217)+N(AH235)+N(AH238))/AH271,""),"")</f>
        <v>1.48290447543958</v>
      </c>
      <c r="AI328" s="262">
        <f>IFERROR(IF(N(AI271)&lt;&gt;0,(N(AI212)+N(AI213)+N(AI214)+N(AI217)+N(AI235)+N(AI238))/AI271,""),"")</f>
        <v>0.739316203516842</v>
      </c>
      <c r="AJ328" s="262">
        <f>IFERROR(IF(N(AJ271)&lt;&gt;0,(N(AJ212)+N(AJ213)+N(AJ214)+N(AJ217)+N(AJ235)+N(AJ238))/AJ271,""),"")</f>
        <v>0.823307610109336</v>
      </c>
      <c r="AK328" s="262">
        <f>IFERROR(IF(N(AK271)&lt;&gt;0,(N(AK212)+N(AK213)+N(AK214)+N(AK217)+N(AK235)+N(AK238))/AK271,""),"")</f>
        <v>0.921791626142504</v>
      </c>
      <c r="AL328" s="262">
        <f>IFERROR(IF(N(AL271)&lt;&gt;0,(N(AL212)+N(AL213)+N(AL214)+N(AL217)+N(AL235)+N(AL238))/AL271,""),"")</f>
        <v>0.921791626142504</v>
      </c>
      <c r="AM328" s="262">
        <f>IFERROR(IF(N(AM271)&lt;&gt;0,(N(AM212)+N(AM213)+N(AM214)+N(AM217)+N(AM235)+N(AM238))/AM271,""),"")</f>
        <v>1.08425294687666</v>
      </c>
      <c r="AN328" s="262">
        <f>IFERROR(IF(N(AN271)&lt;&gt;0,(N(AN212)+N(AN213)+N(AN214)+N(AN217)+N(AN235)+N(AN238))/AN271,""),"")</f>
        <v>1.62206676125449</v>
      </c>
      <c r="AO328" s="262">
        <f>IFERROR(IF(N(AO271)&lt;&gt;0,(N(AO212)+N(AO213)+N(AO214)+N(AO217)+N(AO235)+N(AO238))/AO271,""),"")</f>
        <v>2.36088549790851</v>
      </c>
      <c r="AP328" s="262">
        <f>IFERROR(IF(N(AP271)&lt;&gt;0,(N(AP212)+N(AP213)+N(AP214)+N(AP217)+N(AP235)+N(AP238))/AP271,""),"")</f>
        <v>4.12994047606068</v>
      </c>
      <c r="AQ328" s="262">
        <f>IFERROR(IF(N(AQ271)&lt;&gt;0,(N(AQ212)+N(AQ213)+N(AQ214)+N(AQ217)+N(AQ235)+N(AQ238))/AQ271,""),"")</f>
        <v>4.12994047606068</v>
      </c>
      <c r="AR328" s="262">
        <f>IFERROR(IF(N(AR271)&lt;&gt;0,(N(AR212)+N(AR213)+N(AR214)+N(AR217)+N(AR235)+N(AR238))/AR271,""),"")</f>
        <v>63.7797709067673</v>
      </c>
      <c r="AS328" s="262">
        <f>IFERROR(IF(N(AS271)&lt;&gt;0,(N(AS212)+N(AS213)+N(AS214)+N(AS217)+N(AS235)+N(AS238))/AS271,""),"")</f>
        <v>-2.43700606262556</v>
      </c>
      <c r="AT328" s="262">
        <f>IFERROR(IF(N(AT271)&lt;&gt;0,(N(AT212)+N(AT213)+N(AT214)+N(AT217)+N(AT235)+N(AT238))/AT271,""),"")</f>
        <v>-1.47250394672773</v>
      </c>
      <c r="AU328" s="262">
        <f>IFERROR(IF(N(AU271)&lt;&gt;0,(N(AU212)+N(AU213)+N(AU214)+N(AU217)+N(AU235)+N(AU238))/AU271,""),"")</f>
        <v>-1.07309813688995</v>
      </c>
      <c r="AV328" s="262">
        <f>IFERROR(IF(N(AV271)&lt;&gt;0,(N(AV212)+N(AV213)+N(AV214)+N(AV217)+N(AV235)+N(AV238))/AV271,""),"")</f>
        <v>-1.07309813688995</v>
      </c>
      <c r="AW328" s="262">
        <f>IFERROR(IF(N(AW271)&lt;&gt;0,(N(AW212)+N(AW213)+N(AW214)+N(AW217)+N(AW235)+N(AW238))/AW271,""),"")</f>
        <v>-0.802417744102431</v>
      </c>
      <c r="AX328" s="262">
        <f>IFERROR(IF(N(AX271)&lt;&gt;0,(N(AX212)+N(AX213)+N(AX214)+N(AX217)+N(AX235)+N(AX238))/AX271,""),"")</f>
        <v>-0.544185556101931</v>
      </c>
      <c r="AY328" s="262">
        <f>IFERROR(IF(N(AY271)&lt;&gt;0,(N(AY212)+N(AY213)+N(AY214)+N(AY217)+N(AY235)+N(AY238))/AY271,""),"")</f>
        <v>-0.452343809118694</v>
      </c>
      <c r="AZ328" s="262">
        <f>IFERROR(IF(N(AZ271)&lt;&gt;0,(N(AZ212)+N(AZ213)+N(AZ214)+N(AZ217)+N(AZ235)+N(AZ238))/AZ271,""),"")</f>
        <v>-0.39038357815077</v>
      </c>
      <c r="BA328" s="262">
        <f>IFERROR(IF(N(BA271)&lt;&gt;0,(N(BA212)+N(BA213)+N(BA214)+N(BA217)+N(BA235)+N(BA238))/BA271,""),"")</f>
        <v>-0.39038357815077</v>
      </c>
      <c r="BB328" s="262">
        <f>IFERROR(IF(N(BB271)&lt;&gt;0,(N(BB212)+N(BB213)+N(BB214)+N(BB217)+N(BB235)+N(BB238))/BB271,""),"")</f>
        <v>-0.333736298125856</v>
      </c>
      <c r="BC328" s="262">
        <f>IFERROR(IF(N(BC271)&lt;&gt;0,(N(BC212)+N(BC213)+N(BC214)+N(BC217)+N(BC235)+N(BC238))/BC271,""),"")</f>
        <v>-0.262168968344248</v>
      </c>
      <c r="BD328" s="262">
        <f>IFERROR(IF(N(BD271)&lt;&gt;0,(N(BD212)+N(BD213)+N(BD214)+N(BD217)+N(BD235)+N(BD238))/BD271,""),"")</f>
        <v>-0.230926408861289</v>
      </c>
      <c r="BE328" s="262">
        <f>IFERROR(IF(N(BE271)&lt;&gt;0,(N(BE212)+N(BE213)+N(BE214)+N(BE217)+N(BE235)+N(BE238))/BE271,""),"")</f>
        <v>-0.207654354395626</v>
      </c>
      <c r="BF328" s="262">
        <f>IFERROR(IF(N(BF271)&lt;&gt;0,(N(BF212)+N(BF213)+N(BF214)+N(BF217)+N(BF235)+N(BF238))/BF271,""),"")</f>
        <v>-0.207654354395626</v>
      </c>
    </row>
    <row r="329" customFormat="1" s="77">
      <c r="A329" s="76" t="n"/>
      <c r="B329" s="76" t="n"/>
      <c r="C329" s="77" t="inlineStr">
        <is>
          <t>NET DEBT / (NET DEBT + EQUITY) (BOOK VALUE)</t>
        </is>
      </c>
      <c r="H329" s="258" t="str">
        <f>IFERROR(IF(((N(H212)+N(H213)+N(H214)+N(H217)+N(H235)+N(H238))-N(H144)+N(H271))&lt;&gt;0,((N(H212)+N(H213)+N(H214)+N(H217)+N(H235)+N(H238))-N(H144))/((N(H212)+N(H213)+N(H214)+N(H217)+N(H235)+N(H238))-N(H144)+H271),""),"")</f>
        <v/>
      </c>
      <c r="I329" s="258">
        <f>IFERROR(IF(((N(I212)+N(I213)+N(I214)+N(I217)+N(I235)+N(I238))-N(I144)+N(I271))&lt;&gt;0,((N(I212)+N(I213)+N(I214)+N(I217)+N(I235)+N(I238))-N(I144))/((N(I212)+N(I213)+N(I214)+N(I217)+N(I235)+N(I238))-N(I144)+I271),""),"")</f>
        <v>-0.00345066096804329</v>
      </c>
      <c r="J329" s="258">
        <f>IFERROR(IF(((N(J212)+N(J213)+N(J214)+N(J217)+N(J235)+N(J238))-N(J144)+N(J271))&lt;&gt;0,((N(J212)+N(J213)+N(J214)+N(J217)+N(J235)+N(J238))-N(J144))/((N(J212)+N(J213)+N(J214)+N(J217)+N(J235)+N(J238))-N(J144)+J271),""),"")</f>
        <v>0.0833000674821553</v>
      </c>
      <c r="K329" s="258">
        <f>IFERROR(IF(((N(K212)+N(K213)+N(K214)+N(K217)+N(K235)+N(K238))-N(K144)+N(K271))&lt;&gt;0,((N(K212)+N(K213)+N(K214)+N(K217)+N(K235)+N(K238))-N(K144))/((N(K212)+N(K213)+N(K214)+N(K217)+N(K235)+N(K238))-N(K144)+K271),""),"")</f>
        <v>0.167477294480945</v>
      </c>
      <c r="L329" s="258">
        <f>IFERROR(IF(((N(L212)+N(L213)+N(L214)+N(L217)+N(L235)+N(L238))-N(L144)+N(L271))&lt;&gt;0,((N(L212)+N(L213)+N(L214)+N(L217)+N(L235)+N(L238))-N(L144))/((N(L212)+N(L213)+N(L214)+N(L217)+N(L235)+N(L238))-N(L144)+L271),""),"")</f>
        <v>0.322514859583583</v>
      </c>
      <c r="M329" s="258">
        <f>IFERROR(IF(((N(M212)+N(M213)+N(M214)+N(M217)+N(M235)+N(M238))-N(M144)+N(M271))&lt;&gt;0,((N(M212)+N(M213)+N(M214)+N(M217)+N(M235)+N(M238))-N(M144))/((N(M212)+N(M213)+N(M214)+N(M217)+N(M235)+N(M238))-N(M144)+M271),""),"")</f>
        <v>0.322514859583583</v>
      </c>
      <c r="N329" s="258">
        <f>IFERROR(IF(((N(N212)+N(N213)+N(N214)+N(N217)+N(N235)+N(N238))-N(N144)+N(N271))&lt;&gt;0,((N(N212)+N(N213)+N(N214)+N(N217)+N(N235)+N(N238))-N(N144))/((N(N212)+N(N213)+N(N214)+N(N217)+N(N235)+N(N238))-N(N144)+N271),""),"")</f>
        <v>0.472604875902687</v>
      </c>
      <c r="O329" s="258">
        <f>IFERROR(IF(((N(O212)+N(O213)+N(O214)+N(O217)+N(O235)+N(O238))-N(O144)+N(O271))&lt;&gt;0,((N(O212)+N(O213)+N(O214)+N(O217)+N(O235)+N(O238))-N(O144))/((N(O212)+N(O213)+N(O214)+N(O217)+N(O235)+N(O238))-N(O144)+O271),""),"")</f>
        <v>0.554082036708065</v>
      </c>
      <c r="P329" s="258">
        <f>IFERROR(IF(((N(P212)+N(P213)+N(P214)+N(P217)+N(P235)+N(P238))-N(P144)+N(P271))&lt;&gt;0,((N(P212)+N(P213)+N(P214)+N(P217)+N(P235)+N(P238))-N(P144))/((N(P212)+N(P213)+N(P214)+N(P217)+N(P235)+N(P238))-N(P144)+P271),""),"")</f>
        <v>0.586426451804973</v>
      </c>
      <c r="Q329" s="258">
        <f>IFERROR(IF(((N(Q212)+N(Q213)+N(Q214)+N(Q217)+N(Q235)+N(Q238))-N(Q144)+N(Q271))&lt;&gt;0,((N(Q212)+N(Q213)+N(Q214)+N(Q217)+N(Q235)+N(Q238))-N(Q144))/((N(Q212)+N(Q213)+N(Q214)+N(Q217)+N(Q235)+N(Q238))-N(Q144)+Q271),""),"")</f>
        <v>0.588148048461754</v>
      </c>
      <c r="R329" s="258">
        <f>IFERROR(IF(((N(R212)+N(R213)+N(R214)+N(R217)+N(R235)+N(R238))-N(R144)+N(R271))&lt;&gt;0,((N(R212)+N(R213)+N(R214)+N(R217)+N(R235)+N(R238))-N(R144))/((N(R212)+N(R213)+N(R214)+N(R217)+N(R235)+N(R238))-N(R144)+R271),""),"")</f>
        <v>0.588148048461754</v>
      </c>
      <c r="S329" s="258">
        <f>IFERROR(IF(((N(S212)+N(S213)+N(S214)+N(S217)+N(S235)+N(S238))-N(S144)+N(S271))&lt;&gt;0,((N(S212)+N(S213)+N(S214)+N(S217)+N(S235)+N(S238))-N(S144))/((N(S212)+N(S213)+N(S214)+N(S217)+N(S235)+N(S238))-N(S144)+S271),""),"")</f>
        <v>0.601072775473613</v>
      </c>
      <c r="T329" s="258">
        <f>IFERROR(IF(((N(T212)+N(T213)+N(T214)+N(T217)+N(T235)+N(T238))-N(T144)+N(T271))&lt;&gt;0,((N(T212)+N(T213)+N(T214)+N(T217)+N(T235)+N(T238))-N(T144))/((N(T212)+N(T213)+N(T214)+N(T217)+N(T235)+N(T238))-N(T144)+T271),""),"")</f>
        <v>0.562772082340155</v>
      </c>
      <c r="U329" s="258">
        <f>IFERROR(IF(((N(U212)+N(U213)+N(U214)+N(U217)+N(U235)+N(U238))-N(U144)+N(U271))&lt;&gt;0,((N(U212)+N(U213)+N(U214)+N(U217)+N(U235)+N(U238))-N(U144))/((N(U212)+N(U213)+N(U214)+N(U217)+N(U235)+N(U238))-N(U144)+U271),""),"")</f>
        <v>0.584132900718374</v>
      </c>
      <c r="V329" s="258">
        <f>IFERROR(IF(((N(V212)+N(V213)+N(V214)+N(V217)+N(V235)+N(V238))-N(V144)+N(V271))&lt;&gt;0,((N(V212)+N(V213)+N(V214)+N(V217)+N(V235)+N(V238))-N(V144))/((N(V212)+N(V213)+N(V214)+N(V217)+N(V235)+N(V238))-N(V144)+V271),""),"")</f>
        <v>0.534435583811762</v>
      </c>
      <c r="W329" s="258">
        <f>IFERROR(IF(((N(W212)+N(W213)+N(W214)+N(W217)+N(W235)+N(W238))-N(W144)+N(W271))&lt;&gt;0,((N(W212)+N(W213)+N(W214)+N(W217)+N(W235)+N(W238))-N(W144))/((N(W212)+N(W213)+N(W214)+N(W217)+N(W235)+N(W238))-N(W144)+W271),""),"")</f>
        <v>0.534435583811762</v>
      </c>
      <c r="X329" s="258">
        <f>IFERROR(IF(((N(X212)+N(X213)+N(X214)+N(X217)+N(X235)+N(X238))-N(X144)+N(X271))&lt;&gt;0,((N(X212)+N(X213)+N(X214)+N(X217)+N(X235)+N(X238))-N(X144))/((N(X212)+N(X213)+N(X214)+N(X217)+N(X235)+N(X238))-N(X144)+X271),""),"")</f>
        <v>0.535332705227659</v>
      </c>
      <c r="Y329" s="258">
        <f>IFERROR(IF(((N(Y212)+N(Y213)+N(Y214)+N(Y217)+N(Y235)+N(Y238))-N(Y144)+N(Y271))&lt;&gt;0,((N(Y212)+N(Y213)+N(Y214)+N(Y217)+N(Y235)+N(Y238))-N(Y144))/((N(Y212)+N(Y213)+N(Y214)+N(Y217)+N(Y235)+N(Y238))-N(Y144)+Y271),""),"")</f>
        <v>0.557213213857817</v>
      </c>
      <c r="Z329" s="258">
        <f>IFERROR(IF(((N(Z212)+N(Z213)+N(Z214)+N(Z217)+N(Z235)+N(Z238))-N(Z144)+N(Z271))&lt;&gt;0,((N(Z212)+N(Z213)+N(Z214)+N(Z217)+N(Z235)+N(Z238))-N(Z144))/((N(Z212)+N(Z213)+N(Z214)+N(Z217)+N(Z235)+N(Z238))-N(Z144)+Z271),""),"")</f>
        <v>0.577337696017091</v>
      </c>
      <c r="AA329" s="258">
        <f>IFERROR(IF(((N(AA212)+N(AA213)+N(AA214)+N(AA217)+N(AA235)+N(AA238))-N(AA144)+N(AA271))&lt;&gt;0,((N(AA212)+N(AA213)+N(AA214)+N(AA217)+N(AA235)+N(AA238))-N(AA144))/((N(AA212)+N(AA213)+N(AA214)+N(AA217)+N(AA235)+N(AA238))-N(AA144)+AA271),""),"")</f>
        <v>0.611102482502591</v>
      </c>
      <c r="AB329" s="258">
        <f>IFERROR(IF(((N(AB212)+N(AB213)+N(AB214)+N(AB217)+N(AB235)+N(AB238))-N(AB144)+N(AB271))&lt;&gt;0,((N(AB212)+N(AB213)+N(AB214)+N(AB217)+N(AB235)+N(AB238))-N(AB144))/((N(AB212)+N(AB213)+N(AB214)+N(AB217)+N(AB235)+N(AB238))-N(AB144)+AB271),""),"")</f>
        <v>0.611102482502591</v>
      </c>
      <c r="AC329" s="258">
        <f>IFERROR(IF(((N(AC212)+N(AC213)+N(AC214)+N(AC217)+N(AC235)+N(AC238))-N(AC144)+N(AC271))&lt;&gt;0,((N(AC212)+N(AC213)+N(AC214)+N(AC217)+N(AC235)+N(AC238))-N(AC144))/((N(AC212)+N(AC213)+N(AC214)+N(AC217)+N(AC235)+N(AC238))-N(AC144)+AC271),""),"")</f>
        <v>0.631046377695092</v>
      </c>
      <c r="AD329" s="258">
        <f>IFERROR(IF(((N(AD212)+N(AD213)+N(AD214)+N(AD217)+N(AD235)+N(AD238))-N(AD144)+N(AD271))&lt;&gt;0,((N(AD212)+N(AD213)+N(AD214)+N(AD217)+N(AD235)+N(AD238))-N(AD144))/((N(AD212)+N(AD213)+N(AD214)+N(AD217)+N(AD235)+N(AD238))-N(AD144)+AD271),""),"")</f>
        <v>0.393914986939447</v>
      </c>
      <c r="AE329" s="258">
        <f>IFERROR(IF(((N(AE212)+N(AE213)+N(AE214)+N(AE217)+N(AE235)+N(AE238))-N(AE144)+N(AE271))&lt;&gt;0,((N(AE212)+N(AE213)+N(AE214)+N(AE217)+N(AE235)+N(AE238))-N(AE144))/((N(AE212)+N(AE213)+N(AE214)+N(AE217)+N(AE235)+N(AE238))-N(AE144)+AE271),""),"")</f>
        <v>0.424308493047401</v>
      </c>
      <c r="AF329" s="258">
        <f>IFERROR(IF(((N(AF212)+N(AF213)+N(AF214)+N(AF217)+N(AF235)+N(AF238))-N(AF144)+N(AF271))&lt;&gt;0,((N(AF212)+N(AF213)+N(AF214)+N(AF217)+N(AF235)+N(AF238))-N(AF144))/((N(AF212)+N(AF213)+N(AF214)+N(AF217)+N(AF235)+N(AF238))-N(AF144)+AF271),""),"")</f>
        <v>0.456663504632922</v>
      </c>
      <c r="AG329" s="258">
        <f>IFERROR(IF(((N(AG212)+N(AG213)+N(AG214)+N(AG217)+N(AG235)+N(AG238))-N(AG144)+N(AG271))&lt;&gt;0,((N(AG212)+N(AG213)+N(AG214)+N(AG217)+N(AG235)+N(AG238))-N(AG144))/((N(AG212)+N(AG213)+N(AG214)+N(AG217)+N(AG235)+N(AG238))-N(AG144)+AG271),""),"")</f>
        <v>0.456663504632922</v>
      </c>
      <c r="AH329" s="258">
        <f>IFERROR(IF(((N(AH212)+N(AH213)+N(AH214)+N(AH217)+N(AH235)+N(AH238))-N(AH144)+N(AH271))&lt;&gt;0,((N(AH212)+N(AH213)+N(AH214)+N(AH217)+N(AH235)+N(AH238))-N(AH144))/((N(AH212)+N(AH213)+N(AH214)+N(AH217)+N(AH235)+N(AH238))-N(AH144)+AH271),""),"")</f>
        <v>0.481832274459138</v>
      </c>
      <c r="AI329" s="258">
        <f>IFERROR(IF(((N(AI212)+N(AI213)+N(AI214)+N(AI217)+N(AI235)+N(AI238))-N(AI144)+N(AI271))&lt;&gt;0,((N(AI212)+N(AI213)+N(AI214)+N(AI217)+N(AI235)+N(AI238))-N(AI144))/((N(AI212)+N(AI213)+N(AI214)+N(AI217)+N(AI235)+N(AI238))-N(AI144)+AI271),""),"")</f>
        <v>0.308102075638447</v>
      </c>
      <c r="AJ329" s="258">
        <f>IFERROR(IF(((N(AJ212)+N(AJ213)+N(AJ214)+N(AJ217)+N(AJ235)+N(AJ238))-N(AJ144)+N(AJ271))&lt;&gt;0,((N(AJ212)+N(AJ213)+N(AJ214)+N(AJ217)+N(AJ235)+N(AJ238))-N(AJ144))/((N(AJ212)+N(AJ213)+N(AJ214)+N(AJ217)+N(AJ235)+N(AJ238))-N(AJ144)+AJ271),""),"")</f>
        <v>0.372015449980467</v>
      </c>
      <c r="AK329" s="258">
        <f>IFERROR(IF(((N(AK212)+N(AK213)+N(AK214)+N(AK217)+N(AK235)+N(AK238))-N(AK144)+N(AK271))&lt;&gt;0,((N(AK212)+N(AK213)+N(AK214)+N(AK217)+N(AK235)+N(AK238))-N(AK144))/((N(AK212)+N(AK213)+N(AK214)+N(AK217)+N(AK235)+N(AK238))-N(AK144)+AK271),""),"")</f>
        <v>0.448279326903113</v>
      </c>
      <c r="AL329" s="258">
        <f>IFERROR(IF(((N(AL212)+N(AL213)+N(AL214)+N(AL217)+N(AL235)+N(AL238))-N(AL144)+N(AL271))&lt;&gt;0,((N(AL212)+N(AL213)+N(AL214)+N(AL217)+N(AL235)+N(AL238))-N(AL144))/((N(AL212)+N(AL213)+N(AL214)+N(AL217)+N(AL235)+N(AL238))-N(AL144)+AL271),""),"")</f>
        <v>0.448279326903113</v>
      </c>
      <c r="AM329" s="258">
        <f>IFERROR(IF(((N(AM212)+N(AM213)+N(AM214)+N(AM217)+N(AM235)+N(AM238))-N(AM144)+N(AM271))&lt;&gt;0,((N(AM212)+N(AM213)+N(AM214)+N(AM217)+N(AM235)+N(AM238))-N(AM144))/((N(AM212)+N(AM213)+N(AM214)+N(AM217)+N(AM235)+N(AM238))-N(AM144)+AM271),""),"")</f>
        <v>0.542169954122574</v>
      </c>
      <c r="AN329" s="258">
        <f>IFERROR(IF(((N(AN212)+N(AN213)+N(AN214)+N(AN217)+N(AN235)+N(AN238))-N(AN144)+N(AN271))&lt;&gt;0,((N(AN212)+N(AN213)+N(AN214)+N(AN217)+N(AN235)+N(AN238))-N(AN144))/((N(AN212)+N(AN213)+N(AN214)+N(AN217)+N(AN235)+N(AN238))-N(AN144)+AN271),""),"")</f>
        <v>0.714674611225031</v>
      </c>
      <c r="AO329" s="258">
        <f>IFERROR(IF(((N(AO212)+N(AO213)+N(AO214)+N(AO217)+N(AO235)+N(AO238))-N(AO144)+N(AO271))&lt;&gt;0,((N(AO212)+N(AO213)+N(AO214)+N(AO217)+N(AO235)+N(AO238))-N(AO144))/((N(AO212)+N(AO213)+N(AO214)+N(AO217)+N(AO235)+N(AO238))-N(AO144)+AO271),""),"")</f>
        <v>0.799886912257862</v>
      </c>
      <c r="AP329" s="258">
        <f>IFERROR(IF(((N(AP212)+N(AP213)+N(AP214)+N(AP217)+N(AP235)+N(AP238))-N(AP144)+N(AP271))&lt;&gt;0,((N(AP212)+N(AP213)+N(AP214)+N(AP217)+N(AP235)+N(AP238))-N(AP144))/((N(AP212)+N(AP213)+N(AP214)+N(AP217)+N(AP235)+N(AP238))-N(AP144)+AP271),""),"")</f>
        <v>0.881723603749323</v>
      </c>
      <c r="AQ329" s="258">
        <f>IFERROR(IF(((N(AQ212)+N(AQ213)+N(AQ214)+N(AQ217)+N(AQ235)+N(AQ238))-N(AQ144)+N(AQ271))&lt;&gt;0,((N(AQ212)+N(AQ213)+N(AQ214)+N(AQ217)+N(AQ235)+N(AQ238))-N(AQ144))/((N(AQ212)+N(AQ213)+N(AQ214)+N(AQ217)+N(AQ235)+N(AQ238))-N(AQ144)+AQ271),""),"")</f>
        <v>0.881723603749323</v>
      </c>
      <c r="AR329" s="258">
        <f>IFERROR(IF(((N(AR212)+N(AR213)+N(AR214)+N(AR217)+N(AR235)+N(AR238))-N(AR144)+N(AR271))&lt;&gt;0,((N(AR212)+N(AR213)+N(AR214)+N(AR217)+N(AR235)+N(AR238))-N(AR144))/((N(AR212)+N(AR213)+N(AR214)+N(AR217)+N(AR235)+N(AR238))-N(AR144)+AR271),""),"")</f>
        <v>0.991985001786859</v>
      </c>
      <c r="AS329" s="258">
        <f>IFERROR(IF(((N(AS212)+N(AS213)+N(AS214)+N(AS217)+N(AS235)+N(AS238))-N(AS144)+N(AS271))&lt;&gt;0,((N(AS212)+N(AS213)+N(AS214)+N(AS217)+N(AS235)+N(AS238))-N(AS144))/((N(AS212)+N(AS213)+N(AS214)+N(AS217)+N(AS235)+N(AS238))-N(AS144)+AS271),""),"")</f>
        <v>1.21127132419843</v>
      </c>
      <c r="AT329" s="258">
        <f>IFERROR(IF(((N(AT212)+N(AT213)+N(AT214)+N(AT217)+N(AT235)+N(AT238))-N(AT144)+N(AT271))&lt;&gt;0,((N(AT212)+N(AT213)+N(AT214)+N(AT217)+N(AT235)+N(AT238))-N(AT144))/((N(AT212)+N(AT213)+N(AT214)+N(AT217)+N(AT235)+N(AT238))-N(AT144)+AT271),""),"")</f>
        <v>1.4305741008855</v>
      </c>
      <c r="AU329" s="258">
        <f>IFERROR(IF(((N(AU212)+N(AU213)+N(AU214)+N(AU217)+N(AU235)+N(AU238))-N(AU144)+N(AU271))&lt;&gt;0,((N(AU212)+N(AU213)+N(AU214)+N(AU217)+N(AU235)+N(AU238))-N(AU144))/((N(AU212)+N(AU213)+N(AU214)+N(AU217)+N(AU235)+N(AU238))-N(AU144)+AU271),""),"")</f>
        <v>1.88054036073937</v>
      </c>
      <c r="AV329" s="258">
        <f>IFERROR(IF(((N(AV212)+N(AV213)+N(AV214)+N(AV217)+N(AV235)+N(AV238))-N(AV144)+N(AV271))&lt;&gt;0,((N(AV212)+N(AV213)+N(AV214)+N(AV217)+N(AV235)+N(AV238))-N(AV144))/((N(AV212)+N(AV213)+N(AV214)+N(AV217)+N(AV235)+N(AV238))-N(AV144)+AV271),""),"")</f>
        <v>1.88054036073937</v>
      </c>
      <c r="AW329" s="258">
        <f>IFERROR(IF(((N(AW212)+N(AW213)+N(AW214)+N(AW217)+N(AW235)+N(AW238))-N(AW144)+N(AW271))&lt;&gt;0,((N(AW212)+N(AW213)+N(AW214)+N(AW217)+N(AW235)+N(AW238))-N(AW144))/((N(AW212)+N(AW213)+N(AW214)+N(AW217)+N(AW235)+N(AW238))-N(AW144)+AW271),""),"")</f>
        <v>4.53799882802289</v>
      </c>
      <c r="AX329" s="258">
        <f>IFERROR(IF(((N(AX212)+N(AX213)+N(AX214)+N(AX217)+N(AX235)+N(AX238))-N(AX144)+N(AX271))&lt;&gt;0,((N(AX212)+N(AX213)+N(AX214)+N(AX217)+N(AX235)+N(AX238))-N(AX144))/((N(AX212)+N(AX213)+N(AX214)+N(AX217)+N(AX235)+N(AX238))-N(AX144)+AX271),""),"")</f>
        <v>-2.88934611622872</v>
      </c>
      <c r="AY329" s="258">
        <f>IFERROR(IF(((N(AY212)+N(AY213)+N(AY214)+N(AY217)+N(AY235)+N(AY238))-N(AY144)+N(AY271))&lt;&gt;0,((N(AY212)+N(AY213)+N(AY214)+N(AY217)+N(AY235)+N(AY238))-N(AY144))/((N(AY212)+N(AY213)+N(AY214)+N(AY217)+N(AY235)+N(AY238))-N(AY144)+AY271),""),"")</f>
        <v>-0.0561825187131109</v>
      </c>
      <c r="AZ329" s="258">
        <f>IFERROR(IF(((N(AZ212)+N(AZ213)+N(AZ214)+N(AZ217)+N(AZ235)+N(AZ238))-N(AZ144)+N(AZ271))&lt;&gt;0,((N(AZ212)+N(AZ213)+N(AZ214)+N(AZ217)+N(AZ235)+N(AZ238))-N(AZ144))/((N(AZ212)+N(AZ213)+N(AZ214)+N(AZ217)+N(AZ235)+N(AZ238))-N(AZ144)+AZ271),""),"")</f>
        <v>0.411999631834134</v>
      </c>
      <c r="BA329" s="258">
        <f>IFERROR(IF(((N(BA212)+N(BA213)+N(BA214)+N(BA217)+N(BA235)+N(BA238))-N(BA144)+N(BA271))&lt;&gt;0,((N(BA212)+N(BA213)+N(BA214)+N(BA217)+N(BA235)+N(BA238))-N(BA144))/((N(BA212)+N(BA213)+N(BA214)+N(BA217)+N(BA235)+N(BA238))-N(BA144)+BA271),""),"")</f>
        <v>0.411999631834134</v>
      </c>
      <c r="BB329" s="258">
        <f>IFERROR(IF(((N(BB212)+N(BB213)+N(BB214)+N(BB217)+N(BB235)+N(BB238))-N(BB144)+N(BB271))&lt;&gt;0,((N(BB212)+N(BB213)+N(BB214)+N(BB217)+N(BB235)+N(BB238))-N(BB144))/((N(BB212)+N(BB213)+N(BB214)+N(BB217)+N(BB235)+N(BB238))-N(BB144)+BB271),""),"")</f>
        <v>0.597666838924643</v>
      </c>
      <c r="BC329" s="258">
        <f>IFERROR(IF(((N(BC212)+N(BC213)+N(BC214)+N(BC217)+N(BC235)+N(BC238))-N(BC144)+N(BC271))&lt;&gt;0,((N(BC212)+N(BC213)+N(BC214)+N(BC217)+N(BC235)+N(BC238))-N(BC144))/((N(BC212)+N(BC213)+N(BC214)+N(BC217)+N(BC235)+N(BC238))-N(BC144)+BC271),""),"")</f>
        <v>0.668488248762097</v>
      </c>
      <c r="BD329" s="258">
        <f>IFERROR(IF(((N(BD212)+N(BD213)+N(BD214)+N(BD217)+N(BD235)+N(BD238))-N(BD144)+N(BD271))&lt;&gt;0,((N(BD212)+N(BD213)+N(BD214)+N(BD217)+N(BD235)+N(BD238))-N(BD144))/((N(BD212)+N(BD213)+N(BD214)+N(BD217)+N(BD235)+N(BD238))-N(BD144)+BD271),""),"")</f>
        <v>0.756365868564298</v>
      </c>
      <c r="BE329" s="258">
        <f>IFERROR(IF(((N(BE212)+N(BE213)+N(BE214)+N(BE217)+N(BE235)+N(BE238))-N(BE144)+N(BE271))&lt;&gt;0,((N(BE212)+N(BE213)+N(BE214)+N(BE217)+N(BE235)+N(BE238))-N(BE144))/((N(BE212)+N(BE213)+N(BE214)+N(BE217)+N(BE235)+N(BE238))-N(BE144)+BE271),""),"")</f>
        <v>0.818012932235816</v>
      </c>
      <c r="BF329" s="258">
        <f>IFERROR(IF(((N(BF212)+N(BF213)+N(BF214)+N(BF217)+N(BF235)+N(BF238))-N(BF144)+N(BF271))&lt;&gt;0,((N(BF212)+N(BF213)+N(BF214)+N(BF217)+N(BF235)+N(BF238))-N(BF144))/((N(BF212)+N(BF213)+N(BF214)+N(BF217)+N(BF235)+N(BF238))-N(BF144)+BF271),""),"")</f>
        <v>0.818012932235816</v>
      </c>
    </row>
    <row r="330" customFormat="1" s="77">
      <c r="A330" s="76" t="n"/>
      <c r="B330" s="76" t="n"/>
    </row>
    <row r="331" customFormat="1" s="77">
      <c r="A331" s="76" t="n"/>
      <c r="B331" s="76" t="n"/>
      <c r="C331" s="74" t="inlineStr">
        <is>
          <t>FINANCIAL RISK RATIOS</t>
        </is>
      </c>
    </row>
    <row r="332" customFormat="1" s="77">
      <c r="A332" s="76" t="n"/>
      <c r="B332" s="76" t="n"/>
      <c r="C332" s="77" t="inlineStr">
        <is>
          <t>EBITDA / TOTAL INTEREST (LTM)</t>
        </is>
      </c>
      <c r="D332" s="82" t="str">
        <f>IFERROR(D69/-D74,"")</f>
        <v/>
      </c>
      <c r="E332" s="82" t="str">
        <f>IFERROR(E69/-E74,"")</f>
        <v/>
      </c>
      <c r="F332" s="82" t="str">
        <f>IFERROR(F69/-F74,"")</f>
        <v/>
      </c>
      <c r="G332" s="82" t="str">
        <f>IFERROR(G69/-G74,"")</f>
        <v/>
      </c>
      <c r="H332" s="262" t="str">
        <f>IFERROR(IF(AND(COUNT(H69)=1,(H74)&lt;&gt;0),(H69)/-(H74),""),"")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IFERROR(IF(AND(COUNT(I69,J69,K69,L69)=4,(I74+J74+K74+L74)&lt;&gt;0),(I69+J69+K69+L69)/-(I74+J74+K74+L74),""),"")</f>
        <v>1.05295273554659</v>
      </c>
      <c r="M332" s="262">
        <f>IFERROR(IF(AND(COUNT(I69,J69,K69,L69)=4,(I74+J74+K74+L74)&lt;&gt;0),(I69+J69+K69+L69)/-(I74+J74+K74+L74),""),"")</f>
        <v>1.05295273554659</v>
      </c>
      <c r="N332" s="262">
        <f>IFERROR(IF(AND(COUNT(J69,K69,L69,N69)=4,(J74+K74+L74+N74)&lt;&gt;0),(J69+K69+L69+N69)/-(J74+K74+L74+N74),""),"")</f>
        <v>1.21268345943071</v>
      </c>
      <c r="O332" s="262">
        <f>IFERROR(IF(AND(COUNT(K69,L69,N69,O69)=4,(K74+L74+N74+O74)&lt;&gt;0),(K69+L69+N69+O69)/-(K74+L74+N74+O74),""),"")</f>
        <v>1.01092630812189</v>
      </c>
      <c r="P332" s="262">
        <f>IFERROR(IF(AND(COUNT(L69,N69,O69,P69)=4,(L74+N74+O74+P74)&lt;&gt;0),(L69+N69+O69+P69)/-(L74+N74+O74+P74),""),"")</f>
        <v>1.08063737562802</v>
      </c>
      <c r="Q332" s="262">
        <f>IFERROR(IF(AND(COUNT(N69,O69,P69,Q69)=4,(N74+O74+P74+Q74)&lt;&gt;0),(N69+O69+P69+Q69)/-(N74+O74+P74+Q74),""),"")</f>
        <v>0.801032040763451</v>
      </c>
      <c r="R332" s="262">
        <f>IFERROR(IF(AND(COUNT(N69,O69,P69,Q69)=4,(N74+O74+P74+Q74)&lt;&gt;0),(N69+O69+P69+Q69)/-(N74+O74+P74+Q74),""),"")</f>
        <v>0.801032040763451</v>
      </c>
      <c r="S332" s="262">
        <f>IFERROR(IF(AND(COUNT(O69,P69,Q69,S69)=4,(O74+P74+Q74+S74)&lt;&gt;0),(O69+P69+Q69+S69)/-(O74+P74+Q74+S74),""),"")</f>
        <v>0.935689701366419</v>
      </c>
      <c r="T332" s="262">
        <f>IFERROR(IF(AND(COUNT(P69,Q69,S69,T69)=4,(P74+Q74+S74+T74)&lt;&gt;0),(P69+Q69+S69+T69)/-(P74+Q74+S74+T74),""),"")</f>
        <v>1.13382884362681</v>
      </c>
      <c r="U332" s="262">
        <f>IFERROR(IF(AND(COUNT(Q69,S69,T69,U69)=4,(Q74+S74+T74+U74)&lt;&gt;0),(Q69+S69+T69+U69)/-(Q74+S74+T74+U74),""),"")</f>
        <v>1.17880121462835</v>
      </c>
      <c r="V332" s="262">
        <f>IFERROR(IF(AND(COUNT(S69,T69,U69,V69)=4,(S74+T74+U74+V74)&lt;&gt;0),(S69+T69+U69+V69)/-(S74+T74+U74+V74),""),"")</f>
        <v>1.72859215526806</v>
      </c>
      <c r="W332" s="262">
        <f>IFERROR(IF(AND(COUNT(S69,T69,U69,V69)=4,(S74+T74+U74+V74)&lt;&gt;0),(S69+T69+U69+V69)/-(S74+T74+U74+V74),""),"")</f>
        <v>1.72859215526806</v>
      </c>
      <c r="X332" s="262">
        <f>IFERROR(IF(AND(COUNT(T69,U69,V69,X69)=4,(T74+U74+V74+X74)&lt;&gt;0),(T69+U69+V69+X69)/-(T74+U74+V74+X74),""),"")</f>
        <v>1.94824688855682</v>
      </c>
      <c r="Y332" s="262">
        <f>IFERROR(IF(AND(COUNT(U69,V69,X69,Y69)=4,(U74+V74+X74+Y74)&lt;&gt;0),(U69+V69+X69+Y69)/-(U74+V74+X74+Y74),""),"")</f>
        <v>2.00694126387998</v>
      </c>
      <c r="Z332" s="262">
        <f>IFERROR(IF(AND(COUNT(V69,X69,Y69,Z69)=4,(V74+X74+Y74+Z74)&lt;&gt;0),(V69+X69+Y69+Z69)/-(V74+X74+Y74+Z74),""),"")</f>
        <v>2.12572143364259</v>
      </c>
      <c r="AA332" s="262">
        <f>IFERROR(IF(AND(COUNT(X69,Y69,Z69,AA69)=4,(X74+Y74+Z74+AA74)&lt;&gt;0),(X69+Y69+Z69+AA69)/-(X74+Y74+Z74+AA74),""),"")</f>
        <v>1.80634052996125</v>
      </c>
      <c r="AB332" s="262">
        <f>IFERROR(IF(AND(COUNT(X69,Y69,Z69,AA69)=4,(X74+Y74+Z74+AA74)&lt;&gt;0),(X69+Y69+Z69+AA69)/-(X74+Y74+Z74+AA74),""),"")</f>
        <v>1.80634052996125</v>
      </c>
      <c r="AC332" s="262">
        <f>IFERROR(IF(AND(COUNT(Y69,Z69,AA69,AC69)=4,(Y74+Z74+AA74+AC74)&lt;&gt;0),(Y69+Z69+AA69+AC69)/-(Y74+Z74+AA74+AC74),""),"")</f>
        <v>1.62332182436036</v>
      </c>
      <c r="AD332" s="262">
        <f>IFERROR(IF(AND(COUNT(Z69,AA69,AC69,AD69)=4,(Z74+AA74+AC74+AD74)&lt;&gt;0),(Z69+AA69+AC69+AD69)/-(Z74+AA74+AC74+AD74),""),"")</f>
        <v>1.58064802328057</v>
      </c>
      <c r="AE332" s="262">
        <f>IFERROR(IF(AND(COUNT(AA69,AC69,AD69,AE69)=4,(AA74+AC74+AD74+AE74)&lt;&gt;0),(AA69+AC69+AD69+AE69)/-(AA74+AC74+AD74+AE74),""),"")</f>
        <v>1.41883944076154</v>
      </c>
      <c r="AF332" s="262">
        <f>IFERROR(IF(AND(COUNT(AB69,AD69,AE69,AF69)=4,(AB74+AD74+AE74+AF74)&lt;&gt;0),(AB69+AD69+AE69+AF69)/-(AB74+AD74+AE74+AF74),""),"")</f>
        <v>1.65352837853587</v>
      </c>
      <c r="AG332" s="262">
        <f>IFERROR(IF(AND(COUNT(AC69,AD69,AE69,AF69)=4,(AC74+AD74+AE74+AF74)&lt;&gt;0),(AC69+AD69+AE69+AF69)/-(AC74+AD74+AE74+AF74),""),"")</f>
        <v>1.48945906796941</v>
      </c>
      <c r="AH332" s="262">
        <f>IFERROR(IF(AND(COUNT(AD69,AF69,AG69,AH69)=4,(AD74+AF74+AG74+AH74)&lt;&gt;0),(AD69+AF69+AG69+AH69)/-(AD74+AF74+AG74+AH74),""),"")</f>
        <v>1.55125357873936</v>
      </c>
      <c r="AI332" s="262">
        <f>IFERROR(IF(AND(COUNT(AE69,AG69,AH69,AI69)=4,(AE74+AG74+AH74+AI74)&lt;&gt;0),(AE69+AG69+AH69+AI69)/-(AE74+AG74+AH74+AI74),""),"")</f>
        <v>1.55704598701616</v>
      </c>
      <c r="AJ332" s="262" t="str">
        <f>IFERROR(IF(AND(COUNT(AF69,AH69,AI69,AJ69)=4,(AF74+AH74+AI74+AJ74)&lt;&gt;0),(AF69+AH69+AI69+AJ69)/-(AF74+AH74+AI74+AJ74),""),"")</f>
        <v/>
      </c>
      <c r="AK332" s="262" t="str">
        <f>IFERROR(IF(AND(COUNT(AH69,AI69,AJ69,AK69)=4,(AH74+AI74+AJ74+AK74)&lt;&gt;0),(AH69+AI69+AJ69+AK69)/-(AH74+AI74+AJ74+AK74),""),"")</f>
        <v/>
      </c>
      <c r="AL332" s="262" t="str">
        <f>IFERROR(IF(AND(COUNT(AH69,AI69,AJ69,AK69)=4,(AH74+AI74+AJ74+AK74)&lt;&gt;0),(AH69+AI69+AJ69+AK69)/-(AH74+AI74+AJ74+AK74),""),"")</f>
        <v/>
      </c>
      <c r="AM332" s="262" t="str">
        <f>IFERROR(IF(AND(COUNT(AI69,AJ69,AK69,AM69)=4,(AI74+AJ74+AK74+AM74)&lt;&gt;0),(AI69+AJ69+AK69+AM69)/-(AI74+AJ74+AK74+AM74),""),"")</f>
        <v/>
      </c>
      <c r="AN332" s="262" t="str">
        <f>IFERROR(IF(AND(COUNT(AJ69,AK69,AM69,AN69)=4,(AJ74+AK74+AM74+AN74)&lt;&gt;0),(AJ69+AK69+AM69+AN69)/-(AJ74+AK74+AM74+AN74),""),"")</f>
        <v/>
      </c>
      <c r="AO332" s="262" t="str">
        <f>IFERROR(IF(AND(COUNT(AK69,AM69,AN69,AO69)=4,(AK74+AM74+AN74+AO74)&lt;&gt;0),(AK69+AM69+AN69+AO69)/-(AK74+AM74+AN74+AO74),""),"")</f>
        <v/>
      </c>
      <c r="AP332" s="262" t="str">
        <f>IFERROR(IF(AND(COUNT(AM69,AN69,AO69,AP69)=4,(AM74+AN74+AO74+AP74)&lt;&gt;0),(AM69+AN69+AO69+AP69)/-(AM74+AN74+AO74+AP74),""),"")</f>
        <v/>
      </c>
      <c r="AQ332" s="262" t="str">
        <f>IFERROR(IF(AND(COUNT(AM69,AN69,AO69,AP69)=4,(AM74+AN74+AO74+AP74)&lt;&gt;0),(AM69+AN69+AO69+AP69)/-(AM74+AN74+AO74+AP74),""),"")</f>
        <v/>
      </c>
      <c r="AR332" s="262" t="str">
        <f>IFERROR(IF(AND(COUNT(AN69,AO69,AP69,AR69)=4,(AN74+AO74+AP74+AR74)&lt;&gt;0),(AN69+AO69+AP69+AR69)/-(AN74+AO74+AP74+AR74),""),"")</f>
        <v/>
      </c>
      <c r="AS332" s="262" t="str">
        <f>IFERROR(IF(AND(COUNT(AO69,AP69,AR69,AS69)=4,(AO74+AP74+AR74+AS74)&lt;&gt;0),(AO69+AP69+AR69+AS69)/-(AO74+AP74+AR74+AS74),""),"")</f>
        <v/>
      </c>
      <c r="AT332" s="262" t="str">
        <f>IFERROR(IF(AND(COUNT(AP69,AR69,AS69,AT69)=4,(AP74+AR74+AS74+AT74)&lt;&gt;0),(AP69+AR69+AS69+AT69)/-(AP74+AR74+AS74+AT74),""),"")</f>
        <v/>
      </c>
      <c r="AU332" s="262" t="str">
        <f>IFERROR(IF(AND(COUNT(AR69,AS69,AT69,AU69)=4,(AR74+AS74+AT74+AU74)&lt;&gt;0),(AR69+AS69+AT69+AU69)/-(AR74+AS74+AT74+AU74),""),"")</f>
        <v/>
      </c>
      <c r="AV332" s="262" t="str">
        <f>IFERROR(IF(AND(COUNT(AR69,AS69,AT69,AU69)=4,(AR74+AS74+AT74+AU74)&lt;&gt;0),(AR69+AS69+AT69+AU69)/-(AR74+AS74+AT74+AU74),""),"")</f>
        <v/>
      </c>
      <c r="AW332" s="262" t="str">
        <f>IFERROR(IF(AND(COUNT(AS69,AT69,AU69,AW69)=4,(AS74+AT74+AU74+AW74)&lt;&gt;0),(AS69+AT69+AU69+AW69)/-(AS74+AT74+AU74+AW74),""),"")</f>
        <v/>
      </c>
      <c r="AX332" s="262" t="str">
        <f>IFERROR(IF(AND(COUNT(AT69,AU69,AW69,AX69)=4,(AT74+AU74+AW74+AX74)&lt;&gt;0),(AT69+AU69+AW69+AX69)/-(AT74+AU74+AW74+AX74),""),"")</f>
        <v/>
      </c>
      <c r="AY332" s="262" t="str">
        <f>IFERROR(IF(AND(COUNT(AU69,AW69,AX69,AY69)=4,(AU74+AW74+AX74+AY74)&lt;&gt;0),(AU69+AW69+AX69+AY69)/-(AU74+AW74+AX74+AY74),""),"")</f>
        <v/>
      </c>
      <c r="AZ332" s="262" t="str">
        <f>IFERROR(IF(AND(COUNT(AW69,AX69,AY69,AZ69)=4,(AW74+AX74+AY74+AZ74)&lt;&gt;0),(AW69+AX69+AY69+AZ69)/-(AW74+AX74+AY74+AZ74),""),"")</f>
        <v/>
      </c>
      <c r="BA332" s="262" t="str">
        <f>IFERROR(IF(AND(COUNT(AW69,AX69,AY69,AZ69)=4,(AW74+AX74+AY74+AZ74)&lt;&gt;0),(AW69+AX69+AY69+AZ69)/-(AW74+AX74+AY74+AZ74),""),"")</f>
        <v/>
      </c>
      <c r="BB332" s="262" t="str">
        <f>IFERROR(IF(AND(COUNT(AX69,AY69,AZ69,BB69)=4,(AX74+AY74+AZ74+BB74)&lt;&gt;0),(AX69+AY69+AZ69+BB69)/-(AX74+AY74+AZ74+BB74),""),"")</f>
        <v/>
      </c>
      <c r="BC332" s="262" t="str">
        <f>IFERROR(IF(AND(COUNT(AY69,AZ69,BB69,BC69)=4,(AY74+AZ74+BB74+BC74)&lt;&gt;0),(AY69+AZ69+BB69+BC69)/-(AY74+AZ74+BB74+BC74),""),"")</f>
        <v/>
      </c>
      <c r="BD332" s="262" t="str">
        <f>IFERROR(IF(AND(COUNT(AZ69,BB69,BC69,BD69)=4,(AZ74+BB74+BC74+BD74)&lt;&gt;0),(AZ69+BB69+BC69+BD69)/-(AZ74+BB74+BC74+BD74),""),"")</f>
        <v/>
      </c>
      <c r="BE332" s="262" t="str">
        <f>IFERROR(IF(AND(COUNT(BB69,BC69,BD69,BE69)=4,(BB74+BC74+BD74+BE74)&lt;&gt;0),(BB69+BC69+BD69+BE69)/-(BB74+BC74+BD74+BE74),""),"")</f>
        <v/>
      </c>
      <c r="BF332" s="262" t="str">
        <f>IFERROR(IF(AND(COUNT(BB69,BC69,BD69,BE69)=4,(BB74+BC74+BD74+BE74)&lt;&gt;0),(BB69+BC69+BD69+BE69)/-(BB74+BC74+BD74+BE74),""),"")</f>
        <v/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77" t="inlineStr">
        <is>
          <t>(EBITDA - CAPEX) / TOTAL INTEREST (LTM)</t>
        </is>
      </c>
      <c r="D333" s="82" t="str">
        <f>IFERROR((D69-D168)/-D74,"")</f>
        <v/>
      </c>
      <c r="E333" s="82" t="str">
        <f>IFERROR((E69-E168)/-E74,"")</f>
        <v/>
      </c>
      <c r="F333" s="82" t="str">
        <f>IFERROR((F69-F168)/-F74,"")</f>
        <v/>
      </c>
      <c r="G333" s="82" t="str">
        <f>IFERROR((G69-G168)/-G74,"")</f>
        <v/>
      </c>
      <c r="H333" s="262" t="str">
        <f>IFERROR(IF(AND(COUNT(H69)=1,(H74)&lt;&gt;0),((H69)-(H168))/-(H74),""),"")</f>
        <v/>
      </c>
      <c r="I333" s="262" t="str">
        <f>""</f>
        <v/>
      </c>
      <c r="J333" s="262" t="str">
        <f>""</f>
        <v/>
      </c>
      <c r="K333" s="262" t="str">
        <f>""</f>
        <v/>
      </c>
      <c r="L333" s="262">
        <f>IFERROR(IF(AND(COUNT(I69,J69,K69,L69)=4,(I74+J74+K74+L74)&lt;&gt;0),((I69+J69+K69+L69)-(I168+J168+K168+L168))/-(I74+J74+K74+L74),""),"")</f>
        <v>-0.0125778658201866</v>
      </c>
      <c r="M333" s="262">
        <f>IFERROR(IF(AND(COUNT(I69,J69,K69,L69)=4,(I74+J74+K74+L74)&lt;&gt;0),((I69+J69+K69+L69)-(I168+J168+K168+L168))/-(I74+J74+K74+L74),""),"")</f>
        <v>-0.0125778658201866</v>
      </c>
      <c r="N333" s="262">
        <f>IFERROR(IF(AND(COUNT(J69,K69,L69,N69)=4,(J74+K74+L74+N74)&lt;&gt;0),((J69+K69+L69+N69)-(J168+K168+L168+N168))/-(J74+K74+L74+N74),""),"")</f>
        <v>-0.258113508633179</v>
      </c>
      <c r="O333" s="262">
        <f>IFERROR(IF(AND(COUNT(K69,L69,N69,O69)=4,(K74+L74+N74+O74)&lt;&gt;0),((K69+L69+N69+O69)-(K168+L168+N168+O168))/-(K74+L74+N74+O74),""),"")</f>
        <v>-1.75833856775631</v>
      </c>
      <c r="P333" s="262">
        <f>IFERROR(IF(AND(COUNT(L69,N69,O69,P69)=4,(L74+N74+O74+P74)&lt;&gt;0),((L69+N69+O69+P69)-(L168+N168+O168+P168))/-(L74+N74+O74+P74),""),"")</f>
        <v>-1.60910255147276</v>
      </c>
      <c r="Q333" s="262">
        <f>IFERROR(IF(AND(COUNT(N69,O69,P69,Q69)=4,(N74+O74+P74+Q74)&lt;&gt;0),((N69+O69+P69+Q69)-(N168+O168+P168+Q168))/-(N74+O74+P74+Q74),""),"")</f>
        <v>-1.55240089817774</v>
      </c>
      <c r="R333" s="262">
        <f>IFERROR(IF(AND(COUNT(N69,O69,P69,Q69)=4,(N74+O74+P74+Q74)&lt;&gt;0),((N69+O69+P69+Q69)-(N168+O168+P168+Q168))/-(N74+O74+P74+Q74),""),"")</f>
        <v>-1.55240089817774</v>
      </c>
      <c r="S333" s="262">
        <f>IFERROR(IF(AND(COUNT(O69,P69,Q69,S69)=4,(O74+P74+Q74+S74)&lt;&gt;0),((O69+P69+Q69+S69)-(O168+P168+Q168+S168))/-(O74+P74+Q74+S74),""),"")</f>
        <v>-1.36974093691391</v>
      </c>
      <c r="T333" s="262">
        <f>IFERROR(IF(AND(COUNT(P69,Q69,S69,T69)=4,(P74+Q74+S74+T74)&lt;&gt;0),((P69+Q69+S69+T69)-(P168+Q168+S168+T168))/-(P74+Q74+S74+T74),""),"")</f>
        <v>-0.168327493064681</v>
      </c>
      <c r="U333" s="262">
        <f>IFERROR(IF(AND(COUNT(Q69,S69,T69,U69)=4,(Q74+S74+T74+U74)&lt;&gt;0),((Q69+S69+T69+U69)-(Q168+S168+T168+U168))/-(Q74+S74+T74+U74),""),"")</f>
        <v>-0.294785019583682</v>
      </c>
      <c r="V333" s="262">
        <f>IFERROR(IF(AND(COUNT(S69,T69,U69,V69)=4,(S74+T74+U74+V74)&lt;&gt;0),((S69+T69+U69+V69)-(S168+T168+U168+V168))/-(S74+T74+U74+V74),""),"")</f>
        <v>0.215732638522824</v>
      </c>
      <c r="W333" s="262">
        <f>IFERROR(IF(AND(COUNT(S69,T69,U69,V69)=4,(S74+T74+U74+V74)&lt;&gt;0),((S69+T69+U69+V69)-(S168+T168+U168+V168))/-(S74+T74+U74+V74),""),"")</f>
        <v>0.215732638522824</v>
      </c>
      <c r="X333" s="262">
        <f>IFERROR(IF(AND(COUNT(T69,U69,V69,X69)=4,(T74+U74+V74+X74)&lt;&gt;0),((T69+U69+V69+X69)-(T168+U168+V168+X168))/-(T74+U74+V74+X74),""),"")</f>
        <v>0.456796570819911</v>
      </c>
      <c r="Y333" s="262">
        <f>IFERROR(IF(AND(COUNT(U69,V69,X69,Y69)=4,(U74+V74+X74+Y74)&lt;&gt;0),((U69+V69+X69+Y69)-(U168+V168+X168+Y168))/-(U74+V74+X74+Y74),""),"")</f>
        <v>0.096017424404343</v>
      </c>
      <c r="Z333" s="262">
        <f>IFERROR(IF(AND(COUNT(V69,X69,Y69,Z69)=4,(V74+X74+Y74+Z74)&lt;&gt;0),((V69+X69+Y69+Z69)-(V168+X168+Y168+Z168))/-(V74+X74+Y74+Z74),""),"")</f>
        <v>-0.764828328978571</v>
      </c>
      <c r="AA333" s="262">
        <f>IFERROR(IF(AND(COUNT(X69,Y69,Z69,AA69)=4,(X74+Y74+Z74+AA74)&lt;&gt;0),((X69+Y69+Z69+AA69)-(X168+Y168+Z168+AA168))/-(X74+Y74+Z74+AA74),""),"")</f>
        <v>-1.64363397017606</v>
      </c>
      <c r="AB333" s="262">
        <f>IFERROR(IF(AND(COUNT(X69,Y69,Z69,AA69)=4,(X74+Y74+Z74+AA74)&lt;&gt;0),((X69+Y69+Z69+AA69)-(X168+Y168+Z168+AA168))/-(X74+Y74+Z74+AA74),""),"")</f>
        <v>-1.64363397017606</v>
      </c>
      <c r="AC333" s="262">
        <f>IFERROR(IF(AND(COUNT(Y69,Z69,AA69,AC69)=4,(Y74+Z74+AA74+AC74)&lt;&gt;0),((Y69+Z69+AA69+AC69)-(Y168+Z168+AA168+AC168))/-(Y74+Z74+AA74+AC74),""),"")</f>
        <v>-1.67935508230797</v>
      </c>
      <c r="AD333" s="262">
        <f>IFERROR(IF(AND(COUNT(Z69,AA69,AC69,AD69)=4,(Z74+AA74+AC74+AD74)&lt;&gt;0),((Z69+AA69+AC69+AD69)-(Z168+AA168+AC168+AD168))/-(Z74+AA74+AC74+AD74),""),"")</f>
        <v>-1.71173255731422</v>
      </c>
      <c r="AE333" s="262">
        <f>IFERROR(IF(AND(COUNT(AA69,AC69,AD69,AE69)=4,(AA74+AC74+AD74+AE74)&lt;&gt;0),((AA69+AC69+AD69+AE69)-(AA168+AC168+AD168+AE168))/-(AA74+AC74+AD74+AE74),""),"")</f>
        <v>-0.98429518461714</v>
      </c>
      <c r="AF333" s="262">
        <f>IFERROR(IF(AND(COUNT(AB69,AD69,AE69,AF69)=4,(AB74+AD74+AE74+AF74)&lt;&gt;0),((AB69+AD69+AE69+AF69)-(AB168+AD168+AE168+AF168))/-(AB74+AD74+AE74+AF74),""),"")</f>
        <v>0.486353911726021</v>
      </c>
      <c r="AG333" s="262">
        <f>IFERROR(IF(AND(COUNT(AC69,AD69,AE69,AF69)=4,(AC74+AD74+AE74+AF74)&lt;&gt;0),((AC69+AD69+AE69+AF69)-(AC168+AD168+AE168+AF168))/-(AC74+AD74+AE74+AF74),""),"")</f>
        <v>-0.649278357490597</v>
      </c>
      <c r="AH333" s="262">
        <f>IFERROR(IF(AND(COUNT(AD69,AF69,AG69,AH69)=4,(AD74+AF74+AG74+AH74)&lt;&gt;0),((AD69+AF69+AG69+AH69)-(AD168+AF168+AG168+AH168))/-(AD74+AF74+AG74+AH74),""),"")</f>
        <v>-0.759242637641776</v>
      </c>
      <c r="AI333" s="262">
        <f>IFERROR(IF(AND(COUNT(AE69,AG69,AH69,AI69)=4,(AE74+AG74+AH74+AI74)&lt;&gt;0),((AE69+AG69+AH69+AI69)-(AE168+AG168+AH168+AI168))/-(AE74+AG74+AH74+AI74),""),"")</f>
        <v>-2.21722302687937</v>
      </c>
      <c r="AJ333" s="262" t="str">
        <f>IFERROR(IF(AND(COUNT(AF69,AH69,AI69,AJ69)=4,(AF74+AH74+AI74+AJ74)&lt;&gt;0),((AF69+AH69+AI69+AJ69)-(AF168+AH168+AI168+AJ168))/-(AF74+AH74+AI74+AJ74),""),"")</f>
        <v/>
      </c>
      <c r="AK333" s="262" t="str">
        <f>IFERROR(IF(AND(COUNT(AH69,AI69,AJ69,AK69)=4,(AH74+AI74+AJ74+AK74)&lt;&gt;0),((AH69+AI69+AJ69+AK69)-(AH168+AI168+AJ168+AK168))/-(AH74+AI74+AJ74+AK74),""),"")</f>
        <v/>
      </c>
      <c r="AL333" s="262" t="str">
        <f>IFERROR(IF(AND(COUNT(AH69,AI69,AJ69,AK69)=4,(AH74+AI74+AJ74+AK74)&lt;&gt;0),((AH69+AI69+AJ69+AK69)-(AH168+AI168+AJ168+AK168))/-(AH74+AI74+AJ74+AK74),""),"")</f>
        <v/>
      </c>
      <c r="AM333" s="262" t="str">
        <f>IFERROR(IF(AND(COUNT(AI69,AJ69,AK69,AM69)=4,(AI74+AJ74+AK74+AM74)&lt;&gt;0),((AI69+AJ69+AK69+AM69)-(AI168+AJ168+AK168+AM168))/-(AI74+AJ74+AK74+AM74),""),"")</f>
        <v/>
      </c>
      <c r="AN333" s="262" t="str">
        <f>IFERROR(IF(AND(COUNT(AJ69,AK69,AM69,AN69)=4,(AJ74+AK74+AM74+AN74)&lt;&gt;0),((AJ69+AK69+AM69+AN69)-(AJ168+AK168+AM168+AN168))/-(AJ74+AK74+AM74+AN74),""),"")</f>
        <v/>
      </c>
      <c r="AO333" s="262" t="str">
        <f>IFERROR(IF(AND(COUNT(AK69,AM69,AN69,AO69)=4,(AK74+AM74+AN74+AO74)&lt;&gt;0),((AK69+AM69+AN69+AO69)-(AK168+AM168+AN168+AO168))/-(AK74+AM74+AN74+AO74),""),"")</f>
        <v/>
      </c>
      <c r="AP333" s="262" t="str">
        <f>IFERROR(IF(AND(COUNT(AM69,AN69,AO69,AP69)=4,(AM74+AN74+AO74+AP74)&lt;&gt;0),((AM69+AN69+AO69+AP69)-(AM168+AN168+AO168+AP168))/-(AM74+AN74+AO74+AP74),""),"")</f>
        <v/>
      </c>
      <c r="AQ333" s="262" t="str">
        <f>IFERROR(IF(AND(COUNT(AM69,AN69,AO69,AP69)=4,(AM74+AN74+AO74+AP74)&lt;&gt;0),((AM69+AN69+AO69+AP69)-(AM168+AN168+AO168+AP168))/-(AM74+AN74+AO74+AP74),""),"")</f>
        <v/>
      </c>
      <c r="AR333" s="262" t="str">
        <f>IFERROR(IF(AND(COUNT(AN69,AO69,AP69,AR69)=4,(AN74+AO74+AP74+AR74)&lt;&gt;0),((AN69+AO69+AP69+AR69)-(AN168+AO168+AP168+AR168))/-(AN74+AO74+AP74+AR74),""),"")</f>
        <v/>
      </c>
      <c r="AS333" s="262" t="str">
        <f>IFERROR(IF(AND(COUNT(AO69,AP69,AR69,AS69)=4,(AO74+AP74+AR74+AS74)&lt;&gt;0),((AO69+AP69+AR69+AS69)-(AO168+AP168+AR168+AS168))/-(AO74+AP74+AR74+AS74),""),"")</f>
        <v/>
      </c>
      <c r="AT333" s="262" t="str">
        <f>IFERROR(IF(AND(COUNT(AP69,AR69,AS69,AT69)=4,(AP74+AR74+AS74+AT74)&lt;&gt;0),((AP69+AR69+AS69+AT69)-(AP168+AR168+AS168+AT168))/-(AP74+AR74+AS74+AT74),""),"")</f>
        <v/>
      </c>
      <c r="AU333" s="262" t="str">
        <f>IFERROR(IF(AND(COUNT(AR69,AS69,AT69,AU69)=4,(AR74+AS74+AT74+AU74)&lt;&gt;0),((AR69+AS69+AT69+AU69)-(AR168+AS168+AT168+AU168))/-(AR74+AS74+AT74+AU74),""),"")</f>
        <v/>
      </c>
      <c r="AV333" s="262" t="str">
        <f>IFERROR(IF(AND(COUNT(AR69,AS69,AT69,AU69)=4,(AR74+AS74+AT74+AU74)&lt;&gt;0),((AR69+AS69+AT69+AU69)-(AR168+AS168+AT168+AU168))/-(AR74+AS74+AT74+AU74),""),"")</f>
        <v/>
      </c>
      <c r="AW333" s="262" t="str">
        <f>IFERROR(IF(AND(COUNT(AS69,AT69,AU69,AW69)=4,(AS74+AT74+AU74+AW74)&lt;&gt;0),((AS69+AT69+AU69+AW69)-(AS168+AT168+AU168+AW168))/-(AS74+AT74+AU74+AW74),""),"")</f>
        <v/>
      </c>
      <c r="AX333" s="262" t="str">
        <f>IFERROR(IF(AND(COUNT(AT69,AU69,AW69,AX69)=4,(AT74+AU74+AW74+AX74)&lt;&gt;0),((AT69+AU69+AW69+AX69)-(AT168+AU168+AW168+AX168))/-(AT74+AU74+AW74+AX74),""),"")</f>
        <v/>
      </c>
      <c r="AY333" s="262" t="str">
        <f>IFERROR(IF(AND(COUNT(AU69,AW69,AX69,AY69)=4,(AU74+AW74+AX74+AY74)&lt;&gt;0),((AU69+AW69+AX69+AY69)-(AU168+AW168+AX168+AY168))/-(AU74+AW74+AX74+AY74),""),"")</f>
        <v/>
      </c>
      <c r="AZ333" s="262" t="str">
        <f>IFERROR(IF(AND(COUNT(AW69,AX69,AY69,AZ69)=4,(AW74+AX74+AY74+AZ74)&lt;&gt;0),((AW69+AX69+AY69+AZ69)-(AW168+AX168+AY168+AZ168))/-(AW74+AX74+AY74+AZ74),""),"")</f>
        <v/>
      </c>
      <c r="BA333" s="262" t="str">
        <f>IFERROR(IF(AND(COUNT(AW69,AX69,AY69,AZ69)=4,(AW74+AX74+AY74+AZ74)&lt;&gt;0),((AW69+AX69+AY69+AZ69)-(AW168+AX168+AY168+AZ168))/-(AW74+AX74+AY74+AZ74),""),"")</f>
        <v/>
      </c>
      <c r="BB333" s="262" t="str">
        <f>IFERROR(IF(AND(COUNT(AX69,AY69,AZ69,BB69)=4,(AX74+AY74+AZ74+BB74)&lt;&gt;0),((AX69+AY69+AZ69+BB69)-(AX168+AY168+AZ168+BB168))/-(AX74+AY74+AZ74+BB74),""),"")</f>
        <v/>
      </c>
      <c r="BC333" s="262" t="str">
        <f>IFERROR(IF(AND(COUNT(AY69,AZ69,BB69,BC69)=4,(AY74+AZ74+BB74+BC74)&lt;&gt;0),((AY69+AZ69+BB69+BC69)-(AY168+AZ168+BB168+BC168))/-(AY74+AZ74+BB74+BC74),""),"")</f>
        <v/>
      </c>
      <c r="BD333" s="262" t="str">
        <f>IFERROR(IF(AND(COUNT(AZ69,BB69,BC69,BD69)=4,(AZ74+BB74+BC74+BD74)&lt;&gt;0),((AZ69+BB69+BC69+BD69)-(AZ168+BB168+BC168+BD168))/-(AZ74+BB74+BC74+BD74),""),"")</f>
        <v/>
      </c>
      <c r="BE333" s="262" t="str">
        <f>IFERROR(IF(AND(COUNT(BB69,BC69,BD69,BE69)=4,(BB74+BC74+BD74+BE74)&lt;&gt;0),((BB69+BC69+BD69+BE69)-(BB168+BC168+BD168+BE168))/-(BB74+BC74+BD74+BE74),""),"")</f>
        <v/>
      </c>
      <c r="BF333" s="262" t="str">
        <f>IFERROR(IF(AND(COUNT(BB69,BC69,BD69,BE69)=4,(BB74+BC74+BD74+BE74)&lt;&gt;0),((BB69+BC69+BD69+BE69)-(BB168+BC168+BD168+BE168))/-(BB74+BC74+BD74+BE74),""),"")</f>
        <v/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TOTAL DEBT / EBITDA (LTM)</t>
        </is>
      </c>
      <c r="D334" s="82" t="str">
        <f>IFERROR(SUM(D212,D213,D214,D217,D235,D238)/D69,"")</f>
        <v/>
      </c>
      <c r="E334" s="82" t="str">
        <f>IFERROR(SUM(E212,E213,E214,E217,E235,E238)/E69,"")</f>
        <v/>
      </c>
      <c r="F334" s="82" t="str">
        <f>IFERROR(SUM(F212,F213,F214,F217,F235,F238)/F69,"")</f>
        <v/>
      </c>
      <c r="G334" s="82" t="str">
        <f>IFERROR(SUM(G212,G213,G214,G217,G235,G238)/G69,"")</f>
        <v/>
      </c>
      <c r="H334" s="262" t="str">
        <f>IFERROR(IF(AND(COUNT(H69)=1,(H69)&lt;&gt;0),(N(H212)+N(H213)+N(H214)+N(H217)+N(H235)+N(H238))/(H69),""),"")</f>
        <v/>
      </c>
      <c r="I334" s="262" t="str">
        <f>""</f>
        <v/>
      </c>
      <c r="J334" s="262" t="str">
        <f>""</f>
        <v/>
      </c>
      <c r="K334" s="262" t="str">
        <f>""</f>
        <v/>
      </c>
      <c r="L334" s="262">
        <f>IFERROR(IF(AND(COUNT(I69,J69,K69,L69)=4,(I69+J69+K69+L69)&lt;&gt;0),(N(L212)+N(L213)+N(L214)+N(L217)+N(L235)+N(L238))/(I69+J69+K69+L69),""),"")</f>
        <v>4.3613140616382</v>
      </c>
      <c r="M334" s="262">
        <f>IFERROR(IF(AND(COUNT(I69,J69,K69,L69)=4,(I69+J69+K69+L69)&lt;&gt;0),(N(M212)+N(M213)+N(M214)+N(M217)+N(M235)+N(M238))/(I69+J69+K69+L69),""),"")</f>
        <v>4.3613140616382</v>
      </c>
      <c r="N334" s="262">
        <f>IFERROR(IF(AND(COUNT(J69,K69,L69,N69)=4,(J69+K69+L69+N69)&lt;&gt;0),(N(N212)+N(N213)+N(N214)+N(N217)+N(N235)+N(N238))/(J69+K69+L69+N69),""),"")</f>
        <v>3.39683263402725</v>
      </c>
      <c r="O334" s="262">
        <f>IFERROR(IF(AND(COUNT(K69,L69,N69,O69)=4,(K69+L69+N69+O69)&lt;&gt;0),(N(O212)+N(O213)+N(O214)+N(O217)+N(O235)+N(O238))/(K69+L69+N69+O69),""),"")</f>
        <v>3.25270335890059</v>
      </c>
      <c r="P334" s="262">
        <f>IFERROR(IF(AND(COUNT(L69,N69,O69,P69)=4,(L69+N69+O69+P69)&lt;&gt;0),(N(P212)+N(P213)+N(P214)+N(P217)+N(P235)+N(P238))/(L69+N69+O69+P69),""),"")</f>
        <v>2.99714664685425</v>
      </c>
      <c r="Q334" s="262">
        <f>IFERROR(IF(AND(COUNT(N69,O69,P69,Q69)=4,(N69+O69+P69+Q69)&lt;&gt;0),(N(Q212)+N(Q213)+N(Q214)+N(Q217)+N(Q235)+N(Q238))/(N69+O69+P69+Q69),""),"")</f>
        <v>5.77438100731525</v>
      </c>
      <c r="R334" s="262">
        <f>IFERROR(IF(AND(COUNT(N69,O69,P69,Q69)=4,(N69+O69+P69+Q69)&lt;&gt;0),(N(R212)+N(R213)+N(R214)+N(R217)+N(R235)+N(R238))/(N69+O69+P69+Q69),""),"")</f>
        <v>5.77438100731525</v>
      </c>
      <c r="S334" s="262">
        <f>IFERROR(IF(AND(COUNT(O69,P69,Q69,S69)=4,(O69+P69+Q69+S69)&lt;&gt;0),(N(S212)+N(S213)+N(S214)+N(S217)+N(S235)+N(S238))/(O69+P69+Q69+S69),""),"")</f>
        <v>4.70724615974238</v>
      </c>
      <c r="T334" s="262">
        <f>IFERROR(IF(AND(COUNT(P69,Q69,S69,T69)=4,(P69+Q69+S69+T69)&lt;&gt;0),(N(T212)+N(T213)+N(T214)+N(T217)+N(T235)+N(T238))/(P69+Q69+S69+T69),""),"")</f>
        <v>4.29560279920644</v>
      </c>
      <c r="U334" s="262">
        <f>IFERROR(IF(AND(COUNT(Q69,S69,T69,U69)=4,(Q69+S69+T69+U69)&lt;&gt;0),(N(U212)+N(U213)+N(U214)+N(U217)+N(U235)+N(U238))/(Q69+S69+T69+U69),""),"")</f>
        <v>4.46542023975301</v>
      </c>
      <c r="V334" s="262">
        <f>IFERROR(IF(AND(COUNT(S69,T69,U69,V69)=4,(S69+T69+U69+V69)&lt;&gt;0),(N(V212)+N(V213)+N(V214)+N(V217)+N(V235)+N(V238))/(S69+T69+U69+V69),""),"")</f>
        <v>3.42058259758364</v>
      </c>
      <c r="W334" s="262">
        <f>IFERROR(IF(AND(COUNT(S69,T69,U69,V69)=4,(S69+T69+U69+V69)&lt;&gt;0),(N(W212)+N(W213)+N(W214)+N(W217)+N(W235)+N(W238))/(S69+T69+U69+V69),""),"")</f>
        <v>3.42058259758364</v>
      </c>
      <c r="X334" s="262">
        <f>IFERROR(IF(AND(COUNT(T69,U69,V69,X69)=4,(T69+U69+V69+X69)&lt;&gt;0),(N(X212)+N(X213)+N(X214)+N(X217)+N(X235)+N(X238))/(T69+U69+V69+X69),""),"")</f>
        <v>3.14470433054044</v>
      </c>
      <c r="Y334" s="262">
        <f>IFERROR(IF(AND(COUNT(U69,V69,X69,Y69)=4,(U69+V69+X69+Y69)&lt;&gt;0),(N(Y212)+N(Y213)+N(Y214)+N(Y217)+N(Y235)+N(Y238))/(U69+V69+X69+Y69),""),"")</f>
        <v>3.3652453496156</v>
      </c>
      <c r="Z334" s="262">
        <f>IFERROR(IF(AND(COUNT(V69,X69,Y69,Z69)=4,(V69+X69+Y69+Z69)&lt;&gt;0),(N(Z212)+N(Z213)+N(Z214)+N(Z217)+N(Z235)+N(Z238))/(V69+X69+Y69+Z69),""),"")</f>
        <v>4.52564315201858</v>
      </c>
      <c r="AA334" s="262">
        <f>IFERROR(IF(AND(COUNT(X69,Y69,Z69,AA69)=4,(X69+Y69+Z69+AA69)&lt;&gt;0),(N(AA212)+N(AA213)+N(AA214)+N(AA217)+N(AA235)+N(AA238))/(X69+Y69+Z69+AA69),""),"")</f>
        <v>4.76594722947505</v>
      </c>
      <c r="AB334" s="262">
        <f>IFERROR(IF(AND(COUNT(X69,Y69,Z69,AA69)=4,(X69+Y69+Z69+AA69)&lt;&gt;0),(N(AB212)+N(AB213)+N(AB214)+N(AB217)+N(AB235)+N(AB238))/(X69+Y69+Z69+AA69),""),"")</f>
        <v>4.76594722947505</v>
      </c>
      <c r="AC334" s="262">
        <f>IFERROR(IF(AND(COUNT(Y69,Z69,AA69,AC69)=4,(Y69+Z69+AA69+AC69)&lt;&gt;0),(N(AC212)+N(AC213)+N(AC214)+N(AC217)+N(AC235)+N(AC238))/(Y69+Z69+AA69+AC69),""),"")</f>
        <v>4.88736862550446</v>
      </c>
      <c r="AD334" s="262">
        <f>IFERROR(IF(AND(COUNT(Z69,AA69,AC69,AD69)=4,(Z69+AA69+AC69+AD69)&lt;&gt;0),(N(AD212)+N(AD213)+N(AD214)+N(AD217)+N(AD235)+N(AD238))/(Z69+AA69+AC69+AD69),""),"")</f>
        <v>4.46921945688658</v>
      </c>
      <c r="AE334" s="262">
        <f>IFERROR(IF(AND(COUNT(AA69,AC69,AD69,AE69)=4,(AA69+AC69+AD69+AE69)&lt;&gt;0),(N(AE212)+N(AE213)+N(AE214)+N(AE217)+N(AE235)+N(AE238))/(AA69+AC69+AD69+AE69),""),"")</f>
        <v>4.88365501869363</v>
      </c>
      <c r="AF334" s="262">
        <f>IFERROR(IF(AND(COUNT(AB69,AD69,AE69,AF69)=4,(AB69+AD69+AE69+AF69)&lt;&gt;0),(N(AF212)+N(AF213)+N(AF214)+N(AF217)+N(AF235)+N(AF238))/(AB69+AD69+AE69+AF69),""),"")</f>
        <v>2.80228236422425</v>
      </c>
      <c r="AG334" s="262">
        <f>IFERROR(IF(AND(COUNT(AC69,AD69,AE69,AF69)=4,(AC69+AD69+AE69+AF69)&lt;&gt;0),(N(AG212)+N(AG213)+N(AG214)+N(AG217)+N(AG235)+N(AG238))/(AC69+AD69+AE69+AF69),""),"")</f>
        <v>4.59720140239597</v>
      </c>
      <c r="AH334" s="262">
        <f>IFERROR(IF(AND(COUNT(AD69,AF69,AG69,AH69)=4,(AD69+AF69+AG69+AH69)&lt;&gt;0),(N(AH212)+N(AH213)+N(AH214)+N(AH217)+N(AH235)+N(AH238))/(AD69+AF69+AG69+AH69),""),"")</f>
        <v>2.66794204317146</v>
      </c>
      <c r="AI334" s="262">
        <f>IFERROR(IF(AND(COUNT(AE69,AG69,AH69,AI69)=4,(AE69+AG69+AH69+AI69)&lt;&gt;0),(N(AI212)+N(AI213)+N(AI214)+N(AI217)+N(AI235)+N(AI238))/(AE69+AG69+AH69+AI69),""),"")</f>
        <v>4.29003833534032</v>
      </c>
      <c r="AJ334" s="262">
        <f>IFERROR(IF(AND(COUNT(AF69,AH69,AI69,AJ69)=4,(AF69+AH69+AI69+AJ69)&lt;&gt;0),(N(AJ212)+N(AJ213)+N(AJ214)+N(AJ217)+N(AJ235)+N(AJ238))/(AF69+AH69+AI69+AJ69),""),"")</f>
        <v>6.62017383594409</v>
      </c>
      <c r="AK334" s="262">
        <f>IFERROR(IF(AND(COUNT(AH69,AI69,AJ69,AK69)=4,(AH69+AI69+AJ69+AK69)&lt;&gt;0),(N(AK212)+N(AK213)+N(AK214)+N(AK217)+N(AK235)+N(AK238))/(AH69+AI69+AJ69+AK69),""),"")</f>
        <v>6.35054052780084</v>
      </c>
      <c r="AL334" s="262">
        <f>IFERROR(IF(AND(COUNT(AH69,AI69,AJ69,AK69)=4,(AH69+AI69+AJ69+AK69)&lt;&gt;0),(N(AL212)+N(AL213)+N(AL214)+N(AL217)+N(AL235)+N(AL238))/(AH69+AI69+AJ69+AK69),""),"")</f>
        <v>6.35054052780084</v>
      </c>
      <c r="AM334" s="262">
        <f>IFERROR(IF(AND(COUNT(AI69,AJ69,AK69,AM69)=4,(AI69+AJ69+AK69+AM69)&lt;&gt;0),(N(AM212)+N(AM213)+N(AM214)+N(AM217)+N(AM235)+N(AM238))/(AI69+AJ69+AK69+AM69),""),"")</f>
        <v>5.8235763131236</v>
      </c>
      <c r="AN334" s="262">
        <f>IFERROR(IF(AND(COUNT(AJ69,AK69,AM69,AN69)=4,(AJ69+AK69+AM69+AN69)&lt;&gt;0),(N(AN212)+N(AN213)+N(AN214)+N(AN217)+N(AN235)+N(AN238))/(AJ69+AK69+AM69+AN69),""),"")</f>
        <v>4.43225012094176</v>
      </c>
      <c r="AO334" s="262">
        <f>IFERROR(IF(AND(COUNT(AK69,AM69,AN69,AO69)=4,(AK69+AM69+AN69+AO69)&lt;&gt;0),(N(AO212)+N(AO213)+N(AO214)+N(AO217)+N(AO235)+N(AO238))/(AK69+AM69+AN69+AO69),""),"")</f>
        <v>4.12442338897085</v>
      </c>
      <c r="AP334" s="262">
        <f>IFERROR(IF(AND(COUNT(AM69,AN69,AO69,AP69)=4,(AM69+AN69+AO69+AP69)&lt;&gt;0),(N(AP212)+N(AP213)+N(AP214)+N(AP217)+N(AP235)+N(AP238))/(AM69+AN69+AO69+AP69),""),"")</f>
        <v>3.8715542759647</v>
      </c>
      <c r="AQ334" s="262">
        <f>IFERROR(IF(AND(COUNT(AM69,AN69,AO69,AP69)=4,(AM69+AN69+AO69+AP69)&lt;&gt;0),(N(AQ212)+N(AQ213)+N(AQ214)+N(AQ217)+N(AQ235)+N(AQ238))/(AM69+AN69+AO69+AP69),""),"")</f>
        <v>3.8715542759647</v>
      </c>
      <c r="AR334" s="262">
        <f>IFERROR(IF(AND(COUNT(AN69,AO69,AP69,AR69)=4,(AN69+AO69+AP69+AR69)&lt;&gt;0),(N(AR212)+N(AR213)+N(AR214)+N(AR217)+N(AR235)+N(AR238))/(AN69+AO69+AP69+AR69),""),"")</f>
        <v>3.59865640659261</v>
      </c>
      <c r="AS334" s="262">
        <f>IFERROR(IF(AND(COUNT(AO69,AP69,AR69,AS69)=4,(AO69+AP69+AR69+AS69)&lt;&gt;0),(N(AS212)+N(AS213)+N(AS214)+N(AS217)+N(AS235)+N(AS238))/(AO69+AP69+AR69+AS69),""),"")</f>
        <v>3.17732619321126</v>
      </c>
      <c r="AT334" s="262">
        <f>IFERROR(IF(AND(COUNT(AP69,AR69,AS69,AT69)=4,(AP69+AR69+AS69+AT69)&lt;&gt;0),(N(AT212)+N(AT213)+N(AT214)+N(AT217)+N(AT235)+N(AT238))/(AP69+AR69+AS69+AT69),""),"")</f>
        <v>2.9587737755108</v>
      </c>
      <c r="AU334" s="262">
        <f>IFERROR(IF(AND(COUNT(AR69,AS69,AT69,AU69)=4,(AR69+AS69+AT69+AU69)&lt;&gt;0),(N(AU212)+N(AU213)+N(AU214)+N(AU217)+N(AU235)+N(AU238))/(AR69+AS69+AT69+AU69),""),"")</f>
        <v>2.77900607225675</v>
      </c>
      <c r="AV334" s="262">
        <f>IFERROR(IF(AND(COUNT(AR69,AS69,AT69,AU69)=4,(AR69+AS69+AT69+AU69)&lt;&gt;0),(N(AV212)+N(AV213)+N(AV214)+N(AV217)+N(AV235)+N(AV238))/(AR69+AS69+AT69+AU69),""),"")</f>
        <v>2.77900607225675</v>
      </c>
      <c r="AW334" s="262">
        <f>IFERROR(IF(AND(COUNT(AS69,AT69,AU69,AW69)=4,(AS69+AT69+AU69+AW69)&lt;&gt;0),(N(AW212)+N(AW213)+N(AW214)+N(AW217)+N(AW235)+N(AW238))/(AS69+AT69+AU69+AW69),""),"")</f>
        <v>2.585437426576</v>
      </c>
      <c r="AX334" s="262">
        <f>IFERROR(IF(AND(COUNT(AT69,AU69,AW69,AX69)=4,(AT69+AU69+AW69+AX69)&lt;&gt;0),(N(AX212)+N(AX213)+N(AX214)+N(AX217)+N(AX235)+N(AX238))/(AT69+AU69+AW69+AX69),""),"")</f>
        <v>2.28590142907375</v>
      </c>
      <c r="AY334" s="262">
        <f>IFERROR(IF(AND(COUNT(AU69,AW69,AX69,AY69)=4,(AU69+AW69+AX69+AY69)&lt;&gt;0),(N(AY212)+N(AY213)+N(AY214)+N(AY217)+N(AY235)+N(AY238))/(AU69+AW69+AX69+AY69),""),"")</f>
        <v>2.13019852772381</v>
      </c>
      <c r="AZ334" s="262">
        <f>IFERROR(IF(AND(COUNT(AW69,AX69,AY69,AZ69)=4,(AW69+AX69+AY69+AZ69)&lt;&gt;0),(N(AZ212)+N(AZ213)+N(AZ214)+N(AZ217)+N(AZ235)+N(AZ238))/(AW69+AX69+AY69+AZ69),""),"")</f>
        <v>2.00195876772726</v>
      </c>
      <c r="BA334" s="262">
        <f>IFERROR(IF(AND(COUNT(AW69,AX69,AY69,AZ69)=4,(AW69+AX69+AY69+AZ69)&lt;&gt;0),(N(BA212)+N(BA213)+N(BA214)+N(BA217)+N(BA235)+N(BA238))/(AW69+AX69+AY69+AZ69),""),"")</f>
        <v>2.00195876772726</v>
      </c>
      <c r="BB334" s="262">
        <f>IFERROR(IF(AND(COUNT(AX69,AY69,AZ69,BB69)=4,(AX69+AY69+AZ69+BB69)&lt;&gt;0),(N(BB212)+N(BB213)+N(BB214)+N(BB217)+N(BB235)+N(BB238))/(AX69+AY69+AZ69+BB69),""),"")</f>
        <v>1.86418718637478</v>
      </c>
      <c r="BC334" s="262">
        <f>IFERROR(IF(AND(COUNT(AY69,AZ69,BB69,BC69)=4,(AY69+AZ69+BB69+BC69)&lt;&gt;0),(N(BC212)+N(BC213)+N(BC214)+N(BC217)+N(BC235)+N(BC238))/(AY69+AZ69+BB69+BC69),""),"")</f>
        <v>1.65050541480016</v>
      </c>
      <c r="BD334" s="262">
        <f>IFERROR(IF(AND(COUNT(AZ69,BB69,BC69,BD69)=4,(AZ69+BB69+BC69+BD69)&lt;&gt;0),(N(BD212)+N(BD213)+N(BD214)+N(BD217)+N(BD235)+N(BD238))/(AZ69+BB69+BC69+BD69),""),"")</f>
        <v>1.53919561332349</v>
      </c>
      <c r="BE334" s="262">
        <f>IFERROR(IF(AND(COUNT(BB69,BC69,BD69,BE69)=4,(BB69+BC69+BD69+BE69)&lt;&gt;0),(N(BE212)+N(BE213)+N(BE214)+N(BE217)+N(BE235)+N(BE238))/(BB69+BC69+BD69+BE69),""),"")</f>
        <v>1.44739772274799</v>
      </c>
      <c r="BF334" s="262">
        <f>IFERROR(IF(AND(COUNT(BB69,BC69,BD69,BE69)=4,(BB69+BC69+BD69+BE69)&lt;&gt;0),(N(BF212)+N(BF213)+N(BF214)+N(BF217)+N(BF235)+N(BF238))/(BB69+BC69+BD69+BE69),""),"")</f>
        <v>1.44739772274799</v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  <c r="C335" s="77" t="inlineStr">
        <is>
          <t>TOTAL DEBT / TOTAL CAPITALIZATION</t>
        </is>
      </c>
      <c r="D335" s="80" t="str">
        <f>IFERROR(SUM(D212+D213+D214+D217+D235+D238)/(SUM(D212+D213+D214+D217+D235+D238)+D271),"")</f>
        <v/>
      </c>
      <c r="E335" s="80" t="str">
        <f>IFERROR(SUM(E212+E213+E214+E217+E235+E238)/(SUM(E212+E213+E214+E217+E235+E238)+E271),"")</f>
        <v/>
      </c>
      <c r="F335" s="80" t="str">
        <f>IFERROR(SUM(F212+F213+F214+F217+F235+F238)/(SUM(F212+F213+F214+F217+F235+F238)+F271),"")</f>
        <v/>
      </c>
      <c r="G335" s="80" t="str">
        <f>IFERROR(SUM(G212+G213+G214+G217+G235+G238)/(SUM(G212+G213+G214+G217+G235+G238)+G271),"")</f>
        <v/>
      </c>
      <c r="H335" s="258" t="str">
        <f>IFERROR(IF(((N(H212)+N(H213)+N(H214)+N(H217)+N(H235)+N(H238))+N(H271))&lt;&gt;0,(N(H212)+N(H213)+N(H214)+N(H217)+N(H235)+N(H238))/((N(H212)+N(H213)+N(H214)+N(H217)+N(H235)+N(H238))+H271),""),"")</f>
        <v/>
      </c>
      <c r="I335" s="258">
        <f>IFERROR(IF(((N(I212)+N(I213)+N(I214)+N(I217)+N(I235)+N(I238))+N(I271))&lt;&gt;0,(N(I212)+N(I213)+N(I214)+N(I217)+N(I235)+N(I238))/((N(I212)+N(I213)+N(I214)+N(I217)+N(I235)+N(I238))+I271),""),"")</f>
        <v>0.473893522703285</v>
      </c>
      <c r="J335" s="258">
        <f>IFERROR(IF(((N(J212)+N(J213)+N(J214)+N(J217)+N(J235)+N(J238))+N(J271))&lt;&gt;0,(N(J212)+N(J213)+N(J214)+N(J217)+N(J235)+N(J238))/((N(J212)+N(J213)+N(J214)+N(J217)+N(J235)+N(J238))+J271),""),"")</f>
        <v>0.438000023307714</v>
      </c>
      <c r="K335" s="258">
        <f>IFERROR(IF(((N(K212)+N(K213)+N(K214)+N(K217)+N(K235)+N(K238))+N(K271))&lt;&gt;0,(N(K212)+N(K213)+N(K214)+N(K217)+N(K235)+N(K238))/((N(K212)+N(K213)+N(K214)+N(K217)+N(K235)+N(K238))+K271),""),"")</f>
        <v>0.428354760141676</v>
      </c>
      <c r="L335" s="258">
        <f>IFERROR(IF(((N(L212)+N(L213)+N(L214)+N(L217)+N(L235)+N(L238))+N(L271))&lt;&gt;0,(N(L212)+N(L213)+N(L214)+N(L217)+N(L235)+N(L238))/((N(L212)+N(L213)+N(L214)+N(L217)+N(L235)+N(L238))+L271),""),"")</f>
        <v>0.609766480817539</v>
      </c>
      <c r="M335" s="258">
        <f>IFERROR(IF(((N(M212)+N(M213)+N(M214)+N(M217)+N(M235)+N(M238))+N(M271))&lt;&gt;0,(N(M212)+N(M213)+N(M214)+N(M217)+N(M235)+N(M238))/((N(M212)+N(M213)+N(M214)+N(M217)+N(M235)+N(M238))+M271),""),"")</f>
        <v>0.609766480817539</v>
      </c>
      <c r="N335" s="258">
        <f>IFERROR(IF(((N(N212)+N(N213)+N(N214)+N(N217)+N(N235)+N(N238))+N(N271))&lt;&gt;0,(N(N212)+N(N213)+N(N214)+N(N217)+N(N235)+N(N238))/((N(N212)+N(N213)+N(N214)+N(N217)+N(N235)+N(N238))+N271),""),"")</f>
        <v>0.627061851825808</v>
      </c>
      <c r="O335" s="258">
        <f>IFERROR(IF(((N(O212)+N(O213)+N(O214)+N(O217)+N(O235)+N(O238))+N(O271))&lt;&gt;0,(N(O212)+N(O213)+N(O214)+N(O217)+N(O235)+N(O238))/((N(O212)+N(O213)+N(O214)+N(O217)+N(O235)+N(O238))+O271),""),"")</f>
        <v>0.579747221831874</v>
      </c>
      <c r="P335" s="258">
        <f>IFERROR(IF(((N(P212)+N(P213)+N(P214)+N(P217)+N(P235)+N(P238))+N(P271))&lt;&gt;0,(N(P212)+N(P213)+N(P214)+N(P217)+N(P235)+N(P238))/((N(P212)+N(P213)+N(P214)+N(P217)+N(P235)+N(P238))+P271),""),"")</f>
        <v>0.60425364157409</v>
      </c>
      <c r="Q335" s="258">
        <f>IFERROR(IF(((N(Q212)+N(Q213)+N(Q214)+N(Q217)+N(Q235)+N(Q238))+N(Q271))&lt;&gt;0,(N(Q212)+N(Q213)+N(Q214)+N(Q217)+N(Q235)+N(Q238))/((N(Q212)+N(Q213)+N(Q214)+N(Q217)+N(Q235)+N(Q238))+Q271),""),"")</f>
        <v>0.648157000469554</v>
      </c>
      <c r="R335" s="258">
        <f>IFERROR(IF(((N(R212)+N(R213)+N(R214)+N(R217)+N(R235)+N(R238))+N(R271))&lt;&gt;0,(N(R212)+N(R213)+N(R214)+N(R217)+N(R235)+N(R238))/((N(R212)+N(R213)+N(R214)+N(R217)+N(R235)+N(R238))+R271),""),"")</f>
        <v>0.648157000469554</v>
      </c>
      <c r="S335" s="258">
        <f>IFERROR(IF(((N(S212)+N(S213)+N(S214)+N(S217)+N(S235)+N(S238))+N(S271))&lt;&gt;0,(N(S212)+N(S213)+N(S214)+N(S217)+N(S235)+N(S238))/((N(S212)+N(S213)+N(S214)+N(S217)+N(S235)+N(S238))+S271),""),"")</f>
        <v>0.647725750420226</v>
      </c>
      <c r="T335" s="258">
        <f>IFERROR(IF(((N(T212)+N(T213)+N(T214)+N(T217)+N(T235)+N(T238))+N(T271))&lt;&gt;0,(N(T212)+N(T213)+N(T214)+N(T217)+N(T235)+N(T238))/((N(T212)+N(T213)+N(T214)+N(T217)+N(T235)+N(T238))+T271),""),"")</f>
        <v>0.617876310476402</v>
      </c>
      <c r="U335" s="258">
        <f>IFERROR(IF(((N(U212)+N(U213)+N(U214)+N(U217)+N(U235)+N(U238))+N(U271))&lt;&gt;0,(N(U212)+N(U213)+N(U214)+N(U217)+N(U235)+N(U238))/((N(U212)+N(U213)+N(U214)+N(U217)+N(U235)+N(U238))+U271),""),"")</f>
        <v>0.643010816273869</v>
      </c>
      <c r="V335" s="258">
        <f>IFERROR(IF(((N(V212)+N(V213)+N(V214)+N(V217)+N(V235)+N(V238))+N(V271))&lt;&gt;0,(N(V212)+N(V213)+N(V214)+N(V217)+N(V235)+N(V238))/((N(V212)+N(V213)+N(V214)+N(V217)+N(V235)+N(V238))+V271),""),"")</f>
        <v>0.61266885424643</v>
      </c>
      <c r="W335" s="258">
        <f>IFERROR(IF(((N(W212)+N(W213)+N(W214)+N(W217)+N(W235)+N(W238))+N(W271))&lt;&gt;0,(N(W212)+N(W213)+N(W214)+N(W217)+N(W235)+N(W238))/((N(W212)+N(W213)+N(W214)+N(W217)+N(W235)+N(W238))+W271),""),"")</f>
        <v>0.61266885424643</v>
      </c>
      <c r="X335" s="258">
        <f>IFERROR(IF(((N(X212)+N(X213)+N(X214)+N(X217)+N(X235)+N(X238))+N(X271))&lt;&gt;0,(N(X212)+N(X213)+N(X214)+N(X217)+N(X235)+N(X238))/((N(X212)+N(X213)+N(X214)+N(X217)+N(X235)+N(X238))+X271),""),"")</f>
        <v>0.599499005042837</v>
      </c>
      <c r="Y335" s="258">
        <f>IFERROR(IF(((N(Y212)+N(Y213)+N(Y214)+N(Y217)+N(Y235)+N(Y238))+N(Y271))&lt;&gt;0,(N(Y212)+N(Y213)+N(Y214)+N(Y217)+N(Y235)+N(Y238))/((N(Y212)+N(Y213)+N(Y214)+N(Y217)+N(Y235)+N(Y238))+Y271),""),"")</f>
        <v>0.621396007380872</v>
      </c>
      <c r="Z335" s="258">
        <f>IFERROR(IF(((N(Z212)+N(Z213)+N(Z214)+N(Z217)+N(Z235)+N(Z238))+N(Z271))&lt;&gt;0,(N(Z212)+N(Z213)+N(Z214)+N(Z217)+N(Z235)+N(Z238))/((N(Z212)+N(Z213)+N(Z214)+N(Z217)+N(Z235)+N(Z238))+Z271),""),"")</f>
        <v>0.694346966598263</v>
      </c>
      <c r="AA335" s="258">
        <f>IFERROR(IF(((N(AA212)+N(AA213)+N(AA214)+N(AA217)+N(AA235)+N(AA238))+N(AA271))&lt;&gt;0,(N(AA212)+N(AA213)+N(AA214)+N(AA217)+N(AA235)+N(AA238))/((N(AA212)+N(AA213)+N(AA214)+N(AA217)+N(AA235)+N(AA238))+AA271),""),"")</f>
        <v>0.693256975572771</v>
      </c>
      <c r="AB335" s="258">
        <f>IFERROR(IF(((N(AB212)+N(AB213)+N(AB214)+N(AB217)+N(AB235)+N(AB238))+N(AB271))&lt;&gt;0,(N(AB212)+N(AB213)+N(AB214)+N(AB217)+N(AB235)+N(AB238))/((N(AB212)+N(AB213)+N(AB214)+N(AB217)+N(AB235)+N(AB238))+AB271),""),"")</f>
        <v>0.693256975572771</v>
      </c>
      <c r="AC335" s="258">
        <f>IFERROR(IF(((N(AC212)+N(AC213)+N(AC214)+N(AC217)+N(AC235)+N(AC238))+N(AC271))&lt;&gt;0,(N(AC212)+N(AC213)+N(AC214)+N(AC217)+N(AC235)+N(AC238))/((N(AC212)+N(AC213)+N(AC214)+N(AC217)+N(AC235)+N(AC238))+AC271),""),"")</f>
        <v>0.700769604209444</v>
      </c>
      <c r="AD335" s="258">
        <f>IFERROR(IF(((N(AD212)+N(AD213)+N(AD214)+N(AD217)+N(AD235)+N(AD238))+N(AD271))&lt;&gt;0,(N(AD212)+N(AD213)+N(AD214)+N(AD217)+N(AD235)+N(AD238))/((N(AD212)+N(AD213)+N(AD214)+N(AD217)+N(AD235)+N(AD238))+AD271),""),"")</f>
        <v>0.569578154584039</v>
      </c>
      <c r="AE335" s="258">
        <f>IFERROR(IF(((N(AE212)+N(AE213)+N(AE214)+N(AE217)+N(AE235)+N(AE238))+N(AE271))&lt;&gt;0,(N(AE212)+N(AE213)+N(AE214)+N(AE217)+N(AE235)+N(AE238))/((N(AE212)+N(AE213)+N(AE214)+N(AE217)+N(AE235)+N(AE238))+AE271),""),"")</f>
        <v>0.588314410607238</v>
      </c>
      <c r="AF335" s="258">
        <f>IFERROR(IF(((N(AF212)+N(AF213)+N(AF214)+N(AF217)+N(AF235)+N(AF238))+N(AF271))&lt;&gt;0,(N(AF212)+N(AF213)+N(AF214)+N(AF217)+N(AF235)+N(AF238))/((N(AF212)+N(AF213)+N(AF214)+N(AF217)+N(AF235)+N(AF238))+AF271),""),"")</f>
        <v>0.589310414740006</v>
      </c>
      <c r="AG335" s="258">
        <f>IFERROR(IF(((N(AG212)+N(AG213)+N(AG214)+N(AG217)+N(AG235)+N(AG238))+N(AG271))&lt;&gt;0,(N(AG212)+N(AG213)+N(AG214)+N(AG217)+N(AG235)+N(AG238))/((N(AG212)+N(AG213)+N(AG214)+N(AG217)+N(AG235)+N(AG238))+AG271),""),"")</f>
        <v>0.589310414740006</v>
      </c>
      <c r="AH335" s="258">
        <f>IFERROR(IF(((N(AH212)+N(AH213)+N(AH214)+N(AH217)+N(AH235)+N(AH238))+N(AH271))&lt;&gt;0,(N(AH212)+N(AH213)+N(AH214)+N(AH217)+N(AH235)+N(AH238))/((N(AH212)+N(AH213)+N(AH214)+N(AH217)+N(AH235)+N(AH238))+AH271),""),"")</f>
        <v>0.597245882839308</v>
      </c>
      <c r="AI335" s="258">
        <f>IFERROR(IF(((N(AI212)+N(AI213)+N(AI214)+N(AI217)+N(AI235)+N(AI238))+N(AI271))&lt;&gt;0,(N(AI212)+N(AI213)+N(AI214)+N(AI217)+N(AI235)+N(AI238))/((N(AI212)+N(AI213)+N(AI214)+N(AI217)+N(AI235)+N(AI238))+AI271),""),"")</f>
        <v>0.425061413227778</v>
      </c>
      <c r="AJ335" s="258">
        <f>IFERROR(IF(((N(AJ212)+N(AJ213)+N(AJ214)+N(AJ217)+N(AJ235)+N(AJ238))+N(AJ271))&lt;&gt;0,(N(AJ212)+N(AJ213)+N(AJ214)+N(AJ217)+N(AJ235)+N(AJ238))/((N(AJ212)+N(AJ213)+N(AJ214)+N(AJ217)+N(AJ235)+N(AJ238))+AJ271),""),"")</f>
        <v>0.451546193052946</v>
      </c>
      <c r="AK335" s="258">
        <f>IFERROR(IF(((N(AK212)+N(AK213)+N(AK214)+N(AK217)+N(AK235)+N(AK238))+N(AK271))&lt;&gt;0,(N(AK212)+N(AK213)+N(AK214)+N(AK217)+N(AK235)+N(AK238))/((N(AK212)+N(AK213)+N(AK214)+N(AK217)+N(AK235)+N(AK238))+AK271),""),"")</f>
        <v>0.479652223270824</v>
      </c>
      <c r="AL335" s="258">
        <f>IFERROR(IF(((N(AL212)+N(AL213)+N(AL214)+N(AL217)+N(AL235)+N(AL238))+N(AL271))&lt;&gt;0,(N(AL212)+N(AL213)+N(AL214)+N(AL217)+N(AL235)+N(AL238))/((N(AL212)+N(AL213)+N(AL214)+N(AL217)+N(AL235)+N(AL238))+AL271),""),"")</f>
        <v>0.479652223270824</v>
      </c>
      <c r="AM335" s="258">
        <f>IFERROR(IF(((N(AM212)+N(AM213)+N(AM214)+N(AM217)+N(AM235)+N(AM238))+N(AM271))&lt;&gt;0,(N(AM212)+N(AM213)+N(AM214)+N(AM217)+N(AM235)+N(AM238))/((N(AM212)+N(AM213)+N(AM214)+N(AM217)+N(AM235)+N(AM238))+AM271),""),"")</f>
        <v>0.520211785475203</v>
      </c>
      <c r="AN335" s="258">
        <f>IFERROR(IF(((N(AN212)+N(AN213)+N(AN214)+N(AN217)+N(AN235)+N(AN238))+N(AN271))&lt;&gt;0,(N(AN212)+N(AN213)+N(AN214)+N(AN217)+N(AN235)+N(AN238))/((N(AN212)+N(AN213)+N(AN214)+N(AN217)+N(AN235)+N(AN238))+AN271),""),"")</f>
        <v>0.618621457402723</v>
      </c>
      <c r="AO335" s="258">
        <f>IFERROR(IF(((N(AO212)+N(AO213)+N(AO214)+N(AO217)+N(AO235)+N(AO238))+N(AO271))&lt;&gt;0,(N(AO212)+N(AO213)+N(AO214)+N(AO217)+N(AO235)+N(AO238))/((N(AO212)+N(AO213)+N(AO214)+N(AO217)+N(AO235)+N(AO238))+AO271),""),"")</f>
        <v>0.702459366550184</v>
      </c>
      <c r="AP335" s="258">
        <f>IFERROR(IF(((N(AP212)+N(AP213)+N(AP214)+N(AP217)+N(AP235)+N(AP238))+N(AP271))&lt;&gt;0,(N(AP212)+N(AP213)+N(AP214)+N(AP217)+N(AP235)+N(AP238))/((N(AP212)+N(AP213)+N(AP214)+N(AP217)+N(AP235)+N(AP238))+AP271),""),"")</f>
        <v>0.805065964280368</v>
      </c>
      <c r="AQ335" s="258">
        <f>IFERROR(IF(((N(AQ212)+N(AQ213)+N(AQ214)+N(AQ217)+N(AQ235)+N(AQ238))+N(AQ271))&lt;&gt;0,(N(AQ212)+N(AQ213)+N(AQ214)+N(AQ217)+N(AQ235)+N(AQ238))/((N(AQ212)+N(AQ213)+N(AQ214)+N(AQ217)+N(AQ235)+N(AQ238))+AQ271),""),"")</f>
        <v>0.805065964280368</v>
      </c>
      <c r="AR335" s="258">
        <f>IFERROR(IF(((N(AR212)+N(AR213)+N(AR214)+N(AR217)+N(AR235)+N(AR238))+N(AR271))&lt;&gt;0,(N(AR212)+N(AR213)+N(AR214)+N(AR217)+N(AR235)+N(AR238))/((N(AR212)+N(AR213)+N(AR214)+N(AR217)+N(AR235)+N(AR238))+AR271),""),"")</f>
        <v>0.984563082178243</v>
      </c>
      <c r="AS335" s="258">
        <f>IFERROR(IF(((N(AS212)+N(AS213)+N(AS214)+N(AS217)+N(AS235)+N(AS238))+N(AS271))&lt;&gt;0,(N(AS212)+N(AS213)+N(AS214)+N(AS217)+N(AS235)+N(AS238))/((N(AS212)+N(AS213)+N(AS214)+N(AS217)+N(AS235)+N(AS238))+AS271),""),"")</f>
        <v>1.6958912881501</v>
      </c>
      <c r="AT335" s="258">
        <f>IFERROR(IF(((N(AT212)+N(AT213)+N(AT214)+N(AT217)+N(AT235)+N(AT238))+N(AT271))&lt;&gt;0,(N(AT212)+N(AT213)+N(AT214)+N(AT217)+N(AT235)+N(AT238))/((N(AT212)+N(AT213)+N(AT214)+N(AT217)+N(AT235)+N(AT238))+AT271),""),"")</f>
        <v>3.11638443853301</v>
      </c>
      <c r="AU335" s="258">
        <f>IFERROR(IF(((N(AU212)+N(AU213)+N(AU214)+N(AU217)+N(AU235)+N(AU238))+N(AU271))&lt;&gt;0,(N(AU212)+N(AU213)+N(AU214)+N(AU217)+N(AU235)+N(AU238))/((N(AU212)+N(AU213)+N(AU214)+N(AU217)+N(AU235)+N(AU238))+AU271),""),"")</f>
        <v>14.6802392310694</v>
      </c>
      <c r="AV335" s="258">
        <f>IFERROR(IF(((N(AV212)+N(AV213)+N(AV214)+N(AV217)+N(AV235)+N(AV238))+N(AV271))&lt;&gt;0,(N(AV212)+N(AV213)+N(AV214)+N(AV217)+N(AV235)+N(AV238))/((N(AV212)+N(AV213)+N(AV214)+N(AV217)+N(AV235)+N(AV238))+AV271),""),"")</f>
        <v>14.6802392310694</v>
      </c>
      <c r="AW335" s="258">
        <f>IFERROR(IF(((N(AW212)+N(AW213)+N(AW214)+N(AW217)+N(AW235)+N(AW238))+N(AW271))&lt;&gt;0,(N(AW212)+N(AW213)+N(AW214)+N(AW217)+N(AW235)+N(AW238))/((N(AW212)+N(AW213)+N(AW214)+N(AW217)+N(AW235)+N(AW238))+AW271),""),"")</f>
        <v>-4.06118322952251</v>
      </c>
      <c r="AX335" s="258">
        <f>IFERROR(IF(((N(AX212)+N(AX213)+N(AX214)+N(AX217)+N(AX235)+N(AX238))+N(AX271))&lt;&gt;0,(N(AX212)+N(AX213)+N(AX214)+N(AX217)+N(AX235)+N(AX238))/((N(AX212)+N(AX213)+N(AX214)+N(AX217)+N(AX235)+N(AX238))+AX271),""),"")</f>
        <v>-1.19387519063267</v>
      </c>
      <c r="AY335" s="258">
        <f>IFERROR(IF(((N(AY212)+N(AY213)+N(AY214)+N(AY217)+N(AY235)+N(AY238))+N(AY271))&lt;&gt;0,(N(AY212)+N(AY213)+N(AY214)+N(AY217)+N(AY235)+N(AY238))/((N(AY212)+N(AY213)+N(AY214)+N(AY217)+N(AY235)+N(AY238))+AY271),""),"")</f>
        <v>-0.825963107238442</v>
      </c>
      <c r="AZ335" s="258">
        <f>IFERROR(IF(((N(AZ212)+N(AZ213)+N(AZ214)+N(AZ217)+N(AZ235)+N(AZ238))+N(AZ271))&lt;&gt;0,(N(AZ212)+N(AZ213)+N(AZ214)+N(AZ217)+N(AZ235)+N(AZ238))/((N(AZ212)+N(AZ213)+N(AZ214)+N(AZ217)+N(AZ235)+N(AZ238))+AZ271),""),"")</f>
        <v>-0.640375757868477</v>
      </c>
      <c r="BA335" s="258">
        <f>IFERROR(IF(((N(BA212)+N(BA213)+N(BA214)+N(BA217)+N(BA235)+N(BA238))+N(BA271))&lt;&gt;0,(N(BA212)+N(BA213)+N(BA214)+N(BA217)+N(BA235)+N(BA238))/((N(BA212)+N(BA213)+N(BA214)+N(BA217)+N(BA235)+N(BA238))+BA271),""),"")</f>
        <v>-0.640375757868477</v>
      </c>
      <c r="BB335" s="258">
        <f>IFERROR(IF(((N(BB212)+N(BB213)+N(BB214)+N(BB217)+N(BB235)+N(BB238))+N(BB271))&lt;&gt;0,(N(BB212)+N(BB213)+N(BB214)+N(BB217)+N(BB235)+N(BB238))/((N(BB212)+N(BB213)+N(BB214)+N(BB217)+N(BB235)+N(BB238))+BB271),""),"")</f>
        <v>-0.50090721914924</v>
      </c>
      <c r="BC335" s="258">
        <f>IFERROR(IF(((N(BC212)+N(BC213)+N(BC214)+N(BC217)+N(BC235)+N(BC238))+N(BC271))&lt;&gt;0,(N(BC212)+N(BC213)+N(BC214)+N(BC217)+N(BC235)+N(BC238))/((N(BC212)+N(BC213)+N(BC214)+N(BC217)+N(BC235)+N(BC238))+BC271),""),"")</f>
        <v>-0.355323857490677</v>
      </c>
      <c r="BD335" s="258">
        <f>IFERROR(IF(((N(BD212)+N(BD213)+N(BD214)+N(BD217)+N(BD235)+N(BD238))+N(BD271))&lt;&gt;0,(N(BD212)+N(BD213)+N(BD214)+N(BD217)+N(BD235)+N(BD238))/((N(BD212)+N(BD213)+N(BD214)+N(BD217)+N(BD235)+N(BD238))+BD271),""),"")</f>
        <v>-0.300265685263452</v>
      </c>
      <c r="BE335" s="258">
        <f>IFERROR(IF(((N(BE212)+N(BE213)+N(BE214)+N(BE217)+N(BE235)+N(BE238))+N(BE271))&lt;&gt;0,(N(BE212)+N(BE213)+N(BE214)+N(BE217)+N(BE235)+N(BE238))/((N(BE212)+N(BE213)+N(BE214)+N(BE217)+N(BE235)+N(BE238))+BE271),""),"")</f>
        <v>-0.262075466114582</v>
      </c>
      <c r="BF335" s="258">
        <f>IFERROR(IF(((N(BF212)+N(BF213)+N(BF214)+N(BF217)+N(BF235)+N(BF238))+N(BF271))&lt;&gt;0,(N(BF212)+N(BF213)+N(BF214)+N(BF217)+N(BF235)+N(BF238))/((N(BF212)+N(BF213)+N(BF214)+N(BF217)+N(BF235)+N(BF238))+BF271),""),"")</f>
        <v>-0.262075466114582</v>
      </c>
      <c r="BG335" s="80" t="n"/>
      <c r="BH335" s="80" t="n"/>
      <c r="BI335" s="80" t="n"/>
      <c r="BJ335" s="80" t="n"/>
      <c r="BL335" s="80" t="n"/>
      <c r="BM335" s="80" t="n"/>
      <c r="BN335" s="80" t="n"/>
      <c r="BO335" s="80" t="n"/>
      <c r="BQ335" s="80" t="n"/>
      <c r="BR335" s="80" t="n"/>
      <c r="BS335" s="80" t="n"/>
      <c r="BT335" s="80" t="n"/>
      <c r="BV335" s="80" t="n"/>
      <c r="BW335" s="80" t="n"/>
      <c r="BX335" s="80" t="n"/>
      <c r="BY335" s="80" t="n"/>
      <c r="CA335" s="80" t="n"/>
      <c r="CB335" s="80" t="n"/>
      <c r="CC335" s="80" t="n"/>
      <c r="CD335" s="80" t="n"/>
      <c r="CF335" s="80" t="n"/>
      <c r="CG335" s="80" t="n"/>
      <c r="CH335" s="80" t="n"/>
      <c r="CI335" s="80" t="n"/>
      <c r="CK335" s="80" t="n"/>
      <c r="CL335" s="80" t="n"/>
      <c r="CM335" s="80" t="n"/>
      <c r="CN335" s="80" t="n"/>
      <c r="CP335" s="80" t="n"/>
      <c r="CQ335" s="80" t="n"/>
      <c r="CR335" s="80" t="n"/>
      <c r="CS335" s="80" t="n"/>
      <c r="CU335" s="80" t="n"/>
      <c r="CV335" s="80" t="n"/>
      <c r="CW335" s="80" t="n"/>
      <c r="CX335" s="80" t="n"/>
    </row>
    <row r="336" customFormat="1" s="77">
      <c r="A336" s="76" t="n"/>
      <c r="B336" s="76" t="n"/>
      <c r="C336" s="77" t="inlineStr">
        <is>
          <t>NET DEBT / EBITDA (LTM)</t>
        </is>
      </c>
      <c r="D336" s="82" t="str">
        <f>IFERROR(SUM((D212+D213+D214+D217+D235)-D144)/(D69*4),"")</f>
        <v/>
      </c>
      <c r="E336" s="82" t="str">
        <f>IFERROR(SUM((E212+E213+E214+E217+E235)-E144)/(E69*4),"")</f>
        <v/>
      </c>
      <c r="F336" s="82" t="str">
        <f>IFERROR(SUM((F212+F213+F214+F217+F235)-F144)/(F69*4),"")</f>
        <v/>
      </c>
      <c r="G336" s="82" t="str">
        <f>IFERROR(SUM((G212+G213+G214+G217+G235)-G144)/(G69*4),"")</f>
        <v/>
      </c>
      <c r="H336" s="262" t="str">
        <f>IFERROR(IF(AND(COUNT(H69)=1,(H69)&lt;&gt;0),((N(H212)+N(H213)+N(H214)+N(H217)+N(H235)+N(H238))-N(H144))/(H69),""),"")</f>
        <v/>
      </c>
      <c r="I336" s="262" t="str">
        <f>""</f>
        <v/>
      </c>
      <c r="J336" s="262" t="str">
        <f>""</f>
        <v/>
      </c>
      <c r="K336" s="262" t="str">
        <f>""</f>
        <v/>
      </c>
      <c r="L336" s="262">
        <f>IFERROR(IF(AND(COUNT(I69,J69,K69,L69)=4,(I69+J69+K69+L69)&lt;&gt;0),((N(L212)+N(L213)+N(L214)+N(L217)+N(L235)+N(L238))-N(L144))/(I69+J69+K69+L69),""),"")</f>
        <v>1.32870429835365</v>
      </c>
      <c r="M336" s="262">
        <f>IFERROR(IF(AND(COUNT(I69,J69,K69,L69)=4,(I69+J69+K69+L69)&lt;&gt;0),((N(M212)+N(M213)+N(M214)+N(M217)+N(M235)+N(M238))-N(M144))/(I69+J69+K69+L69),""),"")</f>
        <v>1.32870429835365</v>
      </c>
      <c r="N336" s="262">
        <f>IFERROR(IF(AND(COUNT(J69,K69,L69,N69)=4,(J69+K69+L69+N69)&lt;&gt;0),((N(N212)+N(N213)+N(N214)+N(N217)+N(N235)+N(N238))-N(N144))/(J69+K69+L69+N69),""),"")</f>
        <v>1.81035049951809</v>
      </c>
      <c r="O336" s="262">
        <f>IFERROR(IF(AND(COUNT(K69,L69,N69,O69)=4,(K69+L69+N69+O69)&lt;&gt;0),((N(O212)+N(O213)+N(O214)+N(O217)+N(O235)+N(O238))-N(O144))/(K69+L69+N69+O69),""),"")</f>
        <v>2.9297831569384</v>
      </c>
      <c r="P336" s="262">
        <f>IFERROR(IF(AND(COUNT(L69,N69,O69,P69)=4,(L69+N69+O69+P69)&lt;&gt;0),((N(P212)+N(P213)+N(P214)+N(P217)+N(P235)+N(P238))-N(P144))/(L69+N69+O69+P69),""),"")</f>
        <v>2.7833411580238</v>
      </c>
      <c r="Q336" s="262">
        <f>IFERROR(IF(AND(COUNT(N69,O69,P69,Q69)=4,(N69+O69+P69+Q69)&lt;&gt;0),((N(Q212)+N(Q213)+N(Q214)+N(Q217)+N(Q235)+N(Q238))-N(Q144))/(N69+O69+P69+Q69),""),"")</f>
        <v>4.47630496541835</v>
      </c>
      <c r="R336" s="262">
        <f>IFERROR(IF(AND(COUNT(N69,O69,P69,Q69)=4,(N69+O69+P69+Q69)&lt;&gt;0),((N(R212)+N(R213)+N(R214)+N(R217)+N(R235)+N(R238))-N(R144))/(N69+O69+P69+Q69),""),"")</f>
        <v>4.47630496541835</v>
      </c>
      <c r="S336" s="262">
        <f>IFERROR(IF(AND(COUNT(O69,P69,Q69,S69)=4,(O69+P69+Q69+S69)&lt;&gt;0),((N(S212)+N(S213)+N(S214)+N(S217)+N(S235)+N(S238))-N(S144))/(O69+P69+Q69+S69),""),"")</f>
        <v>3.85735871332097</v>
      </c>
      <c r="T336" s="262">
        <f>IFERROR(IF(AND(COUNT(P69,Q69,S69,T69)=4,(P69+Q69+S69+T69)&lt;&gt;0),((N(T212)+N(T213)+N(T214)+N(T217)+N(T235)+N(T238))-N(T144))/(P69+Q69+S69+T69),""),"")</f>
        <v>3.41941013847138</v>
      </c>
      <c r="U336" s="262">
        <f>IFERROR(IF(AND(COUNT(Q69,S69,T69,U69)=4,(Q69+S69+T69+U69)&lt;&gt;0),((N(U212)+N(U213)+N(U214)+N(U217)+N(U235)+N(U238))-N(U144))/(Q69+S69+T69+U69),""),"")</f>
        <v>3.48222012327381</v>
      </c>
      <c r="V336" s="262">
        <f>IFERROR(IF(AND(COUNT(S69,T69,U69,V69)=4,(S69+T69+U69+V69)&lt;&gt;0),((N(V212)+N(V213)+N(V214)+N(V217)+N(V235)+N(V238))-N(V144))/(S69+T69+U69+V69),""),"")</f>
        <v>2.4824029972119</v>
      </c>
      <c r="W336" s="262">
        <f>IFERROR(IF(AND(COUNT(S69,T69,U69,V69)=4,(S69+T69+U69+V69)&lt;&gt;0),((N(W212)+N(W213)+N(W214)+N(W217)+N(W235)+N(W238))-N(W144))/(S69+T69+U69+V69),""),"")</f>
        <v>2.4824029972119</v>
      </c>
      <c r="X336" s="262">
        <f>IFERROR(IF(AND(COUNT(T69,U69,V69,X69)=4,(T69+U69+V69+X69)&lt;&gt;0),((N(X212)+N(X213)+N(X214)+N(X217)+N(X235)+N(X238))-N(X144))/(T69+U69+V69+X69),""),"")</f>
        <v>2.42034135816067</v>
      </c>
      <c r="Y336" s="262">
        <f>IFERROR(IF(AND(COUNT(U69,V69,X69,Y69)=4,(U69+V69+X69+Y69)&lt;&gt;0),((N(Y212)+N(Y213)+N(Y214)+N(Y217)+N(Y235)+N(Y238))-N(Y144))/(U69+V69+X69+Y69),""),"")</f>
        <v>2.58024068401728</v>
      </c>
      <c r="Z336" s="262">
        <f>IFERROR(IF(AND(COUNT(V69,X69,Y69,Z69)=4,(V69+X69+Y69+Z69)&lt;&gt;0),((N(Z212)+N(Z213)+N(Z214)+N(Z217)+N(Z235)+N(Z238))-N(Z144))/(V69+X69+Y69+Z69),""),"")</f>
        <v>2.7212527008636</v>
      </c>
      <c r="AA336" s="262">
        <f>IFERROR(IF(AND(COUNT(X69,Y69,Z69,AA69)=4,(X69+Y69+Z69+AA69)&lt;&gt;0),((N(AA212)+N(AA213)+N(AA214)+N(AA217)+N(AA235)+N(AA238))-N(AA144))/(X69+Y69+Z69+AA69),""),"")</f>
        <v>3.31366464123862</v>
      </c>
      <c r="AB336" s="262">
        <f>IFERROR(IF(AND(COUNT(X69,Y69,Z69,AA69)=4,(X69+Y69+Z69+AA69)&lt;&gt;0),((N(AB212)+N(AB213)+N(AB214)+N(AB217)+N(AB235)+N(AB238))-N(AB144))/(X69+Y69+Z69+AA69),""),"")</f>
        <v>3.31366464123862</v>
      </c>
      <c r="AC336" s="262">
        <f>IFERROR(IF(AND(COUNT(Y69,Z69,AA69,AC69)=4,(Y69+Z69+AA69+AC69)&lt;&gt;0),((N(AC212)+N(AC213)+N(AC214)+N(AC217)+N(AC235)+N(AC238))-N(AC144))/(Y69+Z69+AA69+AC69),""),"")</f>
        <v>3.56939858476428</v>
      </c>
      <c r="AD336" s="262">
        <f>IFERROR(IF(AND(COUNT(Z69,AA69,AC69,AD69)=4,(Z69+AA69+AC69+AD69)&lt;&gt;0),((N(AD212)+N(AD213)+N(AD214)+N(AD217)+N(AD235)+N(AD238))-N(AD144))/(Z69+AA69+AC69+AD69),""),"")</f>
        <v>2.19503586703937</v>
      </c>
      <c r="AE336" s="262">
        <f>IFERROR(IF(AND(COUNT(AA69,AC69,AD69,AE69)=4,(AA69+AC69+AD69+AE69)&lt;&gt;0),((N(AE212)+N(AE213)+N(AE214)+N(AE217)+N(AE235)+N(AE238))-N(AE144))/(AA69+AC69+AD69+AE69),""),"")</f>
        <v>2.51879637115686</v>
      </c>
      <c r="AF336" s="262">
        <f>IFERROR(IF(AND(COUNT(AB69,AD69,AE69,AF69)=4,(AB69+AD69+AE69+AF69)&lt;&gt;0),((N(AF212)+N(AF213)+N(AF214)+N(AF217)+N(AF235)+N(AF238))-N(AF144))/(AB69+AD69+AE69+AF69),""),"")</f>
        <v>1.64137908466295</v>
      </c>
      <c r="AG336" s="262">
        <f>IFERROR(IF(AND(COUNT(AC69,AD69,AE69,AF69)=4,(AC69+AD69+AE69+AF69)&lt;&gt;0),((N(AG212)+N(AG213)+N(AG214)+N(AG217)+N(AG235)+N(AG238))-N(AG144))/(AC69+AD69+AE69+AF69),""),"")</f>
        <v>2.69271588267116</v>
      </c>
      <c r="AH336" s="262">
        <f>IFERROR(IF(AND(COUNT(AD69,AF69,AG69,AH69)=4,(AD69+AF69+AG69+AH69)&lt;&gt;0),((N(AH212)+N(AH213)+N(AH214)+N(AH217)+N(AH235)+N(AH238))-N(AH144))/(AD69+AF69+AG69+AH69),""),"")</f>
        <v>1.67297227142421</v>
      </c>
      <c r="AI336" s="262">
        <f>IFERROR(IF(AND(COUNT(AE69,AG69,AH69,AI69)=4,(AE69+AG69+AH69+AI69)&lt;&gt;0),((N(AI212)+N(AI213)+N(AI214)+N(AI217)+N(AI235)+N(AI238))-N(AI144))/(AE69+AG69+AH69+AI69),""),"")</f>
        <v>2.583946661953</v>
      </c>
      <c r="AJ336" s="262">
        <f>IFERROR(IF(AND(COUNT(AF69,AH69,AI69,AJ69)=4,(AF69+AH69+AI69+AJ69)&lt;&gt;0),((N(AJ212)+N(AJ213)+N(AJ214)+N(AJ217)+N(AJ235)+N(AJ238))-N(AJ144))/(AF69+AH69+AI69+AJ69),""),"")</f>
        <v>4.76342444803277</v>
      </c>
      <c r="AK336" s="262">
        <f>IFERROR(IF(AND(COUNT(AH69,AI69,AJ69,AK69)=4,(AH69+AI69+AJ69+AK69)&lt;&gt;0),((N(AK212)+N(AK213)+N(AK214)+N(AK217)+N(AK235)+N(AK238))-N(AK144))/(AH69+AI69+AJ69+AK69),""),"")</f>
        <v>5.59767122863718</v>
      </c>
      <c r="AL336" s="262">
        <f>IFERROR(IF(AND(COUNT(AH69,AI69,AJ69,AK69)=4,(AH69+AI69+AJ69+AK69)&lt;&gt;0),((N(AL212)+N(AL213)+N(AL214)+N(AL217)+N(AL235)+N(AL238))-N(AL144))/(AH69+AI69+AJ69+AK69),""),"")</f>
        <v>5.59767122863718</v>
      </c>
      <c r="AM336" s="262">
        <f>IFERROR(IF(AND(COUNT(AI69,AJ69,AK69,AM69)=4,(AI69+AJ69+AK69+AM69)&lt;&gt;0),((N(AM212)+N(AM213)+N(AM214)+N(AM217)+N(AM235)+N(AM238))-N(AM144))/(AI69+AJ69+AK69+AM69),""),"")</f>
        <v>6.36048621031611</v>
      </c>
      <c r="AN336" s="262">
        <f>IFERROR(IF(AND(COUNT(AJ69,AK69,AM69,AN69)=4,(AJ69+AK69+AM69+AN69)&lt;&gt;0),((N(AN212)+N(AN213)+N(AN214)+N(AN217)+N(AN235)+N(AN238))-N(AN144))/(AJ69+AK69+AM69+AN69),""),"")</f>
        <v>6.84421229237878</v>
      </c>
      <c r="AO336" s="262">
        <f>IFERROR(IF(AND(COUNT(AK69,AM69,AN69,AO69)=4,(AK69+AM69+AN69+AO69)&lt;&gt;0),((N(AO212)+N(AO213)+N(AO214)+N(AO217)+N(AO235)+N(AO238))-N(AO144))/(AK69+AM69+AN69+AO69),""),"")</f>
        <v>6.98298990648539</v>
      </c>
      <c r="AP336" s="262">
        <f>IFERROR(IF(AND(COUNT(AM69,AN69,AO69,AP69)=4,(AM69+AN69+AO69+AP69)&lt;&gt;0),((N(AP212)+N(AP213)+N(AP214)+N(AP217)+N(AP235)+N(AP238))-N(AP144))/(AM69+AN69+AO69+AP69),""),"")</f>
        <v>6.98837084509127</v>
      </c>
      <c r="AQ336" s="262">
        <f>IFERROR(IF(AND(COUNT(AM69,AN69,AO69,AP69)=4,(AM69+AN69+AO69+AP69)&lt;&gt;0),((N(AQ212)+N(AQ213)+N(AQ214)+N(AQ217)+N(AQ235)+N(AQ238))-N(AQ144))/(AM69+AN69+AO69+AP69),""),"")</f>
        <v>6.98837084509127</v>
      </c>
      <c r="AR336" s="262">
        <f>IFERROR(IF(AND(COUNT(AN69,AO69,AP69,AR69)=4,(AN69+AO69+AP69+AR69)&lt;&gt;0),((N(AR212)+N(AR213)+N(AR214)+N(AR217)+N(AR235)+N(AR238))-N(AR144))/(AN69+AO69+AP69+AR69),""),"")</f>
        <v>6.98327434496468</v>
      </c>
      <c r="AS336" s="262">
        <f>IFERROR(IF(AND(COUNT(AO69,AP69,AR69,AS69)=4,(AO69+AP69+AR69+AS69)&lt;&gt;0),((N(AS212)+N(AS213)+N(AS214)+N(AS217)+N(AS235)+N(AS238))-N(AS144))/(AO69+AP69+AR69+AS69),""),"")</f>
        <v>7.47491183869036</v>
      </c>
      <c r="AT336" s="262">
        <f>IFERROR(IF(AND(COUNT(AP69,AR69,AS69,AT69)=4,(AP69+AR69+AS69+AT69)&lt;&gt;0),((N(AT212)+N(AT213)+N(AT214)+N(AT217)+N(AT235)+N(AT238))-N(AT144))/(AP69+AR69+AS69+AT69),""),"")</f>
        <v>6.67602183144875</v>
      </c>
      <c r="AU336" s="262">
        <f>IFERROR(IF(AND(COUNT(AR69,AS69,AT69,AU69)=4,(AR69+AS69+AT69+AU69)&lt;&gt;0),((N(AU212)+N(AU213)+N(AU214)+N(AU217)+N(AU235)+N(AU238))-N(AU144))/(AR69+AS69+AT69+AU69),""),"")</f>
        <v>5.53074259421128</v>
      </c>
      <c r="AV336" s="262">
        <f>IFERROR(IF(AND(COUNT(AR69,AS69,AT69,AU69)=4,(AR69+AS69+AT69+AU69)&lt;&gt;0),((N(AV212)+N(AV213)+N(AV214)+N(AV217)+N(AV235)+N(AV238))-N(AV144))/(AR69+AS69+AT69+AU69),""),"")</f>
        <v>5.53074259421128</v>
      </c>
      <c r="AW336" s="262">
        <f>IFERROR(IF(AND(COUNT(AS69,AT69,AU69,AW69)=4,(AS69+AT69+AU69+AW69)&lt;&gt;0),((N(AW212)+N(AW213)+N(AW214)+N(AW217)+N(AW235)+N(AW238))-N(AW144))/(AS69+AT69+AU69+AW69),""),"")</f>
        <v>4.13276015974119</v>
      </c>
      <c r="AX336" s="262">
        <f>IFERROR(IF(AND(COUNT(AT69,AU69,AW69,AX69)=4,(AT69+AU69+AW69+AX69)&lt;&gt;0),((N(AX212)+N(AX213)+N(AX214)+N(AX217)+N(AX235)+N(AX238))-N(AX144))/(AT69+AU69+AW69+AX69),""),"")</f>
        <v>3.12056666504138</v>
      </c>
      <c r="AY336" s="262">
        <f>IFERROR(IF(AND(COUNT(AU69,AW69,AX69,AY69)=4,(AU69+AW69+AX69+AY69)&lt;&gt;0),((N(AY212)+N(AY213)+N(AY214)+N(AY217)+N(AY235)+N(AY238))-N(AY144))/(AU69+AW69+AX69+AY69),""),"")</f>
        <v>0.250503419986972</v>
      </c>
      <c r="AZ336" s="262">
        <f>IFERROR(IF(AND(COUNT(AW69,AX69,AY69,AZ69)=4,(AW69+AX69+AY69+AZ69)&lt;&gt;0),((N(AZ212)+N(AZ213)+N(AZ214)+N(AZ217)+N(AZ235)+N(AZ238))-N(AZ144))/(AW69+AX69+AY69+AZ69),""),"")</f>
        <v>-3.59321180716645</v>
      </c>
      <c r="BA336" s="262">
        <f>IFERROR(IF(AND(COUNT(AW69,AX69,AY69,AZ69)=4,(AW69+AX69+AY69+AZ69)&lt;&gt;0),((N(BA212)+N(BA213)+N(BA214)+N(BA217)+N(BA235)+N(BA238))-N(BA144))/(AW69+AX69+AY69+AZ69),""),"")</f>
        <v>-3.59321180716645</v>
      </c>
      <c r="BB336" s="262">
        <f>IFERROR(IF(AND(COUNT(AX69,AY69,AZ69,BB69)=4,(AX69+AY69+AZ69+BB69)&lt;&gt;0),((N(BB212)+N(BB213)+N(BB214)+N(BB217)+N(BB235)+N(BB238))-N(BB144))/(AX69+AY69+AZ69+BB69),""),"")</f>
        <v>-8.29773201604584</v>
      </c>
      <c r="BC336" s="262">
        <f>IFERROR(IF(AND(COUNT(AY69,AZ69,BB69,BC69)=4,(AY69+AZ69+BB69+BC69)&lt;&gt;0),((N(BC212)+N(BC213)+N(BC214)+N(BC217)+N(BC235)+N(BC238))-N(BC144))/(AY69+AZ69+BB69+BC69),""),"")</f>
        <v>-12.6949360654862</v>
      </c>
      <c r="BD336" s="262">
        <f>IFERROR(IF(AND(COUNT(AZ69,BB69,BC69,BD69)=4,(AZ69+BB69+BC69+BD69)&lt;&gt;0),((N(BD212)+N(BD213)+N(BD214)+N(BD217)+N(BD235)+N(BD238))-N(BD144))/(AZ69+BB69+BC69+BD69),""),"")</f>
        <v>-20.6925497519307</v>
      </c>
      <c r="BE336" s="262">
        <f>IFERROR(IF(AND(COUNT(BB69,BC69,BD69,BE69)=4,(BB69+BC69+BD69+BE69)&lt;&gt;0),((N(BE212)+N(BE213)+N(BE214)+N(BE217)+N(BE235)+N(BE238))-N(BE144))/(BB69+BC69+BD69+BE69),""),"")</f>
        <v>-31.3304393165812</v>
      </c>
      <c r="BF336" s="262">
        <f>IFERROR(IF(AND(COUNT(BB69,BC69,BD69,BE69)=4,(BB69+BC69+BD69+BE69)&lt;&gt;0),((N(BF212)+N(BF213)+N(BF214)+N(BF217)+N(BF235)+N(BF238))-N(BF144))/(BB69+BC69+BD69+BE69),""),"")</f>
        <v>-31.3304393165812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83" t="inlineStr">
        <is>
          <t>NET DEBT (EX IFRS 16.) / EBITDA (LTM)</t>
        </is>
      </c>
      <c r="D337" s="82" t="str">
        <f>IFERROR(SUM((D212+D213+D217)-D144)/(D69*4),"")</f>
        <v/>
      </c>
      <c r="E337" s="82" t="str">
        <f>IFERROR(SUM((E212+E213+E217)-E144)/(E69*4),"")</f>
        <v/>
      </c>
      <c r="F337" s="82" t="str">
        <f>IFERROR(SUM((F212+F213+F217)-F144)/(F69*4),"")</f>
        <v/>
      </c>
      <c r="G337" s="82" t="str">
        <f>IFERROR(SUM((G212+G213+G217)-G144)/(G69*4),"")</f>
        <v/>
      </c>
      <c r="H337" s="262" t="str">
        <f>IFERROR(IF(AND(COUNT(H69)=1,(H69)&lt;&gt;0),((N(H212)+N(H213)+N(H217)+N(H238))-N(H144))/(H69),""),"")</f>
        <v/>
      </c>
      <c r="I337" s="262" t="str">
        <f>""</f>
        <v/>
      </c>
      <c r="J337" s="262" t="str">
        <f>""</f>
        <v/>
      </c>
      <c r="K337" s="262" t="str">
        <f>""</f>
        <v/>
      </c>
      <c r="L337" s="262">
        <f>IFERROR(IF(AND(COUNT(I69,J69,K69,L69)=4,(I69+J69+K69+L69)&lt;&gt;0),((N(L212)+N(L213)+N(L217)+N(L238))-N(L144))/(I69+J69+K69+L69),""),"")</f>
        <v>1.17036259094996</v>
      </c>
      <c r="M337" s="262">
        <f>IFERROR(IF(AND(COUNT(I69,J69,K69,L69)=4,(I69+J69+K69+L69)&lt;&gt;0),((N(M212)+N(M213)+N(M217)+N(M238))-N(M144))/(I69+J69+K69+L69),""),"")</f>
        <v>1.17036259094996</v>
      </c>
      <c r="N337" s="262">
        <f>IFERROR(IF(AND(COUNT(J69,K69,L69,N69)=4,(J69+K69+L69+N69)&lt;&gt;0),((N(N212)+N(N213)+N(N217)+N(N238))-N(N144))/(J69+K69+L69+N69),""),"")</f>
        <v>1.68095482694339</v>
      </c>
      <c r="O337" s="262">
        <f>IFERROR(IF(AND(COUNT(K69,L69,N69,O69)=4,(K69+L69+N69+O69)&lt;&gt;0),((N(O212)+N(O213)+N(O217)+N(O238))-N(O144))/(K69+L69+N69+O69),""),"")</f>
        <v>2.75009006845202</v>
      </c>
      <c r="P337" s="262">
        <f>IFERROR(IF(AND(COUNT(L69,N69,O69,P69)=4,(L69+N69+O69+P69)&lt;&gt;0),((N(P212)+N(P213)+N(P217)+N(P238))-N(P144))/(L69+N69+O69+P69),""),"")</f>
        <v>2.56536503320556</v>
      </c>
      <c r="Q337" s="262">
        <f>IFERROR(IF(AND(COUNT(N69,O69,P69,Q69)=4,(N69+O69+P69+Q69)&lt;&gt;0),((N(Q212)+N(Q213)+N(Q217)+N(Q238))-N(Q144))/(N69+O69+P69+Q69),""),"")</f>
        <v>4.17436375692037</v>
      </c>
      <c r="R337" s="262">
        <f>IFERROR(IF(AND(COUNT(N69,O69,P69,Q69)=4,(N69+O69+P69+Q69)&lt;&gt;0),((N(R212)+N(R213)+N(R217)+N(R238))-N(R144))/(N69+O69+P69+Q69),""),"")</f>
        <v>4.17436375692037</v>
      </c>
      <c r="S337" s="262">
        <f>IFERROR(IF(AND(COUNT(O69,P69,Q69,S69)=4,(O69+P69+Q69+S69)&lt;&gt;0),((N(S212)+N(S213)+N(S217)+N(S238))-N(S144))/(O69+P69+Q69+S69),""),"")</f>
        <v>3.63691669273093</v>
      </c>
      <c r="T337" s="262">
        <f>IFERROR(IF(AND(COUNT(P69,Q69,S69,T69)=4,(P69+Q69+S69+T69)&lt;&gt;0),((N(T212)+N(T213)+N(T217)+N(T238))-N(T144))/(P69+Q69+S69+T69),""),"")</f>
        <v>3.17831057670252</v>
      </c>
      <c r="U337" s="262">
        <f>IFERROR(IF(AND(COUNT(Q69,S69,T69,U69)=4,(Q69+S69+T69+U69)&lt;&gt;0),((N(U212)+N(U213)+N(U217)+N(U238))-N(U144))/(Q69+S69+T69+U69),""),"")</f>
        <v>3.29016012155649</v>
      </c>
      <c r="V337" s="262">
        <f>IFERROR(IF(AND(COUNT(S69,T69,U69,V69)=4,(S69+T69+U69+V69)&lt;&gt;0),((N(V212)+N(V213)+N(V217)+N(V238))-N(V144))/(S69+T69+U69+V69),""),"")</f>
        <v>2.33025964219331</v>
      </c>
      <c r="W337" s="262">
        <f>IFERROR(IF(AND(COUNT(S69,T69,U69,V69)=4,(S69+T69+U69+V69)&lt;&gt;0),((N(W212)+N(W213)+N(W217)+N(W238))-N(W144))/(S69+T69+U69+V69),""),"")</f>
        <v>2.33025964219331</v>
      </c>
      <c r="X337" s="262">
        <f>IFERROR(IF(AND(COUNT(T69,U69,V69,X69)=4,(T69+U69+V69+X69)&lt;&gt;0),((N(X212)+N(X213)+N(X217)+N(X238))-N(X144))/(T69+U69+V69+X69),""),"")</f>
        <v>2.28143337517815</v>
      </c>
      <c r="Y337" s="262">
        <f>IFERROR(IF(AND(COUNT(U69,V69,X69,Y69)=4,(U69+V69+X69+Y69)&lt;&gt;0),((N(Y212)+N(Y213)+N(Y217)+N(Y238))-N(Y144))/(U69+V69+X69+Y69),""),"")</f>
        <v>2.44219982960424</v>
      </c>
      <c r="Z337" s="262">
        <f>IFERROR(IF(AND(COUNT(V69,X69,Y69,Z69)=4,(V69+X69+Y69+Z69)&lt;&gt;0),((N(Z212)+N(Z213)+N(Z217)+N(Z238))-N(Z144))/(V69+X69+Y69+Z69),""),"")</f>
        <v>2.49950129164328</v>
      </c>
      <c r="AA337" s="262">
        <f>IFERROR(IF(AND(COUNT(X69,Y69,Z69,AA69)=4,(X69+Y69+Z69+AA69)&lt;&gt;0),((N(AA212)+N(AA213)+N(AA217)+N(AA238))-N(AA144))/(X69+Y69+Z69+AA69),""),"")</f>
        <v>3.05376715138587</v>
      </c>
      <c r="AB337" s="262">
        <f>IFERROR(IF(AND(COUNT(X69,Y69,Z69,AA69)=4,(X69+Y69+Z69+AA69)&lt;&gt;0),((N(AB212)+N(AB213)+N(AB217)+N(AB238))-N(AB144))/(X69+Y69+Z69+AA69),""),"")</f>
        <v>3.05376715138587</v>
      </c>
      <c r="AC337" s="262">
        <f>IFERROR(IF(AND(COUNT(Y69,Z69,AA69,AC69)=4,(Y69+Z69+AA69+AC69)&lt;&gt;0),((N(AC212)+N(AC213)+N(AC217)+N(AC238))-N(AC144))/(Y69+Z69+AA69+AC69),""),"")</f>
        <v>3.30826097694907</v>
      </c>
      <c r="AD337" s="262">
        <f>IFERROR(IF(AND(COUNT(Z69,AA69,AC69,AD69)=4,(Z69+AA69+AC69+AD69)&lt;&gt;0),((N(AD212)+N(AD213)+N(AD217)+N(AD238))-N(AD144))/(Z69+AA69+AC69+AD69),""),"")</f>
        <v>1.99669282322433</v>
      </c>
      <c r="AE337" s="262">
        <f>IFERROR(IF(AND(COUNT(AA69,AC69,AD69,AE69)=4,(AA69+AC69+AD69+AE69)&lt;&gt;0),((N(AE212)+N(AE213)+N(AE217)+N(AE238))-N(AE144))/(AA69+AC69+AD69+AE69),""),"")</f>
        <v>2.3403313485771</v>
      </c>
      <c r="AF337" s="262">
        <f>IFERROR(IF(AND(COUNT(AB69,AD69,AE69,AF69)=4,(AB69+AD69+AE69+AF69)&lt;&gt;0),((N(AF212)+N(AF213)+N(AF217)+N(AF238))-N(AF144))/(AB69+AD69+AE69+AF69),""),"")</f>
        <v>1.51038668289435</v>
      </c>
      <c r="AG337" s="262">
        <f>IFERROR(IF(AND(COUNT(AC69,AD69,AE69,AF69)=4,(AC69+AD69+AE69+AF69)&lt;&gt;0),((N(AG212)+N(AG213)+N(AG217)+N(AG238))-N(AG144))/(AC69+AD69+AE69+AF69),""),"")</f>
        <v>2.47782017451488</v>
      </c>
      <c r="AH337" s="262">
        <f>IFERROR(IF(AND(COUNT(AD69,AF69,AG69,AH69)=4,(AD69+AF69+AG69+AH69)&lt;&gt;0),((N(AH212)+N(AH213)+N(AH217)+N(AH238))-N(AH144))/(AD69+AF69+AG69+AH69),""),"")</f>
        <v>1.56707218760613</v>
      </c>
      <c r="AI337" s="262">
        <f>IFERROR(IF(AND(COUNT(AE69,AG69,AH69,AI69)=4,(AE69+AG69+AH69+AI69)&lt;&gt;0),((N(AI212)+N(AI213)+N(AI217)+N(AI238))-N(AI144))/(AE69+AG69+AH69+AI69),""),"")</f>
        <v>2.47598462167328</v>
      </c>
      <c r="AJ337" s="262">
        <f>IFERROR(IF(AND(COUNT(AF69,AH69,AI69,AJ69)=4,(AF69+AH69+AI69+AJ69)&lt;&gt;0),((N(AJ212)+N(AJ213)+N(AJ217)+N(AJ238))-N(AJ144))/(AF69+AH69+AI69+AJ69),""),"")</f>
        <v>4.59682279591064</v>
      </c>
      <c r="AK337" s="262">
        <f>IFERROR(IF(AND(COUNT(AH69,AI69,AJ69,AK69)=4,(AH69+AI69+AJ69+AK69)&lt;&gt;0),((N(AK212)+N(AK213)+N(AK217)+N(AK238))-N(AK144))/(AH69+AI69+AJ69+AK69),""),"")</f>
        <v>5.43785510144491</v>
      </c>
      <c r="AL337" s="262">
        <f>IFERROR(IF(AND(COUNT(AH69,AI69,AJ69,AK69)=4,(AH69+AI69+AJ69+AK69)&lt;&gt;0),((N(AL212)+N(AL213)+N(AL217)+N(AL238))-N(AL144))/(AH69+AI69+AJ69+AK69),""),"")</f>
        <v>5.43785510144491</v>
      </c>
      <c r="AM337" s="262">
        <f>IFERROR(IF(AND(COUNT(AI69,AJ69,AK69,AM69)=4,(AI69+AJ69+AK69+AM69)&lt;&gt;0),((N(AM212)+N(AM213)+N(AM217)+N(AM238))-N(AM144))/(AI69+AJ69+AK69+AM69),""),"")</f>
        <v>6.2139315337972</v>
      </c>
      <c r="AN337" s="262">
        <f>IFERROR(IF(AND(COUNT(AJ69,AK69,AM69,AN69)=4,(AJ69+AK69+AM69+AN69)&lt;&gt;0),((N(AN212)+N(AN213)+N(AN217)+N(AN238))-N(AN144))/(AJ69+AK69+AM69+AN69),""),"")</f>
        <v>6.73267138558896</v>
      </c>
      <c r="AO337" s="262">
        <f>IFERROR(IF(AND(COUNT(AK69,AM69,AN69,AO69)=4,(AK69+AM69+AN69+AO69)&lt;&gt;0),((N(AO212)+N(AO213)+N(AO217)+N(AO238))-N(AO144))/(AK69+AM69+AN69+AO69),""),"")</f>
        <v>6.87919569085273</v>
      </c>
      <c r="AP337" s="262">
        <f>IFERROR(IF(AND(COUNT(AM69,AN69,AO69,AP69)=4,(AM69+AN69+AO69+AP69)&lt;&gt;0),((N(AP212)+N(AP213)+N(AP217)+N(AP238))-N(AP144))/(AM69+AN69+AO69+AP69),""),"")</f>
        <v>6.89094027081327</v>
      </c>
      <c r="AQ337" s="262">
        <f>IFERROR(IF(AND(COUNT(AM69,AN69,AO69,AP69)=4,(AM69+AN69+AO69+AP69)&lt;&gt;0),((N(AQ212)+N(AQ213)+N(AQ217)+N(AQ238))-N(AQ144))/(AM69+AN69+AO69+AP69),""),"")</f>
        <v>6.89094027081327</v>
      </c>
      <c r="AR337" s="262">
        <f>IFERROR(IF(AND(COUNT(AN69,AO69,AP69,AR69)=4,(AN69+AO69+AP69+AR69)&lt;&gt;0),((N(AR212)+N(AR213)+N(AR217)+N(AR238))-N(AR144))/(AN69+AO69+AP69+AR69),""),"")</f>
        <v>6.89271145075441</v>
      </c>
      <c r="AS337" s="262">
        <f>IFERROR(IF(AND(COUNT(AO69,AP69,AR69,AS69)=4,(AO69+AP69+AR69+AS69)&lt;&gt;0),((N(AS212)+N(AS213)+N(AS217)+N(AS238))-N(AS144))/(AO69+AP69+AR69+AS69),""),"")</f>
        <v>7.39495203608732</v>
      </c>
      <c r="AT337" s="262">
        <f>IFERROR(IF(AND(COUNT(AP69,AR69,AS69,AT69)=4,(AP69+AR69+AS69+AT69)&lt;&gt;0),((N(AT212)+N(AT213)+N(AT217)+N(AT238))-N(AT144))/(AP69+AR69+AS69+AT69),""),"")</f>
        <v>6.60156206476115</v>
      </c>
      <c r="AU337" s="262">
        <f>IFERROR(IF(AND(COUNT(AR69,AS69,AT69,AU69)=4,(AR69+AS69+AT69+AU69)&lt;&gt;0),((N(AU212)+N(AU213)+N(AU217)+N(AU238))-N(AU144))/(AR69+AS69+AT69+AU69),""),"")</f>
        <v>5.46080681693884</v>
      </c>
      <c r="AV337" s="262">
        <f>IFERROR(IF(AND(COUNT(AR69,AS69,AT69,AU69)=4,(AR69+AS69+AT69+AU69)&lt;&gt;0),((N(AV212)+N(AV213)+N(AV217)+N(AV238))-N(AV144))/(AR69+AS69+AT69+AU69),""),"")</f>
        <v>5.46080681693884</v>
      </c>
      <c r="AW337" s="262">
        <f>IFERROR(IF(AND(COUNT(AS69,AT69,AU69,AW69)=4,(AS69+AT69+AU69+AW69)&lt;&gt;0),((N(AW212)+N(AW213)+N(AW217)+N(AW238))-N(AW144))/(AS69+AT69+AU69+AW69),""),"")</f>
        <v>4.06769568297665</v>
      </c>
      <c r="AX337" s="262">
        <f>IFERROR(IF(AND(COUNT(AT69,AU69,AW69,AX69)=4,(AT69+AU69+AW69+AX69)&lt;&gt;0),((N(AX212)+N(AX213)+N(AX217)+N(AX238))-N(AX144))/(AT69+AU69+AW69+AX69),""),"")</f>
        <v>3.0630402368675</v>
      </c>
      <c r="AY337" s="262">
        <f>IFERROR(IF(AND(COUNT(AU69,AW69,AX69,AY69)=4,(AU69+AW69+AX69+AY69)&lt;&gt;0),((N(AY212)+N(AY213)+N(AY217)+N(AY238))-N(AY144))/(AU69+AW69+AX69+AY69),""),"")</f>
        <v>0.196895372394621</v>
      </c>
      <c r="AZ337" s="262">
        <f>IFERROR(IF(AND(COUNT(AW69,AX69,AY69,AZ69)=4,(AW69+AX69+AY69+AZ69)&lt;&gt;0),((N(AZ212)+N(AZ213)+N(AZ217)+N(AZ238))-N(AZ144))/(AW69+AX69+AY69+AZ69),""),"")</f>
        <v>-3.64359260477826</v>
      </c>
      <c r="BA337" s="262">
        <f>IFERROR(IF(AND(COUNT(AW69,AX69,AY69,AZ69)=4,(AW69+AX69+AY69+AZ69)&lt;&gt;0),((N(BA212)+N(BA213)+N(BA217)+N(BA238))-N(BA144))/(AW69+AX69+AY69+AZ69),""),"")</f>
        <v>-3.64359260477826</v>
      </c>
      <c r="BB337" s="262">
        <f>IFERROR(IF(AND(COUNT(AX69,AY69,AZ69,BB69)=4,(AX69+AY69+AZ69+BB69)&lt;&gt;0),((N(BB212)+N(BB213)+N(BB217)+N(BB238))-N(BB144))/(AX69+AY69+AZ69+BB69),""),"")</f>
        <v>-8.34464568822596</v>
      </c>
      <c r="BC337" s="262">
        <f>IFERROR(IF(AND(COUNT(AY69,AZ69,BB69,BC69)=4,(AY69+AZ69+BB69+BC69)&lt;&gt;0),((N(BC212)+N(BC213)+N(BC217)+N(BC238))-N(BC144))/(AY69+AZ69+BB69+BC69),""),"")</f>
        <v>-12.7364722752228</v>
      </c>
      <c r="BD337" s="262">
        <f>IFERROR(IF(AND(COUNT(AZ69,BB69,BC69,BD69)=4,(AZ69+BB69+BC69+BD69)&lt;&gt;0),((N(BD212)+N(BD213)+N(BD217)+N(BD238))-N(BD144))/(AZ69+BB69+BC69+BD69),""),"")</f>
        <v>-20.731284766822</v>
      </c>
      <c r="BE337" s="262">
        <f>IFERROR(IF(AND(COUNT(BB69,BC69,BD69,BE69)=4,(BB69+BC69+BD69+BE69)&lt;&gt;0),((N(BE212)+N(BE213)+N(BE217)+N(BE238))-N(BE144))/(BB69+BC69+BD69+BE69),""),"")</f>
        <v>-31.3668641685358</v>
      </c>
      <c r="BF337" s="262">
        <f>IFERROR(IF(AND(COUNT(BB69,BC69,BD69,BE69)=4,(BB69+BC69+BD69+BE69)&lt;&gt;0),((N(BF212)+N(BF213)+N(BF217)+N(BF238))-N(BF144))/(BB69+BC69+BD69+BE69),""),"")</f>
        <v>-31.3668641685358</v>
      </c>
      <c r="BG337" s="82" t="n"/>
      <c r="BH337" s="82" t="n"/>
      <c r="BI337" s="82" t="n"/>
      <c r="BJ337" s="82" t="n"/>
      <c r="BL337" s="82" t="n"/>
      <c r="BM337" s="82" t="n"/>
      <c r="BN337" s="82" t="n"/>
      <c r="BO337" s="82" t="n"/>
      <c r="BQ337" s="82" t="n"/>
      <c r="BR337" s="82" t="n"/>
      <c r="BS337" s="82" t="n"/>
      <c r="BT337" s="82" t="n"/>
      <c r="BV337" s="82" t="n"/>
      <c r="BW337" s="82" t="n"/>
      <c r="BX337" s="82" t="n"/>
      <c r="BY337" s="82" t="n"/>
      <c r="CA337" s="82" t="n"/>
      <c r="CB337" s="82" t="n"/>
      <c r="CC337" s="82" t="n"/>
      <c r="CD337" s="82" t="n"/>
      <c r="CF337" s="82" t="n"/>
      <c r="CG337" s="82" t="n"/>
      <c r="CH337" s="82" t="n"/>
      <c r="CI337" s="82" t="n"/>
      <c r="CK337" s="82" t="n"/>
      <c r="CL337" s="82" t="n"/>
      <c r="CM337" s="82" t="n"/>
      <c r="CN337" s="82" t="n"/>
      <c r="CP337" s="82" t="n"/>
      <c r="CQ337" s="82" t="n"/>
      <c r="CR337" s="82" t="n"/>
      <c r="CS337" s="82" t="n"/>
      <c r="CU337" s="82" t="n"/>
      <c r="CV337" s="82" t="n"/>
      <c r="CW337" s="82" t="n"/>
      <c r="CX337" s="82" t="n"/>
    </row>
    <row r="338" customFormat="1" s="77">
      <c r="A338" s="76" t="n"/>
      <c r="B338" s="76" t="n"/>
      <c r="C338" s="77" t="inlineStr">
        <is>
          <t>INTEREST COVERAGE (EBIT / INTEREST, LTM)</t>
        </is>
      </c>
      <c r="D338" s="82" t="str">
        <f>IFERROR(D73/-D74,"")</f>
        <v/>
      </c>
      <c r="E338" s="82" t="str">
        <f>IFERROR(E73/-E74,"")</f>
        <v/>
      </c>
      <c r="F338" s="82" t="str">
        <f>IFERROR(F73/-F74,"")</f>
        <v/>
      </c>
      <c r="G338" s="82" t="str">
        <f>IFERROR(G73/-G74,"")</f>
        <v/>
      </c>
      <c r="H338" s="262" t="str">
        <f>IFERROR(IF(AND(COUNT(H73)=1,(H74)&lt;&gt;0),(H73)/-(H74),""),"")</f>
        <v/>
      </c>
      <c r="I338" s="262" t="str">
        <f>""</f>
        <v/>
      </c>
      <c r="J338" s="262" t="str">
        <f>""</f>
        <v/>
      </c>
      <c r="K338" s="262" t="str">
        <f>""</f>
        <v/>
      </c>
      <c r="L338" s="262">
        <f>IFERROR(IF(AND(COUNT(I73,J73,K73,L73)=4,(I74+J74+K74+L74)&lt;&gt;0),(I73+J73+K73+L73)/-(I74+J74+K74+L74),""),"")</f>
        <v>0.628161372188676</v>
      </c>
      <c r="M338" s="262">
        <f>IFERROR(IF(AND(COUNT(I73,J73,K73,L73)=4,(I74+J74+K74+L74)&lt;&gt;0),(I73+J73+K73+L73)/-(I74+J74+K74+L74),""),"")</f>
        <v>0.628161372188676</v>
      </c>
      <c r="N338" s="262">
        <f>IFERROR(IF(AND(COUNT(J73,K73,L73,N73)=4,(J74+K74+L74+N74)&lt;&gt;0),(J73+K73+L73+N73)/-(J74+K74+L74+N74),""),"")</f>
        <v>0.803918000545916</v>
      </c>
      <c r="O338" s="262">
        <f>IFERROR(IF(AND(COUNT(K73,L73,N73,O73)=4,(K74+L74+N74+O74)&lt;&gt;0),(K73+L73+N73+O73)/-(K74+L74+N74+O74),""),"")</f>
        <v>0.606483998500932</v>
      </c>
      <c r="P338" s="262">
        <f>IFERROR(IF(AND(COUNT(L73,N73,O73,P73)=4,(L74+N74+O74+P74)&lt;&gt;0),(L73+N73+O73+P73)/-(L74+N74+O74+P74),""),"")</f>
        <v>0.531115161067875</v>
      </c>
      <c r="Q338" s="262">
        <f>IFERROR(IF(AND(COUNT(N73,O73,P73,Q73)=4,(N74+O74+P74+Q74)&lt;&gt;0),(N73+O73+P73+Q73)/-(N74+O74+P74+Q74),""),"")</f>
        <v>0.214979704637706</v>
      </c>
      <c r="R338" s="262">
        <f>IFERROR(IF(AND(COUNT(N73,O73,P73,Q73)=4,(N74+O74+P74+Q74)&lt;&gt;0),(N73+O73+P73+Q73)/-(N74+O74+P74+Q74),""),"")</f>
        <v>0.214979704637706</v>
      </c>
      <c r="S338" s="262">
        <f>IFERROR(IF(AND(COUNT(O73,P73,Q73,S73)=4,(O74+P74+Q74+S74)&lt;&gt;0),(O73+P73+Q73+S73)/-(O74+P74+Q74+S74),""),"")</f>
        <v>0.192691824158612</v>
      </c>
      <c r="T338" s="262">
        <f>IFERROR(IF(AND(COUNT(P73,Q73,S73,T73)=4,(P74+Q74+S74+T74)&lt;&gt;0),(P73+Q73+S73+T73)/-(P74+Q74+S74+T74),""),"")</f>
        <v>0.286100160607388</v>
      </c>
      <c r="U338" s="262">
        <f>IFERROR(IF(AND(COUNT(Q73,S73,T73,U73)=4,(Q74+S74+T74+U74)&lt;&gt;0),(Q73+S73+T73+U73)/-(Q74+S74+T74+U74),""),"")</f>
        <v>0.408863266294063</v>
      </c>
      <c r="V338" s="262">
        <f>IFERROR(IF(AND(COUNT(S73,T73,U73,V73)=4,(S74+T74+U74+V74)&lt;&gt;0),(S73+T73+U73+V73)/-(S74+T74+U74+V74),""),"")</f>
        <v>0.896928074059571</v>
      </c>
      <c r="W338" s="262">
        <f>IFERROR(IF(AND(COUNT(S73,T73,U73,V73)=4,(S74+T74+U74+V74)&lt;&gt;0),(S73+T73+U73+V73)/-(S74+T74+U74+V74),""),"")</f>
        <v>0.896928074059571</v>
      </c>
      <c r="X338" s="262">
        <f>IFERROR(IF(AND(COUNT(T73,U73,V73,X73)=4,(T74+U74+V74+X74)&lt;&gt;0),(T73+U73+V73+X73)/-(T74+U74+V74+X74),""),"")</f>
        <v>1.22105595168538</v>
      </c>
      <c r="Y338" s="262">
        <f>IFERROR(IF(AND(COUNT(U73,V73,X73,Y73)=4,(U74+V74+X74+Y74)&lt;&gt;0),(U73+V73+X73+Y73)/-(U74+V74+X74+Y74),""),"")</f>
        <v>1.30835190782979</v>
      </c>
      <c r="Z338" s="262">
        <f>IFERROR(IF(AND(COUNT(V73,X73,Y73,Z73)=4,(V74+X74+Y74+Z74)&lt;&gt;0),(V73+X73+Y73+Z73)/-(V74+X74+Y74+Z74),""),"")</f>
        <v>1.44998623540833</v>
      </c>
      <c r="AA338" s="262">
        <f>IFERROR(IF(AND(COUNT(X73,Y73,Z73,AA73)=4,(X74+Y74+Z74+AA74)&lt;&gt;0),(X73+Y73+Z73+AA73)/-(X74+Y74+Z74+AA74),""),"")</f>
        <v>1.12648803685929</v>
      </c>
      <c r="AB338" s="262">
        <f>IFERROR(IF(AND(COUNT(X73,Y73,Z73,AA73)=4,(X74+Y74+Z74+AA74)&lt;&gt;0),(X73+Y73+Z73+AA73)/-(X74+Y74+Z74+AA74),""),"")</f>
        <v>1.12648803685929</v>
      </c>
      <c r="AC338" s="262">
        <f>IFERROR(IF(AND(COUNT(Y73,Z73,AA73,AC73)=4,(Y74+Z74+AA74+AC74)&lt;&gt;0),(Y73+Z73+AA73+AC73)/-(Y74+Z74+AA74+AC74),""),"")</f>
        <v>0.963818747299543</v>
      </c>
      <c r="AD338" s="262">
        <f>IFERROR(IF(AND(COUNT(Z73,AA73,AC73,AD73)=4,(Z74+AA74+AC74+AD74)&lt;&gt;0),(Z73+AA73+AC73+AD73)/-(Z74+AA74+AC74+AD74),""),"")</f>
        <v>0.941539498899851</v>
      </c>
      <c r="AE338" s="262">
        <f>IFERROR(IF(AND(COUNT(AA73,AC73,AD73,AE73)=4,(AA74+AC74+AD74+AE74)&lt;&gt;0),(AA73+AC73+AD73+AE73)/-(AA74+AC74+AD74+AE74),""),"")</f>
        <v>0.83314108983053</v>
      </c>
      <c r="AF338" s="262">
        <f>IFERROR(IF(AND(COUNT(AB73,AD73,AE73,AF73)=4,(AB74+AD74+AE74+AF74)&lt;&gt;0),(AB73+AD73+AE73+AF73)/-(AB74+AD74+AE74+AF74),""),"")</f>
        <v>1.05315460433212</v>
      </c>
      <c r="AG338" s="262">
        <f>IFERROR(IF(AND(COUNT(AC73,AD73,AE73,AF73)=4,(AC74+AD74+AE74+AF74)&lt;&gt;0),(AC73+AD73+AE73+AF73)/-(AC74+AD74+AE74+AF74),""),"")</f>
        <v>0.932264324442353</v>
      </c>
      <c r="AH338" s="262">
        <f>IFERROR(IF(AND(COUNT(AD73,AF73,AG73,AH73)=4,(AD74+AF74+AG74+AH74)&lt;&gt;0),(AD73+AF73+AG73+AH73)/-(AD74+AF74+AG74+AH74),""),"")</f>
        <v>0.982788347943932</v>
      </c>
      <c r="AI338" s="262">
        <f>IFERROR(IF(AND(COUNT(AE73,AG73,AH73,AI73)=4,(AE74+AG74+AH74+AI74)&lt;&gt;0),(AE73+AG73+AH73+AI73)/-(AE74+AG74+AH74+AI74),""),"")</f>
        <v>0.980667012994162</v>
      </c>
      <c r="AJ338" s="262" t="str">
        <f>IFERROR(IF(AND(COUNT(AF73,AH73,AI73,AJ73)=4,(AF74+AH74+AI74+AJ74)&lt;&gt;0),(AF73+AH73+AI73+AJ73)/-(AF74+AH74+AI74+AJ74),""),"")</f>
        <v/>
      </c>
      <c r="AK338" s="262" t="str">
        <f>IFERROR(IF(AND(COUNT(AH73,AI73,AJ73,AK73)=4,(AH74+AI74+AJ74+AK74)&lt;&gt;0),(AH73+AI73+AJ73+AK73)/-(AH74+AI74+AJ74+AK74),""),"")</f>
        <v/>
      </c>
      <c r="AL338" s="262" t="str">
        <f>IFERROR(IF(AND(COUNT(AH73,AI73,AJ73,AK73)=4,(AH74+AI74+AJ74+AK74)&lt;&gt;0),(AH73+AI73+AJ73+AK73)/-(AH74+AI74+AJ74+AK74),""),"")</f>
        <v/>
      </c>
      <c r="AM338" s="262" t="str">
        <f>IFERROR(IF(AND(COUNT(AI73,AJ73,AK73,AM73)=4,(AI74+AJ74+AK74+AM74)&lt;&gt;0),(AI73+AJ73+AK73+AM73)/-(AI74+AJ74+AK74+AM74),""),"")</f>
        <v/>
      </c>
      <c r="AN338" s="262" t="str">
        <f>IFERROR(IF(AND(COUNT(AJ73,AK73,AM73,AN73)=4,(AJ74+AK74+AM74+AN74)&lt;&gt;0),(AJ73+AK73+AM73+AN73)/-(AJ74+AK74+AM74+AN74),""),"")</f>
        <v/>
      </c>
      <c r="AO338" s="262" t="str">
        <f>IFERROR(IF(AND(COUNT(AK73,AM73,AN73,AO73)=4,(AK74+AM74+AN74+AO74)&lt;&gt;0),(AK73+AM73+AN73+AO73)/-(AK74+AM74+AN74+AO74),""),"")</f>
        <v/>
      </c>
      <c r="AP338" s="262" t="str">
        <f>IFERROR(IF(AND(COUNT(AM73,AN73,AO73,AP73)=4,(AM74+AN74+AO74+AP74)&lt;&gt;0),(AM73+AN73+AO73+AP73)/-(AM74+AN74+AO74+AP74),""),"")</f>
        <v/>
      </c>
      <c r="AQ338" s="262" t="str">
        <f>IFERROR(IF(AND(COUNT(AM73,AN73,AO73,AP73)=4,(AM74+AN74+AO74+AP74)&lt;&gt;0),(AM73+AN73+AO73+AP73)/-(AM74+AN74+AO74+AP74),""),"")</f>
        <v/>
      </c>
      <c r="AR338" s="262" t="str">
        <f>IFERROR(IF(AND(COUNT(AN73,AO73,AP73,AR73)=4,(AN74+AO74+AP74+AR74)&lt;&gt;0),(AN73+AO73+AP73+AR73)/-(AN74+AO74+AP74+AR74),""),"")</f>
        <v/>
      </c>
      <c r="AS338" s="262" t="str">
        <f>IFERROR(IF(AND(COUNT(AO73,AP73,AR73,AS73)=4,(AO74+AP74+AR74+AS74)&lt;&gt;0),(AO73+AP73+AR73+AS73)/-(AO74+AP74+AR74+AS74),""),"")</f>
        <v/>
      </c>
      <c r="AT338" s="262" t="str">
        <f>IFERROR(IF(AND(COUNT(AP73,AR73,AS73,AT73)=4,(AP74+AR74+AS74+AT74)&lt;&gt;0),(AP73+AR73+AS73+AT73)/-(AP74+AR74+AS74+AT74),""),"")</f>
        <v/>
      </c>
      <c r="AU338" s="262" t="str">
        <f>IFERROR(IF(AND(COUNT(AR73,AS73,AT73,AU73)=4,(AR74+AS74+AT74+AU74)&lt;&gt;0),(AR73+AS73+AT73+AU73)/-(AR74+AS74+AT74+AU74),""),"")</f>
        <v/>
      </c>
      <c r="AV338" s="262" t="str">
        <f>IFERROR(IF(AND(COUNT(AR73,AS73,AT73,AU73)=4,(AR74+AS74+AT74+AU74)&lt;&gt;0),(AR73+AS73+AT73+AU73)/-(AR74+AS74+AT74+AU74),""),"")</f>
        <v/>
      </c>
      <c r="AW338" s="262" t="str">
        <f>IFERROR(IF(AND(COUNT(AS73,AT73,AU73,AW73)=4,(AS74+AT74+AU74+AW74)&lt;&gt;0),(AS73+AT73+AU73+AW73)/-(AS74+AT74+AU74+AW74),""),"")</f>
        <v/>
      </c>
      <c r="AX338" s="262" t="str">
        <f>IFERROR(IF(AND(COUNT(AT73,AU73,AW73,AX73)=4,(AT74+AU74+AW74+AX74)&lt;&gt;0),(AT73+AU73+AW73+AX73)/-(AT74+AU74+AW74+AX74),""),"")</f>
        <v/>
      </c>
      <c r="AY338" s="262" t="str">
        <f>IFERROR(IF(AND(COUNT(AU73,AW73,AX73,AY73)=4,(AU74+AW74+AX74+AY74)&lt;&gt;0),(AU73+AW73+AX73+AY73)/-(AU74+AW74+AX74+AY74),""),"")</f>
        <v/>
      </c>
      <c r="AZ338" s="262" t="str">
        <f>IFERROR(IF(AND(COUNT(AW73,AX73,AY73,AZ73)=4,(AW74+AX74+AY74+AZ74)&lt;&gt;0),(AW73+AX73+AY73+AZ73)/-(AW74+AX74+AY74+AZ74),""),"")</f>
        <v/>
      </c>
      <c r="BA338" s="262" t="str">
        <f>IFERROR(IF(AND(COUNT(AW73,AX73,AY73,AZ73)=4,(AW74+AX74+AY74+AZ74)&lt;&gt;0),(AW73+AX73+AY73+AZ73)/-(AW74+AX74+AY74+AZ74),""),"")</f>
        <v/>
      </c>
      <c r="BB338" s="262" t="str">
        <f>IFERROR(IF(AND(COUNT(AX73,AY73,AZ73,BB73)=4,(AX74+AY74+AZ74+BB74)&lt;&gt;0),(AX73+AY73+AZ73+BB73)/-(AX74+AY74+AZ74+BB74),""),"")</f>
        <v/>
      </c>
      <c r="BC338" s="262" t="str">
        <f>IFERROR(IF(AND(COUNT(AY73,AZ73,BB73,BC73)=4,(AY74+AZ74+BB74+BC74)&lt;&gt;0),(AY73+AZ73+BB73+BC73)/-(AY74+AZ74+BB74+BC74),""),"")</f>
        <v/>
      </c>
      <c r="BD338" s="262" t="str">
        <f>IFERROR(IF(AND(COUNT(AZ73,BB73,BC73,BD73)=4,(AZ74+BB74+BC74+BD74)&lt;&gt;0),(AZ73+BB73+BC73+BD73)/-(AZ74+BB74+BC74+BD74),""),"")</f>
        <v/>
      </c>
      <c r="BE338" s="262" t="str">
        <f>IFERROR(IF(AND(COUNT(BB73,BC73,BD73,BE73)=4,(BB74+BC74+BD74+BE74)&lt;&gt;0),(BB73+BC73+BD73+BE73)/-(BB74+BC74+BD74+BE74),""),"")</f>
        <v/>
      </c>
      <c r="BF338" s="262" t="str">
        <f>IFERROR(IF(AND(COUNT(BB73,BC73,BD73,BE73)=4,(BB74+BC74+BD74+BE74)&lt;&gt;0),(BB73+BC73+BD73+BE73)/-(BB74+BC74+BD74+BE74),""),"")</f>
        <v/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</row>
    <row r="340" customFormat="1" s="77">
      <c r="A340" s="76" t="n"/>
      <c r="B340" s="76" t="n"/>
      <c r="C340" s="74" t="inlineStr">
        <is>
          <t>INTERNAL LIQUIDITY</t>
        </is>
      </c>
    </row>
    <row r="341" customFormat="1" s="77">
      <c r="A341" s="76" t="n"/>
      <c r="B341" s="76" t="n"/>
      <c r="C341" s="77" t="inlineStr">
        <is>
          <t>CURRENT RATIO</t>
        </is>
      </c>
      <c r="D341" s="82" t="str">
        <f>IFERROR(SUM(D144,D145,D149,D153,D154,D155)/SUM(D198,D202,D204,D205),"")</f>
        <v/>
      </c>
      <c r="E341" s="82" t="str">
        <f>IFERROR(SUM(E144,E145,E149,E153,E154,E155)/SUM(E198,E202,E204,E205),"")</f>
        <v/>
      </c>
      <c r="F341" s="82" t="str">
        <f>IFERROR(SUM(F144,F145,F149,F153,F154,F155)/SUM(F198,F202,F204,F205),"")</f>
        <v/>
      </c>
      <c r="G341" s="82" t="str">
        <f>IFERROR(SUM(G144,G145,G149,G153,G154,G155)/SUM(G198,G202,G204,G205),"")</f>
        <v/>
      </c>
      <c r="H341" s="262" t="str">
        <f>IFERROR(IF((N(H198)+N(H202)+N(H204)+N(H205)+N(H212)+N(H213)+N(H214))&lt;&gt;0,(N(H144)+(N(H145)+N(H149)+N(H153)+N(H154)+N(H155)))/(N(H198)+N(H202)+N(H204)+N(H205)+N(H212)+N(H213)+N(H214)),""),"")</f>
        <v/>
      </c>
      <c r="I341" s="262">
        <f>IFERROR(IF((N(I198)+N(I202)+N(I204)+N(I205)+N(I212)+N(I213)+N(I214))&lt;&gt;0,(N(I144)+(N(I145)+N(I149)+N(I153)+N(I154)+N(I155)))/(N(I198)+N(I202)+N(I204)+N(I205)+N(I212)+N(I213)+N(I214)),""),"")</f>
        <v>2.33789321489624</v>
      </c>
      <c r="J341" s="262">
        <f>IFERROR(IF((N(J198)+N(J202)+N(J204)+N(J205)+N(J212)+N(J213)+N(J214))&lt;&gt;0,(N(J144)+(N(J145)+N(J149)+N(J153)+N(J154)+N(J155)))/(N(J198)+N(J202)+N(J204)+N(J205)+N(J212)+N(J213)+N(J214)),""),"")</f>
        <v>1.95309395508459</v>
      </c>
      <c r="K341" s="262">
        <f>IFERROR(IF((N(K198)+N(K202)+N(K204)+N(K205)+N(K212)+N(K213)+N(K214))&lt;&gt;0,(N(K144)+(N(K145)+N(K149)+N(K153)+N(K154)+N(K155)))/(N(K198)+N(K202)+N(K204)+N(K205)+N(K212)+N(K213)+N(K214)),""),"")</f>
        <v>2.01232055811458</v>
      </c>
      <c r="L341" s="262">
        <f>IFERROR(IF((N(L198)+N(L202)+N(L204)+N(L205)+N(L212)+N(L213)+N(L214))&lt;&gt;0,(N(L144)+(N(L145)+N(L149)+N(L153)+N(L154)+N(L155)))/(N(L198)+N(L202)+N(L204)+N(L205)+N(L212)+N(L213)+N(L214)),""),"")</f>
        <v>3.55764745701759</v>
      </c>
      <c r="M341" s="262">
        <f>IFERROR(IF((N(M198)+N(M202)+N(M204)+N(M205)+N(M212)+N(M213)+N(M214))&lt;&gt;0,(N(M144)+(N(M145)+N(M149)+N(M153)+N(M154)+N(M155)))/(N(M198)+N(M202)+N(M204)+N(M205)+N(M212)+N(M213)+N(M214)),""),"")</f>
        <v>3.55764745701759</v>
      </c>
      <c r="N341" s="262">
        <f>IFERROR(IF((N(N198)+N(N202)+N(N204)+N(N205)+N(N212)+N(N213)+N(N214))&lt;&gt;0,(N(N144)+(N(N145)+N(N149)+N(N153)+N(N154)+N(N155)))/(N(N198)+N(N202)+N(N204)+N(N205)+N(N212)+N(N213)+N(N214)),""),"")</f>
        <v>2.70492887697652</v>
      </c>
      <c r="O341" s="262">
        <f>IFERROR(IF((N(O198)+N(O202)+N(O204)+N(O205)+N(O212)+N(O213)+N(O214))&lt;&gt;0,(N(O144)+(N(O145)+N(O149)+N(O153)+N(O154)+N(O155)))/(N(O198)+N(O202)+N(O204)+N(O205)+N(O212)+N(O213)+N(O214)),""),"")</f>
        <v>1.6407341475941</v>
      </c>
      <c r="P341" s="262">
        <f>IFERROR(IF((N(P198)+N(P202)+N(P204)+N(P205)+N(P212)+N(P213)+N(P214))&lt;&gt;0,(N(P144)+(N(P145)+N(P149)+N(P153)+N(P154)+N(P155)))/(N(P198)+N(P202)+N(P204)+N(P205)+N(P212)+N(P213)+N(P214)),""),"")</f>
        <v>1.44681388096432</v>
      </c>
      <c r="Q341" s="262">
        <f>IFERROR(IF((N(Q198)+N(Q202)+N(Q204)+N(Q205)+N(Q212)+N(Q213)+N(Q214))&lt;&gt;0,(N(Q144)+(N(Q145)+N(Q149)+N(Q153)+N(Q154)+N(Q155)))/(N(Q198)+N(Q202)+N(Q204)+N(Q205)+N(Q212)+N(Q213)+N(Q214)),""),"")</f>
        <v>1.96140075941056</v>
      </c>
      <c r="R341" s="262">
        <f>IFERROR(IF((N(R198)+N(R202)+N(R204)+N(R205)+N(R212)+N(R213)+N(R214))&lt;&gt;0,(N(R144)+(N(R145)+N(R149)+N(R153)+N(R154)+N(R155)))/(N(R198)+N(R202)+N(R204)+N(R205)+N(R212)+N(R213)+N(R214)),""),"")</f>
        <v>1.96140075941056</v>
      </c>
      <c r="S341" s="262">
        <f>IFERROR(IF((N(S198)+N(S202)+N(S204)+N(S205)+N(S212)+N(S213)+N(S214))&lt;&gt;0,(N(S144)+(N(S145)+N(S149)+N(S153)+N(S154)+N(S155)))/(N(S198)+N(S202)+N(S204)+N(S205)+N(S212)+N(S213)+N(S214)),""),"")</f>
        <v>2.12007021818824</v>
      </c>
      <c r="T341" s="262">
        <f>IFERROR(IF((N(T198)+N(T202)+N(T204)+N(T205)+N(T212)+N(T213)+N(T214))&lt;&gt;0,(N(T144)+(N(T145)+N(T149)+N(T153)+N(T154)+N(T155)))/(N(T198)+N(T202)+N(T204)+N(T205)+N(T212)+N(T213)+N(T214)),""),"")</f>
        <v>2.02969752839476</v>
      </c>
      <c r="U341" s="262">
        <f>IFERROR(IF((N(U198)+N(U202)+N(U204)+N(U205)+N(U212)+N(U213)+N(U214))&lt;&gt;0,(N(U144)+(N(U145)+N(U149)+N(U153)+N(U154)+N(U155)))/(N(U198)+N(U202)+N(U204)+N(U205)+N(U212)+N(U213)+N(U214)),""),"")</f>
        <v>2.4538484352516</v>
      </c>
      <c r="V341" s="262">
        <f>IFERROR(IF((N(V198)+N(V202)+N(V204)+N(V205)+N(V212)+N(V213)+N(V214))&lt;&gt;0,(N(V144)+(N(V145)+N(V149)+N(V153)+N(V154)+N(V155)))/(N(V198)+N(V202)+N(V204)+N(V205)+N(V212)+N(V213)+N(V214)),""),"")</f>
        <v>2.58840077235316</v>
      </c>
      <c r="W341" s="262">
        <f>IFERROR(IF((N(W198)+N(W202)+N(W204)+N(W205)+N(W212)+N(W213)+N(W214))&lt;&gt;0,(N(W144)+(N(W145)+N(W149)+N(W153)+N(W154)+N(W155)))/(N(W198)+N(W202)+N(W204)+N(W205)+N(W212)+N(W213)+N(W214)),""),"")</f>
        <v>2.58840077235316</v>
      </c>
      <c r="X341" s="262">
        <f>IFERROR(IF((N(X198)+N(X202)+N(X204)+N(X205)+N(X212)+N(X213)+N(X214))&lt;&gt;0,(N(X144)+(N(X145)+N(X149)+N(X153)+N(X154)+N(X155)))/(N(X198)+N(X202)+N(X204)+N(X205)+N(X212)+N(X213)+N(X214)),""),"")</f>
        <v>2.49394220053613</v>
      </c>
      <c r="Y341" s="262">
        <f>IFERROR(IF((N(Y198)+N(Y202)+N(Y204)+N(Y205)+N(Y212)+N(Y213)+N(Y214))&lt;&gt;0,(N(Y144)+(N(Y145)+N(Y149)+N(Y153)+N(Y154)+N(Y155)))/(N(Y198)+N(Y202)+N(Y204)+N(Y205)+N(Y212)+N(Y213)+N(Y214)),""),"")</f>
        <v>1.89390123609428</v>
      </c>
      <c r="Z341" s="262">
        <f>IFERROR(IF((N(Z198)+N(Z202)+N(Z204)+N(Z205)+N(Z212)+N(Z213)+N(Z214))&lt;&gt;0,(N(Z144)+(N(Z145)+N(Z149)+N(Z153)+N(Z154)+N(Z155)))/(N(Z198)+N(Z202)+N(Z204)+N(Z205)+N(Z212)+N(Z213)+N(Z214)),""),"")</f>
        <v>2.14023592497141</v>
      </c>
      <c r="AA341" s="262">
        <f>IFERROR(IF((N(AA198)+N(AA202)+N(AA204)+N(AA205)+N(AA212)+N(AA213)+N(AA214))&lt;&gt;0,(N(AA144)+(N(AA145)+N(AA149)+N(AA153)+N(AA154)+N(AA155)))/(N(AA198)+N(AA202)+N(AA204)+N(AA205)+N(AA212)+N(AA213)+N(AA214)),""),"")</f>
        <v>2.34397874698943</v>
      </c>
      <c r="AB341" s="262">
        <f>IFERROR(IF((N(AB198)+N(AB202)+N(AB204)+N(AB205)+N(AB212)+N(AB213)+N(AB214))&lt;&gt;0,(N(AB144)+(N(AB145)+N(AB149)+N(AB153)+N(AB154)+N(AB155)))/(N(AB198)+N(AB202)+N(AB204)+N(AB205)+N(AB212)+N(AB213)+N(AB214)),""),"")</f>
        <v>2.34397874698943</v>
      </c>
      <c r="AC341" s="262">
        <f>IFERROR(IF((N(AC198)+N(AC202)+N(AC204)+N(AC205)+N(AC212)+N(AC213)+N(AC214))&lt;&gt;0,(N(AC144)+(N(AC145)+N(AC149)+N(AC153)+N(AC154)+N(AC155)))/(N(AC198)+N(AC202)+N(AC204)+N(AC205)+N(AC212)+N(AC213)+N(AC214)),""),"")</f>
        <v>2.10360174532183</v>
      </c>
      <c r="AD341" s="262">
        <f>IFERROR(IF((N(AD198)+N(AD202)+N(AD204)+N(AD205)+N(AD212)+N(AD213)+N(AD214))&lt;&gt;0,(N(AD144)+(N(AD145)+N(AD149)+N(AD153)+N(AD154)+N(AD155)))/(N(AD198)+N(AD202)+N(AD204)+N(AD205)+N(AD212)+N(AD213)+N(AD214)),""),"")</f>
        <v>2.50257650901173</v>
      </c>
      <c r="AE341" s="262">
        <f>IFERROR(IF((N(AE198)+N(AE202)+N(AE204)+N(AE205)+N(AE212)+N(AE213)+N(AE214))&lt;&gt;0,(N(AE144)+(N(AE145)+N(AE149)+N(AE153)+N(AE154)+N(AE155)))/(N(AE198)+N(AE202)+N(AE204)+N(AE205)+N(AE212)+N(AE213)+N(AE214)),""),"")</f>
        <v>3.09897654325972</v>
      </c>
      <c r="AF341" s="262">
        <f>IFERROR(IF((N(AF198)+N(AF202)+N(AF204)+N(AF205)+N(AF212)+N(AF213)+N(AF214))&lt;&gt;0,(N(AF144)+(N(AF145)+N(AF149)+N(AF153)+N(AF154)+N(AF155)))/(N(AF198)+N(AF202)+N(AF204)+N(AF205)+N(AF212)+N(AF213)+N(AF214)),""),"")</f>
        <v>2.50682999896395</v>
      </c>
      <c r="AG341" s="262">
        <f>IFERROR(IF((N(AG198)+N(AG202)+N(AG204)+N(AG205)+N(AG212)+N(AG213)+N(AG214))&lt;&gt;0,(N(AG144)+(N(AG145)+N(AG149)+N(AG153)+N(AG154)+N(AG155)))/(N(AG198)+N(AG202)+N(AG204)+N(AG205)+N(AG212)+N(AG213)+N(AG214)),""),"")</f>
        <v>2.50682999896395</v>
      </c>
      <c r="AH341" s="262">
        <f>IFERROR(IF((N(AH198)+N(AH202)+N(AH204)+N(AH205)+N(AH212)+N(AH213)+N(AH214))&lt;&gt;0,(N(AH144)+(N(AH145)+N(AH149)+N(AH153)+N(AH154)+N(AH155)))/(N(AH198)+N(AH202)+N(AH204)+N(AH205)+N(AH212)+N(AH213)+N(AH214)),""),"")</f>
        <v>2.41512837299712</v>
      </c>
      <c r="AI341" s="262">
        <f>IFERROR(IF((N(AI198)+N(AI202)+N(AI204)+N(AI205)+N(AI212)+N(AI213)+N(AI214))&lt;&gt;0,(N(AI144)+(N(AI145)+N(AI149)+N(AI153)+N(AI154)+N(AI155)))/(N(AI198)+N(AI202)+N(AI204)+N(AI205)+N(AI212)+N(AI213)+N(AI214)),""),"")</f>
        <v>2.45556491980795</v>
      </c>
      <c r="AJ341" s="262">
        <f>IFERROR(IF((N(AJ198)+N(AJ202)+N(AJ204)+N(AJ205)+N(AJ212)+N(AJ213)+N(AJ214))&lt;&gt;0,(N(AJ144)+(N(AJ145)+N(AJ149)+N(AJ153)+N(AJ154)+N(AJ155)))/(N(AJ198)+N(AJ202)+N(AJ204)+N(AJ205)+N(AJ212)+N(AJ213)+N(AJ214)),""),"")</f>
        <v>1.72034723857715</v>
      </c>
      <c r="AK341" s="262">
        <f>IFERROR(IF((N(AK198)+N(AK202)+N(AK204)+N(AK205)+N(AK212)+N(AK213)+N(AK214))&lt;&gt;0,(N(AK144)+(N(AK145)+N(AK149)+N(AK153)+N(AK154)+N(AK155)))/(N(AK198)+N(AK202)+N(AK204)+N(AK205)+N(AK212)+N(AK213)+N(AK214)),""),"")</f>
        <v>1.00999690914497</v>
      </c>
      <c r="AL341" s="262">
        <f>IFERROR(IF((N(AL198)+N(AL202)+N(AL204)+N(AL205)+N(AL212)+N(AL213)+N(AL214))&lt;&gt;0,(N(AL144)+(N(AL145)+N(AL149)+N(AL153)+N(AL154)+N(AL155)))/(N(AL198)+N(AL202)+N(AL204)+N(AL205)+N(AL212)+N(AL213)+N(AL214)),""),"")</f>
        <v>1.00999690914497</v>
      </c>
      <c r="AM341" s="262">
        <f>IFERROR(IF((N(AM198)+N(AM202)+N(AM204)+N(AM205)+N(AM212)+N(AM213)+N(AM214))&lt;&gt;0,(N(AM144)+(N(AM145)+N(AM149)+N(AM153)+N(AM154)+N(AM155)))/(N(AM198)+N(AM202)+N(AM204)+N(AM205)+N(AM212)+N(AM213)+N(AM214)),""),"")</f>
        <v>0.381733388856512</v>
      </c>
      <c r="AN341" s="262">
        <f>IFERROR(IF((N(AN198)+N(AN202)+N(AN204)+N(AN205)+N(AN212)+N(AN213)+N(AN214))&lt;&gt;0,(N(AN144)+(N(AN145)+N(AN149)+N(AN153)+N(AN154)+N(AN155)))/(N(AN198)+N(AN202)+N(AN204)+N(AN205)+N(AN212)+N(AN213)+N(AN214)),""),"")</f>
        <v>-0.324870322345556</v>
      </c>
      <c r="AO341" s="262">
        <f>IFERROR(IF((N(AO198)+N(AO202)+N(AO204)+N(AO205)+N(AO212)+N(AO213)+N(AO214))&lt;&gt;0,(N(AO144)+(N(AO145)+N(AO149)+N(AO153)+N(AO154)+N(AO155)))/(N(AO198)+N(AO202)+N(AO204)+N(AO205)+N(AO212)+N(AO213)+N(AO214)),""),"")</f>
        <v>-0.6402257499544</v>
      </c>
      <c r="AP341" s="262">
        <f>IFERROR(IF((N(AP198)+N(AP202)+N(AP204)+N(AP205)+N(AP212)+N(AP213)+N(AP214))&lt;&gt;0,(N(AP144)+(N(AP145)+N(AP149)+N(AP153)+N(AP154)+N(AP155)))/(N(AP198)+N(AP202)+N(AP204)+N(AP205)+N(AP212)+N(AP213)+N(AP214)),""),"")</f>
        <v>-0.649620835088265</v>
      </c>
      <c r="AQ341" s="262">
        <f>IFERROR(IF((N(AQ198)+N(AQ202)+N(AQ204)+N(AQ205)+N(AQ212)+N(AQ213)+N(AQ214))&lt;&gt;0,(N(AQ144)+(N(AQ145)+N(AQ149)+N(AQ153)+N(AQ154)+N(AQ155)))/(N(AQ198)+N(AQ202)+N(AQ204)+N(AQ205)+N(AQ212)+N(AQ213)+N(AQ214)),""),"")</f>
        <v>-0.649620835088265</v>
      </c>
      <c r="AR341" s="262">
        <f>IFERROR(IF((N(AR198)+N(AR202)+N(AR204)+N(AR205)+N(AR212)+N(AR213)+N(AR214))&lt;&gt;0,(N(AR144)+(N(AR145)+N(AR149)+N(AR153)+N(AR154)+N(AR155)))/(N(AR198)+N(AR202)+N(AR204)+N(AR205)+N(AR212)+N(AR213)+N(AR214)),""),"")</f>
        <v>-0.582842897849364</v>
      </c>
      <c r="AS341" s="262">
        <f>IFERROR(IF((N(AS198)+N(AS202)+N(AS204)+N(AS205)+N(AS212)+N(AS213)+N(AS214))&lt;&gt;0,(N(AS144)+(N(AS145)+N(AS149)+N(AS153)+N(AS154)+N(AS155)))/(N(AS198)+N(AS202)+N(AS204)+N(AS205)+N(AS212)+N(AS213)+N(AS214)),""),"")</f>
        <v>-0.59281862549967</v>
      </c>
      <c r="AT341" s="262">
        <f>IFERROR(IF((N(AT198)+N(AT202)+N(AT204)+N(AT205)+N(AT212)+N(AT213)+N(AT214))&lt;&gt;0,(N(AT144)+(N(AT145)+N(AT149)+N(AT153)+N(AT154)+N(AT155)))/(N(AT198)+N(AT202)+N(AT204)+N(AT205)+N(AT212)+N(AT213)+N(AT214)),""),"")</f>
        <v>-0.476708844702879</v>
      </c>
      <c r="AU341" s="262">
        <f>IFERROR(IF((N(AU198)+N(AU202)+N(AU204)+N(AU205)+N(AU212)+N(AU213)+N(AU214))&lt;&gt;0,(N(AU144)+(N(AU145)+N(AU149)+N(AU153)+N(AU154)+N(AU155)))/(N(AU198)+N(AU202)+N(AU204)+N(AU205)+N(AU212)+N(AU213)+N(AU214)),""),"")</f>
        <v>-0.25767496717699</v>
      </c>
      <c r="AV341" s="262">
        <f>IFERROR(IF((N(AV198)+N(AV202)+N(AV204)+N(AV205)+N(AV212)+N(AV213)+N(AV214))&lt;&gt;0,(N(AV144)+(N(AV145)+N(AV149)+N(AV153)+N(AV154)+N(AV155)))/(N(AV198)+N(AV202)+N(AV204)+N(AV205)+N(AV212)+N(AV213)+N(AV214)),""),"")</f>
        <v>-0.25767496717699</v>
      </c>
      <c r="AW341" s="262">
        <f>IFERROR(IF((N(AW198)+N(AW202)+N(AW204)+N(AW205)+N(AW212)+N(AW213)+N(AW214))&lt;&gt;0,(N(AW144)+(N(AW145)+N(AW149)+N(AW153)+N(AW154)+N(AW155)))/(N(AW198)+N(AW202)+N(AW204)+N(AW205)+N(AW212)+N(AW213)+N(AW214)),""),"")</f>
        <v>-0.0650188136051304</v>
      </c>
      <c r="AX341" s="262">
        <f>IFERROR(IF((N(AX198)+N(AX202)+N(AX204)+N(AX205)+N(AX212)+N(AX213)+N(AX214))&lt;&gt;0,(N(AX144)+(N(AX145)+N(AX149)+N(AX153)+N(AX154)+N(AX155)))/(N(AX198)+N(AX202)+N(AX204)+N(AX205)+N(AX212)+N(AX213)+N(AX214)),""),"")</f>
        <v>0.0406856156841975</v>
      </c>
      <c r="AY341" s="262">
        <f>IFERROR(IF((N(AY198)+N(AY202)+N(AY204)+N(AY205)+N(AY212)+N(AY213)+N(AY214))&lt;&gt;0,(N(AY144)+(N(AY145)+N(AY149)+N(AY153)+N(AY154)+N(AY155)))/(N(AY198)+N(AY202)+N(AY204)+N(AY205)+N(AY212)+N(AY213)+N(AY214)),""),"")</f>
        <v>0.193155655077098</v>
      </c>
      <c r="AZ341" s="262">
        <f>IFERROR(IF((N(AZ198)+N(AZ202)+N(AZ204)+N(AZ205)+N(AZ212)+N(AZ213)+N(AZ214))&lt;&gt;0,(N(AZ144)+(N(AZ145)+N(AZ149)+N(AZ153)+N(AZ154)+N(AZ155)))/(N(AZ198)+N(AZ202)+N(AZ204)+N(AZ205)+N(AZ212)+N(AZ213)+N(AZ214)),""),"")</f>
        <v>0.348642309114254</v>
      </c>
      <c r="BA341" s="262">
        <f>IFERROR(IF((N(BA198)+N(BA202)+N(BA204)+N(BA205)+N(BA212)+N(BA213)+N(BA214))&lt;&gt;0,(N(BA144)+(N(BA145)+N(BA149)+N(BA153)+N(BA154)+N(BA155)))/(N(BA198)+N(BA202)+N(BA204)+N(BA205)+N(BA212)+N(BA213)+N(BA214)),""),"")</f>
        <v>0.348642309114254</v>
      </c>
      <c r="BB341" s="262">
        <f>IFERROR(IF((N(BB198)+N(BB202)+N(BB204)+N(BB205)+N(BB212)+N(BB213)+N(BB214))&lt;&gt;0,(N(BB144)+(N(BB145)+N(BB149)+N(BB153)+N(BB154)+N(BB155)))/(N(BB198)+N(BB202)+N(BB204)+N(BB205)+N(BB212)+N(BB213)+N(BB214)),""),"")</f>
        <v>0.47020038333415</v>
      </c>
      <c r="BC341" s="262">
        <f>IFERROR(IF((N(BC198)+N(BC202)+N(BC204)+N(BC205)+N(BC212)+N(BC213)+N(BC214))&lt;&gt;0,(N(BC144)+(N(BC145)+N(BC149)+N(BC153)+N(BC154)+N(BC155)))/(N(BC198)+N(BC202)+N(BC204)+N(BC205)+N(BC212)+N(BC213)+N(BC214)),""),"")</f>
        <v>0.541191352598125</v>
      </c>
      <c r="BD341" s="262">
        <f>IFERROR(IF((N(BD198)+N(BD202)+N(BD204)+N(BD205)+N(BD212)+N(BD213)+N(BD214))&lt;&gt;0,(N(BD144)+(N(BD145)+N(BD149)+N(BD153)+N(BD154)+N(BD155)))/(N(BD198)+N(BD202)+N(BD204)+N(BD205)+N(BD212)+N(BD213)+N(BD214)),""),"")</f>
        <v>0.628642118383346</v>
      </c>
      <c r="BE341" s="262">
        <f>IFERROR(IF((N(BE198)+N(BE202)+N(BE204)+N(BE205)+N(BE212)+N(BE213)+N(BE214))&lt;&gt;0,(N(BE144)+(N(BE145)+N(BE149)+N(BE153)+N(BE154)+N(BE155)))/(N(BE198)+N(BE202)+N(BE204)+N(BE205)+N(BE212)+N(BE213)+N(BE214)),""),"")</f>
        <v>0.706182919387586</v>
      </c>
      <c r="BF341" s="262">
        <f>IFERROR(IF((N(BF198)+N(BF202)+N(BF204)+N(BF205)+N(BF212)+N(BF213)+N(BF214))&lt;&gt;0,(N(BF144)+(N(BF145)+N(BF149)+N(BF153)+N(BF154)+N(BF155)))/(N(BF198)+N(BF202)+N(BF204)+N(BF205)+N(BF212)+N(BF213)+N(BF214)),""),"")</f>
        <v>0.706182919387586</v>
      </c>
      <c r="BG341" s="82" t="n"/>
      <c r="BH341" s="82" t="n"/>
      <c r="BI341" s="82" t="n"/>
      <c r="BJ341" s="82" t="n"/>
      <c r="BL341" s="82" t="n"/>
      <c r="BM341" s="82" t="n"/>
      <c r="BN341" s="82" t="n"/>
      <c r="BO341" s="82" t="n"/>
      <c r="BQ341" s="82" t="n"/>
      <c r="BR341" s="82" t="n"/>
      <c r="BS341" s="82" t="n"/>
      <c r="BT341" s="82" t="n"/>
      <c r="BV341" s="82" t="n"/>
      <c r="BW341" s="82" t="n"/>
      <c r="BX341" s="82" t="n"/>
      <c r="BY341" s="82" t="n"/>
      <c r="CA341" s="82" t="n"/>
      <c r="CB341" s="82" t="n"/>
      <c r="CC341" s="82" t="n"/>
      <c r="CD341" s="82" t="n"/>
      <c r="CF341" s="82" t="n"/>
      <c r="CG341" s="82" t="n"/>
      <c r="CH341" s="82" t="n"/>
      <c r="CI341" s="82" t="n"/>
      <c r="CK341" s="82" t="n"/>
      <c r="CL341" s="82" t="n"/>
      <c r="CM341" s="82" t="n"/>
      <c r="CN341" s="82" t="n"/>
      <c r="CP341" s="82" t="n"/>
      <c r="CQ341" s="82" t="n"/>
      <c r="CR341" s="82" t="n"/>
      <c r="CS341" s="82" t="n"/>
      <c r="CU341" s="82" t="n"/>
      <c r="CV341" s="82" t="n"/>
      <c r="CW341" s="82" t="n"/>
      <c r="CX341" s="82" t="n"/>
    </row>
    <row r="342" customFormat="1" s="77">
      <c r="A342" s="76" t="n"/>
      <c r="B342" s="76" t="n"/>
      <c r="C342" s="77" t="inlineStr">
        <is>
          <t>CASH RATIO</t>
        </is>
      </c>
      <c r="D342" s="82" t="str">
        <f>IFERROR(SUM(D144)/SUM(D198,D202,D204,D205),"")</f>
        <v/>
      </c>
      <c r="E342" s="82" t="str">
        <f>IFERROR(SUM(E144)/SUM(E198,E202,E204,E205),"")</f>
        <v/>
      </c>
      <c r="F342" s="82" t="str">
        <f>IFERROR(SUM(F144)/SUM(F198,F202,F204,F205),"")</f>
        <v/>
      </c>
      <c r="G342" s="82" t="str">
        <f>IFERROR(SUM(G144)/SUM(G198,G202,G204,G205),"")</f>
        <v/>
      </c>
      <c r="H342" s="262" t="str">
        <f>IFERROR(IF((N(H198)+N(H202)+N(H204)+N(H205)+N(H212)+N(H213)+N(H214))&lt;&gt;0,N(H144)/(N(H198)+N(H202)+N(H204)+N(H205)+N(H212)+N(H213)+N(H214)),""),"")</f>
        <v/>
      </c>
      <c r="I342" s="262">
        <f>IFERROR(IF((N(I198)+N(I202)+N(I204)+N(I205)+N(I212)+N(I213)+N(I214))&lt;&gt;0,N(I144)/(N(I198)+N(I202)+N(I204)+N(I205)+N(I212)+N(I213)+N(I214)),""),"")</f>
        <v>1.40411068330325</v>
      </c>
      <c r="J342" s="262">
        <f>IFERROR(IF((N(J198)+N(J202)+N(J204)+N(J205)+N(J212)+N(J213)+N(J214))&lt;&gt;0,N(J144)/(N(J198)+N(J202)+N(J204)+N(J205)+N(J212)+N(J213)+N(J214)),""),"")</f>
        <v>0.99951833343368</v>
      </c>
      <c r="K342" s="262">
        <f>IFERROR(IF((N(K198)+N(K202)+N(K204)+N(K205)+N(K212)+N(K213)+N(K214))&lt;&gt;0,N(K144)/(N(K198)+N(K202)+N(K204)+N(K205)+N(K212)+N(K213)+N(K214)),""),"")</f>
        <v>0.942444434506507</v>
      </c>
      <c r="L342" s="262">
        <f>IFERROR(IF((N(L198)+N(L202)+N(L204)+N(L205)+N(L212)+N(L213)+N(L214))&lt;&gt;0,N(L144)/(N(L198)+N(L202)+N(L204)+N(L205)+N(L212)+N(L213)+N(L214)),""),"")</f>
        <v>2.12267768088043</v>
      </c>
      <c r="M342" s="262">
        <f>IFERROR(IF((N(M198)+N(M202)+N(M204)+N(M205)+N(M212)+N(M213)+N(M214))&lt;&gt;0,N(M144)/(N(M198)+N(M202)+N(M204)+N(M205)+N(M212)+N(M213)+N(M214)),""),"")</f>
        <v>2.12267768088043</v>
      </c>
      <c r="N342" s="262">
        <f>IFERROR(IF((N(N198)+N(N202)+N(N204)+N(N205)+N(N212)+N(N213)+N(N214))&lt;&gt;0,N(N144)/(N(N198)+N(N202)+N(N204)+N(N205)+N(N212)+N(N213)+N(N214)),""),"")</f>
        <v>1.34692747558591</v>
      </c>
      <c r="O342" s="262">
        <f>IFERROR(IF((N(O198)+N(O202)+N(O204)+N(O205)+N(O212)+N(O213)+N(O214))&lt;&gt;0,N(O144)/(N(O198)+N(O202)+N(O204)+N(O205)+N(O212)+N(O213)+N(O214)),""),"")</f>
        <v>0.238818073345252</v>
      </c>
      <c r="P342" s="262">
        <f>IFERROR(IF((N(P198)+N(P202)+N(P204)+N(P205)+N(P212)+N(P213)+N(P214))&lt;&gt;0,N(P144)/(N(P198)+N(P202)+N(P204)+N(P205)+N(P212)+N(P213)+N(P214)),""),"")</f>
        <v>0.155783901189958</v>
      </c>
      <c r="Q342" s="262">
        <f>IFERROR(IF((N(Q198)+N(Q202)+N(Q204)+N(Q205)+N(Q212)+N(Q213)+N(Q214))&lt;&gt;0,N(Q144)/(N(Q198)+N(Q202)+N(Q204)+N(Q205)+N(Q212)+N(Q213)+N(Q214)),""),"")</f>
        <v>0.745773997931133</v>
      </c>
      <c r="R342" s="262">
        <f>IFERROR(IF((N(R198)+N(R202)+N(R204)+N(R205)+N(R212)+N(R213)+N(R214))&lt;&gt;0,N(R144)/(N(R198)+N(R202)+N(R204)+N(R205)+N(R212)+N(R213)+N(R214)),""),"")</f>
        <v>0.745773997931133</v>
      </c>
      <c r="S342" s="262">
        <f>IFERROR(IF((N(S198)+N(S202)+N(S204)+N(S205)+N(S212)+N(S213)+N(S214))&lt;&gt;0,N(S144)/(N(S198)+N(S202)+N(S204)+N(S205)+N(S212)+N(S213)+N(S214)),""),"")</f>
        <v>0.695430410819657</v>
      </c>
      <c r="T342" s="262">
        <f>IFERROR(IF((N(T198)+N(T202)+N(T204)+N(T205)+N(T212)+N(T213)+N(T214))&lt;&gt;0,N(T144)/(N(T198)+N(T202)+N(T204)+N(T205)+N(T212)+N(T213)+N(T214)),""),"")</f>
        <v>0.75742438209869</v>
      </c>
      <c r="U342" s="262">
        <f>IFERROR(IF((N(U198)+N(U202)+N(U204)+N(U205)+N(U212)+N(U213)+N(U214))&lt;&gt;0,N(U144)/(N(U198)+N(U202)+N(U204)+N(U205)+N(U212)+N(U213)+N(U214)),""),"")</f>
        <v>0.964292906547155</v>
      </c>
      <c r="V342" s="262">
        <f>IFERROR(IF((N(V198)+N(V202)+N(V204)+N(V205)+N(V212)+N(V213)+N(V214))&lt;&gt;0,N(V144)/(N(V198)+N(V202)+N(V204)+N(V205)+N(V212)+N(V213)+N(V214)),""),"")</f>
        <v>1.24998161985211</v>
      </c>
      <c r="W342" s="262">
        <f>IFERROR(IF((N(W198)+N(W202)+N(W204)+N(W205)+N(W212)+N(W213)+N(W214))&lt;&gt;0,N(W144)/(N(W198)+N(W202)+N(W204)+N(W205)+N(W212)+N(W213)+N(W214)),""),"")</f>
        <v>1.24998161985211</v>
      </c>
      <c r="X342" s="262">
        <f>IFERROR(IF((N(X198)+N(X202)+N(X204)+N(X205)+N(X212)+N(X213)+N(X214))&lt;&gt;0,N(X144)/(N(X198)+N(X202)+N(X204)+N(X205)+N(X212)+N(X213)+N(X214)),""),"")</f>
        <v>1.02757447064847</v>
      </c>
      <c r="Y342" s="262">
        <f>IFERROR(IF((N(Y198)+N(Y202)+N(Y204)+N(Y205)+N(Y212)+N(Y213)+N(Y214))&lt;&gt;0,N(Y144)/(N(Y198)+N(Y202)+N(Y204)+N(Y205)+N(Y212)+N(Y213)+N(Y214)),""),"")</f>
        <v>0.832091146834239</v>
      </c>
      <c r="Z342" s="262">
        <f>IFERROR(IF((N(Z198)+N(Z202)+N(Z204)+N(Z205)+N(Z212)+N(Z213)+N(Z214))&lt;&gt;0,N(Z144)/(N(Z198)+N(Z202)+N(Z204)+N(Z205)+N(Z212)+N(Z213)+N(Z214)),""),"")</f>
        <v>1.42332617648851</v>
      </c>
      <c r="AA342" s="262">
        <f>IFERROR(IF((N(AA198)+N(AA202)+N(AA204)+N(AA205)+N(AA212)+N(AA213)+N(AA214))&lt;&gt;0,N(AA144)/(N(AA198)+N(AA202)+N(AA204)+N(AA205)+N(AA212)+N(AA213)+N(AA214)),""),"")</f>
        <v>1.42243667467909</v>
      </c>
      <c r="AB342" s="262">
        <f>IFERROR(IF((N(AB198)+N(AB202)+N(AB204)+N(AB205)+N(AB212)+N(AB213)+N(AB214))&lt;&gt;0,N(AB144)/(N(AB198)+N(AB202)+N(AB204)+N(AB205)+N(AB212)+N(AB213)+N(AB214)),""),"")</f>
        <v>1.42243667467909</v>
      </c>
      <c r="AC342" s="262">
        <f>IFERROR(IF((N(AC198)+N(AC202)+N(AC204)+N(AC205)+N(AC212)+N(AC213)+N(AC214))&lt;&gt;0,N(AC144)/(N(AC198)+N(AC202)+N(AC204)+N(AC205)+N(AC212)+N(AC213)+N(AC214)),""),"")</f>
        <v>1.19971667987227</v>
      </c>
      <c r="AD342" s="262">
        <f>IFERROR(IF((N(AD198)+N(AD202)+N(AD204)+N(AD205)+N(AD212)+N(AD213)+N(AD214))&lt;&gt;0,N(AD144)/(N(AD198)+N(AD202)+N(AD204)+N(AD205)+N(AD212)+N(AD213)+N(AD214)),""),"")</f>
        <v>1.7503499282863</v>
      </c>
      <c r="AE342" s="262">
        <f>IFERROR(IF((N(AE198)+N(AE202)+N(AE204)+N(AE205)+N(AE212)+N(AE213)+N(AE214))&lt;&gt;0,N(AE144)/(N(AE198)+N(AE202)+N(AE204)+N(AE205)+N(AE212)+N(AE213)+N(AE214)),""),"")</f>
        <v>2.13746215026848</v>
      </c>
      <c r="AF342" s="262">
        <f>IFERROR(IF((N(AF198)+N(AF202)+N(AF204)+N(AF205)+N(AF212)+N(AF213)+N(AF214))&lt;&gt;0,N(AF144)/(N(AF198)+N(AF202)+N(AF204)+N(AF205)+N(AF212)+N(AF213)+N(AF214)),""),"")</f>
        <v>1.61968872975541</v>
      </c>
      <c r="AG342" s="262">
        <f>IFERROR(IF((N(AG198)+N(AG202)+N(AG204)+N(AG205)+N(AG212)+N(AG213)+N(AG214))&lt;&gt;0,N(AG144)/(N(AG198)+N(AG202)+N(AG204)+N(AG205)+N(AG212)+N(AG213)+N(AG214)),""),"")</f>
        <v>1.61968872975541</v>
      </c>
      <c r="AH342" s="262">
        <f>IFERROR(IF((N(AH198)+N(AH202)+N(AH204)+N(AH205)+N(AH212)+N(AH213)+N(AH214))&lt;&gt;0,N(AH144)/(N(AH198)+N(AH202)+N(AH204)+N(AH205)+N(AH212)+N(AH213)+N(AH214)),""),"")</f>
        <v>1.46818010016064</v>
      </c>
      <c r="AI342" s="262">
        <f>IFERROR(IF((N(AI198)+N(AI202)+N(AI204)+N(AI205)+N(AI212)+N(AI213)+N(AI214))&lt;&gt;0,N(AI144)/(N(AI198)+N(AI202)+N(AI204)+N(AI205)+N(AI212)+N(AI213)+N(AI214)),""),"")</f>
        <v>1.31465846017639</v>
      </c>
      <c r="AJ342" s="262">
        <f>IFERROR(IF((N(AJ198)+N(AJ202)+N(AJ204)+N(AJ205)+N(AJ212)+N(AJ213)+N(AJ214))&lt;&gt;0,N(AJ144)/(N(AJ198)+N(AJ202)+N(AJ204)+N(AJ205)+N(AJ212)+N(AJ213)+N(AJ214)),""),"")</f>
        <v>0.938987282634472</v>
      </c>
      <c r="AK342" s="262">
        <f>IFERROR(IF((N(AK198)+N(AK202)+N(AK204)+N(AK205)+N(AK212)+N(AK213)+N(AK214))&lt;&gt;0,N(AK144)/(N(AK198)+N(AK202)+N(AK204)+N(AK205)+N(AK212)+N(AK213)+N(AK214)),""),"")</f>
        <v>0.34608947846582</v>
      </c>
      <c r="AL342" s="262">
        <f>IFERROR(IF((N(AL198)+N(AL202)+N(AL204)+N(AL205)+N(AL212)+N(AL213)+N(AL214))&lt;&gt;0,N(AL144)/(N(AL198)+N(AL202)+N(AL204)+N(AL205)+N(AL212)+N(AL213)+N(AL214)),""),"")</f>
        <v>0.34608947846582</v>
      </c>
      <c r="AM342" s="262">
        <f>IFERROR(IF((N(AM198)+N(AM202)+N(AM204)+N(AM205)+N(AM212)+N(AM213)+N(AM214))&lt;&gt;0,N(AM144)/(N(AM198)+N(AM202)+N(AM204)+N(AM205)+N(AM212)+N(AM213)+N(AM214)),""),"")</f>
        <v>-0.217729390219115</v>
      </c>
      <c r="AN342" s="262">
        <f>IFERROR(IF((N(AN198)+N(AN202)+N(AN204)+N(AN205)+N(AN212)+N(AN213)+N(AN214))&lt;&gt;0,N(AN144)/(N(AN198)+N(AN202)+N(AN204)+N(AN205)+N(AN212)+N(AN213)+N(AN214)),""),"")</f>
        <v>-0.947709620182845</v>
      </c>
      <c r="AO342" s="262">
        <f>IFERROR(IF((N(AO198)+N(AO202)+N(AO204)+N(AO205)+N(AO212)+N(AO213)+N(AO214))&lt;&gt;0,N(AO144)/(N(AO198)+N(AO202)+N(AO204)+N(AO205)+N(AO212)+N(AO213)+N(AO214)),""),"")</f>
        <v>-1.05696396652387</v>
      </c>
      <c r="AP342" s="262">
        <f>IFERROR(IF((N(AP198)+N(AP202)+N(AP204)+N(AP205)+N(AP212)+N(AP213)+N(AP214))&lt;&gt;0,N(AP144)/(N(AP198)+N(AP202)+N(AP204)+N(AP205)+N(AP212)+N(AP213)+N(AP214)),""),"")</f>
        <v>-0.968249759445278</v>
      </c>
      <c r="AQ342" s="262">
        <f>IFERROR(IF((N(AQ198)+N(AQ202)+N(AQ204)+N(AQ205)+N(AQ212)+N(AQ213)+N(AQ214))&lt;&gt;0,N(AQ144)/(N(AQ198)+N(AQ202)+N(AQ204)+N(AQ205)+N(AQ212)+N(AQ213)+N(AQ214)),""),"")</f>
        <v>-0.968249759445278</v>
      </c>
      <c r="AR342" s="262">
        <f>IFERROR(IF((N(AR198)+N(AR202)+N(AR204)+N(AR205)+N(AR212)+N(AR213)+N(AR214))&lt;&gt;0,N(AR144)/(N(AR198)+N(AR202)+N(AR204)+N(AR205)+N(AR212)+N(AR213)+N(AR214)),""),"")</f>
        <v>-0.855043306251032</v>
      </c>
      <c r="AS342" s="262">
        <f>IFERROR(IF((N(AS198)+N(AS202)+N(AS204)+N(AS205)+N(AS212)+N(AS213)+N(AS214))&lt;&gt;0,N(AS144)/(N(AS198)+N(AS202)+N(AS204)+N(AS205)+N(AS212)+N(AS213)+N(AS214)),""),"")</f>
        <v>-0.884335390810176</v>
      </c>
      <c r="AT342" s="262">
        <f>IFERROR(IF((N(AT198)+N(AT202)+N(AT204)+N(AT205)+N(AT212)+N(AT213)+N(AT214))&lt;&gt;0,N(AT144)/(N(AT198)+N(AT202)+N(AT204)+N(AT205)+N(AT212)+N(AT213)+N(AT214)),""),"")</f>
        <v>-0.645365188745621</v>
      </c>
      <c r="AU342" s="262">
        <f>IFERROR(IF((N(AU198)+N(AU202)+N(AU204)+N(AU205)+N(AU212)+N(AU213)+N(AU214))&lt;&gt;0,N(AU144)/(N(AU198)+N(AU202)+N(AU204)+N(AU205)+N(AU212)+N(AU213)+N(AU214)),""),"")</f>
        <v>-0.378846819279464</v>
      </c>
      <c r="AV342" s="262">
        <f>IFERROR(IF((N(AV198)+N(AV202)+N(AV204)+N(AV205)+N(AV212)+N(AV213)+N(AV214))&lt;&gt;0,N(AV144)/(N(AV198)+N(AV202)+N(AV204)+N(AV205)+N(AV212)+N(AV213)+N(AV214)),""),"")</f>
        <v>-0.378846819279464</v>
      </c>
      <c r="AW342" s="262">
        <f>IFERROR(IF((N(AW198)+N(AW202)+N(AW204)+N(AW205)+N(AW212)+N(AW213)+N(AW214))&lt;&gt;0,N(AW144)/(N(AW198)+N(AW202)+N(AW204)+N(AW205)+N(AW212)+N(AW213)+N(AW214)),""),"")</f>
        <v>-0.167730100745968</v>
      </c>
      <c r="AX342" s="262">
        <f>IFERROR(IF((N(AX198)+N(AX202)+N(AX204)+N(AX205)+N(AX212)+N(AX213)+N(AX214))&lt;&gt;0,N(AX144)/(N(AX198)+N(AX202)+N(AX204)+N(AX205)+N(AX212)+N(AX213)+N(AX214)),""),"")</f>
        <v>-0.0735110669359984</v>
      </c>
      <c r="AY342" s="262">
        <f>IFERROR(IF((N(AY198)+N(AY202)+N(AY204)+N(AY205)+N(AY212)+N(AY213)+N(AY214))&lt;&gt;0,N(AY144)/(N(AY198)+N(AY202)+N(AY204)+N(AY205)+N(AY212)+N(AY213)+N(AY214)),""),"")</f>
        <v>0.132488447849923</v>
      </c>
      <c r="AZ342" s="262">
        <f>IFERROR(IF((N(AZ198)+N(AZ202)+N(AZ204)+N(AZ205)+N(AZ212)+N(AZ213)+N(AZ214))&lt;&gt;0,N(AZ144)/(N(AZ198)+N(AZ202)+N(AZ204)+N(AZ205)+N(AZ212)+N(AZ213)+N(AZ214)),""),"")</f>
        <v>0.306148856796554</v>
      </c>
      <c r="BA342" s="262">
        <f>IFERROR(IF((N(BA198)+N(BA202)+N(BA204)+N(BA205)+N(BA212)+N(BA213)+N(BA214))&lt;&gt;0,N(BA144)/(N(BA198)+N(BA202)+N(BA204)+N(BA205)+N(BA212)+N(BA213)+N(BA214)),""),"")</f>
        <v>0.306148856796554</v>
      </c>
      <c r="BB342" s="262">
        <f>IFERROR(IF((N(BB198)+N(BB202)+N(BB204)+N(BB205)+N(BB212)+N(BB213)+N(BB214))&lt;&gt;0,N(BB144)/(N(BB198)+N(BB202)+N(BB204)+N(BB205)+N(BB212)+N(BB213)+N(BB214)),""),"")</f>
        <v>0.433913800457991</v>
      </c>
      <c r="BC342" s="262">
        <f>IFERROR(IF((N(BC198)+N(BC202)+N(BC204)+N(BC205)+N(BC212)+N(BC213)+N(BC214))&lt;&gt;0,N(BC144)/(N(BC198)+N(BC202)+N(BC204)+N(BC205)+N(BC212)+N(BC213)+N(BC214)),""),"")</f>
        <v>0.499072715850964</v>
      </c>
      <c r="BD342" s="262">
        <f>IFERROR(IF((N(BD198)+N(BD202)+N(BD204)+N(BD205)+N(BD212)+N(BD213)+N(BD214))&lt;&gt;0,N(BD144)/(N(BD198)+N(BD202)+N(BD204)+N(BD205)+N(BD212)+N(BD213)+N(BD214)),""),"")</f>
        <v>0.607290373420038</v>
      </c>
      <c r="BE342" s="262">
        <f>IFERROR(IF((N(BE198)+N(BE202)+N(BE204)+N(BE205)+N(BE212)+N(BE213)+N(BE214))&lt;&gt;0,N(BE144)/(N(BE198)+N(BE202)+N(BE204)+N(BE205)+N(BE212)+N(BE213)+N(BE214)),""),"")</f>
        <v>0.691360670292999</v>
      </c>
      <c r="BF342" s="262">
        <f>IFERROR(IF((N(BF198)+N(BF202)+N(BF204)+N(BF205)+N(BF212)+N(BF213)+N(BF214))&lt;&gt;0,N(BF144)/(N(BF198)+N(BF202)+N(BF204)+N(BF205)+N(BF212)+N(BF213)+N(BF214)),""),"")</f>
        <v>0.691360670292999</v>
      </c>
      <c r="BG342" s="82" t="n"/>
      <c r="BH342" s="82" t="n"/>
      <c r="BI342" s="82" t="n"/>
      <c r="BJ342" s="82" t="n"/>
      <c r="BL342" s="82" t="n"/>
      <c r="BM342" s="82" t="n"/>
      <c r="BN342" s="82" t="n"/>
      <c r="BO342" s="82" t="n"/>
      <c r="BQ342" s="82" t="n"/>
      <c r="BR342" s="82" t="n"/>
      <c r="BS342" s="82" t="n"/>
      <c r="BT342" s="82" t="n"/>
      <c r="BV342" s="82" t="n"/>
      <c r="BW342" s="82" t="n"/>
      <c r="BX342" s="82" t="n"/>
      <c r="BY342" s="82" t="n"/>
      <c r="CA342" s="82" t="n"/>
      <c r="CB342" s="82" t="n"/>
      <c r="CC342" s="82" t="n"/>
      <c r="CD342" s="82" t="n"/>
      <c r="CF342" s="82" t="n"/>
      <c r="CG342" s="82" t="n"/>
      <c r="CH342" s="82" t="n"/>
      <c r="CI342" s="82" t="n"/>
      <c r="CK342" s="82" t="n"/>
      <c r="CL342" s="82" t="n"/>
      <c r="CM342" s="82" t="n"/>
      <c r="CN342" s="82" t="n"/>
      <c r="CP342" s="82" t="n"/>
      <c r="CQ342" s="82" t="n"/>
      <c r="CR342" s="82" t="n"/>
      <c r="CS342" s="82" t="n"/>
      <c r="CU342" s="82" t="n"/>
      <c r="CV342" s="82" t="n"/>
      <c r="CW342" s="82" t="n"/>
      <c r="CX342" s="82" t="n"/>
    </row>
    <row r="343" customFormat="1" s="77">
      <c r="A343" s="76" t="n"/>
      <c r="B343" s="76" t="n"/>
    </row>
    <row r="344" customFormat="1" s="77">
      <c r="A344" s="76" t="n"/>
      <c r="B344" s="76" t="n"/>
      <c r="C344" s="74" t="inlineStr">
        <is>
          <t>OPERATING EFFICIENCY</t>
        </is>
      </c>
    </row>
    <row r="345" customFormat="1" s="84">
      <c r="A345" s="81" t="n"/>
      <c r="B345" s="81" t="n"/>
      <c r="C345" s="84" t="inlineStr">
        <is>
          <t>RETURN ON CAPITAL (ROIC) - LTM</t>
        </is>
      </c>
      <c r="D345" t="str">
        <f>IFERROR(D347/D350,"")</f>
        <v/>
      </c>
      <c r="E345" t="str">
        <f>IFERROR(E347/E350,"")</f>
        <v/>
      </c>
      <c r="F345" t="str">
        <f>IFERROR(F347/F350,"")</f>
        <v/>
      </c>
      <c r="G345" t="str">
        <f>IFERROR(G347/G350,"")</f>
        <v/>
      </c>
      <c r="H345" s="257" t="str">
        <f>IFERROR(IF(AND(COUNT(H347)=1,N(H350)&lt;&gt;0),(H347)/H350,""),"")</f>
        <v/>
      </c>
      <c r="I345" s="257" t="str">
        <f>""</f>
        <v/>
      </c>
      <c r="J345" s="257" t="str">
        <f>""</f>
        <v/>
      </c>
      <c r="K345" s="257" t="str">
        <f>""</f>
        <v/>
      </c>
      <c r="L345" s="257">
        <f>IFERROR(IF(AND(COUNT(I347,J347,K347,L347)=4,N(L350)&lt;&gt;0),(I347+J347+K347+L347)/L350,""),"")</f>
        <v>-0.0181179223660548</v>
      </c>
      <c r="M345" s="257">
        <f>IFERROR(IF(AND(COUNT(I347,J347,K347,L347)=4,N(M350)&lt;&gt;0),(I347+J347+K347+L347)/M350,""),"")</f>
        <v>-0.0181179223660548</v>
      </c>
      <c r="N345" s="257">
        <f>IFERROR(IF(AND(COUNT(J347,K347,L347,N347)=4,N(N350)&lt;&gt;0),(J347+K347+L347+N347)/N350,""),"")</f>
        <v>0.0394612181452384</v>
      </c>
      <c r="O345" s="257">
        <f>IFERROR(IF(AND(COUNT(K347,L347,N347,O347)=4,N(O350)&lt;&gt;0),(K347+L347+N347+O347)/O350,""),"")</f>
        <v>0.0120024745705581</v>
      </c>
      <c r="P345" s="257">
        <f>IFERROR(IF(AND(COUNT(L347,N347,O347,P347)=4,N(P350)&lt;&gt;0),(L347+N347+O347+P347)/P350,""),"")</f>
        <v>0.0241594798794698</v>
      </c>
      <c r="Q345" s="257">
        <f>IFERROR(IF(AND(COUNT(N347,O347,P347,Q347)=4,N(Q350)&lt;&gt;0),(N347+O347+P347+Q347)/Q350,""),"")</f>
        <v>0.0180881849127845</v>
      </c>
      <c r="R345" s="257">
        <f>IFERROR(IF(AND(COUNT(N347,O347,P347,Q347)=4,N(R350)&lt;&gt;0),(N347+O347+P347+Q347)/R350,""),"")</f>
        <v>0.0180881849127845</v>
      </c>
      <c r="S345" s="257">
        <f>IFERROR(IF(AND(COUNT(O347,P347,Q347,S347)=4,N(S350)&lt;&gt;0),(O347+P347+Q347+S347)/S350,""),"")</f>
        <v>0.0154043990742365</v>
      </c>
      <c r="T345" s="257">
        <f>IFERROR(IF(AND(COUNT(P347,Q347,S347,T347)=4,N(T350)&lt;&gt;0),(P347+Q347+S347+T347)/T350,""),"")</f>
        <v>0.0151792472688089</v>
      </c>
      <c r="U345" s="257">
        <f>IFERROR(IF(AND(COUNT(Q347,S347,T347,U347)=4,N(U350)&lt;&gt;0),(Q347+S347+T347+U347)/U350,""),"")</f>
        <v>0.0132803696016835</v>
      </c>
      <c r="V345" s="257">
        <f>IFERROR(IF(AND(COUNT(S347,T347,U347,V347)=4,N(V350)&lt;&gt;0),(S347+T347+U347+V347)/V350,""),"")</f>
        <v>0.0704409776509766</v>
      </c>
      <c r="W345" s="257">
        <f>IFERROR(IF(AND(COUNT(S347,T347,U347,V347)=4,N(W350)&lt;&gt;0),(S347+T347+U347+V347)/W350,""),"")</f>
        <v>0.0704409776509766</v>
      </c>
      <c r="X345" s="257">
        <f>IFERROR(IF(AND(COUNT(T347,U347,V347,X347)=4,N(X350)&lt;&gt;0),(T347+U347+V347+X347)/X350,""),"")</f>
        <v>0.0992135891968454</v>
      </c>
      <c r="Y345" s="257">
        <f>IFERROR(IF(AND(COUNT(U347,V347,X347,Y347)=4,N(Y350)&lt;&gt;0),(U347+V347+X347+Y347)/Y350,""),"")</f>
        <v>0.104398094268042</v>
      </c>
      <c r="Z345" s="257">
        <f>IFERROR(IF(AND(COUNT(V347,X347,Y347,Z347)=4,N(Z350)&lt;&gt;0),(V347+X347+Y347+Z347)/Z350,""),"")</f>
        <v>0.126022652893423</v>
      </c>
      <c r="AA345" s="257">
        <f>IFERROR(IF(AND(COUNT(X347,Y347,Z347,AA347)=4,N(AA350)&lt;&gt;0),(X347+Y347+Z347+AA347)/AA350,""),"")</f>
        <v>0.0967022230123049</v>
      </c>
      <c r="AB345" s="257">
        <f>IFERROR(IF(AND(COUNT(X347,Y347,Z347,AA347)=4,N(AB350)&lt;&gt;0),(X347+Y347+Z347+AA347)/AB350,""),"")</f>
        <v>0.0967022230123049</v>
      </c>
      <c r="AC345" s="257">
        <f>IFERROR(IF(AND(COUNT(Y347,Z347,AA347,AC347)=4,N(AC350)&lt;&gt;0),(Y347+Z347+AA347+AC347)/AC350,""),"")</f>
        <v>0.0643914006524648</v>
      </c>
      <c r="AD345" s="257">
        <f>IFERROR(IF(AND(COUNT(Z347,AA347,AC347,AD347)=4,N(AD350)&lt;&gt;0),(Z347+AA347+AC347+AD347)/AD350,""),"")</f>
        <v>0.0795193734103089</v>
      </c>
      <c r="AE345" s="257">
        <f>IFERROR(IF(AND(COUNT(AA347,AC347,AD347,AE347)=4,N(AE350)&lt;&gt;0),(AA347+AC347+AD347+AE347)/AE350,""),"")</f>
        <v>0.0720369105229674</v>
      </c>
      <c r="AF345" s="257">
        <f>IFERROR(IF(AND(COUNT(AB347,AD347,AE347,AF347)=4,N(AF350)&lt;&gt;0),(AB347+AD347+AE347+AF347)/AF350,""),"")</f>
        <v>0.139684935489116</v>
      </c>
      <c r="AG345" s="257">
        <f>IFERROR(IF(AND(COUNT(AC347,AD347,AE347,AF347)=4,N(AG350)&lt;&gt;0),(AC347+AD347+AE347+AF347)/AG350,""),"")</f>
        <v>0.0753796546856097</v>
      </c>
      <c r="AH345" s="257">
        <f>IFERROR(IF(AND(COUNT(AD347,AF347,AG347,AH347)=4,N(AH350)&lt;&gt;0),(AD347+AF347+AG347+AH347)/AH350,""),"")</f>
        <v>0.142144239886167</v>
      </c>
      <c r="AI345" s="257">
        <f>IFERROR(IF(AND(COUNT(AE347,AG347,AH347,AI347)=4,N(AI350)&lt;&gt;0),(AE347+AG347+AH347+AI347)/AI350,""),"")</f>
        <v>0.0473262927366016</v>
      </c>
      <c r="AJ345" s="257">
        <f>IFERROR(IF(AND(COUNT(AF347,AH347,AI347,AJ347)=4,N(AJ350)&lt;&gt;0),(AF347+AH347+AI347+AJ347)/AJ350,""),"")</f>
        <v>0.0186662189690584</v>
      </c>
      <c r="AK345" s="257">
        <f>IFERROR(IF(AND(COUNT(AH347,AI347,AJ347,AK347)=4,N(AK350)&lt;&gt;0),(AH347+AI347+AJ347+AK347)/AK350,""),"")</f>
        <v>0.00998926872281751</v>
      </c>
      <c r="AL345" s="257">
        <f>IFERROR(IF(AND(COUNT(AH347,AI347,AJ347,AK347)=4,N(AL350)&lt;&gt;0),(AH347+AI347+AJ347+AK347)/AL350,""),"")</f>
        <v>0.00998926872281751</v>
      </c>
      <c r="AM345" s="257">
        <f>IFERROR(IF(AND(COUNT(AI347,AJ347,AK347,AM347)=4,N(AM350)&lt;&gt;0),(AI347+AJ347+AK347+AM347)/AM350,""),"")</f>
        <v>0.00291799588139965</v>
      </c>
      <c r="AN345" s="257">
        <f>IFERROR(IF(AND(COUNT(AJ347,AK347,AM347,AN347)=4,N(AN350)&lt;&gt;0),(AJ347+AK347+AM347+AN347)/AN350,""),"")</f>
        <v>0</v>
      </c>
      <c r="AO345" s="257">
        <f>IFERROR(IF(AND(COUNT(AK347,AM347,AN347,AO347)=4,N(AO350)&lt;&gt;0),(AK347+AM347+AN347+AO347)/AO350,""),"")</f>
        <v>0</v>
      </c>
      <c r="AP345" s="257">
        <f>IFERROR(IF(AND(COUNT(AM347,AN347,AO347,AP347)=4,N(AP350)&lt;&gt;0),(AM347+AN347+AO347+AP347)/AP350,""),"")</f>
        <v>0</v>
      </c>
      <c r="AQ345" s="257">
        <f>IFERROR(IF(AND(COUNT(AM347,AN347,AO347,AP347)=4,N(AQ350)&lt;&gt;0),(AM347+AN347+AO347+AP347)/AQ350,""),"")</f>
        <v>0</v>
      </c>
      <c r="AR345" s="257">
        <f>IFERROR(IF(AND(COUNT(AN347,AO347,AP347,AR347)=4,N(AR350)&lt;&gt;0),(AN347+AO347+AP347+AR347)/AR350,""),"")</f>
        <v>0</v>
      </c>
      <c r="AS345" s="257">
        <f>IFERROR(IF(AND(COUNT(AO347,AP347,AR347,AS347)=4,N(AS350)&lt;&gt;0),(AO347+AP347+AR347+AS347)/AS350,""),"")</f>
        <v>0</v>
      </c>
      <c r="AT345" s="257">
        <f>IFERROR(IF(AND(COUNT(AP347,AR347,AS347,AT347)=4,N(AT350)&lt;&gt;0),(AP347+AR347+AS347+AT347)/AT350,""),"")</f>
        <v>0</v>
      </c>
      <c r="AU345" s="257">
        <f>IFERROR(IF(AND(COUNT(AR347,AS347,AT347,AU347)=4,N(AU350)&lt;&gt;0),(AR347+AS347+AT347+AU347)/AU350,""),"")</f>
        <v>0</v>
      </c>
      <c r="AV345" s="257">
        <f>IFERROR(IF(AND(COUNT(AR347,AS347,AT347,AU347)=4,N(AV350)&lt;&gt;0),(AR347+AS347+AT347+AU347)/AV350,""),"")</f>
        <v>0</v>
      </c>
      <c r="AW345" s="257">
        <f>IFERROR(IF(AND(COUNT(AS347,AT347,AU347,AW347)=4,N(AW350)&lt;&gt;0),(AS347+AT347+AU347+AW347)/AW350,""),"")</f>
        <v>0</v>
      </c>
      <c r="AX345" s="257">
        <f>IFERROR(IF(AND(COUNT(AT347,AU347,AW347,AX347)=4,N(AX350)&lt;&gt;0),(AT347+AU347+AW347+AX347)/AX350,""),"")</f>
        <v>0</v>
      </c>
      <c r="AY345" s="257">
        <f>IFERROR(IF(AND(COUNT(AU347,AW347,AX347,AY347)=4,N(AY350)&lt;&gt;0),(AU347+AW347+AX347+AY347)/AY350,""),"")</f>
        <v>0</v>
      </c>
      <c r="AZ345" s="257">
        <f>IFERROR(IF(AND(COUNT(AW347,AX347,AY347,AZ347)=4,N(AZ350)&lt;&gt;0),(AW347+AX347+AY347+AZ347)/AZ350,""),"")</f>
        <v>0</v>
      </c>
      <c r="BA345" s="257">
        <f>IFERROR(IF(AND(COUNT(AW347,AX347,AY347,AZ347)=4,N(BA350)&lt;&gt;0),(AW347+AX347+AY347+AZ347)/BA350,""),"")</f>
        <v>0</v>
      </c>
      <c r="BB345" s="257">
        <f>IFERROR(IF(AND(COUNT(AX347,AY347,AZ347,BB347)=4,N(BB350)&lt;&gt;0),(AX347+AY347+AZ347+BB347)/BB350,""),"")</f>
        <v>0</v>
      </c>
      <c r="BC345" s="257">
        <f>IFERROR(IF(AND(COUNT(AY347,AZ347,BB347,BC347)=4,N(BC350)&lt;&gt;0),(AY347+AZ347+BB347+BC347)/BC350,""),"")</f>
        <v>0</v>
      </c>
      <c r="BD345" s="257">
        <f>IFERROR(IF(AND(COUNT(AZ347,BB347,BC347,BD347)=4,N(BD350)&lt;&gt;0),(AZ347+BB347+BC347+BD347)/BD350,""),"")</f>
        <v>0</v>
      </c>
      <c r="BE345" s="257">
        <f>IFERROR(IF(AND(COUNT(BB347,BC347,BD347,BE347)=4,N(BE350)&lt;&gt;0),(BB347+BC347+BD347+BE347)/BE350,""),"")</f>
        <v>0</v>
      </c>
      <c r="BF345" s="257">
        <f>IFERROR(IF(AND(COUNT(BB347,BC347,BD347,BE347)=4,N(BF350)&lt;&gt;0),(BB347+BC347+BD347+BE347)/BF350,""),"")</f>
        <v>0</v>
      </c>
      <c r="BG345" s="81" t="n"/>
      <c r="BH345" s="81" t="n"/>
      <c r="BI345" s="81" t="n"/>
      <c r="BJ345" s="81" t="n"/>
      <c r="BL345" s="81" t="n"/>
      <c r="BM345" s="81" t="n"/>
      <c r="BN345" s="81" t="n"/>
      <c r="BO345" s="81" t="n"/>
      <c r="BQ345" s="81" t="n"/>
      <c r="BR345" s="81" t="n"/>
      <c r="BS345" s="81" t="n"/>
      <c r="BT345" s="81" t="n"/>
      <c r="BV345" s="81" t="n"/>
      <c r="BW345" s="81" t="n"/>
      <c r="BX345" s="81" t="n"/>
      <c r="BY345" s="81" t="n"/>
      <c r="CA345" s="81" t="n"/>
      <c r="CB345" s="81" t="n"/>
      <c r="CC345" s="81" t="n"/>
      <c r="CD345" s="81" t="n"/>
      <c r="CF345" s="81" t="n"/>
      <c r="CG345" s="81" t="n"/>
      <c r="CH345" s="81" t="n"/>
      <c r="CI345" s="81" t="n"/>
      <c r="CK345" s="81" t="n"/>
      <c r="CL345" s="81" t="n"/>
      <c r="CM345" s="81" t="n"/>
      <c r="CN345" s="81" t="n"/>
      <c r="CP345" s="81" t="n"/>
      <c r="CQ345" s="81" t="n"/>
      <c r="CR345" s="81" t="n"/>
      <c r="CS345" s="81" t="n"/>
      <c r="CU345" s="81" t="n"/>
      <c r="CV345" s="81" t="n"/>
      <c r="CW345" s="81" t="n"/>
      <c r="CX345" s="81" t="n"/>
    </row>
    <row r="346" customFormat="1" s="84">
      <c r="A346" s="81" t="n"/>
      <c r="B346" s="81" t="n"/>
      <c r="C346" s="84" t="inlineStr">
        <is>
          <t>RETURN ON CAPITAL (ROIC) - EX GOODWILL - LTM</t>
        </is>
      </c>
      <c r="D346" t="str">
        <f>IFERROR(D347/D351,"")</f>
        <v/>
      </c>
      <c r="E346" t="str">
        <f>IFERROR(E347/E351,"")</f>
        <v/>
      </c>
      <c r="F346" t="str">
        <f>IFERROR(F347/F351,"")</f>
        <v/>
      </c>
      <c r="G346" t="str">
        <f>IFERROR(G347/G351,"")</f>
        <v/>
      </c>
      <c r="H346" s="257" t="str">
        <f>IFERROR(IF(AND(COUNT(H347)=1,N(H351)&lt;&gt;0),(H347)/H351,""),"")</f>
        <v/>
      </c>
      <c r="I346" s="257" t="str">
        <f>""</f>
        <v/>
      </c>
      <c r="J346" s="257" t="str">
        <f>""</f>
        <v/>
      </c>
      <c r="K346" s="257" t="str">
        <f>""</f>
        <v/>
      </c>
      <c r="L346" s="257">
        <f>IFERROR(IF(AND(COUNT(I347,J347,K347,L347)=4,N(L351)&lt;&gt;0),(I347+J347+K347+L347)/L351,""),"")</f>
        <v>-0.0181179223660548</v>
      </c>
      <c r="M346" s="257">
        <f>IFERROR(IF(AND(COUNT(I347,J347,K347,L347)=4,N(M351)&lt;&gt;0),(I347+J347+K347+L347)/M351,""),"")</f>
        <v>-0.0181179223660548</v>
      </c>
      <c r="N346" s="257">
        <f>IFERROR(IF(AND(COUNT(J347,K347,L347,N347)=4,N(N351)&lt;&gt;0),(J347+K347+L347+N347)/N351,""),"")</f>
        <v>0.0394612181452384</v>
      </c>
      <c r="O346" s="257">
        <f>IFERROR(IF(AND(COUNT(K347,L347,N347,O347)=4,N(O351)&lt;&gt;0),(K347+L347+N347+O347)/O351,""),"")</f>
        <v>0.0120024745705581</v>
      </c>
      <c r="P346" s="257">
        <f>IFERROR(IF(AND(COUNT(L347,N347,O347,P347)=4,N(P351)&lt;&gt;0),(L347+N347+O347+P347)/P351,""),"")</f>
        <v>0.0241594798794698</v>
      </c>
      <c r="Q346" s="257">
        <f>IFERROR(IF(AND(COUNT(N347,O347,P347,Q347)=4,N(Q351)&lt;&gt;0),(N347+O347+P347+Q347)/Q351,""),"")</f>
        <v>0.0180881849127845</v>
      </c>
      <c r="R346" s="257">
        <f>IFERROR(IF(AND(COUNT(N347,O347,P347,Q347)=4,N(R351)&lt;&gt;0),(N347+O347+P347+Q347)/R351,""),"")</f>
        <v>0.0180881849127845</v>
      </c>
      <c r="S346" s="257">
        <f>IFERROR(IF(AND(COUNT(O347,P347,Q347,S347)=4,N(S351)&lt;&gt;0),(O347+P347+Q347+S347)/S351,""),"")</f>
        <v>0.0154043990742365</v>
      </c>
      <c r="T346" s="257">
        <f>IFERROR(IF(AND(COUNT(P347,Q347,S347,T347)=4,N(T351)&lt;&gt;0),(P347+Q347+S347+T347)/T351,""),"")</f>
        <v>0.0151792472688089</v>
      </c>
      <c r="U346" s="257">
        <f>IFERROR(IF(AND(COUNT(Q347,S347,T347,U347)=4,N(U351)&lt;&gt;0),(Q347+S347+T347+U347)/U351,""),"")</f>
        <v>0.0132803696016835</v>
      </c>
      <c r="V346" s="257">
        <f>IFERROR(IF(AND(COUNT(S347,T347,U347,V347)=4,N(V351)&lt;&gt;0),(S347+T347+U347+V347)/V351,""),"")</f>
        <v>0.0704409776509766</v>
      </c>
      <c r="W346" s="257">
        <f>IFERROR(IF(AND(COUNT(S347,T347,U347,V347)=4,N(W351)&lt;&gt;0),(S347+T347+U347+V347)/W351,""),"")</f>
        <v>0.0704409776509766</v>
      </c>
      <c r="X346" s="257">
        <f>IFERROR(IF(AND(COUNT(T347,U347,V347,X347)=4,N(X351)&lt;&gt;0),(T347+U347+V347+X347)/X351,""),"")</f>
        <v>0.0992135891968454</v>
      </c>
      <c r="Y346" s="257">
        <f>IFERROR(IF(AND(COUNT(U347,V347,X347,Y347)=4,N(Y351)&lt;&gt;0),(U347+V347+X347+Y347)/Y351,""),"")</f>
        <v>0.104398094268042</v>
      </c>
      <c r="Z346" s="257">
        <f>IFERROR(IF(AND(COUNT(V347,X347,Y347,Z347)=4,N(Z351)&lt;&gt;0),(V347+X347+Y347+Z347)/Z351,""),"")</f>
        <v>0.126022652893423</v>
      </c>
      <c r="AA346" s="257">
        <f>IFERROR(IF(AND(COUNT(X347,Y347,Z347,AA347)=4,N(AA351)&lt;&gt;0),(X347+Y347+Z347+AA347)/AA351,""),"")</f>
        <v>0.0967022230123049</v>
      </c>
      <c r="AB346" s="257">
        <f>IFERROR(IF(AND(COUNT(X347,Y347,Z347,AA347)=4,N(AB351)&lt;&gt;0),(X347+Y347+Z347+AA347)/AB351,""),"")</f>
        <v>0.0967022230123049</v>
      </c>
      <c r="AC346" s="257">
        <f>IFERROR(IF(AND(COUNT(Y347,Z347,AA347,AC347)=4,N(AC351)&lt;&gt;0),(Y347+Z347+AA347+AC347)/AC351,""),"")</f>
        <v>0.0643914006524648</v>
      </c>
      <c r="AD346" s="257">
        <f>IFERROR(IF(AND(COUNT(Z347,AA347,AC347,AD347)=4,N(AD351)&lt;&gt;0),(Z347+AA347+AC347+AD347)/AD351,""),"")</f>
        <v>0.0795193734103089</v>
      </c>
      <c r="AE346" s="257">
        <f>IFERROR(IF(AND(COUNT(AA347,AC347,AD347,AE347)=4,N(AE351)&lt;&gt;0),(AA347+AC347+AD347+AE347)/AE351,""),"")</f>
        <v>0.0720369105229674</v>
      </c>
      <c r="AF346" s="257">
        <f>IFERROR(IF(AND(COUNT(AB347,AD347,AE347,AF347)=4,N(AF351)&lt;&gt;0),(AB347+AD347+AE347+AF347)/AF351,""),"")</f>
        <v>0.139684935489116</v>
      </c>
      <c r="AG346" s="257">
        <f>IFERROR(IF(AND(COUNT(AC347,AD347,AE347,AF347)=4,N(AG351)&lt;&gt;0),(AC347+AD347+AE347+AF347)/AG351,""),"")</f>
        <v>0.0753796546856097</v>
      </c>
      <c r="AH346" s="257">
        <f>IFERROR(IF(AND(COUNT(AD347,AF347,AG347,AH347)=4,N(AH351)&lt;&gt;0),(AD347+AF347+AG347+AH347)/AH351,""),"")</f>
        <v>0.142144239886167</v>
      </c>
      <c r="AI346" s="257">
        <f>IFERROR(IF(AND(COUNT(AE347,AG347,AH347,AI347)=4,N(AI351)&lt;&gt;0),(AE347+AG347+AH347+AI347)/AI351,""),"")</f>
        <v>0.0473262927366016</v>
      </c>
      <c r="AJ346" s="257">
        <f>IFERROR(IF(AND(COUNT(AF347,AH347,AI347,AJ347)=4,N(AJ351)&lt;&gt;0),(AF347+AH347+AI347+AJ347)/AJ351,""),"")</f>
        <v>0.0186662189690584</v>
      </c>
      <c r="AK346" s="257">
        <f>IFERROR(IF(AND(COUNT(AH347,AI347,AJ347,AK347)=4,N(AK351)&lt;&gt;0),(AH347+AI347+AJ347+AK347)/AK351,""),"")</f>
        <v>0.00998926872281751</v>
      </c>
      <c r="AL346" s="257">
        <f>IFERROR(IF(AND(COUNT(AH347,AI347,AJ347,AK347)=4,N(AL351)&lt;&gt;0),(AH347+AI347+AJ347+AK347)/AL351,""),"")</f>
        <v>0.00998926872281751</v>
      </c>
      <c r="AM346" s="257">
        <f>IFERROR(IF(AND(COUNT(AI347,AJ347,AK347,AM347)=4,N(AM351)&lt;&gt;0),(AI347+AJ347+AK347+AM347)/AM351,""),"")</f>
        <v>0.00291799588139965</v>
      </c>
      <c r="AN346" s="257">
        <f>IFERROR(IF(AND(COUNT(AJ347,AK347,AM347,AN347)=4,N(AN351)&lt;&gt;0),(AJ347+AK347+AM347+AN347)/AN351,""),"")</f>
        <v>0</v>
      </c>
      <c r="AO346" s="257">
        <f>IFERROR(IF(AND(COUNT(AK347,AM347,AN347,AO347)=4,N(AO351)&lt;&gt;0),(AK347+AM347+AN347+AO347)/AO351,""),"")</f>
        <v>0</v>
      </c>
      <c r="AP346" s="257">
        <f>IFERROR(IF(AND(COUNT(AM347,AN347,AO347,AP347)=4,N(AP351)&lt;&gt;0),(AM347+AN347+AO347+AP347)/AP351,""),"")</f>
        <v>0</v>
      </c>
      <c r="AQ346" s="257">
        <f>IFERROR(IF(AND(COUNT(AM347,AN347,AO347,AP347)=4,N(AQ351)&lt;&gt;0),(AM347+AN347+AO347+AP347)/AQ351,""),"")</f>
        <v>0</v>
      </c>
      <c r="AR346" s="257">
        <f>IFERROR(IF(AND(COUNT(AN347,AO347,AP347,AR347)=4,N(AR351)&lt;&gt;0),(AN347+AO347+AP347+AR347)/AR351,""),"")</f>
        <v>0</v>
      </c>
      <c r="AS346" s="257">
        <f>IFERROR(IF(AND(COUNT(AO347,AP347,AR347,AS347)=4,N(AS351)&lt;&gt;0),(AO347+AP347+AR347+AS347)/AS351,""),"")</f>
        <v>0</v>
      </c>
      <c r="AT346" s="257">
        <f>IFERROR(IF(AND(COUNT(AP347,AR347,AS347,AT347)=4,N(AT351)&lt;&gt;0),(AP347+AR347+AS347+AT347)/AT351,""),"")</f>
        <v>0</v>
      </c>
      <c r="AU346" s="257">
        <f>IFERROR(IF(AND(COUNT(AR347,AS347,AT347,AU347)=4,N(AU351)&lt;&gt;0),(AR347+AS347+AT347+AU347)/AU351,""),"")</f>
        <v>0</v>
      </c>
      <c r="AV346" s="257">
        <f>IFERROR(IF(AND(COUNT(AR347,AS347,AT347,AU347)=4,N(AV351)&lt;&gt;0),(AR347+AS347+AT347+AU347)/AV351,""),"")</f>
        <v>0</v>
      </c>
      <c r="AW346" s="257">
        <f>IFERROR(IF(AND(COUNT(AS347,AT347,AU347,AW347)=4,N(AW351)&lt;&gt;0),(AS347+AT347+AU347+AW347)/AW351,""),"")</f>
        <v>0</v>
      </c>
      <c r="AX346" s="257">
        <f>IFERROR(IF(AND(COUNT(AT347,AU347,AW347,AX347)=4,N(AX351)&lt;&gt;0),(AT347+AU347+AW347+AX347)/AX351,""),"")</f>
        <v>0</v>
      </c>
      <c r="AY346" s="257">
        <f>IFERROR(IF(AND(COUNT(AU347,AW347,AX347,AY347)=4,N(AY351)&lt;&gt;0),(AU347+AW347+AX347+AY347)/AY351,""),"")</f>
        <v>0</v>
      </c>
      <c r="AZ346" s="257">
        <f>IFERROR(IF(AND(COUNT(AW347,AX347,AY347,AZ347)=4,N(AZ351)&lt;&gt;0),(AW347+AX347+AY347+AZ347)/AZ351,""),"")</f>
        <v>0</v>
      </c>
      <c r="BA346" s="257">
        <f>IFERROR(IF(AND(COUNT(AW347,AX347,AY347,AZ347)=4,N(BA351)&lt;&gt;0),(AW347+AX347+AY347+AZ347)/BA351,""),"")</f>
        <v>0</v>
      </c>
      <c r="BB346" s="257">
        <f>IFERROR(IF(AND(COUNT(AX347,AY347,AZ347,BB347)=4,N(BB351)&lt;&gt;0),(AX347+AY347+AZ347+BB347)/BB351,""),"")</f>
        <v>0</v>
      </c>
      <c r="BC346" s="257">
        <f>IFERROR(IF(AND(COUNT(AY347,AZ347,BB347,BC347)=4,N(BC351)&lt;&gt;0),(AY347+AZ347+BB347+BC347)/BC351,""),"")</f>
        <v>0</v>
      </c>
      <c r="BD346" s="257">
        <f>IFERROR(IF(AND(COUNT(AZ347,BB347,BC347,BD347)=4,N(BD351)&lt;&gt;0),(AZ347+BB347+BC347+BD347)/BD351,""),"")</f>
        <v>0</v>
      </c>
      <c r="BE346" s="257">
        <f>IFERROR(IF(AND(COUNT(BB347,BC347,BD347,BE347)=4,N(BE351)&lt;&gt;0),(BB347+BC347+BD347+BE347)/BE351,""),"")</f>
        <v>0</v>
      </c>
      <c r="BF346" s="257">
        <f>IFERROR(IF(AND(COUNT(BB347,BC347,BD347,BE347)=4,N(BF351)&lt;&gt;0),(BB347+BC347+BD347+BE347)/BF351,""),"")</f>
        <v>0</v>
      </c>
      <c r="BG346" s="81" t="n"/>
      <c r="BH346" s="81" t="n"/>
      <c r="BI346" s="81" t="n"/>
      <c r="BJ346" s="81" t="n"/>
      <c r="BL346" s="81" t="n"/>
      <c r="BM346" s="81" t="n"/>
      <c r="BN346" s="81" t="n"/>
      <c r="BO346" s="81" t="n"/>
      <c r="BQ346" s="81" t="n"/>
      <c r="BR346" s="81" t="n"/>
      <c r="BS346" s="81" t="n"/>
      <c r="BT346" s="81" t="n"/>
      <c r="BV346" s="81" t="n"/>
      <c r="BW346" s="81" t="n"/>
      <c r="BX346" s="81" t="n"/>
      <c r="BY346" s="81" t="n"/>
      <c r="CA346" s="81" t="n"/>
      <c r="CB346" s="81" t="n"/>
      <c r="CC346" s="81" t="n"/>
      <c r="CD346" s="81" t="n"/>
      <c r="CF346" s="81" t="n"/>
      <c r="CG346" s="81" t="n"/>
      <c r="CH346" s="81" t="n"/>
      <c r="CI346" s="81" t="n"/>
      <c r="CK346" s="81" t="n"/>
      <c r="CL346" s="81" t="n"/>
      <c r="CM346" s="81" t="n"/>
      <c r="CN346" s="81" t="n"/>
      <c r="CP346" s="81" t="n"/>
      <c r="CQ346" s="81" t="n"/>
      <c r="CR346" s="81" t="n"/>
      <c r="CS346" s="81" t="n"/>
      <c r="CU346" s="81" t="n"/>
      <c r="CV346" s="81" t="n"/>
      <c r="CW346" s="81" t="n"/>
      <c r="CX346" s="81" t="n"/>
    </row>
    <row r="347" customFormat="1" s="77">
      <c r="A347" s="76" t="n"/>
      <c r="B347" s="76" t="n"/>
      <c r="C347" s="77" t="inlineStr">
        <is>
          <t>NOPLAT</t>
        </is>
      </c>
      <c r="D347">
        <f>IFERROR(D348*(1-D349),"")</f>
        <v>0</v>
      </c>
      <c r="E347">
        <f>IFERROR(E348*(1-E349),"")</f>
        <v>0</v>
      </c>
      <c r="F347">
        <f>IFERROR(F348*(1-F349),"")</f>
        <v>0</v>
      </c>
      <c r="G347">
        <f>IFERROR(G348*(1-G349),"")</f>
        <v>0</v>
      </c>
      <c r="H347" s="263">
        <f>IFERROR(H348*(1-N(H349)),0)</f>
        <v>0</v>
      </c>
      <c r="I347" s="263">
        <f>IFERROR(I348*(1-N(I349)),0)</f>
        <v>-24.012</v>
      </c>
      <c r="J347" s="263">
        <f>IFERROR(J348*(1-N(J349)),0)</f>
        <v>14.0479761230987</v>
      </c>
      <c r="K347" s="263">
        <f>IFERROR(K348*(1-N(K349)),0)</f>
        <v>0</v>
      </c>
      <c r="L347" s="263">
        <f>IFERROR(L348*(1-N(L349)),0)</f>
        <v>0</v>
      </c>
      <c r="M347" s="263">
        <f>IFERROR(M348*(1-N(M349)),0)</f>
        <v>78.958</v>
      </c>
      <c r="N347" s="263">
        <f>IFERROR(N348*(1-N(N349)),0)</f>
        <v>11.893</v>
      </c>
      <c r="O347" s="263">
        <f>IFERROR(O348*(1-N(O349)),0)</f>
        <v>0</v>
      </c>
      <c r="P347" s="263">
        <f>IFERROR(P348*(1-N(P349)),0)</f>
        <v>12.521</v>
      </c>
      <c r="Q347" s="263">
        <f>IFERROR(Q348*(1-N(Q349)),0)</f>
        <v>0.401000000000003</v>
      </c>
      <c r="R347" s="263">
        <f>IFERROR(R348*(1-N(R349)),0)</f>
        <v>49.785</v>
      </c>
      <c r="S347" s="263">
        <f>IFERROR(S348*(1-N(S349)),0)</f>
        <v>8.85599999999999</v>
      </c>
      <c r="T347" s="263">
        <f>IFERROR(T348*(1-N(T349)),0)</f>
        <v>0</v>
      </c>
      <c r="U347" s="263">
        <f>IFERROR(U348*(1-N(U349)),0)</f>
        <v>10.9685779315367</v>
      </c>
      <c r="V347" s="263">
        <f>IFERROR(V348*(1-N(V349)),0)</f>
        <v>86.155</v>
      </c>
      <c r="W347" s="263">
        <f>IFERROR(W348*(1-N(W349)),0)</f>
        <v>116.727756950013</v>
      </c>
      <c r="X347" s="263">
        <f>IFERROR(X348*(1-N(X349)),0)</f>
        <v>62.1367542141479</v>
      </c>
      <c r="Y347" s="263">
        <f>IFERROR(Y348*(1-N(Y349)),0)</f>
        <v>21.1904166214014</v>
      </c>
      <c r="Z347" s="263">
        <f>IFERROR(Z348*(1-N(Z349)),0)</f>
        <v>79.0530260002557</v>
      </c>
      <c r="AA347" s="263">
        <f>IFERROR(AA348*(1-N(AA349)),0)</f>
        <v>44.362</v>
      </c>
      <c r="AB347" s="263">
        <f>IFERROR(AB348*(1-N(AB349)),0)</f>
        <v>176.262318009149</v>
      </c>
      <c r="AC347" s="263">
        <f>IFERROR(AC348*(1-N(AC349)),0)</f>
        <v>0</v>
      </c>
      <c r="AD347" s="263">
        <f>IFERROR(AD348*(1-N(AD349)),0)</f>
        <v>64.8000945989651</v>
      </c>
      <c r="AE347" s="263">
        <f>IFERROR(AE348*(1-N(AE349)),0)</f>
        <v>73.9486002962764</v>
      </c>
      <c r="AF347" s="263">
        <f>IFERROR(AF348*(1-N(AF349)),0)</f>
        <v>67.8687477097273</v>
      </c>
      <c r="AG347" s="263">
        <f>IFERROR(AG348*(1-N(AG349)),0)</f>
        <v>226.027416794368</v>
      </c>
      <c r="AH347" s="263">
        <f>IFERROR(AH348*(1-N(AH349)),0)</f>
        <v>56.6624292586304</v>
      </c>
      <c r="AI347" s="263">
        <f>IFERROR(AI348*(1-N(AI349)),0)</f>
        <v>24.1535429861096</v>
      </c>
      <c r="AJ347" s="263">
        <f>IFERROR(AJ348*(1-N(AJ349)),0)</f>
        <v>0</v>
      </c>
      <c r="AK347" s="263">
        <f>IFERROR(AK348*(1-N(AK349)),0)</f>
        <v>0</v>
      </c>
      <c r="AL347" s="263">
        <f>IFERROR(AL348*(1-N(AL349)),0)</f>
        <v>0</v>
      </c>
      <c r="AM347" s="263">
        <f>IFERROR(AM348*(1-N(AM349)),0)</f>
        <v>0</v>
      </c>
      <c r="AN347" s="263">
        <f>IFERROR(AN348*(1-N(AN349)),0)</f>
        <v>0</v>
      </c>
      <c r="AO347" s="263">
        <f>IFERROR(AO348*(1-N(AO349)),0)</f>
        <v>0</v>
      </c>
      <c r="AP347" s="263">
        <f>IFERROR(AP348*(1-N(AP349)),0)</f>
        <v>0</v>
      </c>
      <c r="AQ347" s="263">
        <f>IFERROR(AQ348*(1-N(AQ349)),0)</f>
        <v>0</v>
      </c>
      <c r="AR347" s="263">
        <f>IFERROR(AR348*(1-N(AR349)),0)</f>
        <v>0</v>
      </c>
      <c r="AS347" s="263">
        <f>IFERROR(AS348*(1-N(AS349)),0)</f>
        <v>0</v>
      </c>
      <c r="AT347" s="263">
        <f>IFERROR(AT348*(1-N(AT349)),0)</f>
        <v>0</v>
      </c>
      <c r="AU347" s="263">
        <f>IFERROR(AU348*(1-N(AU349)),0)</f>
        <v>0</v>
      </c>
      <c r="AV347" s="263">
        <f>IFERROR(AV348*(1-N(AV349)),0)</f>
        <v>0</v>
      </c>
      <c r="AW347" s="263">
        <f>IFERROR(AW348*(1-N(AW349)),0)</f>
        <v>0</v>
      </c>
      <c r="AX347" s="263">
        <f>IFERROR(AX348*(1-N(AX349)),0)</f>
        <v>0</v>
      </c>
      <c r="AY347" s="263">
        <f>IFERROR(AY348*(1-N(AY349)),0)</f>
        <v>0</v>
      </c>
      <c r="AZ347" s="263">
        <f>IFERROR(AZ348*(1-N(AZ349)),0)</f>
        <v>0</v>
      </c>
      <c r="BA347" s="263">
        <f>IFERROR(BA348*(1-N(BA349)),0)</f>
        <v>0</v>
      </c>
      <c r="BB347" s="263">
        <f>IFERROR(BB348*(1-N(BB349)),0)</f>
        <v>0</v>
      </c>
      <c r="BC347" s="263">
        <f>IFERROR(BC348*(1-N(BC349)),0)</f>
        <v>0</v>
      </c>
      <c r="BD347" s="263">
        <f>IFERROR(BD348*(1-N(BD349)),0)</f>
        <v>0</v>
      </c>
      <c r="BE347" s="263">
        <f>IFERROR(BE348*(1-N(BE349)),0)</f>
        <v>0</v>
      </c>
      <c r="BF347" s="263">
        <f>IFERROR(BF348*(1-N(BF349)),0)</f>
        <v>0</v>
      </c>
      <c r="BG347" s="85" t="n"/>
      <c r="BH347" s="76" t="n"/>
      <c r="BI347" s="76" t="n"/>
      <c r="BJ347" s="76" t="n"/>
      <c r="BL347" s="85" t="n"/>
      <c r="BM347" s="76" t="n"/>
      <c r="BN347" s="76" t="n"/>
      <c r="BO347" s="76" t="n"/>
      <c r="BQ347" s="85" t="n"/>
      <c r="BR347" s="76" t="n"/>
      <c r="BS347" s="76" t="n"/>
      <c r="BT347" s="76" t="n"/>
      <c r="BV347" s="85" t="n"/>
      <c r="BW347" s="76" t="n"/>
      <c r="BX347" s="76" t="n"/>
      <c r="BY347" s="76" t="n"/>
      <c r="CA347" s="85" t="n"/>
      <c r="CB347" s="76" t="n"/>
      <c r="CC347" s="76" t="n"/>
      <c r="CD347" s="76" t="n"/>
      <c r="CF347" s="85" t="n"/>
      <c r="CG347" s="76" t="n"/>
      <c r="CH347" s="76" t="n"/>
      <c r="CI347" s="76" t="n"/>
      <c r="CK347" s="85" t="n"/>
      <c r="CL347" s="76" t="n"/>
      <c r="CM347" s="76" t="n"/>
      <c r="CN347" s="76" t="n"/>
      <c r="CP347" s="85" t="n"/>
      <c r="CQ347" s="76" t="n"/>
      <c r="CR347" s="76" t="n"/>
      <c r="CS347" s="76" t="n"/>
      <c r="CU347" s="85" t="n"/>
      <c r="CV347" s="76" t="n"/>
      <c r="CW347" s="76" t="n"/>
      <c r="CX347" s="76" t="n"/>
    </row>
    <row r="348" customFormat="1" s="77">
      <c r="A348" s="76" t="n"/>
      <c r="B348" s="76" t="n"/>
      <c r="C348" s="77" t="inlineStr">
        <is>
          <t>EBIT</t>
        </is>
      </c>
      <c r="D348" s="86">
        <f>IFERROR(D130,"")</f>
        <v>0</v>
      </c>
      <c r="E348" s="86">
        <f>IFERROR(E130,"")</f>
        <v>0</v>
      </c>
      <c r="F348" s="86">
        <f>IFERROR(F130,"")</f>
        <v>0</v>
      </c>
      <c r="G348" s="86">
        <f>IFERROR(G130,"")</f>
        <v>0</v>
      </c>
      <c r="H348" s="263">
        <f>IFERROR(H73,0)</f>
        <v>0</v>
      </c>
      <c r="I348" s="263">
        <f>IFERROR(I73,0)</f>
        <v>-24.012</v>
      </c>
      <c r="J348" s="263">
        <f>IFERROR(J73,0)</f>
        <v>24.934</v>
      </c>
      <c r="K348" s="263">
        <f>IFERROR(K73,0)</f>
        <v>19.593</v>
      </c>
      <c r="L348" s="263">
        <f>IFERROR(L73,0)</f>
        <v>58.443</v>
      </c>
      <c r="M348" s="263">
        <f>IFERROR(M73,0)</f>
        <v>78.958</v>
      </c>
      <c r="N348" s="263">
        <f>IFERROR(N73,0)</f>
        <v>11.893</v>
      </c>
      <c r="O348" s="263">
        <f>IFERROR(O73,0)</f>
        <v>24.97</v>
      </c>
      <c r="P348" s="263">
        <f>IFERROR(P73,0)</f>
        <v>12.521</v>
      </c>
      <c r="Q348" s="263">
        <f>IFERROR(Q73,0)</f>
        <v>0.401000000000003</v>
      </c>
      <c r="R348" s="263">
        <f>IFERROR(R73,0)</f>
        <v>49.785</v>
      </c>
      <c r="S348" s="263">
        <f>IFERROR(S73,0)</f>
        <v>8.85599999999999</v>
      </c>
      <c r="T348" s="263">
        <f>IFERROR(T73,0)</f>
        <v>40.926</v>
      </c>
      <c r="U348" s="263">
        <f>IFERROR(U73,0)</f>
        <v>42.723</v>
      </c>
      <c r="V348" s="263">
        <f>IFERROR(V73,0)</f>
        <v>86.155</v>
      </c>
      <c r="W348" s="263">
        <f>IFERROR(W73,0)</f>
        <v>178.66</v>
      </c>
      <c r="X348" s="263">
        <f>IFERROR(X73,0)</f>
        <v>66.347</v>
      </c>
      <c r="Y348" s="263">
        <f>IFERROR(Y73,0)</f>
        <v>61.874</v>
      </c>
      <c r="Z348" s="263">
        <f>IFERROR(Z73,0)</f>
        <v>85.848</v>
      </c>
      <c r="AA348" s="263">
        <f>IFERROR(AA73,0)</f>
        <v>44.362</v>
      </c>
      <c r="AB348" s="263">
        <f>IFERROR(AB73,0)</f>
        <v>258.431</v>
      </c>
      <c r="AC348" s="263">
        <f>IFERROR(AC73,0)</f>
        <v>55.522</v>
      </c>
      <c r="AD348" s="263">
        <f>IFERROR(AD73,0)</f>
        <v>79.575</v>
      </c>
      <c r="AE348" s="263">
        <f>IFERROR(AE73,0)</f>
        <v>83.457</v>
      </c>
      <c r="AF348" s="263">
        <f>IFERROR(AF73,0)</f>
        <v>84.582</v>
      </c>
      <c r="AG348" s="263">
        <f>IFERROR(AG73,0)</f>
        <v>303.136</v>
      </c>
      <c r="AH348" s="263">
        <f>IFERROR(AH73,0)</f>
        <v>86.75</v>
      </c>
      <c r="AI348" s="263">
        <f>IFERROR(AI73,0)</f>
        <v>96.756</v>
      </c>
      <c r="AJ348" s="263">
        <f>IFERROR(AJ73,0)</f>
        <v>102.56721052547</v>
      </c>
      <c r="AK348" s="263">
        <f>IFERROR(AK73,0)</f>
        <v>96.4577009314234</v>
      </c>
      <c r="AL348" s="263">
        <f>IFERROR(AL73,0)</f>
        <v>382.530911456894</v>
      </c>
      <c r="AM348" s="263">
        <f>IFERROR(AM73,0)</f>
        <v>120.823845550367</v>
      </c>
      <c r="AN348" s="263">
        <f>IFERROR(AN73,0)</f>
        <v>227.299594858003</v>
      </c>
      <c r="AO348" s="263">
        <f>IFERROR(AO73,0)</f>
        <v>143.403679814328</v>
      </c>
      <c r="AP348" s="263">
        <f>IFERROR(AP73,0)</f>
        <v>134.861708621403</v>
      </c>
      <c r="AQ348" s="263">
        <f>IFERROR(AQ73,0)</f>
        <v>626.388828844101</v>
      </c>
      <c r="AR348" s="263">
        <f>IFERROR(AR73,0)</f>
        <v>168.324956375196</v>
      </c>
      <c r="AS348" s="263">
        <f>IFERROR(AS73,0)</f>
        <v>316.660955577878</v>
      </c>
      <c r="AT348" s="263">
        <f>IFERROR(AT73,0)</f>
        <v>199.781905954375</v>
      </c>
      <c r="AU348" s="263">
        <f>IFERROR(AU73,0)</f>
        <v>187.881714217737</v>
      </c>
      <c r="AV348" s="263">
        <f>IFERROR(AV73,0)</f>
        <v>872.649532125185</v>
      </c>
      <c r="AW348" s="263">
        <f>IFERROR(AW73,0)</f>
        <v>233.659195893464</v>
      </c>
      <c r="AX348" s="263">
        <f>IFERROR(AX73,0)</f>
        <v>439.570850600774</v>
      </c>
      <c r="AY348" s="263">
        <f>IFERROR(AY73,0)</f>
        <v>277.325956320532</v>
      </c>
      <c r="AZ348" s="263">
        <f>IFERROR(AZ73,0)</f>
        <v>260.806782384357</v>
      </c>
      <c r="BA348" s="263">
        <f>IFERROR(BA73,0)</f>
        <v>1211.36278519913</v>
      </c>
      <c r="BB348" s="263">
        <f>IFERROR(BB73,0)</f>
        <v>323.184200532604</v>
      </c>
      <c r="BC348" s="263">
        <f>IFERROR(BC73,0)</f>
        <v>607.989569533658</v>
      </c>
      <c r="BD348" s="263">
        <f>IFERROR(BD73,0)</f>
        <v>383.581596853805</v>
      </c>
      <c r="BE348" s="263">
        <f>IFERROR(BE73,0)</f>
        <v>360.733208620645</v>
      </c>
      <c r="BF348" s="263">
        <f>IFERROR(BF73,0)</f>
        <v>1675.48857554071</v>
      </c>
      <c r="BG348" s="63" t="n"/>
      <c r="BH348" s="63" t="n"/>
      <c r="BI348" s="63" t="n"/>
      <c r="BJ348" s="63" t="n"/>
      <c r="BL348" s="63" t="n"/>
      <c r="BM348" s="63" t="n"/>
      <c r="BN348" s="63" t="n"/>
      <c r="BO348" s="63" t="n"/>
      <c r="BQ348" s="63" t="n"/>
      <c r="BR348" s="63" t="n"/>
      <c r="BS348" s="63" t="n"/>
      <c r="BT348" s="63" t="n"/>
      <c r="BV348" s="63" t="n"/>
      <c r="BW348" s="63" t="n"/>
      <c r="BX348" s="63" t="n"/>
      <c r="BY348" s="63" t="n"/>
      <c r="CA348" s="63" t="n"/>
      <c r="CB348" s="63" t="n"/>
      <c r="CC348" s="63" t="n"/>
      <c r="CD348" s="63" t="n"/>
      <c r="CF348" s="63" t="n"/>
      <c r="CG348" s="63" t="n"/>
      <c r="CH348" s="63" t="n"/>
      <c r="CI348" s="63" t="n"/>
      <c r="CK348" s="63" t="n"/>
      <c r="CL348" s="63" t="n"/>
      <c r="CM348" s="63" t="n"/>
      <c r="CN348" s="63" t="n"/>
      <c r="CP348" s="63" t="n"/>
      <c r="CQ348" s="63" t="n"/>
      <c r="CR348" s="63" t="n"/>
      <c r="CS348" s="63" t="n"/>
      <c r="CU348" s="63" t="n"/>
      <c r="CV348" s="63" t="n"/>
      <c r="CW348" s="63" t="n"/>
      <c r="CX348" s="63" t="n"/>
    </row>
    <row r="349" customFormat="1" s="77">
      <c r="A349" s="76" t="n"/>
      <c r="B349" s="76" t="n"/>
      <c r="C349" s="77" t="inlineStr">
        <is>
          <t>ETR (LIMITED TO 0%-100%)</t>
        </is>
      </c>
      <c r="D349" s="87">
        <f>IFERROR(D132,"")</f>
        <v>0</v>
      </c>
      <c r="E349" s="87">
        <f>IFERROR(E132,"")</f>
        <v>0</v>
      </c>
      <c r="F349" s="87">
        <f>IFERROR(F132,"")</f>
        <v>0</v>
      </c>
      <c r="G349" s="87">
        <f>IFERROR(G132,"")</f>
        <v>0</v>
      </c>
      <c r="H349" s="258" t="str">
        <f>IFERROR(IF(N(H130)&lt;&gt;0,MAX(0,MIN(1,-H131/H130)),""),"")</f>
        <v/>
      </c>
      <c r="I349" s="258">
        <f>IFERROR(IF(N(I130)&lt;&gt;0,MAX(0,MIN(1,-I131/I130)),""),"")</f>
        <v>0</v>
      </c>
      <c r="J349" s="258">
        <f>IFERROR(IF(N(J130)&lt;&gt;0,MAX(0,MIN(1,-J131/J130)),""),"")</f>
        <v>0.436593562079944</v>
      </c>
      <c r="K349" s="258">
        <f>IFERROR(IF(N(K130)&lt;&gt;0,MAX(0,MIN(1,-K131/K130)),""),"")</f>
        <v>1</v>
      </c>
      <c r="L349" s="258">
        <f>IFERROR(IF(N(L130)&lt;&gt;0,MAX(0,MIN(1,-L131/L130)),""),"")</f>
        <v>1</v>
      </c>
      <c r="M349" s="258">
        <f>IFERROR(IF(N(M130)&lt;&gt;0,MAX(0,MIN(1,-M131/M130)),""),"")</f>
        <v>0</v>
      </c>
      <c r="N349" s="258">
        <f>IFERROR(IF(N(N130)&lt;&gt;0,MAX(0,MIN(1,-N131/N130)),""),"")</f>
        <v>0</v>
      </c>
      <c r="O349" s="258">
        <f>IFERROR(IF(N(O130)&lt;&gt;0,MAX(0,MIN(1,-O131/O130)),""),"")</f>
        <v>1</v>
      </c>
      <c r="P349" s="258">
        <f>IFERROR(IF(N(P130)&lt;&gt;0,MAX(0,MIN(1,-P131/P130)),""),"")</f>
        <v>0</v>
      </c>
      <c r="Q349" s="258">
        <f>IFERROR(IF(N(Q130)&lt;&gt;0,MAX(0,MIN(1,-Q131/Q130)),""),"")</f>
        <v>0</v>
      </c>
      <c r="R349" s="258">
        <f>IFERROR(IF(N(R130)&lt;&gt;0,MAX(0,MIN(1,-R131/R130)),""),"")</f>
        <v>0</v>
      </c>
      <c r="S349" s="258">
        <f>IFERROR(IF(N(S130)&lt;&gt;0,MAX(0,MIN(1,-S131/S130)),""),"")</f>
        <v>0</v>
      </c>
      <c r="T349" s="258">
        <f>IFERROR(IF(N(T130)&lt;&gt;0,MAX(0,MIN(1,-T131/T130)),""),"")</f>
        <v>1</v>
      </c>
      <c r="U349" s="258">
        <f>IFERROR(IF(N(U130)&lt;&gt;0,MAX(0,MIN(1,-U131/U130)),""),"")</f>
        <v>0.743262927895123</v>
      </c>
      <c r="V349" s="258">
        <f>IFERROR(IF(N(V130)&lt;&gt;0,MAX(0,MIN(1,-V131/V130)),""),"")</f>
        <v>0</v>
      </c>
      <c r="W349" s="258">
        <f>IFERROR(IF(N(W130)&lt;&gt;0,MAX(0,MIN(1,-W131/W130)),""),"")</f>
        <v>0.346648623362737</v>
      </c>
      <c r="X349" s="258">
        <f>IFERROR(IF(N(X130)&lt;&gt;0,MAX(0,MIN(1,-X131/X130)),""),"")</f>
        <v>0.06345796774311</v>
      </c>
      <c r="Y349" s="258">
        <f>IFERROR(IF(N(Y130)&lt;&gt;0,MAX(0,MIN(1,-Y131/Y130)),""),"")</f>
        <v>0.657523085279739</v>
      </c>
      <c r="Z349" s="258">
        <f>IFERROR(IF(N(Z130)&lt;&gt;0,MAX(0,MIN(1,-Z131/Z130)),""),"")</f>
        <v>0.0791512207592995</v>
      </c>
      <c r="AA349" s="258">
        <f>IFERROR(IF(N(AA130)&lt;&gt;0,MAX(0,MIN(1,-AA131/AA130)),""),"")</f>
        <v>0</v>
      </c>
      <c r="AB349" s="258">
        <f>IFERROR(IF(N(AB130)&lt;&gt;0,MAX(0,MIN(1,-AB131/AB130)),""),"")</f>
        <v>0.317952110972953</v>
      </c>
      <c r="AC349" s="258">
        <f>IFERROR(IF(N(AC130)&lt;&gt;0,MAX(0,MIN(1,-AC131/AC130)),""),"")</f>
        <v>1</v>
      </c>
      <c r="AD349" s="258">
        <f>IFERROR(IF(N(AD130)&lt;&gt;0,MAX(0,MIN(1,-AD131/AD130)),""),"")</f>
        <v>0.185672703751617</v>
      </c>
      <c r="AE349" s="258">
        <f>IFERROR(IF(N(AE130)&lt;&gt;0,MAX(0,MIN(1,-AE131/AE130)),""),"")</f>
        <v>0.113931721769578</v>
      </c>
      <c r="AF349" s="258">
        <f>IFERROR(IF(N(AF130)&lt;&gt;0,MAX(0,MIN(1,-AF131/AF130)),""),"")</f>
        <v>0.197598215817464</v>
      </c>
      <c r="AG349" s="258">
        <f>IFERROR(IF(N(AG130)&lt;&gt;0,MAX(0,MIN(1,-AG131/AG130)),""),"")</f>
        <v>0.254369600461945</v>
      </c>
      <c r="AH349" s="258">
        <f>IFERROR(IF(N(AH130)&lt;&gt;0,MAX(0,MIN(1,-AH131/AH130)),""),"")</f>
        <v>0.346830786644029</v>
      </c>
      <c r="AI349" s="258">
        <f>IFERROR(IF(N(AI130)&lt;&gt;0,MAX(0,MIN(1,-AI131/AI130)),""),"")</f>
        <v>0.750366458037646</v>
      </c>
      <c r="AJ349" s="258">
        <f>IFERROR(IF(N(AJ130)&lt;&gt;0,MAX(0,MIN(1,-AJ131/AJ130)),""),"")</f>
        <v>1</v>
      </c>
      <c r="AK349" s="258">
        <f>IFERROR(IF(N(AK130)&lt;&gt;0,MAX(0,MIN(1,-AK131/AK130)),""),"")</f>
        <v>1</v>
      </c>
      <c r="AL349" s="258">
        <f>IFERROR(IF(N(AL130)&lt;&gt;0,MAX(0,MIN(1,-AL131/AL130)),""),"")</f>
        <v>1</v>
      </c>
      <c r="AM349" s="258">
        <f>IFERROR(IF(N(AM130)&lt;&gt;0,MAX(0,MIN(1,-AM131/AM130)),""),"")</f>
        <v>1</v>
      </c>
      <c r="AN349" s="258">
        <f>IFERROR(IF(N(AN130)&lt;&gt;0,MAX(0,MIN(1,-AN131/AN130)),""),"")</f>
        <v>1</v>
      </c>
      <c r="AO349" s="258">
        <f>IFERROR(IF(N(AO130)&lt;&gt;0,MAX(0,MIN(1,-AO131/AO130)),""),"")</f>
        <v>1</v>
      </c>
      <c r="AP349" s="258">
        <f>IFERROR(IF(N(AP130)&lt;&gt;0,MAX(0,MIN(1,-AP131/AP130)),""),"")</f>
        <v>1</v>
      </c>
      <c r="AQ349" s="258">
        <f>IFERROR(IF(N(AQ130)&lt;&gt;0,MAX(0,MIN(1,-AQ131/AQ130)),""),"")</f>
        <v>1</v>
      </c>
      <c r="AR349" s="258">
        <f>IFERROR(IF(N(AR130)&lt;&gt;0,MAX(0,MIN(1,-AR131/AR130)),""),"")</f>
        <v>1</v>
      </c>
      <c r="AS349" s="258">
        <f>IFERROR(IF(N(AS130)&lt;&gt;0,MAX(0,MIN(1,-AS131/AS130)),""),"")</f>
        <v>1</v>
      </c>
      <c r="AT349" s="258">
        <f>IFERROR(IF(N(AT130)&lt;&gt;0,MAX(0,MIN(1,-AT131/AT130)),""),"")</f>
        <v>1</v>
      </c>
      <c r="AU349" s="258">
        <f>IFERROR(IF(N(AU130)&lt;&gt;0,MAX(0,MIN(1,-AU131/AU130)),""),"")</f>
        <v>1</v>
      </c>
      <c r="AV349" s="258">
        <f>IFERROR(IF(N(AV130)&lt;&gt;0,MAX(0,MIN(1,-AV131/AV130)),""),"")</f>
        <v>1</v>
      </c>
      <c r="AW349" s="258">
        <f>IFERROR(IF(N(AW130)&lt;&gt;0,MAX(0,MIN(1,-AW131/AW130)),""),"")</f>
        <v>1</v>
      </c>
      <c r="AX349" s="258">
        <f>IFERROR(IF(N(AX130)&lt;&gt;0,MAX(0,MIN(1,-AX131/AX130)),""),"")</f>
        <v>1</v>
      </c>
      <c r="AY349" s="258">
        <f>IFERROR(IF(N(AY130)&lt;&gt;0,MAX(0,MIN(1,-AY131/AY130)),""),"")</f>
        <v>1</v>
      </c>
      <c r="AZ349" s="258">
        <f>IFERROR(IF(N(AZ130)&lt;&gt;0,MAX(0,MIN(1,-AZ131/AZ130)),""),"")</f>
        <v>1</v>
      </c>
      <c r="BA349" s="258">
        <f>IFERROR(IF(N(BA130)&lt;&gt;0,MAX(0,MIN(1,-BA131/BA130)),""),"")</f>
        <v>1</v>
      </c>
      <c r="BB349" s="258">
        <f>IFERROR(IF(N(BB130)&lt;&gt;0,MAX(0,MIN(1,-BB131/BB130)),""),"")</f>
        <v>1</v>
      </c>
      <c r="BC349" s="258">
        <f>IFERROR(IF(N(BC130)&lt;&gt;0,MAX(0,MIN(1,-BC131/BC130)),""),"")</f>
        <v>1</v>
      </c>
      <c r="BD349" s="258">
        <f>IFERROR(IF(N(BD130)&lt;&gt;0,MAX(0,MIN(1,-BD131/BD130)),""),"")</f>
        <v>1</v>
      </c>
      <c r="BE349" s="258">
        <f>IFERROR(IF(N(BE130)&lt;&gt;0,MAX(0,MIN(1,-BE131/BE130)),""),"")</f>
        <v>1</v>
      </c>
      <c r="BF349" s="258">
        <f>IFERROR(IF(N(BF130)&lt;&gt;0,MAX(0,MIN(1,-BF131/BF130)),""),"")</f>
        <v>1</v>
      </c>
      <c r="BG349" s="88" t="n"/>
      <c r="BH349" s="88" t="n"/>
      <c r="BI349" s="88" t="n"/>
      <c r="BJ349" s="88" t="n"/>
      <c r="BL349" s="88" t="n"/>
      <c r="BM349" s="88" t="n"/>
      <c r="BN349" s="88" t="n"/>
      <c r="BO349" s="88" t="n"/>
      <c r="BQ349" s="88" t="n"/>
      <c r="BR349" s="88" t="n"/>
      <c r="BS349" s="88" t="n"/>
      <c r="BT349" s="88" t="n"/>
      <c r="BV349" s="88" t="n"/>
      <c r="BW349" s="88" t="n"/>
      <c r="BX349" s="88" t="n"/>
      <c r="BY349" s="88" t="n"/>
      <c r="CA349" s="88" t="n"/>
      <c r="CB349" s="88" t="n"/>
      <c r="CC349" s="88" t="n"/>
      <c r="CD349" s="88" t="n"/>
      <c r="CF349" s="88" t="n"/>
      <c r="CG349" s="88" t="n"/>
      <c r="CH349" s="88" t="n"/>
      <c r="CI349" s="88" t="n"/>
      <c r="CK349" s="88" t="n"/>
      <c r="CL349" s="88" t="n"/>
      <c r="CM349" s="88" t="n"/>
      <c r="CN349" s="88" t="n"/>
      <c r="CP349" s="88" t="n"/>
      <c r="CQ349" s="88" t="n"/>
      <c r="CR349" s="88" t="n"/>
      <c r="CS349" s="88" t="n"/>
      <c r="CU349" s="88" t="n"/>
      <c r="CV349" s="88" t="n"/>
      <c r="CW349" s="88" t="n"/>
      <c r="CX349" s="88" t="n"/>
    </row>
    <row r="350" customFormat="1" s="77">
      <c r="A350" s="76" t="n"/>
      <c r="B350" s="76" t="n"/>
      <c r="C350" s="77" t="inlineStr">
        <is>
          <t>INVESTED CAPITAL</t>
        </is>
      </c>
      <c r="D350" s="86">
        <f>IFERROR(D353-D354+D355,"")</f>
        <v>0</v>
      </c>
      <c r="E350" s="86">
        <f>IFERROR(E353-E354+E355,"")</f>
        <v>0</v>
      </c>
      <c r="F350" s="86">
        <f>IFERROR(F353-F354+F355,"")</f>
        <v>0</v>
      </c>
      <c r="G350" s="86">
        <f>IFERROR(G353-G354+G355,"")</f>
        <v>0</v>
      </c>
      <c r="H350" s="263">
        <f>IFERROR(H352+H355,0)</f>
        <v>0</v>
      </c>
      <c r="I350" s="263">
        <f>IFERROR(I352+I355,0)</f>
        <v>405.279</v>
      </c>
      <c r="J350" s="263">
        <f>IFERROR(J352+J355,0)</f>
        <v>438.348</v>
      </c>
      <c r="K350" s="263">
        <f>IFERROR(K352+K355,0)</f>
        <v>480.141</v>
      </c>
      <c r="L350" s="263">
        <f>IFERROR(L352+L355,0)</f>
        <v>549.954</v>
      </c>
      <c r="M350" s="263">
        <f>IFERROR(M352+M355,0)</f>
        <v>549.954</v>
      </c>
      <c r="N350" s="263">
        <f>IFERROR(N352+N355,0)</f>
        <v>657.379</v>
      </c>
      <c r="O350" s="263">
        <f>IFERROR(O352+O355,0)</f>
        <v>990.879</v>
      </c>
      <c r="P350" s="263">
        <f>IFERROR(P352+P355,0)</f>
        <v>1010.535</v>
      </c>
      <c r="Q350" s="263">
        <f>IFERROR(Q352+Q355,0)</f>
        <v>1371.89</v>
      </c>
      <c r="R350" s="263">
        <f>IFERROR(R352+R355,0)</f>
        <v>1371.89</v>
      </c>
      <c r="S350" s="263">
        <f>IFERROR(S352+S355,0)</f>
        <v>1413.752</v>
      </c>
      <c r="T350" s="263">
        <f>IFERROR(T352+T355,0)</f>
        <v>1434.722</v>
      </c>
      <c r="U350" s="263">
        <f>IFERROR(U352+U355,0)</f>
        <v>1522.968</v>
      </c>
      <c r="V350" s="263">
        <f>IFERROR(V352+V355,0)</f>
        <v>1504.516</v>
      </c>
      <c r="W350" s="263">
        <f>IFERROR(W352+W355,0)</f>
        <v>1504.516</v>
      </c>
      <c r="X350" s="263">
        <f>IFERROR(X352+X355,0)</f>
        <v>1605.227</v>
      </c>
      <c r="Y350" s="263">
        <f>IFERROR(Y352+Y355,0)</f>
        <v>1728.487</v>
      </c>
      <c r="Z350" s="263">
        <f>IFERROR(Z352+Z355,0)</f>
        <v>1972.147</v>
      </c>
      <c r="AA350" s="263">
        <f>IFERROR(AA352+AA355,0)</f>
        <v>2137.926</v>
      </c>
      <c r="AB350" s="263">
        <f>IFERROR(AB352+AB355,0)</f>
        <v>2137.926</v>
      </c>
      <c r="AC350" s="263">
        <f>IFERROR(AC352+AC355,0)</f>
        <v>2245.726</v>
      </c>
      <c r="AD350" s="263">
        <f>IFERROR(AD352+AD355,0)</f>
        <v>2366.909</v>
      </c>
      <c r="AE350" s="263">
        <f>IFERROR(AE352+AE355,0)</f>
        <v>2541.901</v>
      </c>
      <c r="AF350" s="263">
        <f>IFERROR(AF352+AF355,0)</f>
        <v>2741.024</v>
      </c>
      <c r="AG350" s="263">
        <f>IFERROR(AG352+AG355,0)</f>
        <v>2741.024</v>
      </c>
      <c r="AH350" s="263">
        <f>IFERROR(AH352+AH355,0)</f>
        <v>2922.093</v>
      </c>
      <c r="AI350" s="263">
        <f>IFERROR(AI352+AI355,0)</f>
        <v>8046.098</v>
      </c>
      <c r="AJ350" s="263">
        <f>IFERROR(AJ352+AJ355,0)</f>
        <v>7965.44389632047</v>
      </c>
      <c r="AK350" s="263">
        <f>IFERROR(AK352+AK355,0)</f>
        <v>8090.27912725383</v>
      </c>
      <c r="AL350" s="263">
        <f>IFERROR(AL352+AL355,0)</f>
        <v>8090.27912725383</v>
      </c>
      <c r="AM350" s="263">
        <f>IFERROR(AM352+AM355,0)</f>
        <v>8277.44245290847</v>
      </c>
      <c r="AN350" s="263">
        <f>IFERROR(AN352+AN355,0)</f>
        <v>8845.13765647704</v>
      </c>
      <c r="AO350" s="263">
        <f>IFERROR(AO352+AO355,0)</f>
        <v>8674.16197112811</v>
      </c>
      <c r="AP350" s="263">
        <f>IFERROR(AP352+AP355,0)</f>
        <v>8404.42336774925</v>
      </c>
      <c r="AQ350" s="263">
        <f>IFERROR(AQ352+AQ355,0)</f>
        <v>8404.42336774925</v>
      </c>
      <c r="AR350" s="263">
        <f>IFERROR(AR352+AR355,0)</f>
        <v>8051.09653434506</v>
      </c>
      <c r="AS350" s="263">
        <f>IFERROR(AS352+AS355,0)</f>
        <v>7996.87955127432</v>
      </c>
      <c r="AT350" s="263">
        <f>IFERROR(AT352+AT355,0)</f>
        <v>6579.47707983487</v>
      </c>
      <c r="AU350" s="263">
        <f>IFERROR(AU352+AU355,0)</f>
        <v>4564.37599331392</v>
      </c>
      <c r="AV350" s="263">
        <f>IFERROR(AV352+AV355,0)</f>
        <v>4564.37599331392</v>
      </c>
      <c r="AW350" s="263">
        <f>IFERROR(AW352+AW355,0)</f>
        <v>1822.5801228881</v>
      </c>
      <c r="AX350" s="263">
        <f>IFERROR(AX352+AX355,0)</f>
        <v>-1379.96423826745</v>
      </c>
      <c r="AY350" s="263">
        <f>IFERROR(AY352+AY355,0)</f>
        <v>-7673.25307338461</v>
      </c>
      <c r="AZ350" s="263">
        <f>IFERROR(AZ352+AZ355,0)</f>
        <v>-16462.207699832</v>
      </c>
      <c r="BA350" s="263">
        <f>IFERROR(BA352+BA355,0)</f>
        <v>-16462.207699832</v>
      </c>
      <c r="BB350" s="263">
        <f>IFERROR(BB352+BB355,0)</f>
        <v>-28465.5035374264</v>
      </c>
      <c r="BC350" s="263">
        <f>IFERROR(BC352+BC355,0)</f>
        <v>-44225.0418475622</v>
      </c>
      <c r="BD350" s="263">
        <f>IFERROR(BD352+BD355,0)</f>
        <v>-68565.9901028666</v>
      </c>
      <c r="BE350" s="263">
        <f>IFERROR(BE352+BE355,0)</f>
        <v>-102301.85981105</v>
      </c>
      <c r="BF350" s="263">
        <f>IFERROR(BF352+BF355,0)</f>
        <v>-102301.85981105</v>
      </c>
      <c r="BG350" s="63" t="n"/>
      <c r="BH350" s="63" t="n"/>
      <c r="BI350" s="63" t="n"/>
      <c r="BJ350" s="63" t="n"/>
      <c r="BL350" s="63" t="n"/>
      <c r="BM350" s="63" t="n"/>
      <c r="BN350" s="63" t="n"/>
      <c r="BO350" s="63" t="n"/>
      <c r="BQ350" s="63" t="n"/>
      <c r="BR350" s="63" t="n"/>
      <c r="BS350" s="63" t="n"/>
      <c r="BT350" s="63" t="n"/>
      <c r="BV350" s="63" t="n"/>
      <c r="BW350" s="63" t="n"/>
      <c r="BX350" s="63" t="n"/>
      <c r="BY350" s="63" t="n"/>
      <c r="CA350" s="63" t="n"/>
      <c r="CB350" s="63" t="n"/>
      <c r="CC350" s="63" t="n"/>
      <c r="CD350" s="63" t="n"/>
      <c r="CF350" s="63" t="n"/>
      <c r="CG350" s="63" t="n"/>
      <c r="CH350" s="63" t="n"/>
      <c r="CI350" s="63" t="n"/>
      <c r="CK350" s="63" t="n"/>
      <c r="CL350" s="63" t="n"/>
      <c r="CM350" s="63" t="n"/>
      <c r="CN350" s="63" t="n"/>
      <c r="CP350" s="63" t="n"/>
      <c r="CQ350" s="63" t="n"/>
      <c r="CR350" s="63" t="n"/>
      <c r="CS350" s="63" t="n"/>
      <c r="CU350" s="63" t="n"/>
      <c r="CV350" s="63" t="n"/>
      <c r="CW350" s="63" t="n"/>
      <c r="CX350" s="63" t="n"/>
    </row>
    <row r="351" customFormat="1" s="77">
      <c r="A351" s="76" t="n"/>
      <c r="B351" s="76" t="n"/>
      <c r="C351" s="77" t="inlineStr">
        <is>
          <t>INVESTED CAPITAL - EX GOODWILL</t>
        </is>
      </c>
      <c r="D351" s="89">
        <f>IFERROR(D350-D179,"")</f>
        <v>0</v>
      </c>
      <c r="E351" s="89">
        <f>IFERROR(E350-E179,"")</f>
        <v>0</v>
      </c>
      <c r="F351" s="89">
        <f>IFERROR(F350-F179,"")</f>
        <v>0</v>
      </c>
      <c r="G351" s="89">
        <f>IFERROR(G350-G179,"")</f>
        <v>0</v>
      </c>
      <c r="H351" s="263">
        <f>IFERROR(H350-N(H179),0)</f>
        <v>0</v>
      </c>
      <c r="I351" s="263">
        <f>IFERROR(I350-N(I179),0)</f>
        <v>405.279</v>
      </c>
      <c r="J351" s="263">
        <f>IFERROR(J350-N(J179),0)</f>
        <v>438.348</v>
      </c>
      <c r="K351" s="263">
        <f>IFERROR(K350-N(K179),0)</f>
        <v>480.141</v>
      </c>
      <c r="L351" s="263">
        <f>IFERROR(L350-N(L179),0)</f>
        <v>549.954</v>
      </c>
      <c r="M351" s="263">
        <f>IFERROR(M350-N(M179),0)</f>
        <v>549.954</v>
      </c>
      <c r="N351" s="263">
        <f>IFERROR(N350-N(N179),0)</f>
        <v>657.379</v>
      </c>
      <c r="O351" s="263">
        <f>IFERROR(O350-N(O179),0)</f>
        <v>990.879</v>
      </c>
      <c r="P351" s="263">
        <f>IFERROR(P350-N(P179),0)</f>
        <v>1010.535</v>
      </c>
      <c r="Q351" s="263">
        <f>IFERROR(Q350-N(Q179),0)</f>
        <v>1371.89</v>
      </c>
      <c r="R351" s="263">
        <f>IFERROR(R350-N(R179),0)</f>
        <v>1371.89</v>
      </c>
      <c r="S351" s="263">
        <f>IFERROR(S350-N(S179),0)</f>
        <v>1413.752</v>
      </c>
      <c r="T351" s="263">
        <f>IFERROR(T350-N(T179),0)</f>
        <v>1434.722</v>
      </c>
      <c r="U351" s="263">
        <f>IFERROR(U350-N(U179),0)</f>
        <v>1522.968</v>
      </c>
      <c r="V351" s="263">
        <f>IFERROR(V350-N(V179),0)</f>
        <v>1504.516</v>
      </c>
      <c r="W351" s="263">
        <f>IFERROR(W350-N(W179),0)</f>
        <v>1504.516</v>
      </c>
      <c r="X351" s="263">
        <f>IFERROR(X350-N(X179),0)</f>
        <v>1605.227</v>
      </c>
      <c r="Y351" s="263">
        <f>IFERROR(Y350-N(Y179),0)</f>
        <v>1728.487</v>
      </c>
      <c r="Z351" s="263">
        <f>IFERROR(Z350-N(Z179),0)</f>
        <v>1972.147</v>
      </c>
      <c r="AA351" s="263">
        <f>IFERROR(AA350-N(AA179),0)</f>
        <v>2137.926</v>
      </c>
      <c r="AB351" s="263">
        <f>IFERROR(AB350-N(AB179),0)</f>
        <v>2137.926</v>
      </c>
      <c r="AC351" s="263">
        <f>IFERROR(AC350-N(AC179),0)</f>
        <v>2245.726</v>
      </c>
      <c r="AD351" s="263">
        <f>IFERROR(AD350-N(AD179),0)</f>
        <v>2366.909</v>
      </c>
      <c r="AE351" s="263">
        <f>IFERROR(AE350-N(AE179),0)</f>
        <v>2541.901</v>
      </c>
      <c r="AF351" s="263">
        <f>IFERROR(AF350-N(AF179),0)</f>
        <v>2741.024</v>
      </c>
      <c r="AG351" s="263">
        <f>IFERROR(AG350-N(AG179),0)</f>
        <v>2741.024</v>
      </c>
      <c r="AH351" s="263">
        <f>IFERROR(AH350-N(AH179),0)</f>
        <v>2922.093</v>
      </c>
      <c r="AI351" s="263">
        <f>IFERROR(AI350-N(AI179),0)</f>
        <v>8046.098</v>
      </c>
      <c r="AJ351" s="263">
        <f>IFERROR(AJ350-N(AJ179),0)</f>
        <v>7965.44389632047</v>
      </c>
      <c r="AK351" s="263">
        <f>IFERROR(AK350-N(AK179),0)</f>
        <v>8090.27912725383</v>
      </c>
      <c r="AL351" s="263">
        <f>IFERROR(AL350-N(AL179),0)</f>
        <v>8090.27912725383</v>
      </c>
      <c r="AM351" s="263">
        <f>IFERROR(AM350-N(AM179),0)</f>
        <v>8277.44245290847</v>
      </c>
      <c r="AN351" s="263">
        <f>IFERROR(AN350-N(AN179),0)</f>
        <v>8845.13765647704</v>
      </c>
      <c r="AO351" s="263">
        <f>IFERROR(AO350-N(AO179),0)</f>
        <v>8674.16197112811</v>
      </c>
      <c r="AP351" s="263">
        <f>IFERROR(AP350-N(AP179),0)</f>
        <v>8404.42336774925</v>
      </c>
      <c r="AQ351" s="263">
        <f>IFERROR(AQ350-N(AQ179),0)</f>
        <v>8404.42336774925</v>
      </c>
      <c r="AR351" s="263">
        <f>IFERROR(AR350-N(AR179),0)</f>
        <v>8051.09653434506</v>
      </c>
      <c r="AS351" s="263">
        <f>IFERROR(AS350-N(AS179),0)</f>
        <v>7996.87955127432</v>
      </c>
      <c r="AT351" s="263">
        <f>IFERROR(AT350-N(AT179),0)</f>
        <v>6579.47707983487</v>
      </c>
      <c r="AU351" s="263">
        <f>IFERROR(AU350-N(AU179),0)</f>
        <v>4564.37599331392</v>
      </c>
      <c r="AV351" s="263">
        <f>IFERROR(AV350-N(AV179),0)</f>
        <v>4564.37599331392</v>
      </c>
      <c r="AW351" s="263">
        <f>IFERROR(AW350-N(AW179),0)</f>
        <v>1822.5801228881</v>
      </c>
      <c r="AX351" s="263">
        <f>IFERROR(AX350-N(AX179),0)</f>
        <v>-1379.96423826745</v>
      </c>
      <c r="AY351" s="263">
        <f>IFERROR(AY350-N(AY179),0)</f>
        <v>-7673.25307338461</v>
      </c>
      <c r="AZ351" s="263">
        <f>IFERROR(AZ350-N(AZ179),0)</f>
        <v>-16462.207699832</v>
      </c>
      <c r="BA351" s="263">
        <f>IFERROR(BA350-N(BA179),0)</f>
        <v>-16462.207699832</v>
      </c>
      <c r="BB351" s="263">
        <f>IFERROR(BB350-N(BB179),0)</f>
        <v>-28465.5035374264</v>
      </c>
      <c r="BC351" s="263">
        <f>IFERROR(BC350-N(BC179),0)</f>
        <v>-44225.0418475622</v>
      </c>
      <c r="BD351" s="263">
        <f>IFERROR(BD350-N(BD179),0)</f>
        <v>-68565.9901028666</v>
      </c>
      <c r="BE351" s="263">
        <f>IFERROR(BE350-N(BE179),0)</f>
        <v>-102301.85981105</v>
      </c>
      <c r="BF351" s="263">
        <f>IFERROR(BF350-N(BF179),0)</f>
        <v>-102301.85981105</v>
      </c>
      <c r="BG351" s="90" t="n"/>
      <c r="BH351" s="90" t="n"/>
      <c r="BI351" s="90" t="n"/>
      <c r="BJ351" s="90" t="n"/>
      <c r="BL351" s="90" t="n"/>
      <c r="BM351" s="90" t="n"/>
      <c r="BN351" s="90" t="n"/>
      <c r="BO351" s="90" t="n"/>
      <c r="BQ351" s="90" t="n"/>
      <c r="BR351" s="90" t="n"/>
      <c r="BS351" s="90" t="n"/>
      <c r="BT351" s="90" t="n"/>
      <c r="BV351" s="90" t="n"/>
      <c r="BW351" s="90" t="n"/>
      <c r="BX351" s="90" t="n"/>
      <c r="BY351" s="90" t="n"/>
      <c r="CA351" s="90" t="n"/>
      <c r="CB351" s="90" t="n"/>
      <c r="CC351" s="90" t="n"/>
      <c r="CD351" s="90" t="n"/>
      <c r="CF351" s="90" t="n"/>
      <c r="CG351" s="90" t="n"/>
      <c r="CH351" s="90" t="n"/>
      <c r="CI351" s="90" t="n"/>
      <c r="CK351" s="90" t="n"/>
      <c r="CL351" s="90" t="n"/>
      <c r="CM351" s="90" t="n"/>
      <c r="CN351" s="90" t="n"/>
      <c r="CP351" s="90" t="n"/>
      <c r="CQ351" s="90" t="n"/>
      <c r="CR351" s="90" t="n"/>
      <c r="CS351" s="90" t="n"/>
      <c r="CU351" s="90" t="n"/>
      <c r="CV351" s="90" t="n"/>
      <c r="CW351" s="90" t="n"/>
      <c r="CX351" s="90" t="n"/>
    </row>
    <row r="352" customFormat="1" s="77">
      <c r="A352" s="76" t="n"/>
      <c r="B352" s="76" t="n"/>
      <c r="C352" s="77" t="inlineStr">
        <is>
          <t>OPERATING WORKING CAPITAL</t>
        </is>
      </c>
      <c r="D352" s="91">
        <f>IFERROR(D353-D354,"")</f>
        <v>0</v>
      </c>
      <c r="E352" s="91">
        <f>IFERROR(E353-E354,"")</f>
        <v>0</v>
      </c>
      <c r="F352" s="91">
        <f>IFERROR(F353-F354,"")</f>
        <v>0</v>
      </c>
      <c r="G352" s="91">
        <f>IFERROR(G353-G354,"")</f>
        <v>0</v>
      </c>
      <c r="H352" s="263">
        <f>IFERROR(H353-H354,0)</f>
        <v>0</v>
      </c>
      <c r="I352" s="263">
        <f>IFERROR(I353-I354,0)</f>
        <v>49.688</v>
      </c>
      <c r="J352" s="263">
        <f>IFERROR(J353-J354,0)</f>
        <v>67.066</v>
      </c>
      <c r="K352" s="263">
        <f>IFERROR(K353-K354,0)</f>
        <v>96.958</v>
      </c>
      <c r="L352" s="263">
        <f>IFERROR(L353-L354,0)</f>
        <v>108.618</v>
      </c>
      <c r="M352" s="263">
        <f>IFERROR(M353-M354,0)</f>
        <v>108.618</v>
      </c>
      <c r="N352" s="263">
        <f>IFERROR(N353-N354,0)</f>
        <v>96.399</v>
      </c>
      <c r="O352" s="263">
        <f>IFERROR(O353-O354,0)</f>
        <v>146.381</v>
      </c>
      <c r="P352" s="263">
        <f>IFERROR(P353-P354,0)</f>
        <v>151.869</v>
      </c>
      <c r="Q352" s="263">
        <f>IFERROR(Q353-Q354,0)</f>
        <v>122.449</v>
      </c>
      <c r="R352" s="263">
        <f>IFERROR(R353-R354,0)</f>
        <v>122.449</v>
      </c>
      <c r="S352" s="263">
        <f>IFERROR(S353-S354,0)</f>
        <v>152.349</v>
      </c>
      <c r="T352" s="263">
        <f>IFERROR(T353-T354,0)</f>
        <v>157.229</v>
      </c>
      <c r="U352" s="263">
        <f>IFERROR(U353-U354,0)</f>
        <v>204.107</v>
      </c>
      <c r="V352" s="263">
        <f>IFERROR(V353-V354,0)</f>
        <v>162.098</v>
      </c>
      <c r="W352" s="263">
        <f>IFERROR(W353-W354,0)</f>
        <v>162.098</v>
      </c>
      <c r="X352" s="263">
        <f>IFERROR(X353-X354,0)</f>
        <v>201.464</v>
      </c>
      <c r="Y352" s="263">
        <f>IFERROR(Y353-Y354,0)</f>
        <v>196.746</v>
      </c>
      <c r="Z352" s="263">
        <f>IFERROR(Z353-Z354,0)</f>
        <v>200.876</v>
      </c>
      <c r="AA352" s="263">
        <f>IFERROR(AA353-AA354,0)</f>
        <v>153.081</v>
      </c>
      <c r="AB352" s="263">
        <f>IFERROR(AB353-AB354,0)</f>
        <v>153.081</v>
      </c>
      <c r="AC352" s="263">
        <f>IFERROR(AC353-AC354,0)</f>
        <v>183.371</v>
      </c>
      <c r="AD352" s="263">
        <f>IFERROR(AD353-AD354,0)</f>
        <v>132.12</v>
      </c>
      <c r="AE352" s="263">
        <f>IFERROR(AE353-AE354,0)</f>
        <v>210.122</v>
      </c>
      <c r="AF352" s="263">
        <f>IFERROR(AF353-AF354,0)</f>
        <v>163.456</v>
      </c>
      <c r="AG352" s="263">
        <f>IFERROR(AG353-AG354,0)</f>
        <v>163.456</v>
      </c>
      <c r="AH352" s="263">
        <f>IFERROR(AH353-AH354,0)</f>
        <v>198.631</v>
      </c>
      <c r="AI352" s="263">
        <f>IFERROR(AI353-AI354,0)</f>
        <v>513.157</v>
      </c>
      <c r="AJ352" s="263">
        <f>IFERROR(AJ353-AJ354,0)</f>
        <v>94.0393548406695</v>
      </c>
      <c r="AK352" s="263">
        <f>IFERROR(AK353-AK354,0)</f>
        <v>-99.4280656580536</v>
      </c>
      <c r="AL352" s="263">
        <f>IFERROR(AL353-AL354,0)</f>
        <v>-99.4280656580536</v>
      </c>
      <c r="AM352" s="263">
        <f>IFERROR(AM353-AM354,0)</f>
        <v>-310.973708012551</v>
      </c>
      <c r="AN352" s="263">
        <f>IFERROR(AN353-AN354,0)</f>
        <v>-493.34887740649</v>
      </c>
      <c r="AO352" s="263">
        <f>IFERROR(AO353-AO354,0)</f>
        <v>-1137.54516690883</v>
      </c>
      <c r="AP352" s="263">
        <f>IFERROR(AP353-AP354,0)</f>
        <v>-1852.31655684946</v>
      </c>
      <c r="AQ352" s="263">
        <f>IFERROR(AQ353-AQ354,0)</f>
        <v>-1852.31655684946</v>
      </c>
      <c r="AR352" s="263">
        <f>IFERROR(AR353-AR354,0)</f>
        <v>-2761.10220172278</v>
      </c>
      <c r="AS352" s="263">
        <f>IFERROR(AS353-AS354,0)</f>
        <v>-3860.27485750973</v>
      </c>
      <c r="AT352" s="263">
        <f>IFERROR(AT353-AT354,0)</f>
        <v>-5936.94154278983</v>
      </c>
      <c r="AU352" s="263">
        <f>IFERROR(AU353-AU354,0)</f>
        <v>-8572.03716799075</v>
      </c>
      <c r="AV352" s="263">
        <f>IFERROR(AV353-AV354,0)</f>
        <v>-8572.03716799075</v>
      </c>
      <c r="AW352" s="263">
        <f>IFERROR(AW353-AW354,0)</f>
        <v>-12084.8895830594</v>
      </c>
      <c r="AX352" s="263">
        <f>IFERROR(AX353-AX354,0)</f>
        <v>-16737.982380342</v>
      </c>
      <c r="AY352" s="263">
        <f>IFERROR(AY353-AY354,0)</f>
        <v>-23946.4245557872</v>
      </c>
      <c r="AZ352" s="263">
        <f>IFERROR(AZ353-AZ354,0)</f>
        <v>-33596.0205778183</v>
      </c>
      <c r="BA352" s="263">
        <f>IFERROR(BA353-BA354,0)</f>
        <v>-33596.0205778183</v>
      </c>
      <c r="BB352" s="263">
        <f>IFERROR(BB353-BB354,0)</f>
        <v>-46665.7982715749</v>
      </c>
      <c r="BC352" s="263">
        <f>IFERROR(BC353-BC354,0)</f>
        <v>-64431.6532382024</v>
      </c>
      <c r="BD352" s="263">
        <f>IFERROR(BD353-BD354,0)</f>
        <v>-90038.3898975443</v>
      </c>
      <c r="BE352" s="263">
        <f>IFERROR(BE353-BE354,0)</f>
        <v>-124964.650167132</v>
      </c>
      <c r="BF352" s="263">
        <f>IFERROR(BF353-BF354,0)</f>
        <v>-124964.650167132</v>
      </c>
      <c r="BG352" s="63" t="n"/>
      <c r="BH352" s="63" t="n"/>
      <c r="BI352" s="63" t="n"/>
      <c r="BJ352" s="63" t="n"/>
      <c r="BL352" s="63" t="n"/>
      <c r="BM352" s="63" t="n"/>
      <c r="BN352" s="63" t="n"/>
      <c r="BO352" s="63" t="n"/>
      <c r="BQ352" s="63" t="n"/>
      <c r="BR352" s="63" t="n"/>
      <c r="BS352" s="63" t="n"/>
      <c r="BT352" s="63" t="n"/>
      <c r="BV352" s="63" t="n"/>
      <c r="BW352" s="63" t="n"/>
      <c r="BX352" s="63" t="n"/>
      <c r="BY352" s="63" t="n"/>
      <c r="CA352" s="63" t="n"/>
      <c r="CB352" s="63" t="n"/>
      <c r="CC352" s="63" t="n"/>
      <c r="CD352" s="63" t="n"/>
      <c r="CF352" s="63" t="n"/>
      <c r="CG352" s="63" t="n"/>
      <c r="CH352" s="63" t="n"/>
      <c r="CI352" s="63" t="n"/>
      <c r="CK352" s="63" t="n"/>
      <c r="CL352" s="63" t="n"/>
      <c r="CM352" s="63" t="n"/>
      <c r="CN352" s="63" t="n"/>
      <c r="CP352" s="63" t="n"/>
      <c r="CQ352" s="63" t="n"/>
      <c r="CR352" s="63" t="n"/>
      <c r="CS352" s="63" t="n"/>
      <c r="CU352" s="63" t="n"/>
      <c r="CV352" s="63" t="n"/>
      <c r="CW352" s="63" t="n"/>
      <c r="CX352" s="63" t="n"/>
    </row>
    <row r="353" customFormat="1" s="77">
      <c r="A353" s="76" t="n"/>
      <c r="B353" s="76" t="n"/>
      <c r="C353" s="77" t="inlineStr">
        <is>
          <t>CURRENT ASSETS (OPERATING, EX CASH)</t>
        </is>
      </c>
      <c r="D353" s="89">
        <f>IFERROR(D145+D149+D153+D154+D155,"")</f>
        <v>0</v>
      </c>
      <c r="E353" s="89">
        <f>IFERROR(E145+E149+E153+E154+E155,"")</f>
        <v>0</v>
      </c>
      <c r="F353" s="89">
        <f>IFERROR(F145+F149+F153+F154+F155,"")</f>
        <v>0</v>
      </c>
      <c r="G353" s="89">
        <f>IFERROR(G145+G149+G153+G154+G155,"")</f>
        <v>0</v>
      </c>
      <c r="H353" s="263">
        <f>IFERROR((N(H145)+N(H149)+N(H153)+N(H154)+N(H155)),0)</f>
        <v>0</v>
      </c>
      <c r="I353" s="263">
        <f>IFERROR((N(I145)+N(I149)+N(I153)+N(I154)+N(I155)),0)</f>
        <v>233.793</v>
      </c>
      <c r="J353" s="263">
        <f>IFERROR((N(J145)+N(J149)+N(J153)+N(J154)+N(J155)),0)</f>
        <v>253.407</v>
      </c>
      <c r="K353" s="263">
        <f>IFERROR((N(K145)+N(K149)+N(K153)+N(K154)+N(K155)),0)</f>
        <v>239.235</v>
      </c>
      <c r="L353" s="263">
        <f>IFERROR((N(L145)+N(L149)+N(L153)+N(L154)+N(L155)),0)</f>
        <v>271.337</v>
      </c>
      <c r="M353" s="263">
        <f>IFERROR((N(M145)+N(M149)+N(M153)+N(M154)+N(M155)),0)</f>
        <v>271.337</v>
      </c>
      <c r="N353" s="263">
        <f>IFERROR((N(N145)+N(N149)+N(N153)+N(N154)+N(N155)),0)</f>
        <v>277.145</v>
      </c>
      <c r="O353" s="263">
        <f>IFERROR((N(O145)+N(O149)+N(O153)+N(O154)+N(O155)),0)</f>
        <v>363.05</v>
      </c>
      <c r="P353" s="263">
        <f>IFERROR((N(P145)+N(P149)+N(P153)+N(P154)+N(P155)),0)</f>
        <v>388.733</v>
      </c>
      <c r="Q353" s="263">
        <f>IFERROR((N(Q145)+N(Q149)+N(Q153)+N(Q154)+N(Q155)),0)</f>
        <v>392.504</v>
      </c>
      <c r="R353" s="263">
        <f>IFERROR((N(R145)+N(R149)+N(R153)+N(R154)+N(R155)),0)</f>
        <v>392.504</v>
      </c>
      <c r="S353" s="263">
        <f>IFERROR((N(S145)+N(S149)+N(S153)+N(S154)+N(S155)),0)</f>
        <v>395.225</v>
      </c>
      <c r="T353" s="263">
        <f>IFERROR((N(T145)+N(T149)+N(T153)+N(T154)+N(T155)),0)</f>
        <v>365.734</v>
      </c>
      <c r="U353" s="263">
        <f>IFERROR((N(U145)+N(U149)+N(U153)+N(U154)+N(U155)),0)</f>
        <v>406.814</v>
      </c>
      <c r="V353" s="263">
        <f>IFERROR((N(V145)+N(V149)+N(V153)+N(V154)+N(V155)),0)</f>
        <v>345.889</v>
      </c>
      <c r="W353" s="263">
        <f>IFERROR((N(W145)+N(W149)+N(W153)+N(W154)+N(W155)),0)</f>
        <v>345.889</v>
      </c>
      <c r="X353" s="263">
        <f>IFERROR((N(X145)+N(X149)+N(X153)+N(X154)+N(X155)),0)</f>
        <v>389.479</v>
      </c>
      <c r="Y353" s="263">
        <f>IFERROR((N(Y145)+N(Y149)+N(Y153)+N(Y154)+N(Y155)),0)</f>
        <v>395.056</v>
      </c>
      <c r="Z353" s="263">
        <f>IFERROR((N(Z145)+N(Z149)+N(Z153)+N(Z154)+N(Z155)),0)</f>
        <v>400.017</v>
      </c>
      <c r="AA353" s="263">
        <f>IFERROR((N(AA145)+N(AA149)+N(AA153)+N(AA154)+N(AA155)),0)</f>
        <v>389.898</v>
      </c>
      <c r="AB353" s="263">
        <f>IFERROR((N(AB145)+N(AB149)+N(AB153)+N(AB154)+N(AB155)),0)</f>
        <v>389.898</v>
      </c>
      <c r="AC353" s="263">
        <f>IFERROR((N(AC145)+N(AC149)+N(AC153)+N(AC154)+N(AC155)),0)</f>
        <v>414.105</v>
      </c>
      <c r="AD353" s="263">
        <f>IFERROR((N(AD145)+N(AD149)+N(AD153)+N(AD154)+N(AD155)),0)</f>
        <v>435.306</v>
      </c>
      <c r="AE353" s="263">
        <f>IFERROR((N(AE145)+N(AE149)+N(AE153)+N(AE154)+N(AE155)),0)</f>
        <v>476.315</v>
      </c>
      <c r="AF353" s="263">
        <f>IFERROR((N(AF145)+N(AF149)+N(AF153)+N(AF154)+N(AF155)),0)</f>
        <v>505.203</v>
      </c>
      <c r="AG353" s="263">
        <f>IFERROR((N(AG145)+N(AG149)+N(AG153)+N(AG154)+N(AG155)),0)</f>
        <v>505.203</v>
      </c>
      <c r="AH353" s="263">
        <f>IFERROR((N(AH145)+N(AH149)+N(AH153)+N(AH154)+N(AH155)),0)</f>
        <v>561.207</v>
      </c>
      <c r="AI353" s="263">
        <f>IFERROR((N(AI145)+N(AI149)+N(AI153)+N(AI154)+N(AI155)),0)</f>
        <v>1340.2</v>
      </c>
      <c r="AJ353" s="263">
        <f>IFERROR((N(AJ145)+N(AJ149)+N(AJ153)+N(AJ154)+N(AJ155)),0)</f>
        <v>906.288899195941</v>
      </c>
      <c r="AK353" s="263">
        <f>IFERROR((N(AK145)+N(AK149)+N(AK153)+N(AK154)+N(AK155)),0)</f>
        <v>883.119253981783</v>
      </c>
      <c r="AL353" s="263">
        <f>IFERROR((N(AL145)+N(AL149)+N(AL153)+N(AL154)+N(AL155)),0)</f>
        <v>883.119253981783</v>
      </c>
      <c r="AM353" s="263">
        <f>IFERROR((N(AM145)+N(AM149)+N(AM153)+N(AM154)+N(AM155)),0)</f>
        <v>985.707656439541</v>
      </c>
      <c r="AN353" s="263">
        <f>IFERROR((N(AN145)+N(AN149)+N(AN153)+N(AN154)+N(AN155)),0)</f>
        <v>1388.79541365623</v>
      </c>
      <c r="AO353" s="263">
        <f>IFERROR((N(AO145)+N(AO149)+N(AO153)+N(AO154)+N(AO155)),0)</f>
        <v>1061.15673116459</v>
      </c>
      <c r="AP353" s="263">
        <f>IFERROR((N(AP145)+N(AP149)+N(AP153)+N(AP154)+N(AP155)),0)</f>
        <v>1028.76224206149</v>
      </c>
      <c r="AQ353" s="263">
        <f>IFERROR((N(AQ145)+N(AQ149)+N(AQ153)+N(AQ154)+N(AQ155)),0)</f>
        <v>1028.76224206149</v>
      </c>
      <c r="AR353" s="263">
        <f>IFERROR((N(AR145)+N(AR149)+N(AR153)+N(AR154)+N(AR155)),0)</f>
        <v>1162.68281830836</v>
      </c>
      <c r="AS353" s="263">
        <f>IFERROR((N(AS145)+N(AS149)+N(AS153)+N(AS154)+N(AS155)),0)</f>
        <v>1731.41267619491</v>
      </c>
      <c r="AT353" s="263">
        <f>IFERROR((N(AT145)+N(AT149)+N(AT153)+N(AT154)+N(AT155)),0)</f>
        <v>1274.9649718033</v>
      </c>
      <c r="AU353" s="263">
        <f>IFERROR((N(AU145)+N(AU149)+N(AU153)+N(AU154)+N(AU155)),0)</f>
        <v>1229.83479952449</v>
      </c>
      <c r="AV353" s="263">
        <f>IFERROR((N(AV145)+N(AV149)+N(AV153)+N(AV154)+N(AV155)),0)</f>
        <v>1229.83479952449</v>
      </c>
      <c r="AW353" s="263">
        <f>IFERROR((N(AW145)+N(AW149)+N(AW153)+N(AW154)+N(AW155)),0)</f>
        <v>1423.13258760355</v>
      </c>
      <c r="AX353" s="263">
        <f>IFERROR((N(AX145)+N(AX149)+N(AX153)+N(AX154)+N(AX155)),0)</f>
        <v>2202.65719879868</v>
      </c>
      <c r="AY353" s="263">
        <f>IFERROR((N(AY145)+N(AY149)+N(AY153)+N(AY154)+N(AY155)),0)</f>
        <v>1569.04227994</v>
      </c>
      <c r="AZ353" s="263">
        <f>IFERROR((N(AZ145)+N(AZ149)+N(AZ153)+N(AZ154)+N(AZ155)),0)</f>
        <v>1506.39512415108</v>
      </c>
      <c r="BA353" s="263">
        <f>IFERROR((N(BA145)+N(BA149)+N(BA153)+N(BA154)+N(BA155)),0)</f>
        <v>1506.39512415108</v>
      </c>
      <c r="BB353" s="263">
        <f>IFERROR((N(BB145)+N(BB149)+N(BB153)+N(BB154)+N(BB155)),0)</f>
        <v>1770.19110138189</v>
      </c>
      <c r="BC353" s="263">
        <f>IFERROR((N(BC145)+N(BC149)+N(BC153)+N(BC154)+N(BC155)),0)</f>
        <v>2848.38550884469</v>
      </c>
      <c r="BD353" s="263">
        <f>IFERROR((N(BD145)+N(BD149)+N(BD153)+N(BD154)+N(BD155)),0)</f>
        <v>1972.00514549601</v>
      </c>
      <c r="BE353" s="263">
        <f>IFERROR((N(BE145)+N(BE149)+N(BE153)+N(BE154)+N(BE155)),0)</f>
        <v>1885.35513849815</v>
      </c>
      <c r="BF353" s="263">
        <f>IFERROR((N(BF145)+N(BF149)+N(BF153)+N(BF154)+N(BF155)),0)</f>
        <v>1885.35513849815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CURRENT LIABILITIES (OPERATING, EX DEBT)</t>
        </is>
      </c>
      <c r="D354" s="89">
        <f>IFERROR(D198+D202+D204+D205,"")</f>
        <v>0</v>
      </c>
      <c r="E354" s="89">
        <f>IFERROR(E198+E202+E204+E205,"")</f>
        <v>0</v>
      </c>
      <c r="F354" s="89">
        <f>IFERROR(F198+F202+F204+F205,"")</f>
        <v>0</v>
      </c>
      <c r="G354" s="89">
        <f>IFERROR(G198+G202+G204+G205,"")</f>
        <v>0</v>
      </c>
      <c r="H354" s="263">
        <f>IFERROR((N(H198)+N(H202)+N(H204)+N(H205)),0)</f>
        <v>0</v>
      </c>
      <c r="I354" s="263">
        <f>IFERROR((N(I198)+N(I202)+N(I204)+N(I205)),0)</f>
        <v>184.105</v>
      </c>
      <c r="J354" s="263">
        <f>IFERROR((N(J198)+N(J202)+N(J204)+N(J205)),0)</f>
        <v>186.341</v>
      </c>
      <c r="K354" s="263">
        <f>IFERROR((N(K198)+N(K202)+N(K204)+N(K205)),0)</f>
        <v>142.277</v>
      </c>
      <c r="L354" s="263">
        <f>IFERROR((N(L198)+N(L202)+N(L204)+N(L205)),0)</f>
        <v>162.719</v>
      </c>
      <c r="M354" s="263">
        <f>IFERROR((N(M198)+N(M202)+N(M204)+N(M205)),0)</f>
        <v>162.719</v>
      </c>
      <c r="N354" s="263">
        <f>IFERROR((N(N198)+N(N202)+N(N204)+N(N205)),0)</f>
        <v>180.746</v>
      </c>
      <c r="O354" s="263">
        <f>IFERROR((N(O198)+N(O202)+N(O204)+N(O205)),0)</f>
        <v>216.669</v>
      </c>
      <c r="P354" s="263">
        <f>IFERROR((N(P198)+N(P202)+N(P204)+N(P205)),0)</f>
        <v>236.864</v>
      </c>
      <c r="Q354" s="263">
        <f>IFERROR((N(Q198)+N(Q202)+N(Q204)+N(Q205)),0)</f>
        <v>270.055</v>
      </c>
      <c r="R354" s="263">
        <f>IFERROR((N(R198)+N(R202)+N(R204)+N(R205)),0)</f>
        <v>270.055</v>
      </c>
      <c r="S354" s="263">
        <f>IFERROR((N(S198)+N(S202)+N(S204)+N(S205)),0)</f>
        <v>242.876</v>
      </c>
      <c r="T354" s="263">
        <f>IFERROR((N(T198)+N(T202)+N(T204)+N(T205)),0)</f>
        <v>208.505</v>
      </c>
      <c r="U354" s="263">
        <f>IFERROR((N(U198)+N(U202)+N(U204)+N(U205)),0)</f>
        <v>202.707</v>
      </c>
      <c r="V354" s="263">
        <f>IFERROR((N(V198)+N(V202)+N(V204)+N(V205)),0)</f>
        <v>183.791</v>
      </c>
      <c r="W354" s="263">
        <f>IFERROR((N(W198)+N(W202)+N(W204)+N(W205)),0)</f>
        <v>183.791</v>
      </c>
      <c r="X354" s="263">
        <f>IFERROR((N(X198)+N(X202)+N(X204)+N(X205)),0)</f>
        <v>188.015</v>
      </c>
      <c r="Y354" s="263">
        <f>IFERROR((N(Y198)+N(Y202)+N(Y204)+N(Y205)),0)</f>
        <v>198.31</v>
      </c>
      <c r="Z354" s="263">
        <f>IFERROR((N(Z198)+N(Z202)+N(Z204)+N(Z205)),0)</f>
        <v>199.141</v>
      </c>
      <c r="AA354" s="263">
        <f>IFERROR((N(AA198)+N(AA202)+N(AA204)+N(AA205)),0)</f>
        <v>236.817</v>
      </c>
      <c r="AB354" s="263">
        <f>IFERROR((N(AB198)+N(AB202)+N(AB204)+N(AB205)),0)</f>
        <v>236.817</v>
      </c>
      <c r="AC354" s="263">
        <f>IFERROR((N(AC198)+N(AC202)+N(AC204)+N(AC205)),0)</f>
        <v>230.734</v>
      </c>
      <c r="AD354" s="263">
        <f>IFERROR((N(AD198)+N(AD202)+N(AD204)+N(AD205)),0)</f>
        <v>303.186</v>
      </c>
      <c r="AE354" s="263">
        <f>IFERROR((N(AE198)+N(AE202)+N(AE204)+N(AE205)),0)</f>
        <v>266.193</v>
      </c>
      <c r="AF354" s="263">
        <f>IFERROR((N(AF198)+N(AF202)+N(AF204)+N(AF205)),0)</f>
        <v>341.747</v>
      </c>
      <c r="AG354" s="263">
        <f>IFERROR((N(AG198)+N(AG202)+N(AG204)+N(AG205)),0)</f>
        <v>341.747</v>
      </c>
      <c r="AH354" s="263">
        <f>IFERROR((N(AH198)+N(AH202)+N(AH204)+N(AH205)),0)</f>
        <v>362.576</v>
      </c>
      <c r="AI354" s="263">
        <f>IFERROR((N(AI198)+N(AI202)+N(AI204)+N(AI205)),0)</f>
        <v>827.043</v>
      </c>
      <c r="AJ354" s="263">
        <f>IFERROR((N(AJ198)+N(AJ202)+N(AJ204)+N(AJ205)),0)</f>
        <v>812.249544355272</v>
      </c>
      <c r="AK354" s="263">
        <f>IFERROR((N(AK198)+N(AK202)+N(AK204)+N(AK205)),0)</f>
        <v>982.547319639836</v>
      </c>
      <c r="AL354" s="263">
        <f>IFERROR((N(AL198)+N(AL202)+N(AL204)+N(AL205)),0)</f>
        <v>982.547319639836</v>
      </c>
      <c r="AM354" s="263">
        <f>IFERROR((N(AM198)+N(AM202)+N(AM204)+N(AM205)),0)</f>
        <v>1296.68136445209</v>
      </c>
      <c r="AN354" s="263">
        <f>IFERROR((N(AN198)+N(AN202)+N(AN204)+N(AN205)),0)</f>
        <v>1882.14429106272</v>
      </c>
      <c r="AO354" s="263">
        <f>IFERROR((N(AO198)+N(AO202)+N(AO204)+N(AO205)),0)</f>
        <v>2198.70189807342</v>
      </c>
      <c r="AP354" s="263">
        <f>IFERROR((N(AP198)+N(AP202)+N(AP204)+N(AP205)),0)</f>
        <v>2881.07879891095</v>
      </c>
      <c r="AQ354" s="263">
        <f>IFERROR((N(AQ198)+N(AQ202)+N(AQ204)+N(AQ205)),0)</f>
        <v>2881.07879891095</v>
      </c>
      <c r="AR354" s="263">
        <f>IFERROR((N(AR198)+N(AR202)+N(AR204)+N(AR205)),0)</f>
        <v>3923.78502003114</v>
      </c>
      <c r="AS354" s="263">
        <f>IFERROR((N(AS198)+N(AS202)+N(AS204)+N(AS205)),0)</f>
        <v>5591.68753370464</v>
      </c>
      <c r="AT354" s="263">
        <f>IFERROR((N(AT198)+N(AT202)+N(AT204)+N(AT205)),0)</f>
        <v>7211.90651459312</v>
      </c>
      <c r="AU354" s="263">
        <f>IFERROR((N(AU198)+N(AU202)+N(AU204)+N(AU205)),0)</f>
        <v>9801.87196751524</v>
      </c>
      <c r="AV354" s="263">
        <f>IFERROR((N(AV198)+N(AV202)+N(AV204)+N(AV205)),0)</f>
        <v>9801.87196751524</v>
      </c>
      <c r="AW354" s="263">
        <f>IFERROR((N(AW198)+N(AW202)+N(AW204)+N(AW205)),0)</f>
        <v>13508.022170663</v>
      </c>
      <c r="AX354" s="263">
        <f>IFERROR((N(AX198)+N(AX202)+N(AX204)+N(AX205)),0)</f>
        <v>18940.6395791406</v>
      </c>
      <c r="AY354" s="263">
        <f>IFERROR((N(AY198)+N(AY202)+N(AY204)+N(AY205)),0)</f>
        <v>25515.4668357272</v>
      </c>
      <c r="AZ354" s="263">
        <f>IFERROR((N(AZ198)+N(AZ202)+N(AZ204)+N(AZ205)),0)</f>
        <v>35102.4157019694</v>
      </c>
      <c r="BA354" s="263">
        <f>IFERROR((N(BA198)+N(BA202)+N(BA204)+N(BA205)),0)</f>
        <v>35102.4157019694</v>
      </c>
      <c r="BB354" s="263">
        <f>IFERROR((N(BB198)+N(BB202)+N(BB204)+N(BB205)),0)</f>
        <v>48435.9893729568</v>
      </c>
      <c r="BC354" s="263">
        <f>IFERROR((N(BC198)+N(BC202)+N(BC204)+N(BC205)),0)</f>
        <v>67280.0387470471</v>
      </c>
      <c r="BD354" s="263">
        <f>IFERROR((N(BD198)+N(BD202)+N(BD204)+N(BD205)),0)</f>
        <v>92010.3950430403</v>
      </c>
      <c r="BE354" s="263">
        <f>IFERROR((N(BE198)+N(BE202)+N(BE204)+N(BE205)),0)</f>
        <v>126850.005305631</v>
      </c>
      <c r="BF354" s="263">
        <f>IFERROR((N(BF198)+N(BF202)+N(BF204)+N(BF205)),0)</f>
        <v>126850.005305631</v>
      </c>
      <c r="BG354" s="90" t="n"/>
      <c r="BH354" s="90" t="n"/>
      <c r="BI354" s="90" t="n"/>
      <c r="BJ354" s="90" t="n"/>
      <c r="BL354" s="90" t="n"/>
      <c r="BM354" s="90" t="n"/>
      <c r="BN354" s="90" t="n"/>
      <c r="BO354" s="90" t="n"/>
      <c r="BQ354" s="90" t="n"/>
      <c r="BR354" s="90" t="n"/>
      <c r="BS354" s="90" t="n"/>
      <c r="BT354" s="90" t="n"/>
      <c r="BV354" s="90" t="n"/>
      <c r="BW354" s="90" t="n"/>
      <c r="BX354" s="90" t="n"/>
      <c r="BY354" s="90" t="n"/>
      <c r="CA354" s="90" t="n"/>
      <c r="CB354" s="90" t="n"/>
      <c r="CC354" s="90" t="n"/>
      <c r="CD354" s="90" t="n"/>
      <c r="CF354" s="90" t="n"/>
      <c r="CG354" s="90" t="n"/>
      <c r="CH354" s="90" t="n"/>
      <c r="CI354" s="90" t="n"/>
      <c r="CK354" s="90" t="n"/>
      <c r="CL354" s="90" t="n"/>
      <c r="CM354" s="90" t="n"/>
      <c r="CN354" s="90" t="n"/>
      <c r="CP354" s="90" t="n"/>
      <c r="CQ354" s="90" t="n"/>
      <c r="CR354" s="90" t="n"/>
      <c r="CS354" s="90" t="n"/>
      <c r="CU354" s="90" t="n"/>
      <c r="CV354" s="90" t="n"/>
      <c r="CW354" s="90" t="n"/>
      <c r="CX354" s="90" t="n"/>
    </row>
    <row r="355" customFormat="1" s="77">
      <c r="A355" s="76" t="n"/>
      <c r="B355" s="76" t="n"/>
      <c r="C355" s="77" t="inlineStr">
        <is>
          <t>FIXED ASSETS</t>
        </is>
      </c>
      <c r="D355" s="89">
        <f>IFERROR(D166+D176+D179+D180+D189-D240,"")</f>
        <v>0</v>
      </c>
      <c r="E355" s="89">
        <f>IFERROR(E166+E176+E179+E180+E189-E240,"")</f>
        <v>0</v>
      </c>
      <c r="F355" s="89">
        <f>IFERROR(F166+F176+F179+F180+F189-F240,"")</f>
        <v>0</v>
      </c>
      <c r="G355" s="89">
        <f>IFERROR(G166+G176+G179+G180+G189-G240,"")</f>
        <v>0</v>
      </c>
      <c r="H355" s="263">
        <f>IFERROR((N(H166)+N(H176)+N(H179)+N(H180)+N(H189))-N(H240),0)</f>
        <v>0</v>
      </c>
      <c r="I355" s="263">
        <f>IFERROR((N(I166)+N(I176)+N(I179)+N(I180)+N(I189))-N(I240),0)</f>
        <v>355.591</v>
      </c>
      <c r="J355" s="263">
        <f>IFERROR((N(J166)+N(J176)+N(J179)+N(J180)+N(J189))-N(J240),0)</f>
        <v>371.282</v>
      </c>
      <c r="K355" s="263">
        <f>IFERROR((N(K166)+N(K176)+N(K179)+N(K180)+N(K189))-N(K240),0)</f>
        <v>383.183</v>
      </c>
      <c r="L355" s="263">
        <f>IFERROR((N(L166)+N(L176)+N(L179)+N(L180)+N(L189))-N(L240),0)</f>
        <v>441.336</v>
      </c>
      <c r="M355" s="263">
        <f>IFERROR((N(M166)+N(M176)+N(M179)+N(M180)+N(M189))-N(M240),0)</f>
        <v>441.336</v>
      </c>
      <c r="N355" s="263">
        <f>IFERROR((N(N166)+N(N176)+N(N179)+N(N180)+N(N189))-N(N240),0)</f>
        <v>560.98</v>
      </c>
      <c r="O355" s="263">
        <f>IFERROR((N(O166)+N(O176)+N(O179)+N(O180)+N(O189))-N(O240),0)</f>
        <v>844.498</v>
      </c>
      <c r="P355" s="263">
        <f>IFERROR((N(P166)+N(P176)+N(P179)+N(P180)+N(P189))-N(P240),0)</f>
        <v>858.666</v>
      </c>
      <c r="Q355" s="263">
        <f>IFERROR((N(Q166)+N(Q176)+N(Q179)+N(Q180)+N(Q189))-N(Q240),0)</f>
        <v>1249.441</v>
      </c>
      <c r="R355" s="263">
        <f>IFERROR((N(R166)+N(R176)+N(R179)+N(R180)+N(R189))-N(R240),0)</f>
        <v>1249.441</v>
      </c>
      <c r="S355" s="263">
        <f>IFERROR((N(S166)+N(S176)+N(S179)+N(S180)+N(S189))-N(S240),0)</f>
        <v>1261.403</v>
      </c>
      <c r="T355" s="263">
        <f>IFERROR((N(T166)+N(T176)+N(T179)+N(T180)+N(T189))-N(T240),0)</f>
        <v>1277.493</v>
      </c>
      <c r="U355" s="263">
        <f>IFERROR((N(U166)+N(U176)+N(U179)+N(U180)+N(U189))-N(U240),0)</f>
        <v>1318.861</v>
      </c>
      <c r="V355" s="263">
        <f>IFERROR((N(V166)+N(V176)+N(V179)+N(V180)+N(V189))-N(V240),0)</f>
        <v>1342.418</v>
      </c>
      <c r="W355" s="263">
        <f>IFERROR((N(W166)+N(W176)+N(W179)+N(W180)+N(W189))-N(W240),0)</f>
        <v>1342.418</v>
      </c>
      <c r="X355" s="263">
        <f>IFERROR((N(X166)+N(X176)+N(X179)+N(X180)+N(X189))-N(X240),0)</f>
        <v>1403.763</v>
      </c>
      <c r="Y355" s="263">
        <f>IFERROR((N(Y166)+N(Y176)+N(Y179)+N(Y180)+N(Y189))-N(Y240),0)</f>
        <v>1531.741</v>
      </c>
      <c r="Z355" s="263">
        <f>IFERROR((N(Z166)+N(Z176)+N(Z179)+N(Z180)+N(Z189))-N(Z240),0)</f>
        <v>1771.271</v>
      </c>
      <c r="AA355" s="263">
        <f>IFERROR((N(AA166)+N(AA176)+N(AA179)+N(AA180)+N(AA189))-N(AA240),0)</f>
        <v>1984.845</v>
      </c>
      <c r="AB355" s="263">
        <f>IFERROR((N(AB166)+N(AB176)+N(AB179)+N(AB180)+N(AB189))-N(AB240),0)</f>
        <v>1984.845</v>
      </c>
      <c r="AC355" s="263">
        <f>IFERROR((N(AC166)+N(AC176)+N(AC179)+N(AC180)+N(AC189))-N(AC240),0)</f>
        <v>2062.355</v>
      </c>
      <c r="AD355" s="263">
        <f>IFERROR((N(AD166)+N(AD176)+N(AD179)+N(AD180)+N(AD189))-N(AD240),0)</f>
        <v>2234.789</v>
      </c>
      <c r="AE355" s="263">
        <f>IFERROR((N(AE166)+N(AE176)+N(AE179)+N(AE180)+N(AE189))-N(AE240),0)</f>
        <v>2331.779</v>
      </c>
      <c r="AF355" s="263">
        <f>IFERROR((N(AF166)+N(AF176)+N(AF179)+N(AF180)+N(AF189))-N(AF240),0)</f>
        <v>2577.568</v>
      </c>
      <c r="AG355" s="263">
        <f>IFERROR((N(AG166)+N(AG176)+N(AG179)+N(AG180)+N(AG189))-N(AG240),0)</f>
        <v>2577.568</v>
      </c>
      <c r="AH355" s="263">
        <f>IFERROR((N(AH166)+N(AH176)+N(AH179)+N(AH180)+N(AH189))-N(AH240),0)</f>
        <v>2723.462</v>
      </c>
      <c r="AI355" s="263">
        <f>IFERROR((N(AI166)+N(AI176)+N(AI179)+N(AI180)+N(AI189))-N(AI240),0)</f>
        <v>7532.941</v>
      </c>
      <c r="AJ355" s="263">
        <f>IFERROR((N(AJ166)+N(AJ176)+N(AJ179)+N(AJ180)+N(AJ189))-N(AJ240),0)</f>
        <v>7871.4045414798</v>
      </c>
      <c r="AK355" s="263">
        <f>IFERROR((N(AK166)+N(AK176)+N(AK179)+N(AK180)+N(AK189))-N(AK240),0)</f>
        <v>8189.70719291188</v>
      </c>
      <c r="AL355" s="263">
        <f>IFERROR((N(AL166)+N(AL176)+N(AL179)+N(AL180)+N(AL189))-N(AL240),0)</f>
        <v>8189.70719291188</v>
      </c>
      <c r="AM355" s="263">
        <f>IFERROR((N(AM166)+N(AM176)+N(AM179)+N(AM180)+N(AM189))-N(AM240),0)</f>
        <v>8588.41616092102</v>
      </c>
      <c r="AN355" s="263">
        <f>IFERROR((N(AN166)+N(AN176)+N(AN179)+N(AN180)+N(AN189))-N(AN240),0)</f>
        <v>9338.48653388353</v>
      </c>
      <c r="AO355" s="263">
        <f>IFERROR((N(AO166)+N(AO176)+N(AO179)+N(AO180)+N(AO189))-N(AO240),0)</f>
        <v>9811.70713803694</v>
      </c>
      <c r="AP355" s="263">
        <f>IFERROR((N(AP166)+N(AP176)+N(AP179)+N(AP180)+N(AP189))-N(AP240),0)</f>
        <v>10256.7399245987</v>
      </c>
      <c r="AQ355" s="263">
        <f>IFERROR((N(AQ166)+N(AQ176)+N(AQ179)+N(AQ180)+N(AQ189))-N(AQ240),0)</f>
        <v>10256.7399245987</v>
      </c>
      <c r="AR355" s="263">
        <f>IFERROR((N(AR166)+N(AR176)+N(AR179)+N(AR180)+N(AR189))-N(AR240),0)</f>
        <v>10812.1987360678</v>
      </c>
      <c r="AS355" s="263">
        <f>IFERROR((N(AS166)+N(AS176)+N(AS179)+N(AS180)+N(AS189))-N(AS240),0)</f>
        <v>11857.154408784</v>
      </c>
      <c r="AT355" s="263">
        <f>IFERROR((N(AT166)+N(AT176)+N(AT179)+N(AT180)+N(AT189))-N(AT240),0)</f>
        <v>12516.4186226247</v>
      </c>
      <c r="AU355" s="263">
        <f>IFERROR((N(AU166)+N(AU176)+N(AU179)+N(AU180)+N(AU189))-N(AU240),0)</f>
        <v>13136.4131613047</v>
      </c>
      <c r="AV355" s="263">
        <f>IFERROR((N(AV166)+N(AV176)+N(AV179)+N(AV180)+N(AV189))-N(AV240),0)</f>
        <v>13136.4131613047</v>
      </c>
      <c r="AW355" s="263">
        <f>IFERROR((N(AW166)+N(AW176)+N(AW179)+N(AW180)+N(AW189))-N(AW240),0)</f>
        <v>13907.4697059475</v>
      </c>
      <c r="AX355" s="263">
        <f>IFERROR((N(AX166)+N(AX176)+N(AX179)+N(AX180)+N(AX189))-N(AX240),0)</f>
        <v>15358.0181420745</v>
      </c>
      <c r="AY355" s="263">
        <f>IFERROR((N(AY166)+N(AY176)+N(AY179)+N(AY180)+N(AY189))-N(AY240),0)</f>
        <v>16273.1714824026</v>
      </c>
      <c r="AZ355" s="263">
        <f>IFERROR((N(AZ166)+N(AZ176)+N(AZ179)+N(AZ180)+N(AZ189))-N(AZ240),0)</f>
        <v>17133.8128779863</v>
      </c>
      <c r="BA355" s="263">
        <f>IFERROR((N(BA166)+N(BA176)+N(BA179)+N(BA180)+N(BA189))-N(BA240),0)</f>
        <v>17133.8128779863</v>
      </c>
      <c r="BB355" s="263">
        <f>IFERROR((N(BB166)+N(BB176)+N(BB179)+N(BB180)+N(BB189))-N(BB240),0)</f>
        <v>18200.2947341485</v>
      </c>
      <c r="BC355" s="263">
        <f>IFERROR((N(BC166)+N(BC176)+N(BC179)+N(BC180)+N(BC189))-N(BC240),0)</f>
        <v>20206.6113906402</v>
      </c>
      <c r="BD355" s="263">
        <f>IFERROR((N(BD166)+N(BD176)+N(BD179)+N(BD180)+N(BD189))-N(BD240),0)</f>
        <v>21472.3997946777</v>
      </c>
      <c r="BE355" s="263">
        <f>IFERROR((N(BE166)+N(BE176)+N(BE179)+N(BE180)+N(BE189))-N(BE240),0)</f>
        <v>22662.7903560823</v>
      </c>
      <c r="BF355" s="263">
        <f>IFERROR((N(BF166)+N(BF176)+N(BF179)+N(BF180)+N(BF189))-N(BF240),0)</f>
        <v>22662.7903560823</v>
      </c>
      <c r="BG355" s="90" t="n"/>
      <c r="BH355" s="90" t="n"/>
      <c r="BI355" s="90" t="n"/>
      <c r="BJ355" s="90" t="n"/>
      <c r="BL355" s="90" t="n"/>
      <c r="BM355" s="90" t="n"/>
      <c r="BN355" s="90" t="n"/>
      <c r="BO355" s="90" t="n"/>
      <c r="BQ355" s="90" t="n"/>
      <c r="BR355" s="90" t="n"/>
      <c r="BS355" s="90" t="n"/>
      <c r="BT355" s="90" t="n"/>
      <c r="BV355" s="90" t="n"/>
      <c r="BW355" s="90" t="n"/>
      <c r="BX355" s="90" t="n"/>
      <c r="BY355" s="90" t="n"/>
      <c r="CA355" s="90" t="n"/>
      <c r="CB355" s="90" t="n"/>
      <c r="CC355" s="90" t="n"/>
      <c r="CD355" s="90" t="n"/>
      <c r="CF355" s="90" t="n"/>
      <c r="CG355" s="90" t="n"/>
      <c r="CH355" s="90" t="n"/>
      <c r="CI355" s="90" t="n"/>
      <c r="CK355" s="90" t="n"/>
      <c r="CL355" s="90" t="n"/>
      <c r="CM355" s="90" t="n"/>
      <c r="CN355" s="90" t="n"/>
      <c r="CP355" s="90" t="n"/>
      <c r="CQ355" s="90" t="n"/>
      <c r="CR355" s="90" t="n"/>
      <c r="CS355" s="90" t="n"/>
      <c r="CU355" s="90" t="n"/>
      <c r="CV355" s="90" t="n"/>
      <c r="CW355" s="90" t="n"/>
      <c r="CX355" s="90" t="n"/>
    </row>
    <row r="356" customFormat="1" s="77">
      <c r="A356" s="76" t="n"/>
      <c r="B356" s="76" t="n"/>
    </row>
    <row r="357" customFormat="1" s="77">
      <c r="A357" s="76" t="n"/>
      <c r="B357" s="76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</row>
    <row r="363" customFormat="1" s="77">
      <c r="A363" s="76" t="n"/>
      <c r="B363" s="76" t="n"/>
      <c r="C363" s="74" t="inlineStr">
        <is>
          <t>DUPONT ANALYSIS</t>
        </is>
      </c>
    </row>
    <row r="364" customFormat="1" s="77">
      <c r="A364" s="76" t="n"/>
      <c r="B364" s="76" t="n"/>
      <c r="C364" s="77" t="inlineStr">
        <is>
          <t>NET PROFIT MARGIN (LTM)</t>
        </is>
      </c>
      <c r="D364" s="84" t="str">
        <f>IFERROR(D137/D15,"")</f>
        <v/>
      </c>
      <c r="E364" s="84" t="str">
        <f>IFERROR(E137/E15,"")</f>
        <v/>
      </c>
      <c r="F364" s="84" t="str">
        <f>IFERROR(F137/F15,"")</f>
        <v/>
      </c>
      <c r="G364" s="84" t="str">
        <f>IFERROR(G137/G15,"")</f>
        <v/>
      </c>
      <c r="H364" s="258" t="str">
        <f>IFERROR(IF(AND(COUNT(H137)=1,(H15)&lt;&gt;0),(H137)/(H15),""),"")</f>
        <v/>
      </c>
      <c r="I364" s="257" t="str">
        <f>""</f>
        <v/>
      </c>
      <c r="J364" s="257" t="str">
        <f>""</f>
        <v/>
      </c>
      <c r="K364" s="257" t="str">
        <f>""</f>
        <v/>
      </c>
      <c r="L364" s="257">
        <f>IFERROR(IF(AND(COUNT(I137,J137,K137,L137)=4,(I15+J15+K15+L15)&lt;&gt;0),(I137+J137+K137+L137)/(I15+J15+K15+L15),""),"")</f>
        <v>-0.142424158928719</v>
      </c>
      <c r="M364" s="258">
        <f>IFERROR(IF(AND(COUNT(I137,J137,K137,L137)=4,(I15+J15+K15+L15)&lt;&gt;0),(I137+J137+K137+L137)/(I15+J15+K15+L15),""),"")</f>
        <v>-0.142424158928719</v>
      </c>
      <c r="N364" s="257">
        <f>IFERROR(IF(AND(COUNT(J137,K137,L137,N137)=4,(J15+K15+L15+N15)&lt;&gt;0),(J137+K137+L137+N137)/(J15+K15+L15+N15),""),"")</f>
        <v>-0.0796122715083524</v>
      </c>
      <c r="O364" s="257">
        <f>IFERROR(IF(AND(COUNT(K137,L137,N137,O137)=4,(K15+L15+N15+O15)&lt;&gt;0),(K137+L137+N137+O137)/(K15+L15+N15+O15),""),"")</f>
        <v>-0.104896226452453</v>
      </c>
      <c r="P364" s="257">
        <f>IFERROR(IF(AND(COUNT(L137,N137,O137,P137)=4,(L15+N15+O15+P15)&lt;&gt;0),(L137+N137+O137+P137)/(L15+N15+O15+P15),""),"")</f>
        <v>-0.135898057365973</v>
      </c>
      <c r="Q364" s="257">
        <f>IFERROR(IF(AND(COUNT(N137,O137,P137,Q137)=4,(N15+O15+P15+Q15)&lt;&gt;0),(N137+O137+P137+Q137)/(N15+O15+P15+Q15),""),"")</f>
        <v>-0.237943611231764</v>
      </c>
      <c r="R364" s="258">
        <f>IFERROR(IF(AND(COUNT(N137,O137,P137,Q137)=4,(N15+O15+P15+Q15)&lt;&gt;0),(N137+O137+P137+Q137)/(N15+O15+P15+Q15),""),"")</f>
        <v>-0.237943611231764</v>
      </c>
      <c r="S364" s="257">
        <f>IFERROR(IF(AND(COUNT(O137,P137,Q137,S137)=4,(O15+P15+Q15+S15)&lt;&gt;0),(O137+P137+Q137+S137)/(O15+P15+Q15+S15),""),"")</f>
        <v>-0.242975065761627</v>
      </c>
      <c r="T364" s="257">
        <f>IFERROR(IF(AND(COUNT(P137,Q137,S137,T137)=4,(P15+Q15+S15+T15)&lt;&gt;0),(P137+Q137+S137+T137)/(P15+Q15+S15+T15),""),"")</f>
        <v>-0.219456686750469</v>
      </c>
      <c r="U364" s="257">
        <f>IFERROR(IF(AND(COUNT(Q137,S137,T137,U137)=4,(Q15+S15+T15+U15)&lt;&gt;0),(Q137+S137+T137+U137)/(Q15+S15+T15+U15),""),"")</f>
        <v>-0.177259023012348</v>
      </c>
      <c r="V364" s="257">
        <f>IFERROR(IF(AND(COUNT(S137,T137,U137,V137)=4,(S15+T15+U15+V15)&lt;&gt;0),(S137+T137+U137+V137)/(S15+T15+U15+V15),""),"")</f>
        <v>0.0516762079466581</v>
      </c>
      <c r="W364" s="258">
        <f>IFERROR(IF(AND(COUNT(S137,T137,U137,V137)=4,(S15+T15+U15+V15)&lt;&gt;0),(S137+T137+U137+V137)/(S15+T15+U15+V15),""),"")</f>
        <v>0.0516762079466581</v>
      </c>
      <c r="X364" s="257">
        <f>IFERROR(IF(AND(COUNT(T137,U137,V137,X137)=4,(T15+U15+V15+X15)&lt;&gt;0),(T137+U137+V137+X137)/(T15+U15+V15+X15),""),"")</f>
        <v>0.139008532759545</v>
      </c>
      <c r="Y364" s="257">
        <f>IFERROR(IF(AND(COUNT(U137,V137,X137,Y137)=4,(U15+V15+X15+Y15)&lt;&gt;0),(U137+V137+X137+Y137)/(U15+V15+X15+Y15),""),"")</f>
        <v>0.152917845566295</v>
      </c>
      <c r="Z364" s="257">
        <f>IFERROR(IF(AND(COUNT(V137,X137,Y137,Z137)=4,(V15+X15+Y15+Z15)&lt;&gt;0),(V137+X137+Y137+Z137)/(V15+X15+Y15+Z15),""),"")</f>
        <v>0.183424059532903</v>
      </c>
      <c r="AA364" s="257">
        <f>IFERROR(IF(AND(COUNT(X137,Y137,Z137,AA137)=4,(X15+Y15+Z15+AA15)&lt;&gt;0),(X137+Y137+Z137+AA137)/(X15+Y15+Z15+AA15),""),"")</f>
        <v>0.0674032317512532</v>
      </c>
      <c r="AB364" s="258">
        <f>IFERROR(IF(AND(COUNT(X137,Y137,Z137,AA137)=4,(X15+Y15+Z15+AA15)&lt;&gt;0),(X137+Y137+Z137+AA137)/(X15+Y15+Z15+AA15),""),"")</f>
        <v>0.0674032317512532</v>
      </c>
      <c r="AC364" s="257">
        <f>IFERROR(IF(AND(COUNT(Y137,Z137,AA137,AC137)=4,(Y15+Z15+AA15+AC15)&lt;&gt;0),(Y137+Z137+AA137+AC137)/(Y15+Z15+AA15+AC15),""),"")</f>
        <v>0.0310460504295139</v>
      </c>
      <c r="AD364" s="257">
        <f>IFERROR(IF(AND(COUNT(Z137,AA137,AC137,AD137)=4,(Z15+AA15+AC15+AD15)&lt;&gt;0),(Z137+AA137+AC137+AD137)/(Z15+AA15+AC15+AD15),""),"")</f>
        <v>0.0447767411286234</v>
      </c>
      <c r="AE364" s="257">
        <f>IFERROR(IF(AND(COUNT(AA137,AC137,AD137,AE137)=4,(AA15+AC15+AD15+AE15)&lt;&gt;0),(AA137+AC137+AD137+AE137)/(AA15+AC15+AD15+AE15),""),"")</f>
        <v>0.0297922630252589</v>
      </c>
      <c r="AF364" s="257">
        <f>IFERROR(IF(AND(COUNT(AB137,AD137,AE137,AF137)=4,(AB15+AD15+AE15+AF15)&lt;&gt;0),(AB137+AD137+AE137+AF137)/(AB15+AD15+AE15+AF15),""),"")</f>
        <v>0.0743491146885634</v>
      </c>
      <c r="AG364" s="258">
        <f>IFERROR(IF(AND(COUNT(AC137,AD137,AE137,AF137)=4,(AC15+AD15+AE15+AF15)&lt;&gt;0),(AC137+AD137+AE137+AF137)/(AC15+AD15+AE15+AF15),""),"")</f>
        <v>0.0572595540491651</v>
      </c>
      <c r="AH364" s="257">
        <f>IFERROR(IF(AND(COUNT(AD137,AF137,AG137,AH137)=4,(AD15+AF15+AG15+AH15)&lt;&gt;0),(AD137+AF137+AG137+AH137)/(AD15+AF15+AG15+AH15),""),"")</f>
        <v>0.0639308950283418</v>
      </c>
      <c r="AI364" s="257">
        <f>IFERROR(IF(AND(COUNT(AE137,AG137,AH137,AI137)=4,(AE15+AG15+AH15+AI15)&lt;&gt;0),(AE137+AG137+AH137+AI137)/(AE15+AG15+AH15+AI15),""),"")</f>
        <v>0.0398490002634226</v>
      </c>
      <c r="AJ364" s="257">
        <f>IFERROR(IF(AND(COUNT(AF137,AH137,AI137,AJ137)=4,(AF15+AH15+AI15+AJ15)&lt;&gt;0),(AF137+AH137+AI137+AJ137)/(AF15+AH15+AI15+AJ15),""),"")</f>
        <v>-0.315839812842975</v>
      </c>
      <c r="AK364" s="257">
        <f>IFERROR(IF(AND(COUNT(AH137,AI137,AJ137,AK137)=4,(AH15+AI15+AJ15+AK15)&lt;&gt;0),(AH137+AI137+AJ137+AK137)/(AH15+AI15+AJ15+AK15),""),"")</f>
        <v>-0.601328818638206</v>
      </c>
      <c r="AL364" s="258">
        <f>IFERROR(IF(AND(COUNT(AH137,AI137,AJ137,AK137)=4,(AH15+AI15+AJ15+AK15)&lt;&gt;0),(AH137+AI137+AJ137+AK137)/(AH15+AI15+AJ15+AK15),""),"")</f>
        <v>-0.601328818638206</v>
      </c>
      <c r="AM364" s="257">
        <f>IFERROR(IF(AND(COUNT(AI137,AJ137,AK137,AM137)=4,(AI15+AJ15+AK15+AM15)&lt;&gt;0),(AI137+AJ137+AK137+AM137)/(AI15+AJ15+AK15+AM15),""),"")</f>
        <v>-0.910131849037814</v>
      </c>
      <c r="AN364" s="257">
        <f>IFERROR(IF(AND(COUNT(AJ137,AK137,AM137,AN137)=4,(AJ15+AK15+AM15+AN15)&lt;&gt;0),(AJ137+AK137+AM137+AN137)/(AJ15+AK15+AM15+AN15),""),"")</f>
        <v>-1.36363608046199</v>
      </c>
      <c r="AO364" s="257">
        <f>IFERROR(IF(AND(COUNT(AK137,AM137,AN137,AO137)=4,(AK15+AM15+AN15+AO15)&lt;&gt;0),(AK137+AM137+AN137+AO137)/(AK15+AM15+AN15+AO15),""),"")</f>
        <v>-1.36363608046199</v>
      </c>
      <c r="AP364" s="257">
        <f>IFERROR(IF(AND(COUNT(AM137,AN137,AO137,AP137)=4,(AM15+AN15+AO15+AP15)&lt;&gt;0),(AM137+AN137+AO137+AP137)/(AM15+AN15+AO15+AP15),""),"")</f>
        <v>-1.36363608046199</v>
      </c>
      <c r="AQ364" s="258">
        <f>IFERROR(IF(AND(COUNT(AM137,AN137,AO137,AP137)=4,(AM15+AN15+AO15+AP15)&lt;&gt;0),(AM137+AN137+AO137+AP137)/(AM15+AN15+AO15+AP15),""),"")</f>
        <v>-1.36363608046199</v>
      </c>
      <c r="AR364" s="257">
        <f>IFERROR(IF(AND(COUNT(AN137,AO137,AP137,AR137)=4,(AN15+AO15+AP15+AR15)&lt;&gt;0),(AN137+AO137+AP137+AR137)/(AN15+AO15+AP15+AR15),""),"")</f>
        <v>-1.36363608046199</v>
      </c>
      <c r="AS364" s="257">
        <f>IFERROR(IF(AND(COUNT(AO137,AP137,AR137,AS137)=4,(AO15+AP15+AR15+AS15)&lt;&gt;0),(AO137+AP137+AR137+AS137)/(AO15+AP15+AR15+AS15),""),"")</f>
        <v>-1.36363608046199</v>
      </c>
      <c r="AT364" s="257">
        <f>IFERROR(IF(AND(COUNT(AP137,AR137,AS137,AT137)=4,(AP15+AR15+AS15+AT15)&lt;&gt;0),(AP137+AR137+AS137+AT137)/(AP15+AR15+AS15+AT15),""),"")</f>
        <v>-1.36363608046199</v>
      </c>
      <c r="AU364" s="257">
        <f>IFERROR(IF(AND(COUNT(AR137,AS137,AT137,AU137)=4,(AR15+AS15+AT15+AU15)&lt;&gt;0),(AR137+AS137+AT137+AU137)/(AR15+AS15+AT15+AU15),""),"")</f>
        <v>-1.36363608046199</v>
      </c>
      <c r="AV364" s="258">
        <f>IFERROR(IF(AND(COUNT(AR137,AS137,AT137,AU137)=4,(AR15+AS15+AT15+AU15)&lt;&gt;0),(AR137+AS137+AT137+AU137)/(AR15+AS15+AT15+AU15),""),"")</f>
        <v>-1.36363608046199</v>
      </c>
      <c r="AW364" s="257">
        <f>IFERROR(IF(AND(COUNT(AS137,AT137,AU137,AW137)=4,(AS15+AT15+AU15+AW15)&lt;&gt;0),(AS137+AT137+AU137+AW137)/(AS15+AT15+AU15+AW15),""),"")</f>
        <v>-1.36363608046199</v>
      </c>
      <c r="AX364" s="257">
        <f>IFERROR(IF(AND(COUNT(AT137,AU137,AW137,AX137)=4,(AT15+AU15+AW15+AX15)&lt;&gt;0),(AT137+AU137+AW137+AX137)/(AT15+AU15+AW15+AX15),""),"")</f>
        <v>-1.36363608046199</v>
      </c>
      <c r="AY364" s="257">
        <f>IFERROR(IF(AND(COUNT(AU137,AW137,AX137,AY137)=4,(AU15+AW15+AX15+AY15)&lt;&gt;0),(AU137+AW137+AX137+AY137)/(AU15+AW15+AX15+AY15),""),"")</f>
        <v>-1.36363608046199</v>
      </c>
      <c r="AZ364" s="257">
        <f>IFERROR(IF(AND(COUNT(AW137,AX137,AY137,AZ137)=4,(AW15+AX15+AY15+AZ15)&lt;&gt;0),(AW137+AX137+AY137+AZ137)/(AW15+AX15+AY15+AZ15),""),"")</f>
        <v>-1.36363608046199</v>
      </c>
      <c r="BA364" s="258">
        <f>IFERROR(IF(AND(COUNT(AW137,AX137,AY137,AZ137)=4,(AW15+AX15+AY15+AZ15)&lt;&gt;0),(AW137+AX137+AY137+AZ137)/(AW15+AX15+AY15+AZ15),""),"")</f>
        <v>-1.36363608046199</v>
      </c>
      <c r="BB364" s="257">
        <f>IFERROR(IF(AND(COUNT(AX137,AY137,AZ137,BB137)=4,(AX15+AY15+AZ15+BB15)&lt;&gt;0),(AX137+AY137+AZ137+BB137)/(AX15+AY15+AZ15+BB15),""),"")</f>
        <v>-1.36363608046199</v>
      </c>
      <c r="BC364" s="257">
        <f>IFERROR(IF(AND(COUNT(AY137,AZ137,BB137,BC137)=4,(AY15+AZ15+BB15+BC15)&lt;&gt;0),(AY137+AZ137+BB137+BC137)/(AY15+AZ15+BB15+BC15),""),"")</f>
        <v>-1.36363608046199</v>
      </c>
      <c r="BD364" s="257">
        <f>IFERROR(IF(AND(COUNT(AZ137,BB137,BC137,BD137)=4,(AZ15+BB15+BC15+BD15)&lt;&gt;0),(AZ137+BB137+BC137+BD137)/(AZ15+BB15+BC15+BD15),""),"")</f>
        <v>-1.36363608046199</v>
      </c>
      <c r="BE364" s="257">
        <f>IFERROR(IF(AND(COUNT(BB137,BC137,BD137,BE137)=4,(BB15+BC15+BD15+BE15)&lt;&gt;0),(BB137+BC137+BD137+BE137)/(BB15+BC15+BD15+BE15),""),"")</f>
        <v>-1.36363608046199</v>
      </c>
      <c r="BF364" s="258">
        <f>IFERROR(IF(AND(COUNT(BB137,BC137,BD137,BE137)=4,(BB15+BC15+BD15+BE15)&lt;&gt;0),(BB137+BC137+BD137+BE137)/(BB15+BC15+BD15+BE15),""),"")</f>
        <v>-1.36363608046199</v>
      </c>
      <c r="BG364" s="81" t="n"/>
      <c r="BH364" s="81" t="n"/>
      <c r="BI364" s="81" t="n"/>
      <c r="BJ364" s="81" t="n"/>
      <c r="BL364" s="81" t="n"/>
      <c r="BM364" s="81" t="n"/>
      <c r="BN364" s="81" t="n"/>
      <c r="BO364" s="81" t="n"/>
      <c r="BQ364" s="81" t="n"/>
      <c r="BR364" s="81" t="n"/>
      <c r="BS364" s="81" t="n"/>
      <c r="BT364" s="81" t="n"/>
      <c r="BV364" s="81" t="n"/>
      <c r="BW364" s="81" t="n"/>
      <c r="BX364" s="81" t="n"/>
      <c r="BY364" s="81" t="n"/>
      <c r="CA364" s="81" t="n"/>
      <c r="CB364" s="81" t="n"/>
      <c r="CC364" s="81" t="n"/>
      <c r="CD364" s="81" t="n"/>
      <c r="CF364" s="81" t="n"/>
      <c r="CG364" s="81" t="n"/>
      <c r="CH364" s="81" t="n"/>
      <c r="CI364" s="81" t="n"/>
      <c r="CK364" s="81" t="n"/>
      <c r="CL364" s="81" t="n"/>
      <c r="CM364" s="81" t="n"/>
      <c r="CN364" s="81" t="n"/>
      <c r="CP364" s="81" t="n"/>
      <c r="CQ364" s="81" t="n"/>
      <c r="CR364" s="81" t="n"/>
      <c r="CS364" s="81" t="n"/>
      <c r="CU364" s="81" t="n"/>
      <c r="CV364" s="81" t="n"/>
      <c r="CW364" s="81" t="n"/>
      <c r="CX364" s="81" t="n"/>
    </row>
    <row r="365" customFormat="1" s="77">
      <c r="A365" s="76" t="n"/>
      <c r="B365" s="76" t="n"/>
      <c r="C365" s="77" t="inlineStr">
        <is>
          <t>ASSET TURNOVER (LTM REVENUE / ASSETS)</t>
        </is>
      </c>
      <c r="D365" s="84" t="str">
        <f>IFERROR(D15/D197,"")</f>
        <v/>
      </c>
      <c r="E365" s="84" t="str">
        <f>IFERROR(E15/E197,"")</f>
        <v/>
      </c>
      <c r="F365" s="84" t="str">
        <f>IFERROR(F15/F197,"")</f>
        <v/>
      </c>
      <c r="G365" s="84" t="str">
        <f>IFERROR(G15/G197,"")</f>
        <v/>
      </c>
      <c r="H365" s="262" t="str">
        <f>IFERROR(IF(AND(COUNT(H15)=1,N(H197)&lt;&gt;0),(H15)/H197,""),"")</f>
        <v/>
      </c>
      <c r="I365" s="264" t="str">
        <f>""</f>
        <v/>
      </c>
      <c r="J365" s="264" t="str">
        <f>""</f>
        <v/>
      </c>
      <c r="K365" s="264" t="str">
        <f>""</f>
        <v/>
      </c>
      <c r="L365" s="264">
        <f>IFERROR(IF(AND(COUNT(I15,J15,K15,L15)=4,N(L197)&lt;&gt;0),(I15+J15+K15+L15)/L197,""),"")</f>
        <v>0.361105514388552</v>
      </c>
      <c r="M365" s="262">
        <f>IFERROR(IF(AND(COUNT(I15,J15,K15,L15)=4,N(M197)&lt;&gt;0),(I15+J15+K15+L15)/M197,""),"")</f>
        <v>0.361105514388552</v>
      </c>
      <c r="N365" s="264">
        <f>IFERROR(IF(AND(COUNT(J15,K15,L15,N15)=4,N(N197)&lt;&gt;0),(J15+K15+L15+N15)/N197,""),"")</f>
        <v>0.366830316047867</v>
      </c>
      <c r="O365" s="264">
        <f>IFERROR(IF(AND(COUNT(K15,L15,N15,O15)=4,N(O197)&lt;&gt;0),(K15+L15+N15+O15)/O197,""),"")</f>
        <v>0.305334567467584</v>
      </c>
      <c r="P365" s="264">
        <f>IFERROR(IF(AND(COUNT(L15,N15,O15,P15)=4,N(P197)&lt;&gt;0),(L15+N15+O15+P15)/P197,""),"")</f>
        <v>0.356463052000888</v>
      </c>
      <c r="Q365" s="264">
        <f>IFERROR(IF(AND(COUNT(N15,O15,P15,Q15)=4,N(Q197)&lt;&gt;0),(N15+O15+P15+Q15)/Q197,""),"")</f>
        <v>0.302042737747046</v>
      </c>
      <c r="R365" s="262">
        <f>IFERROR(IF(AND(COUNT(N15,O15,P15,Q15)=4,N(R197)&lt;&gt;0),(N15+O15+P15+Q15)/R197,""),"")</f>
        <v>0.302042737747046</v>
      </c>
      <c r="S365" s="264">
        <f>IFERROR(IF(AND(COUNT(O15,P15,Q15,S15)=4,N(S197)&lt;&gt;0),(O15+P15+Q15+S15)/S197,""),"")</f>
        <v>0.350124747069875</v>
      </c>
      <c r="T365" s="264">
        <f>IFERROR(IF(AND(COUNT(P15,Q15,S15,T15)=4,N(T197)&lt;&gt;0),(P15+Q15+S15+T15)/T197,""),"")</f>
        <v>0.362718852829153</v>
      </c>
      <c r="U365" s="264">
        <f>IFERROR(IF(AND(COUNT(Q15,S15,T15,U15)=4,N(U197)&lt;&gt;0),(Q15+S15+T15+U15)/U197,""),"")</f>
        <v>0.338033540840357</v>
      </c>
      <c r="V365" s="264">
        <f>IFERROR(IF(AND(COUNT(S15,T15,U15,V15)=4,N(V197)&lt;&gt;0),(S15+T15+U15+V15)/V197,""),"")</f>
        <v>0.343129073209026</v>
      </c>
      <c r="W365" s="262">
        <f>IFERROR(IF(AND(COUNT(S15,T15,U15,V15)=4,N(W197)&lt;&gt;0),(S15+T15+U15+V15)/W197,""),"")</f>
        <v>0.343129073209026</v>
      </c>
      <c r="X365" s="264">
        <f>IFERROR(IF(AND(COUNT(T15,U15,V15,X15)=4,N(X197)&lt;&gt;0),(T15+U15+V15+X15)/X197,""),"")</f>
        <v>0.346834855514685</v>
      </c>
      <c r="Y365" s="264">
        <f>IFERROR(IF(AND(COUNT(U15,V15,X15,Y15)=4,N(Y197)&lt;&gt;0),(U15+V15+X15+Y15)/Y197,""),"")</f>
        <v>0.331661020203208</v>
      </c>
      <c r="Z365" s="264">
        <f>IFERROR(IF(AND(COUNT(V15,X15,Y15,Z15)=4,N(Z197)&lt;&gt;0),(V15+X15+Y15+Z15)/Z197,""),"")</f>
        <v>0.262210861858803</v>
      </c>
      <c r="AA365" s="264">
        <f>IFERROR(IF(AND(COUNT(X15,Y15,Z15,AA15)=4,N(AA197)&lt;&gt;0),(X15+Y15+Z15+AA15)/AA197,""),"")</f>
        <v>0.270971609964375</v>
      </c>
      <c r="AB365" s="262">
        <f>IFERROR(IF(AND(COUNT(X15,Y15,Z15,AA15)=4,N(AB197)&lt;&gt;0),(X15+Y15+Z15+AA15)/AB197,""),"")</f>
        <v>0.270971609964375</v>
      </c>
      <c r="AC365" s="264">
        <f>IFERROR(IF(AND(COUNT(Y15,Z15,AA15,AC15)=4,N(AC197)&lt;&gt;0),(Y15+Z15+AA15+AC15)/AC197,""),"")</f>
        <v>0.276086481571147</v>
      </c>
      <c r="AD365" s="264">
        <f>IFERROR(IF(AND(COUNT(Z15,AA15,AC15,AD15)=4,N(AD197)&lt;&gt;0),(Z15+AA15+AC15+AD15)/AD197,""),"")</f>
        <v>0.243297678087337</v>
      </c>
      <c r="AE365" s="264">
        <f>IFERROR(IF(AND(COUNT(AA15,AC15,AD15,AE15)=4,N(AE197)&lt;&gt;0),(AA15+AC15+AD15+AE15)/AE197,""),"")</f>
        <v>0.240577013445261</v>
      </c>
      <c r="AF365" s="264">
        <f>IFERROR(IF(AND(COUNT(AB15,AD15,AE15,AF15)=4,N(AF197)&lt;&gt;0),(AB15+AD15+AE15+AF15)/AF197,""),"")</f>
        <v>0.398936875064771</v>
      </c>
      <c r="AG365" s="262">
        <f>IFERROR(IF(AND(COUNT(AC15,AD15,AE15,AF15)=4,N(AG197)&lt;&gt;0),(AC15+AD15+AE15+AF15)/AG197,""),"")</f>
        <v>0.244609560672063</v>
      </c>
      <c r="AH365" s="264">
        <f>IFERROR(IF(AND(COUNT(AD15,AF15,AG15,AH15)=4,N(AH197)&lt;&gt;0),(AD15+AF15+AG15+AH15)/AH197,""),"")</f>
        <v>0.42948566447963</v>
      </c>
      <c r="AI365" s="264">
        <f>IFERROR(IF(AND(COUNT(AE15,AG15,AH15,AI15)=4,N(AI197)&lt;&gt;0),(AE15+AG15+AH15+AI15)/AI197,""),"")</f>
        <v>0.201779290397608</v>
      </c>
      <c r="AJ365" s="264">
        <f>IFERROR(IF(AND(COUNT(AF15,AH15,AI15,AJ15)=4,N(AJ197)&lt;&gt;0),(AF15+AH15+AI15+AJ15)/AJ197,""),"")</f>
        <v>0.149526813625694</v>
      </c>
      <c r="AK365" s="264">
        <f>IFERROR(IF(AND(COUNT(AH15,AI15,AJ15,AK15)=4,N(AK197)&lt;&gt;0),(AH15+AI15+AJ15+AK15)/AK197,""),"")</f>
        <v>0.164382776828766</v>
      </c>
      <c r="AL365" s="262">
        <f>IFERROR(IF(AND(COUNT(AH15,AI15,AJ15,AK15)=4,N(AL197)&lt;&gt;0),(AH15+AI15+AJ15+AK15)/AL197,""),"")</f>
        <v>0.164382776828766</v>
      </c>
      <c r="AM365" s="264">
        <f>IFERROR(IF(AND(COUNT(AI15,AJ15,AK15,AM15)=4,N(AM197)&lt;&gt;0),(AI15+AJ15+AK15+AM15)/AM197,""),"")</f>
        <v>0.182550598783442</v>
      </c>
      <c r="AN365" s="264">
        <f>IFERROR(IF(AND(COUNT(AJ15,AK15,AM15,AN15)=4,N(AN197)&lt;&gt;0),(AJ15+AK15+AM15+AN15)/AN197,""),"")</f>
        <v>0.220133074674297</v>
      </c>
      <c r="AO365" s="264">
        <f>IFERROR(IF(AND(COUNT(AK15,AM15,AN15,AO15)=4,N(AO197)&lt;&gt;0),(AK15+AM15+AN15+AO15)/AO197,""),"")</f>
        <v>0.247821752810141</v>
      </c>
      <c r="AP365" s="264">
        <f>IFERROR(IF(AND(COUNT(AM15,AN15,AO15,AP15)=4,N(AP197)&lt;&gt;0),(AM15+AN15+AO15+AP15)/AP197,""),"")</f>
        <v>0.264653819065636</v>
      </c>
      <c r="AQ365" s="262">
        <f>IFERROR(IF(AND(COUNT(AM15,AN15,AO15,AP15)=4,N(AQ197)&lt;&gt;0),(AM15+AN15+AO15+AP15)/AQ197,""),"")</f>
        <v>0.264653819065636</v>
      </c>
      <c r="AR365" s="264">
        <f>IFERROR(IF(AND(COUNT(AN15,AO15,AP15,AR15)=4,N(AR197)&lt;&gt;0),(AN15+AO15+AP15+AR15)/AR197,""),"")</f>
        <v>0.279685497406587</v>
      </c>
      <c r="AS365" s="264">
        <f>IFERROR(IF(AND(COUNT(AO15,AP15,AR15,AS15)=4,N(AS197)&lt;&gt;0),(AO15+AP15+AR15+AS15)/AS197,""),"")</f>
        <v>0.316307886724317</v>
      </c>
      <c r="AT365" s="264">
        <f>IFERROR(IF(AND(COUNT(AP15,AR15,AS15,AT15)=4,N(AT197)&lt;&gt;0),(AP15+AR15+AS15+AT15)/AT197,""),"")</f>
        <v>0.319733103473872</v>
      </c>
      <c r="AU365" s="264">
        <f>IFERROR(IF(AND(COUNT(AR15,AS15,AT15,AU15)=4,N(AU197)&lt;&gt;0),(AR15+AS15+AT15+AU15)/AU197,""),"")</f>
        <v>0.292510516958764</v>
      </c>
      <c r="AV365" s="262">
        <f>IFERROR(IF(AND(COUNT(AR15,AS15,AT15,AU15)=4,N(AV197)&lt;&gt;0),(AR15+AS15+AT15+AU15)/AV197,""),"")</f>
        <v>0.292510516958764</v>
      </c>
      <c r="AW365" s="264">
        <f>IFERROR(IF(AND(COUNT(AS15,AT15,AU15,AW15)=4,N(AW197)&lt;&gt;0),(AS15+AT15+AU15+AW15)/AW197,""),"")</f>
        <v>0.258251045401315</v>
      </c>
      <c r="AX365" s="264">
        <f>IFERROR(IF(AND(COUNT(AT15,AU15,AW15,AX15)=4,N(AX197)&lt;&gt;0),(AT15+AU15+AW15+AX15)/AX197,""),"")</f>
        <v>0.238367338477121</v>
      </c>
      <c r="AY365" s="264">
        <f>IFERROR(IF(AND(COUNT(AU15,AW15,AX15,AY15)=4,N(AY197)&lt;&gt;0),(AU15+AW15+AX15+AY15)/AY197,""),"")</f>
        <v>0.19666706910958</v>
      </c>
      <c r="AZ365" s="264">
        <f>IFERROR(IF(AND(COUNT(AW15,AX15,AY15,AZ15)=4,N(AZ197)&lt;&gt;0),(AW15+AX15+AY15+AZ15)/AZ197,""),"")</f>
        <v>0.15265319416338</v>
      </c>
      <c r="BA365" s="262">
        <f>IFERROR(IF(AND(COUNT(AW15,AX15,AY15,AZ15)=4,N(BA197)&lt;&gt;0),(AW15+AX15+AY15+AZ15)/BA197,""),"")</f>
        <v>0.15265319416338</v>
      </c>
      <c r="BB365" s="264">
        <f>IFERROR(IF(AND(COUNT(AX15,AY15,AZ15,BB15)=4,N(BB197)&lt;&gt;0),(AX15+AY15+AZ15+BB15)/BB197,""),"")</f>
        <v>0.118531807842287</v>
      </c>
      <c r="BC365" s="264">
        <f>IFERROR(IF(AND(COUNT(AY15,AZ15,BB15,BC15)=4,N(BC197)&lt;&gt;0),(AY15+AZ15+BB15+BC15)/BC197,""),"")</f>
        <v>0.0975337169929894</v>
      </c>
      <c r="BD365" s="264">
        <f>IFERROR(IF(AND(COUNT(AZ15,BB15,BC15,BD15)=4,N(BD197)&lt;&gt;0),(AZ15+BB15+BC15+BD15)/BD197,""),"")</f>
        <v>0.0750387608435129</v>
      </c>
      <c r="BE365" s="264">
        <f>IFERROR(IF(AND(COUNT(BB15,BC15,BD15,BE15)=4,N(BE197)&lt;&gt;0),(BB15+BC15+BD15+BE15)/BE197,""),"")</f>
        <v>0.0566071012818577</v>
      </c>
      <c r="BF365" s="262">
        <f>IFERROR(IF(AND(COUNT(BB15,BC15,BD15,BE15)=4,N(BF197)&lt;&gt;0),(BB15+BC15+BD15+BE15)/BF197,""),"")</f>
        <v>0.0566071012818577</v>
      </c>
      <c r="BG365" s="81" t="n"/>
      <c r="BH365" s="81" t="n"/>
      <c r="BI365" s="81" t="n"/>
      <c r="BJ365" s="81" t="n"/>
      <c r="BL365" s="81" t="n"/>
      <c r="BM365" s="81" t="n"/>
      <c r="BN365" s="81" t="n"/>
      <c r="BO365" s="81" t="n"/>
      <c r="BQ365" s="81" t="n"/>
      <c r="BR365" s="81" t="n"/>
      <c r="BS365" s="81" t="n"/>
      <c r="BT365" s="81" t="n"/>
      <c r="BV365" s="81" t="n"/>
      <c r="BW365" s="81" t="n"/>
      <c r="BX365" s="81" t="n"/>
      <c r="BY365" s="81" t="n"/>
      <c r="CA365" s="81" t="n"/>
      <c r="CB365" s="81" t="n"/>
      <c r="CC365" s="81" t="n"/>
      <c r="CD365" s="81" t="n"/>
      <c r="CF365" s="81" t="n"/>
      <c r="CG365" s="81" t="n"/>
      <c r="CH365" s="81" t="n"/>
      <c r="CI365" s="81" t="n"/>
      <c r="CK365" s="81" t="n"/>
      <c r="CL365" s="81" t="n"/>
      <c r="CM365" s="81" t="n"/>
      <c r="CN365" s="81" t="n"/>
      <c r="CP365" s="81" t="n"/>
      <c r="CQ365" s="81" t="n"/>
      <c r="CR365" s="81" t="n"/>
      <c r="CS365" s="81" t="n"/>
      <c r="CU365" s="81" t="n"/>
      <c r="CV365" s="81" t="n"/>
      <c r="CW365" s="81" t="n"/>
      <c r="CX365" s="81" t="n"/>
    </row>
    <row r="366" customFormat="1" s="77">
      <c r="A366" s="76" t="n"/>
      <c r="B366" s="76" t="n"/>
      <c r="C366" s="77" t="inlineStr">
        <is>
          <t>EQUITY MULTIPLIER (ASSETS / EQUITY)</t>
        </is>
      </c>
      <c r="D366" s="84" t="str">
        <f>IFERROR(D197/D271,"")</f>
        <v/>
      </c>
      <c r="E366" s="84" t="str">
        <f>IFERROR(E197/E271,"")</f>
        <v/>
      </c>
      <c r="F366" s="84" t="str">
        <f>IFERROR(F197/F271,"")</f>
        <v/>
      </c>
      <c r="G366" s="84" t="str">
        <f>IFERROR(G197/G271,"")</f>
        <v/>
      </c>
      <c r="H366" s="262" t="str">
        <f>IFERROR(IF(N(H271)&lt;&gt;0,H197/H271,""),"")</f>
        <v/>
      </c>
      <c r="I366" s="264">
        <f>IFERROR(IF(N(I271)&lt;&gt;0,I197/I271,""),"")</f>
        <v>2.64041059776388</v>
      </c>
      <c r="J366" s="264">
        <f>IFERROR(IF(N(J271)&lt;&gt;0,J197/J271,""),"")</f>
        <v>2.50596041939372</v>
      </c>
      <c r="K366" s="264">
        <f>IFERROR(IF(N(K271)&lt;&gt;0,K197/K271,""),"")</f>
        <v>2.40470133491484</v>
      </c>
      <c r="L366" s="264">
        <f>IFERROR(IF(N(L271)&lt;&gt;0,L197/L271,""),"")</f>
        <v>3.26480930557398</v>
      </c>
      <c r="M366" s="262">
        <f>IFERROR(IF(N(M271)&lt;&gt;0,M197/M271,""),"")</f>
        <v>3.26480930557398</v>
      </c>
      <c r="N366" s="264">
        <f>IFERROR(IF(N(N271)&lt;&gt;0,N197/N271,""),"")</f>
        <v>3.48208628181431</v>
      </c>
      <c r="O366" s="264">
        <f>IFERROR(IF(N(O271)&lt;&gt;0,O197/O271,""),"")</f>
        <v>3.66284672858288</v>
      </c>
      <c r="P366" s="264">
        <f>IFERROR(IF(N(P271)&lt;&gt;0,P197/P271,""),"")</f>
        <v>3.92401021711367</v>
      </c>
      <c r="Q366" s="264">
        <f>IFERROR(IF(N(Q271)&lt;&gt;0,Q197/Q271,""),"")</f>
        <v>3.56562969179678</v>
      </c>
      <c r="R366" s="262">
        <f>IFERROR(IF(N(R271)&lt;&gt;0,R197/R271,""),"")</f>
        <v>3.56562969179678</v>
      </c>
      <c r="S366" s="264">
        <f>IFERROR(IF(N(S271)&lt;&gt;0,S197/S271,""),"")</f>
        <v>3.51808827325131</v>
      </c>
      <c r="T366" s="264">
        <f>IFERROR(IF(N(T271)&lt;&gt;0,T197/T271,""),"")</f>
        <v>3.1800570465173</v>
      </c>
      <c r="U366" s="264">
        <f>IFERROR(IF(N(U271)&lt;&gt;0,U197/U271,""),"")</f>
        <v>3.37188072710626</v>
      </c>
      <c r="V366" s="264">
        <f>IFERROR(IF(N(V271)&lt;&gt;0,V197/V271,""),"")</f>
        <v>3.03836324005195</v>
      </c>
      <c r="W366" s="262">
        <f>IFERROR(IF(N(W271)&lt;&gt;0,W197/W271,""),"")</f>
        <v>3.03836324005195</v>
      </c>
      <c r="X366" s="264">
        <f>IFERROR(IF(N(X271)&lt;&gt;0,X197/X271,""),"")</f>
        <v>2.90142841441831</v>
      </c>
      <c r="Y366" s="264">
        <f>IFERROR(IF(N(Y271)&lt;&gt;0,Y197/Y271,""),"")</f>
        <v>3.04033296274265</v>
      </c>
      <c r="Z366" s="264">
        <f>IFERROR(IF(N(Z271)&lt;&gt;0,Z197/Z271,""),"")</f>
        <v>3.79203845627481</v>
      </c>
      <c r="AA366" s="264">
        <f>IFERROR(IF(N(AA271)&lt;&gt;0,AA197/AA271,""),"")</f>
        <v>3.81543500127593</v>
      </c>
      <c r="AB366" s="262">
        <f>IFERROR(IF(N(AB271)&lt;&gt;0,AB197/AB271,""),"")</f>
        <v>3.81543500127593</v>
      </c>
      <c r="AC366" s="264">
        <f>IFERROR(IF(N(AC271)&lt;&gt;0,AC197/AC271,""),"")</f>
        <v>3.89179077896024</v>
      </c>
      <c r="AD366" s="264">
        <f>IFERROR(IF(N(AD271)&lt;&gt;0,AD197/AD271,""),"")</f>
        <v>2.68939326957147</v>
      </c>
      <c r="AE366" s="264">
        <f>IFERROR(IF(N(AE271)&lt;&gt;0,AE197/AE271,""),"")</f>
        <v>2.76062872431781</v>
      </c>
      <c r="AF366" s="264">
        <f>IFERROR(IF(N(AF271)&lt;&gt;0,AF197/AF271,""),"")</f>
        <v>2.76736440288547</v>
      </c>
      <c r="AG366" s="262">
        <f>IFERROR(IF(N(AG271)&lt;&gt;0,AG197/AG271,""),"")</f>
        <v>2.76736440288547</v>
      </c>
      <c r="AH366" s="264">
        <f>IFERROR(IF(N(AH271)&lt;&gt;0,AH197/AH271,""),"")</f>
        <v>2.82640137539605</v>
      </c>
      <c r="AI366" s="264">
        <f>IFERROR(IF(N(AI271)&lt;&gt;0,AI197/AI271,""),"")</f>
        <v>2.1562837462208</v>
      </c>
      <c r="AJ366" s="264">
        <f>IFERROR(IF(N(AJ271)&lt;&gt;0,AJ197/AJ271,""),"")</f>
        <v>2.28450906909808</v>
      </c>
      <c r="AK366" s="264">
        <f>IFERROR(IF(N(AK271)&lt;&gt;0,AK197/AK271,""),"")</f>
        <v>2.47858701643333</v>
      </c>
      <c r="AL366" s="262">
        <f>IFERROR(IF(N(AL271)&lt;&gt;0,AL197/AL271,""),"")</f>
        <v>2.47858701643333</v>
      </c>
      <c r="AM366" s="264">
        <f>IFERROR(IF(N(AM271)&lt;&gt;0,AM197/AM271,""),"")</f>
        <v>2.82689188122827</v>
      </c>
      <c r="AN366" s="264">
        <f>IFERROR(IF(N(AN271)&lt;&gt;0,AN197/AN271,""),"")</f>
        <v>3.97762642951195</v>
      </c>
      <c r="AO366" s="264">
        <f>IFERROR(IF(N(AO271)&lt;&gt;0,AO197/AO271,""),"")</f>
        <v>5.52633346107811</v>
      </c>
      <c r="AP366" s="264">
        <f>IFERROR(IF(N(AP271)&lt;&gt;0,AP197/AP271,""),"")</f>
        <v>9.64373132868921</v>
      </c>
      <c r="AQ366" s="262">
        <f>IFERROR(IF(N(AQ271)&lt;&gt;0,AQ197/AQ271,""),"")</f>
        <v>9.64373132868922</v>
      </c>
      <c r="AR366" s="264">
        <f>IFERROR(IF(N(AR271)&lt;&gt;0,AR197/AR271,""),"")</f>
        <v>151.613352964966</v>
      </c>
      <c r="AS366" s="264">
        <f>IFERROR(IF(N(AS271)&lt;&gt;0,AS197/AS271,""),"")</f>
        <v>-5.80162446419497</v>
      </c>
      <c r="AT366" s="264">
        <f>IFERROR(IF(N(AT271)&lt;&gt;0,AT197/AT271,""),"")</f>
        <v>-3.72410512059372</v>
      </c>
      <c r="AU366" s="264">
        <f>IFERROR(IF(N(AU271)&lt;&gt;0,AU197/AU271,""),"")</f>
        <v>-3.15844477353034</v>
      </c>
      <c r="AV366" s="262">
        <f>IFERROR(IF(N(AV271)&lt;&gt;0,AV197/AV271,""),"")</f>
        <v>-3.15844477353034</v>
      </c>
      <c r="AW366" s="264">
        <f>IFERROR(IF(N(AW271)&lt;&gt;0,AW197/AW271,""),"")</f>
        <v>-2.8753401720806</v>
      </c>
      <c r="AX366" s="264">
        <f>IFERROR(IF(N(AX271)&lt;&gt;0,AX197/AX271,""),"")</f>
        <v>-2.38950306404454</v>
      </c>
      <c r="AY366" s="264">
        <f>IFERROR(IF(N(AY271)&lt;&gt;0,AY197/AY271,""),"")</f>
        <v>-2.58334109598185</v>
      </c>
      <c r="AZ366" s="264">
        <f>IFERROR(IF(N(AZ271)&lt;&gt;0,AZ197/AZ271,""),"")</f>
        <v>-3.05629551120501</v>
      </c>
      <c r="BA366" s="262">
        <f>IFERROR(IF(N(BA271)&lt;&gt;0,BA197/BA271,""),"")</f>
        <v>-3.05629551120501</v>
      </c>
      <c r="BB366" s="264">
        <f>IFERROR(IF(N(BB271)&lt;&gt;0,BB197/BB271,""),"")</f>
        <v>-3.61363135039429</v>
      </c>
      <c r="BC366" s="264">
        <f>IFERROR(IF(N(BC271)&lt;&gt;0,BC197/BC271,""),"")</f>
        <v>-3.89649733898049</v>
      </c>
      <c r="BD366" s="264">
        <f>IFERROR(IF(N(BD271)&lt;&gt;0,BD197/BD271,""),"")</f>
        <v>-4.78364518009096</v>
      </c>
      <c r="BE366" s="264">
        <f>IFERROR(IF(N(BE271)&lt;&gt;0,BE197/BE271,""),"")</f>
        <v>-6.06383072149741</v>
      </c>
      <c r="BF366" s="262">
        <f>IFERROR(IF(N(BF271)&lt;&gt;0,BF197/BF271,""),"")</f>
        <v>-6.06383072149741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ROE - DUPONT</t>
        </is>
      </c>
      <c r="D367" s="84">
        <f>IFERROR(PRODUCT(D364:D366),"")</f>
        <v>0</v>
      </c>
      <c r="E367" s="84">
        <f>IFERROR(PRODUCT(E364:E366),"")</f>
        <v>0</v>
      </c>
      <c r="F367" s="84">
        <f>IFERROR(PRODUCT(F364:F366),"")</f>
        <v>0</v>
      </c>
      <c r="G367" s="84">
        <f>IFERROR(PRODUCT(G364:G366),"")</f>
        <v>0</v>
      </c>
      <c r="H367" s="258" t="str">
        <f>IFERROR(IF(COUNT(H364,H365,H366)=3,H364*H365*H366,""),"")</f>
        <v/>
      </c>
      <c r="I367" s="257" t="str">
        <f>IFERROR(IF(COUNT(I364,I365,I366)=3,I364*I365*I366,""),"")</f>
        <v/>
      </c>
      <c r="J367" s="257" t="str">
        <f>IFERROR(IF(COUNT(J364,J365,J366)=3,J364*J365*J366,""),"")</f>
        <v/>
      </c>
      <c r="K367" s="257" t="str">
        <f>IFERROR(IF(COUNT(K364,K365,K366)=3,K364*K365*K366,""),"")</f>
        <v/>
      </c>
      <c r="L367" s="257">
        <f>IFERROR(IF(COUNT(L364,L365,L366)=3,L364*L365*L366,""),"")</f>
        <v>-0.167909629601557</v>
      </c>
      <c r="M367" s="258">
        <f>IFERROR(IF(COUNT(M364,M365,M366)=3,M364*M365*M366,""),"")</f>
        <v>-0.167909629601557</v>
      </c>
      <c r="N367" s="257">
        <f>IFERROR(IF(COUNT(N364,N365,N366)=3,N364*N365*N366,""),"")</f>
        <v>-0.101691525801411</v>
      </c>
      <c r="O367" s="257">
        <f>IFERROR(IF(COUNT(O364,O365,O366)=3,O364*O365*O366,""),"")</f>
        <v>-0.117315281081009</v>
      </c>
      <c r="P367" s="257">
        <f>IFERROR(IF(COUNT(P364,P365,P366)=3,P364*P365*P366,""),"")</f>
        <v>-0.190089399744572</v>
      </c>
      <c r="Q367" s="257">
        <f>IFERROR(IF(COUNT(Q364,Q365,Q366)=3,Q364*Q365*Q366,""),"")</f>
        <v>-0.256258738673046</v>
      </c>
      <c r="R367" s="258">
        <f>IFERROR(IF(COUNT(R364,R365,R366)=3,R364*R365*R366,""),"")</f>
        <v>-0.256258738673046</v>
      </c>
      <c r="S367" s="257">
        <f>IFERROR(IF(COUNT(S364,S365,S366)=3,S364*S365*S366,""),"")</f>
        <v>-0.299289340101523</v>
      </c>
      <c r="T367" s="257">
        <f>IFERROR(IF(COUNT(T364,T365,T366)=3,T364*T365*T366,""),"")</f>
        <v>-0.253135967935192</v>
      </c>
      <c r="U367" s="257">
        <f>IFERROR(IF(COUNT(U364,U365,U366)=3,U364*U365*U366,""),"")</f>
        <v>-0.202041391025168</v>
      </c>
      <c r="V367" s="257">
        <f>IFERROR(IF(COUNT(V364,V365,V366)=3,V364*V365*V366,""),"")</f>
        <v>0.0538750700046871</v>
      </c>
      <c r="W367" s="258">
        <f>IFERROR(IF(COUNT(W364,W365,W366)=3,W364*W365*W366,""),"")</f>
        <v>0.0538750700046871</v>
      </c>
      <c r="X367" s="257">
        <f>IFERROR(IF(COUNT(X364,X365,X366)=3,X364*X365*X366,""),"")</f>
        <v>0.139886580837998</v>
      </c>
      <c r="Y367" s="257">
        <f>IFERROR(IF(COUNT(Y364,Y365,Y366)=3,Y364*Y365*Y366,""),"")</f>
        <v>0.154196228384443</v>
      </c>
      <c r="Z367" s="257">
        <f>IFERROR(IF(COUNT(Z364,Z365,Z366)=3,Z364*Z365*Z366,""),"")</f>
        <v>0.182381050134574</v>
      </c>
      <c r="AA367" s="257">
        <f>IFERROR(IF(COUNT(AA364,AA365,AA366)=3,AA364*AA365*AA366,""),"")</f>
        <v>0.0696864869071064</v>
      </c>
      <c r="AB367" s="258">
        <f>IFERROR(IF(COUNT(AB364,AB365,AB366)=3,AB364*AB365*AB366,""),"")</f>
        <v>0.0696864869071064</v>
      </c>
      <c r="AC367" s="257">
        <f>IFERROR(IF(COUNT(AC364,AC365,AC366)=3,AC364*AC365*AC366,""),"")</f>
        <v>0.0333580753613064</v>
      </c>
      <c r="AD367" s="257">
        <f>IFERROR(IF(COUNT(AD364,AD365,AD366)=3,AD364*AD365*AD366,""),"")</f>
        <v>0.0292984577624759</v>
      </c>
      <c r="AE367" s="257">
        <f>IFERROR(IF(COUNT(AE364,AE365,AE366)=3,AE364*AE365*AE366,""),"")</f>
        <v>0.0197863471851706</v>
      </c>
      <c r="AF367" s="257">
        <f>IFERROR(IF(COUNT(AF364,AF365,AF366)=3,AF364*AF365*AF366,""),"")</f>
        <v>0.0820816982322541</v>
      </c>
      <c r="AG367" s="258">
        <f>IFERROR(IF(COUNT(AG364,AG365,AG366)=3,AG364*AG365*AG366,""),"")</f>
        <v>0.038760354387012</v>
      </c>
      <c r="AH367" s="257">
        <f>IFERROR(IF(COUNT(AH364,AH365,AH366)=3,AH364*AH365*AH366,""),"")</f>
        <v>0.0776056414118785</v>
      </c>
      <c r="AI367" s="257">
        <f>IFERROR(IF(COUNT(AI364,AI365,AI366)=3,AI364*AI365*AI366,""),"")</f>
        <v>0.0173380371789112</v>
      </c>
      <c r="AJ367" s="257">
        <f>IFERROR(IF(COUNT(AJ364,AJ365,AJ366)=3,AJ364*AJ365*AJ366,""),"")</f>
        <v>-0.107889415139331</v>
      </c>
      <c r="AK367" s="257">
        <f>IFERROR(IF(COUNT(AK364,AK365,AK366)=3,AK364*AK365*AK366,""),"")</f>
        <v>-0.245003619725073</v>
      </c>
      <c r="AL367" s="258">
        <f>IFERROR(IF(COUNT(AL364,AL365,AL366)=3,AL364*AL365*AL366,""),"")</f>
        <v>-0.245003619725073</v>
      </c>
      <c r="AM367" s="257">
        <f>IFERROR(IF(COUNT(AM364,AM365,AM366)=3,AM364*AM365*AM366,""),"")</f>
        <v>-0.469674273911171</v>
      </c>
      <c r="AN367" s="257">
        <f>IFERROR(IF(COUNT(AN364,AN365,AN366)=3,AN364*AN365*AN366,""),"")</f>
        <v>-1.19400948273352</v>
      </c>
      <c r="AO367" s="257">
        <f>IFERROR(IF(COUNT(AO364,AO365,AO366)=3,AO364*AO365*AO366,""),"")</f>
        <v>-1.86756185527665</v>
      </c>
      <c r="AP367" s="257">
        <f>IFERROR(IF(COUNT(AP364,AP365,AP366)=3,AP364*AP365*AP366,""),"")</f>
        <v>-3.48034063115064</v>
      </c>
      <c r="AQ367" s="258">
        <f>IFERROR(IF(COUNT(AQ364,AQ365,AQ366)=3,AQ364*AQ365*AQ366,""),"")</f>
        <v>-3.48034063115065</v>
      </c>
      <c r="AR367" s="257">
        <f>IFERROR(IF(COUNT(AR364,AR365,AR366)=3,AR364*AR365*AR366,""),"")</f>
        <v>-57.8237007706491</v>
      </c>
      <c r="AS367" s="257">
        <f>IFERROR(IF(COUNT(AS364,AS365,AS366)=3,AS364*AS365*AS366,""),"")</f>
        <v>2.50240799012539</v>
      </c>
      <c r="AT367" s="257">
        <f>IFERROR(IF(COUNT(AT364,AT365,AT366)=3,AT364*AT365*AT366,""),"")</f>
        <v>1.62370832809647</v>
      </c>
      <c r="AU367" s="257">
        <f>IFERROR(IF(COUNT(AU364,AU365,AU366)=3,AU364*AU365*AU366,""),"")</f>
        <v>1.25983380223279</v>
      </c>
      <c r="AV367" s="258">
        <f>IFERROR(IF(COUNT(AV364,AV365,AV366)=3,AV364*AV365*AV366,""),"")</f>
        <v>1.25983380223279</v>
      </c>
      <c r="AW367" s="257">
        <f>IFERROR(IF(COUNT(AW364,AW365,AW366)=3,AW364*AW365*AW366,""),"")</f>
        <v>1.01258106971371</v>
      </c>
      <c r="AX367" s="257">
        <f>IFERROR(IF(COUNT(AX364,AX365,AX366)=3,AX364*AX365*AX366,""),"")</f>
        <v>0.776699137335899</v>
      </c>
      <c r="AY367" s="257">
        <f>IFERROR(IF(COUNT(AY364,AY365,AY366)=3,AY364*AY365*AY366,""),"")</f>
        <v>0.692806385936069</v>
      </c>
      <c r="AZ367" s="257">
        <f>IFERROR(IF(COUNT(AZ364,AZ365,AZ366)=3,AZ364*AZ365*AZ366,""),"")</f>
        <v>0.636208875283133</v>
      </c>
      <c r="BA367" s="258">
        <f>IFERROR(IF(COUNT(BA364,BA365,BA366)=3,BA364*BA365*BA366,""),"")</f>
        <v>0.636208875283133</v>
      </c>
      <c r="BB367" s="257">
        <f>IFERROR(IF(COUNT(BB364,BB365,BB366)=3,BB364*BB365*BB366,""),"")</f>
        <v>0.584086592577577</v>
      </c>
      <c r="BC367" s="257">
        <f>IFERROR(IF(COUNT(BC364,BC365,BC366)=3,BC364*BC365*BC366,""),"")</f>
        <v>0.518236077006166</v>
      </c>
      <c r="BD367" s="257">
        <f>IFERROR(IF(COUNT(BD364,BD365,BD366)=3,BD364*BD365*BD366,""),"")</f>
        <v>0.489489180118977</v>
      </c>
      <c r="BE367" s="257">
        <f>IFERROR(IF(COUNT(BE364,BE365,BE366)=3,BE364*BE365*BE366,""),"")</f>
        <v>0.468076102536701</v>
      </c>
      <c r="BF367" s="258">
        <f>IFERROR(IF(COUNT(BF364,BF365,BF366)=3,BF364*BF365*BF366,""),"")</f>
        <v>0.468076102536701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8" customFormat="1" s="77">
      <c r="A368" s="76" t="n"/>
      <c r="B368" s="76" t="n"/>
      <c r="C368" s="77" t="inlineStr">
        <is>
          <t>ROE (LTM)</t>
        </is>
      </c>
      <c r="D368" s="84" t="str">
        <f>IFERROR(D137/D271,"")</f>
        <v/>
      </c>
      <c r="E368" s="84" t="str">
        <f>IFERROR(E137/E271,"")</f>
        <v/>
      </c>
      <c r="F368" s="84" t="str">
        <f>IFERROR(F137/F271,"")</f>
        <v/>
      </c>
      <c r="G368" s="84" t="str">
        <f>IFERROR(G137/G271,"")</f>
        <v/>
      </c>
      <c r="H368" s="258" t="str">
        <f>IFERROR(IF(AND(COUNT(H137)=1,N(H271)&lt;&gt;0),(H137)/H271,""),"")</f>
        <v/>
      </c>
      <c r="I368" s="257" t="str">
        <f>""</f>
        <v/>
      </c>
      <c r="J368" s="257" t="str">
        <f>""</f>
        <v/>
      </c>
      <c r="K368" s="257" t="str">
        <f>""</f>
        <v/>
      </c>
      <c r="L368" s="257">
        <f>IFERROR(IF(AND(COUNT(I137,J137,K137,L137)=4,N(L271)&lt;&gt;0),(I137+J137+K137+L137)/L271,""),"")</f>
        <v>-0.167909629601557</v>
      </c>
      <c r="M368" s="258">
        <f>IFERROR(IF(AND(COUNT(I137,J137,K137,L137)=4,N(M271)&lt;&gt;0),(I137+J137+K137+L137)/M271,""),"")</f>
        <v>-0.167909629601557</v>
      </c>
      <c r="N368" s="257">
        <f>IFERROR(IF(AND(COUNT(J137,K137,L137,N137)=4,N(N271)&lt;&gt;0),(J137+K137+L137+N137)/N271,""),"")</f>
        <v>-0.101691525801411</v>
      </c>
      <c r="O368" s="257">
        <f>IFERROR(IF(AND(COUNT(K137,L137,N137,O137)=4,N(O271)&lt;&gt;0),(K137+L137+N137+O137)/O271,""),"")</f>
        <v>-0.117315281081009</v>
      </c>
      <c r="P368" s="257">
        <f>IFERROR(IF(AND(COUNT(L137,N137,O137,P137)=4,N(P271)&lt;&gt;0),(L137+N137+O137+P137)/P271,""),"")</f>
        <v>-0.190089399744572</v>
      </c>
      <c r="Q368" s="257">
        <f>IFERROR(IF(AND(COUNT(N137,O137,P137,Q137)=4,N(Q271)&lt;&gt;0),(N137+O137+P137+Q137)/Q271,""),"")</f>
        <v>-0.256258738673046</v>
      </c>
      <c r="R368" s="258">
        <f>IFERROR(IF(AND(COUNT(N137,O137,P137,Q137)=4,N(R271)&lt;&gt;0),(N137+O137+P137+Q137)/R271,""),"")</f>
        <v>-0.256258738673046</v>
      </c>
      <c r="S368" s="257">
        <f>IFERROR(IF(AND(COUNT(O137,P137,Q137,S137)=4,N(S271)&lt;&gt;0),(O137+P137+Q137+S137)/S271,""),"")</f>
        <v>-0.299289340101523</v>
      </c>
      <c r="T368" s="257">
        <f>IFERROR(IF(AND(COUNT(P137,Q137,S137,T137)=4,N(T271)&lt;&gt;0),(P137+Q137+S137+T137)/T271,""),"")</f>
        <v>-0.253135967935192</v>
      </c>
      <c r="U368" s="257">
        <f>IFERROR(IF(AND(COUNT(Q137,S137,T137,U137)=4,N(U271)&lt;&gt;0),(Q137+S137+T137+U137)/U271,""),"")</f>
        <v>-0.202041391025168</v>
      </c>
      <c r="V368" s="257">
        <f>IFERROR(IF(AND(COUNT(S137,T137,U137,V137)=4,N(V271)&lt;&gt;0),(S137+T137+U137+V137)/V271,""),"")</f>
        <v>0.0538750700046871</v>
      </c>
      <c r="W368" s="258">
        <f>IFERROR(IF(AND(COUNT(S137,T137,U137,V137)=4,N(W271)&lt;&gt;0),(S137+T137+U137+V137)/W271,""),"")</f>
        <v>0.0538750700046871</v>
      </c>
      <c r="X368" s="257">
        <f>IFERROR(IF(AND(COUNT(T137,U137,V137,X137)=4,N(X271)&lt;&gt;0),(T137+U137+V137+X137)/X271,""),"")</f>
        <v>0.139886580837998</v>
      </c>
      <c r="Y368" s="257">
        <f>IFERROR(IF(AND(COUNT(U137,V137,X137,Y137)=4,N(Y271)&lt;&gt;0),(U137+V137+X137+Y137)/Y271,""),"")</f>
        <v>0.154196228384443</v>
      </c>
      <c r="Z368" s="257">
        <f>IFERROR(IF(AND(COUNT(V137,X137,Y137,Z137)=4,N(Z271)&lt;&gt;0),(V137+X137+Y137+Z137)/Z271,""),"")</f>
        <v>0.182381050134574</v>
      </c>
      <c r="AA368" s="257">
        <f>IFERROR(IF(AND(COUNT(X137,Y137,Z137,AA137)=4,N(AA271)&lt;&gt;0),(X137+Y137+Z137+AA137)/AA271,""),"")</f>
        <v>0.0696864869071064</v>
      </c>
      <c r="AB368" s="258">
        <f>IFERROR(IF(AND(COUNT(X137,Y137,Z137,AA137)=4,N(AB271)&lt;&gt;0),(X137+Y137+Z137+AA137)/AB271,""),"")</f>
        <v>0.0696864869071064</v>
      </c>
      <c r="AC368" s="257">
        <f>IFERROR(IF(AND(COUNT(Y137,Z137,AA137,AC137)=4,N(AC271)&lt;&gt;0),(Y137+Z137+AA137+AC137)/AC271,""),"")</f>
        <v>0.0333580753613064</v>
      </c>
      <c r="AD368" s="257">
        <f>IFERROR(IF(AND(COUNT(Z137,AA137,AC137,AD137)=4,N(AD271)&lt;&gt;0),(Z137+AA137+AC137+AD137)/AD271,""),"")</f>
        <v>0.0292984577624759</v>
      </c>
      <c r="AE368" s="257">
        <f>IFERROR(IF(AND(COUNT(AA137,AC137,AD137,AE137)=4,N(AE271)&lt;&gt;0),(AA137+AC137+AD137+AE137)/AE271,""),"")</f>
        <v>0.0197863471851706</v>
      </c>
      <c r="AF368" s="257">
        <f>IFERROR(IF(AND(COUNT(AB137,AD137,AE137,AF137)=4,N(AF271)&lt;&gt;0),(AB137+AD137+AE137+AF137)/AF271,""),"")</f>
        <v>0.0820816982322541</v>
      </c>
      <c r="AG368" s="258">
        <f>IFERROR(IF(AND(COUNT(AC137,AD137,AE137,AF137)=4,N(AG271)&lt;&gt;0),(AC137+AD137+AE137+AF137)/AG271,""),"")</f>
        <v>0.038760354387012</v>
      </c>
      <c r="AH368" s="257">
        <f>IFERROR(IF(AND(COUNT(AD137,AF137,AG137,AH137)=4,N(AH271)&lt;&gt;0),(AD137+AF137+AG137+AH137)/AH271,""),"")</f>
        <v>0.0776056414118785</v>
      </c>
      <c r="AI368" s="257">
        <f>IFERROR(IF(AND(COUNT(AE137,AG137,AH137,AI137)=4,N(AI271)&lt;&gt;0),(AE137+AG137+AH137+AI137)/AI271,""),"")</f>
        <v>0.0173380371789112</v>
      </c>
      <c r="AJ368" s="257">
        <f>IFERROR(IF(AND(COUNT(AF137,AH137,AI137,AJ137)=4,N(AJ271)&lt;&gt;0),(AF137+AH137+AI137+AJ137)/AJ271,""),"")</f>
        <v>-0.107889415139331</v>
      </c>
      <c r="AK368" s="257">
        <f>IFERROR(IF(AND(COUNT(AH137,AI137,AJ137,AK137)=4,N(AK271)&lt;&gt;0),(AH137+AI137+AJ137+AK137)/AK271,""),"")</f>
        <v>-0.245003619725073</v>
      </c>
      <c r="AL368" s="258">
        <f>IFERROR(IF(AND(COUNT(AH137,AI137,AJ137,AK137)=4,N(AL271)&lt;&gt;0),(AH137+AI137+AJ137+AK137)/AL271,""),"")</f>
        <v>-0.245003619725073</v>
      </c>
      <c r="AM368" s="257">
        <f>IFERROR(IF(AND(COUNT(AI137,AJ137,AK137,AM137)=4,N(AM271)&lt;&gt;0),(AI137+AJ137+AK137+AM137)/AM271,""),"")</f>
        <v>-0.469674273911171</v>
      </c>
      <c r="AN368" s="257">
        <f>IFERROR(IF(AND(COUNT(AJ137,AK137,AM137,AN137)=4,N(AN271)&lt;&gt;0),(AJ137+AK137+AM137+AN137)/AN271,""),"")</f>
        <v>-1.19400948273352</v>
      </c>
      <c r="AO368" s="257">
        <f>IFERROR(IF(AND(COUNT(AK137,AM137,AN137,AO137)=4,N(AO271)&lt;&gt;0),(AK137+AM137+AN137+AO137)/AO271,""),"")</f>
        <v>-1.86756185527665</v>
      </c>
      <c r="AP368" s="257">
        <f>IFERROR(IF(AND(COUNT(AM137,AN137,AO137,AP137)=4,N(AP271)&lt;&gt;0),(AM137+AN137+AO137+AP137)/AP271,""),"")</f>
        <v>-3.48034063115064</v>
      </c>
      <c r="AQ368" s="258">
        <f>IFERROR(IF(AND(COUNT(AM137,AN137,AO137,AP137)=4,N(AQ271)&lt;&gt;0),(AM137+AN137+AO137+AP137)/AQ271,""),"")</f>
        <v>-3.48034063115065</v>
      </c>
      <c r="AR368" s="257">
        <f>IFERROR(IF(AND(COUNT(AN137,AO137,AP137,AR137)=4,N(AR271)&lt;&gt;0),(AN137+AO137+AP137+AR137)/AR271,""),"")</f>
        <v>-57.8237007706491</v>
      </c>
      <c r="AS368" s="257">
        <f>IFERROR(IF(AND(COUNT(AO137,AP137,AR137,AS137)=4,N(AS271)&lt;&gt;0),(AO137+AP137+AR137+AS137)/AS271,""),"")</f>
        <v>2.50240799012539</v>
      </c>
      <c r="AT368" s="257">
        <f>IFERROR(IF(AND(COUNT(AP137,AR137,AS137,AT137)=4,N(AT271)&lt;&gt;0),(AP137+AR137+AS137+AT137)/AT271,""),"")</f>
        <v>1.62370832809647</v>
      </c>
      <c r="AU368" s="257">
        <f>IFERROR(IF(AND(COUNT(AR137,AS137,AT137,AU137)=4,N(AU271)&lt;&gt;0),(AR137+AS137+AT137+AU137)/AU271,""),"")</f>
        <v>1.25983380223279</v>
      </c>
      <c r="AV368" s="258">
        <f>IFERROR(IF(AND(COUNT(AR137,AS137,AT137,AU137)=4,N(AV271)&lt;&gt;0),(AR137+AS137+AT137+AU137)/AV271,""),"")</f>
        <v>1.25983380223279</v>
      </c>
      <c r="AW368" s="257">
        <f>IFERROR(IF(AND(COUNT(AS137,AT137,AU137,AW137)=4,N(AW271)&lt;&gt;0),(AS137+AT137+AU137+AW137)/AW271,""),"")</f>
        <v>1.01258106971371</v>
      </c>
      <c r="AX368" s="257">
        <f>IFERROR(IF(AND(COUNT(AT137,AU137,AW137,AX137)=4,N(AX271)&lt;&gt;0),(AT137+AU137+AW137+AX137)/AX271,""),"")</f>
        <v>0.776699137335899</v>
      </c>
      <c r="AY368" s="257">
        <f>IFERROR(IF(AND(COUNT(AU137,AW137,AX137,AY137)=4,N(AY271)&lt;&gt;0),(AU137+AW137+AX137+AY137)/AY271,""),"")</f>
        <v>0.692806385936069</v>
      </c>
      <c r="AZ368" s="257">
        <f>IFERROR(IF(AND(COUNT(AW137,AX137,AY137,AZ137)=4,N(AZ271)&lt;&gt;0),(AW137+AX137+AY137+AZ137)/AZ271,""),"")</f>
        <v>0.636208875283133</v>
      </c>
      <c r="BA368" s="258">
        <f>IFERROR(IF(AND(COUNT(AW137,AX137,AY137,AZ137)=4,N(BA271)&lt;&gt;0),(AW137+AX137+AY137+AZ137)/BA271,""),"")</f>
        <v>0.636208875283133</v>
      </c>
      <c r="BB368" s="257">
        <f>IFERROR(IF(AND(COUNT(AX137,AY137,AZ137,BB137)=4,N(BB271)&lt;&gt;0),(AX137+AY137+AZ137+BB137)/BB271,""),"")</f>
        <v>0.584086592577577</v>
      </c>
      <c r="BC368" s="257">
        <f>IFERROR(IF(AND(COUNT(AY137,AZ137,BB137,BC137)=4,N(BC271)&lt;&gt;0),(AY137+AZ137+BB137+BC137)/BC271,""),"")</f>
        <v>0.518236077006166</v>
      </c>
      <c r="BD368" s="257">
        <f>IFERROR(IF(AND(COUNT(AZ137,BB137,BC137,BD137)=4,N(BD271)&lt;&gt;0),(AZ137+BB137+BC137+BD137)/BD271,""),"")</f>
        <v>0.489489180118977</v>
      </c>
      <c r="BE368" s="257">
        <f>IFERROR(IF(AND(COUNT(BB137,BC137,BD137,BE137)=4,N(BE271)&lt;&gt;0),(BB137+BC137+BD137+BE137)/BE271,""),"")</f>
        <v>0.468076102536701</v>
      </c>
      <c r="BF368" s="258">
        <f>IFERROR(IF(AND(COUNT(BB137,BC137,BD137,BE137)=4,N(BF271)&lt;&gt;0),(BB137+BC137+BD137+BE137)/BF271,""),"")</f>
        <v>0.468076102536701</v>
      </c>
      <c r="BG368" s="81" t="n"/>
      <c r="BH368" s="81" t="n"/>
      <c r="BI368" s="81" t="n"/>
      <c r="BJ368" s="81" t="n"/>
      <c r="BL368" s="81" t="n"/>
      <c r="BM368" s="81" t="n"/>
      <c r="BN368" s="81" t="n"/>
      <c r="BO368" s="81" t="n"/>
      <c r="BQ368" s="81" t="n"/>
      <c r="BR368" s="81" t="n"/>
      <c r="BS368" s="81" t="n"/>
      <c r="BT368" s="81" t="n"/>
      <c r="BV368" s="81" t="n"/>
      <c r="BW368" s="81" t="n"/>
      <c r="BX368" s="81" t="n"/>
      <c r="BY368" s="81" t="n"/>
      <c r="CA368" s="81" t="n"/>
      <c r="CB368" s="81" t="n"/>
      <c r="CC368" s="81" t="n"/>
      <c r="CD368" s="81" t="n"/>
      <c r="CF368" s="81" t="n"/>
      <c r="CG368" s="81" t="n"/>
      <c r="CH368" s="81" t="n"/>
      <c r="CI368" s="81" t="n"/>
      <c r="CK368" s="81" t="n"/>
      <c r="CL368" s="81" t="n"/>
      <c r="CM368" s="81" t="n"/>
      <c r="CN368" s="81" t="n"/>
      <c r="CP368" s="81" t="n"/>
      <c r="CQ368" s="81" t="n"/>
      <c r="CR368" s="81" t="n"/>
      <c r="CS368" s="81" t="n"/>
      <c r="CU368" s="81" t="n"/>
      <c r="CV368" s="81" t="n"/>
      <c r="CW368" s="81" t="n"/>
      <c r="CX368" s="81" t="n"/>
    </row>
    <row r="369"/>
    <row r="370">
      <c r="C370" s="73" t="inlineStr">
        <is>
          <t>Scenario Analysis</t>
        </is>
      </c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  <c r="N370" s="73" t="n"/>
      <c r="O370" s="73" t="n"/>
      <c r="P370" s="73" t="n"/>
      <c r="Q370" s="73" t="n"/>
      <c r="R370" s="73" t="n"/>
      <c r="S370" s="73" t="n"/>
      <c r="T370" s="73" t="n"/>
      <c r="U370" s="73" t="n"/>
      <c r="V370" s="73" t="n"/>
      <c r="W370" s="73" t="n"/>
      <c r="X370" s="73" t="n"/>
      <c r="Y370" s="73" t="n"/>
      <c r="Z370" s="73" t="n"/>
      <c r="AA370" s="73" t="n"/>
      <c r="AB370" s="73" t="n"/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73" t="n"/>
      <c r="BR370" s="73" t="n"/>
      <c r="BS370" s="73" t="n"/>
      <c r="BT370" s="73" t="n"/>
      <c r="BU370" s="73" t="n"/>
      <c r="BV370" s="73" t="n"/>
      <c r="BW370" s="73" t="n"/>
      <c r="BX370" s="73" t="n"/>
      <c r="BY370" s="73" t="n"/>
      <c r="BZ370" s="73" t="n"/>
      <c r="CA370" s="73" t="n"/>
      <c r="CB370" s="73" t="n"/>
      <c r="CC370" s="73" t="n"/>
      <c r="CD370" s="73" t="n"/>
      <c r="CE370" s="73" t="n"/>
      <c r="CF370" s="73" t="n"/>
      <c r="CG370" s="73" t="n"/>
      <c r="CH370" s="73" t="n"/>
      <c r="CI370" s="73" t="n"/>
      <c r="CJ370" s="73" t="n"/>
      <c r="CK370" s="73" t="n"/>
      <c r="CL370" s="73" t="n"/>
      <c r="CM370" s="73" t="n"/>
      <c r="CN370" s="73" t="n"/>
      <c r="CO370" s="73" t="n"/>
      <c r="CP370" s="73" t="n"/>
      <c r="CQ370" s="73" t="n"/>
      <c r="CR370" s="73" t="n"/>
      <c r="CS370" s="73" t="n"/>
      <c r="CT370" s="73" t="n"/>
      <c r="CU370" s="73" t="n"/>
      <c r="CV370" s="73" t="n"/>
      <c r="CW370" s="73" t="n"/>
      <c r="CX370" s="73" t="n"/>
      <c r="CY370" s="73" t="n"/>
    </row>
    <row r="371"/>
    <row r="372"/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6"/>
    <row r="377"/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1"/>
    <row r="382"/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7"/>
    <row r="388"/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5:G315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5:L315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5:Q315">
    <cfRule type="cellIs" priority="22" operator="notEqual" dxfId="0">
      <formula>0</formula>
    </cfRule>
  </conditionalFormatting>
  <conditionalFormatting sqref="S315:V315">
    <cfRule type="cellIs" priority="21" operator="notEqual" dxfId="0">
      <formula>0</formula>
    </cfRule>
  </conditionalFormatting>
  <conditionalFormatting sqref="X315:AA315">
    <cfRule type="cellIs" priority="20" operator="notEqual" dxfId="0">
      <formula>0</formula>
    </cfRule>
  </conditionalFormatting>
  <conditionalFormatting sqref="AC315:AF315">
    <cfRule type="cellIs" priority="19" operator="notEqual" dxfId="0">
      <formula>0</formula>
    </cfRule>
  </conditionalFormatting>
  <conditionalFormatting sqref="AH315:AK315">
    <cfRule type="cellIs" priority="15" operator="notEqual" dxfId="0">
      <formula>0</formula>
    </cfRule>
  </conditionalFormatting>
  <conditionalFormatting sqref="AM315:AP315">
    <cfRule type="cellIs" priority="14" operator="notEqual" dxfId="0">
      <formula>0</formula>
    </cfRule>
  </conditionalFormatting>
  <conditionalFormatting sqref="AR315:AU315">
    <cfRule type="cellIs" priority="13" operator="notEqual" dxfId="0">
      <formula>0</formula>
    </cfRule>
  </conditionalFormatting>
  <conditionalFormatting sqref="AW315:AZ315">
    <cfRule type="cellIs" priority="12" operator="notEqual" dxfId="0">
      <formula>0</formula>
    </cfRule>
  </conditionalFormatting>
  <conditionalFormatting sqref="BB315:BE315">
    <cfRule type="cellIs" priority="11" operator="notEqual" dxfId="0">
      <formula>0</formula>
    </cfRule>
  </conditionalFormatting>
  <conditionalFormatting sqref="BG315:BJ315">
    <cfRule type="cellIs" priority="10" operator="notEqual" dxfId="0">
      <formula>0</formula>
    </cfRule>
  </conditionalFormatting>
  <conditionalFormatting sqref="BL315:BO315">
    <cfRule type="cellIs" priority="9" operator="notEqual" dxfId="0">
      <formula>0</formula>
    </cfRule>
  </conditionalFormatting>
  <conditionalFormatting sqref="BQ315:BT315">
    <cfRule type="cellIs" priority="8" operator="notEqual" dxfId="0">
      <formula>0</formula>
    </cfRule>
  </conditionalFormatting>
  <conditionalFormatting sqref="BV315:BY315">
    <cfRule type="cellIs" priority="7" operator="notEqual" dxfId="0">
      <formula>0</formula>
    </cfRule>
  </conditionalFormatting>
  <conditionalFormatting sqref="CA315:CD315">
    <cfRule type="cellIs" priority="6" operator="notEqual" dxfId="0">
      <formula>0</formula>
    </cfRule>
  </conditionalFormatting>
  <conditionalFormatting sqref="CF315:CI315">
    <cfRule type="cellIs" priority="5" operator="notEqual" dxfId="0">
      <formula>0</formula>
    </cfRule>
  </conditionalFormatting>
  <conditionalFormatting sqref="CK315:CN315">
    <cfRule type="cellIs" priority="4" operator="notEqual" dxfId="0">
      <formula>0</formula>
    </cfRule>
  </conditionalFormatting>
  <conditionalFormatting sqref="CP315:CS315">
    <cfRule type="cellIs" priority="3" operator="notEqual" dxfId="0">
      <formula>0</formula>
    </cfRule>
  </conditionalFormatting>
  <conditionalFormatting sqref="CU315:CX315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ORVR3) - fonte: Dados Abertos CVM (dados.cvm.gov.br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776.276</v>
      </c>
      <c r="E18" s="113">
        <f>IFERROR(Model!AB15,"")</f>
        <v>903.473</v>
      </c>
      <c r="F18" s="113">
        <f>IFERROR(Model!AG15,"")</f>
        <v>1050.34</v>
      </c>
      <c r="G18" s="113">
        <f>IFERROR(Model!AL15,"")</f>
        <v>1716.40214689194</v>
      </c>
      <c r="H18" s="113">
        <f>IFERROR(Model!AQ15,"")</f>
        <v>2399.7765235547</v>
      </c>
      <c r="I18" s="113">
        <f>IFERROR(Model!AV15,"")</f>
        <v>3343.23309109688</v>
      </c>
      <c r="J18" s="113">
        <f>IFERROR(Model!BA15,"")</f>
        <v>4640.88732040943</v>
      </c>
      <c r="K18" s="113">
        <f>IFERROR(Model!BF15,"")</f>
        <v>6419.01318145543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0.163855381333443</v>
      </c>
      <c r="F19" s="117">
        <f>IFERROR(IF(E18=0,"",F18/E18-1),"")</f>
        <v>0.162558261287277</v>
      </c>
      <c r="G19" s="117">
        <f>IFERROR(IF(F18=0,"",G18/F18-1),"")</f>
        <v>0.634139561372448</v>
      </c>
      <c r="H19" s="117">
        <f>IFERROR(IF(G18=0,"",H18/G18-1),"")</f>
        <v>0.398143510773522</v>
      </c>
      <c r="I19" s="117">
        <f>IFERROR(IF(H18=0,"",I18/H18-1),"")</f>
        <v>0.393143510773522</v>
      </c>
      <c r="J19" s="117">
        <f>IFERROR(IF(I18=0,"",J18/I18-1),"")</f>
        <v>0.388143510773522</v>
      </c>
      <c r="K19" s="117">
        <f>IFERROR(IF(J18=0,"",K18/J18-1),"")</f>
        <v>0.383143510773522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IFERROR(Model!W69,"")</f>
        <v>344.32</v>
      </c>
      <c r="E20" s="113">
        <f>IFERROR(Model!AB69,"")</f>
        <v>414.398</v>
      </c>
      <c r="F20" s="113">
        <f>IFERROR(Model!AG69,"")</f>
        <v>484.314</v>
      </c>
      <c r="G20" s="113">
        <f>IFERROR(Model!AL69,"")</f>
        <v>611.477713275021</v>
      </c>
      <c r="H20" s="113">
        <f>IFERROR(Model!AQ69,"")</f>
        <v>1003.01163904835</v>
      </c>
      <c r="I20" s="113">
        <f>IFERROR(Model!AV69,"")</f>
        <v>1397.33915617052</v>
      </c>
      <c r="J20" s="113">
        <f>IFERROR(Model!BA69,"")</f>
        <v>1939.70728198786</v>
      </c>
      <c r="K20" s="113">
        <f>IFERROR(Model!BF69,"")</f>
        <v>2682.89353988165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0.443553581458141</v>
      </c>
      <c r="E21" s="122">
        <f>IFERROR(IF(E18=0,"",E20/E18),"")</f>
        <v>0.458672256946251</v>
      </c>
      <c r="F21" s="122">
        <f>IFERROR(IF(F18=0,"",F20/F18),"")</f>
        <v>0.461102119313746</v>
      </c>
      <c r="G21" s="122">
        <f>IFERROR(IF(G18=0,"",G20/G18),"")</f>
        <v>0.356255504796638</v>
      </c>
      <c r="H21" s="122">
        <f>IFERROR(IF(H18=0,"",H20/H18),"")</f>
        <v>0.417960434733574</v>
      </c>
      <c r="I21" s="122">
        <f>IFERROR(IF(I18=0,"",I20/I18),"")</f>
        <v>0.417960434733574</v>
      </c>
      <c r="J21" s="122">
        <f>IFERROR(IF(J18=0,"",J20/J18),"")</f>
        <v>0.417960434733574</v>
      </c>
      <c r="K21" s="122">
        <f>IFERROR(IF(K18=0,"",K20/K18),"")</f>
        <v>0.417960434733574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IFERROR(Model!W73,"")</f>
        <v>178.66</v>
      </c>
      <c r="E22" s="113">
        <f>IFERROR(Model!AB73,"")</f>
        <v>258.431</v>
      </c>
      <c r="F22" s="113">
        <f>IFERROR(Model!AG73,"")</f>
        <v>303.136</v>
      </c>
      <c r="G22" s="113">
        <f>IFERROR(Model!AL73,"")</f>
        <v>382.530911456894</v>
      </c>
      <c r="H22" s="113">
        <f>IFERROR(Model!AQ73,"")</f>
        <v>626.388828844101</v>
      </c>
      <c r="I22" s="113">
        <f>IFERROR(Model!AV73,"")</f>
        <v>872.649532125185</v>
      </c>
      <c r="J22" s="113">
        <f>IFERROR(Model!BA73,"")</f>
        <v>1211.36278519913</v>
      </c>
      <c r="K22" s="113">
        <f>IFERROR(Model!BF73,"")</f>
        <v>1675.48857554071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0.230150101252647</v>
      </c>
      <c r="E23" s="122">
        <f>IFERROR(IF(E18=0,"",E22/E18),"")</f>
        <v>0.28604175221617</v>
      </c>
      <c r="F23" s="122">
        <f>IFERROR(IF(F18=0,"",F22/F18),"")</f>
        <v>0.288607498524287</v>
      </c>
      <c r="G23" s="122">
        <f>IFERROR(IF(G18=0,"",G22/G18),"")</f>
        <v>0.222867882185758</v>
      </c>
      <c r="H23" s="122">
        <f>IFERROR(IF(H18=0,"",H22/H18),"")</f>
        <v>0.261019650244871</v>
      </c>
      <c r="I23" s="122">
        <f>IFERROR(IF(I18=0,"",I22/I18),"")</f>
        <v>0.261019650244871</v>
      </c>
      <c r="J23" s="122">
        <f>IFERROR(IF(J18=0,"",J22/J18),"")</f>
        <v>0.261019650244871</v>
      </c>
      <c r="K23" s="122">
        <f>IFERROR(IF(K18=0,"",K22/K18),"")</f>
        <v>0.261019650244871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IFERROR(Model!W132,"")</f>
        <v>0.346648623362737</v>
      </c>
      <c r="E24" s="125">
        <f>IFERROR(Model!AB132,"")</f>
        <v>0.317952110972953</v>
      </c>
      <c r="F24" s="125">
        <f>IFERROR(Model!AG132,"")</f>
        <v>0.254369600461945</v>
      </c>
      <c r="G24" s="125">
        <f>IFERROR(Model!AL132,"")</f>
        <v>3.93077505176898</v>
      </c>
      <c r="H24" s="125">
        <f>IFERROR(Model!AQ132,"")</f>
        <v>4.92485061979505</v>
      </c>
      <c r="I24" s="125">
        <f>IFERROR(Model!AV132,"")</f>
        <v>4.92485061979505</v>
      </c>
      <c r="J24" s="125">
        <f>IFERROR(Model!BA132,"")</f>
        <v>4.92485061979505</v>
      </c>
      <c r="K24" s="125">
        <f>IFERROR(Model!BF132,"")</f>
        <v>4.92485061979505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116.727756950013</v>
      </c>
      <c r="E25" s="127">
        <f>IFERROR(E22*(1-E24),"")</f>
        <v>176.262318009149</v>
      </c>
      <c r="F25" s="127">
        <f>IFERROR(F22*(1-F24),"")</f>
        <v>226.027416794368</v>
      </c>
      <c r="G25" s="127">
        <f>IFERROR(G22*(1-G24),"")</f>
        <v>-1121.11205182831</v>
      </c>
      <c r="H25" s="127">
        <f>IFERROR(H22*(1-H24),"")</f>
        <v>-2458.48258312146</v>
      </c>
      <c r="I25" s="127">
        <f>IFERROR(I22*(1-I24),"")</f>
        <v>-3425.01905702539</v>
      </c>
      <c r="J25" s="127">
        <f>IFERROR(J22*(1-J24),"")</f>
        <v>-4754.41797828544</v>
      </c>
      <c r="K25" s="127">
        <f>IFERROR(K22*(1-K24),"")</f>
        <v>-6576.04237417048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IFERROR(-Model!W70,"")</f>
        <v>165.66</v>
      </c>
      <c r="E26" s="130">
        <f>IFERROR(-Model!AB70,"")</f>
        <v>155.967</v>
      </c>
      <c r="F26" s="130">
        <f>IFERROR(-Model!AG70,"")</f>
        <v>181.178</v>
      </c>
      <c r="G26" s="130">
        <f>IFERROR(-Model!AL70,"")</f>
        <v>228.946801818127</v>
      </c>
      <c r="H26" s="130">
        <f>IFERROR(-Model!AQ70,"")</f>
        <v>376.622810204248</v>
      </c>
      <c r="I26" s="130">
        <f>IFERROR(-Model!AV70,"")</f>
        <v>524.689624045337</v>
      </c>
      <c r="J26" s="130">
        <f>IFERROR(-Model!BA70,"")</f>
        <v>728.344496788733</v>
      </c>
      <c r="K26" s="130">
        <f>IFERROR(-Model!BF70,"")</f>
        <v>1007.40496434094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IFERROR(Model!W279,"")</f>
        <v>-39.649</v>
      </c>
      <c r="E27" s="133">
        <f>IFERROR(Model!AB279,"")</f>
        <v>8.55800000000001</v>
      </c>
      <c r="F27" s="133">
        <f>IFERROR(Model!AG279,"")</f>
        <v>-11.327</v>
      </c>
      <c r="G27" s="133">
        <f>IFERROR(Model!AL279,"")</f>
        <v>857.442065658054</v>
      </c>
      <c r="H27" s="133">
        <f>IFERROR(Model!AQ279,"")</f>
        <v>1752.88849119141</v>
      </c>
      <c r="I27" s="133">
        <f>IFERROR(Model!AV279,"")</f>
        <v>6719.72061114129</v>
      </c>
      <c r="J27" s="133">
        <f>IFERROR(Model!BA279,"")</f>
        <v>25023.9834098275</v>
      </c>
      <c r="K27" s="133">
        <f>IFERROR(Model!BF279,"")</f>
        <v>91368.6295893142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IFERROR(Model!W280,"")</f>
        <v>74.729</v>
      </c>
      <c r="E28" s="136">
        <f>IFERROR(Model!AB280,"")</f>
        <v>-10.12</v>
      </c>
      <c r="F28" s="136">
        <f>IFERROR(Model!AG280,"")</f>
        <v>-87.406</v>
      </c>
      <c r="G28" s="136">
        <f>IFERROR(Model!AL280,"")</f>
        <v>-84.1112539817825</v>
      </c>
      <c r="H28" s="136">
        <f>IFERROR(Model!AQ280,"")</f>
        <v>-145.642988079707</v>
      </c>
      <c r="I28" s="136">
        <f>IFERROR(Model!AV280,"")</f>
        <v>-201.072557463</v>
      </c>
      <c r="J28" s="136">
        <f>IFERROR(Model!BA280,"")</f>
        <v>-276.560324626592</v>
      </c>
      <c r="K28" s="136">
        <f>IFERROR(Model!BF280,"")</f>
        <v>-378.960014347067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IFERROR(Model!W281,"")</f>
        <v>0</v>
      </c>
      <c r="E29" s="136">
        <f>IFERROR(Model!AB281,"")</f>
        <v>0</v>
      </c>
      <c r="F29" s="136">
        <f>IFERROR(Model!AG281,"")</f>
        <v>0</v>
      </c>
      <c r="G29" s="136">
        <f>IFERROR(Model!AL281,"")</f>
        <v>0</v>
      </c>
      <c r="H29" s="136">
        <f>IFERROR(Model!AQ281,"")</f>
        <v>0</v>
      </c>
      <c r="I29" s="136">
        <f>IFERROR(Model!AV281,"")</f>
        <v>0</v>
      </c>
      <c r="J29" s="136">
        <f>IFERROR(Model!BA281,"")</f>
        <v>0</v>
      </c>
      <c r="K29" s="136">
        <f>IFERROR(Model!BF281,"")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IFERROR(Model!W282,"")</f>
        <v>-23.197</v>
      </c>
      <c r="E30" s="136">
        <f>IFERROR(Model!AB282,"")</f>
        <v>-3.68599999999999</v>
      </c>
      <c r="F30" s="136">
        <f>IFERROR(Model!AG282,"")</f>
        <v>-2.352</v>
      </c>
      <c r="G30" s="136">
        <f>IFERROR(Model!AL282,"")</f>
        <v>-3.02</v>
      </c>
      <c r="H30" s="136">
        <f>IFERROR(Model!AQ282,"")</f>
        <v>0</v>
      </c>
      <c r="I30" s="136">
        <f>IFERROR(Model!AV282,"")</f>
        <v>0</v>
      </c>
      <c r="J30" s="136">
        <f>IFERROR(Model!BA282,"")</f>
        <v>0</v>
      </c>
      <c r="K30" s="136">
        <f>IFERROR(Model!BF282,"")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IFERROR(Model!W283,"")</f>
        <v>11.218</v>
      </c>
      <c r="E31" s="136">
        <f>IFERROR(Model!AB283,"")</f>
        <v>-9.31799999999999</v>
      </c>
      <c r="F31" s="136">
        <f>IFERROR(Model!AG283,"")</f>
        <v>-9.30800000000001</v>
      </c>
      <c r="G31" s="136">
        <f>IFERROR(Model!AL283,"")</f>
        <v>-127.134</v>
      </c>
      <c r="H31" s="136">
        <f>IFERROR(Model!AQ283,"")</f>
        <v>0</v>
      </c>
      <c r="I31" s="136">
        <f>IFERROR(Model!AV283,"")</f>
        <v>0</v>
      </c>
      <c r="J31" s="136">
        <f>IFERROR(Model!BA283,"")</f>
        <v>0</v>
      </c>
      <c r="K31" s="136">
        <f>IFERROR(Model!BF283,"")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IFERROR(Model!W284,"")</f>
        <v>-16.135</v>
      </c>
      <c r="E32" s="136">
        <f>IFERROR(Model!AB284,"")</f>
        <v>-20.885</v>
      </c>
      <c r="F32" s="136">
        <f>IFERROR(Model!AG284,"")</f>
        <v>-16.239</v>
      </c>
      <c r="G32" s="136">
        <f>IFERROR(Model!AL284,"")</f>
        <v>-163.651</v>
      </c>
      <c r="H32" s="136">
        <f>IFERROR(Model!AQ284,"")</f>
        <v>0</v>
      </c>
      <c r="I32" s="136">
        <f>IFERROR(Model!AV284,"")</f>
        <v>0</v>
      </c>
      <c r="J32" s="136">
        <f>IFERROR(Model!BA284,"")</f>
        <v>0</v>
      </c>
      <c r="K32" s="136">
        <f>IFERROR(Model!BF284,"")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IFERROR(Model!W285,"")</f>
        <v>-6.288</v>
      </c>
      <c r="E33" s="136">
        <f>IFERROR(Model!AB285,"")</f>
        <v>47.19</v>
      </c>
      <c r="F33" s="136">
        <f>IFERROR(Model!AG285,"")</f>
        <v>39.065</v>
      </c>
      <c r="G33" s="136">
        <f>IFERROR(Model!AL285,"")</f>
        <v>60.2631960366389</v>
      </c>
      <c r="H33" s="136">
        <f>IFERROR(Model!AQ285,"")</f>
        <v>82.0379465891107</v>
      </c>
      <c r="I33" s="136">
        <f>IFERROR(Model!AV285,"")</f>
        <v>113.260376947621</v>
      </c>
      <c r="J33" s="136">
        <f>IFERROR(Model!BA285,"")</f>
        <v>155.781211574475</v>
      </c>
      <c r="K33" s="136">
        <f>IFERROR(Model!BF285,"")</f>
        <v>213.461024291805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IFERROR(Model!W286,"")</f>
        <v>0.399000000000001</v>
      </c>
      <c r="E34" s="136">
        <f>IFERROR(Model!AB286,"")</f>
        <v>6.845</v>
      </c>
      <c r="F34" s="136">
        <f>IFERROR(Model!AG286,"")</f>
        <v>-0.199000000000005</v>
      </c>
      <c r="G34" s="136">
        <f>IFERROR(Model!AL286,"")</f>
        <v>397.435973315045</v>
      </c>
      <c r="H34" s="136">
        <f>IFERROR(Model!AQ286,"")</f>
        <v>1211.25305610642</v>
      </c>
      <c r="I34" s="136">
        <f>IFERROR(Model!AV286,"")</f>
        <v>4539.31971134757</v>
      </c>
      <c r="J34" s="136">
        <f>IFERROR(Model!BA286,"")</f>
        <v>16766.7376200011</v>
      </c>
      <c r="K34" s="136">
        <f>IFERROR(Model!BF286,"")</f>
        <v>61035.7212866599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IFERROR(Model!W287,"")</f>
        <v>-10.446</v>
      </c>
      <c r="E35" s="136">
        <f>IFERROR(Model!AB287,"")</f>
        <v>11.318</v>
      </c>
      <c r="F35" s="136">
        <f>IFERROR(Model!AG287,"")</f>
        <v>-9.752</v>
      </c>
      <c r="G35" s="136">
        <f>IFERROR(Model!AL287,"")</f>
        <v>156.831150288152</v>
      </c>
      <c r="H35" s="136">
        <f>IFERROR(Model!AQ287,"")</f>
        <v>605.240476575586</v>
      </c>
      <c r="I35" s="136">
        <f>IFERROR(Model!AV287,"")</f>
        <v>2268.2130803091</v>
      </c>
      <c r="J35" s="136">
        <f>IFERROR(Model!BA287,"")</f>
        <v>8378.02490287852</v>
      </c>
      <c r="K35" s="136">
        <f>IFERROR(Model!BF287,"")</f>
        <v>30498.4072927095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IFERROR(Model!W288,"")</f>
        <v>-69.929</v>
      </c>
      <c r="E36" s="136">
        <f>IFERROR(Model!AB288,"")</f>
        <v>-12.327</v>
      </c>
      <c r="F36" s="136">
        <f>IFERROR(Model!AG288,"")</f>
        <v>75.816</v>
      </c>
      <c r="G36" s="136">
        <f>IFERROR(Model!AL288,"")</f>
        <v>26.27</v>
      </c>
      <c r="H36" s="136">
        <f>IFERROR(Model!AQ288,"")</f>
        <v>0</v>
      </c>
      <c r="I36" s="136">
        <f>IFERROR(Model!AV288,"")</f>
        <v>0</v>
      </c>
      <c r="J36" s="136">
        <f>IFERROR(Model!BA288,"")</f>
        <v>0</v>
      </c>
      <c r="K36" s="136">
        <f>IFERROR(Model!BF288,"")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IFERROR(Model!W289,"")</f>
        <v>0</v>
      </c>
      <c r="E37" s="136">
        <f>IFERROR(Model!AB289,"")</f>
        <v>-0.459</v>
      </c>
      <c r="F37" s="136">
        <f>IFERROR(Model!AG289,"")</f>
        <v>-0.952</v>
      </c>
      <c r="G37" s="136">
        <f>IFERROR(Model!AL289,"")</f>
        <v>594.558</v>
      </c>
      <c r="H37" s="136">
        <f>IFERROR(Model!AQ289,"")</f>
        <v>0</v>
      </c>
      <c r="I37" s="136">
        <f>IFERROR(Model!AV289,"")</f>
        <v>0</v>
      </c>
      <c r="J37" s="136">
        <f>IFERROR(Model!BA289,"")</f>
        <v>0</v>
      </c>
      <c r="K37" s="136">
        <f>IFERROR(Model!BF289,"")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IFERROR((Model!W189-Model!R189)*-1,"")</f>
        <v>-24.505</v>
      </c>
      <c r="E38" s="136">
        <f>IFERROR((Model!AB189-Model!W189)*-1,"")</f>
        <v>-56.834</v>
      </c>
      <c r="F38" s="136">
        <f>IFERROR((Model!AG189-Model!AB189)*-1,"")</f>
        <v>34.616</v>
      </c>
      <c r="G38" s="136">
        <f>IFERROR((Model!AL189-Model!AG189)*-1,"")</f>
        <v>-979.717</v>
      </c>
      <c r="H38" s="136">
        <f>IFERROR((Model!AQ189-Model!AL189)*-1,"")</f>
        <v>0</v>
      </c>
      <c r="I38" s="136">
        <f>IFERROR((Model!AV189-Model!AQ189)*-1,"")</f>
        <v>0</v>
      </c>
      <c r="J38" s="136">
        <f>IFERROR((Model!BA189-Model!AV189)*-1,"")</f>
        <v>0</v>
      </c>
      <c r="K38" s="136">
        <f>IFERROR((Model!BF189-Model!BA189)*-1,"")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IFERROR(Model!W240-Model!R240,"")</f>
        <v>5.57599999999999</v>
      </c>
      <c r="E39" s="136">
        <f>IFERROR(Model!AB240-Model!W240,"")</f>
        <v>92.785</v>
      </c>
      <c r="F39" s="136">
        <f>IFERROR(Model!AG240-Model!AB240,"")</f>
        <v>-73.487</v>
      </c>
      <c r="G39" s="136">
        <f>IFERROR(Model!AL240-Model!AG240,"")</f>
        <v>594.424</v>
      </c>
      <c r="H39" s="136">
        <f>IFERROR(Model!AQ240-Model!AL240,"")</f>
        <v>0</v>
      </c>
      <c r="I39" s="136">
        <f>IFERROR(Model!AV240-Model!AQ240,"")</f>
        <v>0</v>
      </c>
      <c r="J39" s="136">
        <f>IFERROR(Model!BA240-Model!AV240,"")</f>
        <v>0</v>
      </c>
      <c r="K39" s="136">
        <f>IFERROR(Model!BF240-Model!BA240,"")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IFERROR(Model!W295,"")</f>
        <v>-301.348</v>
      </c>
      <c r="E40" s="136">
        <f>IFERROR(Model!AB295,"")</f>
        <v>-791.469</v>
      </c>
      <c r="F40" s="136">
        <f>IFERROR(Model!AG295,"")</f>
        <v>-695.434</v>
      </c>
      <c r="G40" s="136">
        <f>IFERROR(Model!AL295,"")</f>
        <v>-2121.89699473001</v>
      </c>
      <c r="H40" s="136">
        <f>IFERROR(Model!AQ295,"")</f>
        <v>-2443.65554189108</v>
      </c>
      <c r="I40" s="136">
        <f>IFERROR(Model!AV295,"")</f>
        <v>-3404.36286075131</v>
      </c>
      <c r="J40" s="136">
        <f>IFERROR(Model!BA295,"")</f>
        <v>-4725.74421347031</v>
      </c>
      <c r="K40" s="136">
        <f>IFERROR(Model!BF295,"")</f>
        <v>-6536.38244243698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-175.337</v>
      </c>
      <c r="E44" s="133">
        <f>IFERROR(SUM(E27,E40:E42,E26),"")</f>
        <v>-626.944</v>
      </c>
      <c r="F44" s="133">
        <f>IFERROR(SUM(F27,F40:F42,F26),"")</f>
        <v>-525.583</v>
      </c>
      <c r="G44" s="133">
        <f>IFERROR(SUM(G27,G40:G42,G26),"")</f>
        <v>-1035.50812725383</v>
      </c>
      <c r="H44" s="133">
        <f>IFERROR(SUM(H27,H40:H42,H26),"")</f>
        <v>-314.144240495419</v>
      </c>
      <c r="I44" s="133">
        <f>IFERROR(SUM(I27,I40:I42,I26),"")</f>
        <v>3840.04737443532</v>
      </c>
      <c r="J44" s="133">
        <f>IFERROR(SUM(J27,J40:J42,J26),"")</f>
        <v>21026.5836931459</v>
      </c>
      <c r="K44" s="133">
        <f>IFERROR(SUM(K27,K40:K42,K26),"")</f>
        <v>85839.6521112181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IFERROR(Model!W350,"")</f>
        <v>1504.516</v>
      </c>
      <c r="E46" s="136">
        <f>IFERROR(Model!AB350,"")</f>
        <v>2137.926</v>
      </c>
      <c r="F46" s="136">
        <f>IFERROR(Model!AG350,"")</f>
        <v>2741.024</v>
      </c>
      <c r="G46" s="136">
        <f>IFERROR(Model!AL350,"")</f>
        <v>8090.27912725383</v>
      </c>
      <c r="H46" s="136">
        <f>IFERROR(Model!AQ350,"")</f>
        <v>8404.42336774925</v>
      </c>
      <c r="I46" s="136">
        <f>IFERROR(Model!AV350,"")</f>
        <v>4564.37599331392</v>
      </c>
      <c r="J46" s="136">
        <f>IFERROR(Model!BA350,"")</f>
        <v>-16462.207699832</v>
      </c>
      <c r="K46" s="136">
        <f>IFERROR(Model!BF350,"")</f>
        <v>-102301.85981105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IFERROR(Model!W351,"")</f>
        <v>1504.516</v>
      </c>
      <c r="E47" s="136">
        <f>IFERROR(Model!AB351,"")</f>
        <v>2137.926</v>
      </c>
      <c r="F47" s="136">
        <f>IFERROR(Model!AG351,"")</f>
        <v>2741.024</v>
      </c>
      <c r="G47" s="136">
        <f>IFERROR(Model!AL351,"")</f>
        <v>8090.27912725383</v>
      </c>
      <c r="H47" s="136">
        <f>IFERROR(Model!AQ351,"")</f>
        <v>8404.42336774925</v>
      </c>
      <c r="I47" s="136">
        <f>IFERROR(Model!AV351,"")</f>
        <v>4564.37599331392</v>
      </c>
      <c r="J47" s="136">
        <f>IFERROR(Model!BA351,"")</f>
        <v>-16462.207699832</v>
      </c>
      <c r="K47" s="136">
        <f>IFERROR(Model!BF351,"")</f>
        <v>-102301.85981105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1.93811994702915</v>
      </c>
      <c r="E48" s="122">
        <f>IFERROR(IF(E18=0,"",E46/E18),"")</f>
        <v>2.36634188293397</v>
      </c>
      <c r="F48" s="122">
        <f>IFERROR(IF(F18=0,"",F46/F18),"")</f>
        <v>2.60965401679456</v>
      </c>
      <c r="G48" s="122">
        <f>IFERROR(IF(G18=0,"",G46/G18),"")</f>
        <v>4.71351025859745</v>
      </c>
      <c r="H48" s="122">
        <f>IFERROR(IF(H18=0,"",H46/H18),"")</f>
        <v>3.50216917502805</v>
      </c>
      <c r="I48" s="122">
        <f>IFERROR(IF(I18=0,"",I46/I18),"")</f>
        <v>1.36525808070906</v>
      </c>
      <c r="J48" s="122">
        <f>IFERROR(IF(J18=0,"",J46/J18),"")</f>
        <v>-3.54721124717583</v>
      </c>
      <c r="K48" s="122">
        <f>IFERROR(IF(K18=0,"",K46/K18),"")</f>
        <v>-15.9373188555837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0.0775849222939559</v>
      </c>
      <c r="E50" s="150">
        <f>IFERROR(IF(E46=0,"",E25/E46),"")</f>
        <v>0.0824454719242616</v>
      </c>
      <c r="F50" s="150">
        <f>IFERROR(IF(F46=0,"",F25/F46),"")</f>
        <v>0.0824609404348039</v>
      </c>
      <c r="G50" s="150">
        <f>IFERROR(IF(G46=0,"",G25/G46),"")</f>
        <v>-0.138575200458982</v>
      </c>
      <c r="H50" s="150">
        <f>IFERROR(IF(H46=0,"",H25/H46),"")</f>
        <v>-0.29252245818024</v>
      </c>
      <c r="I50" s="150">
        <f>IFERROR(IF(I46=0,"",I25/I46),"")</f>
        <v>-0.750380569445307</v>
      </c>
      <c r="J50" s="150">
        <f>IFERROR(IF(J46=0,"",J25/J46),"")</f>
        <v>0.288808042334076</v>
      </c>
      <c r="K50" s="150">
        <f>IFERROR(IF(K46=0,"",K25/K46),"")</f>
        <v>0.0642807705188969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0.515963937904283</v>
      </c>
      <c r="E51" s="154">
        <f>IFERROR(IF(E46=0,"",E18/E46),"")</f>
        <v>0.422593204816257</v>
      </c>
      <c r="F51" s="154">
        <f>IFERROR(IF(F46=0,"",F18/F46),"")</f>
        <v>0.383192558693393</v>
      </c>
      <c r="G51" s="154">
        <f>IFERROR(IF(G46=0,"",G18/G46),"")</f>
        <v>0.212156109807123</v>
      </c>
      <c r="H51" s="154">
        <f>IFERROR(IF(H46=0,"",H18/H46),"")</f>
        <v>0.285537319878898</v>
      </c>
      <c r="I51" s="154">
        <f>IFERROR(IF(I46=0,"",I18/I46),"")</f>
        <v>0.732462245878555</v>
      </c>
      <c r="J51" s="154">
        <f>IFERROR(IF(J46=0,"",J18/J46),"")</f>
        <v>-0.281911600499172</v>
      </c>
      <c r="K51" s="154">
        <f>IFERROR(IF(K46=0,"",K18/K46),"")</f>
        <v>-0.062745811203347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-58.6092430499868</v>
      </c>
      <c r="E53" s="155">
        <f>IFERROR(E25+E44,"")</f>
        <v>-450.681681990851</v>
      </c>
      <c r="F53" s="155">
        <f>IFERROR(F25+F44,"")</f>
        <v>-299.555583205632</v>
      </c>
      <c r="G53" s="156">
        <f>IFERROR(G25+G44,"")</f>
        <v>-2156.62017908214</v>
      </c>
      <c r="H53" s="155">
        <f>IFERROR(H25+H44,"")</f>
        <v>-2772.62682361688</v>
      </c>
      <c r="I53" s="155">
        <f>IFERROR(I25+I44,"")</f>
        <v>415.02831740993</v>
      </c>
      <c r="J53" s="155">
        <f>IFERROR(J25+J44,"")</f>
        <v>16272.1657148605</v>
      </c>
      <c r="K53" s="155">
        <f>IFERROR(K25+K44,"")</f>
        <v>79263.6097370477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0.0642807705188969</v>
      </c>
      <c r="E64" s="157" t="inlineStr">
        <is>
          <t>Current portion of long-term debt</t>
        </is>
      </c>
      <c r="H64" s="137">
        <f>IFERROR(INDEX(Model!$I$212:$BF$212,1,MATCH(Control!$B$7,Model!$I$5:$BF$5,0)),"")</f>
        <v>299.576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IFERROR(INDEX(Model!$I$213:$BF$213,1,MATCH(Control!$B$7,Model!$I$5:$BF$5,0)),"")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IFERROR(INDEX(Model!$I$217:$BF$217,1,MATCH(Control!$B$7,Model!$I$5:$BF$5,0)),"")</f>
        <v>3485.914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IFERROR(INDEX(Model!$I$238:$BF$238,1,MATCH(Control!$B$7,Model!$I$5:$BF$5,0)),"")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IFERROR(INDEX(Model!$I$248:$BF$248,1,MATCH(Control!$B$7,Model!$I$5:$BF$5,0)),"")</f>
        <v>400.716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IFERROR(INDEX(Model!$I$253:$BF$253,1,MATCH(Control!$B$7,Model!$I$5:$BF$5,0)),"")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IFERROR(INDEX(Model!$I$214:$BF$214,1,MATCH(Control!$B$7,Model!$I$5:$BF$5,0)),"")</f>
        <v>48.061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IFERROR(INDEX(Model!$I$235:$BF$235,1,MATCH(Control!$B$7,Model!$I$5:$BF$5,0)),"")</f>
        <v>49.663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IFERROR(-INDEX(Model!$I$144:$BF$144,1,MATCH(Control!$B$7,Model!$I$5:$BF$5,0)),"")</f>
        <v>-1544.303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2682.89353988165</v>
      </c>
      <c r="E73" s="157" t="inlineStr">
        <is>
          <t>Less: Equity investments</t>
        </is>
      </c>
      <c r="H73" s="137">
        <f>IFERROR(-INDEX(Model!$I$161:$BF$161,1,MATCH(Control!$B$7,Model!$I$5:$BF$5,0)),"")</f>
        <v>-142.539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2597.088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2597.088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2597.088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ORVR3) - fonte: Dados Abertos CVM (dados.cvm.gov.br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Orizon Valorizacao de Residuos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ORVR3) - fonte: Dados Abertos CVM (dados.cvm.gov.br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6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IFERROR(-Model!AG74/AVERAGE(Model!AB92,Model!AG92),"")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0.398143510773522</v>
      </c>
      <c r="C18" s="247">
        <f>IF(B18="","",B18)</f>
        <v>0.398143510773522</v>
      </c>
      <c r="D18" s="247">
        <f>IF(C18="","",MAX(0,C18-0.5%))</f>
        <v>0.393143510773522</v>
      </c>
      <c r="E18" s="247">
        <f>IF(D18="","",MAX(0,D18-0.5%))</f>
        <v>0.388143510773522</v>
      </c>
      <c r="F18" s="247">
        <f>IF(E18="","",MAX(0,E18-0.5%))</f>
        <v>0.383143510773522</v>
      </c>
    </row>
    <row r="19" ht="15" customHeight="1">
      <c r="A19" t="inlineStr">
        <is>
          <t>Gross margin</t>
        </is>
      </c>
      <c r="B19" s="247">
        <f>IFERROR(AVERAGE(Model!AC55:AF55,Model!AH55:AI55),"")</f>
        <v>0.582451965719939</v>
      </c>
      <c r="C19" s="247">
        <f>IF(B19="","",B19)</f>
        <v>0.582451965719939</v>
      </c>
      <c r="D19" s="247">
        <f>IF(C19="","",C19)</f>
        <v>0.582451965719939</v>
      </c>
      <c r="E19" s="247">
        <f>IF(D19="","",D19)</f>
        <v>0.582451965719939</v>
      </c>
      <c r="F19" s="247">
        <f>IF(E19="","",E19)</f>
        <v>0.582451965719939</v>
      </c>
    </row>
    <row r="20" ht="15" customHeight="1">
      <c r="A20" t="inlineStr">
        <is>
          <t>SG&amp;A / Revenue</t>
        </is>
      </c>
      <c r="B20" s="247">
        <f>IFERROR(AVERAGE(Model!AC59:AF59,Model!AH59:AI59),"")</f>
        <v>0.164491530986365</v>
      </c>
      <c r="C20" s="247">
        <f>IF(B20="","",B20)</f>
        <v>0.164491530986365</v>
      </c>
      <c r="D20" s="247">
        <f>IF(C20="","",C20)</f>
        <v>0.164491530986365</v>
      </c>
      <c r="E20" s="247">
        <f>IF(D20="","",D20)</f>
        <v>0.164491530986365</v>
      </c>
      <c r="F20" s="247">
        <f>IF(E20="","",E20)</f>
        <v>0.164491530986365</v>
      </c>
    </row>
    <row r="21" ht="15" customHeight="1">
      <c r="A21" t="inlineStr">
        <is>
          <t>D&amp;A / Revenue</t>
        </is>
      </c>
      <c r="B21" s="247">
        <f>IFERROR(AVERAGE(Model!AC71:AF71,Model!AH71:AI71),"")</f>
        <v>0.156940784488703</v>
      </c>
      <c r="C21" s="247">
        <f>IF(B21="","",B21)</f>
        <v>0.156940784488703</v>
      </c>
      <c r="D21" s="247">
        <f>IF(C21="","",C21)</f>
        <v>0.156940784488703</v>
      </c>
      <c r="E21" s="247">
        <f>IF(D21="","",D21)</f>
        <v>0.156940784488703</v>
      </c>
      <c r="F21" s="247">
        <f>IF(E21="","",E21)</f>
        <v>0.156940784488703</v>
      </c>
    </row>
    <row r="22" ht="15" customHeight="1">
      <c r="A22" t="inlineStr">
        <is>
          <t>Effective tax rate</t>
        </is>
      </c>
      <c r="B22" s="247">
        <f>IFERROR(AVERAGE(Model!AC132:AF132,Model!AH132:AI132),"")</f>
        <v>4.92485061979505</v>
      </c>
      <c r="C22" s="247">
        <f>IF(B22="","",B22)</f>
        <v>4.92485061979505</v>
      </c>
      <c r="D22" s="247">
        <f>IF(C22="","",C22)</f>
        <v>4.92485061979505</v>
      </c>
      <c r="E22" s="247">
        <f>IF(D22="","",D22)</f>
        <v>4.92485061979505</v>
      </c>
      <c r="F22" s="247">
        <f>IF(E22="","",E22)</f>
        <v>4.92485061979505</v>
      </c>
    </row>
    <row r="23" ht="15" customHeight="1">
      <c r="A23" t="inlineStr">
        <is>
          <t>Financial income / Revenue</t>
        </is>
      </c>
      <c r="B23" s="247">
        <f>IFERROR(AVERAGE(Model!AC123:AF123,Model!AH123:AI123)/AVERAGE(Model!AC15:AF15,Model!AH15:AI15),"")</f>
        <v>0.0864167779301206</v>
      </c>
      <c r="C23" s="247">
        <f>IF(B23="","",B23)</f>
        <v>0.0864167779301206</v>
      </c>
      <c r="D23" s="247">
        <f>IF(C23="","",C23)</f>
        <v>0.0864167779301206</v>
      </c>
      <c r="E23" s="247">
        <f>IF(D23="","",D23)</f>
        <v>0.0864167779301206</v>
      </c>
      <c r="F23" s="247">
        <f>IF(E23="","",E23)</f>
        <v>0.0864167779301206</v>
      </c>
    </row>
    <row r="24" ht="15" customHeight="1">
      <c r="A24" t="inlineStr">
        <is>
          <t>Capex / Revenue</t>
        </is>
      </c>
      <c r="B24" s="247">
        <f>IFERROR(-AVERAGE(Model!AC295:AF295,Model!AH295:AI295)/AVERAGE(Model!AC15:AF15,Model!AH15:AI15),"")</f>
        <v>1.01828462688325</v>
      </c>
      <c r="C24" s="247">
        <f>IF(B24="","",B24)</f>
        <v>1.01828462688325</v>
      </c>
      <c r="D24" s="247">
        <f>IF(C24="","",C24)</f>
        <v>1.01828462688325</v>
      </c>
      <c r="E24" s="247">
        <f>IF(D24="","",D24)</f>
        <v>1.01828462688325</v>
      </c>
      <c r="F24" s="247">
        <f>IF(E24="","",E24)</f>
        <v>1.01828462688325</v>
      </c>
    </row>
    <row r="25" ht="15" customHeight="1">
      <c r="A25" t="inlineStr">
        <is>
          <t>DSO</t>
        </is>
      </c>
      <c r="B25" s="249">
        <f>IFERROR(AVERAGE(Model!AC146:AF146,Model!AH146:AI146),0)</f>
        <v>91.0697329996997</v>
      </c>
      <c r="C25" s="249">
        <f>IF(B25="","",B25)</f>
        <v>91.0697329996997</v>
      </c>
      <c r="D25" s="249">
        <f>IF(C25="","",C25)</f>
        <v>91.0697329996997</v>
      </c>
      <c r="E25" s="249">
        <f>IF(D25="","",D25)</f>
        <v>91.0697329996997</v>
      </c>
      <c r="F25" s="249">
        <f>IF(E25="","",E25)</f>
        <v>91.0697329996997</v>
      </c>
    </row>
    <row r="26" ht="15" customHeight="1">
      <c r="A26" t="inlineStr">
        <is>
          <t>DIO</t>
        </is>
      </c>
      <c r="B26" s="249">
        <f>IFERROR(AVERAGE(Model!AC150:AF150,Model!AH150:AI150),0)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IFERROR(AVERAGE(Model!AC199:AF199,Model!AH199:AI199),0)</f>
        <v>122.854995606908</v>
      </c>
      <c r="C27" s="249">
        <f>IF(B27="","",B27)</f>
        <v>122.854995606908</v>
      </c>
      <c r="D27" s="249">
        <f>IF(C27="","",C27)</f>
        <v>122.854995606908</v>
      </c>
      <c r="E27" s="249">
        <f>IF(D27="","",D27)</f>
        <v>122.854995606908</v>
      </c>
      <c r="F27" s="249">
        <f>IF(E27="","",E27)</f>
        <v>122.854995606908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Orizon Valorizacao de Residuos (ORVR3) - fonte: Dados Abertos CVM (dados.cvm.gov.br, ITR e DFP, demonstracoes consolidadas: BPA, BPP, DRE, DFC-MI), CD_CVM 025550. A Cia nao publica planilha de fundamentos no RI. Moeda: BRL. Brutos em R$ mil.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2026-10-16T15:40:39Z</dcterms:modified>
  <cp:lastModifiedBy>Lucas Nascimento</cp:lastModifiedBy>
  <cp:revision>0</cp:revision>
</cp:coreProperties>
</file>